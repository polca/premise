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8880" tabRatio="600" firstSheet="0" activeTab="0" autoFilterDateGrouping="1"/>
  </bookViews>
  <sheets>
    <sheet xmlns:r="http://schemas.openxmlformats.org/officeDocument/2006/relationships" name="Sheet1" sheetId="1" state="visible" r:id="rId1"/>
  </sheets>
  <definedNames>
    <definedName name="_xlnm._FilterDatabase" localSheetId="0" hidden="1">'Sheet1'!$A$1:$M$68</definedName>
  </definedNames>
  <calcPr calcId="191029" fullCalcOnLoad="1"/>
</workbook>
</file>

<file path=xl/styles.xml><?xml version="1.0" encoding="utf-8"?>
<styleSheet xmlns="http://schemas.openxmlformats.org/spreadsheetml/2006/main">
  <numFmts count="1">
    <numFmt numFmtId="164" formatCode="0.000E+00"/>
  </numFmts>
  <fonts count="3">
    <font>
      <name val="Calibri"/>
      <family val="2"/>
      <color theme="1"/>
      <sz val="12"/>
      <scheme val="minor"/>
    </font>
    <font>
      <name val="Calibri"/>
      <family val="2"/>
      <b val="1"/>
      <color theme="1"/>
      <sz val="12"/>
      <scheme val="minor"/>
    </font>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11" fontId="0"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filterMode="1">
    <outlinePr summaryBelow="1" summaryRight="1"/>
    <pageSetUpPr/>
  </sheetPr>
  <dimension ref="A1:M68"/>
  <sheetViews>
    <sheetView tabSelected="1" workbookViewId="0">
      <selection activeCell="G69" sqref="G69"/>
    </sheetView>
  </sheetViews>
  <sheetFormatPr baseColWidth="10" defaultRowHeight="16"/>
  <cols>
    <col width="63" customWidth="1" min="1" max="1"/>
    <col width="12.1640625" bestFit="1" customWidth="1" min="2" max="2"/>
    <col width="34.33203125" customWidth="1" min="3" max="3"/>
    <col width="11.5" bestFit="1" customWidth="1" min="6" max="6"/>
    <col width="28.1640625" bestFit="1" customWidth="1" min="7" max="7"/>
    <col width="23.6640625" bestFit="1" customWidth="1" min="8" max="8"/>
  </cols>
  <sheetData>
    <row r="1">
      <c r="A1" s="1" t="inlineStr">
        <is>
          <t>database</t>
        </is>
      </c>
      <c r="B1" s="1" t="inlineStr">
        <is>
          <t>hydrogen turbine</t>
        </is>
      </c>
    </row>
    <row r="2" hidden="1"/>
    <row r="3" hidden="1">
      <c r="A3" s="1" t="inlineStr">
        <is>
          <t>Activity</t>
        </is>
      </c>
      <c r="B3" s="1" t="inlineStr">
        <is>
          <t>electricity production, from hydrogen-fired one gigawatt gas turbine, for grid balancing</t>
        </is>
      </c>
    </row>
    <row r="4" hidden="1">
      <c r="A4" t="inlineStr">
        <is>
          <t>location</t>
        </is>
      </c>
      <c r="B4" t="inlineStr">
        <is>
          <t>RER</t>
        </is>
      </c>
    </row>
    <row r="5" hidden="1">
      <c r="A5" t="inlineStr">
        <is>
          <t>production amount</t>
        </is>
      </c>
      <c r="B5" t="n">
        <v>1</v>
      </c>
    </row>
    <row r="6" hidden="1">
      <c r="A6" t="inlineStr">
        <is>
          <t>comment</t>
        </is>
      </c>
      <c r="B6" t="inlineStr">
        <is>
          <t>H2-fed 1 GW gas turbine used for grid-balancing. Use a CCGT dataset for infrastructure. Capacity: 1000 MW. Capacity factor: 70%. Efficiency (HHV): 51.3%. Yearly production: 6,004,454 MWh.</t>
        </is>
      </c>
    </row>
    <row r="7" hidden="1">
      <c r="A7" t="inlineStr">
        <is>
          <t>source</t>
        </is>
      </c>
      <c r="B7" t="inlineStr">
        <is>
          <t>Based on parameters provided by Akito Ozawa, Yuki Kudoh, Naomi Kitagawa, Ryoji Muramatsu, Life cycle CO2 emissions from power generation using hydrogen energy carriers, International Journal of Hydrogen Energy, 2019, https://doi.org/10.1016/j.ijhydene.2019.02.230.</t>
        </is>
      </c>
    </row>
    <row r="8" hidden="1">
      <c r="A8" t="inlineStr">
        <is>
          <t>reference product</t>
        </is>
      </c>
      <c r="B8" t="inlineStr">
        <is>
          <t>electricity, high voltage</t>
        </is>
      </c>
    </row>
    <row r="9" hidden="1">
      <c r="A9" t="inlineStr">
        <is>
          <t>type</t>
        </is>
      </c>
      <c r="B9" t="inlineStr">
        <is>
          <t>process</t>
        </is>
      </c>
    </row>
    <row r="10" hidden="1">
      <c r="A10" t="inlineStr">
        <is>
          <t>unit</t>
        </is>
      </c>
      <c r="B10" t="inlineStr">
        <is>
          <t>kilowatt hour</t>
        </is>
      </c>
    </row>
    <row r="11" hidden="1">
      <c r="A11" s="1" t="inlineStr">
        <is>
          <t>Exchanges</t>
        </is>
      </c>
    </row>
    <row r="12" hidden="1">
      <c r="A12" s="1" t="inlineStr">
        <is>
          <t>name</t>
        </is>
      </c>
      <c r="B12" s="1" t="inlineStr">
        <is>
          <t>amount</t>
        </is>
      </c>
      <c r="C12" s="1" t="inlineStr">
        <is>
          <t>location</t>
        </is>
      </c>
      <c r="D12" s="1" t="inlineStr">
        <is>
          <t>unit</t>
        </is>
      </c>
      <c r="E12" s="1" t="inlineStr">
        <is>
          <t>categories</t>
        </is>
      </c>
      <c r="F12" s="1" t="inlineStr">
        <is>
          <t>type</t>
        </is>
      </c>
      <c r="G12" s="1" t="inlineStr">
        <is>
          <t>reference product</t>
        </is>
      </c>
      <c r="H12" s="1" t="inlineStr">
        <is>
          <t>comment</t>
        </is>
      </c>
    </row>
    <row r="13" hidden="1">
      <c r="A13" t="inlineStr">
        <is>
          <t>electricity production, from hydrogen-fired one gigawatt gas turbine, for grid balancing</t>
        </is>
      </c>
      <c r="B13" t="n">
        <v>1</v>
      </c>
      <c r="C13" t="inlineStr">
        <is>
          <t>RER</t>
        </is>
      </c>
      <c r="D13" s="2" t="inlineStr">
        <is>
          <t>kilowatt hour</t>
        </is>
      </c>
      <c r="F13" t="inlineStr">
        <is>
          <t>production</t>
        </is>
      </c>
      <c r="G13" t="inlineStr">
        <is>
          <t>electricity, high voltage</t>
        </is>
      </c>
    </row>
    <row r="14" hidden="1">
      <c r="A14" t="inlineStr">
        <is>
          <t>gas power plant construction, combined cycle, 400MW electrical</t>
        </is>
      </c>
      <c r="B14" s="3" t="n">
        <v>1.3889e-11</v>
      </c>
      <c r="C14" t="inlineStr">
        <is>
          <t>RER</t>
        </is>
      </c>
      <c r="D14" t="inlineStr">
        <is>
          <t>unit</t>
        </is>
      </c>
      <c r="F14" t="inlineStr">
        <is>
          <t>technosphere</t>
        </is>
      </c>
      <c r="G14" t="inlineStr">
        <is>
          <t>gas power plant, combined cycle, 400MW electrical</t>
        </is>
      </c>
    </row>
    <row r="15" hidden="1">
      <c r="A15" t="inlineStr">
        <is>
          <t>hydrogen storage, for grid-balancing</t>
        </is>
      </c>
      <c r="B15" s="3">
        <f>((3.6/0.513)/141.8)*1.005</f>
        <v>4.9736470937569582E-2</v>
      </c>
      <c r="C15" t="inlineStr">
        <is>
          <t>RER</t>
        </is>
      </c>
      <c r="D15" t="inlineStr">
        <is>
          <t>kilogram</t>
        </is>
      </c>
      <c r="F15" t="inlineStr">
        <is>
          <t>technosphere</t>
        </is>
      </c>
      <c r="G15" t="inlineStr">
        <is>
          <t>hydrogen, gaseous, 80 bar</t>
        </is>
      </c>
      <c r="H15" t="inlineStr">
        <is>
          <t>51.3% HHV efficiency + 0.5% H2 loss</t>
        </is>
      </c>
    </row>
    <row r="16" hidden="1">
      <c r="A16" t="inlineStr">
        <is>
          <t>Water</t>
        </is>
      </c>
      <c r="B16" s="3">
        <f>0.4448/1000</f>
        <v>4.4479999999999997E-4</v>
      </c>
      <c r="D16" t="inlineStr">
        <is>
          <t>cubic meter</t>
        </is>
      </c>
      <c r="E16" t="inlineStr">
        <is>
          <t>air::non-urban air or from high stacks</t>
        </is>
      </c>
      <c r="F16" t="inlineStr">
        <is>
          <t>biosphere</t>
        </is>
      </c>
      <c r="H16" t="inlineStr">
        <is>
          <t>9kg H2O/kg H2</t>
        </is>
      </c>
    </row>
    <row r="17" hidden="1">
      <c r="A17" t="inlineStr">
        <is>
          <t>Nitrogen oxides</t>
        </is>
      </c>
      <c r="B17" s="3" t="n">
        <v>0.000154285714285714</v>
      </c>
      <c r="D17" t="inlineStr">
        <is>
          <t>kilogram</t>
        </is>
      </c>
      <c r="E17" t="inlineStr">
        <is>
          <t>air::non-urban air or from high stacks</t>
        </is>
      </c>
      <c r="F17" t="inlineStr">
        <is>
          <t>biosphere</t>
        </is>
      </c>
      <c r="H17" t="inlineStr">
        <is>
          <t>Assumed similar to NG, although probably a bit higher.</t>
        </is>
      </c>
    </row>
    <row r="18" hidden="1">
      <c r="A18" t="inlineStr">
        <is>
          <t>Hydrogen</t>
        </is>
      </c>
      <c r="B18" s="4">
        <f>((3.6/0.513)/141.8)*0.005</f>
        <v>2.4744512904263476E-4</v>
      </c>
      <c r="D18" t="inlineStr">
        <is>
          <t>kilogram</t>
        </is>
      </c>
      <c r="E18" t="inlineStr">
        <is>
          <t>air</t>
        </is>
      </c>
      <c r="F18" t="inlineStr">
        <is>
          <t>biosphere</t>
        </is>
      </c>
      <c r="H18" t="inlineStr">
        <is>
          <t>Hydrogen loss</t>
        </is>
      </c>
    </row>
    <row r="19" hidden="1"/>
    <row r="20" hidden="1">
      <c r="A20" s="1" t="inlineStr">
        <is>
          <t>Activity</t>
        </is>
      </c>
      <c r="B20" s="1" t="inlineStr">
        <is>
          <t>heat production, from hydrogen-fired one gigawatt gas turbine, for grid balancing</t>
        </is>
      </c>
    </row>
    <row r="21" hidden="1">
      <c r="A21" t="inlineStr">
        <is>
          <t>location</t>
        </is>
      </c>
      <c r="B21" t="inlineStr">
        <is>
          <t>RER</t>
        </is>
      </c>
    </row>
    <row r="22" hidden="1">
      <c r="A22" t="inlineStr">
        <is>
          <t>production amount</t>
        </is>
      </c>
      <c r="B22" t="n">
        <v>1</v>
      </c>
    </row>
    <row r="23" hidden="1">
      <c r="A23" t="inlineStr">
        <is>
          <t>comment</t>
        </is>
      </c>
      <c r="B23" t="inlineStr">
        <is>
          <t>H2-fed 1 GW gas turbine used for grid-balancing. Use a CCGT dataset for infrastructure. Capacity: 1000 MW. Capacity factor: 70%. Efficiency (HHV): 51.3%. Yearly production: 6,004,454 MWh.</t>
        </is>
      </c>
    </row>
    <row r="24" hidden="1">
      <c r="A24" t="inlineStr">
        <is>
          <t>source</t>
        </is>
      </c>
      <c r="B24" t="inlineStr">
        <is>
          <t>Based on parameters provided by Akito Ozawa, Yuki Kudoh, Naomi Kitagawa, Ryoji Muramatsu, Life cycle CO2 emissions from power generation using hydrogen energy carriers, International Journal of Hydrogen Energy, 2019, https://doi.org/10.1016/j.ijhydene.2019.02.230.</t>
        </is>
      </c>
    </row>
    <row r="25" hidden="1">
      <c r="A25" t="inlineStr">
        <is>
          <t>reference product</t>
        </is>
      </c>
      <c r="B25" t="inlineStr">
        <is>
          <t>heat</t>
        </is>
      </c>
    </row>
    <row r="26" hidden="1">
      <c r="A26" t="inlineStr">
        <is>
          <t>type</t>
        </is>
      </c>
      <c r="B26" t="inlineStr">
        <is>
          <t>process</t>
        </is>
      </c>
    </row>
    <row r="27" hidden="1">
      <c r="A27" t="inlineStr">
        <is>
          <t>unit</t>
        </is>
      </c>
      <c r="B27" t="inlineStr">
        <is>
          <t>megajoule</t>
        </is>
      </c>
    </row>
    <row r="28" hidden="1">
      <c r="A28" s="1" t="inlineStr">
        <is>
          <t>Exchanges</t>
        </is>
      </c>
    </row>
    <row r="29" hidden="1">
      <c r="A29" s="1" t="inlineStr">
        <is>
          <t>name</t>
        </is>
      </c>
      <c r="B29" s="1" t="inlineStr">
        <is>
          <t>amount</t>
        </is>
      </c>
      <c r="C29" s="1" t="inlineStr">
        <is>
          <t>location</t>
        </is>
      </c>
      <c r="D29" s="1" t="inlineStr">
        <is>
          <t>unit</t>
        </is>
      </c>
      <c r="E29" s="1" t="inlineStr">
        <is>
          <t>categories</t>
        </is>
      </c>
      <c r="F29" s="1" t="inlineStr">
        <is>
          <t>type</t>
        </is>
      </c>
      <c r="G29" s="1" t="inlineStr">
        <is>
          <t>reference product</t>
        </is>
      </c>
      <c r="H29" s="1" t="inlineStr">
        <is>
          <t>comment</t>
        </is>
      </c>
    </row>
    <row r="30" hidden="1">
      <c r="A30" t="inlineStr">
        <is>
          <t>heat production, from hydrogen-fired one gigawatt gas turbine, for grid balancing</t>
        </is>
      </c>
      <c r="B30" t="n">
        <v>1</v>
      </c>
      <c r="C30" t="inlineStr">
        <is>
          <t>RER</t>
        </is>
      </c>
      <c r="D30" s="2" t="inlineStr">
        <is>
          <t>megajoule</t>
        </is>
      </c>
      <c r="F30" t="inlineStr">
        <is>
          <t>production</t>
        </is>
      </c>
      <c r="G30" t="inlineStr">
        <is>
          <t>heat</t>
        </is>
      </c>
    </row>
    <row r="31" hidden="1">
      <c r="A31" t="inlineStr">
        <is>
          <t>gas power plant construction, combined cycle, 400MW electrical</t>
        </is>
      </c>
      <c r="B31" s="3">
        <f>0.000000000013889/3.6</f>
        <v>3.8580555555555555E-12</v>
      </c>
      <c r="C31" t="inlineStr">
        <is>
          <t>RER</t>
        </is>
      </c>
      <c r="D31" t="inlineStr">
        <is>
          <t>unit</t>
        </is>
      </c>
      <c r="F31" t="inlineStr">
        <is>
          <t>technosphere</t>
        </is>
      </c>
      <c r="G31" t="inlineStr">
        <is>
          <t>gas power plant, combined cycle, 400MW electrical</t>
        </is>
      </c>
    </row>
    <row r="32" hidden="1">
      <c r="A32" t="inlineStr">
        <is>
          <t>hydrogen storage, for grid-balancing</t>
        </is>
      </c>
      <c r="B32" s="3">
        <f>(1/120/0.95)*1.02</f>
        <v>8.9473684210526309E-3</v>
      </c>
      <c r="C32" t="inlineStr">
        <is>
          <t>RER</t>
        </is>
      </c>
      <c r="D32" t="inlineStr">
        <is>
          <t>kilogram</t>
        </is>
      </c>
      <c r="F32" t="inlineStr">
        <is>
          <t>technosphere</t>
        </is>
      </c>
      <c r="G32" t="inlineStr">
        <is>
          <t>hydrogen, gaseous, 80 bar</t>
        </is>
      </c>
      <c r="H32" t="inlineStr">
        <is>
          <t>Assumes 95% LHV efficiency + 0.5% H2 loss</t>
        </is>
      </c>
    </row>
    <row r="33" hidden="1">
      <c r="A33" t="inlineStr">
        <is>
          <t>Water</t>
        </is>
      </c>
      <c r="B33" s="3">
        <f>B32*9/1000</f>
        <v>8.052631578947368E-5</v>
      </c>
      <c r="D33" t="inlineStr">
        <is>
          <t>cubic meter</t>
        </is>
      </c>
      <c r="E33" t="inlineStr">
        <is>
          <t>air::non-urban air or from high stacks</t>
        </is>
      </c>
      <c r="F33" t="inlineStr">
        <is>
          <t>biosphere</t>
        </is>
      </c>
      <c r="H33" t="inlineStr">
        <is>
          <t>9kg H2O/kg H2</t>
        </is>
      </c>
    </row>
    <row r="34" hidden="1">
      <c r="A34" t="inlineStr">
        <is>
          <t>Nitrogen oxides</t>
        </is>
      </c>
      <c r="B34" s="3">
        <f>0.000154285714285714/3.6</f>
        <v>4.2857142857142782E-5</v>
      </c>
      <c r="D34" t="inlineStr">
        <is>
          <t>kilogram</t>
        </is>
      </c>
      <c r="E34" t="inlineStr">
        <is>
          <t>air::non-urban air or from high stacks</t>
        </is>
      </c>
      <c r="F34" t="inlineStr">
        <is>
          <t>biosphere</t>
        </is>
      </c>
      <c r="H34" t="inlineStr">
        <is>
          <t>Assumed similar to NG, although probably a bit higher.</t>
        </is>
      </c>
    </row>
    <row r="35" hidden="1">
      <c r="A35" t="inlineStr">
        <is>
          <t>Hydrogen</t>
        </is>
      </c>
      <c r="B35" s="4">
        <f>B32*0.02</f>
        <v>1.7894736842105261E-4</v>
      </c>
      <c r="D35" t="inlineStr">
        <is>
          <t>kilogram</t>
        </is>
      </c>
      <c r="E35" t="inlineStr">
        <is>
          <t>air</t>
        </is>
      </c>
      <c r="F35" t="inlineStr">
        <is>
          <t>biosphere</t>
        </is>
      </c>
      <c r="H35" t="inlineStr">
        <is>
          <t>Hydrogen loss</t>
        </is>
      </c>
    </row>
    <row r="36" hidden="1"/>
    <row r="37" hidden="1">
      <c r="A37" s="1" t="inlineStr">
        <is>
          <t>Activity</t>
        </is>
      </c>
      <c r="B37" s="1" t="inlineStr">
        <is>
          <t>heat production, from hydrogen-fired one gigawatt gas turbine</t>
        </is>
      </c>
    </row>
    <row r="38" hidden="1">
      <c r="A38" t="inlineStr">
        <is>
          <t>location</t>
        </is>
      </c>
      <c r="B38" t="inlineStr">
        <is>
          <t>RER</t>
        </is>
      </c>
    </row>
    <row r="39" hidden="1">
      <c r="A39" t="inlineStr">
        <is>
          <t>production amount</t>
        </is>
      </c>
      <c r="B39" t="n">
        <v>1</v>
      </c>
    </row>
    <row r="40" hidden="1">
      <c r="A40" t="inlineStr">
        <is>
          <t>comment</t>
        </is>
      </c>
      <c r="B40" t="inlineStr">
        <is>
          <t>H2-fed 1 GW hydrogen gas turbine. Use a CCGT dataset for infrastructure. Capacity: 1000 MW. Capacity factor: 70%. Efficiency (HHV): 95%. Yearly production: 6,004,454 MWh.</t>
        </is>
      </c>
    </row>
    <row r="41" hidden="1">
      <c r="A41" t="inlineStr">
        <is>
          <t>source</t>
        </is>
      </c>
      <c r="B41" t="inlineStr">
        <is>
          <t>Based on parameters provided by Akito Ozawa, Yuki Kudoh, Naomi Kitagawa, Ryoji Muramatsu, Life cycle CO2 emissions from power generation using hydrogen energy carriers, International Journal of Hydrogen Energy, 2019, https://doi.org/10.1016/j.ijhydene.2019.02.230.</t>
        </is>
      </c>
    </row>
    <row r="42" hidden="1">
      <c r="A42" t="inlineStr">
        <is>
          <t>reference product</t>
        </is>
      </c>
      <c r="B42" t="inlineStr">
        <is>
          <t>heat</t>
        </is>
      </c>
    </row>
    <row r="43" hidden="1">
      <c r="A43" t="inlineStr">
        <is>
          <t>type</t>
        </is>
      </c>
      <c r="B43" t="inlineStr">
        <is>
          <t>process</t>
        </is>
      </c>
    </row>
    <row r="44" hidden="1">
      <c r="A44" t="inlineStr">
        <is>
          <t>unit</t>
        </is>
      </c>
      <c r="B44" t="inlineStr">
        <is>
          <t>megajoule</t>
        </is>
      </c>
    </row>
    <row r="45" hidden="1">
      <c r="A45" s="1" t="inlineStr">
        <is>
          <t>Exchanges</t>
        </is>
      </c>
    </row>
    <row r="46" hidden="1">
      <c r="A46" s="1" t="inlineStr">
        <is>
          <t>name</t>
        </is>
      </c>
      <c r="B46" s="1" t="inlineStr">
        <is>
          <t>amount</t>
        </is>
      </c>
      <c r="C46" s="1" t="inlineStr">
        <is>
          <t>location</t>
        </is>
      </c>
      <c r="D46" s="1" t="inlineStr">
        <is>
          <t>unit</t>
        </is>
      </c>
      <c r="E46" s="1" t="inlineStr">
        <is>
          <t>categories</t>
        </is>
      </c>
      <c r="F46" s="1" t="inlineStr">
        <is>
          <t>type</t>
        </is>
      </c>
      <c r="G46" s="1" t="inlineStr">
        <is>
          <t>reference product</t>
        </is>
      </c>
      <c r="H46" s="1" t="inlineStr">
        <is>
          <t>comment</t>
        </is>
      </c>
    </row>
    <row r="47" hidden="1">
      <c r="A47" t="inlineStr">
        <is>
          <t>heat production, from hydrogen-fired one gigawatt gas turbine</t>
        </is>
      </c>
      <c r="B47" t="n">
        <v>1</v>
      </c>
      <c r="C47" t="inlineStr">
        <is>
          <t>RER</t>
        </is>
      </c>
      <c r="D47" s="2" t="inlineStr">
        <is>
          <t>megajoule</t>
        </is>
      </c>
      <c r="F47" t="inlineStr">
        <is>
          <t>production</t>
        </is>
      </c>
      <c r="G47" t="inlineStr">
        <is>
          <t>heat</t>
        </is>
      </c>
    </row>
    <row r="48" hidden="1">
      <c r="A48" t="inlineStr">
        <is>
          <t>gas power plant construction, combined cycle, 400MW electrical</t>
        </is>
      </c>
      <c r="B48" s="3">
        <f>0.000000000013889/3.6</f>
        <v>3.8580555555555555E-12</v>
      </c>
      <c r="C48" t="inlineStr">
        <is>
          <t>RER</t>
        </is>
      </c>
      <c r="D48" t="inlineStr">
        <is>
          <t>unit</t>
        </is>
      </c>
      <c r="F48" t="inlineStr">
        <is>
          <t>technosphere</t>
        </is>
      </c>
      <c r="G48" t="inlineStr">
        <is>
          <t>gas power plant, combined cycle, 400MW electrical</t>
        </is>
      </c>
    </row>
    <row r="49">
      <c r="A49" t="inlineStr">
        <is>
          <t>market for hydrogen, gaseous</t>
        </is>
      </c>
      <c r="B49" s="3">
        <f>(1/120/0.95)*1.02</f>
        <v>8.9473684210526309E-3</v>
      </c>
      <c r="C49" t="inlineStr">
        <is>
          <t>GLO</t>
        </is>
      </c>
      <c r="D49" t="inlineStr">
        <is>
          <t>kilogram</t>
        </is>
      </c>
      <c r="F49" t="inlineStr">
        <is>
          <t>technosphere</t>
        </is>
      </c>
      <c r="G49" t="inlineStr">
        <is>
          <t>hydrogen, gaseous</t>
        </is>
      </c>
      <c r="H49" t="inlineStr">
        <is>
          <t>Assumes 95% LHV efficiency + 0.5% H2 loss</t>
        </is>
      </c>
    </row>
    <row r="50" hidden="1">
      <c r="A50" t="inlineStr">
        <is>
          <t>Water</t>
        </is>
      </c>
      <c r="B50" s="3">
        <f>B49*9/1000</f>
        <v>8.052631578947368E-5</v>
      </c>
      <c r="D50" t="inlineStr">
        <is>
          <t>cubic meter</t>
        </is>
      </c>
      <c r="E50" t="inlineStr">
        <is>
          <t>air::non-urban air or from high stacks</t>
        </is>
      </c>
      <c r="F50" t="inlineStr">
        <is>
          <t>biosphere</t>
        </is>
      </c>
      <c r="H50" t="inlineStr">
        <is>
          <t>9kg H2O/kg H2</t>
        </is>
      </c>
    </row>
    <row r="51" hidden="1">
      <c r="A51" t="inlineStr">
        <is>
          <t>Nitrogen oxides</t>
        </is>
      </c>
      <c r="B51" s="3">
        <f>0.000154285714285714/3.6</f>
        <v>4.2857142857142782E-5</v>
      </c>
      <c r="D51" t="inlineStr">
        <is>
          <t>kilogram</t>
        </is>
      </c>
      <c r="E51" t="inlineStr">
        <is>
          <t>air::non-urban air or from high stacks</t>
        </is>
      </c>
      <c r="F51" t="inlineStr">
        <is>
          <t>biosphere</t>
        </is>
      </c>
      <c r="H51" t="inlineStr">
        <is>
          <t>Assumed similar to NG, although probably a bit higher.</t>
        </is>
      </c>
    </row>
    <row r="52" hidden="1">
      <c r="A52" t="inlineStr">
        <is>
          <t>Hydrogen</t>
        </is>
      </c>
      <c r="B52" s="4">
        <f>B49*0.02</f>
        <v>1.7894736842105261E-4</v>
      </c>
      <c r="D52" t="inlineStr">
        <is>
          <t>kilogram</t>
        </is>
      </c>
      <c r="E52" t="inlineStr">
        <is>
          <t>air</t>
        </is>
      </c>
      <c r="F52" t="inlineStr">
        <is>
          <t>biosphere</t>
        </is>
      </c>
      <c r="H52" t="inlineStr">
        <is>
          <t>Hydrogen loss</t>
        </is>
      </c>
    </row>
    <row r="53" hidden="1"/>
    <row r="54" hidden="1">
      <c r="A54" s="1" t="inlineStr">
        <is>
          <t>Activity</t>
        </is>
      </c>
      <c r="B54" s="1" t="inlineStr">
        <is>
          <t>hydrogen storage, for grid-balancing</t>
        </is>
      </c>
    </row>
    <row r="55" hidden="1">
      <c r="A55" t="inlineStr">
        <is>
          <t>location</t>
        </is>
      </c>
      <c r="B55" t="inlineStr">
        <is>
          <t>RER</t>
        </is>
      </c>
    </row>
    <row r="56" hidden="1">
      <c r="A56" t="inlineStr">
        <is>
          <t>production amount</t>
        </is>
      </c>
      <c r="B56" t="n">
        <v>1</v>
      </c>
    </row>
    <row r="57" hidden="1">
      <c r="A57" t="inlineStr">
        <is>
          <t>comment</t>
        </is>
      </c>
      <c r="B57" t="inlineStr">
        <is>
          <t>Hydrogen storage solution, for grid-balancing and subsequent use in a H2-fed gas turbine. Considers hydrogen production from electrolyzer, followed by regional geological storage, and drying. Also includes loss at electrolyzer (0.25%) and a geological storage (1% + 1.3% cushion gas), but only applied to 30% of the mass.</t>
        </is>
      </c>
    </row>
    <row r="58" hidden="1">
      <c r="A58" t="inlineStr">
        <is>
          <t>source</t>
        </is>
      </c>
      <c r="B58" t="inlineStr">
        <is>
          <t>Based on LCA of Power-to-X processes and applications in the residential sector, Sacchi and Bauer, 2023 (not yet published). Geological storage dataset from Cristina Wulff et al., 2018.</t>
        </is>
      </c>
    </row>
    <row r="59" hidden="1">
      <c r="A59" t="inlineStr">
        <is>
          <t>reference product</t>
        </is>
      </c>
      <c r="B59" t="inlineStr">
        <is>
          <t>hydrogen, gaseous, 80 bar</t>
        </is>
      </c>
    </row>
    <row r="60" hidden="1">
      <c r="A60" t="inlineStr">
        <is>
          <t>type</t>
        </is>
      </c>
      <c r="B60" t="inlineStr">
        <is>
          <t>process</t>
        </is>
      </c>
    </row>
    <row r="61" hidden="1">
      <c r="A61" t="inlineStr">
        <is>
          <t>unit</t>
        </is>
      </c>
      <c r="B61" t="inlineStr">
        <is>
          <t>kilogram</t>
        </is>
      </c>
    </row>
    <row r="62" hidden="1">
      <c r="A62" s="1" t="inlineStr">
        <is>
          <t>Exchanges</t>
        </is>
      </c>
    </row>
    <row r="63" hidden="1">
      <c r="A63" s="1" t="inlineStr">
        <is>
          <t>name</t>
        </is>
      </c>
      <c r="B63" s="1" t="inlineStr">
        <is>
          <t>amount</t>
        </is>
      </c>
      <c r="C63" s="1" t="inlineStr">
        <is>
          <t>location</t>
        </is>
      </c>
      <c r="D63" s="1" t="inlineStr">
        <is>
          <t>unit</t>
        </is>
      </c>
      <c r="E63" s="1" t="inlineStr">
        <is>
          <t>categories</t>
        </is>
      </c>
      <c r="F63" s="1" t="inlineStr">
        <is>
          <t>type</t>
        </is>
      </c>
      <c r="G63" s="1" t="inlineStr">
        <is>
          <t>reference product</t>
        </is>
      </c>
      <c r="H63" s="1" t="inlineStr">
        <is>
          <t>comment</t>
        </is>
      </c>
    </row>
    <row r="64" hidden="1">
      <c r="A64" t="inlineStr">
        <is>
          <t>hydrogen storage, for grid-balancing</t>
        </is>
      </c>
      <c r="B64" t="n">
        <v>1</v>
      </c>
      <c r="C64" t="inlineStr">
        <is>
          <t>RER</t>
        </is>
      </c>
      <c r="D64" s="2" t="inlineStr">
        <is>
          <t>kilogram</t>
        </is>
      </c>
      <c r="F64" t="inlineStr">
        <is>
          <t>production</t>
        </is>
      </c>
      <c r="G64" t="inlineStr">
        <is>
          <t>hydrogen, gaseous, 80 bar</t>
        </is>
      </c>
    </row>
    <row r="65" hidden="1">
      <c r="A65" t="inlineStr">
        <is>
          <t>hydrogen production, gaseous, 30 bar, from PEM electrolysis, from grid electricity</t>
        </is>
      </c>
      <c r="B65" s="4">
        <f>1+0.0025+(0.023*0.3)</f>
        <v>1.0093999999999999</v>
      </c>
      <c r="C65" t="inlineStr">
        <is>
          <t>RER</t>
        </is>
      </c>
      <c r="D65" t="inlineStr">
        <is>
          <t>kilogram</t>
        </is>
      </c>
      <c r="F65" t="inlineStr">
        <is>
          <t>technosphere</t>
        </is>
      </c>
      <c r="G65" t="inlineStr">
        <is>
          <t>hydrogen, gaseous, 30 bar</t>
        </is>
      </c>
      <c r="H65" t="inlineStr">
        <is>
          <t>0.25% loss at electrolyzer + 2.3% loss at geological cavity on 30% of the mass stored.</t>
        </is>
      </c>
    </row>
    <row r="66" hidden="1">
      <c r="A66" t="inlineStr">
        <is>
          <t>geological hydrogen storage</t>
        </is>
      </c>
      <c r="B66" s="4">
        <f>B65</f>
        <v>1.0093999999999999</v>
      </c>
      <c r="C66" t="inlineStr">
        <is>
          <t>RER</t>
        </is>
      </c>
      <c r="D66" t="inlineStr">
        <is>
          <t>kilogram</t>
        </is>
      </c>
      <c r="F66" t="inlineStr">
        <is>
          <t>technosphere</t>
        </is>
      </c>
      <c r="G66" t="inlineStr">
        <is>
          <t>hydrogen storage</t>
        </is>
      </c>
    </row>
    <row r="67" hidden="1">
      <c r="A67" t="inlineStr">
        <is>
          <t>market group for electricity, medium voltage</t>
        </is>
      </c>
      <c r="B67" t="n">
        <v>0.88</v>
      </c>
      <c r="C67" t="inlineStr">
        <is>
          <t>RER</t>
        </is>
      </c>
      <c r="D67" t="inlineStr">
        <is>
          <t>kilowatt hour</t>
        </is>
      </c>
      <c r="F67" t="inlineStr">
        <is>
          <t>technosphere</t>
        </is>
      </c>
      <c r="G67" t="inlineStr">
        <is>
          <t>electricity, medium voltage</t>
        </is>
      </c>
      <c r="H67" t="inlineStr">
        <is>
          <t>Compression from electrolyzer (30) to geological cavity (100) bar.</t>
        </is>
      </c>
    </row>
    <row r="68" hidden="1">
      <c r="A68" t="inlineStr">
        <is>
          <t>Hydrogen</t>
        </is>
      </c>
      <c r="B68" s="4">
        <f>B66-1</f>
        <v>9.3999999999998529E-3</v>
      </c>
      <c r="D68" t="inlineStr">
        <is>
          <t>kilogram</t>
        </is>
      </c>
      <c r="E68" t="inlineStr">
        <is>
          <t>air</t>
        </is>
      </c>
      <c r="F68" t="inlineStr">
        <is>
          <t>biosphere</t>
        </is>
      </c>
      <c r="H68" t="inlineStr">
        <is>
          <t>Hydrogen loss</t>
        </is>
      </c>
    </row>
  </sheetData>
  <autoFilter ref="A1:M68">
    <filterColumn colId="0" hiddenButton="0" showButton="1">
      <filters>
        <filter val="market for hydrogen, gaseous, low pressure"/>
      </filters>
    </filterColumn>
  </autoFilter>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Romain Sacchi</dc:creator>
  <dcterms:created xmlns:dcterms="http://purl.org/dc/terms/" xmlns:xsi="http://www.w3.org/2001/XMLSchema-instance" xsi:type="dcterms:W3CDTF">2023-10-03T13:38:00Z</dcterms:created>
  <dcterms:modified xmlns:dcterms="http://purl.org/dc/terms/" xmlns:xsi="http://www.w3.org/2001/XMLSchema-instance" xsi:type="dcterms:W3CDTF">2026-07-07T14:16:30Z</dcterms:modified>
  <cp:lastModifiedBy>Romain Sacchi</cp:lastModifiedBy>
</cp:coreProperties>
</file>