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<sst xmlns="http://schemas.openxmlformats.org/spreadsheetml/2006/main" count="1423" uniqueCount="259">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</sst>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54"/>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 xml:space="preserve">hydrogen storage tank system production, refuelling station, 125 kg hydrogen</t>
        </is>
      </c>
      <c r="B26">
        <v>2</v>
      </c>
      <c r="C26" t="s">
        <v>17</v>
      </c>
      <c r="D26" t="inlineStr">
        <is>
          <t>GLO</t>
        </is>
      </c>
      <c r="E26" t="inlineStr">
        <is>
          <t>unit</t>
        </is>
      </c>
      <c r="G26" t="s">
        <v>22</v>
      </c>
      <c r="I26" t="inlineStr">
        <is>
          <t xml:space="preserve">hydrogen storage tank system, refuelling station, 125 kg hydrogen</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LN(B109)</f>
        <v>-6.2146080984221914</v>
      </c>
      <c r="K109" s="6">
        <v>1.5</v>
      </c>
      <c r="L109" s="6">
        <v>1.2</v>
      </c>
      <c r="M109" s="6">
        <v>1.5</v>
      </c>
      <c r="N109" s="6">
        <v>1.1000000000000001</v>
      </c>
      <c r="O109" s="6">
        <v>2</v>
      </c>
      <c r="P109" s="6">
        <v>1.2</v>
      </c>
      <c r="Q109">
        <v>3</v>
      </c>
      <c r="R109">
        <f>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LN(B110)</f>
        <v>-1.8325814637483102</v>
      </c>
      <c r="K110" s="6">
        <v>1.5</v>
      </c>
      <c r="L110" s="6">
        <v>1.2</v>
      </c>
      <c r="M110" s="6">
        <v>1.5</v>
      </c>
      <c r="N110" s="6">
        <v>1.1000000000000001</v>
      </c>
      <c r="O110" s="6">
        <v>2</v>
      </c>
      <c r="P110" s="6">
        <v>1.2</v>
      </c>
      <c r="Q110">
        <v>3</v>
      </c>
      <c r="R110">
        <f>LN(SQRT(EXP(
SQRT(
+POWER(LN(K110),2)
+POWER(LN(L110),2)
+POWER(LN(M110),2)
+POWER(LN(N110),2)
+POWER(LN(O110),2)
+POWER(LN(P110),2)
+POWER(LN(Q110),2)
)
)))</f>
        <v>0.72314801614797197</v>
      </c>
    </row>
    <row r="111" spans="1:20" s="8" customFormat="1" ht="16" x14ac:dyDescent="0.2">
      <c r="A111" s="13" t="s">
        <v>208</v>
      </c>
      <c r="B111" s="14">
        <v>6319.509972236697</v>
      </c>
      <c r="C111" s="8" t="s">
        <v>2</v>
      </c>
      <c r="D111" s="8" t="s">
        <v>21</v>
      </c>
      <c r="F111" s="8" t="s">
        <v>22</v>
      </c>
      <c r="G111" s="13" t="s">
        <v>68</v>
      </c>
      <c r="H111" s="8" t="s">
        <v>205</v>
      </c>
      <c r="I111" s="8">
        <v>2</v>
      </c>
      <c r="J111">
        <f>8.751396948096332</f>
        <v>8.751396948096332</v>
      </c>
      <c r="K111" s="6">
        <v>1.5</v>
      </c>
      <c r="L111" s="6">
        <v>1.2</v>
      </c>
      <c r="M111" s="6">
        <v>1.5</v>
      </c>
      <c r="N111" s="6">
        <v>1.1000000000000001</v>
      </c>
      <c r="O111" s="6">
        <v>2</v>
      </c>
      <c r="P111" s="6">
        <v>1.2</v>
      </c>
      <c r="Q111">
        <v>2</v>
      </c>
      <c r="R111">
        <f>LN(SQRT(EXP(
SQRT(
+POWER(LN(K111),2)
+POWER(LN(L111),2)
+POWER(LN(M111),2)
+POWER(LN(N111),2)
+POWER(LN(O111),2)
+POWER(LN(P111),2)
+POWER(LN(Q111),2)
)
)))</f>
        <v>0.58422518478336083</v>
      </c>
    </row>
    <row r="112" spans="1:20" s="8" customFormat="1" ht="16" x14ac:dyDescent="0.2">
      <c r="A112" s="13" t="s">
        <v>209</v>
      </c>
      <c r="B112" s="14">
        <v>103.08350894591509</v>
      </c>
      <c r="C112" s="8" t="s">
        <v>41</v>
      </c>
      <c r="D112" s="8" t="s">
        <v>184</v>
      </c>
      <c r="F112" s="8" t="s">
        <v>22</v>
      </c>
      <c r="G112" s="8" t="s">
        <v>210</v>
      </c>
      <c r="H112" s="8" t="s">
        <v>205</v>
      </c>
      <c r="I112" s="8">
        <v>2</v>
      </c>
      <c r="J112">
        <f>4.635539426201243</f>
        <v>4.635539426201243</v>
      </c>
      <c r="K112" s="6">
        <v>1.5</v>
      </c>
      <c r="L112" s="6">
        <v>1.2</v>
      </c>
      <c r="M112" s="6">
        <v>1.5</v>
      </c>
      <c r="N112" s="6">
        <v>1.1000000000000001</v>
      </c>
      <c r="O112" s="6">
        <v>2</v>
      </c>
      <c r="P112" s="6">
        <v>1.2</v>
      </c>
      <c r="Q112">
        <v>2</v>
      </c>
      <c r="R112">
        <f>LN(SQRT(EXP(
SQRT(
+POWER(LN(K112),2)
+POWER(LN(L112),2)
+POWER(LN(M112),2)
+POWER(LN(N112),2)
+POWER(LN(O112),2)
+POWER(LN(P112),2)
+POWER(LN(Q112),2)
)
)))</f>
        <v>0.58422518478336083</v>
      </c>
    </row>
    <row r="113" spans="1:20" s="8" customFormat="1" ht="16" x14ac:dyDescent="0.2">
      <c r="A113" s="8" t="inlineStr">
        <is>
          <t xml:space="preserve">aluminium-zinc coating alloy production, for galvanizing</t>
        </is>
      </c>
      <c r="B113" s="8">
        <v>75.25328256144047</v>
      </c>
      <c r="C113" s="8" t="inlineStr">
        <is>
          <t>GLO</t>
        </is>
      </c>
      <c r="D113" s="8" t="s">
        <v>21</v>
      </c>
      <c r="F113" s="8" t="s">
        <v>22</v>
      </c>
      <c r="G113" s="8" t="inlineStr">
        <is>
          <t xml:space="preserve">aluminium-zinc coating alloy, for galvanizing</t>
        </is>
      </c>
      <c r="H113" s="8" t="s">
        <v>205</v>
      </c>
      <c r="I113" s="8">
        <v>2</v>
      </c>
      <c r="J113">
        <f>4.320859524756513</f>
        <v>4.320859524756513</v>
      </c>
      <c r="K113" s="6">
        <v>1.5</v>
      </c>
      <c r="L113" s="6">
        <v>1.2</v>
      </c>
      <c r="M113" s="6">
        <v>1.5</v>
      </c>
      <c r="N113" s="6">
        <v>1.1000000000000001</v>
      </c>
      <c r="O113" s="6">
        <v>2</v>
      </c>
      <c r="P113" s="6">
        <v>1.2</v>
      </c>
      <c r="Q113">
        <v>2</v>
      </c>
      <c r="R113">
        <f>LN(SQRT(EXP(
SQRT(
+POWER(LN(K113),2)
+POWER(LN(L113),2)
+POWER(LN(M113),2)
+POWER(LN(N113),2)
+POWER(LN(O113),2)
+POWER(LN(P113),2)
+POWER(LN(Q113),2)
)
)))</f>
        <v>0.58422518478336083</v>
      </c>
    </row>
    <row r="114" spans="1:20" s="8" customFormat="1" ht="16" x14ac:dyDescent="0.2">
      <c r="A114" s="13" t="inlineStr">
        <is>
          <t xml:space="preserve">polyethylene coating production, high density, for pipelines</t>
        </is>
      </c>
      <c r="B114" s="14">
        <v>157.50767467854035</v>
      </c>
      <c r="C114" s="8" t="inlineStr">
        <is>
          <t>GLO</t>
        </is>
      </c>
      <c r="D114" s="8" t="inlineStr">
        <is>
          <t>kilogram</t>
        </is>
      </c>
      <c r="F114" s="8" t="s">
        <v>22</v>
      </c>
      <c r="G114" s="13" t="inlineStr">
        <is>
          <t xml:space="preserve">polyethylene coating, high density, for pipelines</t>
        </is>
      </c>
      <c r="H114" s="8" t="s">
        <v>205</v>
      </c>
      <c r="I114" s="8">
        <v>2</v>
      </c>
      <c r="J114">
        <f>5.059474185196228</f>
        <v>5.059474185196228</v>
      </c>
      <c r="K114" s="6">
        <v>1.5</v>
      </c>
      <c r="L114" s="6">
        <v>1.2</v>
      </c>
      <c r="M114" s="6">
        <v>1.5</v>
      </c>
      <c r="N114" s="6">
        <v>1.1000000000000001</v>
      </c>
      <c r="O114" s="6">
        <v>2</v>
      </c>
      <c r="P114" s="6">
        <v>1.2</v>
      </c>
      <c r="Q114">
        <v>2</v>
      </c>
      <c r="R114">
        <f>LN(SQRT(EXP(
SQRT(
+POWER(LN(K114),2)
+POWER(LN(L114),2)
+POWER(LN(M114),2)
+POWER(LN(N114),2)
+POWER(LN(O114),2)
+POWER(LN(P114),2)
+POWER(LN(Q114),2)
)
)))</f>
        <v>0.58422518478336083</v>
      </c>
    </row>
    <row r="115" spans="1:20" s="8" customFormat="1" ht="16" x14ac:dyDescent="0.2">
      <c r="A115" s="13" t="s">
        <v>19</v>
      </c>
      <c r="B115" s="14">
        <v>6319.509972236697</v>
      </c>
      <c r="C115" s="8" t="s">
        <v>2</v>
      </c>
      <c r="D115" s="8" t="s">
        <v>21</v>
      </c>
      <c r="F115" s="8" t="s">
        <v>22</v>
      </c>
      <c r="G115" s="13" t="s">
        <v>23</v>
      </c>
      <c r="H115" s="8" t="s">
        <v>205</v>
      </c>
      <c r="I115" s="8">
        <v>2</v>
      </c>
      <c r="J115">
        <f>8.751396948096332</f>
        <v>8.751396948096332</v>
      </c>
      <c r="K115" s="6">
        <v>1.5</v>
      </c>
      <c r="L115" s="6">
        <v>1.2</v>
      </c>
      <c r="M115" s="6">
        <v>1.5</v>
      </c>
      <c r="N115" s="6">
        <v>1.1000000000000001</v>
      </c>
      <c r="O115" s="6">
        <v>2</v>
      </c>
      <c r="P115" s="6">
        <v>1.2</v>
      </c>
      <c r="Q115">
        <v>2</v>
      </c>
      <c r="R115">
        <f>LN(SQRT(EXP(
SQRT(
+POWER(LN(K115),2)
+POWER(LN(L115),2)
+POWER(LN(M115),2)
+POWER(LN(N115),2)
+POWER(LN(O115),2)
+POWER(LN(P115),2)
+POWER(LN(Q115),2)
)
)))</f>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LN(B128)</f>
        <v>2.4849066497880004</v>
      </c>
      <c r="K128" s="6">
        <v>1.5</v>
      </c>
      <c r="L128" s="6">
        <v>1.2</v>
      </c>
      <c r="M128" s="6">
        <v>1.5</v>
      </c>
      <c r="N128" s="6">
        <v>1.1000000000000001</v>
      </c>
      <c r="O128" s="6">
        <v>2</v>
      </c>
      <c r="P128" s="6">
        <v>2</v>
      </c>
      <c r="Q128">
        <v>3</v>
      </c>
      <c r="R128">
        <f>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LN(B129)</f>
        <v>5.2470240721604862</v>
      </c>
      <c r="K129" s="6">
        <v>1.5</v>
      </c>
      <c r="L129" s="6">
        <v>1.2</v>
      </c>
      <c r="M129" s="6">
        <v>1.5</v>
      </c>
      <c r="N129" s="6">
        <v>1.1000000000000001</v>
      </c>
      <c r="O129" s="6">
        <v>2</v>
      </c>
      <c r="P129" s="6">
        <v>2</v>
      </c>
      <c r="Q129">
        <v>3</v>
      </c>
      <c r="R129">
        <f>LN(SQRT(EXP(
SQRT(
+POWER(LN(K129),2)
+POWER(LN(L129),2)
+POWER(LN(M129),2)
+POWER(LN(N129),2)
+POWER(LN(O129),2)
+POWER(LN(P129),2)
+POWER(LN(Q129),2)
)
)))</f>
        <v>0.79670949487272646</v>
      </c>
    </row>
    <row r="130" spans="1:20" s="8" customFormat="1" ht="16" x14ac:dyDescent="0.2">
      <c r="A130" s="8" t="s">
        <v>213</v>
      </c>
      <c r="B130" s="9">
        <v>22800</v>
      </c>
      <c r="C130" s="8" t="s">
        <v>66</v>
      </c>
      <c r="D130" s="8" t="s">
        <v>21</v>
      </c>
      <c r="F130" s="8" t="s">
        <v>22</v>
      </c>
      <c r="G130" s="8" t="s">
        <v>214</v>
      </c>
      <c r="H130" s="8" t="s">
        <v>212</v>
      </c>
      <c r="I130" s="8">
        <v>2</v>
      </c>
      <c r="J130">
        <f>LN(B130)</f>
        <v>10.034515814942532</v>
      </c>
      <c r="K130" s="6">
        <v>1.5</v>
      </c>
      <c r="L130" s="6">
        <v>1.2</v>
      </c>
      <c r="M130" s="6">
        <v>1.5</v>
      </c>
      <c r="N130" s="6">
        <v>1.1000000000000001</v>
      </c>
      <c r="O130" s="6">
        <v>2</v>
      </c>
      <c r="P130" s="6">
        <v>1.05</v>
      </c>
      <c r="Q130">
        <v>3</v>
      </c>
      <c r="R130">
        <f>LN(SQRT(EXP(
SQRT(
+POWER(LN(K130),2)
+POWER(LN(L130),2)
+POWER(LN(M130),2)
+POWER(LN(N130),2)
+POWER(LN(O130),2)
+POWER(LN(P130),2)
+POWER(LN(Q130),2)
)
)))</f>
        <v>0.71779376269979156</v>
      </c>
    </row>
    <row r="131" spans="1:20" s="8" customFormat="1" ht="16" x14ac:dyDescent="0.2">
      <c r="A131" s="8" t="s">
        <v>73</v>
      </c>
      <c r="B131" s="9">
        <v>935.5370155138878</v>
      </c>
      <c r="C131" s="8" t="s">
        <v>74</v>
      </c>
      <c r="D131" s="8" t="s">
        <v>75</v>
      </c>
      <c r="F131" s="8" t="s">
        <v>22</v>
      </c>
      <c r="G131" s="8" t="s">
        <v>76</v>
      </c>
      <c r="H131" s="8" t="s">
        <v>212</v>
      </c>
      <c r="I131" s="8">
        <v>2</v>
      </c>
      <c r="J131">
        <f>6.841120712557115</f>
        <v>6.841120712557115</v>
      </c>
      <c r="K131" s="6">
        <v>1.5</v>
      </c>
      <c r="L131" s="6">
        <v>1.2</v>
      </c>
      <c r="M131" s="6">
        <v>1.5</v>
      </c>
      <c r="N131" s="6">
        <v>1.1000000000000001</v>
      </c>
      <c r="O131" s="6">
        <v>2</v>
      </c>
      <c r="P131" s="6">
        <v>2</v>
      </c>
      <c r="Q131">
        <v>3</v>
      </c>
      <c r="R131">
        <f>LN(SQRT(EXP(
SQRT(
+POWER(LN(K131),2)
+POWER(LN(L131),2)
+POWER(LN(M131),2)
+POWER(LN(N131),2)
+POWER(LN(O131),2)
+POWER(LN(P131),2)
+POWER(LN(Q131),2)
)
)))</f>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-3197.3816273990687</v>
      </c>
      <c r="C144" s="8" t="s">
        <v>66</v>
      </c>
      <c r="D144" s="8" t="s">
        <v>21</v>
      </c>
      <c r="F144" s="8" t="s">
        <v>22</v>
      </c>
      <c r="G144" s="8" t="s">
        <v>67</v>
      </c>
      <c r="H144" s="8" t="s">
        <v>215</v>
      </c>
      <c r="I144" s="8">
        <v>2</v>
      </c>
      <c r="J144">
        <f>8.07008751240778</f>
        <v>8.07008751240778</v>
      </c>
      <c r="K144" s="6">
        <v>1.5</v>
      </c>
      <c r="L144" s="6">
        <v>1.2</v>
      </c>
      <c r="M144" s="6">
        <v>1.5</v>
      </c>
      <c r="N144" s="6">
        <v>1.1000000000000001</v>
      </c>
      <c r="O144" s="6">
        <v>2</v>
      </c>
      <c r="P144" s="6">
        <v>2</v>
      </c>
      <c r="Q144">
        <v>1.05</v>
      </c>
      <c r="R144">
        <f>LN(SQRT(EXP(
SQRT(
+POWER(LN(K144),2)
+POWER(LN(L144),2)
+POWER(LN(M144),2)
+POWER(LN(N144),2)
+POWER(LN(O144),2)
+POWER(LN(P144),2)
+POWER(LN(Q144),2)
)
)))</f>
        <v>0.57758453844188851</v>
      </c>
      <c r="S144" s="8" t="b">
        <v>1</v>
      </c>
    </row>
    <row r="145" spans="1:20" s="8" customFormat="1" ht="16" x14ac:dyDescent="0.2">
      <c r="A145" s="8" t="s">
        <v>216</v>
      </c>
      <c r="B145" s="8">
        <v>-78.75383733927018</v>
      </c>
      <c r="C145" s="8" t="s">
        <v>217</v>
      </c>
      <c r="D145" s="8" t="s">
        <v>21</v>
      </c>
      <c r="F145" s="8" t="s">
        <v>22</v>
      </c>
      <c r="G145" s="8" t="s">
        <v>218</v>
      </c>
      <c r="H145" s="8" t="s">
        <v>215</v>
      </c>
      <c r="I145" s="8">
        <v>2</v>
      </c>
      <c r="J145">
        <f>4.3663270046362825</f>
        <v>4.3663270046362825</v>
      </c>
      <c r="K145" s="6">
        <v>1.5</v>
      </c>
      <c r="L145" s="6">
        <v>1.2</v>
      </c>
      <c r="M145" s="6">
        <v>1.5</v>
      </c>
      <c r="N145" s="6">
        <v>1.1000000000000001</v>
      </c>
      <c r="O145" s="6">
        <v>2</v>
      </c>
      <c r="P145" s="6">
        <v>2</v>
      </c>
      <c r="Q145">
        <v>1.05</v>
      </c>
      <c r="R145">
        <f>LN(SQRT(EXP(
SQRT(
+POWER(LN(K145),2)
+POWER(LN(L145),2)
+POWER(LN(M145),2)
+POWER(LN(N145),2)
+POWER(LN(O145),2)
+POWER(LN(P145),2)
+POWER(LN(Q145),2)
)
)))</f>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LN(B158)</f>
        <v>-1.6094379124341003</v>
      </c>
      <c r="K158" s="6">
        <v>1.5</v>
      </c>
      <c r="L158" s="6">
        <v>1.2</v>
      </c>
      <c r="M158" s="6">
        <v>1.5</v>
      </c>
      <c r="N158" s="6">
        <v>1.1000000000000001</v>
      </c>
      <c r="O158" s="6">
        <v>2</v>
      </c>
      <c r="P158" s="6">
        <v>1.2</v>
      </c>
      <c r="Q158">
        <v>3</v>
      </c>
      <c r="R158">
        <f>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LN(B159)</f>
        <v>2.7725887222397811</v>
      </c>
      <c r="K159" s="6">
        <v>1.5</v>
      </c>
      <c r="L159" s="6">
        <v>1.2</v>
      </c>
      <c r="M159" s="6">
        <v>1.5</v>
      </c>
      <c r="N159" s="6">
        <v>1.1000000000000001</v>
      </c>
      <c r="O159" s="6">
        <v>2</v>
      </c>
      <c r="P159" s="6">
        <v>1.2</v>
      </c>
      <c r="Q159">
        <v>3</v>
      </c>
      <c r="R159">
        <f>LN(SQRT(EXP(
SQRT(
+POWER(LN(K159),2)
+POWER(LN(L159),2)
+POWER(LN(M159),2)
+POWER(LN(N159),2)
+POWER(LN(O159),2)
+POWER(LN(P159),2)
+POWER(LN(Q159),2)
)
)))</f>
        <v>0.72314801614797197</v>
      </c>
    </row>
    <row r="160" spans="1:20" s="8" customFormat="1" ht="16" x14ac:dyDescent="0.2">
      <c r="A160" s="13" t="s">
        <v>208</v>
      </c>
      <c r="B160" s="14">
        <v>791447.36</v>
      </c>
      <c r="C160" s="8" t="s">
        <v>2</v>
      </c>
      <c r="D160" s="8" t="s">
        <v>21</v>
      </c>
      <c r="F160" s="8" t="s">
        <v>22</v>
      </c>
      <c r="G160" s="13" t="s">
        <v>68</v>
      </c>
      <c r="H160" s="8" t="s">
        <v>205</v>
      </c>
      <c r="I160" s="8">
        <v>2</v>
      </c>
      <c r="J160">
        <f>13.581618649458564</f>
        <v>13.581618649458564</v>
      </c>
      <c r="K160" s="6">
        <v>1.5</v>
      </c>
      <c r="L160" s="6">
        <v>1.2</v>
      </c>
      <c r="M160" s="6">
        <v>1.5</v>
      </c>
      <c r="N160" s="6">
        <v>1.1000000000000001</v>
      </c>
      <c r="O160" s="6">
        <v>2</v>
      </c>
      <c r="P160" s="6">
        <v>1.2</v>
      </c>
      <c r="Q160">
        <v>2</v>
      </c>
      <c r="R160">
        <f>LN(SQRT(EXP(
SQRT(
+POWER(LN(K160),2)
+POWER(LN(L160),2)
+POWER(LN(M160),2)
+POWER(LN(N160),2)
+POWER(LN(O160),2)
+POWER(LN(P160),2)
+POWER(LN(Q160),2)
)
)))</f>
        <v>0.58422518478336083</v>
      </c>
    </row>
    <row r="161" spans="1:20" s="8" customFormat="1" ht="16" x14ac:dyDescent="0.2">
      <c r="A161" s="13" t="s">
        <v>209</v>
      </c>
      <c r="B161" s="14">
        <v>7181.68125</v>
      </c>
      <c r="C161" s="8" t="s">
        <v>41</v>
      </c>
      <c r="D161" s="8" t="s">
        <v>184</v>
      </c>
      <c r="F161" s="8" t="s">
        <v>22</v>
      </c>
      <c r="G161" s="8" t="s">
        <v>210</v>
      </c>
      <c r="H161" s="8" t="s">
        <v>205</v>
      </c>
      <c r="I161" s="8">
        <v>2</v>
      </c>
      <c r="J161">
        <f>8.879288792013325</f>
        <v>8.879288792013325</v>
      </c>
      <c r="K161" s="6">
        <v>1.5</v>
      </c>
      <c r="L161" s="6">
        <v>1.2</v>
      </c>
      <c r="M161" s="6">
        <v>1.5</v>
      </c>
      <c r="N161" s="6">
        <v>1.1000000000000001</v>
      </c>
      <c r="O161" s="6">
        <v>2</v>
      </c>
      <c r="P161" s="6">
        <v>1.2</v>
      </c>
      <c r="Q161">
        <v>2</v>
      </c>
      <c r="R161">
        <f>LN(SQRT(EXP(
SQRT(
+POWER(LN(K161),2)
+POWER(LN(L161),2)
+POWER(LN(M161),2)
+POWER(LN(N161),2)
+POWER(LN(O161),2)
+POWER(LN(P161),2)
+POWER(LN(Q161),2)
)
)))</f>
        <v>0.58422518478336083</v>
      </c>
    </row>
    <row r="162" spans="1:20" s="8" customFormat="1" ht="16" x14ac:dyDescent="0.2">
      <c r="A162" s="8" t="inlineStr">
        <is>
          <t xml:space="preserve">aluminium-zinc coating alloy production, for galvanizing</t>
        </is>
      </c>
      <c r="B162" s="8">
        <v>876.7114153394484</v>
      </c>
      <c r="C162" s="8" t="inlineStr">
        <is>
          <t>GLO</t>
        </is>
      </c>
      <c r="D162" s="8" t="s">
        <v>21</v>
      </c>
      <c r="F162" s="8" t="s">
        <v>22</v>
      </c>
      <c r="G162" s="8" t="inlineStr">
        <is>
          <t xml:space="preserve">aluminium-zinc coating alloy, for galvanizing</t>
        </is>
      </c>
      <c r="H162" s="8" t="s">
        <v>205</v>
      </c>
      <c r="I162" s="8">
        <v>2</v>
      </c>
      <c r="J162">
        <f>6.776177879314433</f>
        <v>6.776177879314433</v>
      </c>
      <c r="K162" s="6">
        <v>1.5</v>
      </c>
      <c r="L162" s="6">
        <v>1.2</v>
      </c>
      <c r="M162" s="6">
        <v>1.5</v>
      </c>
      <c r="N162" s="6">
        <v>1.1000000000000001</v>
      </c>
      <c r="O162" s="6">
        <v>2</v>
      </c>
      <c r="P162" s="6">
        <v>1.2</v>
      </c>
      <c r="Q162">
        <v>2</v>
      </c>
      <c r="R162">
        <f>LN(SQRT(EXP(
SQRT(
+POWER(LN(K162),2)
+POWER(LN(L162),2)
+POWER(LN(M162),2)
+POWER(LN(N162),2)
+POWER(LN(O162),2)
+POWER(LN(P162),2)
+POWER(LN(Q162),2)
)
)))</f>
        <v>0.58422518478336083</v>
      </c>
    </row>
    <row r="163" spans="1:20" s="8" customFormat="1" ht="16" x14ac:dyDescent="0.2">
      <c r="A163" s="13" t="inlineStr">
        <is>
          <t xml:space="preserve">polyethylene coating production, high density, for pipelines</t>
        </is>
      </c>
      <c r="B163" s="14">
        <v>5599.17</v>
      </c>
      <c r="C163" s="8" t="inlineStr">
        <is>
          <t>GLO</t>
        </is>
      </c>
      <c r="D163" s="8" t="inlineStr">
        <is>
          <t>kilogram</t>
        </is>
      </c>
      <c r="F163" s="8" t="s">
        <v>22</v>
      </c>
      <c r="G163" s="13" t="inlineStr">
        <is>
          <t xml:space="preserve">polyethylene coating, high density, for pipelines</t>
        </is>
      </c>
      <c r="H163" s="8" t="s">
        <v>205</v>
      </c>
      <c r="I163" s="8">
        <v>2</v>
      </c>
      <c r="J163">
        <f>8.630373651452704</f>
        <v>8.630373651452704</v>
      </c>
      <c r="K163" s="6">
        <v>1.5</v>
      </c>
      <c r="L163" s="6">
        <v>1.2</v>
      </c>
      <c r="M163" s="6">
        <v>1.5</v>
      </c>
      <c r="N163" s="6">
        <v>1.1000000000000001</v>
      </c>
      <c r="O163" s="6">
        <v>2</v>
      </c>
      <c r="P163" s="6">
        <v>1.2</v>
      </c>
      <c r="Q163">
        <v>2</v>
      </c>
      <c r="R163">
        <f>LN(SQRT(EXP(
SQRT(
+POWER(LN(K163),2)
+POWER(LN(L163),2)
+POWER(LN(M163),2)
+POWER(LN(N163),2)
+POWER(LN(O163),2)
+POWER(LN(P163),2)
+POWER(LN(Q163),2)
)
)))</f>
        <v>0.58422518478336083</v>
      </c>
    </row>
    <row r="164" spans="1:20" s="8" customFormat="1" ht="16" x14ac:dyDescent="0.2">
      <c r="A164" s="13" t="s">
        <v>19</v>
      </c>
      <c r="B164" s="14">
        <v>791447.36</v>
      </c>
      <c r="C164" s="8" t="s">
        <v>2</v>
      </c>
      <c r="D164" s="8" t="s">
        <v>21</v>
      </c>
      <c r="F164" s="8" t="s">
        <v>22</v>
      </c>
      <c r="G164" s="13" t="s">
        <v>23</v>
      </c>
      <c r="H164" s="8" t="s">
        <v>205</v>
      </c>
      <c r="I164" s="8">
        <v>2</v>
      </c>
      <c r="J164">
        <f>13.581618649458564</f>
        <v>13.581618649458564</v>
      </c>
      <c r="K164" s="6">
        <v>1.5</v>
      </c>
      <c r="L164" s="6">
        <v>1.2</v>
      </c>
      <c r="M164" s="6">
        <v>1.5</v>
      </c>
      <c r="N164" s="6">
        <v>1.1000000000000001</v>
      </c>
      <c r="O164" s="6">
        <v>2</v>
      </c>
      <c r="P164" s="6">
        <v>1.2</v>
      </c>
      <c r="Q164">
        <v>2</v>
      </c>
      <c r="R164">
        <f>LN(SQRT(EXP(
SQRT(
+POWER(LN(K164),2)
+POWER(LN(L164),2)
+POWER(LN(M164),2)
+POWER(LN(N164),2)
+POWER(LN(O164),2)
+POWER(LN(P164),2)
+POWER(LN(Q164),2)
)
)))</f>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LN(B177)</f>
        <v>7.0900768357760917</v>
      </c>
      <c r="K177" s="6">
        <v>1.5</v>
      </c>
      <c r="L177" s="6">
        <v>1.2</v>
      </c>
      <c r="M177" s="6">
        <v>1.5</v>
      </c>
      <c r="N177" s="6">
        <v>1.1000000000000001</v>
      </c>
      <c r="O177" s="6">
        <v>2</v>
      </c>
      <c r="P177" s="6">
        <v>2</v>
      </c>
      <c r="Q177">
        <v>3</v>
      </c>
      <c r="R177">
        <f>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LN(B178)</f>
        <v>9.8521942581485771</v>
      </c>
      <c r="K178" s="6">
        <v>1.5</v>
      </c>
      <c r="L178" s="6">
        <v>1.2</v>
      </c>
      <c r="M178" s="6">
        <v>1.5</v>
      </c>
      <c r="N178" s="6">
        <v>1.1000000000000001</v>
      </c>
      <c r="O178" s="6">
        <v>2</v>
      </c>
      <c r="P178" s="6">
        <v>2</v>
      </c>
      <c r="Q178">
        <v>3</v>
      </c>
      <c r="R178">
        <f>LN(SQRT(EXP(
SQRT(
+POWER(LN(K178),2)
+POWER(LN(L178),2)
+POWER(LN(M178),2)
+POWER(LN(N178),2)
+POWER(LN(O178),2)
+POWER(LN(P178),2)
+POWER(LN(Q178),2)
)
)))</f>
        <v>0.79670949487272646</v>
      </c>
    </row>
    <row r="179" spans="1:20" s="8" customFormat="1" ht="16" x14ac:dyDescent="0.2">
      <c r="A179" s="8" t="s">
        <v>213</v>
      </c>
      <c r="B179" s="9">
        <v>2280000</v>
      </c>
      <c r="C179" s="8" t="s">
        <v>66</v>
      </c>
      <c r="D179" s="8" t="s">
        <v>21</v>
      </c>
      <c r="F179" s="8" t="s">
        <v>22</v>
      </c>
      <c r="G179" s="8" t="s">
        <v>214</v>
      </c>
      <c r="H179" s="8" t="s">
        <v>212</v>
      </c>
      <c r="I179" s="8">
        <v>2</v>
      </c>
      <c r="J179">
        <f>LN(B179)</f>
        <v>14.639686000930624</v>
      </c>
      <c r="K179" s="6">
        <v>1.5</v>
      </c>
      <c r="L179" s="6">
        <v>1.2</v>
      </c>
      <c r="M179" s="6">
        <v>1.5</v>
      </c>
      <c r="N179" s="6">
        <v>1.1000000000000001</v>
      </c>
      <c r="O179" s="6">
        <v>2</v>
      </c>
      <c r="P179" s="6">
        <v>1.05</v>
      </c>
      <c r="Q179">
        <v>3</v>
      </c>
      <c r="R179">
        <f>LN(SQRT(EXP(
SQRT(
+POWER(LN(K179),2)
+POWER(LN(L179),2)
+POWER(LN(M179),2)
+POWER(LN(N179),2)
+POWER(LN(O179),2)
+POWER(LN(P179),2)
+POWER(LN(Q179),2)
)
)))</f>
        <v>0.71779376269979156</v>
      </c>
    </row>
    <row r="180" spans="1:20" s="8" customFormat="1" ht="16" x14ac:dyDescent="0.2">
      <c r="A180" s="8" t="s">
        <v>73</v>
      </c>
      <c r="B180" s="9">
        <v>120236.38492851063</v>
      </c>
      <c r="C180" s="8" t="s">
        <v>74</v>
      </c>
      <c r="D180" s="8" t="s">
        <v>75</v>
      </c>
      <c r="F180" s="8" t="s">
        <v>22</v>
      </c>
      <c r="G180" s="8" t="s">
        <v>76</v>
      </c>
      <c r="H180" s="8" t="s">
        <v>212</v>
      </c>
      <c r="I180" s="8">
        <v>2</v>
      </c>
      <c r="J180">
        <f>11.697214958510067</f>
        <v>11.697214958510067</v>
      </c>
      <c r="K180" s="6">
        <v>1.5</v>
      </c>
      <c r="L180" s="6">
        <v>1.2</v>
      </c>
      <c r="M180" s="6">
        <v>1.5</v>
      </c>
      <c r="N180" s="6">
        <v>1.1000000000000001</v>
      </c>
      <c r="O180" s="6">
        <v>2</v>
      </c>
      <c r="P180" s="6">
        <v>2</v>
      </c>
      <c r="Q180">
        <v>3</v>
      </c>
      <c r="R180">
        <f>LN(SQRT(EXP(
SQRT(
+POWER(LN(K180),2)
+POWER(LN(L180),2)
+POWER(LN(M180),2)
+POWER(LN(N180),2)
+POWER(LN(O180),2)
+POWER(LN(P180),2)
+POWER(LN(Q180),2)
)
)))</f>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-396162.03570766974</v>
      </c>
      <c r="C193" s="8" t="s">
        <v>66</v>
      </c>
      <c r="D193" s="8" t="s">
        <v>21</v>
      </c>
      <c r="F193" s="8" t="s">
        <v>22</v>
      </c>
      <c r="G193" s="8" t="s">
        <v>67</v>
      </c>
      <c r="H193" s="8" t="s">
        <v>215</v>
      </c>
      <c r="I193" s="8">
        <v>2</v>
      </c>
      <c r="J193">
        <f>12.889578587624843</f>
        <v>12.889578587624843</v>
      </c>
      <c r="K193" s="6">
        <v>1.5</v>
      </c>
      <c r="L193" s="6">
        <v>1.2</v>
      </c>
      <c r="M193" s="6">
        <v>1.5</v>
      </c>
      <c r="N193" s="6">
        <v>1.1000000000000001</v>
      </c>
      <c r="O193" s="6">
        <v>2</v>
      </c>
      <c r="P193" s="6">
        <v>2</v>
      </c>
      <c r="Q193">
        <v>1.05</v>
      </c>
      <c r="R193">
        <f>LN(SQRT(EXP(
SQRT(
+POWER(LN(K193),2)
+POWER(LN(L193),2)
+POWER(LN(M193),2)
+POWER(LN(N193),2)
+POWER(LN(O193),2)
+POWER(LN(P193),2)
+POWER(LN(Q193),2)
)
)))</f>
        <v>0.57758453844188851</v>
      </c>
      <c r="S193" s="8" t="b">
        <v>1</v>
      </c>
    </row>
    <row r="194" spans="1:20" s="8" customFormat="1" ht="16" x14ac:dyDescent="0.2">
      <c r="A194" s="8" t="s">
        <v>216</v>
      </c>
      <c r="B194" s="8">
        <v>-2799.585</v>
      </c>
      <c r="C194" s="8" t="s">
        <v>217</v>
      </c>
      <c r="D194" s="8" t="s">
        <v>21</v>
      </c>
      <c r="F194" s="8" t="s">
        <v>22</v>
      </c>
      <c r="G194" s="8" t="s">
        <v>218</v>
      </c>
      <c r="H194" s="8" t="s">
        <v>215</v>
      </c>
      <c r="I194" s="8">
        <v>2</v>
      </c>
      <c r="J194">
        <f>7.9372264708927585</f>
        <v>7.9372264708927585</v>
      </c>
      <c r="K194" s="6">
        <v>1.5</v>
      </c>
      <c r="L194" s="6">
        <v>1.2</v>
      </c>
      <c r="M194" s="6">
        <v>1.5</v>
      </c>
      <c r="N194" s="6">
        <v>1.1000000000000001</v>
      </c>
      <c r="O194" s="6">
        <v>2</v>
      </c>
      <c r="P194" s="6">
        <v>2</v>
      </c>
      <c r="Q194">
        <v>1.05</v>
      </c>
      <c r="R194">
        <f>LN(SQRT(EXP(
SQRT(
+POWER(LN(K194),2)
+POWER(LN(L194),2)
+POWER(LN(M194),2)
+POWER(LN(N194),2)
+POWER(LN(O194),2)
+POWER(LN(P194),2)
+POWER(LN(Q194),2)
)
)))</f>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-1.4E-5</v>
      </c>
      <c r="C207" s="8" t="s">
        <v>41</v>
      </c>
      <c r="D207" s="8" t="s">
        <v>21</v>
      </c>
      <c r="F207" s="8" t="s">
        <v>22</v>
      </c>
      <c r="G207" s="8" t="s">
        <v>154</v>
      </c>
      <c r="I207" s="8">
        <v>2</v>
      </c>
      <c r="J207">
        <f t="shared" ref="J207:J209" si="16">LN(B207*-1)</f>
        <v>-11.176453228349015</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 xml:space="preserve">hydrogen storage tank system production, refuelling station, 125 kg hydrogen</t>
        </is>
      </c>
    </row>
    <row r="368">
      <c r="A368" t="inlineStr">
        <is>
          <t>location</t>
        </is>
      </c>
      <c r="B368" t="inlineStr">
        <is>
          <t>GLO</t>
        </is>
      </c>
    </row>
    <row r="369">
      <c r="A369" t="inlineStr">
        <is>
          <t>production amount</t>
        </is>
      </c>
      <c r="B369">
        <v>1</v>
      </c>
    </row>
    <row r="370">
      <c r="A370" t="inlineStr">
        <is>
          <t>reference product</t>
        </is>
      </c>
      <c r="B370" t="inlineStr">
        <is>
          <t xml:space="preserve">hydrogen storage tank system, refuelling station, 125 kg hydrogen</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 xml:space="preserve">Nomenclature revision, 2026-10-19. Former activity name: hydrogen storage tank system, station125kg H2 capacity, engineering reference. Former reference product: hydrogen storage tank system, station125kg H2 capacity, engineering reference. Activity/product labels and supplier references only; coefficients, formulas, uncertainty, declared output and unit are unchanged. Original engineering assumptions, functional-unit basis and limitations remain below.
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 xml:space="preserve">hydrogen storage tank system production, refuelling station, 125 kg hydrogen</t>
        </is>
      </c>
      <c r="B376">
        <v>1</v>
      </c>
      <c r="C376" t="inlineStr">
        <is>
          <t>GLO</t>
        </is>
      </c>
      <c r="D376" t="inlineStr">
        <is>
          <t>unit</t>
        </is>
      </c>
      <c r="F376" t="inlineStr">
        <is>
          <t>production</t>
        </is>
      </c>
      <c r="G376" t="inlineStr">
        <is>
          <t xml:space="preserve">hydrogen storage tank system, refuelling station, 125 kg hydrogen</t>
        </is>
      </c>
      <c r="I376" t="inlineStr">
        <is>
          <t xml:space="preserve">hydrogen storage tank system, refuelling station, 125 kg hydrogen</t>
        </is>
      </c>
    </row>
    <row r="377">
      <c r="A377" t="inlineStr">
        <is>
          <t>market for sheet rolling, aluminium</t>
        </is>
      </c>
      <c r="B377">
        <v>75.0</v>
      </c>
      <c r="C377" t="inlineStr">
        <is>
          <t>GLO</t>
        </is>
      </c>
      <c r="D377" t="inlineStr">
        <is>
          <t>kilogram</t>
        </is>
      </c>
      <c r="F377" t="inlineStr">
        <is>
          <t>technosphere</t>
        </is>
      </c>
      <c r="G377" t="inlineStr">
        <is>
          <t>sheet rolling, aluminium</t>
        </is>
      </c>
      <c r="I377" t="inlineStr">
        <is>
          <t>sheet rolling, aluminium</t>
        </is>
      </c>
    </row>
    <row r="378">
      <c r="A378" t="inlineStr">
        <is>
          <t>market for aluminium, wrought alloy</t>
        </is>
      </c>
      <c r="B378">
        <v>75.0</v>
      </c>
      <c r="C378" t="inlineStr">
        <is>
          <t>GLO</t>
        </is>
      </c>
      <c r="D378" t="inlineStr">
        <is>
          <t>kilogram</t>
        </is>
      </c>
      <c r="F378" t="inlineStr">
        <is>
          <t>technosphere</t>
        </is>
      </c>
      <c r="G378" t="inlineStr">
        <is>
          <t>aluminium, wrought alloy</t>
        </is>
      </c>
      <c r="I378" t="inlineStr">
        <is>
          <t>aluminium, wrought alloy</t>
        </is>
      </c>
    </row>
    <row r="379">
      <c r="A379" t="inlineStr">
        <is>
          <t>market for sheet rolling, chromium steel</t>
        </is>
      </c>
      <c r="B379">
        <v>112.5</v>
      </c>
      <c r="C379" t="inlineStr">
        <is>
          <t>GLO</t>
        </is>
      </c>
      <c r="D379" t="inlineStr">
        <is>
          <t>kilogram</t>
        </is>
      </c>
      <c r="F379" t="inlineStr">
        <is>
          <t>technosphere</t>
        </is>
      </c>
      <c r="G379" t="inlineStr">
        <is>
          <t>sheet rolling, chromium steel</t>
        </is>
      </c>
      <c r="I379" t="inlineStr">
        <is>
          <t>sheet rolling, chromium steel</t>
        </is>
      </c>
    </row>
    <row r="380">
      <c r="A380" t="inlineStr">
        <is>
          <t>market for steel, chromium steel 18/8</t>
        </is>
      </c>
      <c r="B380">
        <v>112.5</v>
      </c>
      <c r="C380" t="inlineStr">
        <is>
          <t>GLO</t>
        </is>
      </c>
      <c r="D380" t="inlineStr">
        <is>
          <t>kilogram</t>
        </is>
      </c>
      <c r="F380" t="inlineStr">
        <is>
          <t>technosphere</t>
        </is>
      </c>
      <c r="G380" t="inlineStr">
        <is>
          <t>steel, chromium steel 18/8</t>
        </is>
      </c>
      <c r="I380" t="inlineStr">
        <is>
          <t>steel, chromium steel 18/8</t>
        </is>
      </c>
    </row>
    <row r="381">
      <c r="A381" t="inlineStr">
        <is>
          <t>carbon fiber production, weaved, at factory</t>
        </is>
      </c>
      <c r="B381">
        <v>892.5000000000001</v>
      </c>
      <c r="C381" t="inlineStr">
        <is>
          <t>RER</t>
        </is>
      </c>
      <c r="D381" t="inlineStr">
        <is>
          <t>kilogram</t>
        </is>
      </c>
      <c r="F381" t="inlineStr">
        <is>
          <t>technosphere</t>
        </is>
      </c>
      <c r="G381" t="inlineStr">
        <is>
          <t>carbon fiber, weaved</t>
        </is>
      </c>
      <c r="I381" t="inlineStr">
        <is>
          <t>carbon fiber, weaved</t>
        </is>
      </c>
    </row>
    <row r="382">
      <c r="A382" t="inlineStr">
        <is>
          <t>market for epoxy resin, liquid</t>
        </is>
      </c>
      <c r="B382">
        <v>382.5</v>
      </c>
      <c r="C382" t="inlineStr">
        <is>
          <t>RER</t>
        </is>
      </c>
      <c r="D382" t="inlineStr">
        <is>
          <t>kilogram</t>
        </is>
      </c>
      <c r="F382" t="inlineStr">
        <is>
          <t>technosphere</t>
        </is>
      </c>
      <c r="G382" t="inlineStr">
        <is>
          <t>epoxy resin, liquid</t>
        </is>
      </c>
      <c r="I382" t="inlineStr">
        <is>
          <t>epoxy resin, liquid</t>
        </is>
      </c>
    </row>
    <row r="383">
      <c r="A383" t="inlineStr">
        <is>
          <t>market group for electricity, low voltage</t>
        </is>
      </c>
      <c r="B383">
        <v>56.25</v>
      </c>
      <c r="C383" t="inlineStr">
        <is>
          <t>RER</t>
        </is>
      </c>
      <c r="D383" t="inlineStr">
        <is>
          <t>kilowatt hour</t>
        </is>
      </c>
      <c r="F383" t="inlineStr">
        <is>
          <t>technosphere</t>
        </is>
      </c>
      <c r="G383" t="inlineStr">
        <is>
          <t>electricity, low voltage</t>
        </is>
      </c>
      <c r="I383" t="inlineStr">
        <is>
          <t>electricity, low voltage</t>
        </is>
      </c>
    </row>
    <row r="384">
      <c r="A384" t="inlineStr">
        <is>
          <t>market for sheet rolling, steel</t>
        </is>
      </c>
      <c r="B384">
        <v>112.5</v>
      </c>
      <c r="C384" t="inlineStr">
        <is>
          <t>GLO</t>
        </is>
      </c>
      <c r="D384" t="inlineStr">
        <is>
          <t>kilogram</t>
        </is>
      </c>
      <c r="F384" t="inlineStr">
        <is>
          <t>technosphere</t>
        </is>
      </c>
      <c r="G384" t="inlineStr">
        <is>
          <t>sheet rolling, steel</t>
        </is>
      </c>
      <c r="I384" t="inlineStr">
        <is>
          <t>sheet rolling, steel</t>
        </is>
      </c>
    </row>
    <row r="385">
      <c r="A385" t="inlineStr">
        <is>
          <t>market for steel, low-alloyed</t>
        </is>
      </c>
      <c r="B385">
        <v>112.5</v>
      </c>
      <c r="C385" t="inlineStr">
        <is>
          <t>GLO</t>
        </is>
      </c>
      <c r="D385" t="inlineStr">
        <is>
          <t>kilogram</t>
        </is>
      </c>
      <c r="F385" t="inlineStr">
        <is>
          <t>technosphere</t>
        </is>
      </c>
      <c r="G385" t="inlineStr">
        <is>
          <t>steel, low-alloyed</t>
        </is>
      </c>
      <c r="I385" t="inlineStr">
        <is>
          <t>steel, low-alloyed</t>
        </is>
      </c>
    </row>
    <row r="388">
      <c r="A388" t="inlineStr">
        <is>
          <t>Activity</t>
        </is>
      </c>
      <c r="B388" t="inlineStr">
        <is>
          <t xml:space="preserve">aluminium-zinc coating alloy production, for galvanizing</t>
        </is>
      </c>
    </row>
    <row r="389">
      <c r="A389" t="inlineStr">
        <is>
          <t>location</t>
        </is>
      </c>
      <c r="B389" t="inlineStr">
        <is>
          <t>GLO</t>
        </is>
      </c>
    </row>
    <row r="390">
      <c r="A390" t="inlineStr">
        <is>
          <t>production amount</t>
        </is>
      </c>
      <c r="B390">
        <v>1</v>
      </c>
    </row>
    <row r="391">
      <c r="A391" t="inlineStr">
        <is>
          <t>reference product</t>
        </is>
      </c>
      <c r="B391" t="inlineStr">
        <is>
          <t xml:space="preserve">aluminium-zinc coating alloy, for galvanizing</t>
        </is>
      </c>
    </row>
    <row r="392">
      <c r="A392" t="inlineStr">
        <is>
          <t>unit</t>
        </is>
      </c>
      <c r="B392" t="inlineStr">
        <is>
          <t>kilogram</t>
        </is>
      </c>
    </row>
    <row r="393">
      <c r="A393" t="inlineStr">
        <is>
          <t>source</t>
        </is>
      </c>
      <c r="B393"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4">
      <c r="A394" t="inlineStr">
        <is>
          <t>comment</t>
        </is>
      </c>
      <c r="B394" t="inlineStr">
        <is>
          <t xml:space="preserve">Nomenclature revision, 2026-10-19. Former activity name: Galvalume coating, retained alloy mass, engineering reference. Former reference product: Galvalume coating, retained alloy mass, engineering reference. Activity/product labels and supplier references only; coefficients, formulas, uncertainty, declared output and unit are unchanged. Original engineering assumptions, functional-unit basis and limitations remain below.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5">
      <c r="A395" t="inlineStr">
        <is>
          <t>Exchanges</t>
        </is>
      </c>
    </row>
    <row r="396">
      <c r="A396" t="inlineStr">
        <is>
          <t>name</t>
        </is>
      </c>
      <c r="B396" t="inlineStr">
        <is>
          <t>amount</t>
        </is>
      </c>
      <c r="C396" t="inlineStr">
        <is>
          <t>location</t>
        </is>
      </c>
      <c r="D396" t="inlineStr">
        <is>
          <t>unit</t>
        </is>
      </c>
      <c r="E396" t="inlineStr">
        <is>
          <t>categories</t>
        </is>
      </c>
      <c r="F396" t="inlineStr">
        <is>
          <t>type</t>
        </is>
      </c>
      <c r="G396" t="inlineStr">
        <is>
          <t>reference product</t>
        </is>
      </c>
      <c r="H396" t="inlineStr">
        <is>
          <t>comment</t>
        </is>
      </c>
      <c r="I396" t="inlineStr">
        <is>
          <t>product</t>
        </is>
      </c>
    </row>
    <row r="397">
      <c r="A397" t="inlineStr">
        <is>
          <t xml:space="preserve">aluminium-zinc coating alloy production, for galvanizing</t>
        </is>
      </c>
      <c r="B397">
        <v>1</v>
      </c>
      <c r="C397" t="inlineStr">
        <is>
          <t>GLO</t>
        </is>
      </c>
      <c r="D397" t="inlineStr">
        <is>
          <t>kilogram</t>
        </is>
      </c>
      <c r="F397" t="inlineStr">
        <is>
          <t>production</t>
        </is>
      </c>
      <c r="G397" t="inlineStr">
        <is>
          <t xml:space="preserve">aluminium-zinc coating alloy, for galvanizing</t>
        </is>
      </c>
      <c r="I397" t="inlineStr">
        <is>
          <t xml:space="preserve">aluminium-zinc coating alloy, for galvanizing</t>
        </is>
      </c>
    </row>
    <row r="398">
      <c r="A398" t="inlineStr">
        <is>
          <t>market for aluminium, wrought alloy</t>
        </is>
      </c>
      <c r="B398">
        <v>0.5789473684210527</v>
      </c>
      <c r="C398" t="inlineStr">
        <is>
          <t>GLO</t>
        </is>
      </c>
      <c r="D398" t="inlineStr">
        <is>
          <t>kilogram</t>
        </is>
      </c>
      <c r="F398" t="inlineStr">
        <is>
          <t>technosphere</t>
        </is>
      </c>
      <c r="G398" t="inlineStr">
        <is>
          <t>aluminium, wrought alloy</t>
        </is>
      </c>
      <c r="I398" t="inlineStr">
        <is>
          <t>aluminium, wrought alloy</t>
        </is>
      </c>
    </row>
    <row r="399">
      <c r="A399" t="inlineStr">
        <is>
          <t>market for zinc</t>
        </is>
      </c>
      <c r="B399">
        <v>0.45684210526315794</v>
      </c>
      <c r="C399" t="inlineStr">
        <is>
          <t>GLO</t>
        </is>
      </c>
      <c r="D399" t="inlineStr">
        <is>
          <t>kilogram</t>
        </is>
      </c>
      <c r="F399" t="inlineStr">
        <is>
          <t>technosphere</t>
        </is>
      </c>
      <c r="G399" t="inlineStr">
        <is>
          <t>zinc</t>
        </is>
      </c>
      <c r="I399" t="inlineStr">
        <is>
          <t>zinc</t>
        </is>
      </c>
    </row>
    <row r="400">
      <c r="A400" t="inlineStr">
        <is>
          <t>market for silicon, metallurgical grade</t>
        </is>
      </c>
      <c r="B400">
        <v>0.016842105263157894</v>
      </c>
      <c r="C400" t="inlineStr">
        <is>
          <t>GLO</t>
        </is>
      </c>
      <c r="D400" t="inlineStr">
        <is>
          <t>kilogram</t>
        </is>
      </c>
      <c r="F400" t="inlineStr">
        <is>
          <t>technosphere</t>
        </is>
      </c>
      <c r="G400" t="inlineStr">
        <is>
          <t>silicon, metallurgical grade</t>
        </is>
      </c>
      <c r="I400" t="inlineStr">
        <is>
          <t>silicon, metallurgical grade</t>
        </is>
      </c>
    </row>
    <row r="401">
      <c r="A401" t="inlineStr">
        <is>
          <t>market for electric arc furnace dust</t>
        </is>
      </c>
      <c r="B401">
        <v>-1.4e-05</v>
      </c>
      <c r="C401" t="inlineStr">
        <is>
          <t>RER</t>
        </is>
      </c>
      <c r="D401" t="inlineStr">
        <is>
          <t>kilogram</t>
        </is>
      </c>
      <c r="F401" t="inlineStr">
        <is>
          <t>technosphere</t>
        </is>
      </c>
      <c r="G401" t="inlineStr">
        <is>
          <t>electric arc furnace dust</t>
        </is>
      </c>
      <c r="I401" t="inlineStr">
        <is>
          <t>electric arc furnace dust</t>
        </is>
      </c>
    </row>
    <row r="402">
      <c r="A402" t="inlineStr">
        <is>
          <t>treatment of waste mineral oil, hazardous waste incineration</t>
        </is>
      </c>
      <c r="B402">
        <v>-0.00016</v>
      </c>
      <c r="C402" t="inlineStr">
        <is>
          <t>Europe without Switzerland</t>
        </is>
      </c>
      <c r="D402" t="inlineStr">
        <is>
          <t>kilogram</t>
        </is>
      </c>
      <c r="F402" t="inlineStr">
        <is>
          <t>technosphere</t>
        </is>
      </c>
      <c r="G402" t="inlineStr">
        <is>
          <t>waste mineral oil</t>
        </is>
      </c>
      <c r="I402" t="inlineStr">
        <is>
          <t>waste mineral oil</t>
        </is>
      </c>
    </row>
    <row r="403">
      <c r="A403" t="inlineStr">
        <is>
          <t>market for sludge from steel rolling</t>
        </is>
      </c>
      <c r="B403">
        <v>-9.06e-05</v>
      </c>
      <c r="C403" t="inlineStr">
        <is>
          <t>GLO</t>
        </is>
      </c>
      <c r="D403" t="inlineStr">
        <is>
          <t>kilogram</t>
        </is>
      </c>
      <c r="F403" t="inlineStr">
        <is>
          <t>technosphere</t>
        </is>
      </c>
      <c r="G403" t="inlineStr">
        <is>
          <t>sludge from steel rolling</t>
        </is>
      </c>
      <c r="I403" t="inlineStr">
        <is>
          <t>sludge from steel rolling</t>
        </is>
      </c>
    </row>
    <row r="404">
      <c r="A404" t="inlineStr">
        <is>
          <t>market for water, deionised</t>
        </is>
      </c>
      <c r="B404">
        <v>0.2</v>
      </c>
      <c r="C404" t="inlineStr">
        <is>
          <t>Europe without Switzerland</t>
        </is>
      </c>
      <c r="D404" t="inlineStr">
        <is>
          <t>kilogram</t>
        </is>
      </c>
      <c r="F404" t="inlineStr">
        <is>
          <t>technosphere</t>
        </is>
      </c>
      <c r="G404" t="inlineStr">
        <is>
          <t>water, deionised</t>
        </is>
      </c>
      <c r="I404" t="inlineStr">
        <is>
          <t>water, deionised</t>
        </is>
      </c>
    </row>
    <row r="405">
      <c r="A405" t="inlineStr">
        <is>
          <t>market for chemicals, inorganic</t>
        </is>
      </c>
      <c r="B405">
        <v>0.0015</v>
      </c>
      <c r="C405" t="inlineStr">
        <is>
          <t>GLO</t>
        </is>
      </c>
      <c r="D405" t="inlineStr">
        <is>
          <t>kilogram</t>
        </is>
      </c>
      <c r="F405" t="inlineStr">
        <is>
          <t>technosphere</t>
        </is>
      </c>
      <c r="G405" t="inlineStr">
        <is>
          <t>chemical, inorganic</t>
        </is>
      </c>
      <c r="I405" t="inlineStr">
        <is>
          <t>chemical, inorganic</t>
        </is>
      </c>
    </row>
    <row r="406">
      <c r="A406" t="inlineStr">
        <is>
          <t>market for aluminium sulfate, powder</t>
        </is>
      </c>
      <c r="B406">
        <v>9.06e-07</v>
      </c>
      <c r="C406" t="inlineStr">
        <is>
          <t>RER</t>
        </is>
      </c>
      <c r="D406" t="inlineStr">
        <is>
          <t>kilogram</t>
        </is>
      </c>
      <c r="F406" t="inlineStr">
        <is>
          <t>technosphere</t>
        </is>
      </c>
      <c r="G406" t="inlineStr">
        <is>
          <t>aluminium sulfate, powder</t>
        </is>
      </c>
      <c r="I406" t="inlineStr">
        <is>
          <t>aluminium sulfate, powder</t>
        </is>
      </c>
    </row>
    <row r="407">
      <c r="A407" t="inlineStr">
        <is>
          <t>market for ammonia, anhydrous, liquid</t>
        </is>
      </c>
      <c r="B407">
        <v>3.5999999999999994e-05</v>
      </c>
      <c r="C407" t="inlineStr">
        <is>
          <t>RER</t>
        </is>
      </c>
      <c r="D407" t="inlineStr">
        <is>
          <t>kilogram</t>
        </is>
      </c>
      <c r="F407" t="inlineStr">
        <is>
          <t>technosphere</t>
        </is>
      </c>
      <c r="G407" t="inlineStr">
        <is>
          <t>ammonia, anhydrous, liquid</t>
        </is>
      </c>
      <c r="I407" t="inlineStr">
        <is>
          <t>ammonia, anhydrous, liquid</t>
        </is>
      </c>
    </row>
    <row r="408">
      <c r="A408" t="inlineStr">
        <is>
          <t>heat production, light fuel oil, at boiler 100kW, non-modulating</t>
        </is>
      </c>
      <c r="B408">
        <v>0.768</v>
      </c>
      <c r="C408" t="inlineStr">
        <is>
          <t>Europe without Switzerland</t>
        </is>
      </c>
      <c r="D408" t="inlineStr">
        <is>
          <t>megajoule</t>
        </is>
      </c>
      <c r="F408" t="inlineStr">
        <is>
          <t>technosphere</t>
        </is>
      </c>
      <c r="G408" t="inlineStr">
        <is>
          <t>heat, central or small-scale, other than natural gas</t>
        </is>
      </c>
      <c r="I408" t="inlineStr">
        <is>
          <t>heat, central or small-scale, other than natural gas</t>
        </is>
      </c>
    </row>
    <row r="409">
      <c r="A409" t="inlineStr">
        <is>
          <t>market for heat, from steam, in chemical industry</t>
        </is>
      </c>
      <c r="B409">
        <v>0.0201</v>
      </c>
      <c r="C409" t="inlineStr">
        <is>
          <t>RER</t>
        </is>
      </c>
      <c r="D409" t="inlineStr">
        <is>
          <t>megajoule</t>
        </is>
      </c>
      <c r="F409" t="inlineStr">
        <is>
          <t>technosphere</t>
        </is>
      </c>
      <c r="G409" t="inlineStr">
        <is>
          <t>heat, from steam, in chemical industry</t>
        </is>
      </c>
      <c r="I409" t="inlineStr">
        <is>
          <t>heat, from steam, in chemical industry</t>
        </is>
      </c>
    </row>
    <row r="410">
      <c r="A410" t="inlineStr">
        <is>
          <t>market for hydrochloric acid, without water, in 30% solution state</t>
        </is>
      </c>
      <c r="B410">
        <v>0.0222</v>
      </c>
      <c r="C410" t="inlineStr">
        <is>
          <t>RER</t>
        </is>
      </c>
      <c r="D410" t="inlineStr">
        <is>
          <t>kilogram</t>
        </is>
      </c>
      <c r="F410" t="inlineStr">
        <is>
          <t>technosphere</t>
        </is>
      </c>
      <c r="G410" t="inlineStr">
        <is>
          <t>hydrochloric acid, without water, in 30% solution state</t>
        </is>
      </c>
      <c r="I410" t="inlineStr">
        <is>
          <t>hydrochloric acid, without water, in 30% solution state</t>
        </is>
      </c>
    </row>
    <row r="411">
      <c r="A411" t="inlineStr">
        <is>
          <t>market for heat, central or small-scale, natural gas</t>
        </is>
      </c>
      <c r="B411">
        <v>0.768</v>
      </c>
      <c r="C411" t="inlineStr">
        <is>
          <t>Europe without Switzerland</t>
        </is>
      </c>
      <c r="D411" t="inlineStr">
        <is>
          <t>megajoule</t>
        </is>
      </c>
      <c r="F411" t="inlineStr">
        <is>
          <t>technosphere</t>
        </is>
      </c>
      <c r="G411" t="inlineStr">
        <is>
          <t>heat, central or small-scale, natural gas</t>
        </is>
      </c>
      <c r="I411" t="inlineStr">
        <is>
          <t>heat, central or small-scale, natural gas</t>
        </is>
      </c>
    </row>
    <row r="412">
      <c r="A412" t="inlineStr">
        <is>
          <t>market for rolling mill</t>
        </is>
      </c>
      <c r="B412">
        <v>1.63e-13</v>
      </c>
      <c r="C412" t="inlineStr">
        <is>
          <t>GLO</t>
        </is>
      </c>
      <c r="D412" t="inlineStr">
        <is>
          <t>unit</t>
        </is>
      </c>
      <c r="F412" t="inlineStr">
        <is>
          <t>technosphere</t>
        </is>
      </c>
      <c r="G412" t="inlineStr">
        <is>
          <t>rolling mill</t>
        </is>
      </c>
      <c r="I412" t="inlineStr">
        <is>
          <t>rolling mill</t>
        </is>
      </c>
    </row>
    <row r="413">
      <c r="A413" t="inlineStr">
        <is>
          <t>market for soda ash, light, crystalline, heptahydrate</t>
        </is>
      </c>
      <c r="B413">
        <v>1</v>
      </c>
      <c r="C413" t="inlineStr">
        <is>
          <t>GLO</t>
        </is>
      </c>
      <c r="D413" t="inlineStr">
        <is>
          <t>kilogram</t>
        </is>
      </c>
      <c r="F413" t="inlineStr">
        <is>
          <t>technosphere</t>
        </is>
      </c>
      <c r="G413" t="inlineStr">
        <is>
          <t>soda ash, light, crystalline, heptahydrate</t>
        </is>
      </c>
      <c r="I413" t="inlineStr">
        <is>
          <t>soda ash, light, crystalline, heptahydrate</t>
        </is>
      </c>
    </row>
    <row r="414">
      <c r="A414" t="inlineStr">
        <is>
          <t>market for sodium hydroxide, without water, in 50% solution state</t>
        </is>
      </c>
      <c r="B414">
        <v>0.00038</v>
      </c>
      <c r="C414" t="inlineStr">
        <is>
          <t>GLO</t>
        </is>
      </c>
      <c r="D414" t="inlineStr">
        <is>
          <t>kilogram</t>
        </is>
      </c>
      <c r="F414" t="inlineStr">
        <is>
          <t>technosphere</t>
        </is>
      </c>
      <c r="G414" t="inlineStr">
        <is>
          <t>sodium hydroxide, without water, in 50% solution state</t>
        </is>
      </c>
      <c r="I414" t="inlineStr">
        <is>
          <t>sodium hydroxide, without water, in 50% solution state</t>
        </is>
      </c>
    </row>
    <row r="415">
      <c r="A415" t="inlineStr">
        <is>
          <t>market for transport, freight, lorry, unspecified</t>
        </is>
      </c>
      <c r="B415">
        <v>0.008039999999999999</v>
      </c>
      <c r="C415" t="inlineStr">
        <is>
          <t>RER</t>
        </is>
      </c>
      <c r="D415" t="inlineStr">
        <is>
          <t>ton kilometer</t>
        </is>
      </c>
      <c r="F415" t="inlineStr">
        <is>
          <t>technosphere</t>
        </is>
      </c>
      <c r="G415" t="inlineStr">
        <is>
          <t>transport, freight, lorry, unspecified</t>
        </is>
      </c>
      <c r="I415" t="inlineStr">
        <is>
          <t>transport, freight, lorry, unspecified</t>
        </is>
      </c>
    </row>
    <row r="416">
      <c r="A416" t="inlineStr">
        <is>
          <t>market group for electricity, low voltage</t>
        </is>
      </c>
      <c r="B416">
        <v>0.02033333333333333</v>
      </c>
      <c r="C416" t="inlineStr">
        <is>
          <t>RER</t>
        </is>
      </c>
      <c r="D416" t="inlineStr">
        <is>
          <t>kilowatt hour</t>
        </is>
      </c>
      <c r="F416" t="inlineStr">
        <is>
          <t>technosphere</t>
        </is>
      </c>
      <c r="G416" t="inlineStr">
        <is>
          <t>electricity, low voltage</t>
        </is>
      </c>
      <c r="I416" t="inlineStr">
        <is>
          <t>electricity, low voltage</t>
        </is>
      </c>
    </row>
    <row r="417">
      <c r="A417" t="inlineStr">
        <is>
          <t>market for hazardous waste, for incineration</t>
        </is>
      </c>
      <c r="B417">
        <v>-0.052602178947368364</v>
      </c>
      <c r="C417" t="inlineStr">
        <is>
          <t>RoW</t>
        </is>
      </c>
      <c r="D417" t="inlineStr">
        <is>
          <t>kilogram</t>
        </is>
      </c>
      <c r="F417" t="inlineStr">
        <is>
          <t>technosphere</t>
        </is>
      </c>
      <c r="G417" t="inlineStr">
        <is>
          <t>hazardous waste, for incineration</t>
        </is>
      </c>
      <c r="I417" t="inlineStr">
        <is>
          <t>hazardous waste, for incineration</t>
        </is>
      </c>
    </row>
    <row r="418">
      <c r="A418" t="inlineStr">
        <is>
          <t>market group for electricity, medium voltage</t>
        </is>
      </c>
      <c r="B418">
        <v>1</v>
      </c>
      <c r="C418" t="inlineStr">
        <is>
          <t>GLO</t>
        </is>
      </c>
      <c r="D418" t="inlineStr">
        <is>
          <t>kilowatt hour</t>
        </is>
      </c>
      <c r="F418" t="inlineStr">
        <is>
          <t>technosphere</t>
        </is>
      </c>
      <c r="G418" t="inlineStr">
        <is>
          <t>electricity, medium voltage</t>
        </is>
      </c>
      <c r="I418" t="inlineStr">
        <is>
          <t>electricity, medium voltage</t>
        </is>
      </c>
    </row>
    <row r="419">
      <c r="A419" t="inlineStr">
        <is>
          <t>Ammonia</t>
        </is>
      </c>
      <c r="B419">
        <v>4.36e-05</v>
      </c>
      <c r="D419" t="inlineStr">
        <is>
          <t>kilogram</t>
        </is>
      </c>
      <c r="E419" t="inlineStr">
        <is>
          <t>air</t>
        </is>
      </c>
      <c r="F419" t="inlineStr">
        <is>
          <t>biosphere</t>
        </is>
      </c>
      <c r="H419" t="inlineStr">
        <is>
          <t/>
        </is>
      </c>
    </row>
    <row r="420">
      <c r="A420" t="inlineStr">
        <is>
          <t>Arsenic ion</t>
        </is>
      </c>
      <c r="B420">
        <v>1.9000000000000002e-10</v>
      </c>
      <c r="D420" t="inlineStr">
        <is>
          <t>kilogram</t>
        </is>
      </c>
      <c r="E420" t="inlineStr">
        <is>
          <t>air</t>
        </is>
      </c>
      <c r="F420" t="inlineStr">
        <is>
          <t>biosphere</t>
        </is>
      </c>
      <c r="H420" t="inlineStr">
        <is>
          <t/>
        </is>
      </c>
    </row>
    <row r="421">
      <c r="A421" t="inlineStr">
        <is>
          <t>BOD5, Biological Oxygen Demand</t>
        </is>
      </c>
      <c r="B421">
        <v>1.32e-05</v>
      </c>
      <c r="D421" t="inlineStr">
        <is>
          <t>kilogram</t>
        </is>
      </c>
      <c r="E421" t="inlineStr">
        <is>
          <t>water::ground-</t>
        </is>
      </c>
      <c r="F421" t="inlineStr">
        <is>
          <t>biosphere</t>
        </is>
      </c>
      <c r="H421" t="inlineStr">
        <is>
          <t/>
        </is>
      </c>
    </row>
    <row r="422">
      <c r="A422" t="inlineStr">
        <is>
          <t>Cadmium II</t>
        </is>
      </c>
      <c r="B422">
        <v>1.31e-09</v>
      </c>
      <c r="D422" t="inlineStr">
        <is>
          <t>kilogram</t>
        </is>
      </c>
      <c r="E422" t="inlineStr">
        <is>
          <t>air</t>
        </is>
      </c>
      <c r="F422" t="inlineStr">
        <is>
          <t>biosphere</t>
        </is>
      </c>
      <c r="H422" t="inlineStr">
        <is>
          <t/>
        </is>
      </c>
    </row>
    <row r="423">
      <c r="A423" t="inlineStr">
        <is>
          <t>COD, Chemical Oxygen Demand</t>
        </is>
      </c>
      <c r="B423">
        <v>0.000132</v>
      </c>
      <c r="D423" t="inlineStr">
        <is>
          <t>kilogram</t>
        </is>
      </c>
      <c r="E423" t="inlineStr">
        <is>
          <t>water::ground-</t>
        </is>
      </c>
      <c r="F423" t="inlineStr">
        <is>
          <t>biosphere</t>
        </is>
      </c>
      <c r="H423" t="inlineStr">
        <is>
          <t/>
        </is>
      </c>
    </row>
    <row r="424">
      <c r="A424" t="inlineStr">
        <is>
          <t>Chloride</t>
        </is>
      </c>
      <c r="B424">
        <v>1.88e-06</v>
      </c>
      <c r="D424" t="inlineStr">
        <is>
          <t>kilogram</t>
        </is>
      </c>
      <c r="E424" t="inlineStr">
        <is>
          <t>water::ground-</t>
        </is>
      </c>
      <c r="F424" t="inlineStr">
        <is>
          <t>biosphere</t>
        </is>
      </c>
      <c r="H424" t="inlineStr">
        <is>
          <t/>
        </is>
      </c>
    </row>
    <row r="425">
      <c r="A425" t="inlineStr">
        <is>
          <t>Chromium VI</t>
        </is>
      </c>
      <c r="B425">
        <v>7.6e-09</v>
      </c>
      <c r="D425" t="inlineStr">
        <is>
          <t>kilogram</t>
        </is>
      </c>
      <c r="E425" t="inlineStr">
        <is>
          <t>water::ground-</t>
        </is>
      </c>
      <c r="F425" t="inlineStr">
        <is>
          <t>biosphere</t>
        </is>
      </c>
      <c r="H425" t="inlineStr">
        <is>
          <t/>
        </is>
      </c>
    </row>
    <row r="426">
      <c r="A426" t="inlineStr">
        <is>
          <t>Particulate Matter, &gt; 10 um</t>
        </is>
      </c>
      <c r="B426">
        <v>0.000157</v>
      </c>
      <c r="D426" t="inlineStr">
        <is>
          <t>kilogram</t>
        </is>
      </c>
      <c r="E426" t="inlineStr">
        <is>
          <t>air</t>
        </is>
      </c>
      <c r="F426" t="inlineStr">
        <is>
          <t>biosphere</t>
        </is>
      </c>
      <c r="H426" t="inlineStr">
        <is>
          <t/>
        </is>
      </c>
    </row>
    <row r="427">
      <c r="A427" t="inlineStr">
        <is>
          <t>Particulate Matter, &gt; 2.5 um and &lt; 10um</t>
        </is>
      </c>
      <c r="B427">
        <v>0.00762</v>
      </c>
      <c r="D427" t="inlineStr">
        <is>
          <t>kilogram</t>
        </is>
      </c>
      <c r="E427" t="inlineStr">
        <is>
          <t>air</t>
        </is>
      </c>
      <c r="F427" t="inlineStr">
        <is>
          <t>biosphere</t>
        </is>
      </c>
      <c r="H427" t="inlineStr">
        <is>
          <t/>
        </is>
      </c>
    </row>
    <row r="428">
      <c r="A428" t="inlineStr">
        <is>
          <t>Hydrocarbons, unspecified</t>
        </is>
      </c>
      <c r="B428">
        <v>1.1900000000000001e-07</v>
      </c>
      <c r="D428" t="inlineStr">
        <is>
          <t>kilogram</t>
        </is>
      </c>
      <c r="E428" t="inlineStr">
        <is>
          <t>water::ground-</t>
        </is>
      </c>
      <c r="F428" t="inlineStr">
        <is>
          <t>biosphere</t>
        </is>
      </c>
      <c r="H428" t="inlineStr">
        <is>
          <t/>
        </is>
      </c>
    </row>
    <row r="429">
      <c r="A429" t="inlineStr">
        <is>
          <t>Hydrochloric acid</t>
        </is>
      </c>
      <c r="B429">
        <v>1.83e-05</v>
      </c>
      <c r="D429" t="inlineStr">
        <is>
          <t>kilogram</t>
        </is>
      </c>
      <c r="E429" t="inlineStr">
        <is>
          <t>air</t>
        </is>
      </c>
      <c r="F429" t="inlineStr">
        <is>
          <t>biosphere</t>
        </is>
      </c>
      <c r="H429" t="inlineStr">
        <is>
          <t/>
        </is>
      </c>
    </row>
    <row r="430">
      <c r="A430" t="inlineStr">
        <is>
          <t>Iron ion</t>
        </is>
      </c>
      <c r="B430">
        <v>1.4e-06</v>
      </c>
      <c r="D430" t="inlineStr">
        <is>
          <t>kilogram</t>
        </is>
      </c>
      <c r="E430" t="inlineStr">
        <is>
          <t>air</t>
        </is>
      </c>
      <c r="F430" t="inlineStr">
        <is>
          <t>biosphere</t>
        </is>
      </c>
      <c r="H430" t="inlineStr">
        <is>
          <t/>
        </is>
      </c>
    </row>
    <row r="431">
      <c r="A431" t="inlineStr">
        <is>
          <t>Iron ion</t>
        </is>
      </c>
      <c r="B431">
        <v>5.649999999999999e-06</v>
      </c>
      <c r="D431" t="inlineStr">
        <is>
          <t>kilogram</t>
        </is>
      </c>
      <c r="E431" t="inlineStr">
        <is>
          <t>water::ground-</t>
        </is>
      </c>
      <c r="F431" t="inlineStr">
        <is>
          <t>biosphere</t>
        </is>
      </c>
      <c r="H431" t="inlineStr">
        <is>
          <t/>
        </is>
      </c>
    </row>
    <row r="432">
      <c r="A432" t="inlineStr">
        <is>
          <t>Lead II</t>
        </is>
      </c>
      <c r="B432">
        <v>3.4000000000000003e-09</v>
      </c>
      <c r="D432" t="inlineStr">
        <is>
          <t>kilogram</t>
        </is>
      </c>
      <c r="E432" t="inlineStr">
        <is>
          <t>air</t>
        </is>
      </c>
      <c r="F432" t="inlineStr">
        <is>
          <t>biosphere</t>
        </is>
      </c>
      <c r="H432" t="inlineStr">
        <is>
          <t/>
        </is>
      </c>
    </row>
    <row r="433">
      <c r="A433" t="inlineStr">
        <is>
          <t>Lead II</t>
        </is>
      </c>
      <c r="B433">
        <v>1.51e-09</v>
      </c>
      <c r="D433" t="inlineStr">
        <is>
          <t>kilogram</t>
        </is>
      </c>
      <c r="E433" t="inlineStr">
        <is>
          <t>water::ground-</t>
        </is>
      </c>
      <c r="F433" t="inlineStr">
        <is>
          <t>biosphere</t>
        </is>
      </c>
      <c r="H433" t="inlineStr">
        <is>
          <t/>
        </is>
      </c>
    </row>
    <row r="434">
      <c r="A434" t="inlineStr">
        <is>
          <t>Nickel II</t>
        </is>
      </c>
      <c r="B434">
        <v>9.999999999999999e-10</v>
      </c>
      <c r="D434" t="inlineStr">
        <is>
          <t>kilogram</t>
        </is>
      </c>
      <c r="E434" t="inlineStr">
        <is>
          <t>water::ground-</t>
        </is>
      </c>
      <c r="F434" t="inlineStr">
        <is>
          <t>biosphere</t>
        </is>
      </c>
      <c r="H434" t="inlineStr">
        <is>
          <t/>
        </is>
      </c>
    </row>
    <row r="435">
      <c r="A435" t="inlineStr">
        <is>
          <t>Oils, unspecified</t>
        </is>
      </c>
      <c r="B435">
        <v>1.0399999999999999e-07</v>
      </c>
      <c r="D435" t="inlineStr">
        <is>
          <t>kilogram</t>
        </is>
      </c>
      <c r="E435" t="inlineStr">
        <is>
          <t>water::ground-</t>
        </is>
      </c>
      <c r="F435" t="inlineStr">
        <is>
          <t>biosphere</t>
        </is>
      </c>
      <c r="H435" t="inlineStr">
        <is>
          <t/>
        </is>
      </c>
    </row>
    <row r="436">
      <c r="A436" t="inlineStr">
        <is>
          <t>Phosphorus</t>
        </is>
      </c>
      <c r="B436">
        <v>9.000000000000001e-08</v>
      </c>
      <c r="D436" t="inlineStr">
        <is>
          <t>kilogram</t>
        </is>
      </c>
      <c r="E436" t="inlineStr">
        <is>
          <t>water::ground-</t>
        </is>
      </c>
      <c r="F436" t="inlineStr">
        <is>
          <t>biosphere</t>
        </is>
      </c>
      <c r="H436" t="inlineStr">
        <is>
          <t/>
        </is>
      </c>
    </row>
    <row r="437">
      <c r="A437" t="inlineStr">
        <is>
          <t>Suspended solids, unspecified</t>
        </is>
      </c>
      <c r="B437">
        <v>2.24e-07</v>
      </c>
      <c r="D437" t="inlineStr">
        <is>
          <t>kilogram</t>
        </is>
      </c>
      <c r="E437" t="inlineStr">
        <is>
          <t>water::ground-</t>
        </is>
      </c>
      <c r="F437" t="inlineStr">
        <is>
          <t>biosphere</t>
        </is>
      </c>
      <c r="H437" t="inlineStr">
        <is>
          <t/>
        </is>
      </c>
    </row>
    <row r="438">
      <c r="A438" t="inlineStr">
        <is>
          <t>TOC, Total Organic Carbon</t>
        </is>
      </c>
      <c r="B438">
        <v>2.97e-07</v>
      </c>
      <c r="D438" t="inlineStr">
        <is>
          <t>kilogram</t>
        </is>
      </c>
      <c r="E438" t="inlineStr">
        <is>
          <t>water::ground-</t>
        </is>
      </c>
      <c r="F438" t="inlineStr">
        <is>
          <t>biosphere</t>
        </is>
      </c>
      <c r="H438" t="inlineStr">
        <is>
          <t/>
        </is>
      </c>
    </row>
    <row r="439">
      <c r="A439" t="inlineStr">
        <is>
          <t>Zinc II</t>
        </is>
      </c>
      <c r="B439">
        <v>2.75e-05</v>
      </c>
      <c r="D439" t="inlineStr">
        <is>
          <t>kilogram</t>
        </is>
      </c>
      <c r="E439" t="inlineStr">
        <is>
          <t>air</t>
        </is>
      </c>
      <c r="F439" t="inlineStr">
        <is>
          <t>biosphere</t>
        </is>
      </c>
      <c r="H439" t="inlineStr">
        <is>
          <t/>
        </is>
      </c>
    </row>
    <row r="440">
      <c r="A440" t="inlineStr">
        <is>
          <t>Zinc II</t>
        </is>
      </c>
      <c r="B440">
        <v>1.9e-06</v>
      </c>
      <c r="D440" t="inlineStr">
        <is>
          <t>kilogram</t>
        </is>
      </c>
      <c r="E440" t="inlineStr">
        <is>
          <t>water::ground-</t>
        </is>
      </c>
      <c r="F440" t="inlineStr">
        <is>
          <t>biosphere</t>
        </is>
      </c>
      <c r="H440" t="inlineStr">
        <is>
          <t/>
        </is>
      </c>
    </row>
    <row r="443">
      <c r="A443" t="inlineStr">
        <is>
          <t>Activity</t>
        </is>
      </c>
      <c r="B443" t="inlineStr">
        <is>
          <t xml:space="preserve">polyethylene coating production, high density, for pipelines</t>
        </is>
      </c>
    </row>
    <row r="444">
      <c r="A444" t="inlineStr">
        <is>
          <t>location</t>
        </is>
      </c>
      <c r="B444" t="inlineStr">
        <is>
          <t>GLO</t>
        </is>
      </c>
    </row>
    <row r="445">
      <c r="A445" t="inlineStr">
        <is>
          <t>production amount</t>
        </is>
      </c>
      <c r="B445">
        <v>1</v>
      </c>
    </row>
    <row r="446">
      <c r="A446" t="inlineStr">
        <is>
          <t>reference product</t>
        </is>
      </c>
      <c r="B446" t="inlineStr">
        <is>
          <t xml:space="preserve">polyethylene coating, high density, for pipelines</t>
        </is>
      </c>
    </row>
    <row r="447">
      <c r="A447" t="inlineStr">
        <is>
          <t>unit</t>
        </is>
      </c>
      <c r="B447" t="inlineStr">
        <is>
          <t>kilogram</t>
        </is>
      </c>
    </row>
    <row r="448">
      <c r="A448" t="inlineStr">
        <is>
          <t>source</t>
        </is>
      </c>
      <c r="B448" t="inlineStr">
        <is>
          <t>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t>
        </is>
      </c>
    </row>
    <row r="449">
      <c r="A449" t="inlineStr">
        <is>
          <t>comment</t>
        </is>
      </c>
      <c r="B449" t="inlineStr">
        <is>
          <t xml:space="preserve">Nomenclature revision, 2026-10-19. Former activity name: HDPE pipeline coat, material and extrusion, engineering reference. Former reference product: HDPE pipeline coat, material and extrusion, engineering reference. Activity/product labels and supplier references only; coefficients, formulas, uncertainty, declared output and unit are unchanged. Original engineering assumptions, functional-unit basis and limitations remain below.
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row>
    <row r="450">
      <c r="A450" t="inlineStr">
        <is>
          <t>Exchanges</t>
        </is>
      </c>
    </row>
    <row r="451">
      <c r="A451" t="inlineStr">
        <is>
          <t>name</t>
        </is>
      </c>
      <c r="B451" t="inlineStr">
        <is>
          <t>amount</t>
        </is>
      </c>
      <c r="C451" t="inlineStr">
        <is>
          <t>location</t>
        </is>
      </c>
      <c r="D451" t="inlineStr">
        <is>
          <t>unit</t>
        </is>
      </c>
      <c r="E451" t="inlineStr">
        <is>
          <t>categories</t>
        </is>
      </c>
      <c r="F451" t="inlineStr">
        <is>
          <t>type</t>
        </is>
      </c>
      <c r="G451" t="inlineStr">
        <is>
          <t>reference product</t>
        </is>
      </c>
      <c r="H451" t="inlineStr">
        <is>
          <t>comment</t>
        </is>
      </c>
      <c r="I451" t="inlineStr">
        <is>
          <t>product</t>
        </is>
      </c>
    </row>
    <row r="452">
      <c r="A452" t="inlineStr">
        <is>
          <t xml:space="preserve">polyethylene coating production, high density, for pipelines</t>
        </is>
      </c>
      <c r="B452">
        <v>1</v>
      </c>
      <c r="C452" t="inlineStr">
        <is>
          <t>GLO</t>
        </is>
      </c>
      <c r="D452" t="inlineStr">
        <is>
          <t>kilogram</t>
        </is>
      </c>
      <c r="F452" t="inlineStr">
        <is>
          <t>production</t>
        </is>
      </c>
      <c r="G452" t="inlineStr">
        <is>
          <t xml:space="preserve">polyethylene coating, high density, for pipelines</t>
        </is>
      </c>
      <c r="I452" t="inlineStr">
        <is>
          <t xml:space="preserve">polyethylene coating, high density, for pipelines</t>
        </is>
      </c>
    </row>
    <row r="453">
      <c r="A453" t="inlineStr">
        <is>
          <t>market for polyethylene, high density, granulate</t>
        </is>
      </c>
      <c r="B453">
        <v>1</v>
      </c>
      <c r="C453" t="inlineStr">
        <is>
          <t>GLO</t>
        </is>
      </c>
      <c r="D453" t="inlineStr">
        <is>
          <t>kilogram</t>
        </is>
      </c>
      <c r="F453" t="inlineStr">
        <is>
          <t>technosphere</t>
        </is>
      </c>
      <c r="G453" t="inlineStr">
        <is>
          <t>polyethylene, high density, granulate</t>
        </is>
      </c>
      <c r="I453" t="inlineStr">
        <is>
          <t>polyethylene, high density, granulate</t>
        </is>
      </c>
    </row>
    <row r="454">
      <c r="A454" t="inlineStr">
        <is>
          <t>extrusion, plastic film</t>
        </is>
      </c>
      <c r="B454">
        <v>1</v>
      </c>
      <c r="C454" t="inlineStr">
        <is>
          <t>RER</t>
        </is>
      </c>
      <c r="D454" t="inlineStr">
        <is>
          <t>kilogram</t>
        </is>
      </c>
      <c r="F454" t="inlineStr">
        <is>
          <t>technosphere</t>
        </is>
      </c>
      <c r="G454" t="inlineStr">
        <is>
          <t>extrusion, plastic film</t>
        </is>
      </c>
      <c r="I454" t="inlineStr">
        <is>
          <t>extrusion, plastic film</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