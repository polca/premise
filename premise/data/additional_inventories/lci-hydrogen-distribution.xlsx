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<sst xmlns="http://schemas.openxmlformats.org/spreadsheetml/2006/main" count="1423" uniqueCount="259">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</sst>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54"/>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inlineStr">
        <is>
          <t xml:space="preserve">hydrogen storage tank system production, refuelling station, 125 kg hydrogen</t>
        </is>
      </c>
      <c r="B26">
        <v>2</v>
      </c>
      <c r="C26" t="s">
        <v>17</v>
      </c>
      <c r="D26" t="inlineStr">
        <is>
          <t>GLO</t>
        </is>
      </c>
      <c r="E26" t="inlineStr">
        <is>
          <t>unit</t>
        </is>
      </c>
      <c r="G26" t="s">
        <v>22</v>
      </c>
      <c r="I26" t="inlineStr">
        <is>
          <t xml:space="preserve">hydrogen storage tank system, refuelling station, 125 kg hydrogen</t>
        </is>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LN(B109)</f>
        <v>-6.2146080984221914</v>
      </c>
      <c r="K109" s="6">
        <v>1.5</v>
      </c>
      <c r="L109" s="6">
        <v>1.2</v>
      </c>
      <c r="M109" s="6">
        <v>1.5</v>
      </c>
      <c r="N109" s="6">
        <v>1.1000000000000001</v>
      </c>
      <c r="O109" s="6">
        <v>2</v>
      </c>
      <c r="P109" s="6">
        <v>1.2</v>
      </c>
      <c r="Q109">
        <v>3</v>
      </c>
      <c r="R109">
        <f>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LN(B110)</f>
        <v>-1.8325814637483102</v>
      </c>
      <c r="K110" s="6">
        <v>1.5</v>
      </c>
      <c r="L110" s="6">
        <v>1.2</v>
      </c>
      <c r="M110" s="6">
        <v>1.5</v>
      </c>
      <c r="N110" s="6">
        <v>1.1000000000000001</v>
      </c>
      <c r="O110" s="6">
        <v>2</v>
      </c>
      <c r="P110" s="6">
        <v>1.2</v>
      </c>
      <c r="Q110">
        <v>3</v>
      </c>
      <c r="R110">
        <f>LN(SQRT(EXP(
SQRT(
+POWER(LN(K110),2)
+POWER(LN(L110),2)
+POWER(LN(M110),2)
+POWER(LN(N110),2)
+POWER(LN(O110),2)
+POWER(LN(P110),2)
+POWER(LN(Q110),2)
)
)))</f>
        <v>0.72314801614797197</v>
      </c>
    </row>
    <row r="111" spans="1:20" s="8" customFormat="1" ht="16" x14ac:dyDescent="0.2">
      <c r="A111" s="13" t="s">
        <v>208</v>
      </c>
      <c r="B111" s="14">
        <v>6319.509972236697</v>
      </c>
      <c r="C111" s="8" t="s">
        <v>2</v>
      </c>
      <c r="D111" s="8" t="s">
        <v>21</v>
      </c>
      <c r="F111" s="8" t="s">
        <v>22</v>
      </c>
      <c r="G111" s="13" t="s">
        <v>68</v>
      </c>
      <c r="H111" s="8" t="s">
        <v>205</v>
      </c>
      <c r="I111" s="8">
        <v>2</v>
      </c>
      <c r="J111">
        <f>8.751396948096332</f>
        <v>8.751396948096332</v>
      </c>
      <c r="K111" s="6">
        <v>1.5</v>
      </c>
      <c r="L111" s="6">
        <v>1.2</v>
      </c>
      <c r="M111" s="6">
        <v>1.5</v>
      </c>
      <c r="N111" s="6">
        <v>1.1000000000000001</v>
      </c>
      <c r="O111" s="6">
        <v>2</v>
      </c>
      <c r="P111" s="6">
        <v>1.2</v>
      </c>
      <c r="Q111">
        <v>2</v>
      </c>
      <c r="R111">
        <f>LN(SQRT(EXP(
SQRT(
+POWER(LN(K111),2)
+POWER(LN(L111),2)
+POWER(LN(M111),2)
+POWER(LN(N111),2)
+POWER(LN(O111),2)
+POWER(LN(P111),2)
+POWER(LN(Q111),2)
)
)))</f>
        <v>0.58422518478336083</v>
      </c>
    </row>
    <row r="112" spans="1:20" s="8" customFormat="1" ht="16" x14ac:dyDescent="0.2">
      <c r="A112" s="13" t="s">
        <v>209</v>
      </c>
      <c r="B112" s="14">
        <v>103.08350894591509</v>
      </c>
      <c r="C112" s="8" t="s">
        <v>41</v>
      </c>
      <c r="D112" s="8" t="s">
        <v>184</v>
      </c>
      <c r="F112" s="8" t="s">
        <v>22</v>
      </c>
      <c r="G112" s="8" t="s">
        <v>210</v>
      </c>
      <c r="H112" s="8" t="s">
        <v>205</v>
      </c>
      <c r="I112" s="8">
        <v>2</v>
      </c>
      <c r="J112">
        <f>4.635539426201243</f>
        <v>4.635539426201243</v>
      </c>
      <c r="K112" s="6">
        <v>1.5</v>
      </c>
      <c r="L112" s="6">
        <v>1.2</v>
      </c>
      <c r="M112" s="6">
        <v>1.5</v>
      </c>
      <c r="N112" s="6">
        <v>1.1000000000000001</v>
      </c>
      <c r="O112" s="6">
        <v>2</v>
      </c>
      <c r="P112" s="6">
        <v>1.2</v>
      </c>
      <c r="Q112">
        <v>2</v>
      </c>
      <c r="R112">
        <f>LN(SQRT(EXP(
SQRT(
+POWER(LN(K112),2)
+POWER(LN(L112),2)
+POWER(LN(M112),2)
+POWER(LN(N112),2)
+POWER(LN(O112),2)
+POWER(LN(P112),2)
+POWER(LN(Q112),2)
)
)))</f>
        <v>0.58422518478336083</v>
      </c>
    </row>
    <row r="113" spans="1:20" s="8" customFormat="1" ht="16" x14ac:dyDescent="0.2">
      <c r="A113" s="8" t="inlineStr">
        <is>
          <t xml:space="preserve">aluminium-zinc coating alloy production, for galvanizing</t>
        </is>
      </c>
      <c r="B113" s="8">
        <v>75.25328256144047</v>
      </c>
      <c r="C113" s="8" t="inlineStr">
        <is>
          <t>GLO</t>
        </is>
      </c>
      <c r="D113" s="8" t="s">
        <v>21</v>
      </c>
      <c r="F113" s="8" t="s">
        <v>22</v>
      </c>
      <c r="G113" s="8" t="inlineStr">
        <is>
          <t xml:space="preserve">aluminium-zinc coating alloy, for galvanizing</t>
        </is>
      </c>
      <c r="H113" s="8" t="s">
        <v>205</v>
      </c>
      <c r="I113" s="8">
        <v>2</v>
      </c>
      <c r="J113">
        <f>4.320859524756513</f>
        <v>4.320859524756513</v>
      </c>
      <c r="K113" s="6">
        <v>1.5</v>
      </c>
      <c r="L113" s="6">
        <v>1.2</v>
      </c>
      <c r="M113" s="6">
        <v>1.5</v>
      </c>
      <c r="N113" s="6">
        <v>1.1000000000000001</v>
      </c>
      <c r="O113" s="6">
        <v>2</v>
      </c>
      <c r="P113" s="6">
        <v>1.2</v>
      </c>
      <c r="Q113">
        <v>2</v>
      </c>
      <c r="R113">
        <f>LN(SQRT(EXP(
SQRT(
+POWER(LN(K113),2)
+POWER(LN(L113),2)
+POWER(LN(M113),2)
+POWER(LN(N113),2)
+POWER(LN(O113),2)
+POWER(LN(P113),2)
+POWER(LN(Q113),2)
)
)))</f>
        <v>0.58422518478336083</v>
      </c>
    </row>
    <row r="114" spans="1:20" s="8" customFormat="1" ht="16" x14ac:dyDescent="0.2">
      <c r="A114" s="13" t="inlineStr">
        <is>
          <t xml:space="preserve">polyethylene coating production, high density, for pipelines</t>
        </is>
      </c>
      <c r="B114" s="14">
        <v>157.50767467854035</v>
      </c>
      <c r="C114" s="8" t="inlineStr">
        <is>
          <t>GLO</t>
        </is>
      </c>
      <c r="D114" s="8" t="inlineStr">
        <is>
          <t>kilogram</t>
        </is>
      </c>
      <c r="F114" s="8" t="s">
        <v>22</v>
      </c>
      <c r="G114" s="13" t="inlineStr">
        <is>
          <t xml:space="preserve">polyethylene coating, high density, for pipelines</t>
        </is>
      </c>
      <c r="H114" s="8" t="s">
        <v>205</v>
      </c>
      <c r="I114" s="8">
        <v>2</v>
      </c>
      <c r="J114">
        <f>5.059474185196228</f>
        <v>5.059474185196228</v>
      </c>
      <c r="K114" s="6">
        <v>1.5</v>
      </c>
      <c r="L114" s="6">
        <v>1.2</v>
      </c>
      <c r="M114" s="6">
        <v>1.5</v>
      </c>
      <c r="N114" s="6">
        <v>1.1000000000000001</v>
      </c>
      <c r="O114" s="6">
        <v>2</v>
      </c>
      <c r="P114" s="6">
        <v>1.2</v>
      </c>
      <c r="Q114">
        <v>2</v>
      </c>
      <c r="R114">
        <f>LN(SQRT(EXP(
SQRT(
+POWER(LN(K114),2)
+POWER(LN(L114),2)
+POWER(LN(M114),2)
+POWER(LN(N114),2)
+POWER(LN(O114),2)
+POWER(LN(P114),2)
+POWER(LN(Q114),2)
)
)))</f>
        <v>0.58422518478336083</v>
      </c>
    </row>
    <row r="115" spans="1:20" s="8" customFormat="1" ht="16" x14ac:dyDescent="0.2">
      <c r="A115" s="13" t="s">
        <v>19</v>
      </c>
      <c r="B115" s="14">
        <v>6319.509972236697</v>
      </c>
      <c r="C115" s="8" t="s">
        <v>2</v>
      </c>
      <c r="D115" s="8" t="s">
        <v>21</v>
      </c>
      <c r="F115" s="8" t="s">
        <v>22</v>
      </c>
      <c r="G115" s="13" t="s">
        <v>23</v>
      </c>
      <c r="H115" s="8" t="s">
        <v>205</v>
      </c>
      <c r="I115" s="8">
        <v>2</v>
      </c>
      <c r="J115">
        <f>8.751396948096332</f>
        <v>8.751396948096332</v>
      </c>
      <c r="K115" s="6">
        <v>1.5</v>
      </c>
      <c r="L115" s="6">
        <v>1.2</v>
      </c>
      <c r="M115" s="6">
        <v>1.5</v>
      </c>
      <c r="N115" s="6">
        <v>1.1000000000000001</v>
      </c>
      <c r="O115" s="6">
        <v>2</v>
      </c>
      <c r="P115" s="6">
        <v>1.2</v>
      </c>
      <c r="Q115">
        <v>2</v>
      </c>
      <c r="R115">
        <f>LN(SQRT(EXP(
SQRT(
+POWER(LN(K115),2)
+POWER(LN(L115),2)
+POWER(LN(M115),2)
+POWER(LN(N115),2)
+POWER(LN(O115),2)
+POWER(LN(P115),2)
+POWER(LN(Q115),2)
)
)))</f>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LN(B128)</f>
        <v>2.4849066497880004</v>
      </c>
      <c r="K128" s="6">
        <v>1.5</v>
      </c>
      <c r="L128" s="6">
        <v>1.2</v>
      </c>
      <c r="M128" s="6">
        <v>1.5</v>
      </c>
      <c r="N128" s="6">
        <v>1.1000000000000001</v>
      </c>
      <c r="O128" s="6">
        <v>2</v>
      </c>
      <c r="P128" s="6">
        <v>2</v>
      </c>
      <c r="Q128">
        <v>3</v>
      </c>
      <c r="R128">
        <f>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LN(B129)</f>
        <v>5.2470240721604862</v>
      </c>
      <c r="K129" s="6">
        <v>1.5</v>
      </c>
      <c r="L129" s="6">
        <v>1.2</v>
      </c>
      <c r="M129" s="6">
        <v>1.5</v>
      </c>
      <c r="N129" s="6">
        <v>1.1000000000000001</v>
      </c>
      <c r="O129" s="6">
        <v>2</v>
      </c>
      <c r="P129" s="6">
        <v>2</v>
      </c>
      <c r="Q129">
        <v>3</v>
      </c>
      <c r="R129">
        <f>LN(SQRT(EXP(
SQRT(
+POWER(LN(K129),2)
+POWER(LN(L129),2)
+POWER(LN(M129),2)
+POWER(LN(N129),2)
+POWER(LN(O129),2)
+POWER(LN(P129),2)
+POWER(LN(Q129),2)
)
)))</f>
        <v>0.79670949487272646</v>
      </c>
    </row>
    <row r="130" spans="1:20" s="8" customFormat="1" ht="16" x14ac:dyDescent="0.2">
      <c r="A130" s="8" t="s">
        <v>213</v>
      </c>
      <c r="B130" s="9">
        <v>22800</v>
      </c>
      <c r="C130" s="8" t="s">
        <v>66</v>
      </c>
      <c r="D130" s="8" t="s">
        <v>21</v>
      </c>
      <c r="F130" s="8" t="s">
        <v>22</v>
      </c>
      <c r="G130" s="8" t="s">
        <v>214</v>
      </c>
      <c r="H130" s="8" t="s">
        <v>212</v>
      </c>
      <c r="I130" s="8">
        <v>2</v>
      </c>
      <c r="J130">
        <f>LN(B130)</f>
        <v>10.034515814942532</v>
      </c>
      <c r="K130" s="6">
        <v>1.5</v>
      </c>
      <c r="L130" s="6">
        <v>1.2</v>
      </c>
      <c r="M130" s="6">
        <v>1.5</v>
      </c>
      <c r="N130" s="6">
        <v>1.1000000000000001</v>
      </c>
      <c r="O130" s="6">
        <v>2</v>
      </c>
      <c r="P130" s="6">
        <v>1.05</v>
      </c>
      <c r="Q130">
        <v>3</v>
      </c>
      <c r="R130">
        <f>LN(SQRT(EXP(
SQRT(
+POWER(LN(K130),2)
+POWER(LN(L130),2)
+POWER(LN(M130),2)
+POWER(LN(N130),2)
+POWER(LN(O130),2)
+POWER(LN(P130),2)
+POWER(LN(Q130),2)
)
)))</f>
        <v>0.71779376269979156</v>
      </c>
    </row>
    <row r="131" spans="1:20" s="8" customFormat="1" ht="16" x14ac:dyDescent="0.2">
      <c r="A131" s="8" t="s">
        <v>73</v>
      </c>
      <c r="B131" s="9">
        <v>935.5370155138878</v>
      </c>
      <c r="C131" s="8" t="s">
        <v>74</v>
      </c>
      <c r="D131" s="8" t="s">
        <v>75</v>
      </c>
      <c r="F131" s="8" t="s">
        <v>22</v>
      </c>
      <c r="G131" s="8" t="s">
        <v>76</v>
      </c>
      <c r="H131" s="8" t="s">
        <v>212</v>
      </c>
      <c r="I131" s="8">
        <v>2</v>
      </c>
      <c r="J131">
        <f>6.841120712557115</f>
        <v>6.841120712557115</v>
      </c>
      <c r="K131" s="6">
        <v>1.5</v>
      </c>
      <c r="L131" s="6">
        <v>1.2</v>
      </c>
      <c r="M131" s="6">
        <v>1.5</v>
      </c>
      <c r="N131" s="6">
        <v>1.1000000000000001</v>
      </c>
      <c r="O131" s="6">
        <v>2</v>
      </c>
      <c r="P131" s="6">
        <v>2</v>
      </c>
      <c r="Q131">
        <v>3</v>
      </c>
      <c r="R131">
        <f>LN(SQRT(EXP(
SQRT(
+POWER(LN(K131),2)
+POWER(LN(L131),2)
+POWER(LN(M131),2)
+POWER(LN(N131),2)
+POWER(LN(O131),2)
+POWER(LN(P131),2)
+POWER(LN(Q131),2)
)
)))</f>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-3197.3816273990687</v>
      </c>
      <c r="C144" s="8" t="s">
        <v>66</v>
      </c>
      <c r="D144" s="8" t="s">
        <v>21</v>
      </c>
      <c r="F144" s="8" t="s">
        <v>22</v>
      </c>
      <c r="G144" s="8" t="s">
        <v>67</v>
      </c>
      <c r="H144" s="8" t="s">
        <v>215</v>
      </c>
      <c r="I144" s="8">
        <v>2</v>
      </c>
      <c r="J144">
        <f>8.07008751240778</f>
        <v>8.07008751240778</v>
      </c>
      <c r="K144" s="6">
        <v>1.5</v>
      </c>
      <c r="L144" s="6">
        <v>1.2</v>
      </c>
      <c r="M144" s="6">
        <v>1.5</v>
      </c>
      <c r="N144" s="6">
        <v>1.1000000000000001</v>
      </c>
      <c r="O144" s="6">
        <v>2</v>
      </c>
      <c r="P144" s="6">
        <v>2</v>
      </c>
      <c r="Q144">
        <v>1.05</v>
      </c>
      <c r="R144">
        <f>LN(SQRT(EXP(
SQRT(
+POWER(LN(K144),2)
+POWER(LN(L144),2)
+POWER(LN(M144),2)
+POWER(LN(N144),2)
+POWER(LN(O144),2)
+POWER(LN(P144),2)
+POWER(LN(Q144),2)
)
)))</f>
        <v>0.57758453844188851</v>
      </c>
      <c r="S144" s="8" t="b">
        <v>1</v>
      </c>
    </row>
    <row r="145" spans="1:20" s="8" customFormat="1" ht="16" x14ac:dyDescent="0.2">
      <c r="A145" s="8" t="s">
        <v>216</v>
      </c>
      <c r="B145" s="8">
        <v>-78.75383733927018</v>
      </c>
      <c r="C145" s="8" t="s">
        <v>217</v>
      </c>
      <c r="D145" s="8" t="s">
        <v>21</v>
      </c>
      <c r="F145" s="8" t="s">
        <v>22</v>
      </c>
      <c r="G145" s="8" t="s">
        <v>218</v>
      </c>
      <c r="H145" s="8" t="s">
        <v>215</v>
      </c>
      <c r="I145" s="8">
        <v>2</v>
      </c>
      <c r="J145">
        <f>4.3663270046362825</f>
        <v>4.3663270046362825</v>
      </c>
      <c r="K145" s="6">
        <v>1.5</v>
      </c>
      <c r="L145" s="6">
        <v>1.2</v>
      </c>
      <c r="M145" s="6">
        <v>1.5</v>
      </c>
      <c r="N145" s="6">
        <v>1.1000000000000001</v>
      </c>
      <c r="O145" s="6">
        <v>2</v>
      </c>
      <c r="P145" s="6">
        <v>2</v>
      </c>
      <c r="Q145">
        <v>1.05</v>
      </c>
      <c r="R145">
        <f>LN(SQRT(EXP(
SQRT(
+POWER(LN(K145),2)
+POWER(LN(L145),2)
+POWER(LN(M145),2)
+POWER(LN(N145),2)
+POWER(LN(O145),2)
+POWER(LN(P145),2)
+POWER(LN(Q145),2)
)
)))</f>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LN(B158)</f>
        <v>-1.6094379124341003</v>
      </c>
      <c r="K158" s="6">
        <v>1.5</v>
      </c>
      <c r="L158" s="6">
        <v>1.2</v>
      </c>
      <c r="M158" s="6">
        <v>1.5</v>
      </c>
      <c r="N158" s="6">
        <v>1.1000000000000001</v>
      </c>
      <c r="O158" s="6">
        <v>2</v>
      </c>
      <c r="P158" s="6">
        <v>1.2</v>
      </c>
      <c r="Q158">
        <v>3</v>
      </c>
      <c r="R158">
        <f>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LN(B159)</f>
        <v>2.7725887222397811</v>
      </c>
      <c r="K159" s="6">
        <v>1.5</v>
      </c>
      <c r="L159" s="6">
        <v>1.2</v>
      </c>
      <c r="M159" s="6">
        <v>1.5</v>
      </c>
      <c r="N159" s="6">
        <v>1.1000000000000001</v>
      </c>
      <c r="O159" s="6">
        <v>2</v>
      </c>
      <c r="P159" s="6">
        <v>1.2</v>
      </c>
      <c r="Q159">
        <v>3</v>
      </c>
      <c r="R159">
        <f>LN(SQRT(EXP(
SQRT(
+POWER(LN(K159),2)
+POWER(LN(L159),2)
+POWER(LN(M159),2)
+POWER(LN(N159),2)
+POWER(LN(O159),2)
+POWER(LN(P159),2)
+POWER(LN(Q159),2)
)
)))</f>
        <v>0.72314801614797197</v>
      </c>
    </row>
    <row r="160" spans="1:20" s="8" customFormat="1" ht="16" x14ac:dyDescent="0.2">
      <c r="A160" s="13" t="s">
        <v>208</v>
      </c>
      <c r="B160" s="14">
        <v>791447.36</v>
      </c>
      <c r="C160" s="8" t="s">
        <v>2</v>
      </c>
      <c r="D160" s="8" t="s">
        <v>21</v>
      </c>
      <c r="F160" s="8" t="s">
        <v>22</v>
      </c>
      <c r="G160" s="13" t="s">
        <v>68</v>
      </c>
      <c r="H160" s="8" t="s">
        <v>205</v>
      </c>
      <c r="I160" s="8">
        <v>2</v>
      </c>
      <c r="J160">
        <f>13.581618649458564</f>
        <v>13.581618649458564</v>
      </c>
      <c r="K160" s="6">
        <v>1.5</v>
      </c>
      <c r="L160" s="6">
        <v>1.2</v>
      </c>
      <c r="M160" s="6">
        <v>1.5</v>
      </c>
      <c r="N160" s="6">
        <v>1.1000000000000001</v>
      </c>
      <c r="O160" s="6">
        <v>2</v>
      </c>
      <c r="P160" s="6">
        <v>1.2</v>
      </c>
      <c r="Q160">
        <v>2</v>
      </c>
      <c r="R160">
        <f>LN(SQRT(EXP(
SQRT(
+POWER(LN(K160),2)
+POWER(LN(L160),2)
+POWER(LN(M160),2)
+POWER(LN(N160),2)
+POWER(LN(O160),2)
+POWER(LN(P160),2)
+POWER(LN(Q160),2)
)
)))</f>
        <v>0.58422518478336083</v>
      </c>
    </row>
    <row r="161" spans="1:20" s="8" customFormat="1" ht="16" x14ac:dyDescent="0.2">
      <c r="A161" s="13" t="s">
        <v>209</v>
      </c>
      <c r="B161" s="14">
        <v>7181.68125</v>
      </c>
      <c r="C161" s="8" t="s">
        <v>41</v>
      </c>
      <c r="D161" s="8" t="s">
        <v>184</v>
      </c>
      <c r="F161" s="8" t="s">
        <v>22</v>
      </c>
      <c r="G161" s="8" t="s">
        <v>210</v>
      </c>
      <c r="H161" s="8" t="s">
        <v>205</v>
      </c>
      <c r="I161" s="8">
        <v>2</v>
      </c>
      <c r="J161">
        <f>8.879288792013325</f>
        <v>8.879288792013325</v>
      </c>
      <c r="K161" s="6">
        <v>1.5</v>
      </c>
      <c r="L161" s="6">
        <v>1.2</v>
      </c>
      <c r="M161" s="6">
        <v>1.5</v>
      </c>
      <c r="N161" s="6">
        <v>1.1000000000000001</v>
      </c>
      <c r="O161" s="6">
        <v>2</v>
      </c>
      <c r="P161" s="6">
        <v>1.2</v>
      </c>
      <c r="Q161">
        <v>2</v>
      </c>
      <c r="R161">
        <f>LN(SQRT(EXP(
SQRT(
+POWER(LN(K161),2)
+POWER(LN(L161),2)
+POWER(LN(M161),2)
+POWER(LN(N161),2)
+POWER(LN(O161),2)
+POWER(LN(P161),2)
+POWER(LN(Q161),2)
)
)))</f>
        <v>0.58422518478336083</v>
      </c>
    </row>
    <row r="162" spans="1:20" s="8" customFormat="1" ht="16" x14ac:dyDescent="0.2">
      <c r="A162" s="8" t="inlineStr">
        <is>
          <t xml:space="preserve">aluminium-zinc coating alloy production, for galvanizing</t>
        </is>
      </c>
      <c r="B162" s="8">
        <v>876.7114153394484</v>
      </c>
      <c r="C162" s="8" t="inlineStr">
        <is>
          <t>GLO</t>
        </is>
      </c>
      <c r="D162" s="8" t="s">
        <v>21</v>
      </c>
      <c r="F162" s="8" t="s">
        <v>22</v>
      </c>
      <c r="G162" s="8" t="inlineStr">
        <is>
          <t xml:space="preserve">aluminium-zinc coating alloy, for galvanizing</t>
        </is>
      </c>
      <c r="H162" s="8" t="s">
        <v>205</v>
      </c>
      <c r="I162" s="8">
        <v>2</v>
      </c>
      <c r="J162">
        <f>6.776177879314433</f>
        <v>6.776177879314433</v>
      </c>
      <c r="K162" s="6">
        <v>1.5</v>
      </c>
      <c r="L162" s="6">
        <v>1.2</v>
      </c>
      <c r="M162" s="6">
        <v>1.5</v>
      </c>
      <c r="N162" s="6">
        <v>1.1000000000000001</v>
      </c>
      <c r="O162" s="6">
        <v>2</v>
      </c>
      <c r="P162" s="6">
        <v>1.2</v>
      </c>
      <c r="Q162">
        <v>2</v>
      </c>
      <c r="R162">
        <f>LN(SQRT(EXP(
SQRT(
+POWER(LN(K162),2)
+POWER(LN(L162),2)
+POWER(LN(M162),2)
+POWER(LN(N162),2)
+POWER(LN(O162),2)
+POWER(LN(P162),2)
+POWER(LN(Q162),2)
)
)))</f>
        <v>0.58422518478336083</v>
      </c>
    </row>
    <row r="163" spans="1:20" s="8" customFormat="1" ht="16" x14ac:dyDescent="0.2">
      <c r="A163" s="13" t="inlineStr">
        <is>
          <t xml:space="preserve">polyethylene coating production, high density, for pipelines</t>
        </is>
      </c>
      <c r="B163" s="14">
        <v>5599.17</v>
      </c>
      <c r="C163" s="8" t="inlineStr">
        <is>
          <t>GLO</t>
        </is>
      </c>
      <c r="D163" s="8" t="inlineStr">
        <is>
          <t>kilogram</t>
        </is>
      </c>
      <c r="F163" s="8" t="s">
        <v>22</v>
      </c>
      <c r="G163" s="13" t="inlineStr">
        <is>
          <t xml:space="preserve">polyethylene coating, high density, for pipelines</t>
        </is>
      </c>
      <c r="H163" s="8" t="s">
        <v>205</v>
      </c>
      <c r="I163" s="8">
        <v>2</v>
      </c>
      <c r="J163">
        <f>8.630373651452704</f>
        <v>8.630373651452704</v>
      </c>
      <c r="K163" s="6">
        <v>1.5</v>
      </c>
      <c r="L163" s="6">
        <v>1.2</v>
      </c>
      <c r="M163" s="6">
        <v>1.5</v>
      </c>
      <c r="N163" s="6">
        <v>1.1000000000000001</v>
      </c>
      <c r="O163" s="6">
        <v>2</v>
      </c>
      <c r="P163" s="6">
        <v>1.2</v>
      </c>
      <c r="Q163">
        <v>2</v>
      </c>
      <c r="R163">
        <f>LN(SQRT(EXP(
SQRT(
+POWER(LN(K163),2)
+POWER(LN(L163),2)
+POWER(LN(M163),2)
+POWER(LN(N163),2)
+POWER(LN(O163),2)
+POWER(LN(P163),2)
+POWER(LN(Q163),2)
)
)))</f>
        <v>0.58422518478336083</v>
      </c>
    </row>
    <row r="164" spans="1:20" s="8" customFormat="1" ht="16" x14ac:dyDescent="0.2">
      <c r="A164" s="13" t="s">
        <v>19</v>
      </c>
      <c r="B164" s="14">
        <v>791447.36</v>
      </c>
      <c r="C164" s="8" t="s">
        <v>2</v>
      </c>
      <c r="D164" s="8" t="s">
        <v>21</v>
      </c>
      <c r="F164" s="8" t="s">
        <v>22</v>
      </c>
      <c r="G164" s="13" t="s">
        <v>23</v>
      </c>
      <c r="H164" s="8" t="s">
        <v>205</v>
      </c>
      <c r="I164" s="8">
        <v>2</v>
      </c>
      <c r="J164">
        <f>13.581618649458564</f>
        <v>13.581618649458564</v>
      </c>
      <c r="K164" s="6">
        <v>1.5</v>
      </c>
      <c r="L164" s="6">
        <v>1.2</v>
      </c>
      <c r="M164" s="6">
        <v>1.5</v>
      </c>
      <c r="N164" s="6">
        <v>1.1000000000000001</v>
      </c>
      <c r="O164" s="6">
        <v>2</v>
      </c>
      <c r="P164" s="6">
        <v>1.2</v>
      </c>
      <c r="Q164">
        <v>2</v>
      </c>
      <c r="R164">
        <f>LN(SQRT(EXP(
SQRT(
+POWER(LN(K164),2)
+POWER(LN(L164),2)
+POWER(LN(M164),2)
+POWER(LN(N164),2)
+POWER(LN(O164),2)
+POWER(LN(P164),2)
+POWER(LN(Q164),2)
)
)))</f>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LN(B177)</f>
        <v>7.0900768357760917</v>
      </c>
      <c r="K177" s="6">
        <v>1.5</v>
      </c>
      <c r="L177" s="6">
        <v>1.2</v>
      </c>
      <c r="M177" s="6">
        <v>1.5</v>
      </c>
      <c r="N177" s="6">
        <v>1.1000000000000001</v>
      </c>
      <c r="O177" s="6">
        <v>2</v>
      </c>
      <c r="P177" s="6">
        <v>2</v>
      </c>
      <c r="Q177">
        <v>3</v>
      </c>
      <c r="R177">
        <f>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LN(B178)</f>
        <v>9.8521942581485771</v>
      </c>
      <c r="K178" s="6">
        <v>1.5</v>
      </c>
      <c r="L178" s="6">
        <v>1.2</v>
      </c>
      <c r="M178" s="6">
        <v>1.5</v>
      </c>
      <c r="N178" s="6">
        <v>1.1000000000000001</v>
      </c>
      <c r="O178" s="6">
        <v>2</v>
      </c>
      <c r="P178" s="6">
        <v>2</v>
      </c>
      <c r="Q178">
        <v>3</v>
      </c>
      <c r="R178">
        <f>LN(SQRT(EXP(
SQRT(
+POWER(LN(K178),2)
+POWER(LN(L178),2)
+POWER(LN(M178),2)
+POWER(LN(N178),2)
+POWER(LN(O178),2)
+POWER(LN(P178),2)
+POWER(LN(Q178),2)
)
)))</f>
        <v>0.79670949487272646</v>
      </c>
    </row>
    <row r="179" spans="1:20" s="8" customFormat="1" ht="16" x14ac:dyDescent="0.2">
      <c r="A179" s="8" t="s">
        <v>213</v>
      </c>
      <c r="B179" s="9">
        <v>2280000</v>
      </c>
      <c r="C179" s="8" t="s">
        <v>66</v>
      </c>
      <c r="D179" s="8" t="s">
        <v>21</v>
      </c>
      <c r="F179" s="8" t="s">
        <v>22</v>
      </c>
      <c r="G179" s="8" t="s">
        <v>214</v>
      </c>
      <c r="H179" s="8" t="s">
        <v>212</v>
      </c>
      <c r="I179" s="8">
        <v>2</v>
      </c>
      <c r="J179">
        <f>LN(B179)</f>
        <v>14.639686000930624</v>
      </c>
      <c r="K179" s="6">
        <v>1.5</v>
      </c>
      <c r="L179" s="6">
        <v>1.2</v>
      </c>
      <c r="M179" s="6">
        <v>1.5</v>
      </c>
      <c r="N179" s="6">
        <v>1.1000000000000001</v>
      </c>
      <c r="O179" s="6">
        <v>2</v>
      </c>
      <c r="P179" s="6">
        <v>1.05</v>
      </c>
      <c r="Q179">
        <v>3</v>
      </c>
      <c r="R179">
        <f>LN(SQRT(EXP(
SQRT(
+POWER(LN(K179),2)
+POWER(LN(L179),2)
+POWER(LN(M179),2)
+POWER(LN(N179),2)
+POWER(LN(O179),2)
+POWER(LN(P179),2)
+POWER(LN(Q179),2)
)
)))</f>
        <v>0.71779376269979156</v>
      </c>
    </row>
    <row r="180" spans="1:20" s="8" customFormat="1" ht="16" x14ac:dyDescent="0.2">
      <c r="A180" s="8" t="s">
        <v>73</v>
      </c>
      <c r="B180" s="9">
        <v>120236.38492851063</v>
      </c>
      <c r="C180" s="8" t="s">
        <v>74</v>
      </c>
      <c r="D180" s="8" t="s">
        <v>75</v>
      </c>
      <c r="F180" s="8" t="s">
        <v>22</v>
      </c>
      <c r="G180" s="8" t="s">
        <v>76</v>
      </c>
      <c r="H180" s="8" t="s">
        <v>212</v>
      </c>
      <c r="I180" s="8">
        <v>2</v>
      </c>
      <c r="J180">
        <f>11.697214958510067</f>
        <v>11.697214958510067</v>
      </c>
      <c r="K180" s="6">
        <v>1.5</v>
      </c>
      <c r="L180" s="6">
        <v>1.2</v>
      </c>
      <c r="M180" s="6">
        <v>1.5</v>
      </c>
      <c r="N180" s="6">
        <v>1.1000000000000001</v>
      </c>
      <c r="O180" s="6">
        <v>2</v>
      </c>
      <c r="P180" s="6">
        <v>2</v>
      </c>
      <c r="Q180">
        <v>3</v>
      </c>
      <c r="R180">
        <f>LN(SQRT(EXP(
SQRT(
+POWER(LN(K180),2)
+POWER(LN(L180),2)
+POWER(LN(M180),2)
+POWER(LN(N180),2)
+POWER(LN(O180),2)
+POWER(LN(P180),2)
+POWER(LN(Q180),2)
)
)))</f>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inlineStr">
        <is>
          <t>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-396162.03570766974</v>
      </c>
      <c r="C193" s="8" t="s">
        <v>66</v>
      </c>
      <c r="D193" s="8" t="s">
        <v>21</v>
      </c>
      <c r="F193" s="8" t="s">
        <v>22</v>
      </c>
      <c r="G193" s="8" t="s">
        <v>67</v>
      </c>
      <c r="H193" s="8" t="s">
        <v>215</v>
      </c>
      <c r="I193" s="8">
        <v>2</v>
      </c>
      <c r="J193">
        <f>12.889578587624843</f>
        <v>12.889578587624843</v>
      </c>
      <c r="K193" s="6">
        <v>1.5</v>
      </c>
      <c r="L193" s="6">
        <v>1.2</v>
      </c>
      <c r="M193" s="6">
        <v>1.5</v>
      </c>
      <c r="N193" s="6">
        <v>1.1000000000000001</v>
      </c>
      <c r="O193" s="6">
        <v>2</v>
      </c>
      <c r="P193" s="6">
        <v>2</v>
      </c>
      <c r="Q193">
        <v>1.05</v>
      </c>
      <c r="R193">
        <f>LN(SQRT(EXP(
SQRT(
+POWER(LN(K193),2)
+POWER(LN(L193),2)
+POWER(LN(M193),2)
+POWER(LN(N193),2)
+POWER(LN(O193),2)
+POWER(LN(P193),2)
+POWER(LN(Q193),2)
)
)))</f>
        <v>0.57758453844188851</v>
      </c>
      <c r="S193" s="8" t="b">
        <v>1</v>
      </c>
    </row>
    <row r="194" spans="1:20" s="8" customFormat="1" ht="16" x14ac:dyDescent="0.2">
      <c r="A194" s="8" t="s">
        <v>216</v>
      </c>
      <c r="B194" s="8">
        <v>-2799.585</v>
      </c>
      <c r="C194" s="8" t="s">
        <v>217</v>
      </c>
      <c r="D194" s="8" t="s">
        <v>21</v>
      </c>
      <c r="F194" s="8" t="s">
        <v>22</v>
      </c>
      <c r="G194" s="8" t="s">
        <v>218</v>
      </c>
      <c r="H194" s="8" t="s">
        <v>215</v>
      </c>
      <c r="I194" s="8">
        <v>2</v>
      </c>
      <c r="J194">
        <f>7.9372264708927585</f>
        <v>7.9372264708927585</v>
      </c>
      <c r="K194" s="6">
        <v>1.5</v>
      </c>
      <c r="L194" s="6">
        <v>1.2</v>
      </c>
      <c r="M194" s="6">
        <v>1.5</v>
      </c>
      <c r="N194" s="6">
        <v>1.1000000000000001</v>
      </c>
      <c r="O194" s="6">
        <v>2</v>
      </c>
      <c r="P194" s="6">
        <v>2</v>
      </c>
      <c r="Q194">
        <v>1.05</v>
      </c>
      <c r="R194">
        <f>LN(SQRT(EXP(
SQRT(
+POWER(LN(K194),2)
+POWER(LN(L194),2)
+POWER(LN(M194),2)
+POWER(LN(N194),2)
+POWER(LN(O194),2)
+POWER(LN(P194),2)
+POWER(LN(Q194),2)
)
)))</f>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the process of applying 1 kg of zinc coating (Faist Emmenegger et al., 2007a, b; Krieg, 2012)</t>
        </is>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-0.0147</v>
      </c>
      <c r="C207" s="8" t="s">
        <v>41</v>
      </c>
      <c r="D207" s="8" t="s">
        <v>21</v>
      </c>
      <c r="F207" s="8" t="s">
        <v>22</v>
      </c>
      <c r="G207" s="8" t="s">
        <v>154</v>
      </c>
      <c r="H207"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207" s="8">
        <v>2</v>
      </c>
      <c r="J207">
        <f t="shared" ref="J207:J209" si="16">LN(B207*-1)</f>
        <v>-4.219907785197447</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3.06e-05</v>
      </c>
      <c r="C213" s="8" t="s">
        <v>41</v>
      </c>
      <c r="D213" s="8" t="s">
        <v>21</v>
      </c>
      <c r="F213" s="8" t="s">
        <v>22</v>
      </c>
      <c r="G213" s="8" t="s">
        <v>83</v>
      </c>
      <c r="H213"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213" s="8">
        <v>2</v>
      </c>
      <c r="J213">
        <f t="shared" si="18"/>
        <v>-10.39451054900594</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row r="367">
      <c r="A367" t="inlineStr">
        <is>
          <t>Activity</t>
        </is>
      </c>
      <c r="B367" t="inlineStr">
        <is>
          <t xml:space="preserve">hydrogen storage tank system production, refuelling station, 125 kg hydrogen</t>
        </is>
      </c>
    </row>
    <row r="368">
      <c r="A368" t="inlineStr">
        <is>
          <t>location</t>
        </is>
      </c>
      <c r="B368" t="inlineStr">
        <is>
          <t>GLO</t>
        </is>
      </c>
    </row>
    <row r="369">
      <c r="A369" t="inlineStr">
        <is>
          <t>production amount</t>
        </is>
      </c>
      <c r="B369">
        <v>1</v>
      </c>
    </row>
    <row r="370">
      <c r="A370" t="inlineStr">
        <is>
          <t>reference product</t>
        </is>
      </c>
      <c r="B370" t="inlineStr">
        <is>
          <t xml:space="preserve">hydrogen storage tank system, refuelling station, 125 kg hydrogen</t>
        </is>
      </c>
    </row>
    <row r="371">
      <c r="A371" t="inlineStr">
        <is>
          <t>unit</t>
        </is>
      </c>
      <c r="B371" t="inlineStr">
        <is>
          <t>unit</t>
        </is>
      </c>
    </row>
    <row r="372">
      <c r="A372" t="inlineStr">
        <is>
          <t>source</t>
        </is>
      </c>
      <c r="B372" t="inlineStr">
        <is>
          <t>Wulf2018 publicSI DOI10.1016/j.jclepro.2018.07.180 TablesS6(per10kgH2storage) andS8(125kgH2storageforstation),plus workbook40yearstation/20yeartanklife assumptions. TheSI explicitlylists125kg for LOHC,pipelineandhighpressuretruckstation supplypaths.</t>
        </is>
      </c>
    </row>
    <row r="373">
      <c r="A373" t="inlineStr">
        <is>
          <t>comment</t>
        </is>
      </c>
      <c r="B373" t="inlineStr">
        <is>
          <t xml:space="preserve">Nomenclature revision, 2026-10-19. Former activity name: hydrogen storage tank system, station125kg H2 capacity, engineering reference. Former reference product: hydrogen storage tank system, station125kg H2 capacity, engineering reference. Activity/product labels and supplier references only; coefficients, formulas, uncertainty, declared output and unit are unchanged. Original engineering assumptions, functional-unit basis and limitations remain below.
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 xml:space="preserve">hydrogen storage tank system production, refuelling station, 125 kg hydrogen</t>
        </is>
      </c>
      <c r="B376">
        <v>1</v>
      </c>
      <c r="C376" t="inlineStr">
        <is>
          <t>GLO</t>
        </is>
      </c>
      <c r="D376" t="inlineStr">
        <is>
          <t>unit</t>
        </is>
      </c>
      <c r="F376" t="inlineStr">
        <is>
          <t>production</t>
        </is>
      </c>
      <c r="G376" t="inlineStr">
        <is>
          <t xml:space="preserve">hydrogen storage tank system, refuelling station, 125 kg hydrogen</t>
        </is>
      </c>
      <c r="I376" t="inlineStr">
        <is>
          <t xml:space="preserve">hydrogen storage tank system, refuelling station, 125 kg hydrogen</t>
        </is>
      </c>
    </row>
    <row r="377">
      <c r="A377" t="inlineStr">
        <is>
          <t>market for sheet rolling, aluminium</t>
        </is>
      </c>
      <c r="B377">
        <v>75.0</v>
      </c>
      <c r="C377" t="inlineStr">
        <is>
          <t>GLO</t>
        </is>
      </c>
      <c r="D377" t="inlineStr">
        <is>
          <t>kilogram</t>
        </is>
      </c>
      <c r="F377" t="inlineStr">
        <is>
          <t>technosphere</t>
        </is>
      </c>
      <c r="G377" t="inlineStr">
        <is>
          <t>sheet rolling, aluminium</t>
        </is>
      </c>
      <c r="I377" t="inlineStr">
        <is>
          <t>sheet rolling, aluminium</t>
        </is>
      </c>
    </row>
    <row r="378">
      <c r="A378" t="inlineStr">
        <is>
          <t>market for aluminium, wrought alloy</t>
        </is>
      </c>
      <c r="B378">
        <v>75.0</v>
      </c>
      <c r="C378" t="inlineStr">
        <is>
          <t>GLO</t>
        </is>
      </c>
      <c r="D378" t="inlineStr">
        <is>
          <t>kilogram</t>
        </is>
      </c>
      <c r="F378" t="inlineStr">
        <is>
          <t>technosphere</t>
        </is>
      </c>
      <c r="G378" t="inlineStr">
        <is>
          <t>aluminium, wrought alloy</t>
        </is>
      </c>
      <c r="I378" t="inlineStr">
        <is>
          <t>aluminium, wrought alloy</t>
        </is>
      </c>
    </row>
    <row r="379">
      <c r="A379" t="inlineStr">
        <is>
          <t>market for sheet rolling, chromium steel</t>
        </is>
      </c>
      <c r="B379">
        <v>112.5</v>
      </c>
      <c r="C379" t="inlineStr">
        <is>
          <t>GLO</t>
        </is>
      </c>
      <c r="D379" t="inlineStr">
        <is>
          <t>kilogram</t>
        </is>
      </c>
      <c r="F379" t="inlineStr">
        <is>
          <t>technosphere</t>
        </is>
      </c>
      <c r="G379" t="inlineStr">
        <is>
          <t>sheet rolling, chromium steel</t>
        </is>
      </c>
      <c r="I379" t="inlineStr">
        <is>
          <t>sheet rolling, chromium steel</t>
        </is>
      </c>
    </row>
    <row r="380">
      <c r="A380" t="inlineStr">
        <is>
          <t>market for steel, chromium steel 18/8</t>
        </is>
      </c>
      <c r="B380">
        <v>112.5</v>
      </c>
      <c r="C380" t="inlineStr">
        <is>
          <t>GLO</t>
        </is>
      </c>
      <c r="D380" t="inlineStr">
        <is>
          <t>kilogram</t>
        </is>
      </c>
      <c r="F380" t="inlineStr">
        <is>
          <t>technosphere</t>
        </is>
      </c>
      <c r="G380" t="inlineStr">
        <is>
          <t>steel, chromium steel 18/8</t>
        </is>
      </c>
      <c r="I380" t="inlineStr">
        <is>
          <t>steel, chromium steel 18/8</t>
        </is>
      </c>
    </row>
    <row r="381">
      <c r="A381" t="inlineStr">
        <is>
          <t>carbon fiber production, weaved, at factory</t>
        </is>
      </c>
      <c r="B381">
        <v>892.5000000000001</v>
      </c>
      <c r="C381" t="inlineStr">
        <is>
          <t>RER</t>
        </is>
      </c>
      <c r="D381" t="inlineStr">
        <is>
          <t>kilogram</t>
        </is>
      </c>
      <c r="F381" t="inlineStr">
        <is>
          <t>technosphere</t>
        </is>
      </c>
      <c r="G381" t="inlineStr">
        <is>
          <t>carbon fiber, weaved</t>
        </is>
      </c>
      <c r="I381" t="inlineStr">
        <is>
          <t>carbon fiber, weaved</t>
        </is>
      </c>
    </row>
    <row r="382">
      <c r="A382" t="inlineStr">
        <is>
          <t>market for epoxy resin, liquid</t>
        </is>
      </c>
      <c r="B382">
        <v>382.5</v>
      </c>
      <c r="C382" t="inlineStr">
        <is>
          <t>RER</t>
        </is>
      </c>
      <c r="D382" t="inlineStr">
        <is>
          <t>kilogram</t>
        </is>
      </c>
      <c r="F382" t="inlineStr">
        <is>
          <t>technosphere</t>
        </is>
      </c>
      <c r="G382" t="inlineStr">
        <is>
          <t>epoxy resin, liquid</t>
        </is>
      </c>
      <c r="I382" t="inlineStr">
        <is>
          <t>epoxy resin, liquid</t>
        </is>
      </c>
    </row>
    <row r="383">
      <c r="A383" t="inlineStr">
        <is>
          <t>market group for electricity, low voltage</t>
        </is>
      </c>
      <c r="B383">
        <v>56.25</v>
      </c>
      <c r="C383" t="inlineStr">
        <is>
          <t>RER</t>
        </is>
      </c>
      <c r="D383" t="inlineStr">
        <is>
          <t>kilowatt hour</t>
        </is>
      </c>
      <c r="F383" t="inlineStr">
        <is>
          <t>technosphere</t>
        </is>
      </c>
      <c r="G383" t="inlineStr">
        <is>
          <t>electricity, low voltage</t>
        </is>
      </c>
      <c r="I383" t="inlineStr">
        <is>
          <t>electricity, low voltage</t>
        </is>
      </c>
    </row>
    <row r="384">
      <c r="A384" t="inlineStr">
        <is>
          <t>market for sheet rolling, steel</t>
        </is>
      </c>
      <c r="B384">
        <v>112.5</v>
      </c>
      <c r="C384" t="inlineStr">
        <is>
          <t>GLO</t>
        </is>
      </c>
      <c r="D384" t="inlineStr">
        <is>
          <t>kilogram</t>
        </is>
      </c>
      <c r="F384" t="inlineStr">
        <is>
          <t>technosphere</t>
        </is>
      </c>
      <c r="G384" t="inlineStr">
        <is>
          <t>sheet rolling, steel</t>
        </is>
      </c>
      <c r="I384" t="inlineStr">
        <is>
          <t>sheet rolling, steel</t>
        </is>
      </c>
    </row>
    <row r="385">
      <c r="A385" t="inlineStr">
        <is>
          <t>market for steel, low-alloyed</t>
        </is>
      </c>
      <c r="B385">
        <v>112.5</v>
      </c>
      <c r="C385" t="inlineStr">
        <is>
          <t>GLO</t>
        </is>
      </c>
      <c r="D385" t="inlineStr">
        <is>
          <t>kilogram</t>
        </is>
      </c>
      <c r="F385" t="inlineStr">
        <is>
          <t>technosphere</t>
        </is>
      </c>
      <c r="G385" t="inlineStr">
        <is>
          <t>steel, low-alloyed</t>
        </is>
      </c>
      <c r="I385" t="inlineStr">
        <is>
          <t>steel, low-alloyed</t>
        </is>
      </c>
    </row>
    <row r="388">
      <c r="A388" t="inlineStr">
        <is>
          <t>Activity</t>
        </is>
      </c>
      <c r="B388" t="inlineStr">
        <is>
          <t xml:space="preserve">aluminium-zinc coating alloy production, for galvanizing</t>
        </is>
      </c>
    </row>
    <row r="389">
      <c r="A389" t="inlineStr">
        <is>
          <t>location</t>
        </is>
      </c>
      <c r="B389" t="inlineStr">
        <is>
          <t>GLO</t>
        </is>
      </c>
    </row>
    <row r="390">
      <c r="A390" t="inlineStr">
        <is>
          <t>production amount</t>
        </is>
      </c>
      <c r="B390">
        <v>1</v>
      </c>
    </row>
    <row r="391">
      <c r="A391" t="inlineStr">
        <is>
          <t>reference product</t>
        </is>
      </c>
      <c r="B391" t="inlineStr">
        <is>
          <t xml:space="preserve">aluminium-zinc coating alloy, for galvanizing</t>
        </is>
      </c>
    </row>
    <row r="392">
      <c r="A392" t="inlineStr">
        <is>
          <t>unit</t>
        </is>
      </c>
      <c r="B392" t="inlineStr">
        <is>
          <t>kilogram</t>
        </is>
      </c>
    </row>
    <row r="393">
      <c r="A393" t="inlineStr">
        <is>
          <t>source</t>
        </is>
      </c>
      <c r="B393" t="inlineStr">
        <is>
          <t>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t>
        </is>
      </c>
    </row>
    <row r="394">
      <c r="A394" t="inlineStr">
        <is>
          <t>comment</t>
        </is>
      </c>
      <c r="B394"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
PREVIOUS NOTES (retained as history; the correction above takes precedence):
Nomenclature revision, 2026-10-19. Former activity name: Galvalume coating, retained alloy mass, engineering reference. Former reference product: Galvalume coating, retained alloy mass, engineering reference. Activity/product labels and supplier references only; coefficients, formulas, uncertainty, declared output and unit are unchanged. Original engineering assumptions, functional-unit basis and limitations remain below.
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t>
        </is>
      </c>
    </row>
    <row r="395">
      <c r="A395" t="inlineStr">
        <is>
          <t>Exchanges</t>
        </is>
      </c>
    </row>
    <row r="396">
      <c r="A396" t="inlineStr">
        <is>
          <t>name</t>
        </is>
      </c>
      <c r="B396" t="inlineStr">
        <is>
          <t>amount</t>
        </is>
      </c>
      <c r="C396" t="inlineStr">
        <is>
          <t>location</t>
        </is>
      </c>
      <c r="D396" t="inlineStr">
        <is>
          <t>unit</t>
        </is>
      </c>
      <c r="E396" t="inlineStr">
        <is>
          <t>categories</t>
        </is>
      </c>
      <c r="F396" t="inlineStr">
        <is>
          <t>type</t>
        </is>
      </c>
      <c r="G396" t="inlineStr">
        <is>
          <t>reference product</t>
        </is>
      </c>
      <c r="H396" t="inlineStr">
        <is>
          <t>comment</t>
        </is>
      </c>
      <c r="I396" t="inlineStr">
        <is>
          <t>product</t>
        </is>
      </c>
    </row>
    <row r="397">
      <c r="A397" t="inlineStr">
        <is>
          <t xml:space="preserve">aluminium-zinc coating alloy production, for galvanizing</t>
        </is>
      </c>
      <c r="B397">
        <v>1</v>
      </c>
      <c r="C397" t="inlineStr">
        <is>
          <t>GLO</t>
        </is>
      </c>
      <c r="D397" t="inlineStr">
        <is>
          <t>kilogram</t>
        </is>
      </c>
      <c r="F397" t="inlineStr">
        <is>
          <t>production</t>
        </is>
      </c>
      <c r="G397" t="inlineStr">
        <is>
          <t xml:space="preserve">aluminium-zinc coating alloy, for galvanizing</t>
        </is>
      </c>
      <c r="I397" t="inlineStr">
        <is>
          <t xml:space="preserve">aluminium-zinc coating alloy, for galvanizing</t>
        </is>
      </c>
    </row>
    <row r="398">
      <c r="A398" t="inlineStr">
        <is>
          <t>market for aluminium, wrought alloy</t>
        </is>
      </c>
      <c r="B398">
        <v>0.5789473684210527</v>
      </c>
      <c r="C398" t="inlineStr">
        <is>
          <t>GLO</t>
        </is>
      </c>
      <c r="D398" t="inlineStr">
        <is>
          <t>kilogram</t>
        </is>
      </c>
      <c r="F398" t="inlineStr">
        <is>
          <t>technosphere</t>
        </is>
      </c>
      <c r="G398" t="inlineStr">
        <is>
          <t>aluminium, wrought alloy</t>
        </is>
      </c>
      <c r="I398" t="inlineStr">
        <is>
          <t>aluminium, wrought alloy</t>
        </is>
      </c>
    </row>
    <row r="399">
      <c r="A399" t="inlineStr">
        <is>
          <t>market for zinc</t>
        </is>
      </c>
      <c r="B399">
        <v>0.45684210526315794</v>
      </c>
      <c r="C399" t="inlineStr">
        <is>
          <t>GLO</t>
        </is>
      </c>
      <c r="D399" t="inlineStr">
        <is>
          <t>kilogram</t>
        </is>
      </c>
      <c r="F399" t="inlineStr">
        <is>
          <t>technosphere</t>
        </is>
      </c>
      <c r="G399" t="inlineStr">
        <is>
          <t>zinc</t>
        </is>
      </c>
      <c r="I399" t="inlineStr">
        <is>
          <t>zinc</t>
        </is>
      </c>
    </row>
    <row r="400">
      <c r="A400" t="inlineStr">
        <is>
          <t>market for silicon, metallurgical grade</t>
        </is>
      </c>
      <c r="B400">
        <v>0.016842105263157894</v>
      </c>
      <c r="C400" t="inlineStr">
        <is>
          <t>GLO</t>
        </is>
      </c>
      <c r="D400" t="inlineStr">
        <is>
          <t>kilogram</t>
        </is>
      </c>
      <c r="F400" t="inlineStr">
        <is>
          <t>technosphere</t>
        </is>
      </c>
      <c r="G400" t="inlineStr">
        <is>
          <t>silicon, metallurgical grade</t>
        </is>
      </c>
      <c r="I400" t="inlineStr">
        <is>
          <t>silicon, metallurgical grade</t>
        </is>
      </c>
    </row>
    <row r="401">
      <c r="A401" t="inlineStr">
        <is>
          <t>market for electric arc furnace dust</t>
        </is>
      </c>
      <c r="B401">
        <v>-0.0147</v>
      </c>
      <c r="C401" t="inlineStr">
        <is>
          <t>RER</t>
        </is>
      </c>
      <c r="D401" t="inlineStr">
        <is>
          <t>kilogram</t>
        </is>
      </c>
      <c r="F401" t="inlineStr">
        <is>
          <t>technosphere</t>
        </is>
      </c>
      <c r="G401" t="inlineStr">
        <is>
          <t>electric arc furnace dust</t>
        </is>
      </c>
      <c r="H401" t="inlineStr">
        <is>
          <t>WULF2018 TABLE S3 INPUT TRANSCRIPTION CORRECTION,2026-10-20. The source specifies14.7kg dust landfill treatment per1000kg coating, so the correct purchase is-0.0147kg/kg,not-0.000014kg/kg (1050times smaller than the source). Keep the existing native EAF dust disposal market: its production is-1kg and the negative purchase activates positive treatment. No new recovery credit or supplier-route substitution is introduced. The source-treatment dust assay is unreported; its ownership versus the separate nominal95%alloy-yield reject budget remains unqualified. A corrected transcription does not establish element closure between mixed process residues and separately modelled alloy loss.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401" t="inlineStr">
        <is>
          <t>electric arc furnace dust</t>
        </is>
      </c>
    </row>
    <row r="402">
      <c r="A402" t="inlineStr">
        <is>
          <t>treatment of waste mineral oil, hazardous waste incineration</t>
        </is>
      </c>
      <c r="B402">
        <v>-0.00016</v>
      </c>
      <c r="C402" t="inlineStr">
        <is>
          <t>Europe without Switzerland</t>
        </is>
      </c>
      <c r="D402" t="inlineStr">
        <is>
          <t>kilogram</t>
        </is>
      </c>
      <c r="F402" t="inlineStr">
        <is>
          <t>technosphere</t>
        </is>
      </c>
      <c r="G402" t="inlineStr">
        <is>
          <t>waste mineral oil</t>
        </is>
      </c>
      <c r="I402" t="inlineStr">
        <is>
          <t>waste mineral oil</t>
        </is>
      </c>
    </row>
    <row r="403">
      <c r="A403" t="inlineStr">
        <is>
          <t>market for sludge from steel rolling</t>
        </is>
      </c>
      <c r="B403">
        <v>-9.06e-05</v>
      </c>
      <c r="C403" t="inlineStr">
        <is>
          <t>GLO</t>
        </is>
      </c>
      <c r="D403" t="inlineStr">
        <is>
          <t>kilogram</t>
        </is>
      </c>
      <c r="F403" t="inlineStr">
        <is>
          <t>technosphere</t>
        </is>
      </c>
      <c r="G403" t="inlineStr">
        <is>
          <t>sludge from steel rolling</t>
        </is>
      </c>
      <c r="I403" t="inlineStr">
        <is>
          <t>sludge from steel rolling</t>
        </is>
      </c>
    </row>
    <row r="404">
      <c r="A404" t="inlineStr">
        <is>
          <t>market for water, deionised</t>
        </is>
      </c>
      <c r="B404">
        <v>0.2</v>
      </c>
      <c r="C404" t="inlineStr">
        <is>
          <t>Europe without Switzerland</t>
        </is>
      </c>
      <c r="D404" t="inlineStr">
        <is>
          <t>kilogram</t>
        </is>
      </c>
      <c r="F404" t="inlineStr">
        <is>
          <t>technosphere</t>
        </is>
      </c>
      <c r="G404" t="inlineStr">
        <is>
          <t>water, deionised</t>
        </is>
      </c>
      <c r="I404" t="inlineStr">
        <is>
          <t>water, deionised</t>
        </is>
      </c>
    </row>
    <row r="405">
      <c r="A405" t="inlineStr">
        <is>
          <t>market for chemicals, inorganic</t>
        </is>
      </c>
      <c r="B405">
        <v>0.0015</v>
      </c>
      <c r="C405" t="inlineStr">
        <is>
          <t>GLO</t>
        </is>
      </c>
      <c r="D405" t="inlineStr">
        <is>
          <t>kilogram</t>
        </is>
      </c>
      <c r="F405" t="inlineStr">
        <is>
          <t>technosphere</t>
        </is>
      </c>
      <c r="G405" t="inlineStr">
        <is>
          <t>chemical, inorganic</t>
        </is>
      </c>
      <c r="I405" t="inlineStr">
        <is>
          <t>chemical, inorganic</t>
        </is>
      </c>
    </row>
    <row r="406">
      <c r="A406" t="inlineStr">
        <is>
          <t>market for aluminium sulfate, powder</t>
        </is>
      </c>
      <c r="B406">
        <v>9.06e-07</v>
      </c>
      <c r="C406" t="inlineStr">
        <is>
          <t>RER</t>
        </is>
      </c>
      <c r="D406" t="inlineStr">
        <is>
          <t>kilogram</t>
        </is>
      </c>
      <c r="F406" t="inlineStr">
        <is>
          <t>technosphere</t>
        </is>
      </c>
      <c r="G406" t="inlineStr">
        <is>
          <t>aluminium sulfate, powder</t>
        </is>
      </c>
      <c r="I406" t="inlineStr">
        <is>
          <t>aluminium sulfate, powder</t>
        </is>
      </c>
    </row>
    <row r="407">
      <c r="A407" t="inlineStr">
        <is>
          <t>market for ammonia, anhydrous, liquid</t>
        </is>
      </c>
      <c r="B407">
        <v>3.06e-05</v>
      </c>
      <c r="C407" t="inlineStr">
        <is>
          <t>RER</t>
        </is>
      </c>
      <c r="D407" t="inlineStr">
        <is>
          <t>kilogram</t>
        </is>
      </c>
      <c r="F407" t="inlineStr">
        <is>
          <t>technosphere</t>
        </is>
      </c>
      <c r="G407" t="inlineStr">
        <is>
          <t>ammonia, anhydrous, liquid</t>
        </is>
      </c>
      <c r="H407" t="inlineStr">
        <is>
          <t>WULF2018 TABLE S3 INPUT TRANSCRIPTION CORRECTION,2026-10-20. The source input is30.6g ammonia per1000kg coating,so buy 0.0000306kg/kg,not0.000036kg/kg. The former value corresponds to36g/t,a transcription error. Keep the existing nominal anhydrous-ammonia product basis; source solvent/purity and actual bath makeup remain unqualified. The separate source ammonia AIR EMISSION43.6g/t is unchanged:an input correction must not silently alter an independently reported emission. Source:Life Cycle Assessment of hydrogen transport and distribution options,DOI10.1016/j.jclepro.2018.07.180,TableS3(LCI of1t zinc coating forGalvalume),https://ars.els-cdn.com/content/image/1-s2.0-S095965261832170X-mmc1.docx. Retain every other input,emission, coating composition,dose,pipeline geometry,service and EOL quantity. Where a lognormal loc formula exists,retain its exact formula and update its cached ln(abs(amount));relative spread and negative flag remain unchanged. This applies to the existing compatibility reference and its copied process input in the explicit Galvalume provider. It does not validate the compatibility recipe as complete zinc supply or industrial coating data. Published soda-ash,CHP-unit, powder/FBE processing and waste-assay gaps remain open. Existing supplemental workbook only;no runtime,YAML or method edits.</t>
        </is>
      </c>
      <c r="I407" t="inlineStr">
        <is>
          <t>ammonia, anhydrous, liquid</t>
        </is>
      </c>
    </row>
    <row r="408">
      <c r="A408" t="inlineStr">
        <is>
          <t>heat production, light fuel oil, at boiler 100kW, non-modulating</t>
        </is>
      </c>
      <c r="B408">
        <v>0.768</v>
      </c>
      <c r="C408" t="inlineStr">
        <is>
          <t>Europe without Switzerland</t>
        </is>
      </c>
      <c r="D408" t="inlineStr">
        <is>
          <t>megajoule</t>
        </is>
      </c>
      <c r="F408" t="inlineStr">
        <is>
          <t>technosphere</t>
        </is>
      </c>
      <c r="G408" t="inlineStr">
        <is>
          <t>heat, central or small-scale, other than natural gas</t>
        </is>
      </c>
      <c r="I408" t="inlineStr">
        <is>
          <t>heat, central or small-scale, other than natural gas</t>
        </is>
      </c>
    </row>
    <row r="409">
      <c r="A409" t="inlineStr">
        <is>
          <t>market for heat, from steam, in chemical industry</t>
        </is>
      </c>
      <c r="B409">
        <v>0.0201</v>
      </c>
      <c r="C409" t="inlineStr">
        <is>
          <t>RER</t>
        </is>
      </c>
      <c r="D409" t="inlineStr">
        <is>
          <t>megajoule</t>
        </is>
      </c>
      <c r="F409" t="inlineStr">
        <is>
          <t>technosphere</t>
        </is>
      </c>
      <c r="G409" t="inlineStr">
        <is>
          <t>heat, from steam, in chemical industry</t>
        </is>
      </c>
      <c r="I409" t="inlineStr">
        <is>
          <t>heat, from steam, in chemical industry</t>
        </is>
      </c>
    </row>
    <row r="410">
      <c r="A410" t="inlineStr">
        <is>
          <t>market for hydrochloric acid, without water, in 30% solution state</t>
        </is>
      </c>
      <c r="B410">
        <v>0.0222</v>
      </c>
      <c r="C410" t="inlineStr">
        <is>
          <t>RER</t>
        </is>
      </c>
      <c r="D410" t="inlineStr">
        <is>
          <t>kilogram</t>
        </is>
      </c>
      <c r="F410" t="inlineStr">
        <is>
          <t>technosphere</t>
        </is>
      </c>
      <c r="G410" t="inlineStr">
        <is>
          <t>hydrochloric acid, without water, in 30% solution state</t>
        </is>
      </c>
      <c r="I410" t="inlineStr">
        <is>
          <t>hydrochloric acid, without water, in 30% solution state</t>
        </is>
      </c>
    </row>
    <row r="411">
      <c r="A411" t="inlineStr">
        <is>
          <t>market for heat, central or small-scale, natural gas</t>
        </is>
      </c>
      <c r="B411">
        <v>0.768</v>
      </c>
      <c r="C411" t="inlineStr">
        <is>
          <t>Europe without Switzerland</t>
        </is>
      </c>
      <c r="D411" t="inlineStr">
        <is>
          <t>megajoule</t>
        </is>
      </c>
      <c r="F411" t="inlineStr">
        <is>
          <t>technosphere</t>
        </is>
      </c>
      <c r="G411" t="inlineStr">
        <is>
          <t>heat, central or small-scale, natural gas</t>
        </is>
      </c>
      <c r="I411" t="inlineStr">
        <is>
          <t>heat, central or small-scale, natural gas</t>
        </is>
      </c>
    </row>
    <row r="412">
      <c r="A412" t="inlineStr">
        <is>
          <t>market for rolling mill</t>
        </is>
      </c>
      <c r="B412">
        <v>1.63e-13</v>
      </c>
      <c r="C412" t="inlineStr">
        <is>
          <t>GLO</t>
        </is>
      </c>
      <c r="D412" t="inlineStr">
        <is>
          <t>unit</t>
        </is>
      </c>
      <c r="F412" t="inlineStr">
        <is>
          <t>technosphere</t>
        </is>
      </c>
      <c r="G412" t="inlineStr">
        <is>
          <t>rolling mill</t>
        </is>
      </c>
      <c r="I412" t="inlineStr">
        <is>
          <t>rolling mill</t>
        </is>
      </c>
    </row>
    <row r="413">
      <c r="A413" t="inlineStr">
        <is>
          <t>market for soda ash, light, crystalline, heptahydrate</t>
        </is>
      </c>
      <c r="B413">
        <v>1</v>
      </c>
      <c r="C413" t="inlineStr">
        <is>
          <t>GLO</t>
        </is>
      </c>
      <c r="D413" t="inlineStr">
        <is>
          <t>kilogram</t>
        </is>
      </c>
      <c r="F413" t="inlineStr">
        <is>
          <t>technosphere</t>
        </is>
      </c>
      <c r="G413" t="inlineStr">
        <is>
          <t>soda ash, light, crystalline, heptahydrate</t>
        </is>
      </c>
      <c r="I413" t="inlineStr">
        <is>
          <t>soda ash, light, crystalline, heptahydrate</t>
        </is>
      </c>
    </row>
    <row r="414">
      <c r="A414" t="inlineStr">
        <is>
          <t>market for sodium hydroxide, without water, in 50% solution state</t>
        </is>
      </c>
      <c r="B414">
        <v>0.00038</v>
      </c>
      <c r="C414" t="inlineStr">
        <is>
          <t>GLO</t>
        </is>
      </c>
      <c r="D414" t="inlineStr">
        <is>
          <t>kilogram</t>
        </is>
      </c>
      <c r="F414" t="inlineStr">
        <is>
          <t>technosphere</t>
        </is>
      </c>
      <c r="G414" t="inlineStr">
        <is>
          <t>sodium hydroxide, without water, in 50% solution state</t>
        </is>
      </c>
      <c r="I414" t="inlineStr">
        <is>
          <t>sodium hydroxide, without water, in 50% solution state</t>
        </is>
      </c>
    </row>
    <row r="415">
      <c r="A415" t="inlineStr">
        <is>
          <t>market for transport, freight, lorry, unspecified</t>
        </is>
      </c>
      <c r="B415">
        <v>0.008039999999999999</v>
      </c>
      <c r="C415" t="inlineStr">
        <is>
          <t>RER</t>
        </is>
      </c>
      <c r="D415" t="inlineStr">
        <is>
          <t>ton kilometer</t>
        </is>
      </c>
      <c r="F415" t="inlineStr">
        <is>
          <t>technosphere</t>
        </is>
      </c>
      <c r="G415" t="inlineStr">
        <is>
          <t>transport, freight, lorry, unspecified</t>
        </is>
      </c>
      <c r="I415" t="inlineStr">
        <is>
          <t>transport, freight, lorry, unspecified</t>
        </is>
      </c>
    </row>
    <row r="416">
      <c r="A416" t="inlineStr">
        <is>
          <t>market group for electricity, low voltage</t>
        </is>
      </c>
      <c r="B416">
        <v>0.02033333333333333</v>
      </c>
      <c r="C416" t="inlineStr">
        <is>
          <t>RER</t>
        </is>
      </c>
      <c r="D416" t="inlineStr">
        <is>
          <t>kilowatt hour</t>
        </is>
      </c>
      <c r="F416" t="inlineStr">
        <is>
          <t>technosphere</t>
        </is>
      </c>
      <c r="G416" t="inlineStr">
        <is>
          <t>electricity, low voltage</t>
        </is>
      </c>
      <c r="I416" t="inlineStr">
        <is>
          <t>electricity, low voltage</t>
        </is>
      </c>
    </row>
    <row r="417">
      <c r="A417" t="inlineStr">
        <is>
          <t>market for hazardous waste, for incineration</t>
        </is>
      </c>
      <c r="B417">
        <v>-0.052602178947368364</v>
      </c>
      <c r="C417" t="inlineStr">
        <is>
          <t>RoW</t>
        </is>
      </c>
      <c r="D417" t="inlineStr">
        <is>
          <t>kilogram</t>
        </is>
      </c>
      <c r="F417" t="inlineStr">
        <is>
          <t>technosphere</t>
        </is>
      </c>
      <c r="G417" t="inlineStr">
        <is>
          <t>hazardous waste, for incineration</t>
        </is>
      </c>
      <c r="I417" t="inlineStr">
        <is>
          <t>hazardous waste, for incineration</t>
        </is>
      </c>
    </row>
    <row r="418">
      <c r="A418" t="inlineStr">
        <is>
          <t>market group for electricity, medium voltage</t>
        </is>
      </c>
      <c r="B418">
        <v>1</v>
      </c>
      <c r="C418" t="inlineStr">
        <is>
          <t>GLO</t>
        </is>
      </c>
      <c r="D418" t="inlineStr">
        <is>
          <t>kilowatt hour</t>
        </is>
      </c>
      <c r="F418" t="inlineStr">
        <is>
          <t>technosphere</t>
        </is>
      </c>
      <c r="G418" t="inlineStr">
        <is>
          <t>electricity, medium voltage</t>
        </is>
      </c>
      <c r="I418" t="inlineStr">
        <is>
          <t>electricity, medium voltage</t>
        </is>
      </c>
    </row>
    <row r="419">
      <c r="A419" t="inlineStr">
        <is>
          <t>Ammonia</t>
        </is>
      </c>
      <c r="B419">
        <v>4.36e-05</v>
      </c>
      <c r="D419" t="inlineStr">
        <is>
          <t>kilogram</t>
        </is>
      </c>
      <c r="E419" t="inlineStr">
        <is>
          <t>air</t>
        </is>
      </c>
      <c r="F419" t="inlineStr">
        <is>
          <t>biosphere</t>
        </is>
      </c>
      <c r="H419" t="inlineStr">
        <is>
          <t/>
        </is>
      </c>
    </row>
    <row r="420">
      <c r="A420" t="inlineStr">
        <is>
          <t>Arsenic ion</t>
        </is>
      </c>
      <c r="B420">
        <v>1.9000000000000002e-10</v>
      </c>
      <c r="D420" t="inlineStr">
        <is>
          <t>kilogram</t>
        </is>
      </c>
      <c r="E420" t="inlineStr">
        <is>
          <t>air</t>
        </is>
      </c>
      <c r="F420" t="inlineStr">
        <is>
          <t>biosphere</t>
        </is>
      </c>
      <c r="H420" t="inlineStr">
        <is>
          <t/>
        </is>
      </c>
    </row>
    <row r="421">
      <c r="A421" t="inlineStr">
        <is>
          <t>BOD5, Biological Oxygen Demand</t>
        </is>
      </c>
      <c r="B421">
        <v>1.32e-05</v>
      </c>
      <c r="D421" t="inlineStr">
        <is>
          <t>kilogram</t>
        </is>
      </c>
      <c r="E421" t="inlineStr">
        <is>
          <t>water::ground-</t>
        </is>
      </c>
      <c r="F421" t="inlineStr">
        <is>
          <t>biosphere</t>
        </is>
      </c>
      <c r="H421" t="inlineStr">
        <is>
          <t/>
        </is>
      </c>
    </row>
    <row r="422">
      <c r="A422" t="inlineStr">
        <is>
          <t>Cadmium II</t>
        </is>
      </c>
      <c r="B422">
        <v>1.31e-09</v>
      </c>
      <c r="D422" t="inlineStr">
        <is>
          <t>kilogram</t>
        </is>
      </c>
      <c r="E422" t="inlineStr">
        <is>
          <t>air</t>
        </is>
      </c>
      <c r="F422" t="inlineStr">
        <is>
          <t>biosphere</t>
        </is>
      </c>
      <c r="H422" t="inlineStr">
        <is>
          <t/>
        </is>
      </c>
    </row>
    <row r="423">
      <c r="A423" t="inlineStr">
        <is>
          <t>COD, Chemical Oxygen Demand</t>
        </is>
      </c>
      <c r="B423">
        <v>0.000132</v>
      </c>
      <c r="D423" t="inlineStr">
        <is>
          <t>kilogram</t>
        </is>
      </c>
      <c r="E423" t="inlineStr">
        <is>
          <t>water::ground-</t>
        </is>
      </c>
      <c r="F423" t="inlineStr">
        <is>
          <t>biosphere</t>
        </is>
      </c>
      <c r="H423" t="inlineStr">
        <is>
          <t/>
        </is>
      </c>
    </row>
    <row r="424">
      <c r="A424" t="inlineStr">
        <is>
          <t>Chloride</t>
        </is>
      </c>
      <c r="B424">
        <v>1.88e-06</v>
      </c>
      <c r="D424" t="inlineStr">
        <is>
          <t>kilogram</t>
        </is>
      </c>
      <c r="E424" t="inlineStr">
        <is>
          <t>water::ground-</t>
        </is>
      </c>
      <c r="F424" t="inlineStr">
        <is>
          <t>biosphere</t>
        </is>
      </c>
      <c r="H424" t="inlineStr">
        <is>
          <t/>
        </is>
      </c>
    </row>
    <row r="425">
      <c r="A425" t="inlineStr">
        <is>
          <t>Chromium VI</t>
        </is>
      </c>
      <c r="B425">
        <v>7.6e-09</v>
      </c>
      <c r="D425" t="inlineStr">
        <is>
          <t>kilogram</t>
        </is>
      </c>
      <c r="E425" t="inlineStr">
        <is>
          <t>water::ground-</t>
        </is>
      </c>
      <c r="F425" t="inlineStr">
        <is>
          <t>biosphere</t>
        </is>
      </c>
      <c r="H425" t="inlineStr">
        <is>
          <t/>
        </is>
      </c>
    </row>
    <row r="426">
      <c r="A426" t="inlineStr">
        <is>
          <t>Particulate Matter, &gt; 10 um</t>
        </is>
      </c>
      <c r="B426">
        <v>0.000157</v>
      </c>
      <c r="D426" t="inlineStr">
        <is>
          <t>kilogram</t>
        </is>
      </c>
      <c r="E426" t="inlineStr">
        <is>
          <t>air</t>
        </is>
      </c>
      <c r="F426" t="inlineStr">
        <is>
          <t>biosphere</t>
        </is>
      </c>
      <c r="H426" t="inlineStr">
        <is>
          <t/>
        </is>
      </c>
    </row>
    <row r="427">
      <c r="A427" t="inlineStr">
        <is>
          <t>Particulate Matter, &gt; 2.5 um and &lt; 10um</t>
        </is>
      </c>
      <c r="B427">
        <v>0.00762</v>
      </c>
      <c r="D427" t="inlineStr">
        <is>
          <t>kilogram</t>
        </is>
      </c>
      <c r="E427" t="inlineStr">
        <is>
          <t>air</t>
        </is>
      </c>
      <c r="F427" t="inlineStr">
        <is>
          <t>biosphere</t>
        </is>
      </c>
      <c r="H427" t="inlineStr">
        <is>
          <t/>
        </is>
      </c>
    </row>
    <row r="428">
      <c r="A428" t="inlineStr">
        <is>
          <t>Hydrocarbons, unspecified</t>
        </is>
      </c>
      <c r="B428">
        <v>1.1900000000000001e-07</v>
      </c>
      <c r="D428" t="inlineStr">
        <is>
          <t>kilogram</t>
        </is>
      </c>
      <c r="E428" t="inlineStr">
        <is>
          <t>water::ground-</t>
        </is>
      </c>
      <c r="F428" t="inlineStr">
        <is>
          <t>biosphere</t>
        </is>
      </c>
      <c r="H428" t="inlineStr">
        <is>
          <t/>
        </is>
      </c>
    </row>
    <row r="429">
      <c r="A429" t="inlineStr">
        <is>
          <t>Hydrochloric acid</t>
        </is>
      </c>
      <c r="B429">
        <v>1.83e-05</v>
      </c>
      <c r="D429" t="inlineStr">
        <is>
          <t>kilogram</t>
        </is>
      </c>
      <c r="E429" t="inlineStr">
        <is>
          <t>air</t>
        </is>
      </c>
      <c r="F429" t="inlineStr">
        <is>
          <t>biosphere</t>
        </is>
      </c>
      <c r="H429" t="inlineStr">
        <is>
          <t/>
        </is>
      </c>
    </row>
    <row r="430">
      <c r="A430" t="inlineStr">
        <is>
          <t>Iron ion</t>
        </is>
      </c>
      <c r="B430">
        <v>1.4e-06</v>
      </c>
      <c r="D430" t="inlineStr">
        <is>
          <t>kilogram</t>
        </is>
      </c>
      <c r="E430" t="inlineStr">
        <is>
          <t>air</t>
        </is>
      </c>
      <c r="F430" t="inlineStr">
        <is>
          <t>biosphere</t>
        </is>
      </c>
      <c r="H430" t="inlineStr">
        <is>
          <t/>
        </is>
      </c>
    </row>
    <row r="431">
      <c r="A431" t="inlineStr">
        <is>
          <t>Iron ion</t>
        </is>
      </c>
      <c r="B431">
        <v>5.649999999999999e-06</v>
      </c>
      <c r="D431" t="inlineStr">
        <is>
          <t>kilogram</t>
        </is>
      </c>
      <c r="E431" t="inlineStr">
        <is>
          <t>water::ground-</t>
        </is>
      </c>
      <c r="F431" t="inlineStr">
        <is>
          <t>biosphere</t>
        </is>
      </c>
      <c r="H431" t="inlineStr">
        <is>
          <t/>
        </is>
      </c>
    </row>
    <row r="432">
      <c r="A432" t="inlineStr">
        <is>
          <t>Lead II</t>
        </is>
      </c>
      <c r="B432">
        <v>3.4000000000000003e-09</v>
      </c>
      <c r="D432" t="inlineStr">
        <is>
          <t>kilogram</t>
        </is>
      </c>
      <c r="E432" t="inlineStr">
        <is>
          <t>air</t>
        </is>
      </c>
      <c r="F432" t="inlineStr">
        <is>
          <t>biosphere</t>
        </is>
      </c>
      <c r="H432" t="inlineStr">
        <is>
          <t/>
        </is>
      </c>
    </row>
    <row r="433">
      <c r="A433" t="inlineStr">
        <is>
          <t>Lead II</t>
        </is>
      </c>
      <c r="B433">
        <v>1.51e-09</v>
      </c>
      <c r="D433" t="inlineStr">
        <is>
          <t>kilogram</t>
        </is>
      </c>
      <c r="E433" t="inlineStr">
        <is>
          <t>water::ground-</t>
        </is>
      </c>
      <c r="F433" t="inlineStr">
        <is>
          <t>biosphere</t>
        </is>
      </c>
      <c r="H433" t="inlineStr">
        <is>
          <t/>
        </is>
      </c>
    </row>
    <row r="434">
      <c r="A434" t="inlineStr">
        <is>
          <t>Nickel II</t>
        </is>
      </c>
      <c r="B434">
        <v>9.999999999999999e-10</v>
      </c>
      <c r="D434" t="inlineStr">
        <is>
          <t>kilogram</t>
        </is>
      </c>
      <c r="E434" t="inlineStr">
        <is>
          <t>water::ground-</t>
        </is>
      </c>
      <c r="F434" t="inlineStr">
        <is>
          <t>biosphere</t>
        </is>
      </c>
      <c r="H434" t="inlineStr">
        <is>
          <t/>
        </is>
      </c>
    </row>
    <row r="435">
      <c r="A435" t="inlineStr">
        <is>
          <t>Oils, unspecified</t>
        </is>
      </c>
      <c r="B435">
        <v>1.0399999999999999e-07</v>
      </c>
      <c r="D435" t="inlineStr">
        <is>
          <t>kilogram</t>
        </is>
      </c>
      <c r="E435" t="inlineStr">
        <is>
          <t>water::ground-</t>
        </is>
      </c>
      <c r="F435" t="inlineStr">
        <is>
          <t>biosphere</t>
        </is>
      </c>
      <c r="H435" t="inlineStr">
        <is>
          <t/>
        </is>
      </c>
    </row>
    <row r="436">
      <c r="A436" t="inlineStr">
        <is>
          <t>Phosphorus</t>
        </is>
      </c>
      <c r="B436">
        <v>9.000000000000001e-08</v>
      </c>
      <c r="D436" t="inlineStr">
        <is>
          <t>kilogram</t>
        </is>
      </c>
      <c r="E436" t="inlineStr">
        <is>
          <t>water::ground-</t>
        </is>
      </c>
      <c r="F436" t="inlineStr">
        <is>
          <t>biosphere</t>
        </is>
      </c>
      <c r="H436" t="inlineStr">
        <is>
          <t/>
        </is>
      </c>
    </row>
    <row r="437">
      <c r="A437" t="inlineStr">
        <is>
          <t>Suspended solids, unspecified</t>
        </is>
      </c>
      <c r="B437">
        <v>2.24e-07</v>
      </c>
      <c r="D437" t="inlineStr">
        <is>
          <t>kilogram</t>
        </is>
      </c>
      <c r="E437" t="inlineStr">
        <is>
          <t>water::ground-</t>
        </is>
      </c>
      <c r="F437" t="inlineStr">
        <is>
          <t>biosphere</t>
        </is>
      </c>
      <c r="H437" t="inlineStr">
        <is>
          <t/>
        </is>
      </c>
    </row>
    <row r="438">
      <c r="A438" t="inlineStr">
        <is>
          <t>TOC, Total Organic Carbon</t>
        </is>
      </c>
      <c r="B438">
        <v>2.97e-07</v>
      </c>
      <c r="D438" t="inlineStr">
        <is>
          <t>kilogram</t>
        </is>
      </c>
      <c r="E438" t="inlineStr">
        <is>
          <t>water::ground-</t>
        </is>
      </c>
      <c r="F438" t="inlineStr">
        <is>
          <t>biosphere</t>
        </is>
      </c>
      <c r="H438" t="inlineStr">
        <is>
          <t/>
        </is>
      </c>
    </row>
    <row r="439">
      <c r="A439" t="inlineStr">
        <is>
          <t>Zinc II</t>
        </is>
      </c>
      <c r="B439">
        <v>2.75e-05</v>
      </c>
      <c r="D439" t="inlineStr">
        <is>
          <t>kilogram</t>
        </is>
      </c>
      <c r="E439" t="inlineStr">
        <is>
          <t>air</t>
        </is>
      </c>
      <c r="F439" t="inlineStr">
        <is>
          <t>biosphere</t>
        </is>
      </c>
      <c r="H439" t="inlineStr">
        <is>
          <t/>
        </is>
      </c>
    </row>
    <row r="440">
      <c r="A440" t="inlineStr">
        <is>
          <t>Zinc II</t>
        </is>
      </c>
      <c r="B440">
        <v>1.9e-06</v>
      </c>
      <c r="D440" t="inlineStr">
        <is>
          <t>kilogram</t>
        </is>
      </c>
      <c r="E440" t="inlineStr">
        <is>
          <t>water::ground-</t>
        </is>
      </c>
      <c r="F440" t="inlineStr">
        <is>
          <t>biosphere</t>
        </is>
      </c>
      <c r="H440" t="inlineStr">
        <is>
          <t/>
        </is>
      </c>
    </row>
    <row r="443">
      <c r="A443" t="inlineStr">
        <is>
          <t>Activity</t>
        </is>
      </c>
      <c r="B443" t="inlineStr">
        <is>
          <t xml:space="preserve">polyethylene coating production, high density, for pipelines</t>
        </is>
      </c>
    </row>
    <row r="444">
      <c r="A444" t="inlineStr">
        <is>
          <t>location</t>
        </is>
      </c>
      <c r="B444" t="inlineStr">
        <is>
          <t>GLO</t>
        </is>
      </c>
    </row>
    <row r="445">
      <c r="A445" t="inlineStr">
        <is>
          <t>production amount</t>
        </is>
      </c>
      <c r="B445">
        <v>1</v>
      </c>
    </row>
    <row r="446">
      <c r="A446" t="inlineStr">
        <is>
          <t>reference product</t>
        </is>
      </c>
      <c r="B446" t="inlineStr">
        <is>
          <t xml:space="preserve">polyethylene coating, high density, for pipelines</t>
        </is>
      </c>
    </row>
    <row r="447">
      <c r="A447" t="inlineStr">
        <is>
          <t>unit</t>
        </is>
      </c>
      <c r="B447" t="inlineStr">
        <is>
          <t>kilogram</t>
        </is>
      </c>
    </row>
    <row r="448">
      <c r="A448" t="inlineStr">
        <is>
          <t>source</t>
        </is>
      </c>
      <c r="B448" t="inlineStr">
        <is>
          <t>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t>
        </is>
      </c>
    </row>
    <row r="449">
      <c r="A449" t="inlineStr">
        <is>
          <t>comment</t>
        </is>
      </c>
      <c r="B449" t="inlineStr">
        <is>
          <t xml:space="preserve">Nomenclature revision, 2026-10-19. Former activity name: HDPE pipeline coat, material and extrusion, engineering reference. Former reference product: HDPE pipeline coat, material and extrusion, engineering reference. Activity/product labels and supplier references only; coefficients, formulas, uncertainty, declared output and unit are unchanged. Original engineering assumptions, functional-unit basis and limitations remain below.
APPROVED HYDROGEN PIPELINE GEOMETRY AND MATERIAL BOUNDARY, issue73,2026-10-18. Tsiklios2022 DOI10.1016/j.apenergy.2022.120097 publicSI TableS4:Galvalume55Al/43.4Zn/1.6Siwt%,150umFBE,HDPEfeedplus extrusion. Retain published transmission steel791447.36kg/km,innerGalvalumearea3660m2/km,HDPE5599.17kg/km. Existing PSI2023 distribution adaptation OD0.105m/ID0.100m fixes steelwall2.5mm; absolute coating thicknesses65um inner,25um outerpowder,0.5mmHDPE selected explicitly. Distribution selection is an explicit engineering adaptation,not an independently pressure-certified19bar pipeline:OD105mm,ID100mm=&gt;wall2.5mm,not copied4.5mm or27.09*(5/55). Steel density7850kg/m3 gives6319.509972236697kg/km; buy steel material AND equal pipe-drawing service,not two steel material inputs. Galvalume retainedmass=innerarea*pi*ID*length*65um*alloydensity; idealvolume-additive density=1/(.55/2700+.434/7140+.016/2330)=3685.2098164751933kg/m3. Transmission innerarea3660m2 fromsource gives876.7114153394484kg/km; distribution innerarea314.159m2 gives75.25328256144047kg/km. Thickness65um and idealalloydensity are explicitreferencechoices; actualmeasuredcoatingdensity/roughness/porosity need verification,test thickness30-100um. SourceGalvalume is reportedm2,notkg:original446.05kg cannot be transferred unchangedacrossdiameters. Both now buy issue72kgretainedalloy provider; its95%metalyield and unresolvedsodaash/processanomalies remainvisible. HDPEannulus outside25umFBE and0.5mmHDPE at950kg/m3 gives157.50767467854035kg/km; feedfullHDPEgranulateandmatchingextrusionservice,notextrusiononly. Transmission5599.17kgHDPE retainedassourced,not rederived underdistributiongeometry. NewHDPEprovider100%retentionreference,processscrap/yieldgapexplicit,test95-100%; no inventednegativeplasticcredit. Powdercoating native reference documents80um architecturalpowder,NOT source-specificFBE:purchase actualouterarea*selectedthickness/80um (25distribution,150transmission). This is an explicit thickness-proportional equivalent-area proxy including utilities; actualFBEresin/hardener,curingenergyperarea andservice-life gaps remain,not claimed industrialFBEreconstruction. Neither the addedHDPEfeed nor the coatservice includessteelmaterial. Freightretainseachoriginalimpliedmass-distance route for steel+Galvalume+HDPE,updatingtkmfornewretainedmass; excludesunknownpowder-retainedmass/sandfreight,asbefore. Distributiontrenchvolumes,sand,landuse/water andhelicoptersremainexistingperkmreferences ratherthan blindlyscaledbydiameteror100; trenchwidth andactualinstallationneedfieldvalidation. Service40years/0.22MtH2 and19bar distributionassumption retained,hydraulicsnotrecalculated; transmission40years/124.81Mtandcompressor125kmspacing unchanged. Treatment alreadyhas -1kmproduction andwrapper-1kmwasteinput:correctsigns preserved,not invertedorduplicated. Retainexisting50%landfill/treatment scenario as engineeringboundary,nowhalfretainedsteel+Galvalumemass toexistingdecommissionedpipeline treatment andhalfHDPE toexistingplastic treatment. Otherhalfmetal/polymerfate andpowdercoatingtreatment remainunresolved; no assumedprimary-secondaryshare,recoverycreditorclaimofcompleteEOLcoverage. Genericpipelinewastetreatment maycontainits ownlegacycomposition; not element-specificGalvalume recovery. Correctonlymisleadingdistributionmetadata; nativeprocesses/runtime/YAML unchanged. Geometry-derivedquantities:{'steel_kg_per_km': 6319.509972236697, 'Galvalume_kg_per_km': 75.25328256144047, 'HDPE_kg_per_km': 157.50767467854035}.</t>
        </is>
      </c>
    </row>
    <row r="450">
      <c r="A450" t="inlineStr">
        <is>
          <t>Exchanges</t>
        </is>
      </c>
    </row>
    <row r="451">
      <c r="A451" t="inlineStr">
        <is>
          <t>name</t>
        </is>
      </c>
      <c r="B451" t="inlineStr">
        <is>
          <t>amount</t>
        </is>
      </c>
      <c r="C451" t="inlineStr">
        <is>
          <t>location</t>
        </is>
      </c>
      <c r="D451" t="inlineStr">
        <is>
          <t>unit</t>
        </is>
      </c>
      <c r="E451" t="inlineStr">
        <is>
          <t>categories</t>
        </is>
      </c>
      <c r="F451" t="inlineStr">
        <is>
          <t>type</t>
        </is>
      </c>
      <c r="G451" t="inlineStr">
        <is>
          <t>reference product</t>
        </is>
      </c>
      <c r="H451" t="inlineStr">
        <is>
          <t>comment</t>
        </is>
      </c>
      <c r="I451" t="inlineStr">
        <is>
          <t>product</t>
        </is>
      </c>
    </row>
    <row r="452">
      <c r="A452" t="inlineStr">
        <is>
          <t xml:space="preserve">polyethylene coating production, high density, for pipelines</t>
        </is>
      </c>
      <c r="B452">
        <v>1</v>
      </c>
      <c r="C452" t="inlineStr">
        <is>
          <t>GLO</t>
        </is>
      </c>
      <c r="D452" t="inlineStr">
        <is>
          <t>kilogram</t>
        </is>
      </c>
      <c r="F452" t="inlineStr">
        <is>
          <t>production</t>
        </is>
      </c>
      <c r="G452" t="inlineStr">
        <is>
          <t xml:space="preserve">polyethylene coating, high density, for pipelines</t>
        </is>
      </c>
      <c r="I452" t="inlineStr">
        <is>
          <t xml:space="preserve">polyethylene coating, high density, for pipelines</t>
        </is>
      </c>
    </row>
    <row r="453">
      <c r="A453" t="inlineStr">
        <is>
          <t>market for polyethylene, high density, granulate</t>
        </is>
      </c>
      <c r="B453">
        <v>1</v>
      </c>
      <c r="C453" t="inlineStr">
        <is>
          <t>GLO</t>
        </is>
      </c>
      <c r="D453" t="inlineStr">
        <is>
          <t>kilogram</t>
        </is>
      </c>
      <c r="F453" t="inlineStr">
        <is>
          <t>technosphere</t>
        </is>
      </c>
      <c r="G453" t="inlineStr">
        <is>
          <t>polyethylene, high density, granulate</t>
        </is>
      </c>
      <c r="I453" t="inlineStr">
        <is>
          <t>polyethylene, high density, granulate</t>
        </is>
      </c>
    </row>
    <row r="454">
      <c r="A454" t="inlineStr">
        <is>
          <t>extrusion, plastic film</t>
        </is>
      </c>
      <c r="B454">
        <v>1</v>
      </c>
      <c r="C454" t="inlineStr">
        <is>
          <t>RER</t>
        </is>
      </c>
      <c r="D454" t="inlineStr">
        <is>
          <t>kilogram</t>
        </is>
      </c>
      <c r="F454" t="inlineStr">
        <is>
          <t>technosphere</t>
        </is>
      </c>
      <c r="G454" t="inlineStr">
        <is>
          <t>extrusion, plastic film</t>
        </is>
      </c>
      <c r="I454" t="inlineStr">
        <is>
          <t>extrusion, plastic film</t>
        </is>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