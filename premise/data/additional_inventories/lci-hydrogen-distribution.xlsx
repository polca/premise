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90F1383-229A-014D-8BE8-2BAB8D47B4C5}" xr6:coauthVersionLast="47" xr6:coauthVersionMax="47" xr10:uidLastSave="{00000000-0000-0000-0000-000000000000}"/>
  <bookViews>
    <workbookView xWindow="4440" yWindow="1600" windowWidth="25800" windowHeight="18040"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<sst xmlns="http://schemas.openxmlformats.org/spreadsheetml/2006/main" count="1423" uniqueCount="259">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</sst>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57"/>
  <sheetViews>
    <sheetView tabSelected="1" workbookViewId="0">
      <selection activeCell="G13" sqref="G13"/>
    </sheetView>
  </sheetViews>
  <sheetFormatPr baseColWidth="10" defaultColWidth="8.83203125" defaultRowHeight="15" x14ac:dyDescent="0.2"/>
  <cols>
    <col min="1" max="1" width="44.5" customWidth="1"/>
    <col min="2" max="2" width="11" bestFit="1" customWidth="1"/>
    <col min="11" max="11" width="10" bestFit="1" customWidth="1"/>
    <col min="12" max="12" width="9.6640625" bestFit="1" customWidth="1"/>
  </cols>
  <sheetData>
    <row r="1" spans="1:9" x14ac:dyDescent="0.2">
      <c r="A1" t="s">
        <v>14</v>
      </c>
      <c r="B1" t="s">
        <v>62</v>
      </c>
    </row>
    <row r="3" spans="1:9" ht="16" x14ac:dyDescent="0.2">
      <c r="A3" s="1" t="s">
        <v>0</v>
      </c>
      <c r="B3" s="1" t="s">
        <v>155</v>
      </c>
    </row>
    <row r="4" spans="1:9" x14ac:dyDescent="0.2">
      <c r="A4" t="s">
        <v>1</v>
      </c>
      <c r="B4" t="s">
        <v>2</v>
      </c>
    </row>
    <row r="5" spans="1:9" x14ac:dyDescent="0.2">
      <c r="A5" t="s">
        <v>3</v>
      </c>
      <c r="B5">
        <v>1</v>
      </c>
    </row>
    <row r="6" spans="1:9" x14ac:dyDescent="0.2">
      <c r="A6" t="s">
        <v>4</v>
      </c>
      <c r="B6" t="s">
        <v>155</v>
      </c>
    </row>
    <row r="7" spans="1:9" x14ac:dyDescent="0.2">
      <c r="A7" t="s">
        <v>6</v>
      </c>
      <c r="B7" t="s">
        <v>6</v>
      </c>
    </row>
    <row r="8" spans="1:9" x14ac:dyDescent="0.2">
      <c r="A8" t="s">
        <v>7</v>
      </c>
      <c r="B8" t="s">
        <v>8</v>
      </c>
    </row>
    <row r="9" spans="1:9" x14ac:dyDescent="0.2">
      <c r="A9" t="s">
        <v>9</v>
      </c>
      <c r="B9"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of basic hydrogen fueling station for 850 kg/d based on (Burkhardt et al., 2016). Utilization factor of 70%, so demand is 595 kg H2/day. Assumed lifetime of 40 years. Two tanks of 125 kg of H2 storage capacity are needed within this lifetime.</t>
        </is>
      </c>
    </row>
    <row r="10" spans="1:9" ht="16" x14ac:dyDescent="0.2">
      <c r="A10" s="1" t="s">
        <v>11</v>
      </c>
    </row>
    <row r="11" spans="1:9" x14ac:dyDescent="0.2">
      <c r="A11" t="s">
        <v>12</v>
      </c>
      <c r="B11" t="s">
        <v>13</v>
      </c>
      <c r="C11" t="s">
        <v>14</v>
      </c>
      <c r="D11" t="s">
        <v>1</v>
      </c>
      <c r="E11" t="s">
        <v>6</v>
      </c>
      <c r="F11" t="s">
        <v>15</v>
      </c>
      <c r="G11" t="s">
        <v>5</v>
      </c>
      <c r="H11" t="s">
        <v>16</v>
      </c>
      <c r="I11" t="s">
        <v>4</v>
      </c>
    </row>
    <row r="12" spans="1:9" x14ac:dyDescent="0.2">
      <c r="A12" t="s">
        <v>155</v>
      </c>
      <c r="B12">
        <v>1</v>
      </c>
      <c r="C12" t="s">
        <v>17</v>
      </c>
      <c r="D12" t="s">
        <v>2</v>
      </c>
      <c r="E12" t="s">
        <v>6</v>
      </c>
      <c r="G12" t="s">
        <v>18</v>
      </c>
      <c r="I12" t="s">
        <v>110</v>
      </c>
    </row>
    <row r="13" spans="1:9" ht="16" x14ac:dyDescent="0.2">
      <c r="A13" s="2" t="s">
        <v>19</v>
      </c>
      <c r="B13">
        <v>26600</v>
      </c>
      <c r="C13" t="s">
        <v>20</v>
      </c>
      <c r="D13" t="s">
        <v>2</v>
      </c>
      <c r="E13" t="s">
        <v>21</v>
      </c>
      <c r="G13" t="s">
        <v>22</v>
      </c>
      <c r="I13" t="s">
        <v>23</v>
      </c>
    </row>
    <row r="14" spans="1:9" ht="16" x14ac:dyDescent="0.2">
      <c r="A14" s="2" t="s">
        <v>24</v>
      </c>
      <c r="B14">
        <v>26600</v>
      </c>
      <c r="C14" t="s">
        <v>20</v>
      </c>
      <c r="D14" t="s">
        <v>2</v>
      </c>
      <c r="E14" t="s">
        <v>21</v>
      </c>
      <c r="G14" t="s">
        <v>22</v>
      </c>
      <c r="I14" s="2" t="s">
        <v>25</v>
      </c>
    </row>
    <row r="15" spans="1:9" ht="16" x14ac:dyDescent="0.2">
      <c r="A15" s="2" t="s">
        <v>26</v>
      </c>
      <c r="B15">
        <v>5210</v>
      </c>
      <c r="C15" t="s">
        <v>20</v>
      </c>
      <c r="D15" t="s">
        <v>2</v>
      </c>
      <c r="E15" t="s">
        <v>21</v>
      </c>
      <c r="G15" t="s">
        <v>22</v>
      </c>
      <c r="I15" s="2" t="s">
        <v>27</v>
      </c>
    </row>
    <row r="16" spans="1:9" ht="16" x14ac:dyDescent="0.2">
      <c r="A16" s="2" t="s">
        <v>28</v>
      </c>
      <c r="B16">
        <v>5210</v>
      </c>
      <c r="C16" t="s">
        <v>20</v>
      </c>
      <c r="D16" t="s">
        <v>2</v>
      </c>
      <c r="E16" t="s">
        <v>21</v>
      </c>
      <c r="G16" t="s">
        <v>22</v>
      </c>
      <c r="I16" s="2" t="s">
        <v>29</v>
      </c>
    </row>
    <row r="17" spans="1:9" ht="16" x14ac:dyDescent="0.2">
      <c r="A17" s="2" t="s">
        <v>30</v>
      </c>
      <c r="B17">
        <v>2940</v>
      </c>
      <c r="C17" t="s">
        <v>20</v>
      </c>
      <c r="D17" t="s">
        <v>2</v>
      </c>
      <c r="E17" t="s">
        <v>21</v>
      </c>
      <c r="G17" t="s">
        <v>22</v>
      </c>
      <c r="I17" t="s">
        <v>31</v>
      </c>
    </row>
    <row r="18" spans="1:9" ht="16" x14ac:dyDescent="0.2">
      <c r="A18" s="2" t="s">
        <v>32</v>
      </c>
      <c r="B18">
        <v>1180</v>
      </c>
      <c r="C18" t="s">
        <v>20</v>
      </c>
      <c r="D18" t="s">
        <v>2</v>
      </c>
      <c r="E18" t="s">
        <v>21</v>
      </c>
      <c r="G18" t="s">
        <v>22</v>
      </c>
      <c r="I18" t="s">
        <v>33</v>
      </c>
    </row>
    <row r="19" spans="1:9" ht="16" x14ac:dyDescent="0.2">
      <c r="A19" s="2" t="s">
        <v>34</v>
      </c>
      <c r="B19">
        <v>1180</v>
      </c>
      <c r="C19" t="s">
        <v>20</v>
      </c>
      <c r="D19" t="s">
        <v>2</v>
      </c>
      <c r="E19" t="s">
        <v>21</v>
      </c>
      <c r="G19" t="s">
        <v>22</v>
      </c>
      <c r="I19" t="s">
        <v>35</v>
      </c>
    </row>
    <row r="20" spans="1:9" ht="16" x14ac:dyDescent="0.2">
      <c r="A20" s="2" t="inlineStr">
        <is>
          <t>market for aluminium, wrought alloy</t>
        </is>
      </c>
      <c r="B20">
        <v>499</v>
      </c>
      <c r="C20" t="s">
        <v>20</v>
      </c>
      <c r="D20" t="inlineStr">
        <is>
          <t>GLO</t>
        </is>
      </c>
      <c r="E20" t="s">
        <v>21</v>
      </c>
      <c r="G20" t="s">
        <v>22</v>
      </c>
      <c r="I20" t="inlineStr">
        <is>
          <t>aluminium, wrought alloy</t>
        </is>
      </c>
    </row>
    <row r="21" spans="1:9" ht="16" x14ac:dyDescent="0.2">
      <c r="A21" s="2" t="s">
        <v>38</v>
      </c>
      <c r="B21">
        <v>499</v>
      </c>
      <c r="C21" t="s">
        <v>20</v>
      </c>
      <c r="D21" t="s">
        <v>2</v>
      </c>
      <c r="E21" t="s">
        <v>21</v>
      </c>
      <c r="G21" t="s">
        <v>22</v>
      </c>
      <c r="I21" t="s">
        <v>39</v>
      </c>
    </row>
    <row r="22" spans="1:9" ht="16" x14ac:dyDescent="0.2">
      <c r="A22" s="2" t="s">
        <v>40</v>
      </c>
      <c r="B22">
        <v>372</v>
      </c>
      <c r="C22" t="s">
        <v>20</v>
      </c>
      <c r="D22" t="s">
        <v>41</v>
      </c>
      <c r="E22" t="s">
        <v>21</v>
      </c>
      <c r="G22" t="s">
        <v>22</v>
      </c>
      <c r="I22" t="s">
        <v>42</v>
      </c>
    </row>
    <row r="23" spans="1:9" ht="16" x14ac:dyDescent="0.2">
      <c r="A23" s="2" t="s">
        <v>43</v>
      </c>
      <c r="B23">
        <v>64</v>
      </c>
      <c r="C23" t="s">
        <v>20</v>
      </c>
      <c r="D23" t="s">
        <v>2</v>
      </c>
      <c r="E23" t="s">
        <v>21</v>
      </c>
      <c r="G23" t="s">
        <v>22</v>
      </c>
      <c r="I23" t="s">
        <v>44</v>
      </c>
    </row>
    <row r="24" spans="1:9" ht="16" x14ac:dyDescent="0.2">
      <c r="A24" s="2" t="s">
        <v>45</v>
      </c>
      <c r="B24">
        <f>210000/2400</f>
        <v>87.5</v>
      </c>
      <c r="C24" t="s">
        <v>20</v>
      </c>
      <c r="D24" t="s">
        <v>46</v>
      </c>
      <c r="E24" t="s">
        <v>70</v>
      </c>
      <c r="G24" t="s">
        <v>22</v>
      </c>
      <c r="I24" t="s">
        <v>47</v>
      </c>
    </row>
    <row r="25" spans="1:9" ht="16" x14ac:dyDescent="0.2">
      <c r="A25" s="2" t="s">
        <v>48</v>
      </c>
      <c r="B25">
        <f>-210000</f>
        <v>-210000</v>
      </c>
      <c r="C25" t="s">
        <v>20</v>
      </c>
      <c r="D25" t="s">
        <v>46</v>
      </c>
      <c r="E25" t="s">
        <v>21</v>
      </c>
      <c r="G25" t="s">
        <v>22</v>
      </c>
      <c r="I25" t="s">
        <v>49</v>
      </c>
    </row>
    <row r="26" spans="1:9" ht="16" x14ac:dyDescent="0.2">
      <c r="A26" s="3" t="inlineStr">
        <is>
          <t xml:space="preserve">hydrogen storage tank system production, refuelling station, 125 kg hydrogen</t>
        </is>
      </c>
      <c r="B26">
        <v>2</v>
      </c>
      <c r="C26" t="s">
        <v>17</v>
      </c>
      <c r="D26" t="inlineStr">
        <is>
          <t>GLO</t>
        </is>
      </c>
      <c r="E26" t="inlineStr">
        <is>
          <t>unit</t>
        </is>
      </c>
      <c r="G26" t="s">
        <v>22</v>
      </c>
      <c r="I26" t="inlineStr">
        <is>
          <t xml:space="preserve">hydrogen storage tank system, refuelling station, 125 kg hydrogen</t>
        </is>
      </c>
    </row>
    <row r="28" spans="1:9" ht="16" x14ac:dyDescent="0.2">
      <c r="A28" s="1" t="s">
        <v>0</v>
      </c>
      <c r="B28" s="1" t="s">
        <v>111</v>
      </c>
    </row>
    <row r="29" spans="1:9" x14ac:dyDescent="0.2">
      <c r="A29" t="s">
        <v>1</v>
      </c>
      <c r="B29" t="s">
        <v>2</v>
      </c>
    </row>
    <row r="30" spans="1:9" x14ac:dyDescent="0.2">
      <c r="A30" t="s">
        <v>3</v>
      </c>
      <c r="B30">
        <v>1</v>
      </c>
    </row>
    <row r="31" spans="1:9" x14ac:dyDescent="0.2">
      <c r="A31" t="s">
        <v>4</v>
      </c>
      <c r="B31" t="s">
        <v>111</v>
      </c>
    </row>
    <row r="32" spans="1:9" x14ac:dyDescent="0.2">
      <c r="A32" t="s">
        <v>6</v>
      </c>
      <c r="B32" t="s">
        <v>21</v>
      </c>
    </row>
    <row r="33" spans="1:16" x14ac:dyDescent="0.2">
      <c r="A33" t="s">
        <v>7</v>
      </c>
      <c r="B33" t="s">
        <v>8</v>
      </c>
    </row>
    <row r="34" spans="1:16" x14ac:dyDescent="0.2">
      <c r="A34" t="s">
        <v>9</v>
      </c>
      <c r="B34"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for a high pressure storage tank per 1 kg hydrogen (Boureima et al., 2011; Das, 2011). Assumed lifetime of 20 years.</t>
        </is>
      </c>
    </row>
    <row r="35" spans="1:16" ht="16" x14ac:dyDescent="0.2">
      <c r="A35" s="1" t="s">
        <v>11</v>
      </c>
    </row>
    <row r="36" spans="1:16" x14ac:dyDescent="0.2">
      <c r="A36" t="s">
        <v>12</v>
      </c>
      <c r="B36" t="s">
        <v>13</v>
      </c>
      <c r="C36" t="s">
        <v>14</v>
      </c>
      <c r="D36" t="s">
        <v>1</v>
      </c>
      <c r="E36" t="s">
        <v>6</v>
      </c>
      <c r="F36" t="s">
        <v>15</v>
      </c>
      <c r="G36" t="s">
        <v>5</v>
      </c>
      <c r="H36" t="s">
        <v>16</v>
      </c>
      <c r="I36" t="s">
        <v>4</v>
      </c>
    </row>
    <row r="37" spans="1:16" x14ac:dyDescent="0.2">
      <c r="A37" t="s">
        <v>111</v>
      </c>
      <c r="B37">
        <v>1</v>
      </c>
      <c r="C37" t="s">
        <v>17</v>
      </c>
      <c r="D37" t="s">
        <v>2</v>
      </c>
      <c r="E37" t="s">
        <v>21</v>
      </c>
      <c r="G37" t="s">
        <v>18</v>
      </c>
      <c r="I37" t="s">
        <v>111</v>
      </c>
    </row>
    <row r="38" spans="1:16" ht="16" x14ac:dyDescent="0.2">
      <c r="A38" s="2" t="s">
        <v>51</v>
      </c>
      <c r="B38">
        <v>0.6</v>
      </c>
      <c r="C38" t="s">
        <v>20</v>
      </c>
      <c r="D38" t="s">
        <v>2</v>
      </c>
      <c r="E38" t="s">
        <v>21</v>
      </c>
      <c r="G38" t="s">
        <v>22</v>
      </c>
      <c r="I38" t="s">
        <v>52</v>
      </c>
    </row>
    <row r="39" spans="1:16" ht="16" x14ac:dyDescent="0.2">
      <c r="A39" s="2" t="inlineStr">
        <is>
          <t>market for aluminium, wrought alloy</t>
        </is>
      </c>
      <c r="B39">
        <v>0.6</v>
      </c>
      <c r="C39" t="s">
        <v>20</v>
      </c>
      <c r="D39" t="inlineStr">
        <is>
          <t>GLO</t>
        </is>
      </c>
      <c r="E39" t="s">
        <v>21</v>
      </c>
      <c r="G39" t="s">
        <v>22</v>
      </c>
      <c r="I39" t="inlineStr">
        <is>
          <t>aluminium, wrought alloy</t>
        </is>
      </c>
    </row>
    <row r="40" spans="1:16" ht="16" x14ac:dyDescent="0.2">
      <c r="A40" s="2" t="s">
        <v>53</v>
      </c>
      <c r="B40">
        <v>0.9</v>
      </c>
      <c r="C40" t="s">
        <v>20</v>
      </c>
      <c r="D40" t="s">
        <v>2</v>
      </c>
      <c r="E40" t="s">
        <v>21</v>
      </c>
      <c r="G40" t="s">
        <v>22</v>
      </c>
      <c r="I40" t="s">
        <v>54</v>
      </c>
    </row>
    <row r="41" spans="1:16" ht="16" x14ac:dyDescent="0.2">
      <c r="A41" s="2" t="s">
        <v>26</v>
      </c>
      <c r="B41">
        <v>0.9</v>
      </c>
      <c r="C41" t="s">
        <v>20</v>
      </c>
      <c r="D41" t="s">
        <v>2</v>
      </c>
      <c r="E41" t="s">
        <v>21</v>
      </c>
      <c r="G41" t="s">
        <v>22</v>
      </c>
      <c r="I41" s="2" t="s">
        <v>27</v>
      </c>
    </row>
    <row r="42" spans="1:16" x14ac:dyDescent="0.2">
      <c r="A42" t="s">
        <v>159</v>
      </c>
      <c r="B42">
        <v>7.1400000000000006</v>
      </c>
      <c r="C42" t="s">
        <v>20</v>
      </c>
      <c r="D42" t="s">
        <v>41</v>
      </c>
      <c r="E42" t="s">
        <v>21</v>
      </c>
      <c r="G42" t="s">
        <v>22</v>
      </c>
      <c r="I42" t="s">
        <v>158</v>
      </c>
    </row>
    <row r="43" spans="1:16" ht="16" x14ac:dyDescent="0.2">
      <c r="A43" s="2" t="s">
        <v>55</v>
      </c>
      <c r="B43">
        <v>3.06</v>
      </c>
      <c r="C43" t="s">
        <v>20</v>
      </c>
      <c r="D43" t="s">
        <v>41</v>
      </c>
      <c r="E43" t="s">
        <v>21</v>
      </c>
      <c r="G43" t="s">
        <v>22</v>
      </c>
      <c r="I43" t="s">
        <v>56</v>
      </c>
    </row>
    <row r="44" spans="1:16" ht="16" x14ac:dyDescent="0.2">
      <c r="A44" s="2" t="s">
        <v>57</v>
      </c>
      <c r="B44">
        <v>0.45</v>
      </c>
      <c r="C44" t="s">
        <v>20</v>
      </c>
      <c r="D44" t="s">
        <v>41</v>
      </c>
      <c r="E44" t="s">
        <v>58</v>
      </c>
      <c r="G44" t="s">
        <v>22</v>
      </c>
      <c r="I44" t="s">
        <v>59</v>
      </c>
    </row>
    <row r="45" spans="1:16" ht="16" x14ac:dyDescent="0.2">
      <c r="A45" s="2" t="s">
        <v>60</v>
      </c>
      <c r="B45">
        <v>0.9</v>
      </c>
      <c r="C45" t="s">
        <v>20</v>
      </c>
      <c r="D45" t="s">
        <v>2</v>
      </c>
      <c r="E45" t="s">
        <v>21</v>
      </c>
      <c r="G45" t="s">
        <v>22</v>
      </c>
      <c r="I45" t="s">
        <v>61</v>
      </c>
    </row>
    <row r="46" spans="1:16" ht="16" x14ac:dyDescent="0.2">
      <c r="A46" s="2" t="s">
        <v>19</v>
      </c>
      <c r="B46">
        <v>0.9</v>
      </c>
      <c r="C46" t="s">
        <v>20</v>
      </c>
      <c r="D46" t="s">
        <v>2</v>
      </c>
      <c r="E46" t="s">
        <v>21</v>
      </c>
      <c r="G46" t="s">
        <v>22</v>
      </c>
      <c r="I46" t="s">
        <v>23</v>
      </c>
    </row>
    <row r="48" spans="1:16" s="8" customFormat="1" ht="16" x14ac:dyDescent="0.2">
      <c r="A48" s="7" t="s">
        <v>0</v>
      </c>
      <c r="B48" s="7" t="s">
        <v>160</v>
      </c>
      <c r="K48" s="9"/>
      <c r="L48" s="9"/>
      <c r="M48" s="9"/>
      <c r="N48" s="9"/>
      <c r="O48" s="9"/>
      <c r="P48" s="9"/>
    </row>
    <row r="49" spans="1:20" s="8" customFormat="1" ht="16" x14ac:dyDescent="0.2">
      <c r="A49" s="8" t="s">
        <v>1</v>
      </c>
      <c r="B49" s="8" t="s">
        <v>41</v>
      </c>
      <c r="K49" s="9"/>
      <c r="L49" s="9"/>
      <c r="M49" s="9"/>
      <c r="N49" s="9"/>
      <c r="O49" s="9"/>
      <c r="P49" s="9"/>
    </row>
    <row r="50" spans="1:20" x14ac:dyDescent="0.2">
      <c r="A50" t="s">
        <v>161</v>
      </c>
      <c r="B50" s="10" t="s">
        <v>162</v>
      </c>
    </row>
    <row r="51" spans="1:20" s="8" customFormat="1" ht="16" x14ac:dyDescent="0.2">
      <c r="A51" s="8" t="s">
        <v>3</v>
      </c>
      <c r="B51" s="8">
        <v>1</v>
      </c>
      <c r="K51" s="9"/>
      <c r="L51" s="9"/>
      <c r="M51" s="9"/>
      <c r="N51" s="9"/>
      <c r="O51" s="9"/>
      <c r="P51" s="9"/>
    </row>
    <row r="52" spans="1:20" s="8" customFormat="1" ht="16" x14ac:dyDescent="0.2">
      <c r="A52" s="8" t="s">
        <v>4</v>
      </c>
      <c r="B52" s="8" t="s">
        <v>109</v>
      </c>
      <c r="K52" s="9"/>
      <c r="L52" s="9"/>
      <c r="M52" s="9"/>
      <c r="N52" s="9"/>
      <c r="O52" s="9"/>
      <c r="P52" s="9"/>
    </row>
    <row r="53" spans="1:20" s="8" customFormat="1" ht="16" x14ac:dyDescent="0.2">
      <c r="A53" s="8" t="s">
        <v>6</v>
      </c>
      <c r="B53" s="8" t="s">
        <v>63</v>
      </c>
      <c r="K53" s="9"/>
      <c r="L53" s="9"/>
      <c r="M53" s="9"/>
      <c r="N53" s="9"/>
      <c r="O53" s="9"/>
      <c r="P53" s="9"/>
    </row>
    <row r="54" spans="1:20" s="8" customFormat="1" ht="16" x14ac:dyDescent="0.2">
      <c r="A54" s="8" t="s">
        <v>9</v>
      </c>
      <c r="B5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54" s="9"/>
      <c r="L54" s="9"/>
      <c r="M54" s="9"/>
      <c r="N54" s="9"/>
      <c r="O54" s="9"/>
      <c r="P54" s="9"/>
    </row>
    <row r="55" spans="1:20" s="8" customFormat="1" ht="16" x14ac:dyDescent="0.2">
      <c r="A55" s="8" t="s">
        <v>7</v>
      </c>
      <c r="B55" s="8" t="s">
        <v>164</v>
      </c>
      <c r="K55" s="9"/>
      <c r="L55" s="9"/>
      <c r="M55" s="9"/>
      <c r="N55" s="9"/>
      <c r="O55" s="9"/>
      <c r="P55" s="9"/>
    </row>
    <row r="56" spans="1:20" s="8" customFormat="1" ht="16" x14ac:dyDescent="0.2">
      <c r="A56" s="7" t="s">
        <v>11</v>
      </c>
      <c r="K56" s="9"/>
      <c r="L56" s="9"/>
      <c r="M56" s="9"/>
      <c r="N56" s="9"/>
      <c r="O56" s="9"/>
      <c r="P56" s="9"/>
    </row>
    <row r="57" spans="1:20" s="8" customFormat="1" ht="16" x14ac:dyDescent="0.2">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6" x14ac:dyDescent="0.2">
      <c r="A58" s="8" t="s">
        <v>160</v>
      </c>
      <c r="B58" s="8">
        <v>1</v>
      </c>
      <c r="C58" s="8" t="s">
        <v>41</v>
      </c>
      <c r="D58" s="8" t="s">
        <v>63</v>
      </c>
      <c r="F58" s="8" t="s">
        <v>18</v>
      </c>
      <c r="G58" s="8" t="str">
        <f>B52</f>
        <v>pipeline, for hydrogen distribution</v>
      </c>
      <c r="K58" s="9"/>
      <c r="L58" s="9"/>
      <c r="M58" s="9"/>
      <c r="N58" s="9"/>
      <c r="O58" s="9"/>
      <c r="P58" s="9"/>
    </row>
    <row r="59" spans="1:20" s="8" customFormat="1" ht="16" x14ac:dyDescent="0.2">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6" x14ac:dyDescent="0.2">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6" x14ac:dyDescent="0.2">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6" x14ac:dyDescent="0.2">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6" x14ac:dyDescent="0.2">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6" x14ac:dyDescent="0.2">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6" x14ac:dyDescent="0.2">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6" x14ac:dyDescent="0.2">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6" x14ac:dyDescent="0.2">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6" x14ac:dyDescent="0.2">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6" x14ac:dyDescent="0.2">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6" x14ac:dyDescent="0.2">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6" x14ac:dyDescent="0.2">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6" x14ac:dyDescent="0.2">
      <c r="J72"/>
      <c r="K72" s="6"/>
      <c r="L72" s="6"/>
      <c r="M72" s="6"/>
      <c r="N72" s="6"/>
      <c r="O72" s="6"/>
      <c r="P72" s="6"/>
      <c r="Q72"/>
      <c r="R72"/>
    </row>
    <row r="73" spans="1:18" s="8" customFormat="1" ht="16" x14ac:dyDescent="0.2">
      <c r="A73" s="7" t="s">
        <v>0</v>
      </c>
      <c r="B73" s="7" t="s">
        <v>195</v>
      </c>
      <c r="K73" s="9"/>
      <c r="L73" s="9"/>
      <c r="M73" s="9"/>
      <c r="N73" s="9"/>
      <c r="O73" s="9"/>
      <c r="P73" s="9"/>
    </row>
    <row r="74" spans="1:18" s="8" customFormat="1" ht="16" x14ac:dyDescent="0.2">
      <c r="A74" s="8" t="s">
        <v>1</v>
      </c>
      <c r="B74" s="8" t="s">
        <v>41</v>
      </c>
      <c r="K74" s="9"/>
      <c r="L74" s="9"/>
      <c r="M74" s="9"/>
      <c r="N74" s="9"/>
      <c r="O74" s="9"/>
      <c r="P74" s="9"/>
    </row>
    <row r="75" spans="1:18" x14ac:dyDescent="0.2">
      <c r="A75" t="s">
        <v>161</v>
      </c>
      <c r="B75" s="10" t="s">
        <v>162</v>
      </c>
    </row>
    <row r="76" spans="1:18" s="8" customFormat="1" ht="16" x14ac:dyDescent="0.2">
      <c r="A76" s="8" t="s">
        <v>3</v>
      </c>
      <c r="B76" s="8">
        <v>1</v>
      </c>
      <c r="K76" s="9"/>
      <c r="L76" s="9"/>
      <c r="M76" s="9"/>
      <c r="N76" s="9"/>
      <c r="O76" s="9"/>
      <c r="P76" s="9"/>
    </row>
    <row r="77" spans="1:18" s="8" customFormat="1" ht="16" x14ac:dyDescent="0.2">
      <c r="A77" s="8" t="s">
        <v>4</v>
      </c>
      <c r="B77" s="8" t="s">
        <v>112</v>
      </c>
      <c r="K77" s="9"/>
      <c r="L77" s="9"/>
      <c r="M77" s="9"/>
      <c r="N77" s="9"/>
      <c r="O77" s="9"/>
      <c r="P77" s="9"/>
    </row>
    <row r="78" spans="1:18" s="8" customFormat="1" ht="16" x14ac:dyDescent="0.2">
      <c r="A78" s="8" t="s">
        <v>6</v>
      </c>
      <c r="B78" s="8" t="s">
        <v>63</v>
      </c>
      <c r="K78" s="9"/>
      <c r="L78" s="9"/>
      <c r="M78" s="9"/>
      <c r="N78" s="9"/>
      <c r="O78" s="9"/>
      <c r="P78" s="9"/>
    </row>
    <row r="79" spans="1:18" s="8" customFormat="1" ht="16" x14ac:dyDescent="0.2">
      <c r="A79" s="8" t="s">
        <v>9</v>
      </c>
      <c r="B7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79" s="9"/>
      <c r="L79" s="9"/>
      <c r="M79" s="9"/>
      <c r="N79" s="9"/>
      <c r="O79" s="9"/>
      <c r="P79" s="9"/>
    </row>
    <row r="80" spans="1:18" s="8" customFormat="1" ht="16" x14ac:dyDescent="0.2">
      <c r="A80" s="8" t="s">
        <v>7</v>
      </c>
      <c r="B80" s="8" t="s">
        <v>164</v>
      </c>
      <c r="K80" s="9"/>
      <c r="L80" s="9"/>
      <c r="M80" s="9"/>
      <c r="N80" s="9"/>
      <c r="O80" s="9"/>
      <c r="P80" s="9"/>
    </row>
    <row r="81" spans="1:20" s="8" customFormat="1" ht="16" x14ac:dyDescent="0.2">
      <c r="A81" s="7" t="s">
        <v>11</v>
      </c>
      <c r="K81" s="9"/>
      <c r="L81" s="9"/>
      <c r="M81" s="9"/>
      <c r="N81" s="9"/>
      <c r="O81" s="9"/>
      <c r="P81" s="9"/>
    </row>
    <row r="82" spans="1:20" s="8" customFormat="1" ht="16" x14ac:dyDescent="0.2">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6" x14ac:dyDescent="0.2">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6" x14ac:dyDescent="0.2">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6" x14ac:dyDescent="0.2">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6" x14ac:dyDescent="0.2">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6" x14ac:dyDescent="0.2">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6" x14ac:dyDescent="0.2">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6" x14ac:dyDescent="0.2">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6" x14ac:dyDescent="0.2">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6" x14ac:dyDescent="0.2">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6" x14ac:dyDescent="0.2">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6" x14ac:dyDescent="0.2">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6" x14ac:dyDescent="0.2">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6" x14ac:dyDescent="0.2">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6" x14ac:dyDescent="0.2">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6" x14ac:dyDescent="0.2">
      <c r="J97"/>
      <c r="K97" s="6"/>
      <c r="L97" s="6"/>
      <c r="M97" s="6"/>
      <c r="N97" s="6"/>
      <c r="O97" s="6"/>
      <c r="P97" s="6"/>
      <c r="Q97"/>
      <c r="R97"/>
    </row>
    <row r="98" spans="1:20" s="8" customFormat="1" ht="16" x14ac:dyDescent="0.2">
      <c r="A98" s="7" t="s">
        <v>0</v>
      </c>
      <c r="B98" s="7" t="s">
        <v>175</v>
      </c>
      <c r="K98" s="9"/>
      <c r="L98" s="9"/>
      <c r="M98" s="9"/>
      <c r="N98" s="9"/>
      <c r="O98" s="9"/>
      <c r="P98" s="9"/>
    </row>
    <row r="99" spans="1:20" s="8" customFormat="1" ht="16" x14ac:dyDescent="0.2">
      <c r="A99" s="8" t="s">
        <v>1</v>
      </c>
      <c r="B99" s="8" t="s">
        <v>41</v>
      </c>
      <c r="K99" s="9"/>
      <c r="L99" s="9"/>
      <c r="M99" s="9"/>
      <c r="N99" s="9"/>
      <c r="O99" s="9"/>
      <c r="P99" s="9"/>
    </row>
    <row r="100" spans="1:20" x14ac:dyDescent="0.2">
      <c r="A100" t="s">
        <v>161</v>
      </c>
      <c r="B100" s="10" t="s">
        <v>162</v>
      </c>
    </row>
    <row r="101" spans="1:20" s="8" customFormat="1" ht="16" x14ac:dyDescent="0.2">
      <c r="A101" s="8" t="s">
        <v>3</v>
      </c>
      <c r="B101" s="8">
        <v>1</v>
      </c>
      <c r="K101" s="9"/>
      <c r="L101" s="9"/>
      <c r="M101" s="9"/>
      <c r="N101" s="9"/>
      <c r="O101" s="9"/>
      <c r="P101" s="9"/>
    </row>
    <row r="102" spans="1:20" s="8" customFormat="1" ht="16" x14ac:dyDescent="0.2">
      <c r="A102" s="8" t="s">
        <v>4</v>
      </c>
      <c r="B102" s="8" t="s">
        <v>109</v>
      </c>
      <c r="K102" s="9"/>
      <c r="L102" s="9"/>
      <c r="M102" s="9"/>
      <c r="N102" s="9"/>
      <c r="O102" s="9"/>
      <c r="P102" s="9"/>
    </row>
    <row r="103" spans="1:20" s="8" customFormat="1" ht="16" x14ac:dyDescent="0.2">
      <c r="A103" s="8" t="s">
        <v>6</v>
      </c>
      <c r="B103" s="8" t="s">
        <v>63</v>
      </c>
      <c r="K103" s="9"/>
      <c r="L103" s="9"/>
      <c r="M103" s="9"/>
      <c r="N103" s="9"/>
      <c r="O103" s="9"/>
      <c r="P103" s="9"/>
    </row>
    <row r="104" spans="1:20" s="8" customFormat="1" ht="16" x14ac:dyDescent="0.2">
      <c r="A104" s="8" t="s">
        <v>9</v>
      </c>
      <c r="B10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04" s="9"/>
      <c r="L104" s="9"/>
      <c r="M104" s="9"/>
      <c r="N104" s="9"/>
      <c r="O104" s="9"/>
      <c r="P104" s="9"/>
    </row>
    <row r="105" spans="1:20" s="8" customFormat="1" ht="16" x14ac:dyDescent="0.2">
      <c r="A105" s="8" t="s">
        <v>7</v>
      </c>
      <c r="B105" s="8" t="s">
        <v>202</v>
      </c>
      <c r="K105" s="9"/>
      <c r="L105" s="9"/>
      <c r="M105" s="9"/>
      <c r="N105" s="9"/>
      <c r="O105" s="9"/>
      <c r="P105" s="9"/>
    </row>
    <row r="106" spans="1:20" s="8" customFormat="1" ht="16" x14ac:dyDescent="0.2">
      <c r="A106" s="7" t="s">
        <v>11</v>
      </c>
      <c r="K106" s="9"/>
      <c r="L106" s="9"/>
      <c r="M106" s="9"/>
      <c r="N106" s="9"/>
      <c r="O106" s="9"/>
      <c r="P106" s="9"/>
    </row>
    <row r="107" spans="1:20" s="8" customFormat="1" ht="16" x14ac:dyDescent="0.2">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6" x14ac:dyDescent="0.2">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6" x14ac:dyDescent="0.2">
      <c r="A109" s="13" t="s">
        <v>203</v>
      </c>
      <c r="B109" s="14">
        <v>2E-3</v>
      </c>
      <c r="C109" s="8" t="s">
        <v>66</v>
      </c>
      <c r="D109" s="8" t="s">
        <v>184</v>
      </c>
      <c r="F109" s="8" t="s">
        <v>22</v>
      </c>
      <c r="G109" s="8" t="s">
        <v>204</v>
      </c>
      <c r="H109" s="8" t="s">
        <v>205</v>
      </c>
      <c r="I109" s="8">
        <v>2</v>
      </c>
      <c r="J109">
        <f>LN(B109)</f>
        <v>-6.2146080984221914</v>
      </c>
      <c r="K109" s="6">
        <v>1.5</v>
      </c>
      <c r="L109" s="6">
        <v>1.2</v>
      </c>
      <c r="M109" s="6">
        <v>1.5</v>
      </c>
      <c r="N109" s="6">
        <v>1.1000000000000001</v>
      </c>
      <c r="O109" s="6">
        <v>2</v>
      </c>
      <c r="P109" s="6">
        <v>1.2</v>
      </c>
      <c r="Q109">
        <v>3</v>
      </c>
      <c r="R109">
        <f>LN(SQRT(EXP(
SQRT(
+POWER(LN(K109),2)
+POWER(LN(L109),2)
+POWER(LN(M109),2)
+POWER(LN(N109),2)
+POWER(LN(O109),2)
+POWER(LN(P109),2)
+POWER(LN(Q109),2)
)
)))</f>
        <v>0.72314801614797197</v>
      </c>
    </row>
    <row r="110" spans="1:20" s="8" customFormat="1" ht="16" x14ac:dyDescent="0.2">
      <c r="A110" s="13" t="s">
        <v>206</v>
      </c>
      <c r="B110" s="14">
        <v>0.16</v>
      </c>
      <c r="C110" s="8" t="s">
        <v>41</v>
      </c>
      <c r="D110" s="8" t="s">
        <v>70</v>
      </c>
      <c r="F110" s="8" t="s">
        <v>22</v>
      </c>
      <c r="G110" s="8" t="s">
        <v>207</v>
      </c>
      <c r="H110" s="8" t="s">
        <v>205</v>
      </c>
      <c r="I110" s="8">
        <v>2</v>
      </c>
      <c r="J110">
        <f>LN(B110)</f>
        <v>-1.8325814637483102</v>
      </c>
      <c r="K110" s="6">
        <v>1.5</v>
      </c>
      <c r="L110" s="6">
        <v>1.2</v>
      </c>
      <c r="M110" s="6">
        <v>1.5</v>
      </c>
      <c r="N110" s="6">
        <v>1.1000000000000001</v>
      </c>
      <c r="O110" s="6">
        <v>2</v>
      </c>
      <c r="P110" s="6">
        <v>1.2</v>
      </c>
      <c r="Q110">
        <v>3</v>
      </c>
      <c r="R110">
        <f>LN(SQRT(EXP(
SQRT(
+POWER(LN(K110),2)
+POWER(LN(L110),2)
+POWER(LN(M110),2)
+POWER(LN(N110),2)
+POWER(LN(O110),2)
+POWER(LN(P110),2)
+POWER(LN(Q110),2)
)
)))</f>
        <v>0.72314801614797197</v>
      </c>
    </row>
    <row r="111" spans="1:20" s="8" customFormat="1" ht="16" x14ac:dyDescent="0.2">
      <c r="A111" s="13" t="s">
        <v>208</v>
      </c>
      <c r="B111" s="14">
        <v>6319.509972236697</v>
      </c>
      <c r="C111" s="8" t="s">
        <v>2</v>
      </c>
      <c r="D111" s="8" t="s">
        <v>21</v>
      </c>
      <c r="F111" s="8" t="s">
        <v>22</v>
      </c>
      <c r="G111" s="13" t="s">
        <v>68</v>
      </c>
      <c r="H111" s="8" t="s">
        <v>205</v>
      </c>
      <c r="I111" s="8">
        <v>2</v>
      </c>
      <c r="J111">
        <f>8.751396948096332</f>
        <v>8.751396948096332</v>
      </c>
      <c r="K111" s="6">
        <v>1.5</v>
      </c>
      <c r="L111" s="6">
        <v>1.2</v>
      </c>
      <c r="M111" s="6">
        <v>1.5</v>
      </c>
      <c r="N111" s="6">
        <v>1.1000000000000001</v>
      </c>
      <c r="O111" s="6">
        <v>2</v>
      </c>
      <c r="P111" s="6">
        <v>1.2</v>
      </c>
      <c r="Q111">
        <v>2</v>
      </c>
      <c r="R111">
        <f>LN(SQRT(EXP(
SQRT(
+POWER(LN(K111),2)
+POWER(LN(L111),2)
+POWER(LN(M111),2)
+POWER(LN(N111),2)
+POWER(LN(O111),2)
+POWER(LN(P111),2)
+POWER(LN(Q111),2)
)
)))</f>
        <v>0.58422518478336083</v>
      </c>
    </row>
    <row r="112" spans="1:20" s="8" customFormat="1" ht="16" x14ac:dyDescent="0.2">
      <c r="A112" s="13" t="s">
        <v>209</v>
      </c>
      <c r="B112" s="14">
        <v>103.08350894591509</v>
      </c>
      <c r="C112" s="8" t="s">
        <v>41</v>
      </c>
      <c r="D112" s="8" t="s">
        <v>184</v>
      </c>
      <c r="F112" s="8" t="s">
        <v>22</v>
      </c>
      <c r="G112" s="8" t="s">
        <v>210</v>
      </c>
      <c r="H112" s="8" t="s">
        <v>205</v>
      </c>
      <c r="I112" s="8">
        <v>2</v>
      </c>
      <c r="J112">
        <f>4.635539426201243</f>
        <v>4.635539426201243</v>
      </c>
      <c r="K112" s="6">
        <v>1.5</v>
      </c>
      <c r="L112" s="6">
        <v>1.2</v>
      </c>
      <c r="M112" s="6">
        <v>1.5</v>
      </c>
      <c r="N112" s="6">
        <v>1.1000000000000001</v>
      </c>
      <c r="O112" s="6">
        <v>2</v>
      </c>
      <c r="P112" s="6">
        <v>1.2</v>
      </c>
      <c r="Q112">
        <v>2</v>
      </c>
      <c r="R112">
        <f>LN(SQRT(EXP(
SQRT(
+POWER(LN(K112),2)
+POWER(LN(L112),2)
+POWER(LN(M112),2)
+POWER(LN(N112),2)
+POWER(LN(O112),2)
+POWER(LN(P112),2)
+POWER(LN(Q112),2)
)
)))</f>
        <v>0.58422518478336083</v>
      </c>
    </row>
    <row r="113" spans="1:20" s="8" customFormat="1" ht="16" x14ac:dyDescent="0.2">
      <c r="A113" s="8" t="inlineStr">
        <is>
          <t xml:space="preserve">aluminium-zinc coating alloy production, for galvanizing</t>
        </is>
      </c>
      <c r="B113" s="8">
        <v>75.25328256144047</v>
      </c>
      <c r="C113" s="8" t="inlineStr">
        <is>
          <t>GLO</t>
        </is>
      </c>
      <c r="D113" s="8" t="s">
        <v>21</v>
      </c>
      <c r="F113" s="8" t="s">
        <v>22</v>
      </c>
      <c r="G113" s="8" t="inlineStr">
        <is>
          <t xml:space="preserve">aluminium-zinc coating alloy, for galvanizing</t>
        </is>
      </c>
      <c r="H113" s="8" t="s">
        <v>205</v>
      </c>
      <c r="I113" s="8">
        <v>2</v>
      </c>
      <c r="J113">
        <f>4.320859524756513</f>
        <v>4.320859524756513</v>
      </c>
      <c r="K113" s="6">
        <v>1.5</v>
      </c>
      <c r="L113" s="6">
        <v>1.2</v>
      </c>
      <c r="M113" s="6">
        <v>1.5</v>
      </c>
      <c r="N113" s="6">
        <v>1.1000000000000001</v>
      </c>
      <c r="O113" s="6">
        <v>2</v>
      </c>
      <c r="P113" s="6">
        <v>1.2</v>
      </c>
      <c r="Q113">
        <v>2</v>
      </c>
      <c r="R113">
        <f>LN(SQRT(EXP(
SQRT(
+POWER(LN(K113),2)
+POWER(LN(L113),2)
+POWER(LN(M113),2)
+POWER(LN(N113),2)
+POWER(LN(O113),2)
+POWER(LN(P113),2)
+POWER(LN(Q113),2)
)
)))</f>
        <v>0.58422518478336083</v>
      </c>
    </row>
    <row r="114" spans="1:20" s="8" customFormat="1" ht="16" x14ac:dyDescent="0.2">
      <c r="A114" s="13" t="inlineStr">
        <is>
          <t xml:space="preserve">polyethylene coating production, high density, for pipelines</t>
        </is>
      </c>
      <c r="B114" s="14">
        <v>157.50767467854035</v>
      </c>
      <c r="C114" s="8" t="inlineStr">
        <is>
          <t>GLO</t>
        </is>
      </c>
      <c r="D114" s="8" t="inlineStr">
        <is>
          <t>kilogram</t>
        </is>
      </c>
      <c r="F114" s="8" t="s">
        <v>22</v>
      </c>
      <c r="G114" s="13" t="inlineStr">
        <is>
          <t xml:space="preserve">polyethylene coating, high density, for pipelines</t>
        </is>
      </c>
      <c r="H114" s="8" t="s">
        <v>205</v>
      </c>
      <c r="I114" s="8">
        <v>2</v>
      </c>
      <c r="J114">
        <f>5.059474185196228</f>
        <v>5.059474185196228</v>
      </c>
      <c r="K114" s="6">
        <v>1.5</v>
      </c>
      <c r="L114" s="6">
        <v>1.2</v>
      </c>
      <c r="M114" s="6">
        <v>1.5</v>
      </c>
      <c r="N114" s="6">
        <v>1.1000000000000001</v>
      </c>
      <c r="O114" s="6">
        <v>2</v>
      </c>
      <c r="P114" s="6">
        <v>1.2</v>
      </c>
      <c r="Q114">
        <v>2</v>
      </c>
      <c r="R114">
        <f>LN(SQRT(EXP(
SQRT(
+POWER(LN(K114),2)
+POWER(LN(L114),2)
+POWER(LN(M114),2)
+POWER(LN(N114),2)
+POWER(LN(O114),2)
+POWER(LN(P114),2)
+POWER(LN(Q114),2)
)
)))</f>
        <v>0.58422518478336083</v>
      </c>
    </row>
    <row r="115" spans="1:20" s="8" customFormat="1" ht="16" x14ac:dyDescent="0.2">
      <c r="A115" s="13" t="s">
        <v>19</v>
      </c>
      <c r="B115" s="14">
        <v>6319.509972236697</v>
      </c>
      <c r="C115" s="8" t="s">
        <v>2</v>
      </c>
      <c r="D115" s="8" t="s">
        <v>21</v>
      </c>
      <c r="F115" s="8" t="s">
        <v>22</v>
      </c>
      <c r="G115" s="13" t="s">
        <v>23</v>
      </c>
      <c r="H115" s="8" t="s">
        <v>205</v>
      </c>
      <c r="I115" s="8">
        <v>2</v>
      </c>
      <c r="J115">
        <f>8.751396948096332</f>
        <v>8.751396948096332</v>
      </c>
      <c r="K115" s="6">
        <v>1.5</v>
      </c>
      <c r="L115" s="6">
        <v>1.2</v>
      </c>
      <c r="M115" s="6">
        <v>1.5</v>
      </c>
      <c r="N115" s="6">
        <v>1.1000000000000001</v>
      </c>
      <c r="O115" s="6">
        <v>2</v>
      </c>
      <c r="P115" s="6">
        <v>1.2</v>
      </c>
      <c r="Q115">
        <v>2</v>
      </c>
      <c r="R115">
        <f>LN(SQRT(EXP(
SQRT(
+POWER(LN(K115),2)
+POWER(LN(L115),2)
+POWER(LN(M115),2)
+POWER(LN(N115),2)
+POWER(LN(O115),2)
+POWER(LN(P115),2)
+POWER(LN(Q115),2)
)
)))</f>
        <v>0.58422518478336083</v>
      </c>
    </row>
    <row r="116" spans="1:20" s="8" customFormat="1" ht="16" x14ac:dyDescent="0.2">
      <c r="J116"/>
      <c r="K116" s="6"/>
      <c r="L116" s="6"/>
      <c r="M116" s="6"/>
      <c r="N116" s="6"/>
      <c r="O116" s="6"/>
      <c r="P116" s="6"/>
      <c r="Q116"/>
      <c r="R116"/>
    </row>
    <row r="117" spans="1:20" s="8" customFormat="1" ht="16" x14ac:dyDescent="0.2">
      <c r="A117" s="7" t="s">
        <v>0</v>
      </c>
      <c r="B117" s="7" t="s">
        <v>176</v>
      </c>
      <c r="K117" s="9"/>
      <c r="L117" s="9"/>
      <c r="M117" s="9"/>
      <c r="N117" s="9"/>
      <c r="O117" s="9"/>
      <c r="P117" s="9"/>
    </row>
    <row r="118" spans="1:20" s="8" customFormat="1" ht="16" x14ac:dyDescent="0.2">
      <c r="A118" s="8" t="s">
        <v>1</v>
      </c>
      <c r="B118" s="8" t="s">
        <v>41</v>
      </c>
      <c r="K118" s="9"/>
      <c r="L118" s="9"/>
      <c r="M118" s="9"/>
      <c r="N118" s="9"/>
      <c r="O118" s="9"/>
      <c r="P118" s="9"/>
    </row>
    <row r="119" spans="1:20" x14ac:dyDescent="0.2">
      <c r="A119" t="s">
        <v>161</v>
      </c>
      <c r="B119" s="10" t="s">
        <v>162</v>
      </c>
    </row>
    <row r="120" spans="1:20" s="8" customFormat="1" ht="16" x14ac:dyDescent="0.2">
      <c r="A120" s="8" t="s">
        <v>3</v>
      </c>
      <c r="B120" s="8">
        <v>1</v>
      </c>
      <c r="K120" s="9"/>
      <c r="L120" s="9"/>
      <c r="M120" s="9"/>
      <c r="N120" s="9"/>
      <c r="O120" s="9"/>
      <c r="P120" s="9"/>
    </row>
    <row r="121" spans="1:20" s="8" customFormat="1" ht="16" x14ac:dyDescent="0.2">
      <c r="A121" s="8" t="s">
        <v>4</v>
      </c>
      <c r="B121" s="8" t="s">
        <v>109</v>
      </c>
      <c r="K121" s="9"/>
      <c r="L121" s="9"/>
      <c r="M121" s="9"/>
      <c r="N121" s="9"/>
      <c r="O121" s="9"/>
      <c r="P121" s="9"/>
    </row>
    <row r="122" spans="1:20" s="8" customFormat="1" ht="16" x14ac:dyDescent="0.2">
      <c r="A122" s="8" t="s">
        <v>6</v>
      </c>
      <c r="B122" s="8" t="s">
        <v>63</v>
      </c>
      <c r="K122" s="9"/>
      <c r="L122" s="9"/>
      <c r="M122" s="9"/>
      <c r="N122" s="9"/>
      <c r="O122" s="9"/>
      <c r="P122" s="9"/>
    </row>
    <row r="123" spans="1:20" s="8" customFormat="1" ht="16" x14ac:dyDescent="0.2">
      <c r="A123" s="8" t="s">
        <v>9</v>
      </c>
      <c r="B12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23" s="9"/>
      <c r="L123" s="9"/>
      <c r="M123" s="9"/>
      <c r="N123" s="9"/>
      <c r="O123" s="9"/>
      <c r="P123" s="9"/>
    </row>
    <row r="124" spans="1:20" s="8" customFormat="1" ht="16" x14ac:dyDescent="0.2">
      <c r="A124" s="8" t="s">
        <v>7</v>
      </c>
      <c r="B124" s="8" t="s">
        <v>202</v>
      </c>
      <c r="K124" s="9"/>
      <c r="L124" s="9"/>
      <c r="M124" s="9"/>
      <c r="N124" s="9"/>
      <c r="O124" s="9"/>
      <c r="P124" s="9"/>
    </row>
    <row r="125" spans="1:20" s="8" customFormat="1" ht="16" x14ac:dyDescent="0.2">
      <c r="A125" s="7" t="s">
        <v>11</v>
      </c>
      <c r="K125" s="9"/>
      <c r="L125" s="9"/>
      <c r="M125" s="9"/>
      <c r="N125" s="9"/>
      <c r="O125" s="9"/>
      <c r="P125" s="9"/>
    </row>
    <row r="126" spans="1:20" s="8" customFormat="1" ht="16" x14ac:dyDescent="0.2">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6" x14ac:dyDescent="0.2">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6" x14ac:dyDescent="0.2">
      <c r="A128" s="8" t="s">
        <v>69</v>
      </c>
      <c r="B128" s="9">
        <v>12</v>
      </c>
      <c r="C128" s="8" t="s">
        <v>41</v>
      </c>
      <c r="D128" s="8" t="s">
        <v>70</v>
      </c>
      <c r="F128" s="8" t="s">
        <v>22</v>
      </c>
      <c r="G128" s="8" t="s">
        <v>69</v>
      </c>
      <c r="H128" s="8" t="s">
        <v>212</v>
      </c>
      <c r="I128" s="8">
        <v>2</v>
      </c>
      <c r="J128">
        <f>LN(B128)</f>
        <v>2.4849066497880004</v>
      </c>
      <c r="K128" s="6">
        <v>1.5</v>
      </c>
      <c r="L128" s="6">
        <v>1.2</v>
      </c>
      <c r="M128" s="6">
        <v>1.5</v>
      </c>
      <c r="N128" s="6">
        <v>1.1000000000000001</v>
      </c>
      <c r="O128" s="6">
        <v>2</v>
      </c>
      <c r="P128" s="6">
        <v>2</v>
      </c>
      <c r="Q128">
        <v>3</v>
      </c>
      <c r="R128">
        <f>LN(SQRT(EXP(
SQRT(
+POWER(LN(K128),2)
+POWER(LN(L128),2)
+POWER(LN(M128),2)
+POWER(LN(N128),2)
+POWER(LN(O128),2)
+POWER(LN(P128),2)
+POWER(LN(Q128),2)
)
)))</f>
        <v>0.79670949487272646</v>
      </c>
    </row>
    <row r="129" spans="1:20" s="8" customFormat="1" ht="16" x14ac:dyDescent="0.2">
      <c r="A129" s="8" t="s">
        <v>71</v>
      </c>
      <c r="B129" s="9">
        <v>190</v>
      </c>
      <c r="C129" s="8" t="s">
        <v>41</v>
      </c>
      <c r="D129" s="8" t="s">
        <v>70</v>
      </c>
      <c r="F129" s="8" t="s">
        <v>22</v>
      </c>
      <c r="G129" s="8" t="s">
        <v>71</v>
      </c>
      <c r="H129" s="8" t="s">
        <v>212</v>
      </c>
      <c r="I129" s="8">
        <v>2</v>
      </c>
      <c r="J129">
        <f>LN(B129)</f>
        <v>5.2470240721604862</v>
      </c>
      <c r="K129" s="6">
        <v>1.5</v>
      </c>
      <c r="L129" s="6">
        <v>1.2</v>
      </c>
      <c r="M129" s="6">
        <v>1.5</v>
      </c>
      <c r="N129" s="6">
        <v>1.1000000000000001</v>
      </c>
      <c r="O129" s="6">
        <v>2</v>
      </c>
      <c r="P129" s="6">
        <v>2</v>
      </c>
      <c r="Q129">
        <v>3</v>
      </c>
      <c r="R129">
        <f>LN(SQRT(EXP(
SQRT(
+POWER(LN(K129),2)
+POWER(LN(L129),2)
+POWER(LN(M129),2)
+POWER(LN(N129),2)
+POWER(LN(O129),2)
+POWER(LN(P129),2)
+POWER(LN(Q129),2)
)
)))</f>
        <v>0.79670949487272646</v>
      </c>
    </row>
    <row r="130" spans="1:20" s="8" customFormat="1" ht="16" x14ac:dyDescent="0.2">
      <c r="A130" s="8" t="s">
        <v>213</v>
      </c>
      <c r="B130" s="9">
        <v>22800</v>
      </c>
      <c r="C130" s="8" t="s">
        <v>66</v>
      </c>
      <c r="D130" s="8" t="s">
        <v>21</v>
      </c>
      <c r="F130" s="8" t="s">
        <v>22</v>
      </c>
      <c r="G130" s="8" t="s">
        <v>214</v>
      </c>
      <c r="H130" s="8" t="s">
        <v>212</v>
      </c>
      <c r="I130" s="8">
        <v>2</v>
      </c>
      <c r="J130">
        <f>LN(B130)</f>
        <v>10.034515814942532</v>
      </c>
      <c r="K130" s="6">
        <v>1.5</v>
      </c>
      <c r="L130" s="6">
        <v>1.2</v>
      </c>
      <c r="M130" s="6">
        <v>1.5</v>
      </c>
      <c r="N130" s="6">
        <v>1.1000000000000001</v>
      </c>
      <c r="O130" s="6">
        <v>2</v>
      </c>
      <c r="P130" s="6">
        <v>1.05</v>
      </c>
      <c r="Q130">
        <v>3</v>
      </c>
      <c r="R130">
        <f>LN(SQRT(EXP(
SQRT(
+POWER(LN(K130),2)
+POWER(LN(L130),2)
+POWER(LN(M130),2)
+POWER(LN(N130),2)
+POWER(LN(O130),2)
+POWER(LN(P130),2)
+POWER(LN(Q130),2)
)
)))</f>
        <v>0.71779376269979156</v>
      </c>
    </row>
    <row r="131" spans="1:20" s="8" customFormat="1" ht="16" x14ac:dyDescent="0.2">
      <c r="A131" s="8" t="s">
        <v>73</v>
      </c>
      <c r="B131" s="9">
        <v>935.5370155138878</v>
      </c>
      <c r="C131" s="8" t="s">
        <v>74</v>
      </c>
      <c r="D131" s="8" t="s">
        <v>75</v>
      </c>
      <c r="F131" s="8" t="s">
        <v>22</v>
      </c>
      <c r="G131" s="8" t="s">
        <v>76</v>
      </c>
      <c r="H131" s="8" t="s">
        <v>212</v>
      </c>
      <c r="I131" s="8">
        <v>2</v>
      </c>
      <c r="J131">
        <f>6.841120712557115</f>
        <v>6.841120712557115</v>
      </c>
      <c r="K131" s="6">
        <v>1.5</v>
      </c>
      <c r="L131" s="6">
        <v>1.2</v>
      </c>
      <c r="M131" s="6">
        <v>1.5</v>
      </c>
      <c r="N131" s="6">
        <v>1.1000000000000001</v>
      </c>
      <c r="O131" s="6">
        <v>2</v>
      </c>
      <c r="P131" s="6">
        <v>2</v>
      </c>
      <c r="Q131">
        <v>3</v>
      </c>
      <c r="R131">
        <f>LN(SQRT(EXP(
SQRT(
+POWER(LN(K131),2)
+POWER(LN(L131),2)
+POWER(LN(M131),2)
+POWER(LN(N131),2)
+POWER(LN(O131),2)
+POWER(LN(P131),2)
+POWER(LN(Q131),2)
)
)))</f>
        <v>0.79670949487272646</v>
      </c>
    </row>
    <row r="132" spans="1:20" s="8" customFormat="1" ht="16" x14ac:dyDescent="0.2">
      <c r="J132"/>
      <c r="K132" s="6"/>
      <c r="L132" s="6"/>
      <c r="M132" s="6"/>
      <c r="N132" s="6"/>
      <c r="O132" s="6"/>
      <c r="P132" s="6"/>
      <c r="Q132"/>
      <c r="R132"/>
    </row>
    <row r="133" spans="1:20" s="8" customFormat="1" ht="16" x14ac:dyDescent="0.2">
      <c r="A133" s="7" t="s">
        <v>0</v>
      </c>
      <c r="B133" s="7" t="s">
        <v>177</v>
      </c>
      <c r="K133" s="9"/>
      <c r="L133" s="9"/>
      <c r="M133" s="9"/>
      <c r="N133" s="9"/>
      <c r="O133" s="9"/>
      <c r="P133" s="9"/>
    </row>
    <row r="134" spans="1:20" s="8" customFormat="1" ht="16" x14ac:dyDescent="0.2">
      <c r="A134" s="8" t="s">
        <v>1</v>
      </c>
      <c r="B134" s="8" t="s">
        <v>41</v>
      </c>
      <c r="K134" s="9"/>
      <c r="L134" s="9"/>
      <c r="M134" s="9"/>
      <c r="N134" s="9"/>
      <c r="O134" s="9"/>
      <c r="P134" s="9"/>
    </row>
    <row r="135" spans="1:20" x14ac:dyDescent="0.2">
      <c r="A135" t="s">
        <v>161</v>
      </c>
      <c r="B135" s="10" t="s">
        <v>162</v>
      </c>
    </row>
    <row r="136" spans="1:20" s="8" customFormat="1" ht="16" x14ac:dyDescent="0.2">
      <c r="A136" s="8" t="s">
        <v>3</v>
      </c>
      <c r="B136" s="8">
        <v>-1</v>
      </c>
      <c r="K136" s="9"/>
      <c r="L136" s="9"/>
      <c r="M136" s="9"/>
      <c r="N136" s="9"/>
      <c r="O136" s="9"/>
      <c r="P136" s="9"/>
    </row>
    <row r="137" spans="1:20" s="8" customFormat="1" ht="16" x14ac:dyDescent="0.2">
      <c r="A137" s="8" t="s">
        <v>4</v>
      </c>
      <c r="B137" s="8" t="s">
        <v>178</v>
      </c>
      <c r="K137" s="9"/>
      <c r="L137" s="9"/>
      <c r="M137" s="9"/>
      <c r="N137" s="9"/>
      <c r="O137" s="9"/>
      <c r="P137" s="9"/>
    </row>
    <row r="138" spans="1:20" s="8" customFormat="1" ht="16" x14ac:dyDescent="0.2">
      <c r="A138" s="8" t="s">
        <v>6</v>
      </c>
      <c r="B138" s="8" t="s">
        <v>63</v>
      </c>
      <c r="K138" s="9"/>
      <c r="L138" s="9"/>
      <c r="M138" s="9"/>
      <c r="N138" s="9"/>
      <c r="O138" s="9"/>
      <c r="P138" s="9"/>
    </row>
    <row r="139" spans="1:20" s="8" customFormat="1" ht="16" x14ac:dyDescent="0.2">
      <c r="A139" s="8" t="s">
        <v>9</v>
      </c>
      <c r="B13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39" s="9"/>
      <c r="L139" s="9"/>
      <c r="M139" s="9"/>
      <c r="N139" s="9"/>
      <c r="O139" s="9"/>
      <c r="P139" s="9"/>
    </row>
    <row r="140" spans="1:20" s="8" customFormat="1" ht="16" x14ac:dyDescent="0.2">
      <c r="A140" s="8" t="s">
        <v>7</v>
      </c>
      <c r="B140" s="8" t="s">
        <v>202</v>
      </c>
      <c r="K140" s="9"/>
      <c r="L140" s="9"/>
      <c r="M140" s="9"/>
      <c r="N140" s="9"/>
      <c r="O140" s="9"/>
      <c r="P140" s="9"/>
    </row>
    <row r="141" spans="1:20" s="8" customFormat="1" ht="16" x14ac:dyDescent="0.2">
      <c r="A141" s="7" t="s">
        <v>11</v>
      </c>
      <c r="K141" s="9"/>
      <c r="L141" s="9"/>
      <c r="M141" s="9"/>
      <c r="N141" s="9"/>
      <c r="O141" s="9"/>
      <c r="P141" s="9"/>
    </row>
    <row r="142" spans="1:20" s="8" customFormat="1" ht="16" x14ac:dyDescent="0.2">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6" x14ac:dyDescent="0.2">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6" x14ac:dyDescent="0.2">
      <c r="A144" s="8" t="s">
        <v>65</v>
      </c>
      <c r="B144" s="8">
        <v>-3197.3816273990687</v>
      </c>
      <c r="C144" s="8" t="s">
        <v>66</v>
      </c>
      <c r="D144" s="8" t="s">
        <v>21</v>
      </c>
      <c r="F144" s="8" t="s">
        <v>22</v>
      </c>
      <c r="G144" s="8" t="s">
        <v>67</v>
      </c>
      <c r="H144" s="8" t="s">
        <v>215</v>
      </c>
      <c r="I144" s="8">
        <v>2</v>
      </c>
      <c r="J144">
        <f>8.07008751240778</f>
        <v>8.07008751240778</v>
      </c>
      <c r="K144" s="6">
        <v>1.5</v>
      </c>
      <c r="L144" s="6">
        <v>1.2</v>
      </c>
      <c r="M144" s="6">
        <v>1.5</v>
      </c>
      <c r="N144" s="6">
        <v>1.1000000000000001</v>
      </c>
      <c r="O144" s="6">
        <v>2</v>
      </c>
      <c r="P144" s="6">
        <v>2</v>
      </c>
      <c r="Q144">
        <v>1.05</v>
      </c>
      <c r="R144">
        <f>LN(SQRT(EXP(
SQRT(
+POWER(LN(K144),2)
+POWER(LN(L144),2)
+POWER(LN(M144),2)
+POWER(LN(N144),2)
+POWER(LN(O144),2)
+POWER(LN(P144),2)
+POWER(LN(Q144),2)
)
)))</f>
        <v>0.57758453844188851</v>
      </c>
      <c r="S144" s="8" t="b">
        <v>1</v>
      </c>
    </row>
    <row r="145" spans="1:20" s="8" customFormat="1" ht="16" x14ac:dyDescent="0.2">
      <c r="A145" s="8" t="s">
        <v>216</v>
      </c>
      <c r="B145" s="8">
        <v>-78.75383733927018</v>
      </c>
      <c r="C145" s="8" t="s">
        <v>217</v>
      </c>
      <c r="D145" s="8" t="s">
        <v>21</v>
      </c>
      <c r="F145" s="8" t="s">
        <v>22</v>
      </c>
      <c r="G145" s="8" t="s">
        <v>218</v>
      </c>
      <c r="H145" s="8" t="s">
        <v>215</v>
      </c>
      <c r="I145" s="8">
        <v>2</v>
      </c>
      <c r="J145">
        <f>4.3663270046362825</f>
        <v>4.3663270046362825</v>
      </c>
      <c r="K145" s="6">
        <v>1.5</v>
      </c>
      <c r="L145" s="6">
        <v>1.2</v>
      </c>
      <c r="M145" s="6">
        <v>1.5</v>
      </c>
      <c r="N145" s="6">
        <v>1.1000000000000001</v>
      </c>
      <c r="O145" s="6">
        <v>2</v>
      </c>
      <c r="P145" s="6">
        <v>2</v>
      </c>
      <c r="Q145">
        <v>1.05</v>
      </c>
      <c r="R145">
        <f>LN(SQRT(EXP(
SQRT(
+POWER(LN(K145),2)
+POWER(LN(L145),2)
+POWER(LN(M145),2)
+POWER(LN(N145),2)
+POWER(LN(O145),2)
+POWER(LN(P145),2)
+POWER(LN(Q145),2)
)
)))</f>
        <v>0.57758453844188851</v>
      </c>
      <c r="S145" s="8" t="b">
        <v>1</v>
      </c>
    </row>
    <row r="146" spans="1:20" s="8" customFormat="1" ht="16" x14ac:dyDescent="0.2">
      <c r="K146" s="9"/>
      <c r="L146" s="9"/>
      <c r="M146" s="9"/>
      <c r="N146" s="9"/>
      <c r="O146" s="9"/>
      <c r="P146" s="9"/>
    </row>
    <row r="147" spans="1:20" s="8" customFormat="1" ht="16" x14ac:dyDescent="0.2">
      <c r="A147" s="7" t="s">
        <v>0</v>
      </c>
      <c r="B147" s="7" t="s">
        <v>197</v>
      </c>
      <c r="K147" s="9"/>
      <c r="L147" s="9"/>
      <c r="M147" s="9"/>
      <c r="N147" s="9"/>
      <c r="O147" s="9"/>
      <c r="P147" s="9"/>
    </row>
    <row r="148" spans="1:20" s="8" customFormat="1" ht="16" x14ac:dyDescent="0.2">
      <c r="A148" s="8" t="s">
        <v>1</v>
      </c>
      <c r="B148" s="8" t="s">
        <v>41</v>
      </c>
      <c r="K148" s="9"/>
      <c r="L148" s="9"/>
      <c r="M148" s="9"/>
      <c r="N148" s="9"/>
      <c r="O148" s="9"/>
      <c r="P148" s="9"/>
    </row>
    <row r="149" spans="1:20" x14ac:dyDescent="0.2">
      <c r="A149" t="s">
        <v>161</v>
      </c>
      <c r="B149" s="10" t="s">
        <v>162</v>
      </c>
    </row>
    <row r="150" spans="1:20" s="8" customFormat="1" ht="16" x14ac:dyDescent="0.2">
      <c r="A150" s="8" t="s">
        <v>3</v>
      </c>
      <c r="B150" s="8">
        <v>1</v>
      </c>
      <c r="K150" s="9"/>
      <c r="L150" s="9"/>
      <c r="M150" s="9"/>
      <c r="N150" s="9"/>
      <c r="O150" s="9"/>
      <c r="P150" s="9"/>
    </row>
    <row r="151" spans="1:20" s="8" customFormat="1" ht="16" x14ac:dyDescent="0.2">
      <c r="A151" s="8" t="s">
        <v>4</v>
      </c>
      <c r="B151" s="8" t="s">
        <v>112</v>
      </c>
      <c r="K151" s="9"/>
      <c r="L151" s="9"/>
      <c r="M151" s="9"/>
      <c r="N151" s="9"/>
      <c r="O151" s="9"/>
      <c r="P151" s="9"/>
    </row>
    <row r="152" spans="1:20" s="8" customFormat="1" ht="16" x14ac:dyDescent="0.2">
      <c r="A152" s="8" t="s">
        <v>6</v>
      </c>
      <c r="B152" s="8" t="s">
        <v>63</v>
      </c>
      <c r="K152" s="9"/>
      <c r="L152" s="9"/>
      <c r="M152" s="9"/>
      <c r="N152" s="9"/>
      <c r="O152" s="9"/>
      <c r="P152" s="9"/>
    </row>
    <row r="153" spans="1:20" s="8" customFormat="1" ht="16" x14ac:dyDescent="0.2">
      <c r="A153" s="8" t="s">
        <v>9</v>
      </c>
      <c r="B15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53" s="9"/>
      <c r="L153" s="9"/>
      <c r="M153" s="9"/>
      <c r="N153" s="9"/>
      <c r="O153" s="9"/>
      <c r="P153" s="9"/>
    </row>
    <row r="154" spans="1:20" s="8" customFormat="1" ht="16" x14ac:dyDescent="0.2">
      <c r="A154" s="8" t="s">
        <v>7</v>
      </c>
      <c r="B154" s="8" t="s">
        <v>164</v>
      </c>
      <c r="K154" s="9"/>
      <c r="L154" s="9"/>
      <c r="M154" s="9"/>
      <c r="N154" s="9"/>
      <c r="O154" s="9"/>
      <c r="P154" s="9"/>
    </row>
    <row r="155" spans="1:20" s="8" customFormat="1" ht="16" x14ac:dyDescent="0.2">
      <c r="A155" s="7" t="s">
        <v>11</v>
      </c>
      <c r="K155" s="9"/>
      <c r="L155" s="9"/>
      <c r="M155" s="9"/>
      <c r="N155" s="9"/>
      <c r="O155" s="9"/>
      <c r="P155" s="9"/>
    </row>
    <row r="156" spans="1:20" s="8" customFormat="1" ht="16" x14ac:dyDescent="0.2">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6" x14ac:dyDescent="0.2">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6" x14ac:dyDescent="0.2">
      <c r="A158" s="13" t="s">
        <v>203</v>
      </c>
      <c r="B158" s="14">
        <v>0.2</v>
      </c>
      <c r="C158" s="8" t="s">
        <v>66</v>
      </c>
      <c r="D158" s="8" t="s">
        <v>184</v>
      </c>
      <c r="F158" s="8" t="s">
        <v>22</v>
      </c>
      <c r="G158" s="8" t="s">
        <v>204</v>
      </c>
      <c r="H158" s="8" t="s">
        <v>205</v>
      </c>
      <c r="I158" s="8">
        <v>2</v>
      </c>
      <c r="J158">
        <f>LN(B158)</f>
        <v>-1.6094379124341003</v>
      </c>
      <c r="K158" s="6">
        <v>1.5</v>
      </c>
      <c r="L158" s="6">
        <v>1.2</v>
      </c>
      <c r="M158" s="6">
        <v>1.5</v>
      </c>
      <c r="N158" s="6">
        <v>1.1000000000000001</v>
      </c>
      <c r="O158" s="6">
        <v>2</v>
      </c>
      <c r="P158" s="6">
        <v>1.2</v>
      </c>
      <c r="Q158">
        <v>3</v>
      </c>
      <c r="R158">
        <f>LN(SQRT(EXP(
SQRT(
+POWER(LN(K158),2)
+POWER(LN(L158),2)
+POWER(LN(M158),2)
+POWER(LN(N158),2)
+POWER(LN(O158),2)
+POWER(LN(P158),2)
+POWER(LN(Q158),2)
)
)))</f>
        <v>0.72314801614797197</v>
      </c>
    </row>
    <row r="159" spans="1:20" s="8" customFormat="1" ht="16" x14ac:dyDescent="0.2">
      <c r="A159" s="13" t="s">
        <v>206</v>
      </c>
      <c r="B159" s="14">
        <v>16</v>
      </c>
      <c r="C159" s="8" t="s">
        <v>41</v>
      </c>
      <c r="D159" s="8" t="s">
        <v>70</v>
      </c>
      <c r="F159" s="8" t="s">
        <v>22</v>
      </c>
      <c r="G159" s="8" t="s">
        <v>207</v>
      </c>
      <c r="H159" s="8" t="s">
        <v>205</v>
      </c>
      <c r="I159" s="8">
        <v>2</v>
      </c>
      <c r="J159">
        <f>LN(B159)</f>
        <v>2.7725887222397811</v>
      </c>
      <c r="K159" s="6">
        <v>1.5</v>
      </c>
      <c r="L159" s="6">
        <v>1.2</v>
      </c>
      <c r="M159" s="6">
        <v>1.5</v>
      </c>
      <c r="N159" s="6">
        <v>1.1000000000000001</v>
      </c>
      <c r="O159" s="6">
        <v>2</v>
      </c>
      <c r="P159" s="6">
        <v>1.2</v>
      </c>
      <c r="Q159">
        <v>3</v>
      </c>
      <c r="R159">
        <f>LN(SQRT(EXP(
SQRT(
+POWER(LN(K159),2)
+POWER(LN(L159),2)
+POWER(LN(M159),2)
+POWER(LN(N159),2)
+POWER(LN(O159),2)
+POWER(LN(P159),2)
+POWER(LN(Q159),2)
)
)))</f>
        <v>0.72314801614797197</v>
      </c>
    </row>
    <row r="160" spans="1:20" s="8" customFormat="1" ht="16" x14ac:dyDescent="0.2">
      <c r="A160" s="13" t="s">
        <v>208</v>
      </c>
      <c r="B160" s="14">
        <v>791447.36</v>
      </c>
      <c r="C160" s="8" t="s">
        <v>2</v>
      </c>
      <c r="D160" s="8" t="s">
        <v>21</v>
      </c>
      <c r="F160" s="8" t="s">
        <v>22</v>
      </c>
      <c r="G160" s="13" t="s">
        <v>68</v>
      </c>
      <c r="H160" s="8" t="s">
        <v>205</v>
      </c>
      <c r="I160" s="8">
        <v>2</v>
      </c>
      <c r="J160">
        <f>13.581618649458564</f>
        <v>13.581618649458564</v>
      </c>
      <c r="K160" s="6">
        <v>1.5</v>
      </c>
      <c r="L160" s="6">
        <v>1.2</v>
      </c>
      <c r="M160" s="6">
        <v>1.5</v>
      </c>
      <c r="N160" s="6">
        <v>1.1000000000000001</v>
      </c>
      <c r="O160" s="6">
        <v>2</v>
      </c>
      <c r="P160" s="6">
        <v>1.2</v>
      </c>
      <c r="Q160">
        <v>2</v>
      </c>
      <c r="R160">
        <f>LN(SQRT(EXP(
SQRT(
+POWER(LN(K160),2)
+POWER(LN(L160),2)
+POWER(LN(M160),2)
+POWER(LN(N160),2)
+POWER(LN(O160),2)
+POWER(LN(P160),2)
+POWER(LN(Q160),2)
)
)))</f>
        <v>0.58422518478336083</v>
      </c>
    </row>
    <row r="161" spans="1:20" s="8" customFormat="1" ht="16" x14ac:dyDescent="0.2">
      <c r="A161" s="13" t="s">
        <v>209</v>
      </c>
      <c r="B161" s="14">
        <v>7181.68125</v>
      </c>
      <c r="C161" s="8" t="s">
        <v>41</v>
      </c>
      <c r="D161" s="8" t="s">
        <v>184</v>
      </c>
      <c r="F161" s="8" t="s">
        <v>22</v>
      </c>
      <c r="G161" s="8" t="s">
        <v>210</v>
      </c>
      <c r="H161" s="8" t="s">
        <v>205</v>
      </c>
      <c r="I161" s="8">
        <v>2</v>
      </c>
      <c r="J161">
        <f>8.879288792013325</f>
        <v>8.879288792013325</v>
      </c>
      <c r="K161" s="6">
        <v>1.5</v>
      </c>
      <c r="L161" s="6">
        <v>1.2</v>
      </c>
      <c r="M161" s="6">
        <v>1.5</v>
      </c>
      <c r="N161" s="6">
        <v>1.1000000000000001</v>
      </c>
      <c r="O161" s="6">
        <v>2</v>
      </c>
      <c r="P161" s="6">
        <v>1.2</v>
      </c>
      <c r="Q161">
        <v>2</v>
      </c>
      <c r="R161">
        <f>LN(SQRT(EXP(
SQRT(
+POWER(LN(K161),2)
+POWER(LN(L161),2)
+POWER(LN(M161),2)
+POWER(LN(N161),2)
+POWER(LN(O161),2)
+POWER(LN(P161),2)
+POWER(LN(Q161),2)
)
)))</f>
        <v>0.58422518478336083</v>
      </c>
    </row>
    <row r="162" spans="1:20" s="8" customFormat="1" ht="16" x14ac:dyDescent="0.2">
      <c r="A162" s="8" t="inlineStr">
        <is>
          <t xml:space="preserve">aluminium-zinc coating alloy production, for galvanizing</t>
        </is>
      </c>
      <c r="B162" s="8">
        <v>876.7114153394484</v>
      </c>
      <c r="C162" s="8" t="inlineStr">
        <is>
          <t>GLO</t>
        </is>
      </c>
      <c r="D162" s="8" t="s">
        <v>21</v>
      </c>
      <c r="F162" s="8" t="s">
        <v>22</v>
      </c>
      <c r="G162" s="8" t="inlineStr">
        <is>
          <t xml:space="preserve">aluminium-zinc coating alloy, for galvanizing</t>
        </is>
      </c>
      <c r="H162" s="8" t="s">
        <v>205</v>
      </c>
      <c r="I162" s="8">
        <v>2</v>
      </c>
      <c r="J162">
        <f>6.776177879314433</f>
        <v>6.776177879314433</v>
      </c>
      <c r="K162" s="6">
        <v>1.5</v>
      </c>
      <c r="L162" s="6">
        <v>1.2</v>
      </c>
      <c r="M162" s="6">
        <v>1.5</v>
      </c>
      <c r="N162" s="6">
        <v>1.1000000000000001</v>
      </c>
      <c r="O162" s="6">
        <v>2</v>
      </c>
      <c r="P162" s="6">
        <v>1.2</v>
      </c>
      <c r="Q162">
        <v>2</v>
      </c>
      <c r="R162">
        <f>LN(SQRT(EXP(
SQRT(
+POWER(LN(K162),2)
+POWER(LN(L162),2)
+POWER(LN(M162),2)
+POWER(LN(N162),2)
+POWER(LN(O162),2)
+POWER(LN(P162),2)
+POWER(LN(Q162),2)
)
)))</f>
        <v>0.58422518478336083</v>
      </c>
    </row>
    <row r="163" spans="1:20" s="8" customFormat="1" ht="16" x14ac:dyDescent="0.2">
      <c r="A163" s="13" t="inlineStr">
        <is>
          <t xml:space="preserve">polyethylene coating production, high density, for pipelines</t>
        </is>
      </c>
      <c r="B163" s="14">
        <v>5599.17</v>
      </c>
      <c r="C163" s="8" t="inlineStr">
        <is>
          <t>GLO</t>
        </is>
      </c>
      <c r="D163" s="8" t="inlineStr">
        <is>
          <t>kilogram</t>
        </is>
      </c>
      <c r="F163" s="8" t="s">
        <v>22</v>
      </c>
      <c r="G163" s="13" t="inlineStr">
        <is>
          <t xml:space="preserve">polyethylene coating, high density, for pipelines</t>
        </is>
      </c>
      <c r="H163" s="8" t="s">
        <v>205</v>
      </c>
      <c r="I163" s="8">
        <v>2</v>
      </c>
      <c r="J163">
        <f>8.630373651452704</f>
        <v>8.630373651452704</v>
      </c>
      <c r="K163" s="6">
        <v>1.5</v>
      </c>
      <c r="L163" s="6">
        <v>1.2</v>
      </c>
      <c r="M163" s="6">
        <v>1.5</v>
      </c>
      <c r="N163" s="6">
        <v>1.1000000000000001</v>
      </c>
      <c r="O163" s="6">
        <v>2</v>
      </c>
      <c r="P163" s="6">
        <v>1.2</v>
      </c>
      <c r="Q163">
        <v>2</v>
      </c>
      <c r="R163">
        <f>LN(SQRT(EXP(
SQRT(
+POWER(LN(K163),2)
+POWER(LN(L163),2)
+POWER(LN(M163),2)
+POWER(LN(N163),2)
+POWER(LN(O163),2)
+POWER(LN(P163),2)
+POWER(LN(Q163),2)
)
)))</f>
        <v>0.58422518478336083</v>
      </c>
    </row>
    <row r="164" spans="1:20" s="8" customFormat="1" ht="16" x14ac:dyDescent="0.2">
      <c r="A164" s="13" t="s">
        <v>19</v>
      </c>
      <c r="B164" s="14">
        <v>791447.36</v>
      </c>
      <c r="C164" s="8" t="s">
        <v>2</v>
      </c>
      <c r="D164" s="8" t="s">
        <v>21</v>
      </c>
      <c r="F164" s="8" t="s">
        <v>22</v>
      </c>
      <c r="G164" s="13" t="s">
        <v>23</v>
      </c>
      <c r="H164" s="8" t="s">
        <v>205</v>
      </c>
      <c r="I164" s="8">
        <v>2</v>
      </c>
      <c r="J164">
        <f>13.581618649458564</f>
        <v>13.581618649458564</v>
      </c>
      <c r="K164" s="6">
        <v>1.5</v>
      </c>
      <c r="L164" s="6">
        <v>1.2</v>
      </c>
      <c r="M164" s="6">
        <v>1.5</v>
      </c>
      <c r="N164" s="6">
        <v>1.1000000000000001</v>
      </c>
      <c r="O164" s="6">
        <v>2</v>
      </c>
      <c r="P164" s="6">
        <v>1.2</v>
      </c>
      <c r="Q164">
        <v>2</v>
      </c>
      <c r="R164">
        <f>LN(SQRT(EXP(
SQRT(
+POWER(LN(K164),2)
+POWER(LN(L164),2)
+POWER(LN(M164),2)
+POWER(LN(N164),2)
+POWER(LN(O164),2)
+POWER(LN(P164),2)
+POWER(LN(Q164),2)
)
)))</f>
        <v>0.58422518478336083</v>
      </c>
    </row>
    <row r="165" spans="1:20" s="8" customFormat="1" ht="16" x14ac:dyDescent="0.2">
      <c r="J165"/>
      <c r="K165" s="6"/>
      <c r="L165" s="6"/>
      <c r="M165" s="6"/>
      <c r="N165" s="6"/>
      <c r="O165" s="6"/>
      <c r="P165" s="6"/>
      <c r="Q165"/>
      <c r="R165"/>
    </row>
    <row r="166" spans="1:20" s="8" customFormat="1" ht="16" x14ac:dyDescent="0.2">
      <c r="A166" s="7" t="s">
        <v>0</v>
      </c>
      <c r="B166" s="7" t="s">
        <v>198</v>
      </c>
      <c r="K166" s="9"/>
      <c r="L166" s="9"/>
      <c r="M166" s="9"/>
      <c r="N166" s="9"/>
      <c r="O166" s="9"/>
      <c r="P166" s="9"/>
    </row>
    <row r="167" spans="1:20" s="8" customFormat="1" ht="16" x14ac:dyDescent="0.2">
      <c r="A167" s="8" t="s">
        <v>1</v>
      </c>
      <c r="B167" s="8" t="s">
        <v>41</v>
      </c>
      <c r="K167" s="9"/>
      <c r="L167" s="9"/>
      <c r="M167" s="9"/>
      <c r="N167" s="9"/>
      <c r="O167" s="9"/>
      <c r="P167" s="9"/>
    </row>
    <row r="168" spans="1:20" x14ac:dyDescent="0.2">
      <c r="A168" t="s">
        <v>161</v>
      </c>
      <c r="B168" s="10" t="s">
        <v>162</v>
      </c>
    </row>
    <row r="169" spans="1:20" s="8" customFormat="1" ht="16" x14ac:dyDescent="0.2">
      <c r="A169" s="8" t="s">
        <v>3</v>
      </c>
      <c r="B169" s="8">
        <v>1</v>
      </c>
      <c r="K169" s="9"/>
      <c r="L169" s="9"/>
      <c r="M169" s="9"/>
      <c r="N169" s="9"/>
      <c r="O169" s="9"/>
      <c r="P169" s="9"/>
    </row>
    <row r="170" spans="1:20" s="8" customFormat="1" ht="16" x14ac:dyDescent="0.2">
      <c r="A170" s="8" t="s">
        <v>4</v>
      </c>
      <c r="B170" s="8" t="s">
        <v>112</v>
      </c>
      <c r="K170" s="9"/>
      <c r="L170" s="9"/>
      <c r="M170" s="9"/>
      <c r="N170" s="9"/>
      <c r="O170" s="9"/>
      <c r="P170" s="9"/>
    </row>
    <row r="171" spans="1:20" s="8" customFormat="1" ht="16" x14ac:dyDescent="0.2">
      <c r="A171" s="8" t="s">
        <v>6</v>
      </c>
      <c r="B171" s="8" t="s">
        <v>63</v>
      </c>
      <c r="K171" s="9"/>
      <c r="L171" s="9"/>
      <c r="M171" s="9"/>
      <c r="N171" s="9"/>
      <c r="O171" s="9"/>
      <c r="P171" s="9"/>
    </row>
    <row r="172" spans="1:20" s="8" customFormat="1" ht="16" x14ac:dyDescent="0.2">
      <c r="A172" s="8" t="s">
        <v>9</v>
      </c>
      <c r="B172"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72" s="9"/>
      <c r="L172" s="9"/>
      <c r="M172" s="9"/>
      <c r="N172" s="9"/>
      <c r="O172" s="9"/>
      <c r="P172" s="9"/>
    </row>
    <row r="173" spans="1:20" s="8" customFormat="1" ht="16" x14ac:dyDescent="0.2">
      <c r="A173" s="8" t="s">
        <v>7</v>
      </c>
      <c r="B173" s="8" t="s">
        <v>164</v>
      </c>
      <c r="K173" s="9"/>
      <c r="L173" s="9"/>
      <c r="M173" s="9"/>
      <c r="N173" s="9"/>
      <c r="O173" s="9"/>
      <c r="P173" s="9"/>
    </row>
    <row r="174" spans="1:20" s="8" customFormat="1" ht="16" x14ac:dyDescent="0.2">
      <c r="A174" s="7" t="s">
        <v>11</v>
      </c>
      <c r="K174" s="9"/>
      <c r="L174" s="9"/>
      <c r="M174" s="9"/>
      <c r="N174" s="9"/>
      <c r="O174" s="9"/>
      <c r="P174" s="9"/>
    </row>
    <row r="175" spans="1:20" s="8" customFormat="1" ht="16" x14ac:dyDescent="0.2">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6" x14ac:dyDescent="0.2">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6" x14ac:dyDescent="0.2">
      <c r="A177" s="8" t="s">
        <v>69</v>
      </c>
      <c r="B177" s="9">
        <v>1200</v>
      </c>
      <c r="C177" s="8" t="s">
        <v>41</v>
      </c>
      <c r="D177" s="8" t="s">
        <v>70</v>
      </c>
      <c r="F177" s="8" t="s">
        <v>22</v>
      </c>
      <c r="G177" s="8" t="s">
        <v>69</v>
      </c>
      <c r="H177" s="8" t="s">
        <v>212</v>
      </c>
      <c r="I177" s="8">
        <v>2</v>
      </c>
      <c r="J177">
        <f>LN(B177)</f>
        <v>7.0900768357760917</v>
      </c>
      <c r="K177" s="6">
        <v>1.5</v>
      </c>
      <c r="L177" s="6">
        <v>1.2</v>
      </c>
      <c r="M177" s="6">
        <v>1.5</v>
      </c>
      <c r="N177" s="6">
        <v>1.1000000000000001</v>
      </c>
      <c r="O177" s="6">
        <v>2</v>
      </c>
      <c r="P177" s="6">
        <v>2</v>
      </c>
      <c r="Q177">
        <v>3</v>
      </c>
      <c r="R177">
        <f>LN(SQRT(EXP(
SQRT(
+POWER(LN(K177),2)
+POWER(LN(L177),2)
+POWER(LN(M177),2)
+POWER(LN(N177),2)
+POWER(LN(O177),2)
+POWER(LN(P177),2)
+POWER(LN(Q177),2)
)
)))</f>
        <v>0.79670949487272646</v>
      </c>
    </row>
    <row r="178" spans="1:20" s="8" customFormat="1" ht="16" x14ac:dyDescent="0.2">
      <c r="A178" s="8" t="s">
        <v>71</v>
      </c>
      <c r="B178" s="9">
        <v>19000</v>
      </c>
      <c r="C178" s="8" t="s">
        <v>41</v>
      </c>
      <c r="D178" s="8" t="s">
        <v>70</v>
      </c>
      <c r="F178" s="8" t="s">
        <v>22</v>
      </c>
      <c r="G178" s="8" t="s">
        <v>71</v>
      </c>
      <c r="H178" s="8" t="s">
        <v>212</v>
      </c>
      <c r="I178" s="8">
        <v>2</v>
      </c>
      <c r="J178">
        <f>LN(B178)</f>
        <v>9.8521942581485771</v>
      </c>
      <c r="K178" s="6">
        <v>1.5</v>
      </c>
      <c r="L178" s="6">
        <v>1.2</v>
      </c>
      <c r="M178" s="6">
        <v>1.5</v>
      </c>
      <c r="N178" s="6">
        <v>1.1000000000000001</v>
      </c>
      <c r="O178" s="6">
        <v>2</v>
      </c>
      <c r="P178" s="6">
        <v>2</v>
      </c>
      <c r="Q178">
        <v>3</v>
      </c>
      <c r="R178">
        <f>LN(SQRT(EXP(
SQRT(
+POWER(LN(K178),2)
+POWER(LN(L178),2)
+POWER(LN(M178),2)
+POWER(LN(N178),2)
+POWER(LN(O178),2)
+POWER(LN(P178),2)
+POWER(LN(Q178),2)
)
)))</f>
        <v>0.79670949487272646</v>
      </c>
    </row>
    <row r="179" spans="1:20" s="8" customFormat="1" ht="16" x14ac:dyDescent="0.2">
      <c r="A179" s="8" t="s">
        <v>213</v>
      </c>
      <c r="B179" s="9">
        <v>2280000</v>
      </c>
      <c r="C179" s="8" t="s">
        <v>66</v>
      </c>
      <c r="D179" s="8" t="s">
        <v>21</v>
      </c>
      <c r="F179" s="8" t="s">
        <v>22</v>
      </c>
      <c r="G179" s="8" t="s">
        <v>214</v>
      </c>
      <c r="H179" s="8" t="s">
        <v>212</v>
      </c>
      <c r="I179" s="8">
        <v>2</v>
      </c>
      <c r="J179">
        <f>LN(B179)</f>
        <v>14.639686000930624</v>
      </c>
      <c r="K179" s="6">
        <v>1.5</v>
      </c>
      <c r="L179" s="6">
        <v>1.2</v>
      </c>
      <c r="M179" s="6">
        <v>1.5</v>
      </c>
      <c r="N179" s="6">
        <v>1.1000000000000001</v>
      </c>
      <c r="O179" s="6">
        <v>2</v>
      </c>
      <c r="P179" s="6">
        <v>1.05</v>
      </c>
      <c r="Q179">
        <v>3</v>
      </c>
      <c r="R179">
        <f>LN(SQRT(EXP(
SQRT(
+POWER(LN(K179),2)
+POWER(LN(L179),2)
+POWER(LN(M179),2)
+POWER(LN(N179),2)
+POWER(LN(O179),2)
+POWER(LN(P179),2)
+POWER(LN(Q179),2)
)
)))</f>
        <v>0.71779376269979156</v>
      </c>
    </row>
    <row r="180" spans="1:20" s="8" customFormat="1" ht="16" x14ac:dyDescent="0.2">
      <c r="A180" s="8" t="s">
        <v>73</v>
      </c>
      <c r="B180" s="9">
        <v>120236.38492851063</v>
      </c>
      <c r="C180" s="8" t="s">
        <v>74</v>
      </c>
      <c r="D180" s="8" t="s">
        <v>75</v>
      </c>
      <c r="F180" s="8" t="s">
        <v>22</v>
      </c>
      <c r="G180" s="8" t="s">
        <v>76</v>
      </c>
      <c r="H180" s="8" t="s">
        <v>212</v>
      </c>
      <c r="I180" s="8">
        <v>2</v>
      </c>
      <c r="J180">
        <f>11.697214958510067</f>
        <v>11.697214958510067</v>
      </c>
      <c r="K180" s="6">
        <v>1.5</v>
      </c>
      <c r="L180" s="6">
        <v>1.2</v>
      </c>
      <c r="M180" s="6">
        <v>1.5</v>
      </c>
      <c r="N180" s="6">
        <v>1.1000000000000001</v>
      </c>
      <c r="O180" s="6">
        <v>2</v>
      </c>
      <c r="P180" s="6">
        <v>2</v>
      </c>
      <c r="Q180">
        <v>3</v>
      </c>
      <c r="R180">
        <f>LN(SQRT(EXP(
SQRT(
+POWER(LN(K180),2)
+POWER(LN(L180),2)
+POWER(LN(M180),2)
+POWER(LN(N180),2)
+POWER(LN(O180),2)
+POWER(LN(P180),2)
+POWER(LN(Q180),2)
)
)))</f>
        <v>0.79670949487272646</v>
      </c>
    </row>
    <row r="181" spans="1:20" s="8" customFormat="1" ht="16" x14ac:dyDescent="0.2">
      <c r="J181"/>
      <c r="K181" s="6"/>
      <c r="L181" s="6"/>
      <c r="M181" s="6"/>
      <c r="N181" s="6"/>
      <c r="O181" s="6"/>
      <c r="P181" s="6"/>
      <c r="Q181"/>
      <c r="R181"/>
    </row>
    <row r="182" spans="1:20" s="8" customFormat="1" ht="16" x14ac:dyDescent="0.2">
      <c r="A182" s="7" t="s">
        <v>0</v>
      </c>
      <c r="B182" s="7" t="s">
        <v>199</v>
      </c>
      <c r="K182" s="9"/>
      <c r="L182" s="9"/>
      <c r="M182" s="9"/>
      <c r="N182" s="9"/>
      <c r="O182" s="9"/>
      <c r="P182" s="9"/>
    </row>
    <row r="183" spans="1:20" s="8" customFormat="1" ht="16" x14ac:dyDescent="0.2">
      <c r="A183" s="8" t="s">
        <v>1</v>
      </c>
      <c r="B183" s="8" t="s">
        <v>41</v>
      </c>
      <c r="K183" s="9"/>
      <c r="L183" s="9"/>
      <c r="M183" s="9"/>
      <c r="N183" s="9"/>
      <c r="O183" s="9"/>
      <c r="P183" s="9"/>
    </row>
    <row r="184" spans="1:20" x14ac:dyDescent="0.2">
      <c r="A184" t="s">
        <v>161</v>
      </c>
      <c r="B184" s="10" t="s">
        <v>162</v>
      </c>
    </row>
    <row r="185" spans="1:20" s="8" customFormat="1" ht="16" x14ac:dyDescent="0.2">
      <c r="A185" s="8" t="s">
        <v>3</v>
      </c>
      <c r="B185" s="8">
        <v>-1</v>
      </c>
      <c r="K185" s="9"/>
      <c r="L185" s="9"/>
      <c r="M185" s="9"/>
      <c r="N185" s="9"/>
      <c r="O185" s="9"/>
      <c r="P185" s="9"/>
    </row>
    <row r="186" spans="1:20" s="8" customFormat="1" ht="16" x14ac:dyDescent="0.2">
      <c r="A186" s="8" t="s">
        <v>4</v>
      </c>
      <c r="B186" s="8" t="s">
        <v>200</v>
      </c>
      <c r="K186" s="9"/>
      <c r="L186" s="9"/>
      <c r="M186" s="9"/>
      <c r="N186" s="9"/>
      <c r="O186" s="9"/>
      <c r="P186" s="9"/>
    </row>
    <row r="187" spans="1:20" s="8" customFormat="1" ht="16" x14ac:dyDescent="0.2">
      <c r="A187" s="8" t="s">
        <v>6</v>
      </c>
      <c r="B187" s="8" t="s">
        <v>63</v>
      </c>
      <c r="K187" s="9"/>
      <c r="L187" s="9"/>
      <c r="M187" s="9"/>
      <c r="N187" s="9"/>
      <c r="O187" s="9"/>
      <c r="P187" s="9"/>
    </row>
    <row r="188" spans="1:20" s="8" customFormat="1" ht="16" x14ac:dyDescent="0.2">
      <c r="A188" s="8" t="s">
        <v>9</v>
      </c>
      <c r="B188"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88" s="9"/>
      <c r="L188" s="9"/>
      <c r="M188" s="9"/>
      <c r="N188" s="9"/>
      <c r="O188" s="9"/>
      <c r="P188" s="9"/>
    </row>
    <row r="189" spans="1:20" s="8" customFormat="1" ht="16" x14ac:dyDescent="0.2">
      <c r="A189" s="8" t="s">
        <v>7</v>
      </c>
      <c r="B189" s="8" t="s">
        <v>164</v>
      </c>
      <c r="K189" s="9"/>
      <c r="L189" s="9"/>
      <c r="M189" s="9"/>
      <c r="N189" s="9"/>
      <c r="O189" s="9"/>
      <c r="P189" s="9"/>
    </row>
    <row r="190" spans="1:20" s="8" customFormat="1" ht="16" x14ac:dyDescent="0.2">
      <c r="A190" s="7" t="s">
        <v>11</v>
      </c>
      <c r="K190" s="9"/>
      <c r="L190" s="9"/>
      <c r="M190" s="9"/>
      <c r="N190" s="9"/>
      <c r="O190" s="9"/>
      <c r="P190" s="9"/>
    </row>
    <row r="191" spans="1:20" s="8" customFormat="1" ht="16" x14ac:dyDescent="0.2">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6" x14ac:dyDescent="0.2">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6" x14ac:dyDescent="0.2">
      <c r="A193" s="8" t="s">
        <v>65</v>
      </c>
      <c r="B193" s="8">
        <v>-396162.03570766974</v>
      </c>
      <c r="C193" s="8" t="s">
        <v>66</v>
      </c>
      <c r="D193" s="8" t="s">
        <v>21</v>
      </c>
      <c r="F193" s="8" t="s">
        <v>22</v>
      </c>
      <c r="G193" s="8" t="s">
        <v>67</v>
      </c>
      <c r="H193" s="8" t="s">
        <v>215</v>
      </c>
      <c r="I193" s="8">
        <v>2</v>
      </c>
      <c r="J193">
        <f>12.889578587624843</f>
        <v>12.889578587624843</v>
      </c>
      <c r="K193" s="6">
        <v>1.5</v>
      </c>
      <c r="L193" s="6">
        <v>1.2</v>
      </c>
      <c r="M193" s="6">
        <v>1.5</v>
      </c>
      <c r="N193" s="6">
        <v>1.1000000000000001</v>
      </c>
      <c r="O193" s="6">
        <v>2</v>
      </c>
      <c r="P193" s="6">
        <v>2</v>
      </c>
      <c r="Q193">
        <v>1.05</v>
      </c>
      <c r="R193">
        <f>LN(SQRT(EXP(
SQRT(
+POWER(LN(K193),2)
+POWER(LN(L193),2)
+POWER(LN(M193),2)
+POWER(LN(N193),2)
+POWER(LN(O193),2)
+POWER(LN(P193),2)
+POWER(LN(Q193),2)
)
)))</f>
        <v>0.57758453844188851</v>
      </c>
      <c r="S193" s="8" t="b">
        <v>1</v>
      </c>
    </row>
    <row r="194" spans="1:20" s="8" customFormat="1" ht="16" x14ac:dyDescent="0.2">
      <c r="A194" s="8" t="s">
        <v>216</v>
      </c>
      <c r="B194" s="8">
        <v>-2799.585</v>
      </c>
      <c r="C194" s="8" t="s">
        <v>217</v>
      </c>
      <c r="D194" s="8" t="s">
        <v>21</v>
      </c>
      <c r="F194" s="8" t="s">
        <v>22</v>
      </c>
      <c r="G194" s="8" t="s">
        <v>218</v>
      </c>
      <c r="H194" s="8" t="s">
        <v>215</v>
      </c>
      <c r="I194" s="8">
        <v>2</v>
      </c>
      <c r="J194">
        <f>7.9372264708927585</f>
        <v>7.9372264708927585</v>
      </c>
      <c r="K194" s="6">
        <v>1.5</v>
      </c>
      <c r="L194" s="6">
        <v>1.2</v>
      </c>
      <c r="M194" s="6">
        <v>1.5</v>
      </c>
      <c r="N194" s="6">
        <v>1.1000000000000001</v>
      </c>
      <c r="O194" s="6">
        <v>2</v>
      </c>
      <c r="P194" s="6">
        <v>2</v>
      </c>
      <c r="Q194">
        <v>1.05</v>
      </c>
      <c r="R194">
        <f>LN(SQRT(EXP(
SQRT(
+POWER(LN(K194),2)
+POWER(LN(L194),2)
+POWER(LN(M194),2)
+POWER(LN(N194),2)
+POWER(LN(O194),2)
+POWER(LN(P194),2)
+POWER(LN(Q194),2)
)
)))</f>
        <v>0.57758453844188851</v>
      </c>
      <c r="S194" s="8" t="b">
        <v>1</v>
      </c>
    </row>
    <row r="195" spans="1:20" s="8" customFormat="1" ht="16" x14ac:dyDescent="0.2">
      <c r="K195" s="9"/>
      <c r="L195" s="9"/>
      <c r="M195" s="9"/>
      <c r="N195" s="9"/>
      <c r="O195" s="9"/>
      <c r="P195" s="9"/>
    </row>
    <row r="196" spans="1:20" s="8" customFormat="1" ht="16" x14ac:dyDescent="0.2">
      <c r="A196" s="7" t="s">
        <v>0</v>
      </c>
      <c r="B196" s="7" t="s">
        <v>72</v>
      </c>
      <c r="K196" s="9"/>
      <c r="L196" s="9"/>
      <c r="M196" s="9"/>
      <c r="N196" s="9"/>
      <c r="O196" s="9"/>
      <c r="P196" s="9"/>
    </row>
    <row r="197" spans="1:20" s="8" customFormat="1" ht="16" x14ac:dyDescent="0.2">
      <c r="A197" s="8" t="s">
        <v>1</v>
      </c>
      <c r="B197" s="8" t="s">
        <v>41</v>
      </c>
      <c r="K197" s="9"/>
      <c r="L197" s="9"/>
      <c r="M197" s="9"/>
      <c r="N197" s="9"/>
      <c r="O197" s="9"/>
      <c r="P197" s="9"/>
    </row>
    <row r="198" spans="1:20" x14ac:dyDescent="0.2">
      <c r="A198" t="s">
        <v>161</v>
      </c>
      <c r="B198" s="10" t="s">
        <v>162</v>
      </c>
    </row>
    <row r="199" spans="1:20" s="8" customFormat="1" ht="16" x14ac:dyDescent="0.2">
      <c r="A199" s="8" t="s">
        <v>3</v>
      </c>
      <c r="B199" s="8">
        <v>1</v>
      </c>
      <c r="K199" s="9"/>
      <c r="L199" s="9"/>
      <c r="M199" s="9"/>
      <c r="N199" s="9"/>
      <c r="O199" s="9"/>
      <c r="P199" s="9"/>
    </row>
    <row r="200" spans="1:20" s="8" customFormat="1" ht="16" x14ac:dyDescent="0.2">
      <c r="A200" s="8" t="s">
        <v>4</v>
      </c>
      <c r="B200" s="8" t="s">
        <v>72</v>
      </c>
      <c r="K200" s="9"/>
      <c r="L200" s="9"/>
      <c r="M200" s="9"/>
      <c r="N200" s="9"/>
      <c r="O200" s="9"/>
      <c r="P200" s="9"/>
    </row>
    <row r="201" spans="1:20" s="8" customFormat="1" ht="16" x14ac:dyDescent="0.2">
      <c r="A201" s="8" t="s">
        <v>6</v>
      </c>
      <c r="B201" s="8" t="s">
        <v>21</v>
      </c>
      <c r="K201" s="9"/>
      <c r="L201" s="9"/>
      <c r="M201" s="9"/>
      <c r="N201" s="9"/>
      <c r="O201" s="9"/>
      <c r="P201" s="9"/>
    </row>
    <row r="202" spans="1:20" s="8" customFormat="1" ht="16" x14ac:dyDescent="0.2">
      <c r="A202" s="8" t="s">
        <v>9</v>
      </c>
      <c r="B202" s="8"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the process of applying 1 kg of zinc coating (Faist Emmenegger et al., 2007a, b; Krieg, 2012)</t>
        </is>
      </c>
      <c r="K202" s="9"/>
      <c r="L202" s="9"/>
      <c r="M202" s="9"/>
      <c r="N202" s="9"/>
      <c r="O202" s="9"/>
      <c r="P202" s="9"/>
    </row>
    <row r="203" spans="1:20" s="8" customFormat="1" ht="16" x14ac:dyDescent="0.2">
      <c r="A203" s="8" t="s">
        <v>7</v>
      </c>
      <c r="B203" s="8" t="s">
        <v>8</v>
      </c>
      <c r="K203" s="9"/>
      <c r="L203" s="9"/>
      <c r="M203" s="9"/>
      <c r="N203" s="9"/>
      <c r="O203" s="9"/>
      <c r="P203" s="9"/>
    </row>
    <row r="204" spans="1:20" s="8" customFormat="1" ht="16" x14ac:dyDescent="0.2">
      <c r="A204" s="7" t="s">
        <v>11</v>
      </c>
      <c r="K204" s="9"/>
      <c r="L204" s="9"/>
      <c r="M204" s="9"/>
      <c r="N204" s="9"/>
      <c r="O204" s="9"/>
      <c r="P204" s="9"/>
    </row>
    <row r="205" spans="1:20" s="8" customFormat="1" ht="16" x14ac:dyDescent="0.2">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6" x14ac:dyDescent="0.2">
      <c r="A206" s="8" t="s">
        <v>72</v>
      </c>
      <c r="B206" s="8">
        <v>1</v>
      </c>
      <c r="C206" s="8" t="s">
        <v>41</v>
      </c>
      <c r="D206" s="8" t="s">
        <v>21</v>
      </c>
      <c r="F206" s="8" t="s">
        <v>18</v>
      </c>
      <c r="G206" s="8" t="s">
        <v>72</v>
      </c>
      <c r="K206" s="9"/>
      <c r="L206" s="9"/>
      <c r="M206" s="9"/>
      <c r="N206" s="9"/>
      <c r="O206" s="9"/>
      <c r="P206" s="9"/>
    </row>
    <row r="207" spans="1:20" s="8" customFormat="1" ht="16" x14ac:dyDescent="0.2">
      <c r="A207" s="8" t="s">
        <v>152</v>
      </c>
      <c r="B207" s="8">
        <v>-0.0147</v>
      </c>
      <c r="C207" s="8" t="s">
        <v>41</v>
      </c>
      <c r="D207" s="8" t="s">
        <v>21</v>
      </c>
      <c r="F207" s="8" t="s">
        <v>22</v>
      </c>
      <c r="G207" s="8" t="s">
        <v>154</v>
      </c>
      <c r="H207"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207" s="8">
        <v>2</v>
      </c>
      <c r="J207">
        <f t="shared" ref="J207:J209" si="16">LN(B207*-1)</f>
        <v>-4.219907785197447</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6" x14ac:dyDescent="0.2">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6" x14ac:dyDescent="0.2">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6" x14ac:dyDescent="0.2">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6" x14ac:dyDescent="0.2">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6" x14ac:dyDescent="0.2">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6" x14ac:dyDescent="0.2">
      <c r="A213" s="8" t="s">
        <v>82</v>
      </c>
      <c r="B213" s="8">
        <v>3.06e-05</v>
      </c>
      <c r="C213" s="8" t="s">
        <v>41</v>
      </c>
      <c r="D213" s="8" t="s">
        <v>21</v>
      </c>
      <c r="F213" s="8" t="s">
        <v>22</v>
      </c>
      <c r="G213" s="8" t="s">
        <v>83</v>
      </c>
      <c r="H213"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213" s="8">
        <v>2</v>
      </c>
      <c r="J213">
        <f t="shared" si="18"/>
        <v>-10.39451054900594</v>
      </c>
      <c r="K213" s="6">
        <v>1.5</v>
      </c>
      <c r="L213" s="6">
        <v>1.2</v>
      </c>
      <c r="M213" s="6">
        <v>1.5</v>
      </c>
      <c r="N213" s="6">
        <v>1.1000000000000001</v>
      </c>
      <c r="O213" s="6">
        <v>2</v>
      </c>
      <c r="P213" s="6">
        <v>1.2</v>
      </c>
      <c r="Q213">
        <v>1.05</v>
      </c>
      <c r="R213">
        <f t="shared" si="17"/>
        <v>0.47095746419981693</v>
      </c>
    </row>
    <row r="214" spans="1:19" s="8" customFormat="1" ht="16" x14ac:dyDescent="0.2">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6" x14ac:dyDescent="0.2">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6" x14ac:dyDescent="0.2">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6" x14ac:dyDescent="0.2">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6" x14ac:dyDescent="0.2">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6" x14ac:dyDescent="0.2">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6" x14ac:dyDescent="0.2">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6" x14ac:dyDescent="0.2">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6" x14ac:dyDescent="0.2">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6" x14ac:dyDescent="0.2">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6" x14ac:dyDescent="0.2">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6" x14ac:dyDescent="0.2">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6" x14ac:dyDescent="0.2">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6" x14ac:dyDescent="0.2">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6" x14ac:dyDescent="0.2">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6" x14ac:dyDescent="0.2">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6" x14ac:dyDescent="0.2">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6" x14ac:dyDescent="0.2">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6" x14ac:dyDescent="0.2">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6" x14ac:dyDescent="0.2">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6" x14ac:dyDescent="0.2">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6" x14ac:dyDescent="0.2">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6" x14ac:dyDescent="0.2">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6" x14ac:dyDescent="0.2">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6" x14ac:dyDescent="0.2">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6" x14ac:dyDescent="0.2">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6" x14ac:dyDescent="0.2">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6" x14ac:dyDescent="0.2">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6" x14ac:dyDescent="0.2">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6" x14ac:dyDescent="0.2">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6" x14ac:dyDescent="0.2">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6" x14ac:dyDescent="0.2">
      <c r="K245" s="9"/>
      <c r="L245" s="9"/>
      <c r="M245" s="9"/>
      <c r="N245" s="9"/>
      <c r="O245" s="9"/>
      <c r="P245" s="9"/>
    </row>
    <row r="246" spans="1:20" s="8" customFormat="1" ht="16" x14ac:dyDescent="0.2">
      <c r="A246" s="7" t="s">
        <v>0</v>
      </c>
      <c r="B246" s="7" t="s">
        <v>231</v>
      </c>
      <c r="K246" s="9"/>
      <c r="L246" s="9"/>
      <c r="M246" s="9"/>
      <c r="N246" s="9"/>
      <c r="O246" s="9"/>
      <c r="P246" s="9"/>
    </row>
    <row r="247" spans="1:20" s="8" customFormat="1" ht="16" x14ac:dyDescent="0.2">
      <c r="A247" s="8" t="s">
        <v>1</v>
      </c>
      <c r="B247" s="8" t="s">
        <v>41</v>
      </c>
      <c r="K247" s="9"/>
      <c r="L247" s="9"/>
      <c r="M247" s="9"/>
      <c r="N247" s="9"/>
      <c r="O247" s="9"/>
      <c r="P247" s="9"/>
    </row>
    <row r="248" spans="1:20" x14ac:dyDescent="0.2">
      <c r="A248" t="s">
        <v>161</v>
      </c>
      <c r="B248" s="10" t="s">
        <v>162</v>
      </c>
    </row>
    <row r="249" spans="1:20" s="8" customFormat="1" ht="16" x14ac:dyDescent="0.2">
      <c r="A249" s="8" t="s">
        <v>3</v>
      </c>
      <c r="B249" s="8">
        <v>1</v>
      </c>
      <c r="K249" s="9"/>
      <c r="L249" s="9"/>
      <c r="M249" s="9"/>
      <c r="N249" s="9"/>
      <c r="O249" s="9"/>
      <c r="P249" s="9"/>
    </row>
    <row r="250" spans="1:20" s="8" customFormat="1" ht="16" x14ac:dyDescent="0.2">
      <c r="A250" s="8" t="s">
        <v>4</v>
      </c>
      <c r="B250" s="8" t="s">
        <v>232</v>
      </c>
      <c r="K250" s="9"/>
      <c r="L250" s="9"/>
      <c r="M250" s="9"/>
      <c r="N250" s="9"/>
      <c r="O250" s="9"/>
      <c r="P250" s="9"/>
    </row>
    <row r="251" spans="1:20" s="8" customFormat="1" ht="16" x14ac:dyDescent="0.2">
      <c r="A251" s="8" t="s">
        <v>6</v>
      </c>
      <c r="B251" s="8" t="s">
        <v>6</v>
      </c>
      <c r="K251" s="9"/>
      <c r="L251" s="9"/>
      <c r="M251" s="9"/>
      <c r="N251" s="9"/>
      <c r="O251" s="9"/>
      <c r="P251" s="9"/>
    </row>
    <row r="252" spans="1:20" s="8" customFormat="1" ht="16" x14ac:dyDescent="0.2">
      <c r="A252" s="8" t="s">
        <v>9</v>
      </c>
      <c r="B252" s="8" t="s">
        <v>233</v>
      </c>
      <c r="K252" s="9"/>
      <c r="L252" s="9"/>
      <c r="M252" s="9"/>
      <c r="N252" s="9"/>
      <c r="O252" s="9"/>
      <c r="P252" s="9"/>
    </row>
    <row r="253" spans="1:20" s="8" customFormat="1" ht="16" x14ac:dyDescent="0.2">
      <c r="A253" s="8" t="s">
        <v>7</v>
      </c>
      <c r="B253" s="8" t="s">
        <v>164</v>
      </c>
      <c r="K253" s="9"/>
      <c r="L253" s="9"/>
      <c r="M253" s="9"/>
      <c r="N253" s="9"/>
      <c r="O253" s="9"/>
      <c r="P253" s="9"/>
    </row>
    <row r="254" spans="1:20" s="8" customFormat="1" ht="16" x14ac:dyDescent="0.2">
      <c r="A254" s="7" t="s">
        <v>11</v>
      </c>
      <c r="K254" s="9"/>
      <c r="L254" s="9"/>
      <c r="M254" s="9"/>
      <c r="N254" s="9"/>
      <c r="O254" s="9"/>
      <c r="P254" s="9"/>
    </row>
    <row r="255" spans="1:20" s="8" customFormat="1" ht="16" x14ac:dyDescent="0.2">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6" x14ac:dyDescent="0.2">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6" x14ac:dyDescent="0.2">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6" x14ac:dyDescent="0.2">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6" x14ac:dyDescent="0.2">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6" x14ac:dyDescent="0.2">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6" x14ac:dyDescent="0.2">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6" x14ac:dyDescent="0.2">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6" x14ac:dyDescent="0.2">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6" x14ac:dyDescent="0.2">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6" x14ac:dyDescent="0.2">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6" x14ac:dyDescent="0.2">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6" x14ac:dyDescent="0.2">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6" x14ac:dyDescent="0.2">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6" x14ac:dyDescent="0.2">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6" x14ac:dyDescent="0.2">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6" x14ac:dyDescent="0.2">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6" x14ac:dyDescent="0.2">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6" x14ac:dyDescent="0.2">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6" x14ac:dyDescent="0.2">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6" x14ac:dyDescent="0.2">
      <c r="B275" s="12"/>
      <c r="K275" s="9"/>
      <c r="L275" s="9"/>
      <c r="M275" s="9"/>
      <c r="N275" s="9"/>
      <c r="O275" s="9"/>
      <c r="P275" s="9"/>
    </row>
    <row r="276" spans="1:18" ht="16" x14ac:dyDescent="0.2">
      <c r="A276" s="1" t="s">
        <v>0</v>
      </c>
      <c r="B276" s="1" t="s">
        <v>113</v>
      </c>
    </row>
    <row r="277" spans="1:18" x14ac:dyDescent="0.2">
      <c r="A277" t="s">
        <v>1</v>
      </c>
      <c r="B277" t="s">
        <v>41</v>
      </c>
    </row>
    <row r="278" spans="1:18" x14ac:dyDescent="0.2">
      <c r="A278" t="s">
        <v>3</v>
      </c>
      <c r="B278">
        <v>1</v>
      </c>
    </row>
    <row r="279" spans="1:18" x14ac:dyDescent="0.2">
      <c r="A279" t="s">
        <v>4</v>
      </c>
      <c r="B279" t="s">
        <v>114</v>
      </c>
    </row>
    <row r="280" spans="1:18" x14ac:dyDescent="0.2">
      <c r="A280" t="s">
        <v>6</v>
      </c>
      <c r="B280" t="s">
        <v>21</v>
      </c>
    </row>
    <row r="281" spans="1:18" x14ac:dyDescent="0.2">
      <c r="A281" t="s">
        <v>9</v>
      </c>
      <c r="B281" t="s">
        <v>115</v>
      </c>
    </row>
    <row r="282" spans="1:18" x14ac:dyDescent="0.2">
      <c r="A282" t="s">
        <v>7</v>
      </c>
      <c r="B282" t="s">
        <v>8</v>
      </c>
    </row>
    <row r="283" spans="1:18" ht="16" x14ac:dyDescent="0.2">
      <c r="A283" s="1" t="s">
        <v>11</v>
      </c>
    </row>
    <row r="284" spans="1:18" x14ac:dyDescent="0.2">
      <c r="A284" t="s">
        <v>12</v>
      </c>
      <c r="B284" t="s">
        <v>13</v>
      </c>
      <c r="C284" t="s">
        <v>14</v>
      </c>
      <c r="D284" t="s">
        <v>1</v>
      </c>
      <c r="E284" t="s">
        <v>15</v>
      </c>
      <c r="F284" t="s">
        <v>6</v>
      </c>
      <c r="G284" t="s">
        <v>5</v>
      </c>
      <c r="H284" t="s">
        <v>4</v>
      </c>
    </row>
    <row r="285" spans="1:18" ht="16" x14ac:dyDescent="0.2">
      <c r="A285" s="3" t="s">
        <v>113</v>
      </c>
      <c r="B285">
        <v>1</v>
      </c>
      <c r="C285" t="s">
        <v>64</v>
      </c>
      <c r="D285" t="s">
        <v>41</v>
      </c>
      <c r="F285" t="s">
        <v>21</v>
      </c>
      <c r="G285" t="s">
        <v>18</v>
      </c>
      <c r="H285" t="s">
        <v>114</v>
      </c>
    </row>
    <row r="286" spans="1:18" x14ac:dyDescent="0.2">
      <c r="A286" t="s">
        <v>121</v>
      </c>
      <c r="B286" s="5">
        <v>1.61E-7</v>
      </c>
      <c r="C286" t="s">
        <v>20</v>
      </c>
      <c r="D286" t="s">
        <v>2</v>
      </c>
      <c r="F286" t="s">
        <v>21</v>
      </c>
      <c r="G286" t="s">
        <v>22</v>
      </c>
      <c r="H286" t="s">
        <v>122</v>
      </c>
    </row>
    <row r="287" spans="1:18" ht="16" x14ac:dyDescent="0.2">
      <c r="A287" s="4" t="s">
        <v>118</v>
      </c>
      <c r="B287" s="5">
        <v>3.1999999999999999E-5</v>
      </c>
      <c r="C287" t="s">
        <v>20</v>
      </c>
      <c r="D287" t="s">
        <v>119</v>
      </c>
      <c r="F287" t="s">
        <v>21</v>
      </c>
      <c r="G287" t="s">
        <v>22</v>
      </c>
      <c r="H287" t="s">
        <v>120</v>
      </c>
    </row>
    <row r="288" spans="1:18" x14ac:dyDescent="0.2">
      <c r="A288" t="s">
        <v>116</v>
      </c>
      <c r="B288" s="5">
        <v>3.2000000000000003E-4</v>
      </c>
      <c r="C288" t="s">
        <v>20</v>
      </c>
      <c r="D288" t="s">
        <v>41</v>
      </c>
      <c r="F288" t="s">
        <v>21</v>
      </c>
      <c r="G288" t="s">
        <v>22</v>
      </c>
      <c r="H288" t="s">
        <v>117</v>
      </c>
    </row>
    <row r="289" spans="1:8" x14ac:dyDescent="0.2">
      <c r="A289" t="s">
        <v>125</v>
      </c>
      <c r="B289" s="5">
        <v>0.16600000000000001</v>
      </c>
      <c r="C289" t="s">
        <v>20</v>
      </c>
      <c r="D289" t="s">
        <v>41</v>
      </c>
      <c r="F289" t="s">
        <v>21</v>
      </c>
      <c r="G289" t="s">
        <v>22</v>
      </c>
      <c r="H289" t="s">
        <v>126</v>
      </c>
    </row>
    <row r="290" spans="1:8" x14ac:dyDescent="0.2">
      <c r="A290" t="s">
        <v>57</v>
      </c>
      <c r="B290" s="5">
        <v>0.66</v>
      </c>
      <c r="C290" t="s">
        <v>20</v>
      </c>
      <c r="D290" t="s">
        <v>41</v>
      </c>
      <c r="F290" t="s">
        <v>58</v>
      </c>
      <c r="G290" t="s">
        <v>22</v>
      </c>
      <c r="H290" t="s">
        <v>59</v>
      </c>
    </row>
    <row r="292" spans="1:8" ht="16" x14ac:dyDescent="0.2">
      <c r="A292" s="1" t="s">
        <v>0</v>
      </c>
      <c r="B292" s="1" t="s">
        <v>123</v>
      </c>
    </row>
    <row r="293" spans="1:8" x14ac:dyDescent="0.2">
      <c r="A293" t="s">
        <v>1</v>
      </c>
      <c r="B293" t="s">
        <v>41</v>
      </c>
    </row>
    <row r="294" spans="1:8" x14ac:dyDescent="0.2">
      <c r="A294" t="s">
        <v>3</v>
      </c>
      <c r="B294">
        <v>1</v>
      </c>
    </row>
    <row r="295" spans="1:8" x14ac:dyDescent="0.2">
      <c r="A295" t="s">
        <v>4</v>
      </c>
      <c r="B295" t="s">
        <v>124</v>
      </c>
    </row>
    <row r="296" spans="1:8" x14ac:dyDescent="0.2">
      <c r="A296" t="s">
        <v>6</v>
      </c>
      <c r="B296" t="s">
        <v>21</v>
      </c>
    </row>
    <row r="297" spans="1:8" x14ac:dyDescent="0.2">
      <c r="A297" t="s">
        <v>9</v>
      </c>
      <c r="B297" t="s">
        <v>115</v>
      </c>
    </row>
    <row r="298" spans="1:8" x14ac:dyDescent="0.2">
      <c r="A298" t="s">
        <v>7</v>
      </c>
      <c r="B298" t="s">
        <v>8</v>
      </c>
    </row>
    <row r="299" spans="1:8" ht="16" x14ac:dyDescent="0.2">
      <c r="A299" s="1" t="s">
        <v>11</v>
      </c>
    </row>
    <row r="300" spans="1:8" x14ac:dyDescent="0.2">
      <c r="A300" t="s">
        <v>12</v>
      </c>
      <c r="B300" t="s">
        <v>13</v>
      </c>
      <c r="C300" t="s">
        <v>14</v>
      </c>
      <c r="D300" t="s">
        <v>1</v>
      </c>
      <c r="E300" t="s">
        <v>15</v>
      </c>
      <c r="F300" t="s">
        <v>6</v>
      </c>
      <c r="G300" t="s">
        <v>5</v>
      </c>
      <c r="H300" t="s">
        <v>4</v>
      </c>
    </row>
    <row r="301" spans="1:8" ht="16" x14ac:dyDescent="0.2">
      <c r="A301" s="3" t="s">
        <v>123</v>
      </c>
      <c r="B301">
        <v>1</v>
      </c>
      <c r="C301" t="s">
        <v>64</v>
      </c>
      <c r="D301" t="s">
        <v>41</v>
      </c>
      <c r="F301" t="s">
        <v>21</v>
      </c>
      <c r="G301" t="s">
        <v>18</v>
      </c>
      <c r="H301" t="s">
        <v>124</v>
      </c>
    </row>
    <row r="302" spans="1:8" x14ac:dyDescent="0.2">
      <c r="A302" t="s">
        <v>121</v>
      </c>
      <c r="B302" s="5">
        <v>1.61E-7</v>
      </c>
      <c r="C302" t="s">
        <v>20</v>
      </c>
      <c r="D302" t="s">
        <v>2</v>
      </c>
      <c r="F302" t="s">
        <v>21</v>
      </c>
      <c r="G302" t="s">
        <v>22</v>
      </c>
      <c r="H302" t="s">
        <v>122</v>
      </c>
    </row>
    <row r="303" spans="1:8" ht="16" x14ac:dyDescent="0.2">
      <c r="A303" s="4" t="s">
        <v>118</v>
      </c>
      <c r="B303" s="5">
        <v>3.1999999999999999E-5</v>
      </c>
      <c r="C303" t="s">
        <v>20</v>
      </c>
      <c r="D303" t="s">
        <v>119</v>
      </c>
      <c r="F303" t="s">
        <v>21</v>
      </c>
      <c r="G303" t="s">
        <v>22</v>
      </c>
      <c r="H303" t="s">
        <v>120</v>
      </c>
    </row>
    <row r="304" spans="1:8" x14ac:dyDescent="0.2">
      <c r="A304" t="s">
        <v>116</v>
      </c>
      <c r="B304" s="5">
        <v>3.2000000000000003E-4</v>
      </c>
      <c r="C304" t="s">
        <v>20</v>
      </c>
      <c r="D304" t="s">
        <v>41</v>
      </c>
      <c r="F304" t="s">
        <v>21</v>
      </c>
      <c r="G304" t="s">
        <v>22</v>
      </c>
      <c r="H304" t="s">
        <v>117</v>
      </c>
    </row>
    <row r="305" spans="1:8" x14ac:dyDescent="0.2">
      <c r="A305" t="s">
        <v>125</v>
      </c>
      <c r="B305" s="5">
        <v>0.16600000000000001</v>
      </c>
      <c r="C305" t="s">
        <v>20</v>
      </c>
      <c r="D305" t="s">
        <v>41</v>
      </c>
      <c r="F305" t="s">
        <v>21</v>
      </c>
      <c r="G305" t="s">
        <v>22</v>
      </c>
      <c r="H305" t="s">
        <v>126</v>
      </c>
    </row>
    <row r="306" spans="1:8" x14ac:dyDescent="0.2">
      <c r="A306" t="s">
        <v>57</v>
      </c>
      <c r="B306" s="5">
        <v>0.36599999999999999</v>
      </c>
      <c r="C306" t="s">
        <v>20</v>
      </c>
      <c r="D306" t="s">
        <v>41</v>
      </c>
      <c r="F306" t="s">
        <v>58</v>
      </c>
      <c r="G306" t="s">
        <v>22</v>
      </c>
      <c r="H306" t="s">
        <v>59</v>
      </c>
    </row>
    <row r="307" spans="1:8" x14ac:dyDescent="0.2">
      <c r="A307" t="s">
        <v>87</v>
      </c>
      <c r="B307">
        <f>9.5*3.6</f>
        <v>34.200000000000003</v>
      </c>
      <c r="C307" t="s">
        <v>20</v>
      </c>
      <c r="D307" t="s">
        <v>41</v>
      </c>
      <c r="F307" t="s">
        <v>85</v>
      </c>
      <c r="G307" t="s">
        <v>22</v>
      </c>
      <c r="H307" t="s">
        <v>88</v>
      </c>
    </row>
    <row r="309" spans="1:8" ht="16" x14ac:dyDescent="0.2">
      <c r="A309" s="1" t="s">
        <v>0</v>
      </c>
      <c r="B309" s="1" t="s">
        <v>125</v>
      </c>
    </row>
    <row r="310" spans="1:8" x14ac:dyDescent="0.2">
      <c r="A310" t="s">
        <v>1</v>
      </c>
      <c r="B310" t="s">
        <v>41</v>
      </c>
    </row>
    <row r="311" spans="1:8" x14ac:dyDescent="0.2">
      <c r="A311" t="s">
        <v>3</v>
      </c>
      <c r="B311">
        <v>1</v>
      </c>
    </row>
    <row r="312" spans="1:8" x14ac:dyDescent="0.2">
      <c r="A312" t="s">
        <v>4</v>
      </c>
      <c r="B312" t="s">
        <v>126</v>
      </c>
    </row>
    <row r="313" spans="1:8" x14ac:dyDescent="0.2">
      <c r="A313" t="s">
        <v>6</v>
      </c>
      <c r="B313" t="s">
        <v>21</v>
      </c>
    </row>
    <row r="314" spans="1:8" x14ac:dyDescent="0.2">
      <c r="A314" t="s">
        <v>9</v>
      </c>
      <c r="B314" t="s">
        <v>115</v>
      </c>
    </row>
    <row r="315" spans="1:8" x14ac:dyDescent="0.2">
      <c r="A315" t="s">
        <v>7</v>
      </c>
      <c r="B315" t="s">
        <v>8</v>
      </c>
    </row>
    <row r="316" spans="1:8" ht="16" x14ac:dyDescent="0.2">
      <c r="A316" s="1" t="s">
        <v>11</v>
      </c>
    </row>
    <row r="317" spans="1:8" x14ac:dyDescent="0.2">
      <c r="A317" t="s">
        <v>12</v>
      </c>
      <c r="B317" t="s">
        <v>13</v>
      </c>
      <c r="C317" t="s">
        <v>14</v>
      </c>
      <c r="D317" t="s">
        <v>1</v>
      </c>
      <c r="E317" t="s">
        <v>15</v>
      </c>
      <c r="F317" t="s">
        <v>6</v>
      </c>
      <c r="G317" t="s">
        <v>5</v>
      </c>
      <c r="H317" t="s">
        <v>4</v>
      </c>
    </row>
    <row r="318" spans="1:8" x14ac:dyDescent="0.2">
      <c r="A318" t="s">
        <v>125</v>
      </c>
      <c r="B318" s="6">
        <v>1</v>
      </c>
      <c r="C318" t="s">
        <v>20</v>
      </c>
      <c r="D318" t="s">
        <v>41</v>
      </c>
      <c r="F318" t="s">
        <v>21</v>
      </c>
      <c r="G318" t="s">
        <v>18</v>
      </c>
      <c r="H318" t="s">
        <v>126</v>
      </c>
    </row>
    <row r="319" spans="1:8" x14ac:dyDescent="0.2">
      <c r="A319" t="s">
        <v>127</v>
      </c>
      <c r="B319">
        <v>1.2</v>
      </c>
      <c r="C319" t="s">
        <v>20</v>
      </c>
      <c r="D319" t="s">
        <v>66</v>
      </c>
      <c r="F319" t="s">
        <v>21</v>
      </c>
      <c r="G319" t="s">
        <v>22</v>
      </c>
      <c r="H319" t="s">
        <v>128</v>
      </c>
    </row>
    <row r="320" spans="1:8" x14ac:dyDescent="0.2">
      <c r="A320" t="s">
        <v>129</v>
      </c>
      <c r="B320">
        <v>1.03</v>
      </c>
      <c r="C320" t="s">
        <v>20</v>
      </c>
      <c r="D320" t="s">
        <v>41</v>
      </c>
      <c r="F320" t="s">
        <v>21</v>
      </c>
      <c r="G320" t="s">
        <v>22</v>
      </c>
      <c r="H320" t="s">
        <v>130</v>
      </c>
    </row>
    <row r="321" spans="1:8" x14ac:dyDescent="0.2">
      <c r="A321" t="s">
        <v>131</v>
      </c>
      <c r="B321">
        <v>0.26</v>
      </c>
      <c r="C321" t="s">
        <v>20</v>
      </c>
      <c r="D321" t="s">
        <v>41</v>
      </c>
      <c r="F321" t="s">
        <v>21</v>
      </c>
      <c r="G321" t="s">
        <v>22</v>
      </c>
      <c r="H321" t="s">
        <v>132</v>
      </c>
    </row>
    <row r="322" spans="1:8" x14ac:dyDescent="0.2">
      <c r="A322" t="s">
        <v>134</v>
      </c>
      <c r="B322" s="5">
        <v>1.9999999999999999E-6</v>
      </c>
      <c r="C322" t="s">
        <v>20</v>
      </c>
      <c r="D322" t="s">
        <v>2</v>
      </c>
      <c r="F322" t="s">
        <v>21</v>
      </c>
      <c r="G322" t="s">
        <v>22</v>
      </c>
      <c r="H322" t="s">
        <v>135</v>
      </c>
    </row>
    <row r="323" spans="1:8" x14ac:dyDescent="0.2">
      <c r="A323" t="s">
        <v>57</v>
      </c>
      <c r="B323">
        <v>42.1</v>
      </c>
      <c r="C323" t="s">
        <v>20</v>
      </c>
      <c r="D323" t="s">
        <v>41</v>
      </c>
      <c r="F323" t="s">
        <v>58</v>
      </c>
      <c r="G323" t="s">
        <v>22</v>
      </c>
      <c r="H323" t="s">
        <v>59</v>
      </c>
    </row>
    <row r="324" spans="1:8" ht="16" x14ac:dyDescent="0.2">
      <c r="A324" s="3" t="s">
        <v>87</v>
      </c>
      <c r="B324">
        <v>2.7</v>
      </c>
      <c r="C324" t="s">
        <v>20</v>
      </c>
      <c r="D324" t="s">
        <v>41</v>
      </c>
      <c r="F324" t="s">
        <v>85</v>
      </c>
      <c r="G324" t="s">
        <v>22</v>
      </c>
      <c r="H324" t="s">
        <v>88</v>
      </c>
    </row>
    <row r="325" spans="1:8" x14ac:dyDescent="0.2">
      <c r="A325" t="s">
        <v>156</v>
      </c>
      <c r="B325">
        <v>0.2</v>
      </c>
      <c r="C325" t="s">
        <v>20</v>
      </c>
      <c r="D325" t="s">
        <v>41</v>
      </c>
      <c r="F325" t="s">
        <v>75</v>
      </c>
      <c r="G325" t="s">
        <v>22</v>
      </c>
      <c r="H325" t="s">
        <v>157</v>
      </c>
    </row>
    <row r="327" spans="1:8" ht="16" x14ac:dyDescent="0.2">
      <c r="A327" s="1" t="s">
        <v>0</v>
      </c>
      <c r="B327" s="1" t="s">
        <v>139</v>
      </c>
    </row>
    <row r="328" spans="1:8" x14ac:dyDescent="0.2">
      <c r="A328" t="s">
        <v>1</v>
      </c>
      <c r="B328" t="s">
        <v>41</v>
      </c>
    </row>
    <row r="329" spans="1:8" x14ac:dyDescent="0.2">
      <c r="A329" t="s">
        <v>3</v>
      </c>
      <c r="B329">
        <v>1</v>
      </c>
    </row>
    <row r="330" spans="1:8" x14ac:dyDescent="0.2">
      <c r="A330" t="s">
        <v>4</v>
      </c>
      <c r="B330" t="s">
        <v>133</v>
      </c>
    </row>
    <row r="331" spans="1:8" x14ac:dyDescent="0.2">
      <c r="A331" t="s">
        <v>6</v>
      </c>
      <c r="B331" t="s">
        <v>21</v>
      </c>
    </row>
    <row r="332" spans="1:8" x14ac:dyDescent="0.2">
      <c r="A332" t="s">
        <v>9</v>
      </c>
      <c r="B332" t="s">
        <v>138</v>
      </c>
    </row>
    <row r="333" spans="1:8" x14ac:dyDescent="0.2">
      <c r="A333" t="s">
        <v>7</v>
      </c>
      <c r="B333" t="s">
        <v>8</v>
      </c>
    </row>
    <row r="334" spans="1:8" ht="16" x14ac:dyDescent="0.2">
      <c r="A334" s="1" t="s">
        <v>11</v>
      </c>
    </row>
    <row r="335" spans="1:8" x14ac:dyDescent="0.2">
      <c r="A335" t="s">
        <v>12</v>
      </c>
      <c r="B335" t="s">
        <v>13</v>
      </c>
      <c r="C335" t="s">
        <v>14</v>
      </c>
      <c r="D335" t="s">
        <v>1</v>
      </c>
      <c r="E335" t="s">
        <v>15</v>
      </c>
      <c r="F335" t="s">
        <v>6</v>
      </c>
      <c r="G335" t="s">
        <v>5</v>
      </c>
      <c r="H335" t="s">
        <v>4</v>
      </c>
    </row>
    <row r="336" spans="1:8" x14ac:dyDescent="0.2">
      <c r="A336" t="s">
        <v>139</v>
      </c>
      <c r="B336" s="6">
        <v>1</v>
      </c>
      <c r="C336" t="s">
        <v>20</v>
      </c>
      <c r="D336" t="s">
        <v>41</v>
      </c>
      <c r="F336" t="s">
        <v>21</v>
      </c>
      <c r="G336" t="s">
        <v>18</v>
      </c>
      <c r="H336" t="s">
        <v>133</v>
      </c>
    </row>
    <row r="337" spans="1:8" x14ac:dyDescent="0.2">
      <c r="A337" t="s">
        <v>57</v>
      </c>
      <c r="B337">
        <v>9.375E-2</v>
      </c>
      <c r="C337" t="s">
        <v>20</v>
      </c>
      <c r="D337" t="s">
        <v>41</v>
      </c>
      <c r="F337" t="s">
        <v>58</v>
      </c>
      <c r="G337" t="s">
        <v>22</v>
      </c>
      <c r="H337" t="s">
        <v>59</v>
      </c>
    </row>
    <row r="338" spans="1:8" x14ac:dyDescent="0.2">
      <c r="A338" t="s">
        <v>136</v>
      </c>
      <c r="B338">
        <v>31.25</v>
      </c>
      <c r="C338" t="s">
        <v>20</v>
      </c>
      <c r="D338" t="s">
        <v>74</v>
      </c>
      <c r="F338" t="s">
        <v>21</v>
      </c>
      <c r="G338" t="s">
        <v>22</v>
      </c>
      <c r="H338" t="s">
        <v>137</v>
      </c>
    </row>
    <row r="340" spans="1:8" ht="16" x14ac:dyDescent="0.2">
      <c r="A340" s="1" t="s">
        <v>0</v>
      </c>
      <c r="B340" s="1" t="s">
        <v>140</v>
      </c>
    </row>
    <row r="341" spans="1:8" x14ac:dyDescent="0.2">
      <c r="A341" t="s">
        <v>1</v>
      </c>
      <c r="B341" t="s">
        <v>41</v>
      </c>
    </row>
    <row r="342" spans="1:8" x14ac:dyDescent="0.2">
      <c r="A342" t="s">
        <v>3</v>
      </c>
      <c r="B342">
        <v>1</v>
      </c>
    </row>
    <row r="343" spans="1:8" x14ac:dyDescent="0.2">
      <c r="A343" t="s">
        <v>4</v>
      </c>
      <c r="B343" t="s">
        <v>141</v>
      </c>
    </row>
    <row r="344" spans="1:8" x14ac:dyDescent="0.2">
      <c r="A344" t="s">
        <v>6</v>
      </c>
      <c r="B344" t="s">
        <v>21</v>
      </c>
    </row>
    <row r="345" spans="1:8" x14ac:dyDescent="0.2">
      <c r="A345" t="s">
        <v>9</v>
      </c>
      <c r="B345" t="s">
        <v>142</v>
      </c>
    </row>
    <row r="346" spans="1:8" x14ac:dyDescent="0.2">
      <c r="A346" t="s">
        <v>7</v>
      </c>
      <c r="B346" t="s">
        <v>8</v>
      </c>
    </row>
    <row r="347" spans="1:8" ht="16" x14ac:dyDescent="0.2">
      <c r="A347" s="1" t="s">
        <v>11</v>
      </c>
    </row>
    <row r="348" spans="1:8" x14ac:dyDescent="0.2">
      <c r="A348" t="s">
        <v>12</v>
      </c>
      <c r="B348" t="s">
        <v>13</v>
      </c>
      <c r="C348" t="s">
        <v>14</v>
      </c>
      <c r="D348" t="s">
        <v>1</v>
      </c>
      <c r="E348" t="s">
        <v>15</v>
      </c>
      <c r="F348" t="s">
        <v>6</v>
      </c>
      <c r="G348" t="s">
        <v>5</v>
      </c>
      <c r="H348" t="s">
        <v>4</v>
      </c>
    </row>
    <row r="349" spans="1:8" x14ac:dyDescent="0.2">
      <c r="A349" t="s">
        <v>140</v>
      </c>
      <c r="B349" s="6">
        <v>1</v>
      </c>
      <c r="C349" t="s">
        <v>20</v>
      </c>
      <c r="D349" t="s">
        <v>41</v>
      </c>
      <c r="F349" t="s">
        <v>21</v>
      </c>
      <c r="G349" t="s">
        <v>18</v>
      </c>
      <c r="H349" t="s">
        <v>141</v>
      </c>
    </row>
    <row r="350" spans="1:8" x14ac:dyDescent="0.2">
      <c r="A350" t="s">
        <v>57</v>
      </c>
      <c r="B350">
        <v>0.34399999999999997</v>
      </c>
      <c r="C350" t="s">
        <v>20</v>
      </c>
      <c r="D350" t="s">
        <v>41</v>
      </c>
      <c r="F350" t="s">
        <v>58</v>
      </c>
      <c r="G350" t="s">
        <v>22</v>
      </c>
      <c r="H350" t="s">
        <v>59</v>
      </c>
    </row>
    <row r="351" spans="1:8" x14ac:dyDescent="0.2">
      <c r="A351" t="s">
        <v>139</v>
      </c>
      <c r="B351" s="6">
        <v>1</v>
      </c>
      <c r="C351" t="s">
        <v>20</v>
      </c>
      <c r="D351" t="s">
        <v>41</v>
      </c>
      <c r="F351" t="s">
        <v>21</v>
      </c>
      <c r="G351" t="s">
        <v>22</v>
      </c>
      <c r="H351" t="s">
        <v>133</v>
      </c>
    </row>
    <row r="353" spans="1:8" ht="16" x14ac:dyDescent="0.2">
      <c r="A353" s="1" t="s">
        <v>0</v>
      </c>
      <c r="B353" s="1" t="s">
        <v>143</v>
      </c>
    </row>
    <row r="354" spans="1:8" x14ac:dyDescent="0.2">
      <c r="A354" t="s">
        <v>1</v>
      </c>
      <c r="B354" t="s">
        <v>41</v>
      </c>
    </row>
    <row r="355" spans="1:8" x14ac:dyDescent="0.2">
      <c r="A355" t="s">
        <v>3</v>
      </c>
      <c r="B355">
        <v>1</v>
      </c>
    </row>
    <row r="356" spans="1:8" x14ac:dyDescent="0.2">
      <c r="A356" t="s">
        <v>4</v>
      </c>
      <c r="B356" t="s">
        <v>143</v>
      </c>
    </row>
    <row r="357" spans="1:8" x14ac:dyDescent="0.2">
      <c r="A357" t="s">
        <v>6</v>
      </c>
      <c r="B357" t="s">
        <v>21</v>
      </c>
    </row>
    <row r="358" spans="1:8" x14ac:dyDescent="0.2">
      <c r="A358" t="s">
        <v>9</v>
      </c>
      <c r="B358" t="s">
        <v>145</v>
      </c>
    </row>
    <row r="359" spans="1:8" x14ac:dyDescent="0.2">
      <c r="A359" t="s">
        <v>7</v>
      </c>
      <c r="B359" t="s">
        <v>144</v>
      </c>
    </row>
    <row r="360" spans="1:8" ht="16" x14ac:dyDescent="0.2">
      <c r="A360" s="1" t="s">
        <v>11</v>
      </c>
    </row>
    <row r="361" spans="1:8" x14ac:dyDescent="0.2">
      <c r="A361" t="s">
        <v>12</v>
      </c>
      <c r="B361" t="s">
        <v>13</v>
      </c>
      <c r="C361" t="s">
        <v>14</v>
      </c>
      <c r="D361" t="s">
        <v>1</v>
      </c>
      <c r="E361" t="s">
        <v>15</v>
      </c>
      <c r="F361" t="s">
        <v>6</v>
      </c>
      <c r="G361" t="s">
        <v>5</v>
      </c>
      <c r="H361" t="s">
        <v>4</v>
      </c>
    </row>
    <row r="362" spans="1:8" x14ac:dyDescent="0.2">
      <c r="A362" t="s">
        <v>143</v>
      </c>
      <c r="B362">
        <v>1</v>
      </c>
      <c r="C362" t="s">
        <v>64</v>
      </c>
      <c r="D362" t="s">
        <v>41</v>
      </c>
      <c r="F362" t="s">
        <v>21</v>
      </c>
      <c r="G362" t="s">
        <v>18</v>
      </c>
      <c r="H362" t="s">
        <v>143</v>
      </c>
    </row>
    <row r="363" spans="1:8" x14ac:dyDescent="0.2">
      <c r="A363" t="s">
        <v>57</v>
      </c>
      <c r="B363">
        <v>2.46</v>
      </c>
      <c r="C363" t="s">
        <v>20</v>
      </c>
      <c r="D363" t="s">
        <v>41</v>
      </c>
      <c r="F363" t="s">
        <v>58</v>
      </c>
      <c r="G363" t="s">
        <v>22</v>
      </c>
      <c r="H363" t="s">
        <v>59</v>
      </c>
    </row>
    <row r="364" spans="1:8" x14ac:dyDescent="0.2">
      <c r="A364" t="s">
        <v>146</v>
      </c>
      <c r="B364">
        <v>2.3999999999999998E-3</v>
      </c>
      <c r="C364" t="s">
        <v>20</v>
      </c>
      <c r="D364" t="s">
        <v>41</v>
      </c>
      <c r="F364" t="s">
        <v>21</v>
      </c>
      <c r="G364" t="s">
        <v>22</v>
      </c>
      <c r="H364" t="s">
        <v>147</v>
      </c>
    </row>
    <row r="367">
      <c r="A367" t="inlineStr">
        <is>
          <t>Activity</t>
        </is>
      </c>
      <c r="B367" t="inlineStr">
        <is>
          <t xml:space="preserve">hydrogen storage tank system production, refuelling station, 125 kg hydrogen</t>
        </is>
      </c>
    </row>
    <row r="368">
      <c r="A368" t="inlineStr">
        <is>
          <t>location</t>
        </is>
      </c>
      <c r="B368" t="inlineStr">
        <is>
          <t>GLO</t>
        </is>
      </c>
    </row>
    <row r="369">
      <c r="A369" t="inlineStr">
        <is>
          <t>production amount</t>
        </is>
      </c>
      <c r="B369">
        <v>1</v>
      </c>
    </row>
    <row r="370">
      <c r="A370" t="inlineStr">
        <is>
          <t>reference product</t>
        </is>
      </c>
      <c r="B370" t="inlineStr">
        <is>
          <t xml:space="preserve">hydrogen storage tank system, refuelling station, 125 kg hydrogen</t>
        </is>
      </c>
    </row>
    <row r="371">
      <c r="A371" t="inlineStr">
        <is>
          <t>unit</t>
        </is>
      </c>
      <c r="B371" t="inlineStr">
        <is>
          <t>unit</t>
        </is>
      </c>
    </row>
    <row r="372">
      <c r="A372" t="inlineStr">
        <is>
          <t>source</t>
        </is>
      </c>
      <c r="B372" t="inlineStr">
        <is>
          <t>Wulf2018 publicSI DOI10.1016/j.jclepro.2018.07.180 TablesS6(per10kgH2storage) andS8(125kgH2storageforstation),plus workbook40yearstation/20yeartanklife assumptions. TheSI explicitlylists125kg for LOHC,pipelineandhighpressuretruckstation supplypaths.</t>
        </is>
      </c>
    </row>
    <row r="373">
      <c r="A373" t="inlineStr">
        <is>
          <t>comment</t>
        </is>
      </c>
      <c r="B373" t="inlineStr">
        <is>
          <t xml:space="preserve">Nomenclature revision, 2026-10-19. Former activity name: hydrogen storage tank system, station125kg H2 capacity, engineering reference. Former reference product: hydrogen storage tank system, station125kg H2 capacity, engineering reference. Activity/product labels and supplier references only; coefficients, formulas, uncertainty, declared output and unit are unchanged. Original engineering assumptions, functional-unit basis and limitations remain below.
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t>
        </is>
      </c>
    </row>
    <row r="374">
      <c r="A374" t="inlineStr">
        <is>
          <t xml:space="preserve">type</t>
        </is>
      </c>
      <c r="B374" t="inlineStr">
        <is>
          <t xml:space="preserve">processwithreferenceproduct</t>
        </is>
      </c>
    </row>
    <row r="375">
      <c r="A375" t="inlineStr">
        <is>
          <t>Exchanges</t>
        </is>
      </c>
    </row>
    <row r="376">
      <c r="A376" t="inlineStr">
        <is>
          <t>name</t>
        </is>
      </c>
      <c r="B376" t="inlineStr">
        <is>
          <t>amount</t>
        </is>
      </c>
      <c r="C376" t="inlineStr">
        <is>
          <t>location</t>
        </is>
      </c>
      <c r="D376" t="inlineStr">
        <is>
          <t>unit</t>
        </is>
      </c>
      <c r="E376" t="inlineStr">
        <is>
          <t>categories</t>
        </is>
      </c>
      <c r="F376" t="inlineStr">
        <is>
          <t>type</t>
        </is>
      </c>
      <c r="G376" t="inlineStr">
        <is>
          <t>reference product</t>
        </is>
      </c>
      <c r="H376" t="inlineStr">
        <is>
          <t>comment</t>
        </is>
      </c>
      <c r="I376" t="inlineStr">
        <is>
          <t>product</t>
        </is>
      </c>
    </row>
    <row r="377">
      <c r="A377" t="inlineStr">
        <is>
          <t xml:space="preserve">hydrogen storage tank system production, refuelling station, 125 kg hydrogen</t>
        </is>
      </c>
      <c r="B377">
        <v>1</v>
      </c>
      <c r="C377" t="inlineStr">
        <is>
          <t>GLO</t>
        </is>
      </c>
      <c r="D377" t="inlineStr">
        <is>
          <t>unit</t>
        </is>
      </c>
      <c r="F377" t="inlineStr">
        <is>
          <t>production</t>
        </is>
      </c>
      <c r="G377" t="inlineStr">
        <is>
          <t xml:space="preserve">hydrogen storage tank system, refuelling station, 125 kg hydrogen</t>
        </is>
      </c>
      <c r="I377" t="inlineStr">
        <is>
          <t xml:space="preserve">hydrogen storage tank system, refuelling station, 125 kg hydrogen</t>
        </is>
      </c>
    </row>
    <row r="378">
      <c r="A378" t="inlineStr">
        <is>
          <t>market for sheet rolling, aluminium</t>
        </is>
      </c>
      <c r="B378">
        <v>75.0</v>
      </c>
      <c r="C378" t="inlineStr">
        <is>
          <t>GLO</t>
        </is>
      </c>
      <c r="D378" t="inlineStr">
        <is>
          <t>kilogram</t>
        </is>
      </c>
      <c r="F378" t="inlineStr">
        <is>
          <t>technosphere</t>
        </is>
      </c>
      <c r="G378" t="inlineStr">
        <is>
          <t>sheet rolling, aluminium</t>
        </is>
      </c>
      <c r="I378" t="inlineStr">
        <is>
          <t>sheet rolling, aluminium</t>
        </is>
      </c>
    </row>
    <row r="379">
      <c r="A379" t="inlineStr">
        <is>
          <t>market for aluminium, wrought alloy</t>
        </is>
      </c>
      <c r="B379">
        <v>75.0</v>
      </c>
      <c r="C379" t="inlineStr">
        <is>
          <t>GLO</t>
        </is>
      </c>
      <c r="D379" t="inlineStr">
        <is>
          <t>kilogram</t>
        </is>
      </c>
      <c r="F379" t="inlineStr">
        <is>
          <t>technosphere</t>
        </is>
      </c>
      <c r="G379" t="inlineStr">
        <is>
          <t>aluminium, wrought alloy</t>
        </is>
      </c>
      <c r="I379" t="inlineStr">
        <is>
          <t>aluminium, wrought alloy</t>
        </is>
      </c>
    </row>
    <row r="380">
      <c r="A380" t="inlineStr">
        <is>
          <t>market for sheet rolling, chromium steel</t>
        </is>
      </c>
      <c r="B380">
        <v>112.5</v>
      </c>
      <c r="C380" t="inlineStr">
        <is>
          <t>GLO</t>
        </is>
      </c>
      <c r="D380" t="inlineStr">
        <is>
          <t>kilogram</t>
        </is>
      </c>
      <c r="F380" t="inlineStr">
        <is>
          <t>technosphere</t>
        </is>
      </c>
      <c r="G380" t="inlineStr">
        <is>
          <t>sheet rolling, chromium steel</t>
        </is>
      </c>
      <c r="I380" t="inlineStr">
        <is>
          <t>sheet rolling, chromium steel</t>
        </is>
      </c>
    </row>
    <row r="381">
      <c r="A381" t="inlineStr">
        <is>
          <t>market for steel, chromium steel 18/8</t>
        </is>
      </c>
      <c r="B381">
        <v>112.5</v>
      </c>
      <c r="C381" t="inlineStr">
        <is>
          <t>GLO</t>
        </is>
      </c>
      <c r="D381" t="inlineStr">
        <is>
          <t>kilogram</t>
        </is>
      </c>
      <c r="F381" t="inlineStr">
        <is>
          <t>technosphere</t>
        </is>
      </c>
      <c r="G381" t="inlineStr">
        <is>
          <t>steel, chromium steel 18/8</t>
        </is>
      </c>
      <c r="I381" t="inlineStr">
        <is>
          <t>steel, chromium steel 18/8</t>
        </is>
      </c>
    </row>
    <row r="382">
      <c r="A382" t="inlineStr">
        <is>
          <t>carbon fiber production, weaved, at factory</t>
        </is>
      </c>
      <c r="B382">
        <v>892.5000000000001</v>
      </c>
      <c r="C382" t="inlineStr">
        <is>
          <t>RER</t>
        </is>
      </c>
      <c r="D382" t="inlineStr">
        <is>
          <t>kilogram</t>
        </is>
      </c>
      <c r="F382" t="inlineStr">
        <is>
          <t>technosphere</t>
        </is>
      </c>
      <c r="G382" t="inlineStr">
        <is>
          <t>carbon fiber, weaved</t>
        </is>
      </c>
      <c r="I382" t="inlineStr">
        <is>
          <t>carbon fiber, weaved</t>
        </is>
      </c>
    </row>
    <row r="383">
      <c r="A383" t="inlineStr">
        <is>
          <t>market for epoxy resin, liquid</t>
        </is>
      </c>
      <c r="B383">
        <v>382.5</v>
      </c>
      <c r="C383" t="inlineStr">
        <is>
          <t>RER</t>
        </is>
      </c>
      <c r="D383" t="inlineStr">
        <is>
          <t>kilogram</t>
        </is>
      </c>
      <c r="F383" t="inlineStr">
        <is>
          <t>technosphere</t>
        </is>
      </c>
      <c r="G383" t="inlineStr">
        <is>
          <t>epoxy resin, liquid</t>
        </is>
      </c>
      <c r="I383" t="inlineStr">
        <is>
          <t>epoxy resin, liquid</t>
        </is>
      </c>
    </row>
    <row r="384">
      <c r="A384" t="inlineStr">
        <is>
          <t>market group for electricity, low voltage</t>
        </is>
      </c>
      <c r="B384">
        <v>56.25</v>
      </c>
      <c r="C384" t="inlineStr">
        <is>
          <t>RER</t>
        </is>
      </c>
      <c r="D384" t="inlineStr">
        <is>
          <t>kilowatt hour</t>
        </is>
      </c>
      <c r="F384" t="inlineStr">
        <is>
          <t>technosphere</t>
        </is>
      </c>
      <c r="G384" t="inlineStr">
        <is>
          <t>electricity, low voltage</t>
        </is>
      </c>
      <c r="I384" t="inlineStr">
        <is>
          <t>electricity, low voltage</t>
        </is>
      </c>
    </row>
    <row r="385">
      <c r="A385" t="inlineStr">
        <is>
          <t>market for sheet rolling, steel</t>
        </is>
      </c>
      <c r="B385">
        <v>112.5</v>
      </c>
      <c r="C385" t="inlineStr">
        <is>
          <t>GLO</t>
        </is>
      </c>
      <c r="D385" t="inlineStr">
        <is>
          <t>kilogram</t>
        </is>
      </c>
      <c r="F385" t="inlineStr">
        <is>
          <t>technosphere</t>
        </is>
      </c>
      <c r="G385" t="inlineStr">
        <is>
          <t>sheet rolling, steel</t>
        </is>
      </c>
      <c r="I385" t="inlineStr">
        <is>
          <t>sheet rolling, steel</t>
        </is>
      </c>
    </row>
    <row r="386">
      <c r="A386" t="inlineStr">
        <is>
          <t>market for steel, low-alloyed</t>
        </is>
      </c>
      <c r="B386">
        <v>112.5</v>
      </c>
      <c r="C386" t="inlineStr">
        <is>
          <t>GLO</t>
        </is>
      </c>
      <c r="D386" t="inlineStr">
        <is>
          <t>kilogram</t>
        </is>
      </c>
      <c r="F386" t="inlineStr">
        <is>
          <t>technosphere</t>
        </is>
      </c>
      <c r="G386" t="inlineStr">
        <is>
          <t>steel, low-alloyed</t>
        </is>
      </c>
      <c r="I386" t="inlineStr">
        <is>
          <t>steel, low-alloyed</t>
        </is>
      </c>
    </row>
    <row r="389">
      <c r="A389" t="inlineStr">
        <is>
          <t>Activity</t>
        </is>
      </c>
      <c r="B389" t="inlineStr">
        <is>
          <t xml:space="preserve">aluminium-zinc coating alloy production, for galvanizing</t>
        </is>
      </c>
    </row>
    <row r="390">
      <c r="A390" t="inlineStr">
        <is>
          <t>location</t>
        </is>
      </c>
      <c r="B390" t="inlineStr">
        <is>
          <t>GLO</t>
        </is>
      </c>
    </row>
    <row r="391">
      <c r="A391" t="inlineStr">
        <is>
          <t>production amount</t>
        </is>
      </c>
      <c r="B391">
        <v>1</v>
      </c>
    </row>
    <row r="392">
      <c r="A392" t="inlineStr">
        <is>
          <t>reference product</t>
        </is>
      </c>
      <c r="B392" t="inlineStr">
        <is>
          <t xml:space="preserve">aluminium-zinc coating alloy, for galvanizing</t>
        </is>
      </c>
    </row>
    <row r="393">
      <c r="A393" t="inlineStr">
        <is>
          <t>unit</t>
        </is>
      </c>
      <c r="B393" t="inlineStr">
        <is>
          <t>kilogram</t>
        </is>
      </c>
    </row>
    <row r="394">
      <c r="A394" t="inlineStr">
        <is>
          <t>source</t>
        </is>
      </c>
      <c r="B394" t="inlineStr">
        <is>
          <t>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t>
        </is>
      </c>
    </row>
    <row r="395">
      <c r="A395" t="inlineStr">
        <is>
          <t>comment</t>
        </is>
      </c>
      <c r="B395"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Nomenclature revision, 2026-10-19. Former activity name: Galvalume coating, retained alloy mass, engineering reference. Former reference product: Galvalume coating, retained alloy mass, engineering reference. Activity/product labels and supplier references only; coefficients, formulas, uncertainty, declared output and unit are unchanged. Original engineering assumptions, functional-unit basis and limitations remain below.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t>
        </is>
      </c>
    </row>
    <row r="396">
      <c r="A396" t="inlineStr">
        <is>
          <t xml:space="preserve">type</t>
        </is>
      </c>
      <c r="B396" t="inlineStr">
        <is>
          <t xml:space="preserve">processwithreferenceproduct</t>
        </is>
      </c>
    </row>
    <row r="397">
      <c r="A397" t="inlineStr">
        <is>
          <t>Exchanges</t>
        </is>
      </c>
    </row>
    <row r="398">
      <c r="A398" t="inlineStr">
        <is>
          <t>name</t>
        </is>
      </c>
      <c r="B398" t="inlineStr">
        <is>
          <t>amount</t>
        </is>
      </c>
      <c r="C398" t="inlineStr">
        <is>
          <t>location</t>
        </is>
      </c>
      <c r="D398" t="inlineStr">
        <is>
          <t>unit</t>
        </is>
      </c>
      <c r="E398" t="inlineStr">
        <is>
          <t>categories</t>
        </is>
      </c>
      <c r="F398" t="inlineStr">
        <is>
          <t>type</t>
        </is>
      </c>
      <c r="G398" t="inlineStr">
        <is>
          <t>reference product</t>
        </is>
      </c>
      <c r="H398" t="inlineStr">
        <is>
          <t>comment</t>
        </is>
      </c>
      <c r="I398" t="inlineStr">
        <is>
          <t>product</t>
        </is>
      </c>
    </row>
    <row r="399">
      <c r="A399" t="inlineStr">
        <is>
          <t xml:space="preserve">aluminium-zinc coating alloy production, for galvanizing</t>
        </is>
      </c>
      <c r="B399">
        <v>1</v>
      </c>
      <c r="C399" t="inlineStr">
        <is>
          <t>GLO</t>
        </is>
      </c>
      <c r="D399" t="inlineStr">
        <is>
          <t>kilogram</t>
        </is>
      </c>
      <c r="F399" t="inlineStr">
        <is>
          <t>production</t>
        </is>
      </c>
      <c r="G399" t="inlineStr">
        <is>
          <t xml:space="preserve">aluminium-zinc coating alloy, for galvanizing</t>
        </is>
      </c>
      <c r="I399" t="inlineStr">
        <is>
          <t xml:space="preserve">aluminium-zinc coating alloy, for galvanizing</t>
        </is>
      </c>
    </row>
    <row r="400">
      <c r="A400" t="inlineStr">
        <is>
          <t>market for aluminium, wrought alloy</t>
        </is>
      </c>
      <c r="B400">
        <v>0.5789473684210527</v>
      </c>
      <c r="C400" t="inlineStr">
        <is>
          <t>GLO</t>
        </is>
      </c>
      <c r="D400" t="inlineStr">
        <is>
          <t>kilogram</t>
        </is>
      </c>
      <c r="F400" t="inlineStr">
        <is>
          <t>technosphere</t>
        </is>
      </c>
      <c r="G400" t="inlineStr">
        <is>
          <t>aluminium, wrought alloy</t>
        </is>
      </c>
      <c r="I400" t="inlineStr">
        <is>
          <t>aluminium, wrought alloy</t>
        </is>
      </c>
    </row>
    <row r="401">
      <c r="A401" t="inlineStr">
        <is>
          <t>market for zinc</t>
        </is>
      </c>
      <c r="B401">
        <v>0.45684210526315794</v>
      </c>
      <c r="C401" t="inlineStr">
        <is>
          <t>GLO</t>
        </is>
      </c>
      <c r="D401" t="inlineStr">
        <is>
          <t>kilogram</t>
        </is>
      </c>
      <c r="F401" t="inlineStr">
        <is>
          <t>technosphere</t>
        </is>
      </c>
      <c r="G401" t="inlineStr">
        <is>
          <t>zinc</t>
        </is>
      </c>
      <c r="I401" t="inlineStr">
        <is>
          <t>zinc</t>
        </is>
      </c>
    </row>
    <row r="402">
      <c r="A402" t="inlineStr">
        <is>
          <t>market for silicon, metallurgical grade</t>
        </is>
      </c>
      <c r="B402">
        <v>0.016842105263157894</v>
      </c>
      <c r="C402" t="inlineStr">
        <is>
          <t>GLO</t>
        </is>
      </c>
      <c r="D402" t="inlineStr">
        <is>
          <t>kilogram</t>
        </is>
      </c>
      <c r="F402" t="inlineStr">
        <is>
          <t>technosphere</t>
        </is>
      </c>
      <c r="G402" t="inlineStr">
        <is>
          <t>silicon, metallurgical grade</t>
        </is>
      </c>
      <c r="I402" t="inlineStr">
        <is>
          <t>silicon, metallurgical grade</t>
        </is>
      </c>
    </row>
    <row r="403">
      <c r="A403" t="inlineStr">
        <is>
          <t>market for electric arc furnace dust</t>
        </is>
      </c>
      <c r="B403">
        <v>-0.0147</v>
      </c>
      <c r="C403" t="inlineStr">
        <is>
          <t>RER</t>
        </is>
      </c>
      <c r="D403" t="inlineStr">
        <is>
          <t>kilogram</t>
        </is>
      </c>
      <c r="F403" t="inlineStr">
        <is>
          <t>technosphere</t>
        </is>
      </c>
      <c r="G403" t="inlineStr">
        <is>
          <t>electric arc furnace dust</t>
        </is>
      </c>
      <c r="H403"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403" t="inlineStr">
        <is>
          <t>electric arc furnace dust</t>
        </is>
      </c>
    </row>
    <row r="404">
      <c r="A404" t="inlineStr">
        <is>
          <t>treatment of waste mineral oil, hazardous waste incineration</t>
        </is>
      </c>
      <c r="B404">
        <v>-0.00016</v>
      </c>
      <c r="C404" t="inlineStr">
        <is>
          <t>Europe without Switzerland</t>
        </is>
      </c>
      <c r="D404" t="inlineStr">
        <is>
          <t>kilogram</t>
        </is>
      </c>
      <c r="F404" t="inlineStr">
        <is>
          <t>technosphere</t>
        </is>
      </c>
      <c r="G404" t="inlineStr">
        <is>
          <t>waste mineral oil</t>
        </is>
      </c>
      <c r="I404" t="inlineStr">
        <is>
          <t>waste mineral oil</t>
        </is>
      </c>
    </row>
    <row r="405">
      <c r="A405" t="inlineStr">
        <is>
          <t>market for sludge from steel rolling</t>
        </is>
      </c>
      <c r="B405">
        <v>-9.06e-05</v>
      </c>
      <c r="C405" t="inlineStr">
        <is>
          <t>GLO</t>
        </is>
      </c>
      <c r="D405" t="inlineStr">
        <is>
          <t>kilogram</t>
        </is>
      </c>
      <c r="F405" t="inlineStr">
        <is>
          <t>technosphere</t>
        </is>
      </c>
      <c r="G405" t="inlineStr">
        <is>
          <t>sludge from steel rolling</t>
        </is>
      </c>
      <c r="I405" t="inlineStr">
        <is>
          <t>sludge from steel rolling</t>
        </is>
      </c>
    </row>
    <row r="406">
      <c r="A406" t="inlineStr">
        <is>
          <t>market for water, deionised</t>
        </is>
      </c>
      <c r="B406">
        <v>0.2</v>
      </c>
      <c r="C406" t="inlineStr">
        <is>
          <t>Europe without Switzerland</t>
        </is>
      </c>
      <c r="D406" t="inlineStr">
        <is>
          <t>kilogram</t>
        </is>
      </c>
      <c r="F406" t="inlineStr">
        <is>
          <t>technosphere</t>
        </is>
      </c>
      <c r="G406" t="inlineStr">
        <is>
          <t>water, deionised</t>
        </is>
      </c>
      <c r="I406" t="inlineStr">
        <is>
          <t>water, deionised</t>
        </is>
      </c>
    </row>
    <row r="407">
      <c r="A407" t="inlineStr">
        <is>
          <t>market for chemicals, inorganic</t>
        </is>
      </c>
      <c r="B407">
        <v>0.0015</v>
      </c>
      <c r="C407" t="inlineStr">
        <is>
          <t>GLO</t>
        </is>
      </c>
      <c r="D407" t="inlineStr">
        <is>
          <t>kilogram</t>
        </is>
      </c>
      <c r="F407" t="inlineStr">
        <is>
          <t>technosphere</t>
        </is>
      </c>
      <c r="G407" t="inlineStr">
        <is>
          <t>chemical, inorganic</t>
        </is>
      </c>
      <c r="I407" t="inlineStr">
        <is>
          <t>chemical, inorganic</t>
        </is>
      </c>
    </row>
    <row r="408">
      <c r="A408" t="inlineStr">
        <is>
          <t>market for aluminium sulfate, powder</t>
        </is>
      </c>
      <c r="B408">
        <v>9.06e-07</v>
      </c>
      <c r="C408" t="inlineStr">
        <is>
          <t>RER</t>
        </is>
      </c>
      <c r="D408" t="inlineStr">
        <is>
          <t>kilogram</t>
        </is>
      </c>
      <c r="F408" t="inlineStr">
        <is>
          <t>technosphere</t>
        </is>
      </c>
      <c r="G408" t="inlineStr">
        <is>
          <t>aluminium sulfate, powder</t>
        </is>
      </c>
      <c r="I408" t="inlineStr">
        <is>
          <t>aluminium sulfate, powder</t>
        </is>
      </c>
    </row>
    <row r="409">
      <c r="A409" t="inlineStr">
        <is>
          <t>market for ammonia, anhydrous, liquid</t>
        </is>
      </c>
      <c r="B409">
        <v>3.06e-05</v>
      </c>
      <c r="C409" t="inlineStr">
        <is>
          <t>RER</t>
        </is>
      </c>
      <c r="D409" t="inlineStr">
        <is>
          <t>kilogram</t>
        </is>
      </c>
      <c r="F409" t="inlineStr">
        <is>
          <t>technosphere</t>
        </is>
      </c>
      <c r="G409" t="inlineStr">
        <is>
          <t>ammonia, anhydrous, liquid</t>
        </is>
      </c>
      <c r="H409"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409" t="inlineStr">
        <is>
          <t>ammonia, anhydrous, liquid</t>
        </is>
      </c>
    </row>
    <row r="410">
      <c r="A410" t="inlineStr">
        <is>
          <t>heat production, light fuel oil, at boiler 100kW, non-modulating</t>
        </is>
      </c>
      <c r="B410">
        <v>0.768</v>
      </c>
      <c r="C410" t="inlineStr">
        <is>
          <t>Europe without Switzerland</t>
        </is>
      </c>
      <c r="D410" t="inlineStr">
        <is>
          <t>megajoule</t>
        </is>
      </c>
      <c r="F410" t="inlineStr">
        <is>
          <t>technosphere</t>
        </is>
      </c>
      <c r="G410" t="inlineStr">
        <is>
          <t>heat, central or small-scale, other than natural gas</t>
        </is>
      </c>
      <c r="I410" t="inlineStr">
        <is>
          <t>heat, central or small-scale, other than natural gas</t>
        </is>
      </c>
    </row>
    <row r="411">
      <c r="A411" t="inlineStr">
        <is>
          <t>market for heat, from steam, in chemical industry</t>
        </is>
      </c>
      <c r="B411">
        <v>0.0201</v>
      </c>
      <c r="C411" t="inlineStr">
        <is>
          <t>RER</t>
        </is>
      </c>
      <c r="D411" t="inlineStr">
        <is>
          <t>megajoule</t>
        </is>
      </c>
      <c r="F411" t="inlineStr">
        <is>
          <t>technosphere</t>
        </is>
      </c>
      <c r="G411" t="inlineStr">
        <is>
          <t>heat, from steam, in chemical industry</t>
        </is>
      </c>
      <c r="I411" t="inlineStr">
        <is>
          <t>heat, from steam, in chemical industry</t>
        </is>
      </c>
    </row>
    <row r="412">
      <c r="A412" t="inlineStr">
        <is>
          <t>market for hydrochloric acid, without water, in 30% solution state</t>
        </is>
      </c>
      <c r="B412">
        <v>0.0222</v>
      </c>
      <c r="C412" t="inlineStr">
        <is>
          <t>RER</t>
        </is>
      </c>
      <c r="D412" t="inlineStr">
        <is>
          <t>kilogram</t>
        </is>
      </c>
      <c r="F412" t="inlineStr">
        <is>
          <t>technosphere</t>
        </is>
      </c>
      <c r="G412" t="inlineStr">
        <is>
          <t>hydrochloric acid, without water, in 30% solution state</t>
        </is>
      </c>
      <c r="I412" t="inlineStr">
        <is>
          <t>hydrochloric acid, without water, in 30% solution state</t>
        </is>
      </c>
    </row>
    <row r="413">
      <c r="A413" t="inlineStr">
        <is>
          <t>market for heat, central or small-scale, natural gas</t>
        </is>
      </c>
      <c r="B413">
        <v>0.768</v>
      </c>
      <c r="C413" t="inlineStr">
        <is>
          <t>Europe without Switzerland</t>
        </is>
      </c>
      <c r="D413" t="inlineStr">
        <is>
          <t>megajoule</t>
        </is>
      </c>
      <c r="F413" t="inlineStr">
        <is>
          <t>technosphere</t>
        </is>
      </c>
      <c r="G413" t="inlineStr">
        <is>
          <t>heat, central or small-scale, natural gas</t>
        </is>
      </c>
      <c r="I413" t="inlineStr">
        <is>
          <t>heat, central or small-scale, natural gas</t>
        </is>
      </c>
    </row>
    <row r="414">
      <c r="A414" t="inlineStr">
        <is>
          <t>market for rolling mill</t>
        </is>
      </c>
      <c r="B414">
        <v>1.63e-13</v>
      </c>
      <c r="C414" t="inlineStr">
        <is>
          <t>GLO</t>
        </is>
      </c>
      <c r="D414" t="inlineStr">
        <is>
          <t>unit</t>
        </is>
      </c>
      <c r="F414" t="inlineStr">
        <is>
          <t>technosphere</t>
        </is>
      </c>
      <c r="G414" t="inlineStr">
        <is>
          <t>rolling mill</t>
        </is>
      </c>
      <c r="I414" t="inlineStr">
        <is>
          <t>rolling mill</t>
        </is>
      </c>
    </row>
    <row r="415">
      <c r="A415" t="inlineStr">
        <is>
          <t>market for soda ash, light, crystalline, heptahydrate</t>
        </is>
      </c>
      <c r="B415">
        <v>1</v>
      </c>
      <c r="C415" t="inlineStr">
        <is>
          <t>GLO</t>
        </is>
      </c>
      <c r="D415" t="inlineStr">
        <is>
          <t>kilogram</t>
        </is>
      </c>
      <c r="F415" t="inlineStr">
        <is>
          <t>technosphere</t>
        </is>
      </c>
      <c r="G415" t="inlineStr">
        <is>
          <t>soda ash, light, crystalline, heptahydrate</t>
        </is>
      </c>
      <c r="I415" t="inlineStr">
        <is>
          <t>soda ash, light, crystalline, heptahydrate</t>
        </is>
      </c>
    </row>
    <row r="416">
      <c r="A416" t="inlineStr">
        <is>
          <t>market for sodium hydroxide, without water, in 50% solution state</t>
        </is>
      </c>
      <c r="B416">
        <v>0.00038</v>
      </c>
      <c r="C416" t="inlineStr">
        <is>
          <t>GLO</t>
        </is>
      </c>
      <c r="D416" t="inlineStr">
        <is>
          <t>kilogram</t>
        </is>
      </c>
      <c r="F416" t="inlineStr">
        <is>
          <t>technosphere</t>
        </is>
      </c>
      <c r="G416" t="inlineStr">
        <is>
          <t>sodium hydroxide, without water, in 50% solution state</t>
        </is>
      </c>
      <c r="I416" t="inlineStr">
        <is>
          <t>sodium hydroxide, without water, in 50% solution state</t>
        </is>
      </c>
    </row>
    <row r="417">
      <c r="A417" t="inlineStr">
        <is>
          <t>market for transport, freight, lorry, unspecified</t>
        </is>
      </c>
      <c r="B417">
        <v>0.008039999999999999</v>
      </c>
      <c r="C417" t="inlineStr">
        <is>
          <t>RER</t>
        </is>
      </c>
      <c r="D417" t="inlineStr">
        <is>
          <t>ton kilometer</t>
        </is>
      </c>
      <c r="F417" t="inlineStr">
        <is>
          <t>technosphere</t>
        </is>
      </c>
      <c r="G417" t="inlineStr">
        <is>
          <t>transport, freight, lorry, unspecified</t>
        </is>
      </c>
      <c r="I417" t="inlineStr">
        <is>
          <t>transport, freight, lorry, unspecified</t>
        </is>
      </c>
    </row>
    <row r="418">
      <c r="A418" t="inlineStr">
        <is>
          <t>market group for electricity, low voltage</t>
        </is>
      </c>
      <c r="B418">
        <v>0.02033333333333333</v>
      </c>
      <c r="C418" t="inlineStr">
        <is>
          <t>RER</t>
        </is>
      </c>
      <c r="D418" t="inlineStr">
        <is>
          <t>kilowatt hour</t>
        </is>
      </c>
      <c r="F418" t="inlineStr">
        <is>
          <t>technosphere</t>
        </is>
      </c>
      <c r="G418" t="inlineStr">
        <is>
          <t>electricity, low voltage</t>
        </is>
      </c>
      <c r="I418" t="inlineStr">
        <is>
          <t>electricity, low voltage</t>
        </is>
      </c>
    </row>
    <row r="419">
      <c r="A419" t="inlineStr">
        <is>
          <t>market for hazardous waste, for incineration</t>
        </is>
      </c>
      <c r="B419">
        <v>-0.052602178947368364</v>
      </c>
      <c r="C419" t="inlineStr">
        <is>
          <t>RoW</t>
        </is>
      </c>
      <c r="D419" t="inlineStr">
        <is>
          <t>kilogram</t>
        </is>
      </c>
      <c r="F419" t="inlineStr">
        <is>
          <t>technosphere</t>
        </is>
      </c>
      <c r="G419" t="inlineStr">
        <is>
          <t>hazardous waste, for incineration</t>
        </is>
      </c>
      <c r="I419" t="inlineStr">
        <is>
          <t>hazardous waste, for incineration</t>
        </is>
      </c>
    </row>
    <row r="420">
      <c r="A420" t="inlineStr">
        <is>
          <t>market group for electricity, medium voltage</t>
        </is>
      </c>
      <c r="B420">
        <v>1</v>
      </c>
      <c r="C420" t="inlineStr">
        <is>
          <t>GLO</t>
        </is>
      </c>
      <c r="D420" t="inlineStr">
        <is>
          <t>kilowatt hour</t>
        </is>
      </c>
      <c r="F420" t="inlineStr">
        <is>
          <t>technosphere</t>
        </is>
      </c>
      <c r="G420" t="inlineStr">
        <is>
          <t>electricity, medium voltage</t>
        </is>
      </c>
      <c r="I420" t="inlineStr">
        <is>
          <t>electricity, medium voltage</t>
        </is>
      </c>
    </row>
    <row r="421">
      <c r="A421" t="inlineStr">
        <is>
          <t>Ammonia</t>
        </is>
      </c>
      <c r="B421">
        <v>4.36e-05</v>
      </c>
      <c r="D421" t="inlineStr">
        <is>
          <t>kilogram</t>
        </is>
      </c>
      <c r="E421" t="inlineStr">
        <is>
          <t>air</t>
        </is>
      </c>
      <c r="F421" t="inlineStr">
        <is>
          <t>biosphere</t>
        </is>
      </c>
      <c r="H421" t="inlineStr">
        <is>
          <t/>
        </is>
      </c>
    </row>
    <row r="422">
      <c r="A422" t="inlineStr">
        <is>
          <t>Arsenic ion</t>
        </is>
      </c>
      <c r="B422">
        <v>1.9000000000000002e-10</v>
      </c>
      <c r="D422" t="inlineStr">
        <is>
          <t>kilogram</t>
        </is>
      </c>
      <c r="E422" t="inlineStr">
        <is>
          <t>air</t>
        </is>
      </c>
      <c r="F422" t="inlineStr">
        <is>
          <t>biosphere</t>
        </is>
      </c>
      <c r="H422" t="inlineStr">
        <is>
          <t/>
        </is>
      </c>
    </row>
    <row r="423">
      <c r="A423" t="inlineStr">
        <is>
          <t>BOD5, Biological Oxygen Demand</t>
        </is>
      </c>
      <c r="B423">
        <v>1.32e-05</v>
      </c>
      <c r="D423" t="inlineStr">
        <is>
          <t>kilogram</t>
        </is>
      </c>
      <c r="E423" t="inlineStr">
        <is>
          <t>water::ground-</t>
        </is>
      </c>
      <c r="F423" t="inlineStr">
        <is>
          <t>biosphere</t>
        </is>
      </c>
      <c r="H423" t="inlineStr">
        <is>
          <t/>
        </is>
      </c>
    </row>
    <row r="424">
      <c r="A424" t="inlineStr">
        <is>
          <t>Cadmium II</t>
        </is>
      </c>
      <c r="B424">
        <v>1.31e-09</v>
      </c>
      <c r="D424" t="inlineStr">
        <is>
          <t>kilogram</t>
        </is>
      </c>
      <c r="E424" t="inlineStr">
        <is>
          <t>air</t>
        </is>
      </c>
      <c r="F424" t="inlineStr">
        <is>
          <t>biosphere</t>
        </is>
      </c>
      <c r="H424" t="inlineStr">
        <is>
          <t/>
        </is>
      </c>
    </row>
    <row r="425">
      <c r="A425" t="inlineStr">
        <is>
          <t>COD, Chemical Oxygen Demand</t>
        </is>
      </c>
      <c r="B425">
        <v>0.000132</v>
      </c>
      <c r="D425" t="inlineStr">
        <is>
          <t>kilogram</t>
        </is>
      </c>
      <c r="E425" t="inlineStr">
        <is>
          <t>water::ground-</t>
        </is>
      </c>
      <c r="F425" t="inlineStr">
        <is>
          <t>biosphere</t>
        </is>
      </c>
      <c r="H425" t="inlineStr">
        <is>
          <t/>
        </is>
      </c>
    </row>
    <row r="426">
      <c r="A426" t="inlineStr">
        <is>
          <t>Chloride</t>
        </is>
      </c>
      <c r="B426">
        <v>1.88e-06</v>
      </c>
      <c r="D426" t="inlineStr">
        <is>
          <t>kilogram</t>
        </is>
      </c>
      <c r="E426" t="inlineStr">
        <is>
          <t>water::ground-</t>
        </is>
      </c>
      <c r="F426" t="inlineStr">
        <is>
          <t>biosphere</t>
        </is>
      </c>
      <c r="H426" t="inlineStr">
        <is>
          <t/>
        </is>
      </c>
    </row>
    <row r="427">
      <c r="A427" t="inlineStr">
        <is>
          <t>Chromium VI</t>
        </is>
      </c>
      <c r="B427">
        <v>7.6e-09</v>
      </c>
      <c r="D427" t="inlineStr">
        <is>
          <t>kilogram</t>
        </is>
      </c>
      <c r="E427" t="inlineStr">
        <is>
          <t>water::ground-</t>
        </is>
      </c>
      <c r="F427" t="inlineStr">
        <is>
          <t>biosphere</t>
        </is>
      </c>
      <c r="H427" t="inlineStr">
        <is>
          <t/>
        </is>
      </c>
    </row>
    <row r="428">
      <c r="A428" t="inlineStr">
        <is>
          <t>Particulate Matter, &gt; 10 um</t>
        </is>
      </c>
      <c r="B428">
        <v>0.000157</v>
      </c>
      <c r="D428" t="inlineStr">
        <is>
          <t>kilogram</t>
        </is>
      </c>
      <c r="E428" t="inlineStr">
        <is>
          <t>air</t>
        </is>
      </c>
      <c r="F428" t="inlineStr">
        <is>
          <t>biosphere</t>
        </is>
      </c>
      <c r="H428" t="inlineStr">
        <is>
          <t/>
        </is>
      </c>
    </row>
    <row r="429">
      <c r="A429" t="inlineStr">
        <is>
          <t>Particulate Matter, &gt; 2.5 um and &lt; 10um</t>
        </is>
      </c>
      <c r="B429">
        <v>0.00762</v>
      </c>
      <c r="D429" t="inlineStr">
        <is>
          <t>kilogram</t>
        </is>
      </c>
      <c r="E429" t="inlineStr">
        <is>
          <t>air</t>
        </is>
      </c>
      <c r="F429" t="inlineStr">
        <is>
          <t>biosphere</t>
        </is>
      </c>
      <c r="H429" t="inlineStr">
        <is>
          <t/>
        </is>
      </c>
    </row>
    <row r="430">
      <c r="A430" t="inlineStr">
        <is>
          <t>Hydrocarbons, unspecified</t>
        </is>
      </c>
      <c r="B430">
        <v>1.1900000000000001e-07</v>
      </c>
      <c r="D430" t="inlineStr">
        <is>
          <t>kilogram</t>
        </is>
      </c>
      <c r="E430" t="inlineStr">
        <is>
          <t>water::ground-</t>
        </is>
      </c>
      <c r="F430" t="inlineStr">
        <is>
          <t>biosphere</t>
        </is>
      </c>
      <c r="H430" t="inlineStr">
        <is>
          <t/>
        </is>
      </c>
    </row>
    <row r="431">
      <c r="A431" t="inlineStr">
        <is>
          <t>Hydrochloric acid</t>
        </is>
      </c>
      <c r="B431">
        <v>1.83e-05</v>
      </c>
      <c r="D431" t="inlineStr">
        <is>
          <t>kilogram</t>
        </is>
      </c>
      <c r="E431" t="inlineStr">
        <is>
          <t>air</t>
        </is>
      </c>
      <c r="F431" t="inlineStr">
        <is>
          <t>biosphere</t>
        </is>
      </c>
      <c r="H431" t="inlineStr">
        <is>
          <t/>
        </is>
      </c>
    </row>
    <row r="432">
      <c r="A432" t="inlineStr">
        <is>
          <t>Iron ion</t>
        </is>
      </c>
      <c r="B432">
        <v>1.4e-06</v>
      </c>
      <c r="D432" t="inlineStr">
        <is>
          <t>kilogram</t>
        </is>
      </c>
      <c r="E432" t="inlineStr">
        <is>
          <t>air</t>
        </is>
      </c>
      <c r="F432" t="inlineStr">
        <is>
          <t>biosphere</t>
        </is>
      </c>
      <c r="H432" t="inlineStr">
        <is>
          <t/>
        </is>
      </c>
    </row>
    <row r="433">
      <c r="A433" t="inlineStr">
        <is>
          <t>Iron ion</t>
        </is>
      </c>
      <c r="B433">
        <v>5.649999999999999e-06</v>
      </c>
      <c r="D433" t="inlineStr">
        <is>
          <t>kilogram</t>
        </is>
      </c>
      <c r="E433" t="inlineStr">
        <is>
          <t>water::ground-</t>
        </is>
      </c>
      <c r="F433" t="inlineStr">
        <is>
          <t>biosphere</t>
        </is>
      </c>
      <c r="H433" t="inlineStr">
        <is>
          <t/>
        </is>
      </c>
    </row>
    <row r="434">
      <c r="A434" t="inlineStr">
        <is>
          <t>Lead II</t>
        </is>
      </c>
      <c r="B434">
        <v>3.4000000000000003e-09</v>
      </c>
      <c r="D434" t="inlineStr">
        <is>
          <t>kilogram</t>
        </is>
      </c>
      <c r="E434" t="inlineStr">
        <is>
          <t>air</t>
        </is>
      </c>
      <c r="F434" t="inlineStr">
        <is>
          <t>biosphere</t>
        </is>
      </c>
      <c r="H434" t="inlineStr">
        <is>
          <t/>
        </is>
      </c>
    </row>
    <row r="435">
      <c r="A435" t="inlineStr">
        <is>
          <t>Lead II</t>
        </is>
      </c>
      <c r="B435">
        <v>1.51e-09</v>
      </c>
      <c r="D435" t="inlineStr">
        <is>
          <t>kilogram</t>
        </is>
      </c>
      <c r="E435" t="inlineStr">
        <is>
          <t>water::ground-</t>
        </is>
      </c>
      <c r="F435" t="inlineStr">
        <is>
          <t>biosphere</t>
        </is>
      </c>
      <c r="H435" t="inlineStr">
        <is>
          <t/>
        </is>
      </c>
    </row>
    <row r="436">
      <c r="A436" t="inlineStr">
        <is>
          <t>Nickel II</t>
        </is>
      </c>
      <c r="B436">
        <v>9.999999999999999e-10</v>
      </c>
      <c r="D436" t="inlineStr">
        <is>
          <t>kilogram</t>
        </is>
      </c>
      <c r="E436" t="inlineStr">
        <is>
          <t>water::ground-</t>
        </is>
      </c>
      <c r="F436" t="inlineStr">
        <is>
          <t>biosphere</t>
        </is>
      </c>
      <c r="H436" t="inlineStr">
        <is>
          <t/>
        </is>
      </c>
    </row>
    <row r="437">
      <c r="A437" t="inlineStr">
        <is>
          <t>Oils, unspecified</t>
        </is>
      </c>
      <c r="B437">
        <v>1.0399999999999999e-07</v>
      </c>
      <c r="D437" t="inlineStr">
        <is>
          <t>kilogram</t>
        </is>
      </c>
      <c r="E437" t="inlineStr">
        <is>
          <t>water::ground-</t>
        </is>
      </c>
      <c r="F437" t="inlineStr">
        <is>
          <t>biosphere</t>
        </is>
      </c>
      <c r="H437" t="inlineStr">
        <is>
          <t/>
        </is>
      </c>
    </row>
    <row r="438">
      <c r="A438" t="inlineStr">
        <is>
          <t>Phosphorus</t>
        </is>
      </c>
      <c r="B438">
        <v>9.000000000000001e-08</v>
      </c>
      <c r="D438" t="inlineStr">
        <is>
          <t>kilogram</t>
        </is>
      </c>
      <c r="E438" t="inlineStr">
        <is>
          <t>water::ground-</t>
        </is>
      </c>
      <c r="F438" t="inlineStr">
        <is>
          <t>biosphere</t>
        </is>
      </c>
      <c r="H438" t="inlineStr">
        <is>
          <t/>
        </is>
      </c>
    </row>
    <row r="439">
      <c r="A439" t="inlineStr">
        <is>
          <t>Suspended solids, unspecified</t>
        </is>
      </c>
      <c r="B439">
        <v>2.24e-07</v>
      </c>
      <c r="D439" t="inlineStr">
        <is>
          <t>kilogram</t>
        </is>
      </c>
      <c r="E439" t="inlineStr">
        <is>
          <t>water::ground-</t>
        </is>
      </c>
      <c r="F439" t="inlineStr">
        <is>
          <t>biosphere</t>
        </is>
      </c>
      <c r="H439" t="inlineStr">
        <is>
          <t/>
        </is>
      </c>
    </row>
    <row r="440">
      <c r="A440" t="inlineStr">
        <is>
          <t>TOC, Total Organic Carbon</t>
        </is>
      </c>
      <c r="B440">
        <v>2.97e-07</v>
      </c>
      <c r="D440" t="inlineStr">
        <is>
          <t>kilogram</t>
        </is>
      </c>
      <c r="E440" t="inlineStr">
        <is>
          <t>water::ground-</t>
        </is>
      </c>
      <c r="F440" t="inlineStr">
        <is>
          <t>biosphere</t>
        </is>
      </c>
      <c r="H440" t="inlineStr">
        <is>
          <t/>
        </is>
      </c>
    </row>
    <row r="441">
      <c r="A441" t="inlineStr">
        <is>
          <t>Zinc II</t>
        </is>
      </c>
      <c r="B441">
        <v>2.75e-05</v>
      </c>
      <c r="D441" t="inlineStr">
        <is>
          <t>kilogram</t>
        </is>
      </c>
      <c r="E441" t="inlineStr">
        <is>
          <t>air</t>
        </is>
      </c>
      <c r="F441" t="inlineStr">
        <is>
          <t>biosphere</t>
        </is>
      </c>
      <c r="H441" t="inlineStr">
        <is>
          <t/>
        </is>
      </c>
    </row>
    <row r="442">
      <c r="A442" t="inlineStr">
        <is>
          <t>Zinc II</t>
        </is>
      </c>
      <c r="B442">
        <v>1.9e-06</v>
      </c>
      <c r="D442" t="inlineStr">
        <is>
          <t>kilogram</t>
        </is>
      </c>
      <c r="E442" t="inlineStr">
        <is>
          <t>water::ground-</t>
        </is>
      </c>
      <c r="F442" t="inlineStr">
        <is>
          <t>biosphere</t>
        </is>
      </c>
      <c r="H442" t="inlineStr">
        <is>
          <t/>
        </is>
      </c>
    </row>
    <row r="445">
      <c r="A445" t="inlineStr">
        <is>
          <t>Activity</t>
        </is>
      </c>
      <c r="B445" t="inlineStr">
        <is>
          <t xml:space="preserve">polyethylene coating production, high density, for pipelines</t>
        </is>
      </c>
    </row>
    <row r="446">
      <c r="A446" t="inlineStr">
        <is>
          <t>location</t>
        </is>
      </c>
      <c r="B446" t="inlineStr">
        <is>
          <t>GLO</t>
        </is>
      </c>
    </row>
    <row r="447">
      <c r="A447" t="inlineStr">
        <is>
          <t>production amount</t>
        </is>
      </c>
      <c r="B447">
        <v>1</v>
      </c>
    </row>
    <row r="448">
      <c r="A448" t="inlineStr">
        <is>
          <t>reference product</t>
        </is>
      </c>
      <c r="B448" t="inlineStr">
        <is>
          <t xml:space="preserve">polyethylene coating, high density, for pipelines</t>
        </is>
      </c>
    </row>
    <row r="449">
      <c r="A449" t="inlineStr">
        <is>
          <t>unit</t>
        </is>
      </c>
      <c r="B449" t="inlineStr">
        <is>
          <t>kilogram</t>
        </is>
      </c>
    </row>
    <row r="450">
      <c r="A450" t="inlineStr">
        <is>
          <t>source</t>
        </is>
      </c>
      <c r="B450" t="inlineStr">
        <is>
          <t>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t>
        </is>
      </c>
    </row>
    <row r="451">
      <c r="A451" t="inlineStr">
        <is>
          <t>comment</t>
        </is>
      </c>
      <c r="B451" t="inlineStr">
        <is>
          <t xml:space="preserve">Nomenclature revision, 2026-10-19. Former activity name: HDPE pipeline coat, material and extrusion, engineering reference. Former reference product: HDPE pipeline coat, material and extrusion, engineering reference. Activity/product labels and supplier references only; coefficients, formulas, uncertainty, declared output and unit are unchanged. Original engineering assumptions, functional-unit basis and limitations remain below.
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row>
    <row r="452">
      <c r="A452" t="inlineStr">
        <is>
          <t xml:space="preserve">type</t>
        </is>
      </c>
      <c r="B452" t="inlineStr">
        <is>
          <t xml:space="preserve">processwithreferenceproduct</t>
        </is>
      </c>
    </row>
    <row r="453">
      <c r="A453" t="inlineStr">
        <is>
          <t>Exchanges</t>
        </is>
      </c>
    </row>
    <row r="454">
      <c r="A454" t="inlineStr">
        <is>
          <t>name</t>
        </is>
      </c>
      <c r="B454" t="inlineStr">
        <is>
          <t>amount</t>
        </is>
      </c>
      <c r="C454" t="inlineStr">
        <is>
          <t>location</t>
        </is>
      </c>
      <c r="D454" t="inlineStr">
        <is>
          <t>unit</t>
        </is>
      </c>
      <c r="E454" t="inlineStr">
        <is>
          <t>categories</t>
        </is>
      </c>
      <c r="F454" t="inlineStr">
        <is>
          <t>type</t>
        </is>
      </c>
      <c r="G454" t="inlineStr">
        <is>
          <t>reference product</t>
        </is>
      </c>
      <c r="H454" t="inlineStr">
        <is>
          <t>comment</t>
        </is>
      </c>
      <c r="I454" t="inlineStr">
        <is>
          <t>product</t>
        </is>
      </c>
    </row>
    <row r="455">
      <c r="A455" t="inlineStr">
        <is>
          <t xml:space="preserve">polyethylene coating production, high density, for pipelines</t>
        </is>
      </c>
      <c r="B455">
        <v>1</v>
      </c>
      <c r="C455" t="inlineStr">
        <is>
          <t>GLO</t>
        </is>
      </c>
      <c r="D455" t="inlineStr">
        <is>
          <t>kilogram</t>
        </is>
      </c>
      <c r="F455" t="inlineStr">
        <is>
          <t>production</t>
        </is>
      </c>
      <c r="G455" t="inlineStr">
        <is>
          <t xml:space="preserve">polyethylene coating, high density, for pipelines</t>
        </is>
      </c>
      <c r="I455" t="inlineStr">
        <is>
          <t xml:space="preserve">polyethylene coating, high density, for pipelines</t>
        </is>
      </c>
    </row>
    <row r="456">
      <c r="A456" t="inlineStr">
        <is>
          <t>market for polyethylene, high density, granulate</t>
        </is>
      </c>
      <c r="B456">
        <v>1</v>
      </c>
      <c r="C456" t="inlineStr">
        <is>
          <t>GLO</t>
        </is>
      </c>
      <c r="D456" t="inlineStr">
        <is>
          <t>kilogram</t>
        </is>
      </c>
      <c r="F456" t="inlineStr">
        <is>
          <t>technosphere</t>
        </is>
      </c>
      <c r="G456" t="inlineStr">
        <is>
          <t>polyethylene, high density, granulate</t>
        </is>
      </c>
      <c r="I456" t="inlineStr">
        <is>
          <t>polyethylene, high density, granulate</t>
        </is>
      </c>
    </row>
    <row r="457">
      <c r="A457" t="inlineStr">
        <is>
          <t>extrusion, plastic film</t>
        </is>
      </c>
      <c r="B457">
        <v>1</v>
      </c>
      <c r="C457" t="inlineStr">
        <is>
          <t>RER</t>
        </is>
      </c>
      <c r="D457" t="inlineStr">
        <is>
          <t>kilogram</t>
        </is>
      </c>
      <c r="F457" t="inlineStr">
        <is>
          <t>technosphere</t>
        </is>
      </c>
      <c r="G457" t="inlineStr">
        <is>
          <t>extrusion, plastic film</t>
        </is>
      </c>
      <c r="I457" t="inlineStr">
        <is>
          <t>extrusion, plastic film</t>
        </is>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2021-05-07T07:00:51Z</dcterms:created>
  <dcterms:modified xsi:type="dcterms:W3CDTF">2025-07-27T11:46:39Z</dcterms:modified>
</cp:coreProperties>
</file>