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60" yWindow="760" windowWidth="26840" windowHeight="159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_-* #,##0.00\ [$CHF-100C]_-;\-* #,##0.00\ [$CHF-100C]_-;_-* &quot;-&quot;??\ [$CHF-100C]_-;_-@_-"/>
    <numFmt numFmtId="166" formatCode="0.0%"/>
    <numFmt numFmtId="167" formatCode="0.000"/>
  </numFmts>
  <fonts count="11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2"/>
      <scheme val="minor"/>
    </font>
    <font>
      <name val="Aptos Narrow"/>
      <family val="2"/>
      <sz val="12"/>
      <scheme val="minor"/>
    </font>
    <font>
      <name val="Aptos Narrow"/>
      <family val="2"/>
      <color rgb="FF333333"/>
      <sz val="12"/>
      <scheme val="minor"/>
    </font>
    <font>
      <name val="Helvetica Neue"/>
      <family val="2"/>
      <color rgb="FF333333"/>
      <sz val="14"/>
    </font>
    <font>
      <name val="Aptos Display"/>
      <color theme="1"/>
      <sz val="12"/>
      <scheme val="major"/>
    </font>
    <font>
      <name val="Aptos Display"/>
      <sz val="12"/>
      <scheme val="major"/>
    </font>
    <font>
      <name val="Aptos Display"/>
      <color rgb="FF333333"/>
      <sz val="12"/>
      <scheme val="maj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9" fontId="1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9" fontId="0" fillId="0" borderId="0" applyAlignment="1" pivotButton="0" quotePrefix="0" xfId="1">
      <alignment horizontal="left"/>
    </xf>
    <xf numFmtId="164" fontId="0" fillId="0" borderId="0" applyAlignment="1" pivotButton="0" quotePrefix="0" xfId="1">
      <alignment horizontal="left"/>
    </xf>
    <xf numFmtId="165" fontId="0" fillId="0" borderId="0" applyAlignment="1" pivotButton="0" quotePrefix="0" xfId="1">
      <alignment horizontal="left"/>
    </xf>
    <xf numFmtId="166" fontId="0" fillId="0" borderId="0" applyAlignment="1" pivotButton="0" quotePrefix="0" xfId="1">
      <alignment horizontal="left"/>
    </xf>
    <xf numFmtId="2" fontId="0" fillId="0" borderId="0" applyAlignment="1" pivotButton="0" quotePrefix="0" xfId="1">
      <alignment horizontal="left"/>
    </xf>
    <xf numFmtId="1" fontId="0" fillId="0" borderId="0" applyAlignment="1" pivotButton="0" quotePrefix="0" xfId="1">
      <alignment horizontal="left"/>
    </xf>
    <xf numFmtId="0" fontId="3" fillId="0" borderId="0" pivotButton="0" quotePrefix="0" xfId="0"/>
    <xf numFmtId="11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left"/>
    </xf>
    <xf numFmtId="2" fontId="0" fillId="0" borderId="0" pivotButton="0" quotePrefix="0" xfId="0"/>
    <xf numFmtId="0" fontId="4" fillId="0" borderId="0" pivotButton="0" quotePrefix="0" xfId="0"/>
    <xf numFmtId="2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2" fontId="5" fillId="0" borderId="0" pivotButton="0" quotePrefix="0" xfId="0"/>
    <xf numFmtId="0" fontId="7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2">
    <cellStyle name="Normal" xfId="0" builtinId="0"/>
    <cellStyle name="Per 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1"/>
  <sheetViews>
    <sheetView tabSelected="1" topLeftCell="A83" workbookViewId="0">
      <selection activeCell="B91" sqref="B91"/>
    </sheetView>
  </sheetViews>
  <sheetFormatPr baseColWidth="10" defaultRowHeight="16"/>
  <cols>
    <col width="27.83203125" customWidth="1" min="1" max="1"/>
  </cols>
  <sheetData>
    <row r="1">
      <c r="A1" t="inlineStr">
        <is>
          <t>database</t>
        </is>
      </c>
      <c r="B1" t="inlineStr">
        <is>
          <t>electric heater</t>
        </is>
      </c>
    </row>
    <row r="2"/>
    <row r="3">
      <c r="A3" s="1" t="inlineStr">
        <is>
          <t>Activity</t>
        </is>
      </c>
      <c r="B3" s="2" t="inlineStr">
        <is>
          <t>heat, residential, electric storage heater, using electricity from grid</t>
        </is>
      </c>
    </row>
    <row r="4">
      <c r="A4" t="inlineStr">
        <is>
          <t>comment</t>
        </is>
      </c>
      <c r="B4" s="3" t="inlineStr">
        <is>
          <t>Heat from a 5kW electric storage heater. The lifetime of the heater of 20y and 2'100 hours of heating in a year, and electric energy input with an assumed efficiency of 100%</t>
        </is>
      </c>
    </row>
    <row r="5">
      <c r="A5" t="inlineStr">
        <is>
          <t>source</t>
        </is>
      </c>
      <c r="B5" t="inlineStr">
        <is>
          <t>Life cycle inventories of heating systems Life cycle inventories of heating systems, Thomas Kägi &amp; Mischa Zschokke, Carbotech AG, Zurich, 2021.</t>
        </is>
      </c>
    </row>
    <row r="6">
      <c r="A6" t="inlineStr">
        <is>
          <t>location</t>
        </is>
      </c>
      <c r="B6" s="3" t="inlineStr">
        <is>
          <t>CH</t>
        </is>
      </c>
    </row>
    <row r="7">
      <c r="A7" t="inlineStr">
        <is>
          <t>reference product</t>
        </is>
      </c>
      <c r="B7" s="3" t="inlineStr">
        <is>
          <t>heat, from residential heating system</t>
        </is>
      </c>
    </row>
    <row r="8">
      <c r="A8" t="inlineStr">
        <is>
          <t>unit</t>
        </is>
      </c>
      <c r="B8" s="3" t="inlineStr">
        <is>
          <t>megajoule</t>
        </is>
      </c>
    </row>
    <row r="9">
      <c r="A9" t="inlineStr">
        <is>
          <t>Country</t>
        </is>
      </c>
      <c r="B9" s="3" t="inlineStr">
        <is>
          <t>Switzerland</t>
        </is>
      </c>
    </row>
    <row r="10">
      <c r="A10" t="inlineStr">
        <is>
          <t>Year</t>
        </is>
      </c>
      <c r="B10" s="3" t="n">
        <v>2020</v>
      </c>
    </row>
    <row r="11">
      <c r="A11" t="inlineStr">
        <is>
          <t>Functional unit</t>
        </is>
      </c>
      <c r="B11" s="3" t="inlineStr">
        <is>
          <t>1 MJ heat</t>
        </is>
      </c>
    </row>
    <row r="12">
      <c r="A12" t="inlineStr">
        <is>
          <t>Energy carrier</t>
        </is>
      </c>
      <c r="B12" s="3" t="inlineStr">
        <is>
          <t>electricity</t>
        </is>
      </c>
    </row>
    <row r="13">
      <c r="A13" t="inlineStr">
        <is>
          <t>Feedstock</t>
        </is>
      </c>
      <c r="B13" s="3" t="inlineStr">
        <is>
          <t>electricity</t>
        </is>
      </c>
    </row>
    <row r="14">
      <c r="A14" t="inlineStr">
        <is>
          <t>Feedstock origin</t>
        </is>
      </c>
      <c r="B14" s="3" t="inlineStr">
        <is>
          <t>grid</t>
        </is>
      </c>
    </row>
    <row r="15">
      <c r="A15" t="inlineStr">
        <is>
          <t>Heat conversion efficiency [% LHV input]</t>
        </is>
      </c>
      <c r="B15" s="4" t="n">
        <v>1</v>
      </c>
    </row>
    <row r="16">
      <c r="A16" t="inlineStr">
        <is>
          <t>LHV [MJ/kg]</t>
        </is>
      </c>
      <c r="B16" s="5" t="n">
        <v>3.6</v>
      </c>
    </row>
    <row r="17">
      <c r="A17" t="inlineStr">
        <is>
          <t>Market price [Euro/MJ]</t>
        </is>
      </c>
      <c r="B17" s="6" t="n">
        <v>0.02666666666666666</v>
      </c>
    </row>
    <row r="18">
      <c r="A18" t="inlineStr">
        <is>
          <t>Grid loss [%]</t>
        </is>
      </c>
      <c r="B18" s="7" t="n">
        <v>0.06</v>
      </c>
    </row>
    <row r="19">
      <c r="A19" t="inlineStr">
        <is>
          <t>Power [kW]</t>
        </is>
      </c>
      <c r="B19" s="8" t="n">
        <v>5</v>
      </c>
    </row>
    <row r="20">
      <c r="A20" t="inlineStr">
        <is>
          <t>Lifetime [years]</t>
        </is>
      </c>
      <c r="B20" s="9" t="n">
        <v>20</v>
      </c>
    </row>
    <row r="21">
      <c r="A21" t="inlineStr">
        <is>
          <t>Annual operation [hours]</t>
        </is>
      </c>
      <c r="B21" s="9" t="n">
        <v>2100</v>
      </c>
    </row>
    <row r="22">
      <c r="B22" s="3" t="n"/>
    </row>
    <row r="23">
      <c r="A23" s="10" t="inlineStr">
        <is>
          <t>Exchanges</t>
        </is>
      </c>
      <c r="B23" s="3" t="n"/>
    </row>
    <row r="24">
      <c r="A24" s="1" t="inlineStr">
        <is>
          <t>name</t>
        </is>
      </c>
      <c r="B24" s="2" t="inlineStr">
        <is>
          <t>amount</t>
        </is>
      </c>
      <c r="C24" s="1" t="inlineStr">
        <is>
          <t>unit</t>
        </is>
      </c>
      <c r="D24" s="1" t="inlineStr">
        <is>
          <t>categories</t>
        </is>
      </c>
      <c r="E24" s="1" t="inlineStr">
        <is>
          <t>location</t>
        </is>
      </c>
      <c r="F24" s="1" t="inlineStr">
        <is>
          <t>type</t>
        </is>
      </c>
      <c r="G24" s="1" t="inlineStr">
        <is>
          <t>reference product</t>
        </is>
      </c>
      <c r="H24" s="1" t="inlineStr">
        <is>
          <t>tag</t>
        </is>
      </c>
      <c r="I24" s="1" t="inlineStr">
        <is>
          <t>comment</t>
        </is>
      </c>
      <c r="J24" s="1" t="inlineStr">
        <is>
          <t>input type</t>
        </is>
      </c>
      <c r="K24" s="1" t="inlineStr">
        <is>
          <t>dataset name</t>
        </is>
      </c>
      <c r="L24" s="1" t="inlineStr">
        <is>
          <t>uncertainty type</t>
        </is>
      </c>
      <c r="M24" s="1" t="inlineStr">
        <is>
          <t>loc</t>
        </is>
      </c>
      <c r="N24" s="1" t="inlineStr">
        <is>
          <t>u1</t>
        </is>
      </c>
      <c r="O24" s="1" t="inlineStr">
        <is>
          <t>u2</t>
        </is>
      </c>
      <c r="P24" s="1" t="inlineStr">
        <is>
          <t>u3</t>
        </is>
      </c>
      <c r="Q24" s="1" t="inlineStr">
        <is>
          <t>u4</t>
        </is>
      </c>
      <c r="R24" s="1" t="inlineStr">
        <is>
          <t>u5</t>
        </is>
      </c>
      <c r="S24" s="1" t="inlineStr">
        <is>
          <t>u6</t>
        </is>
      </c>
      <c r="T24" s="1" t="inlineStr">
        <is>
          <t>ub</t>
        </is>
      </c>
      <c r="U24" s="1" t="inlineStr">
        <is>
          <t>scale</t>
        </is>
      </c>
      <c r="V24" s="1" t="n"/>
    </row>
    <row r="25">
      <c r="A25" t="inlineStr">
        <is>
          <t>heat, residential, electric storage heater, using electricity from grid</t>
        </is>
      </c>
      <c r="B25" s="3" t="n">
        <v>1</v>
      </c>
      <c r="C25" t="inlineStr">
        <is>
          <t>megajoule</t>
        </is>
      </c>
      <c r="E25" t="inlineStr">
        <is>
          <t>CH</t>
        </is>
      </c>
      <c r="F25" t="inlineStr">
        <is>
          <t>production</t>
        </is>
      </c>
      <c r="G25" t="inlineStr">
        <is>
          <t>heat, from residential heating system</t>
        </is>
      </c>
      <c r="K25" t="str">
        <f>B3</f>
        <v>heat, residential, electric storage heater, using electricity from grid</v>
      </c>
    </row>
    <row r="26">
      <c r="A26" t="inlineStr">
        <is>
          <t>electric storage heater production, 5 kW</t>
        </is>
      </c>
      <c r="B26" s="11" t="n">
        <v>1.32e-06</v>
      </c>
      <c r="C26" t="inlineStr">
        <is>
          <t>unit</t>
        </is>
      </c>
      <c r="E26" t="inlineStr">
        <is>
          <t>RER</t>
        </is>
      </c>
      <c r="F26" t="inlineStr">
        <is>
          <t>technosphere</t>
        </is>
      </c>
      <c r="G26" t="inlineStr">
        <is>
          <t>electric storage heater, 5 kW</t>
        </is>
      </c>
      <c r="K26" t="str">
        <f>B3</f>
        <v>heat, residential, electric storage heater, using electricity from grid</v>
      </c>
      <c r="L26" t="n">
        <v>2</v>
      </c>
      <c r="M26">
        <f>LN(B26)</f>
        <v>-13.537878821365995</v>
      </c>
      <c r="N26" t="n">
        <v>1.1</v>
      </c>
      <c r="O26" t="n">
        <v>1.02</v>
      </c>
      <c r="P26" t="n">
        <v>1</v>
      </c>
      <c r="Q26" t="n">
        <v>1.02</v>
      </c>
      <c r="R26" t="n">
        <v>1.2</v>
      </c>
      <c r="S26" t="n">
        <v>1.2</v>
      </c>
      <c r="T26" t="n">
        <v>1.05</v>
      </c>
      <c r="U26">
        <f>LN(SQRT(EXP(
SQRT(
+POWER(LN(N26),2)
+POWER(LN(O26),2)
+POWER(LN(P26),2)
+POWER(LN(Q26),2)
+POWER(LN(R26),2)
+POWER(LN(S26),2)
+POWER(LN(T26),2)
)
)))</f>
        <v>0.14029531240673906</v>
      </c>
    </row>
    <row r="27">
      <c r="A27" t="inlineStr">
        <is>
          <t>treatment of electric storage heater, 5 kW</t>
        </is>
      </c>
      <c r="B27" s="11">
        <f>1/(B19*B21*B20*3.6*-1)</f>
        <v>-1.3227513227513228E-6</v>
      </c>
      <c r="C27" t="inlineStr">
        <is>
          <t>unit</t>
        </is>
      </c>
      <c r="E27" t="inlineStr">
        <is>
          <t>RER</t>
        </is>
      </c>
      <c r="F27" t="inlineStr">
        <is>
          <t>technosphere</t>
        </is>
      </c>
      <c r="G27" t="inlineStr">
        <is>
          <t>used electric storage heater, 5 kW</t>
        </is>
      </c>
      <c r="K27" t="str">
        <f>B3</f>
        <v>heat, residential, electric storage heater, using electricity from grid</v>
      </c>
      <c r="L27" t="n">
        <v>0</v>
      </c>
    </row>
    <row r="28">
      <c r="A28" t="inlineStr">
        <is>
          <t>market for electricity, low voltage</t>
        </is>
      </c>
      <c r="B28" s="12">
        <f>B25/B15/3.6</f>
        <v>0.27777777777777779</v>
      </c>
      <c r="C28" t="inlineStr">
        <is>
          <t>kilowatt hour</t>
        </is>
      </c>
      <c r="E28" t="inlineStr">
        <is>
          <t>CH</t>
        </is>
      </c>
      <c r="F28" t="inlineStr">
        <is>
          <t>technosphere</t>
        </is>
      </c>
      <c r="G28" t="inlineStr">
        <is>
          <t>electricity, low voltage</t>
        </is>
      </c>
      <c r="H28" t="inlineStr">
        <is>
          <t>electricity</t>
        </is>
      </c>
      <c r="K28" t="str">
        <f>B3</f>
        <v>heat, residential, electric storage heater, using electricity from grid</v>
      </c>
      <c r="L28" t="n">
        <v>2</v>
      </c>
      <c r="M28">
        <f>LN(B28)</f>
        <v>-1.2809338454620642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1.2</v>
      </c>
      <c r="T28" t="n">
        <v>1.05</v>
      </c>
      <c r="U28">
        <f>LN(SQRT(EXP(
SQRT(
+POWER(LN(N28),2)
+POWER(LN(O28),2)
+POWER(LN(P28),2)
+POWER(LN(Q28),2)
+POWER(LN(R28),2)
+POWER(LN(S28),2)
+POWER(LN(T28),2)
)
)))</f>
        <v>9.4368466914869636E-2</v>
      </c>
    </row>
    <row r="29"/>
    <row r="30">
      <c r="A30" s="1" t="inlineStr">
        <is>
          <t>Activity</t>
        </is>
      </c>
      <c r="B30" s="1" t="inlineStr">
        <is>
          <t>electric storage heater production, 5 kW</t>
        </is>
      </c>
      <c r="K30" s="13" t="n"/>
      <c r="L30" s="13" t="n"/>
      <c r="M30" s="13" t="n"/>
      <c r="N30" s="13" t="n"/>
      <c r="O30" s="13" t="n"/>
      <c r="P30" s="13" t="n"/>
    </row>
    <row r="31">
      <c r="A31" t="inlineStr">
        <is>
          <t>comment</t>
        </is>
      </c>
      <c r="B31" t="inlineStr">
        <is>
          <t>Share of the electric storage heater infrastructure (calculated with a lifetime of the heater of 20y and 2'100 hours of heating in a year) and electric energy input with an assumed efficiency of 100%. Materials and energy use based on AEG Nachtspeicherofen/ electric storage heater published in 2016. Report from: https://www.energieexperten.org/heizung/elektroheizung/speicherheizung/nachtspeicheroefen.html. Data apply to the supply in Switzerland. Production occurs at AEG Haustechnik / STIEBEL ELTRON GmbH &amp; Co. KG (DE). Source: Life cycle inventories of heating systems Life cycle inventories of heating systems, Thomas Kägi &amp; Mischa Zschokke, Carbotech AG, Zurich, 2021.</t>
        </is>
      </c>
      <c r="K31" s="13" t="n"/>
      <c r="L31" s="13" t="n"/>
      <c r="M31" s="13" t="n"/>
      <c r="N31" s="13" t="n"/>
      <c r="O31" s="13" t="n"/>
      <c r="P31" s="13" t="n"/>
    </row>
    <row r="32">
      <c r="A32" t="inlineStr">
        <is>
          <t>source</t>
        </is>
      </c>
      <c r="B32" t="inlineStr">
        <is>
          <t>Life cycle inventories of heating systems Life cycle inventories of heating systems, Thomas Kägi &amp; Mischa Zschokke, Carbotech AG, Zurich, 2021.</t>
        </is>
      </c>
      <c r="K32" s="13" t="n"/>
      <c r="L32" s="13" t="n"/>
      <c r="M32" s="13" t="n"/>
      <c r="N32" s="13" t="n"/>
      <c r="O32" s="13" t="n"/>
      <c r="P32" s="13" t="n"/>
    </row>
    <row r="33">
      <c r="A33" t="inlineStr">
        <is>
          <t>location</t>
        </is>
      </c>
      <c r="B33" t="inlineStr">
        <is>
          <t>RER</t>
        </is>
      </c>
      <c r="K33" s="13" t="n"/>
      <c r="L33" s="13" t="n"/>
      <c r="M33" s="13" t="n"/>
      <c r="N33" s="13" t="n"/>
      <c r="O33" s="13" t="n"/>
      <c r="P33" s="13" t="n"/>
    </row>
    <row r="34">
      <c r="A34" t="inlineStr">
        <is>
          <t>production amount</t>
        </is>
      </c>
      <c r="B34" t="n">
        <v>1</v>
      </c>
      <c r="K34" s="13" t="n"/>
      <c r="L34" s="13" t="n"/>
      <c r="M34" s="13" t="n"/>
      <c r="N34" s="13" t="n"/>
      <c r="O34" s="13" t="n"/>
      <c r="P34" s="13" t="n"/>
    </row>
    <row r="35">
      <c r="A35" t="inlineStr">
        <is>
          <t>reference product</t>
        </is>
      </c>
      <c r="B35" t="inlineStr">
        <is>
          <t>electric storage heater, 5 kW</t>
        </is>
      </c>
      <c r="K35" s="13" t="n"/>
      <c r="L35" s="13" t="n"/>
      <c r="M35" s="13" t="n"/>
      <c r="N35" s="13" t="n"/>
      <c r="O35" s="13" t="n"/>
      <c r="P35" s="13" t="n"/>
    </row>
    <row r="36">
      <c r="A36" t="inlineStr">
        <is>
          <t>unit</t>
        </is>
      </c>
      <c r="B36" t="inlineStr">
        <is>
          <t>unit</t>
        </is>
      </c>
      <c r="K36" s="13" t="n"/>
      <c r="L36" s="13" t="n"/>
      <c r="M36" s="13" t="n"/>
      <c r="N36" s="13" t="n"/>
      <c r="O36" s="13" t="n"/>
      <c r="P36" s="13" t="n"/>
    </row>
    <row r="37">
      <c r="A37" s="1" t="inlineStr">
        <is>
          <t>Exchanges</t>
        </is>
      </c>
      <c r="K37" s="13" t="n"/>
      <c r="L37" s="13" t="n"/>
      <c r="M37" s="13" t="n"/>
      <c r="N37" s="13" t="n"/>
      <c r="O37" s="13" t="n"/>
      <c r="P37" s="13" t="n"/>
    </row>
    <row r="38">
      <c r="A38" s="1" t="inlineStr">
        <is>
          <t>name</t>
        </is>
      </c>
      <c r="B38" s="1" t="inlineStr">
        <is>
          <t>amount</t>
        </is>
      </c>
      <c r="C38" s="1" t="inlineStr">
        <is>
          <t>location</t>
        </is>
      </c>
      <c r="D38" s="1" t="inlineStr">
        <is>
          <t>unit</t>
        </is>
      </c>
      <c r="E38" s="1" t="inlineStr">
        <is>
          <t>categories</t>
        </is>
      </c>
      <c r="F38" s="1" t="inlineStr">
        <is>
          <t>type</t>
        </is>
      </c>
      <c r="G38" s="1" t="inlineStr">
        <is>
          <t>reference product</t>
        </is>
      </c>
      <c r="H38" s="14" t="inlineStr">
        <is>
          <t>comment</t>
        </is>
      </c>
      <c r="I38" s="14" t="inlineStr">
        <is>
          <t>uncertainty type</t>
        </is>
      </c>
      <c r="J38" s="1" t="inlineStr">
        <is>
          <t>loc</t>
        </is>
      </c>
      <c r="K38" s="15" t="inlineStr">
        <is>
          <t>u1</t>
        </is>
      </c>
      <c r="L38" s="15" t="inlineStr">
        <is>
          <t>u2</t>
        </is>
      </c>
      <c r="M38" s="15" t="inlineStr">
        <is>
          <t>u3</t>
        </is>
      </c>
      <c r="N38" s="15" t="inlineStr">
        <is>
          <t>u4</t>
        </is>
      </c>
      <c r="O38" s="15" t="inlineStr">
        <is>
          <t>u5</t>
        </is>
      </c>
      <c r="P38" s="15" t="inlineStr">
        <is>
          <t>u6</t>
        </is>
      </c>
      <c r="Q38" s="1" t="inlineStr">
        <is>
          <t>ub</t>
        </is>
      </c>
      <c r="R38" s="1" t="inlineStr">
        <is>
          <t>scale</t>
        </is>
      </c>
      <c r="S38" s="14" t="inlineStr">
        <is>
          <t>negative</t>
        </is>
      </c>
      <c r="T38" s="1" t="n"/>
      <c r="U38" s="15" t="n"/>
      <c r="V38" s="15" t="n"/>
      <c r="W38" s="15" t="n"/>
      <c r="X38" s="15" t="n"/>
      <c r="Y38" s="15" t="n"/>
      <c r="Z38" s="15" t="n"/>
      <c r="AA38" s="1" t="n"/>
    </row>
    <row r="39">
      <c r="A39" t="inlineStr">
        <is>
          <t>electric storage heater production, 5 kW</t>
        </is>
      </c>
      <c r="B39" t="n">
        <v>1</v>
      </c>
      <c r="C39" t="inlineStr">
        <is>
          <t>RER</t>
        </is>
      </c>
      <c r="D39" t="inlineStr">
        <is>
          <t>unit</t>
        </is>
      </c>
      <c r="E39" s="16" t="n"/>
      <c r="F39" t="inlineStr">
        <is>
          <t>production</t>
        </is>
      </c>
      <c r="G39" t="inlineStr">
        <is>
          <t>electric storage heater, 5 kW</t>
        </is>
      </c>
      <c r="H39" s="16" t="n"/>
      <c r="I39" s="16" t="n">
        <v>0</v>
      </c>
      <c r="J39">
        <f>LN(B39)</f>
        <v>0</v>
      </c>
      <c r="K39" s="13" t="n"/>
      <c r="L39" s="13" t="n"/>
      <c r="M39" s="13" t="n"/>
      <c r="N39" s="13" t="n"/>
      <c r="O39" s="13" t="n"/>
      <c r="P39" s="13" t="n"/>
    </row>
    <row r="40" ht="18" customFormat="1" customHeight="1" s="16">
      <c r="A40" s="16" t="inlineStr">
        <is>
          <t>market for steel, low-alloyed</t>
        </is>
      </c>
      <c r="B40" s="17" t="n">
        <v>28.27</v>
      </c>
      <c r="C40" s="16" t="inlineStr">
        <is>
          <t>GLO</t>
        </is>
      </c>
      <c r="D40" s="17" t="inlineStr">
        <is>
          <t>kilogram</t>
        </is>
      </c>
      <c r="F40" s="16" t="inlineStr">
        <is>
          <t>technosphere</t>
        </is>
      </c>
      <c r="G40" s="16" t="inlineStr">
        <is>
          <t>steel, low-alloyed</t>
        </is>
      </c>
      <c r="I40" s="16" t="n">
        <v>2</v>
      </c>
      <c r="J40">
        <f>LN(B40)</f>
        <v>3.341801171705499</v>
      </c>
      <c r="K40" s="18" t="n">
        <v>1</v>
      </c>
      <c r="L40" s="18" t="n">
        <v>1</v>
      </c>
      <c r="M40" s="18" t="n">
        <v>1.03</v>
      </c>
      <c r="N40" s="18" t="n">
        <v>1.01</v>
      </c>
      <c r="O40" s="18" t="n">
        <v>1.2</v>
      </c>
      <c r="P40" s="18" t="n">
        <v>1.2</v>
      </c>
      <c r="Q40" s="18" t="n">
        <v>1.05</v>
      </c>
      <c r="R40">
        <f>LN(SQRT(EXP(
SQRT(
+POWER(LN(K40),2)
+POWER(LN(L40),2)
+POWER(LN(M40),2)
+POWER(LN(N40),2)
+POWER(LN(O40),2)
+POWER(LN(P40),2)
+POWER(LN(Q40),2)
)
)))</f>
        <v>0.132132047718622</v>
      </c>
      <c r="T40" s="19" t="n"/>
    </row>
    <row r="41" ht="18" customFormat="1" customHeight="1" s="16">
      <c r="A41" s="20" t="inlineStr">
        <is>
          <t>market for sheet rolling, steel</t>
        </is>
      </c>
      <c r="B41" s="17" t="n">
        <v>28.27</v>
      </c>
      <c r="C41" s="16" t="inlineStr">
        <is>
          <t>GLO</t>
        </is>
      </c>
      <c r="D41" s="17" t="inlineStr">
        <is>
          <t>kilogram</t>
        </is>
      </c>
      <c r="F41" s="16" t="inlineStr">
        <is>
          <t>technosphere</t>
        </is>
      </c>
      <c r="G41" s="16" t="inlineStr">
        <is>
          <t>sheet rolling, steel</t>
        </is>
      </c>
      <c r="I41" s="16" t="n">
        <v>2</v>
      </c>
      <c r="J41">
        <f>LN(B41)</f>
        <v>3.341801171705499</v>
      </c>
      <c r="K41" s="18" t="n">
        <v>1</v>
      </c>
      <c r="L41" s="18" t="n">
        <v>1</v>
      </c>
      <c r="M41" s="18" t="n">
        <v>1.03</v>
      </c>
      <c r="N41" s="18" t="n">
        <v>1.01</v>
      </c>
      <c r="O41" s="18" t="n">
        <v>1.2</v>
      </c>
      <c r="P41" s="18" t="n">
        <v>1.2</v>
      </c>
      <c r="Q41" s="18" t="n">
        <v>1.05</v>
      </c>
      <c r="R41">
        <f>LN(SQRT(EXP(
SQRT(
+POWER(LN(K41),2)
+POWER(LN(L41),2)
+POWER(LN(M41),2)
+POWER(LN(N41),2)
+POWER(LN(O41),2)
+POWER(LN(P41),2)
+POWER(LN(Q41),2)
)
)))</f>
        <v>0.132132047718622</v>
      </c>
      <c r="T41" s="19" t="n"/>
    </row>
    <row r="42" ht="18" customFormat="1" customHeight="1" s="16">
      <c r="A42" s="16" t="inlineStr">
        <is>
          <t>market for enamelling</t>
        </is>
      </c>
      <c r="B42" s="17" t="n">
        <v>1.7669</v>
      </c>
      <c r="C42" s="16" t="inlineStr">
        <is>
          <t>GLO</t>
        </is>
      </c>
      <c r="D42" s="17" t="inlineStr">
        <is>
          <t>square meter</t>
        </is>
      </c>
      <c r="F42" s="16" t="inlineStr">
        <is>
          <t>technosphere</t>
        </is>
      </c>
      <c r="G42" s="16" t="inlineStr">
        <is>
          <t>enamelling</t>
        </is>
      </c>
      <c r="I42" s="16" t="n">
        <v>2</v>
      </c>
      <c r="J42">
        <f>LN(B42)</f>
        <v>0.56922659864046732</v>
      </c>
      <c r="K42" s="18" t="n">
        <v>1.05</v>
      </c>
      <c r="L42" s="18" t="n">
        <v>1.02</v>
      </c>
      <c r="M42" s="18" t="n">
        <v>1.03</v>
      </c>
      <c r="N42" s="18" t="n">
        <v>1.02</v>
      </c>
      <c r="O42" s="18" t="n">
        <v>1.2</v>
      </c>
      <c r="P42" s="18" t="n">
        <v>1.2</v>
      </c>
      <c r="Q42" s="18" t="n">
        <v>1.05</v>
      </c>
      <c r="R42">
        <f>LN(SQRT(EXP(
SQRT(
+POWER(LN(K42),2)
+POWER(LN(L42),2)
+POWER(LN(M42),2)
+POWER(LN(N42),2)
+POWER(LN(O42),2)
+POWER(LN(P42),2)
+POWER(LN(Q42),2)
)
)))</f>
        <v>0.13500117709534998</v>
      </c>
      <c r="T42" s="19" t="n"/>
    </row>
    <row r="43" ht="18" customFormat="1" customHeight="1" s="16">
      <c r="A43" s="17" t="inlineStr">
        <is>
          <t>market for polyester resin, unsaturated</t>
        </is>
      </c>
      <c r="B43" s="17" t="n">
        <v>0.5</v>
      </c>
      <c r="C43" s="16" t="inlineStr">
        <is>
          <t>RER</t>
        </is>
      </c>
      <c r="D43" s="17" t="inlineStr">
        <is>
          <t>kilogram</t>
        </is>
      </c>
      <c r="F43" s="16" t="inlineStr">
        <is>
          <t>technosphere</t>
        </is>
      </c>
      <c r="G43" s="17" t="inlineStr">
        <is>
          <t>polyester resin, unsaturated</t>
        </is>
      </c>
      <c r="I43" s="16" t="n">
        <v>2</v>
      </c>
      <c r="J43">
        <f>LN(B43)</f>
        <v>-0.69314718055994529</v>
      </c>
      <c r="K43" s="18" t="n">
        <v>1.5</v>
      </c>
      <c r="L43" s="18" t="n">
        <v>1.02</v>
      </c>
      <c r="M43" s="18" t="n">
        <v>1.03</v>
      </c>
      <c r="N43" s="18" t="n">
        <v>1.02</v>
      </c>
      <c r="O43" s="18" t="n">
        <v>1.2</v>
      </c>
      <c r="P43" s="18" t="n">
        <v>1.2</v>
      </c>
      <c r="Q43" s="18" t="n">
        <v>1.05</v>
      </c>
      <c r="R43">
        <f>LN(SQRT(EXP(
SQRT(
+POWER(LN(K43),2)
+POWER(LN(L43),2)
+POWER(LN(M43),2)
+POWER(LN(N43),2)
+POWER(LN(O43),2)
+POWER(LN(P43),2)
+POWER(LN(Q43),2)
)
)))</f>
        <v>0.24234414839335677</v>
      </c>
      <c r="T43" s="19" t="n"/>
    </row>
    <row r="44" ht="18" customFormat="1" customHeight="1" s="16">
      <c r="A44" s="17" t="inlineStr">
        <is>
          <t>market for stone wool, packed</t>
        </is>
      </c>
      <c r="B44" s="17" t="n">
        <v>8.35</v>
      </c>
      <c r="C44" s="16" t="inlineStr">
        <is>
          <t>GLO</t>
        </is>
      </c>
      <c r="D44" s="17" t="inlineStr">
        <is>
          <t>kilogram</t>
        </is>
      </c>
      <c r="F44" s="16" t="inlineStr">
        <is>
          <t>technosphere</t>
        </is>
      </c>
      <c r="G44" s="17" t="inlineStr">
        <is>
          <t>stone wool, packed</t>
        </is>
      </c>
      <c r="I44" s="16" t="n">
        <v>2</v>
      </c>
      <c r="J44">
        <f>LN(B44)</f>
        <v>2.1222615388627641</v>
      </c>
      <c r="K44" s="18" t="n">
        <v>1</v>
      </c>
      <c r="L44" s="18" t="n">
        <v>1</v>
      </c>
      <c r="M44" s="18" t="n">
        <v>1.03</v>
      </c>
      <c r="N44" s="18" t="n">
        <v>1.01</v>
      </c>
      <c r="O44" s="18" t="n">
        <v>1.2</v>
      </c>
      <c r="P44" s="18" t="n">
        <v>1.2</v>
      </c>
      <c r="Q44" s="18" t="n">
        <v>1.05</v>
      </c>
      <c r="R44">
        <f>LN(SQRT(EXP(
SQRT(
+POWER(LN(K44),2)
+POWER(LN(L44),2)
+POWER(LN(M44),2)
+POWER(LN(N44),2)
+POWER(LN(O44),2)
+POWER(LN(P44),2)
+POWER(LN(Q44),2)
)
)))</f>
        <v>0.132132047718622</v>
      </c>
      <c r="T44" s="19" t="n"/>
    </row>
    <row r="45" ht="18" customFormat="1" customHeight="1" s="16">
      <c r="A45" s="17" t="inlineStr">
        <is>
          <t>market for expanded perlite</t>
        </is>
      </c>
      <c r="B45" s="17" t="n">
        <v>4.17</v>
      </c>
      <c r="C45" s="16" t="inlineStr">
        <is>
          <t>GLO</t>
        </is>
      </c>
      <c r="D45" s="17" t="inlineStr">
        <is>
          <t>kilogram</t>
        </is>
      </c>
      <c r="F45" s="16" t="inlineStr">
        <is>
          <t>technosphere</t>
        </is>
      </c>
      <c r="G45" s="17" t="inlineStr">
        <is>
          <t>expanded perlite</t>
        </is>
      </c>
      <c r="I45" s="16" t="n">
        <v>2</v>
      </c>
      <c r="J45">
        <f>LN(B45)</f>
        <v>1.4279160358107101</v>
      </c>
      <c r="K45" s="18" t="n">
        <v>1.5</v>
      </c>
      <c r="L45" s="18" t="n">
        <v>1.02</v>
      </c>
      <c r="M45" s="18" t="n">
        <v>1.03</v>
      </c>
      <c r="N45" s="18" t="n">
        <v>1.02</v>
      </c>
      <c r="O45" s="18" t="n">
        <v>1.2</v>
      </c>
      <c r="P45" s="18" t="n">
        <v>1.2</v>
      </c>
      <c r="Q45" s="18" t="n">
        <v>1.05</v>
      </c>
      <c r="R45">
        <f>LN(SQRT(EXP(
SQRT(
+POWER(LN(K45),2)
+POWER(LN(L45),2)
+POWER(LN(M45),2)
+POWER(LN(N45),2)
+POWER(LN(O45),2)
+POWER(LN(P45),2)
+POWER(LN(Q45),2)
)
)))</f>
        <v>0.24234414839335677</v>
      </c>
      <c r="T45" s="19" t="n"/>
    </row>
    <row r="46" ht="18" customFormat="1" customHeight="1" s="16">
      <c r="A46" s="17" t="inlineStr">
        <is>
          <t>market for light clay brick</t>
        </is>
      </c>
      <c r="B46" s="17" t="n">
        <v>4.17</v>
      </c>
      <c r="C46" s="16" t="inlineStr">
        <is>
          <t>GLO</t>
        </is>
      </c>
      <c r="D46" s="17" t="inlineStr">
        <is>
          <t>kilogram</t>
        </is>
      </c>
      <c r="F46" s="16" t="inlineStr">
        <is>
          <t>technosphere</t>
        </is>
      </c>
      <c r="G46" s="17" t="inlineStr">
        <is>
          <t>light clay brick</t>
        </is>
      </c>
      <c r="I46" s="16" t="n">
        <v>2</v>
      </c>
      <c r="J46">
        <f>LN(B46)</f>
        <v>1.4279160358107101</v>
      </c>
      <c r="K46" s="18" t="n">
        <v>1.5</v>
      </c>
      <c r="L46" s="18" t="n">
        <v>1.02</v>
      </c>
      <c r="M46" s="18" t="n">
        <v>1.03</v>
      </c>
      <c r="N46" s="18" t="n">
        <v>1.02</v>
      </c>
      <c r="O46" s="18" t="n">
        <v>1.2</v>
      </c>
      <c r="P46" s="18" t="n">
        <v>1.2</v>
      </c>
      <c r="Q46" s="18" t="n">
        <v>1.05</v>
      </c>
      <c r="R46">
        <f>LN(SQRT(EXP(
SQRT(
+POWER(LN(K46),2)
+POWER(LN(L46),2)
+POWER(LN(M46),2)
+POWER(LN(N46),2)
+POWER(LN(O46),2)
+POWER(LN(P46),2)
+POWER(LN(Q46),2)
)
)))</f>
        <v>0.24234414839335677</v>
      </c>
      <c r="T46" s="19" t="n"/>
    </row>
    <row r="47" ht="18" customFormat="1" customHeight="1" s="16">
      <c r="A47" s="16" t="inlineStr">
        <is>
          <t>market for steel, low-alloyed</t>
        </is>
      </c>
      <c r="B47" s="17" t="n">
        <v>0.84</v>
      </c>
      <c r="C47" s="16" t="inlineStr">
        <is>
          <t>GLO</t>
        </is>
      </c>
      <c r="D47" s="17" t="inlineStr">
        <is>
          <t>kilogram</t>
        </is>
      </c>
      <c r="F47" s="16" t="inlineStr">
        <is>
          <t>technosphere</t>
        </is>
      </c>
      <c r="G47" s="16" t="inlineStr">
        <is>
          <t>steel, low-alloyed</t>
        </is>
      </c>
      <c r="I47" s="16" t="n">
        <v>2</v>
      </c>
      <c r="J47">
        <f>LN(B47)</f>
        <v>-0.1743533871447778</v>
      </c>
      <c r="K47" s="18" t="n">
        <v>1.5</v>
      </c>
      <c r="L47" s="18" t="n">
        <v>1.02</v>
      </c>
      <c r="M47" s="18" t="n">
        <v>1.03</v>
      </c>
      <c r="N47" s="18" t="n">
        <v>1.02</v>
      </c>
      <c r="O47" s="18" t="n">
        <v>1.2</v>
      </c>
      <c r="P47" s="18" t="n">
        <v>1.2</v>
      </c>
      <c r="Q47" s="18" t="n">
        <v>1.05</v>
      </c>
      <c r="R47">
        <f>LN(SQRT(EXP(
SQRT(
+POWER(LN(K47),2)
+POWER(LN(L47),2)
+POWER(LN(M47),2)
+POWER(LN(N47),2)
+POWER(LN(O47),2)
+POWER(LN(P47),2)
+POWER(LN(Q47),2)
)
)))</f>
        <v>0.24234414839335677</v>
      </c>
      <c r="T47" s="19" t="n"/>
    </row>
    <row r="48" ht="18" customFormat="1" customHeight="1" s="16">
      <c r="A48" s="20" t="inlineStr">
        <is>
          <t>market for sheet rolling, steel</t>
        </is>
      </c>
      <c r="B48" s="17" t="n">
        <v>0.84</v>
      </c>
      <c r="C48" s="16" t="inlineStr">
        <is>
          <t>GLO</t>
        </is>
      </c>
      <c r="D48" s="17" t="inlineStr">
        <is>
          <t>kilogram</t>
        </is>
      </c>
      <c r="F48" s="16" t="inlineStr">
        <is>
          <t>technosphere</t>
        </is>
      </c>
      <c r="G48" s="16" t="inlineStr">
        <is>
          <t>sheet rolling, steel</t>
        </is>
      </c>
      <c r="I48" s="16" t="n">
        <v>2</v>
      </c>
      <c r="J48">
        <f>LN(B48)</f>
        <v>-0.1743533871447778</v>
      </c>
      <c r="K48" s="18" t="n">
        <v>1.5</v>
      </c>
      <c r="L48" s="18" t="n">
        <v>1.02</v>
      </c>
      <c r="M48" s="18" t="n">
        <v>1.03</v>
      </c>
      <c r="N48" s="18" t="n">
        <v>1.02</v>
      </c>
      <c r="O48" s="18" t="n">
        <v>1.2</v>
      </c>
      <c r="P48" s="18" t="n">
        <v>1.2</v>
      </c>
      <c r="Q48" s="18" t="n">
        <v>1.05</v>
      </c>
      <c r="R48">
        <f>LN(SQRT(EXP(
SQRT(
+POWER(LN(K48),2)
+POWER(LN(L48),2)
+POWER(LN(M48),2)
+POWER(LN(N48),2)
+POWER(LN(O48),2)
+POWER(LN(P48),2)
+POWER(LN(Q48),2)
)
)))</f>
        <v>0.24234414839335677</v>
      </c>
      <c r="T48" s="19" t="n"/>
    </row>
    <row r="49" ht="18" customFormat="1" customHeight="1" s="16">
      <c r="A49" s="16" t="inlineStr">
        <is>
          <t>market for metal working, average for steel product manufacturing</t>
        </is>
      </c>
      <c r="B49" s="17" t="n">
        <v>0.84</v>
      </c>
      <c r="C49" s="16" t="inlineStr">
        <is>
          <t>GLO</t>
        </is>
      </c>
      <c r="D49" s="17" t="inlineStr">
        <is>
          <t>kilogram</t>
        </is>
      </c>
      <c r="F49" s="16" t="inlineStr">
        <is>
          <t>technosphere</t>
        </is>
      </c>
      <c r="G49" s="16" t="inlineStr">
        <is>
          <t>metal working, average for steel product manufacturing</t>
        </is>
      </c>
      <c r="I49" s="16" t="n">
        <v>2</v>
      </c>
      <c r="J49">
        <f>LN(B49)</f>
        <v>-0.1743533871447778</v>
      </c>
      <c r="K49" s="18" t="n">
        <v>1</v>
      </c>
      <c r="L49" s="18" t="n">
        <v>1</v>
      </c>
      <c r="M49" s="18" t="n">
        <v>1.03</v>
      </c>
      <c r="N49" s="18" t="n">
        <v>1.01</v>
      </c>
      <c r="O49" s="18" t="n">
        <v>1.2</v>
      </c>
      <c r="P49" s="18" t="n">
        <v>1.2</v>
      </c>
      <c r="Q49" s="18" t="n">
        <v>1.05</v>
      </c>
      <c r="R49">
        <f>LN(SQRT(EXP(
SQRT(
+POWER(LN(K49),2)
+POWER(LN(L49),2)
+POWER(LN(M49),2)
+POWER(LN(N49),2)
+POWER(LN(O49),2)
+POWER(LN(P49),2)
+POWER(LN(Q49),2)
)
)))</f>
        <v>0.132132047718622</v>
      </c>
      <c r="T49" s="19" t="n"/>
    </row>
    <row r="50" ht="18" customFormat="1" customHeight="1" s="16">
      <c r="A50" s="17" t="inlineStr">
        <is>
          <t>market for refractory, high aluminium oxide, packed</t>
        </is>
      </c>
      <c r="B50" s="17" t="n">
        <v>95.04000000000001</v>
      </c>
      <c r="C50" s="16" t="inlineStr">
        <is>
          <t>GLO</t>
        </is>
      </c>
      <c r="D50" s="17" t="inlineStr">
        <is>
          <t>kilogram</t>
        </is>
      </c>
      <c r="F50" s="16" t="inlineStr">
        <is>
          <t>technosphere</t>
        </is>
      </c>
      <c r="G50" s="17" t="inlineStr">
        <is>
          <t>refractory, high aluminium oxide, packed</t>
        </is>
      </c>
      <c r="I50" s="16" t="n">
        <v>2</v>
      </c>
      <c r="J50">
        <f>LN(B50)</f>
        <v>4.554297855614335</v>
      </c>
      <c r="K50" s="18" t="n">
        <v>1</v>
      </c>
      <c r="L50" s="18" t="n">
        <v>1</v>
      </c>
      <c r="M50" s="18" t="n">
        <v>1.03</v>
      </c>
      <c r="N50" s="18" t="n">
        <v>1.01</v>
      </c>
      <c r="O50" s="18" t="n">
        <v>1.2</v>
      </c>
      <c r="P50" s="18" t="n">
        <v>1.2</v>
      </c>
      <c r="Q50" s="18" t="n">
        <v>1.05</v>
      </c>
      <c r="R50">
        <f>LN(SQRT(EXP(
SQRT(
+POWER(LN(K50),2)
+POWER(LN(L50),2)
+POWER(LN(M50),2)
+POWER(LN(N50),2)
+POWER(LN(O50),2)
+POWER(LN(P50),2)
+POWER(LN(Q50),2)
)
)))</f>
        <v>0.132132047718622</v>
      </c>
      <c r="T50" s="19" t="n"/>
    </row>
    <row r="51" ht="18" customFormat="1" customHeight="1" s="16">
      <c r="A51" s="16" t="inlineStr">
        <is>
          <t>market for steel, chromium steel 18/8</t>
        </is>
      </c>
      <c r="B51" s="17" t="n">
        <v>13.4</v>
      </c>
      <c r="C51" s="16" t="inlineStr">
        <is>
          <t>GLO</t>
        </is>
      </c>
      <c r="D51" s="17" t="inlineStr">
        <is>
          <t>kilogram</t>
        </is>
      </c>
      <c r="F51" s="16" t="inlineStr">
        <is>
          <t>technosphere</t>
        </is>
      </c>
      <c r="G51" s="16" t="inlineStr">
        <is>
          <t>steel, chromium steel 18/8</t>
        </is>
      </c>
      <c r="I51" s="16" t="n">
        <v>2</v>
      </c>
      <c r="J51">
        <f>LN(B51)</f>
        <v>2.5952547069568657</v>
      </c>
      <c r="K51" s="18" t="n">
        <v>1</v>
      </c>
      <c r="L51" s="18" t="n">
        <v>1</v>
      </c>
      <c r="M51" s="18" t="n">
        <v>1.03</v>
      </c>
      <c r="N51" s="18" t="n">
        <v>1.01</v>
      </c>
      <c r="O51" s="18" t="n">
        <v>1.2</v>
      </c>
      <c r="P51" s="18" t="n">
        <v>1.2</v>
      </c>
      <c r="Q51" s="18" t="n">
        <v>1.05</v>
      </c>
      <c r="R51">
        <f>LN(SQRT(EXP(
SQRT(
+POWER(LN(K51),2)
+POWER(LN(L51),2)
+POWER(LN(M51),2)
+POWER(LN(N51),2)
+POWER(LN(O51),2)
+POWER(LN(P51),2)
+POWER(LN(Q51),2)
)
)))</f>
        <v>0.132132047718622</v>
      </c>
      <c r="T51" s="19" t="n"/>
    </row>
    <row r="52" ht="18" customFormat="1" customHeight="1" s="16">
      <c r="A52" s="17" t="inlineStr">
        <is>
          <t>metal working, average for chromium steel product manufacturing</t>
        </is>
      </c>
      <c r="B52" s="17" t="n">
        <v>13.4</v>
      </c>
      <c r="C52" s="16" t="inlineStr">
        <is>
          <t>RER</t>
        </is>
      </c>
      <c r="D52" s="17" t="inlineStr">
        <is>
          <t>kilogram</t>
        </is>
      </c>
      <c r="F52" s="16" t="inlineStr">
        <is>
          <t>technosphere</t>
        </is>
      </c>
      <c r="G52" s="17" t="inlineStr">
        <is>
          <t>metal working, average for chromium steel product manufacturing</t>
        </is>
      </c>
      <c r="I52" s="16" t="n">
        <v>2</v>
      </c>
      <c r="J52">
        <f>LN(B52)</f>
        <v>2.5952547069568657</v>
      </c>
      <c r="K52" s="18" t="n">
        <v>1</v>
      </c>
      <c r="L52" s="18" t="n">
        <v>1</v>
      </c>
      <c r="M52" s="18" t="n">
        <v>1.03</v>
      </c>
      <c r="N52" s="18" t="n">
        <v>1.01</v>
      </c>
      <c r="O52" s="18" t="n">
        <v>1.2</v>
      </c>
      <c r="P52" s="18" t="n">
        <v>1.2</v>
      </c>
      <c r="Q52" s="18" t="n">
        <v>1.05</v>
      </c>
      <c r="R52">
        <f>LN(SQRT(EXP(
SQRT(
+POWER(LN(K52),2)
+POWER(LN(L52),2)
+POWER(LN(M52),2)
+POWER(LN(N52),2)
+POWER(LN(O52),2)
+POWER(LN(P52),2)
+POWER(LN(Q52),2)
)
)))</f>
        <v>0.132132047718622</v>
      </c>
      <c r="T52" s="19" t="n"/>
    </row>
    <row r="53" ht="18" customFormat="1" customHeight="1" s="16">
      <c r="A53" s="17" t="inlineStr">
        <is>
          <t>market for zinc</t>
        </is>
      </c>
      <c r="B53" s="17" t="n">
        <v>0.5</v>
      </c>
      <c r="C53" s="16" t="inlineStr">
        <is>
          <t>GLO</t>
        </is>
      </c>
      <c r="D53" s="17" t="inlineStr">
        <is>
          <t>kilogram</t>
        </is>
      </c>
      <c r="F53" s="16" t="inlineStr">
        <is>
          <t>technosphere</t>
        </is>
      </c>
      <c r="G53" s="17" t="inlineStr">
        <is>
          <t>zinc</t>
        </is>
      </c>
      <c r="I53" s="16" t="n">
        <v>2</v>
      </c>
      <c r="J53">
        <f>LN(B53)</f>
        <v>-0.69314718055994529</v>
      </c>
      <c r="K53" s="18" t="n">
        <v>1.5</v>
      </c>
      <c r="L53" s="18" t="n">
        <v>1</v>
      </c>
      <c r="M53" s="18" t="n">
        <v>1.03</v>
      </c>
      <c r="N53" s="18" t="n">
        <v>1.02</v>
      </c>
      <c r="O53" s="18" t="n">
        <v>1.2</v>
      </c>
      <c r="P53" s="18" t="n">
        <v>1.2</v>
      </c>
      <c r="Q53" s="18" t="n">
        <v>1.05</v>
      </c>
      <c r="R53">
        <f>LN(SQRT(EXP(
SQRT(
+POWER(LN(K53),2)
+POWER(LN(L53),2)
+POWER(LN(M53),2)
+POWER(LN(N53),2)
+POWER(LN(O53),2)
+POWER(LN(P53),2)
+POWER(LN(Q53),2)
)
)))</f>
        <v>0.24214179781389142</v>
      </c>
      <c r="T53" s="19" t="n"/>
    </row>
    <row r="54" ht="18" customFormat="1" customHeight="1" s="16">
      <c r="A54" s="17" t="inlineStr">
        <is>
          <t>sheet rolling, aluminium</t>
        </is>
      </c>
      <c r="B54" s="17" t="n">
        <v>0.5</v>
      </c>
      <c r="C54" s="16" t="inlineStr">
        <is>
          <t>RER</t>
        </is>
      </c>
      <c r="D54" s="17" t="inlineStr">
        <is>
          <t>kilogram</t>
        </is>
      </c>
      <c r="F54" s="16" t="inlineStr">
        <is>
          <t>technosphere</t>
        </is>
      </c>
      <c r="G54" s="17" t="inlineStr">
        <is>
          <t>sheet rolling, aluminium</t>
        </is>
      </c>
      <c r="I54" s="16" t="n">
        <v>2</v>
      </c>
      <c r="J54">
        <f>LN(B54)</f>
        <v>-0.69314718055994529</v>
      </c>
      <c r="K54" s="18" t="n">
        <v>1.5</v>
      </c>
      <c r="L54" s="18" t="n">
        <v>1</v>
      </c>
      <c r="M54" s="18" t="n">
        <v>1.03</v>
      </c>
      <c r="N54" s="18" t="n">
        <v>1.02</v>
      </c>
      <c r="O54" s="18" t="n">
        <v>1.2</v>
      </c>
      <c r="P54" s="18" t="n">
        <v>1.2</v>
      </c>
      <c r="Q54" s="18" t="n">
        <v>1.05</v>
      </c>
      <c r="R54">
        <f>LN(SQRT(EXP(
SQRT(
+POWER(LN(K54),2)
+POWER(LN(L54),2)
+POWER(LN(M54),2)
+POWER(LN(N54),2)
+POWER(LN(O54),2)
+POWER(LN(P54),2)
+POWER(LN(Q54),2)
)
)))</f>
        <v>0.24214179781389142</v>
      </c>
      <c r="T54" s="19" t="n"/>
    </row>
    <row r="55" ht="18" customFormat="1" customHeight="1" s="16">
      <c r="A55" s="16" t="inlineStr">
        <is>
          <t>market for steel, low-alloyed</t>
        </is>
      </c>
      <c r="B55" s="17" t="n">
        <v>0.5</v>
      </c>
      <c r="C55" s="16" t="inlineStr">
        <is>
          <t>GLO</t>
        </is>
      </c>
      <c r="D55" s="17" t="inlineStr">
        <is>
          <t>kilogram</t>
        </is>
      </c>
      <c r="F55" s="16" t="inlineStr">
        <is>
          <t>technosphere</t>
        </is>
      </c>
      <c r="G55" s="16" t="inlineStr">
        <is>
          <t>steel, low-alloyed</t>
        </is>
      </c>
      <c r="I55" s="16" t="n">
        <v>2</v>
      </c>
      <c r="J55">
        <f>LN(B55)</f>
        <v>-0.69314718055994529</v>
      </c>
      <c r="K55" s="18" t="n">
        <v>1.5</v>
      </c>
      <c r="L55" s="18" t="n">
        <v>1</v>
      </c>
      <c r="M55" s="18" t="n">
        <v>1.03</v>
      </c>
      <c r="N55" s="18" t="n">
        <v>1.02</v>
      </c>
      <c r="O55" s="18" t="n">
        <v>1.2</v>
      </c>
      <c r="P55" s="18" t="n">
        <v>1.2</v>
      </c>
      <c r="Q55" s="18" t="n">
        <v>1.05</v>
      </c>
      <c r="R55">
        <f>LN(SQRT(EXP(
SQRT(
+POWER(LN(K55),2)
+POWER(LN(L55),2)
+POWER(LN(M55),2)
+POWER(LN(N55),2)
+POWER(LN(O55),2)
+POWER(LN(P55),2)
+POWER(LN(Q55),2)
)
)))</f>
        <v>0.24214179781389142</v>
      </c>
      <c r="T55" s="19" t="n"/>
    </row>
    <row r="56" ht="18" customFormat="1" customHeight="1" s="16">
      <c r="A56" s="20" t="inlineStr">
        <is>
          <t>market for sheet rolling, steel</t>
        </is>
      </c>
      <c r="B56" s="17" t="n">
        <v>1</v>
      </c>
      <c r="C56" s="16" t="inlineStr">
        <is>
          <t>GLO</t>
        </is>
      </c>
      <c r="D56" s="17" t="inlineStr">
        <is>
          <t>kilogram</t>
        </is>
      </c>
      <c r="F56" s="16" t="inlineStr">
        <is>
          <t>technosphere</t>
        </is>
      </c>
      <c r="G56" s="16" t="inlineStr">
        <is>
          <t>sheet rolling, steel</t>
        </is>
      </c>
      <c r="I56" s="16" t="n">
        <v>2</v>
      </c>
      <c r="J56">
        <f>LN(B56)</f>
        <v>0</v>
      </c>
      <c r="K56" s="18" t="n">
        <v>1.5</v>
      </c>
      <c r="L56" s="18" t="n">
        <v>1</v>
      </c>
      <c r="M56" s="18" t="n">
        <v>1.03</v>
      </c>
      <c r="N56" s="18" t="n">
        <v>1.02</v>
      </c>
      <c r="O56" s="18" t="n">
        <v>1.2</v>
      </c>
      <c r="P56" s="18" t="n">
        <v>1.2</v>
      </c>
      <c r="Q56" s="18" t="n">
        <v>1.05</v>
      </c>
      <c r="R56">
        <f>LN(SQRT(EXP(
SQRT(
+POWER(LN(K56),2)
+POWER(LN(L56),2)
+POWER(LN(M56),2)
+POWER(LN(N56),2)
+POWER(LN(O56),2)
+POWER(LN(P56),2)
+POWER(LN(Q56),2)
)
)))</f>
        <v>0.24214179781389142</v>
      </c>
      <c r="T56" s="19" t="n"/>
    </row>
    <row r="57" ht="18" customFormat="1" customHeight="1" s="16">
      <c r="A57" s="17" t="inlineStr">
        <is>
          <t>market for electronic component, passive, unspecified</t>
        </is>
      </c>
      <c r="B57" s="17" t="n">
        <v>0.4</v>
      </c>
      <c r="C57" s="16" t="inlineStr">
        <is>
          <t>GLO</t>
        </is>
      </c>
      <c r="D57" s="17" t="inlineStr">
        <is>
          <t>kilogram</t>
        </is>
      </c>
      <c r="F57" s="16" t="inlineStr">
        <is>
          <t>technosphere</t>
        </is>
      </c>
      <c r="G57" s="17" t="inlineStr">
        <is>
          <t>electronic component, passive, unspecified</t>
        </is>
      </c>
      <c r="I57" s="16" t="n">
        <v>2</v>
      </c>
      <c r="J57">
        <f>LN(B57)</f>
        <v>-0.916290731874155</v>
      </c>
      <c r="K57" s="18" t="n">
        <v>1.1</v>
      </c>
      <c r="L57" s="18" t="n">
        <v>1</v>
      </c>
      <c r="M57" s="18" t="n">
        <v>1.03</v>
      </c>
      <c r="N57" s="18" t="n">
        <v>1.01</v>
      </c>
      <c r="O57" s="18" t="n">
        <v>1.2</v>
      </c>
      <c r="P57" s="18" t="n">
        <v>1.2</v>
      </c>
      <c r="Q57" s="18" t="n">
        <v>1.05</v>
      </c>
      <c r="R57">
        <f>LN(SQRT(EXP(
SQRT(
+POWER(LN(K57),2)
+POWER(LN(L57),2)
+POWER(LN(M57),2)
+POWER(LN(N57),2)
+POWER(LN(O57),2)
+POWER(LN(P57),2)
+POWER(LN(Q57),2)
)
)))</f>
        <v>0.14046311127089334</v>
      </c>
      <c r="T57" s="19" t="n"/>
    </row>
    <row r="58" ht="18" customFormat="1" customHeight="1" s="16">
      <c r="A58" s="17" t="inlineStr">
        <is>
          <t>market for polyester resin, unsaturated</t>
        </is>
      </c>
      <c r="B58" s="17" t="n">
        <v>0.5</v>
      </c>
      <c r="C58" s="16" t="inlineStr">
        <is>
          <t>RER</t>
        </is>
      </c>
      <c r="D58" s="17" t="inlineStr">
        <is>
          <t>kilogram</t>
        </is>
      </c>
      <c r="F58" s="16" t="inlineStr">
        <is>
          <t>technosphere</t>
        </is>
      </c>
      <c r="G58" s="17" t="inlineStr">
        <is>
          <t>polyester resin, unsaturated</t>
        </is>
      </c>
      <c r="I58" s="16" t="n">
        <v>2</v>
      </c>
      <c r="J58">
        <f>LN(B58)</f>
        <v>-0.69314718055994529</v>
      </c>
      <c r="K58" s="18" t="n">
        <v>1.1</v>
      </c>
      <c r="L58" s="18" t="n">
        <v>1</v>
      </c>
      <c r="M58" s="18" t="n">
        <v>1.03</v>
      </c>
      <c r="N58" s="18" t="n">
        <v>1.01</v>
      </c>
      <c r="O58" s="18" t="n">
        <v>1.2</v>
      </c>
      <c r="P58" s="18" t="n">
        <v>1.2</v>
      </c>
      <c r="Q58" s="18" t="n">
        <v>1.05</v>
      </c>
      <c r="R58">
        <f>LN(SQRT(EXP(
SQRT(
+POWER(LN(K58),2)
+POWER(LN(L58),2)
+POWER(LN(M58),2)
+POWER(LN(N58),2)
+POWER(LN(O58),2)
+POWER(LN(P58),2)
+POWER(LN(Q58),2)
)
)))</f>
        <v>0.14046311127089334</v>
      </c>
      <c r="T58" s="19" t="n"/>
    </row>
    <row r="59" ht="18" customFormat="1" customHeight="1" s="16">
      <c r="A59" s="17" t="inlineStr">
        <is>
          <t>market for electronic component, passive, unspecified</t>
        </is>
      </c>
      <c r="B59" s="17" t="n">
        <v>2</v>
      </c>
      <c r="C59" s="16" t="inlineStr">
        <is>
          <t>GLO</t>
        </is>
      </c>
      <c r="D59" s="17" t="inlineStr">
        <is>
          <t>kilogram</t>
        </is>
      </c>
      <c r="F59" s="16" t="inlineStr">
        <is>
          <t>technosphere</t>
        </is>
      </c>
      <c r="G59" s="17" t="inlineStr">
        <is>
          <t>electronic component, passive, unspecified</t>
        </is>
      </c>
      <c r="I59" s="16" t="n">
        <v>2</v>
      </c>
      <c r="J59">
        <f>LN(B59)</f>
        <v>0.69314718055994529</v>
      </c>
      <c r="K59" s="18" t="n">
        <v>1.1</v>
      </c>
      <c r="L59" s="18" t="n">
        <v>1</v>
      </c>
      <c r="M59" s="18" t="n">
        <v>1.03</v>
      </c>
      <c r="N59" s="18" t="n">
        <v>1.01</v>
      </c>
      <c r="O59" s="18" t="n">
        <v>1.2</v>
      </c>
      <c r="P59" s="18" t="n">
        <v>1.2</v>
      </c>
      <c r="Q59" s="18" t="n">
        <v>1.05</v>
      </c>
      <c r="R59">
        <f>LN(SQRT(EXP(
SQRT(
+POWER(LN(K59),2)
+POWER(LN(L59),2)
+POWER(LN(M59),2)
+POWER(LN(N59),2)
+POWER(LN(O59),2)
+POWER(LN(P59),2)
+POWER(LN(Q59),2)
)
)))</f>
        <v>0.14046311127089334</v>
      </c>
      <c r="T59" s="19" t="n"/>
    </row>
    <row r="60" ht="18" customFormat="1" customHeight="1" s="16">
      <c r="A60" s="17" t="inlineStr">
        <is>
          <t>market for stone wool, packed</t>
        </is>
      </c>
      <c r="B60" s="17" t="n">
        <v>0.5649999999999999</v>
      </c>
      <c r="C60" s="16" t="inlineStr">
        <is>
          <t>GLO</t>
        </is>
      </c>
      <c r="D60" s="17" t="inlineStr">
        <is>
          <t>kilogram</t>
        </is>
      </c>
      <c r="F60" s="16" t="inlineStr">
        <is>
          <t>technosphere</t>
        </is>
      </c>
      <c r="G60" s="17" t="inlineStr">
        <is>
          <t>stone wool, packed</t>
        </is>
      </c>
      <c r="I60" s="16" t="n">
        <v>2</v>
      </c>
      <c r="J60">
        <f>LN(B60)</f>
        <v>-0.57092954783569616</v>
      </c>
      <c r="K60" s="18" t="n">
        <v>1</v>
      </c>
      <c r="L60" s="18" t="n">
        <v>1</v>
      </c>
      <c r="M60" s="18" t="n">
        <v>1.03</v>
      </c>
      <c r="N60" s="18" t="n">
        <v>1.01</v>
      </c>
      <c r="O60" s="18" t="n">
        <v>1.2</v>
      </c>
      <c r="P60" s="18" t="n">
        <v>1.2</v>
      </c>
      <c r="Q60" s="18" t="n">
        <v>1.05</v>
      </c>
      <c r="R60">
        <f>LN(SQRT(EXP(
SQRT(
+POWER(LN(K60),2)
+POWER(LN(L60),2)
+POWER(LN(M60),2)
+POWER(LN(N60),2)
+POWER(LN(O60),2)
+POWER(LN(P60),2)
+POWER(LN(Q60),2)
)
)))</f>
        <v>0.132132047718622</v>
      </c>
      <c r="T60" s="19" t="n"/>
    </row>
    <row r="61" ht="18" customFormat="1" customHeight="1" s="16">
      <c r="A61" s="17" t="inlineStr">
        <is>
          <t>market for expanded perlite</t>
        </is>
      </c>
      <c r="B61" s="17" t="n">
        <v>0.282</v>
      </c>
      <c r="C61" s="16" t="inlineStr">
        <is>
          <t>GLO</t>
        </is>
      </c>
      <c r="D61" s="17" t="inlineStr">
        <is>
          <t>kilogram</t>
        </is>
      </c>
      <c r="F61" s="16" t="inlineStr">
        <is>
          <t>technosphere</t>
        </is>
      </c>
      <c r="G61" s="17" t="inlineStr">
        <is>
          <t>expanded perlite</t>
        </is>
      </c>
      <c r="I61" s="16" t="n">
        <v>2</v>
      </c>
      <c r="J61">
        <f>LN(B61)</f>
        <v>-1.2658482080440236</v>
      </c>
      <c r="K61" s="18" t="n">
        <v>1</v>
      </c>
      <c r="L61" s="18" t="n">
        <v>1</v>
      </c>
      <c r="M61" s="18" t="n">
        <v>1.03</v>
      </c>
      <c r="N61" s="18" t="n">
        <v>1.01</v>
      </c>
      <c r="O61" s="18" t="n">
        <v>1.2</v>
      </c>
      <c r="P61" s="18" t="n">
        <v>1.2</v>
      </c>
      <c r="Q61" s="18" t="n">
        <v>1.05</v>
      </c>
      <c r="R61">
        <f>LN(SQRT(EXP(
SQRT(
+POWER(LN(K61),2)
+POWER(LN(L61),2)
+POWER(LN(M61),2)
+POWER(LN(N61),2)
+POWER(LN(O61),2)
+POWER(LN(P61),2)
+POWER(LN(Q61),2)
)
)))</f>
        <v>0.132132047718622</v>
      </c>
      <c r="T61" s="19" t="n"/>
    </row>
    <row r="62" ht="18" customFormat="1" customHeight="1" s="16">
      <c r="A62" s="17" t="inlineStr">
        <is>
          <t>market for light clay brick</t>
        </is>
      </c>
      <c r="B62" s="17" t="n">
        <v>0.282</v>
      </c>
      <c r="C62" s="16" t="inlineStr">
        <is>
          <t>GLO</t>
        </is>
      </c>
      <c r="D62" s="17" t="inlineStr">
        <is>
          <t>kilogram</t>
        </is>
      </c>
      <c r="F62" s="16" t="inlineStr">
        <is>
          <t>technosphere</t>
        </is>
      </c>
      <c r="G62" s="17" t="inlineStr">
        <is>
          <t>light clay brick</t>
        </is>
      </c>
      <c r="I62" s="16" t="n">
        <v>2</v>
      </c>
      <c r="J62">
        <f>LN(B62)</f>
        <v>-1.2658482080440236</v>
      </c>
      <c r="K62" s="18" t="n">
        <v>1</v>
      </c>
      <c r="L62" s="18" t="n">
        <v>1</v>
      </c>
      <c r="M62" s="18" t="n">
        <v>1.03</v>
      </c>
      <c r="N62" s="18" t="n">
        <v>1.01</v>
      </c>
      <c r="O62" s="18" t="n">
        <v>1.2</v>
      </c>
      <c r="P62" s="18" t="n">
        <v>1.2</v>
      </c>
      <c r="Q62" s="18" t="n">
        <v>1.05</v>
      </c>
      <c r="R62">
        <f>LN(SQRT(EXP(
SQRT(
+POWER(LN(K62),2)
+POWER(LN(L62),2)
+POWER(LN(M62),2)
+POWER(LN(N62),2)
+POWER(LN(O62),2)
+POWER(LN(P62),2)
+POWER(LN(Q62),2)
)
)))</f>
        <v>0.132132047718622</v>
      </c>
      <c r="T62" s="19" t="n"/>
    </row>
    <row r="63" ht="18" customFormat="1" customHeight="1" s="16">
      <c r="A63" s="16" t="inlineStr">
        <is>
          <t>market for transport, freight, lorry, unspecified</t>
        </is>
      </c>
      <c r="B63" s="17" t="n">
        <v>8</v>
      </c>
      <c r="C63" s="16" t="inlineStr">
        <is>
          <t>RER</t>
        </is>
      </c>
      <c r="D63" s="17" t="inlineStr">
        <is>
          <t>ton kilometer</t>
        </is>
      </c>
      <c r="F63" s="16" t="inlineStr">
        <is>
          <t>technosphere</t>
        </is>
      </c>
      <c r="G63" s="16" t="inlineStr">
        <is>
          <t>transport, freight, lorry, unspecified</t>
        </is>
      </c>
      <c r="I63" s="16" t="n">
        <v>2</v>
      </c>
      <c r="J63">
        <f>LN(B63)</f>
        <v>2.0794415416798357</v>
      </c>
      <c r="K63" s="18" t="n">
        <v>1.2</v>
      </c>
      <c r="L63" s="18" t="n">
        <v>1.2</v>
      </c>
      <c r="M63" s="18" t="n">
        <v>1.5</v>
      </c>
      <c r="N63" s="18" t="n">
        <v>1.1</v>
      </c>
      <c r="O63" s="18" t="n">
        <v>2</v>
      </c>
      <c r="P63" s="18" t="n">
        <v>1.2</v>
      </c>
      <c r="Q63" s="18" t="n">
        <v>1.05</v>
      </c>
      <c r="R63">
        <f>LN(SQRT(EXP(
SQRT(
+POWER(LN(K63),2)
+POWER(LN(L63),2)
+POWER(LN(M63),2)
+POWER(LN(N63),2)
+POWER(LN(O63),2)
+POWER(LN(P63),2)
+POWER(LN(Q63),2)
)
)))</f>
        <v>0.43475364533281757</v>
      </c>
      <c r="T63" s="19" t="n"/>
    </row>
    <row r="64" ht="18" customFormat="1" customHeight="1" s="16">
      <c r="A64" t="inlineStr">
        <is>
          <t>market for transport, freight train</t>
        </is>
      </c>
      <c r="B64" s="17" t="n">
        <v>96</v>
      </c>
      <c r="C64" t="inlineStr">
        <is>
          <t>Europe without Switzerland</t>
        </is>
      </c>
      <c r="D64" s="17" t="inlineStr">
        <is>
          <t>ton kilometer</t>
        </is>
      </c>
      <c r="F64" s="16" t="inlineStr">
        <is>
          <t>technosphere</t>
        </is>
      </c>
      <c r="G64" t="inlineStr">
        <is>
          <t>transport, freight train</t>
        </is>
      </c>
      <c r="I64" s="16" t="n">
        <v>2</v>
      </c>
      <c r="J64">
        <f>LN(B64)</f>
        <v>4.5643481914678361</v>
      </c>
      <c r="K64" s="18" t="n">
        <v>1.2</v>
      </c>
      <c r="L64" s="18" t="n">
        <v>1.2</v>
      </c>
      <c r="M64" s="18" t="n">
        <v>1.5</v>
      </c>
      <c r="N64" s="18" t="n">
        <v>1.1</v>
      </c>
      <c r="O64" s="18" t="n">
        <v>2</v>
      </c>
      <c r="P64" s="18" t="n">
        <v>1.2</v>
      </c>
      <c r="Q64" s="18" t="n">
        <v>1.05</v>
      </c>
      <c r="R64">
        <f>LN(SQRT(EXP(
SQRT(
+POWER(LN(K64),2)
+POWER(LN(L64),2)
+POWER(LN(M64),2)
+POWER(LN(N64),2)
+POWER(LN(O64),2)
+POWER(LN(P64),2)
+POWER(LN(Q64),2)
)
)))</f>
        <v>0.43475364533281757</v>
      </c>
      <c r="T64" s="19" t="n"/>
    </row>
    <row r="65" ht="18" customFormat="1" customHeight="1" s="16">
      <c r="A65" s="16" t="inlineStr">
        <is>
          <t>market group for electricity, medium voltage</t>
        </is>
      </c>
      <c r="B65" s="17" t="n">
        <v>5.52</v>
      </c>
      <c r="C65" s="16" t="inlineStr">
        <is>
          <t>RER</t>
        </is>
      </c>
      <c r="D65" s="17" t="inlineStr">
        <is>
          <t>kilowatt hour</t>
        </is>
      </c>
      <c r="F65" s="16" t="inlineStr">
        <is>
          <t>technosphere</t>
        </is>
      </c>
      <c r="G65" s="16" t="inlineStr">
        <is>
          <t>electricity, medium voltage</t>
        </is>
      </c>
      <c r="I65" s="16" t="n">
        <v>2</v>
      </c>
      <c r="J65">
        <f>LN(B65)</f>
        <v>1.7083778602890038</v>
      </c>
      <c r="K65" s="18" t="n">
        <v>1.5</v>
      </c>
      <c r="L65" s="18" t="n">
        <v>1.1</v>
      </c>
      <c r="M65" s="18" t="n">
        <v>1.03</v>
      </c>
      <c r="N65" s="18" t="n">
        <v>1.01</v>
      </c>
      <c r="O65" s="18" t="n">
        <v>1.5</v>
      </c>
      <c r="P65" s="18" t="n">
        <v>1.2</v>
      </c>
      <c r="Q65" s="18" t="n">
        <v>1.05</v>
      </c>
      <c r="R65">
        <f>LN(SQRT(EXP(
SQRT(
+POWER(LN(K65),2)
+POWER(LN(L65),2)
+POWER(LN(M65),2)
+POWER(LN(N65),2)
+POWER(LN(O65),2)
+POWER(LN(P65),2)
+POWER(LN(Q65),2)
)
)))</f>
        <v>0.30597479480594364</v>
      </c>
      <c r="T65" s="19" t="n"/>
    </row>
    <row r="66" ht="18" customFormat="1" customHeight="1" s="16">
      <c r="A66" t="inlineStr">
        <is>
          <t>heat production, natural gas, at industrial furnace &gt;100kW</t>
        </is>
      </c>
      <c r="B66" s="17" t="n">
        <v>45.002</v>
      </c>
      <c r="C66" s="16" t="inlineStr">
        <is>
          <t>Europe without Switzerland</t>
        </is>
      </c>
      <c r="D66" s="17" t="inlineStr">
        <is>
          <t>megajoule</t>
        </is>
      </c>
      <c r="F66" s="16" t="inlineStr">
        <is>
          <t>technosphere</t>
        </is>
      </c>
      <c r="G66" t="inlineStr">
        <is>
          <t>heat, district or industrial, natural gas</t>
        </is>
      </c>
      <c r="I66" s="16" t="n">
        <v>2</v>
      </c>
      <c r="J66">
        <f>LN(B66)</f>
        <v>3.8067069332271393</v>
      </c>
      <c r="K66" s="18" t="n">
        <v>1.5</v>
      </c>
      <c r="L66" s="18" t="n">
        <v>1.1</v>
      </c>
      <c r="M66" s="18" t="n">
        <v>1.03</v>
      </c>
      <c r="N66" s="18" t="n">
        <v>1.01</v>
      </c>
      <c r="O66" s="18" t="n">
        <v>1.5</v>
      </c>
      <c r="P66" s="18" t="n">
        <v>1.2</v>
      </c>
      <c r="Q66" s="18" t="n">
        <v>1.05</v>
      </c>
      <c r="R66">
        <f>LN(SQRT(EXP(
SQRT(
+POWER(LN(K66),2)
+POWER(LN(L66),2)
+POWER(LN(M66),2)
+POWER(LN(N66),2)
+POWER(LN(O66),2)
+POWER(LN(P66),2)
+POWER(LN(Q66),2)
)
)))</f>
        <v>0.30597479480594364</v>
      </c>
      <c r="T66" s="19" t="n"/>
    </row>
    <row r="67" ht="18" customFormat="1" customHeight="1" s="16">
      <c r="K67" s="18" t="n"/>
      <c r="L67" s="18" t="n"/>
      <c r="M67" s="18" t="n"/>
      <c r="N67" s="18" t="n"/>
      <c r="O67" s="18" t="n"/>
      <c r="P67" s="18" t="n"/>
      <c r="Q67" s="18" t="n"/>
      <c r="T67" s="19" t="n"/>
    </row>
    <row r="68">
      <c r="A68" s="1" t="inlineStr">
        <is>
          <t>Activity</t>
        </is>
      </c>
      <c r="B68" s="1" t="inlineStr">
        <is>
          <t>treatment of electric storage heater, 5 kW</t>
        </is>
      </c>
      <c r="K68" s="13" t="n"/>
      <c r="L68" s="13" t="n"/>
      <c r="M68" s="13" t="n"/>
      <c r="N68" s="13" t="n"/>
      <c r="O68" s="13" t="n"/>
      <c r="P68" s="13" t="n"/>
    </row>
    <row r="69">
      <c r="A69" t="inlineStr">
        <is>
          <t>comment</t>
        </is>
      </c>
      <c r="B69" t="inlineStr">
        <is>
          <t>Share of the electric storage heater infrastructure (calculated with a lifetime of the heater of 20y and 2'100 hours of heating in a year) and electric energy input with an assumed efficiency of 100%. Materials and energy use based on AEG Nachtspeicherofen/ electric storage heater published in 2016. Report from: https://www.energieexperten.org/heizung/elektroheizung/speicherheizung/nachtspeicheroefen.html. Data apply to the supply in Switzerland. Production occurs at AEG Haustechnik / STIEBEL ELTRON GmbH &amp; Co. KG (DE). Source: Life cycle inventories of heating systems Life cycle inventories of heating systems, Thomas Kägi &amp; Mischa Zschokke, Carbotech AG, Zurich, 2021.</t>
        </is>
      </c>
      <c r="K69" s="13" t="n"/>
      <c r="L69" s="13" t="n"/>
      <c r="M69" s="13" t="n"/>
      <c r="N69" s="13" t="n"/>
      <c r="O69" s="13" t="n"/>
      <c r="P69" s="13" t="n"/>
    </row>
    <row r="70">
      <c r="A70" t="inlineStr">
        <is>
          <t>source</t>
        </is>
      </c>
      <c r="B70" t="inlineStr">
        <is>
          <t>Life cycle inventories of heating systems Life cycle inventories of heating systems, Thomas Kägi &amp; Mischa Zschokke, Carbotech AG, Zurich, 2021.</t>
        </is>
      </c>
      <c r="K70" s="13" t="n"/>
      <c r="L70" s="13" t="n"/>
      <c r="M70" s="13" t="n"/>
      <c r="N70" s="13" t="n"/>
      <c r="O70" s="13" t="n"/>
      <c r="P70" s="13" t="n"/>
    </row>
    <row r="71">
      <c r="A71" t="inlineStr">
        <is>
          <t>location</t>
        </is>
      </c>
      <c r="B71" t="inlineStr">
        <is>
          <t>RER</t>
        </is>
      </c>
      <c r="K71" s="13" t="n"/>
      <c r="L71" s="13" t="n"/>
      <c r="M71" s="13" t="n"/>
      <c r="N71" s="13" t="n"/>
      <c r="O71" s="13" t="n"/>
      <c r="P71" s="13" t="n"/>
    </row>
    <row r="72">
      <c r="A72" t="inlineStr">
        <is>
          <t>production amount</t>
        </is>
      </c>
      <c r="B72" t="n">
        <v>1</v>
      </c>
      <c r="K72" s="13" t="n"/>
      <c r="L72" s="13" t="n"/>
      <c r="M72" s="13" t="n"/>
      <c r="N72" s="13" t="n"/>
      <c r="O72" s="13" t="n"/>
      <c r="P72" s="13" t="n"/>
    </row>
    <row r="73">
      <c r="A73" t="inlineStr">
        <is>
          <t>reference product</t>
        </is>
      </c>
      <c r="B73" t="inlineStr">
        <is>
          <t>used electric storage heater, 5 kW</t>
        </is>
      </c>
      <c r="K73" s="13" t="n"/>
      <c r="L73" s="13" t="n"/>
      <c r="M73" s="13" t="n"/>
      <c r="N73" s="13" t="n"/>
      <c r="O73" s="13" t="n"/>
      <c r="P73" s="13" t="n"/>
    </row>
    <row r="74">
      <c r="A74" t="inlineStr">
        <is>
          <t>unit</t>
        </is>
      </c>
      <c r="B74" t="inlineStr">
        <is>
          <t>unit</t>
        </is>
      </c>
      <c r="K74" s="13" t="n"/>
      <c r="L74" s="13" t="n"/>
      <c r="M74" s="13" t="n"/>
      <c r="N74" s="13" t="n"/>
      <c r="O74" s="13" t="n"/>
      <c r="P74" s="13" t="n"/>
    </row>
    <row r="75">
      <c r="A75" s="1" t="inlineStr">
        <is>
          <t>Exchanges</t>
        </is>
      </c>
      <c r="K75" s="13" t="n"/>
      <c r="L75" s="13" t="n"/>
      <c r="M75" s="13" t="n"/>
      <c r="N75" s="13" t="n"/>
      <c r="O75" s="13" t="n"/>
      <c r="P75" s="13" t="n"/>
    </row>
    <row r="76">
      <c r="A76" s="1" t="inlineStr">
        <is>
          <t>name</t>
        </is>
      </c>
      <c r="B76" s="1" t="inlineStr">
        <is>
          <t>amount</t>
        </is>
      </c>
      <c r="C76" s="1" t="inlineStr">
        <is>
          <t>location</t>
        </is>
      </c>
      <c r="D76" s="1" t="inlineStr">
        <is>
          <t>unit</t>
        </is>
      </c>
      <c r="E76" s="1" t="inlineStr">
        <is>
          <t>categories</t>
        </is>
      </c>
      <c r="F76" s="1" t="inlineStr">
        <is>
          <t>type</t>
        </is>
      </c>
      <c r="G76" s="1" t="inlineStr">
        <is>
          <t>reference product</t>
        </is>
      </c>
      <c r="H76" s="14" t="inlineStr">
        <is>
          <t>comment</t>
        </is>
      </c>
      <c r="I76" s="14" t="inlineStr">
        <is>
          <t>uncertainty type</t>
        </is>
      </c>
      <c r="J76" s="1" t="inlineStr">
        <is>
          <t>loc</t>
        </is>
      </c>
      <c r="K76" s="15" t="inlineStr">
        <is>
          <t>u1</t>
        </is>
      </c>
      <c r="L76" s="15" t="inlineStr">
        <is>
          <t>u2</t>
        </is>
      </c>
      <c r="M76" s="15" t="inlineStr">
        <is>
          <t>u3</t>
        </is>
      </c>
      <c r="N76" s="15" t="inlineStr">
        <is>
          <t>u4</t>
        </is>
      </c>
      <c r="O76" s="15" t="inlineStr">
        <is>
          <t>u5</t>
        </is>
      </c>
      <c r="P76" s="15" t="inlineStr">
        <is>
          <t>u6</t>
        </is>
      </c>
      <c r="Q76" s="1" t="inlineStr">
        <is>
          <t>ub</t>
        </is>
      </c>
      <c r="R76" s="1" t="inlineStr">
        <is>
          <t>scale</t>
        </is>
      </c>
      <c r="S76" s="14" t="inlineStr">
        <is>
          <t>negative</t>
        </is>
      </c>
      <c r="T76" s="1" t="n"/>
      <c r="U76" s="15" t="n"/>
      <c r="V76" s="15" t="n"/>
      <c r="W76" s="15" t="n"/>
      <c r="X76" s="15" t="n"/>
      <c r="Y76" s="15" t="n"/>
      <c r="Z76" s="15" t="n"/>
      <c r="AA76" s="1" t="n"/>
    </row>
    <row r="77">
      <c r="A77" t="inlineStr">
        <is>
          <t>treatment of electric storage heater, 5 kW</t>
        </is>
      </c>
      <c r="B77" t="n">
        <v>-1</v>
      </c>
      <c r="C77" t="inlineStr">
        <is>
          <t>RER</t>
        </is>
      </c>
      <c r="D77" t="inlineStr">
        <is>
          <t>unit</t>
        </is>
      </c>
      <c r="E77" s="16" t="n"/>
      <c r="F77" t="inlineStr">
        <is>
          <t>production</t>
        </is>
      </c>
      <c r="G77" t="inlineStr">
        <is>
          <t>used electric storage heater, 5 kW</t>
        </is>
      </c>
      <c r="H77" s="16" t="n"/>
      <c r="I77" s="16" t="n">
        <v>0</v>
      </c>
      <c r="K77" s="13" t="n"/>
      <c r="L77" s="13" t="n"/>
      <c r="M77" s="13" t="n"/>
      <c r="N77" s="13" t="n"/>
      <c r="O77" s="13" t="n"/>
      <c r="P77" s="13" t="n"/>
    </row>
    <row r="78" ht="18" customFormat="1" customHeight="1" s="16">
      <c r="A78" s="16" t="inlineStr">
        <is>
          <t>market for waste electric and electronic equipment</t>
        </is>
      </c>
      <c r="B78" s="16" t="n">
        <v>-160</v>
      </c>
      <c r="C78" s="16" t="inlineStr">
        <is>
          <t>GLO</t>
        </is>
      </c>
      <c r="D78" s="16" t="inlineStr">
        <is>
          <t>kilogram</t>
        </is>
      </c>
      <c r="E78" s="19" t="n"/>
      <c r="F78" s="19" t="inlineStr">
        <is>
          <t>technosphere</t>
        </is>
      </c>
      <c r="G78" s="19" t="inlineStr">
        <is>
          <t>waste electric and electronic equipment</t>
        </is>
      </c>
      <c r="H78" s="19" t="n"/>
      <c r="I78" s="16" t="n">
        <v>2</v>
      </c>
      <c r="J78">
        <f>LN(B78*-1)</f>
        <v>5.0751738152338266</v>
      </c>
      <c r="K78" s="18" t="n">
        <v>1.5</v>
      </c>
      <c r="L78" s="18" t="n">
        <v>1.1</v>
      </c>
      <c r="M78" s="18" t="n">
        <v>1.03</v>
      </c>
      <c r="N78" s="18" t="n">
        <v>1.01</v>
      </c>
      <c r="O78" s="18" t="n">
        <v>1.5</v>
      </c>
      <c r="P78" s="18" t="n">
        <v>1.2</v>
      </c>
      <c r="Q78" s="18" t="n">
        <v>1.05</v>
      </c>
      <c r="R78">
        <f>LN(SQRT(EXP(
SQRT(
+POWER(LN(K78),2)
+POWER(LN(L78),2)
+POWER(LN(M78),2)
+POWER(LN(N78),2)
+POWER(LN(O78),2)
+POWER(LN(P78),2)
+POWER(LN(Q78),2)
)
)))</f>
        <v>0.30597479480594364</v>
      </c>
      <c r="S78" s="16" t="b">
        <v>1</v>
      </c>
    </row>
    <row r="79" ht="18" customFormat="1" customHeight="1" s="16">
      <c r="E79" s="19" t="n"/>
      <c r="F79" s="19" t="n"/>
      <c r="G79" s="19" t="n"/>
      <c r="H79" s="19" t="n"/>
      <c r="I79" s="19" t="n"/>
      <c r="K79" s="18" t="n"/>
      <c r="L79" s="18" t="n"/>
      <c r="M79" s="18" t="n"/>
      <c r="N79" s="18" t="n"/>
      <c r="O79" s="18" t="n"/>
      <c r="P79" s="18" t="n"/>
      <c r="Q79" s="18" t="n"/>
    </row>
    <row r="80">
      <c r="A80" s="1" t="inlineStr">
        <is>
          <t>Activity</t>
        </is>
      </c>
      <c r="B80" s="1" t="inlineStr">
        <is>
          <t>electricity, high-voltage, used as final energy</t>
        </is>
      </c>
      <c r="K80" s="13" t="n"/>
      <c r="L80" s="13" t="n"/>
      <c r="M80" s="13" t="n"/>
      <c r="N80" s="13" t="n"/>
      <c r="O80" s="13" t="n"/>
      <c r="P80" s="13" t="n"/>
    </row>
    <row r="81">
      <c r="A81" t="inlineStr">
        <is>
          <t>comment</t>
        </is>
      </c>
      <c r="B81" t="inlineStr">
        <is>
          <t>Simple conversion from kilowatt hour to megajoule, to represent electricity used as a final energy carrier</t>
        </is>
      </c>
      <c r="K81" s="13" t="n"/>
      <c r="L81" s="13" t="n"/>
      <c r="M81" s="13" t="n"/>
      <c r="N81" s="13" t="n"/>
      <c r="O81" s="13" t="n"/>
      <c r="P81" s="13" t="n"/>
    </row>
    <row r="82">
      <c r="A82" t="inlineStr">
        <is>
          <t>location</t>
        </is>
      </c>
      <c r="B82" t="inlineStr">
        <is>
          <t>RER</t>
        </is>
      </c>
      <c r="K82" s="13" t="n"/>
      <c r="L82" s="13" t="n"/>
      <c r="M82" s="13" t="n"/>
      <c r="N82" s="13" t="n"/>
      <c r="O82" s="13" t="n"/>
      <c r="P82" s="13" t="n"/>
    </row>
    <row r="83">
      <c r="A83" t="inlineStr">
        <is>
          <t>production amount</t>
        </is>
      </c>
      <c r="B83" t="n">
        <v>1</v>
      </c>
      <c r="K83" s="13" t="n"/>
      <c r="L83" s="13" t="n"/>
      <c r="M83" s="13" t="n"/>
      <c r="N83" s="13" t="n"/>
      <c r="O83" s="13" t="n"/>
      <c r="P83" s="13" t="n"/>
    </row>
    <row r="84">
      <c r="A84" t="inlineStr">
        <is>
          <t>reference product</t>
        </is>
      </c>
      <c r="B84" t="inlineStr">
        <is>
          <t>heat</t>
        </is>
      </c>
      <c r="K84" s="13" t="n"/>
      <c r="L84" s="13" t="n"/>
      <c r="M84" s="13" t="n"/>
      <c r="N84" s="13" t="n"/>
      <c r="O84" s="13" t="n"/>
      <c r="P84" s="13" t="n"/>
    </row>
    <row r="85">
      <c r="A85" t="inlineStr">
        <is>
          <t>unit</t>
        </is>
      </c>
      <c r="B85" t="inlineStr">
        <is>
          <t>megajoule</t>
        </is>
      </c>
      <c r="K85" s="13" t="n"/>
      <c r="L85" s="13" t="n"/>
      <c r="M85" s="13" t="n"/>
      <c r="N85" s="13" t="n"/>
      <c r="O85" s="13" t="n"/>
      <c r="P85" s="13" t="n"/>
    </row>
    <row r="86">
      <c r="A86" s="1" t="inlineStr">
        <is>
          <t>Exchanges</t>
        </is>
      </c>
      <c r="K86" s="13" t="n"/>
      <c r="L86" s="13" t="n"/>
      <c r="M86" s="13" t="n"/>
      <c r="N86" s="13" t="n"/>
      <c r="O86" s="13" t="n"/>
      <c r="P86" s="13" t="n"/>
    </row>
    <row r="87">
      <c r="A87" s="1" t="inlineStr">
        <is>
          <t>name</t>
        </is>
      </c>
      <c r="B87" s="1" t="inlineStr">
        <is>
          <t>amount</t>
        </is>
      </c>
      <c r="C87" s="1" t="inlineStr">
        <is>
          <t>location</t>
        </is>
      </c>
      <c r="D87" s="1" t="inlineStr">
        <is>
          <t>unit</t>
        </is>
      </c>
      <c r="E87" s="1" t="inlineStr">
        <is>
          <t>categories</t>
        </is>
      </c>
      <c r="F87" s="1" t="inlineStr">
        <is>
          <t>type</t>
        </is>
      </c>
      <c r="G87" s="1" t="inlineStr">
        <is>
          <t>reference product</t>
        </is>
      </c>
      <c r="H87" s="14" t="n"/>
      <c r="I87" s="14" t="n"/>
      <c r="J87" s="1" t="n"/>
      <c r="K87" s="15" t="n"/>
      <c r="L87" s="15" t="n"/>
      <c r="M87" s="15" t="n"/>
      <c r="N87" s="15" t="n"/>
      <c r="O87" s="15" t="n"/>
      <c r="P87" s="15" t="n"/>
      <c r="Q87" s="1" t="n"/>
      <c r="R87" s="1" t="n"/>
      <c r="S87" s="14" t="n"/>
      <c r="T87" s="1" t="n"/>
      <c r="U87" s="15" t="n"/>
      <c r="V87" s="15" t="n"/>
      <c r="W87" s="15" t="n"/>
      <c r="X87" s="15" t="n"/>
      <c r="Y87" s="15" t="n"/>
      <c r="Z87" s="15" t="n"/>
      <c r="AA87" s="1" t="n"/>
    </row>
    <row r="88">
      <c r="A88" s="21" t="inlineStr">
        <is>
          <t>electricity, high-voltage, used as final energy</t>
        </is>
      </c>
      <c r="B88" s="21" t="n">
        <v>1</v>
      </c>
      <c r="C88" s="21" t="inlineStr">
        <is>
          <t>RER</t>
        </is>
      </c>
      <c r="D88" s="21" t="inlineStr">
        <is>
          <t>megajoule</t>
        </is>
      </c>
      <c r="E88" s="22" t="n"/>
      <c r="F88" s="21" t="inlineStr">
        <is>
          <t>production</t>
        </is>
      </c>
      <c r="G88" s="21" t="inlineStr">
        <is>
          <t>heat</t>
        </is>
      </c>
      <c r="H88" s="22" t="n"/>
      <c r="I88" s="16" t="n"/>
      <c r="K88" s="13" t="n"/>
      <c r="L88" s="13" t="n"/>
      <c r="M88" s="13" t="n"/>
      <c r="N88" s="13" t="n"/>
      <c r="O88" s="13" t="n"/>
      <c r="P88" s="13" t="n"/>
    </row>
    <row r="89" customFormat="1" s="16">
      <c r="A89" s="22" t="inlineStr">
        <is>
          <t>market group for electricity, high voltage</t>
        </is>
      </c>
      <c r="B89" s="22">
        <f>1/3.6</f>
        <v>0.27777777777777779</v>
      </c>
      <c r="C89" s="22" t="inlineStr">
        <is>
          <t>RER</t>
        </is>
      </c>
      <c r="D89" s="22" t="inlineStr">
        <is>
          <t>kilowatt hour</t>
        </is>
      </c>
      <c r="E89" s="23" t="n"/>
      <c r="F89" s="23" t="inlineStr">
        <is>
          <t>technosphere</t>
        </is>
      </c>
      <c r="G89" s="23" t="inlineStr">
        <is>
          <t>electricity, high voltage</t>
        </is>
      </c>
      <c r="H89" s="23" t="n"/>
      <c r="K89" s="18" t="n"/>
      <c r="L89" s="18" t="n"/>
      <c r="M89" s="18" t="n"/>
      <c r="N89" s="18" t="n"/>
      <c r="O89" s="18" t="n"/>
      <c r="P89" s="18" t="n"/>
      <c r="Q89" s="18" t="n"/>
    </row>
    <row r="90" ht="18" customFormat="1" customHeight="1" s="16">
      <c r="E90" s="19" t="n"/>
      <c r="F90" s="19" t="n"/>
      <c r="G90" s="19" t="n"/>
      <c r="H90" s="19" t="n"/>
      <c r="I90" s="19" t="n"/>
      <c r="K90" s="18" t="n"/>
      <c r="L90" s="18" t="n"/>
      <c r="M90" s="18" t="n"/>
      <c r="N90" s="18" t="n"/>
      <c r="O90" s="18" t="n"/>
      <c r="P90" s="18" t="n"/>
      <c r="Q90" s="18" t="n"/>
    </row>
    <row r="91">
      <c r="A91" s="1" t="inlineStr">
        <is>
          <t>Activity</t>
        </is>
      </c>
      <c r="B91" s="1" t="inlineStr">
        <is>
          <t>electricity, medium-voltage, used as final energy</t>
        </is>
      </c>
      <c r="K91" s="13" t="n"/>
      <c r="L91" s="13" t="n"/>
      <c r="M91" s="13" t="n"/>
      <c r="N91" s="13" t="n"/>
      <c r="O91" s="13" t="n"/>
      <c r="P91" s="13" t="n"/>
    </row>
    <row r="92">
      <c r="A92" t="inlineStr">
        <is>
          <t>comment</t>
        </is>
      </c>
      <c r="B92" t="inlineStr">
        <is>
          <t>Simple conversion from kilowatt hour to megajoule, to represent electricity used as a final energy carrier</t>
        </is>
      </c>
      <c r="K92" s="13" t="n"/>
      <c r="L92" s="13" t="n"/>
      <c r="M92" s="13" t="n"/>
      <c r="N92" s="13" t="n"/>
      <c r="O92" s="13" t="n"/>
      <c r="P92" s="13" t="n"/>
    </row>
    <row r="93">
      <c r="A93" t="inlineStr">
        <is>
          <t>location</t>
        </is>
      </c>
      <c r="B93" t="inlineStr">
        <is>
          <t>RER</t>
        </is>
      </c>
      <c r="K93" s="13" t="n"/>
      <c r="L93" s="13" t="n"/>
      <c r="M93" s="13" t="n"/>
      <c r="N93" s="13" t="n"/>
      <c r="O93" s="13" t="n"/>
      <c r="P93" s="13" t="n"/>
    </row>
    <row r="94">
      <c r="A94" t="inlineStr">
        <is>
          <t>production amount</t>
        </is>
      </c>
      <c r="B94" t="n">
        <v>1</v>
      </c>
      <c r="K94" s="13" t="n"/>
      <c r="L94" s="13" t="n"/>
      <c r="M94" s="13" t="n"/>
      <c r="N94" s="13" t="n"/>
      <c r="O94" s="13" t="n"/>
      <c r="P94" s="13" t="n"/>
    </row>
    <row r="95">
      <c r="A95" t="inlineStr">
        <is>
          <t>reference product</t>
        </is>
      </c>
      <c r="B95" t="inlineStr">
        <is>
          <t>heat</t>
        </is>
      </c>
      <c r="K95" s="13" t="n"/>
      <c r="L95" s="13" t="n"/>
      <c r="M95" s="13" t="n"/>
      <c r="N95" s="13" t="n"/>
      <c r="O95" s="13" t="n"/>
      <c r="P95" s="13" t="n"/>
    </row>
    <row r="96">
      <c r="A96" t="inlineStr">
        <is>
          <t>unit</t>
        </is>
      </c>
      <c r="B96" t="inlineStr">
        <is>
          <t>megajoule</t>
        </is>
      </c>
      <c r="K96" s="13" t="n"/>
      <c r="L96" s="13" t="n"/>
      <c r="M96" s="13" t="n"/>
      <c r="N96" s="13" t="n"/>
      <c r="O96" s="13" t="n"/>
      <c r="P96" s="13" t="n"/>
    </row>
    <row r="97">
      <c r="A97" s="1" t="inlineStr">
        <is>
          <t>Exchanges</t>
        </is>
      </c>
      <c r="K97" s="13" t="n"/>
      <c r="L97" s="13" t="n"/>
      <c r="M97" s="13" t="n"/>
      <c r="N97" s="13" t="n"/>
      <c r="O97" s="13" t="n"/>
      <c r="P97" s="13" t="n"/>
    </row>
    <row r="98">
      <c r="A98" s="1" t="inlineStr">
        <is>
          <t>name</t>
        </is>
      </c>
      <c r="B98" s="1" t="inlineStr">
        <is>
          <t>amount</t>
        </is>
      </c>
      <c r="C98" s="1" t="inlineStr">
        <is>
          <t>location</t>
        </is>
      </c>
      <c r="D98" s="1" t="inlineStr">
        <is>
          <t>unit</t>
        </is>
      </c>
      <c r="E98" s="1" t="inlineStr">
        <is>
          <t>categories</t>
        </is>
      </c>
      <c r="F98" s="1" t="inlineStr">
        <is>
          <t>type</t>
        </is>
      </c>
      <c r="G98" s="1" t="inlineStr">
        <is>
          <t>reference product</t>
        </is>
      </c>
      <c r="H98" s="14" t="n"/>
      <c r="I98" s="14" t="n"/>
      <c r="J98" s="1" t="n"/>
      <c r="K98" s="15" t="n"/>
      <c r="L98" s="15" t="n"/>
      <c r="M98" s="15" t="n"/>
      <c r="N98" s="15" t="n"/>
      <c r="O98" s="15" t="n"/>
      <c r="P98" s="15" t="n"/>
      <c r="Q98" s="1" t="n"/>
      <c r="R98" s="1" t="n"/>
      <c r="S98" s="14" t="n"/>
      <c r="T98" s="1" t="n"/>
      <c r="U98" s="15" t="n"/>
      <c r="V98" s="15" t="n"/>
      <c r="W98" s="15" t="n"/>
      <c r="X98" s="15" t="n"/>
      <c r="Y98" s="15" t="n"/>
      <c r="Z98" s="15" t="n"/>
      <c r="AA98" s="1" t="n"/>
    </row>
    <row r="99">
      <c r="A99" s="21" t="inlineStr">
        <is>
          <t>electricity, medium-voltage, used as final energy</t>
        </is>
      </c>
      <c r="B99" s="21" t="n">
        <v>1</v>
      </c>
      <c r="C99" s="21" t="inlineStr">
        <is>
          <t>RER</t>
        </is>
      </c>
      <c r="D99" s="21" t="inlineStr">
        <is>
          <t>megajoule</t>
        </is>
      </c>
      <c r="E99" s="22" t="n"/>
      <c r="F99" s="21" t="inlineStr">
        <is>
          <t>production</t>
        </is>
      </c>
      <c r="G99" s="21" t="inlineStr">
        <is>
          <t>heat</t>
        </is>
      </c>
      <c r="H99" s="22" t="n"/>
      <c r="I99" s="16" t="n"/>
      <c r="K99" s="13" t="n"/>
      <c r="L99" s="13" t="n"/>
      <c r="M99" s="13" t="n"/>
      <c r="N99" s="13" t="n"/>
      <c r="O99" s="13" t="n"/>
      <c r="P99" s="13" t="n"/>
    </row>
    <row r="100" customFormat="1" s="16">
      <c r="A100" s="22" t="inlineStr">
        <is>
          <t>market group for electricity, medium voltage</t>
        </is>
      </c>
      <c r="B100" s="22">
        <f>1/3.6</f>
        <v>0.27777777777777779</v>
      </c>
      <c r="C100" s="22" t="inlineStr">
        <is>
          <t>RER</t>
        </is>
      </c>
      <c r="D100" s="22" t="inlineStr">
        <is>
          <t>kilowatt hour</t>
        </is>
      </c>
      <c r="E100" s="23" t="n"/>
      <c r="F100" s="23" t="inlineStr">
        <is>
          <t>technosphere</t>
        </is>
      </c>
      <c r="G100" s="23" t="inlineStr">
        <is>
          <t>electricity, medium voltage</t>
        </is>
      </c>
      <c r="H100" s="23" t="n"/>
      <c r="K100" s="18" t="n"/>
      <c r="L100" s="18" t="n"/>
      <c r="M100" s="18" t="n"/>
      <c r="N100" s="18" t="n"/>
      <c r="O100" s="18" t="n"/>
      <c r="P100" s="18" t="n"/>
      <c r="Q100" s="18" t="n"/>
    </row>
    <row r="101" ht="18" customFormat="1" customHeight="1" s="16">
      <c r="E101" s="19" t="n"/>
      <c r="F101" s="19" t="n"/>
      <c r="G101" s="19" t="n"/>
      <c r="H101" s="19" t="n"/>
      <c r="I101" s="19" t="n"/>
      <c r="K101" s="18" t="n"/>
      <c r="L101" s="18" t="n"/>
      <c r="M101" s="18" t="n"/>
      <c r="N101" s="18" t="n"/>
      <c r="O101" s="18" t="n"/>
      <c r="P101" s="18" t="n"/>
      <c r="Q101" s="18" t="n"/>
    </row>
    <row r="102">
      <c r="A102" s="1" t="inlineStr">
        <is>
          <t>Activity</t>
        </is>
      </c>
      <c r="B102" s="1" t="inlineStr">
        <is>
          <t>electricity, low-voltage, used as final energy</t>
        </is>
      </c>
      <c r="K102" s="13" t="n"/>
      <c r="L102" s="13" t="n"/>
      <c r="M102" s="13" t="n"/>
      <c r="N102" s="13" t="n"/>
      <c r="O102" s="13" t="n"/>
      <c r="P102" s="13" t="n"/>
    </row>
    <row r="103">
      <c r="A103" t="inlineStr">
        <is>
          <t>comment</t>
        </is>
      </c>
      <c r="B103" t="inlineStr">
        <is>
          <t>Simple conversion from kilowatt hour to megajoule, to represent electricity used as a final energy carrier</t>
        </is>
      </c>
      <c r="K103" s="13" t="n"/>
      <c r="L103" s="13" t="n"/>
      <c r="M103" s="13" t="n"/>
      <c r="N103" s="13" t="n"/>
      <c r="O103" s="13" t="n"/>
      <c r="P103" s="13" t="n"/>
    </row>
    <row r="104">
      <c r="A104" t="inlineStr">
        <is>
          <t>location</t>
        </is>
      </c>
      <c r="B104" t="inlineStr">
        <is>
          <t>RER</t>
        </is>
      </c>
      <c r="K104" s="13" t="n"/>
      <c r="L104" s="13" t="n"/>
      <c r="M104" s="13" t="n"/>
      <c r="N104" s="13" t="n"/>
      <c r="O104" s="13" t="n"/>
      <c r="P104" s="13" t="n"/>
    </row>
    <row r="105">
      <c r="A105" t="inlineStr">
        <is>
          <t>production amount</t>
        </is>
      </c>
      <c r="B105" t="n">
        <v>1</v>
      </c>
      <c r="K105" s="13" t="n"/>
      <c r="L105" s="13" t="n"/>
      <c r="M105" s="13" t="n"/>
      <c r="N105" s="13" t="n"/>
      <c r="O105" s="13" t="n"/>
      <c r="P105" s="13" t="n"/>
    </row>
    <row r="106">
      <c r="A106" t="inlineStr">
        <is>
          <t>reference product</t>
        </is>
      </c>
      <c r="B106" t="inlineStr">
        <is>
          <t>heat</t>
        </is>
      </c>
      <c r="K106" s="13" t="n"/>
      <c r="L106" s="13" t="n"/>
      <c r="M106" s="13" t="n"/>
      <c r="N106" s="13" t="n"/>
      <c r="O106" s="13" t="n"/>
      <c r="P106" s="13" t="n"/>
    </row>
    <row r="107">
      <c r="A107" t="inlineStr">
        <is>
          <t>unit</t>
        </is>
      </c>
      <c r="B107" t="inlineStr">
        <is>
          <t>megajoule</t>
        </is>
      </c>
      <c r="K107" s="13" t="n"/>
      <c r="L107" s="13" t="n"/>
      <c r="M107" s="13" t="n"/>
      <c r="N107" s="13" t="n"/>
      <c r="O107" s="13" t="n"/>
      <c r="P107" s="13" t="n"/>
    </row>
    <row r="108">
      <c r="A108" s="1" t="inlineStr">
        <is>
          <t>Exchanges</t>
        </is>
      </c>
      <c r="K108" s="13" t="n"/>
      <c r="L108" s="13" t="n"/>
      <c r="M108" s="13" t="n"/>
      <c r="N108" s="13" t="n"/>
      <c r="O108" s="13" t="n"/>
      <c r="P108" s="13" t="n"/>
    </row>
    <row r="109">
      <c r="A109" s="1" t="inlineStr">
        <is>
          <t>name</t>
        </is>
      </c>
      <c r="B109" s="1" t="inlineStr">
        <is>
          <t>amount</t>
        </is>
      </c>
      <c r="C109" s="1" t="inlineStr">
        <is>
          <t>location</t>
        </is>
      </c>
      <c r="D109" s="1" t="inlineStr">
        <is>
          <t>unit</t>
        </is>
      </c>
      <c r="E109" s="1" t="inlineStr">
        <is>
          <t>categories</t>
        </is>
      </c>
      <c r="F109" s="1" t="inlineStr">
        <is>
          <t>type</t>
        </is>
      </c>
      <c r="G109" s="1" t="inlineStr">
        <is>
          <t>reference product</t>
        </is>
      </c>
      <c r="H109" s="14" t="n"/>
      <c r="I109" s="14" t="n"/>
      <c r="J109" s="1" t="n"/>
      <c r="K109" s="15" t="n"/>
      <c r="L109" s="15" t="n"/>
      <c r="M109" s="15" t="n"/>
      <c r="N109" s="15" t="n"/>
      <c r="O109" s="15" t="n"/>
      <c r="P109" s="15" t="n"/>
      <c r="Q109" s="1" t="n"/>
      <c r="R109" s="1" t="n"/>
      <c r="S109" s="14" t="n"/>
      <c r="T109" s="1" t="n"/>
      <c r="U109" s="15" t="n"/>
      <c r="V109" s="15" t="n"/>
      <c r="W109" s="15" t="n"/>
      <c r="X109" s="15" t="n"/>
      <c r="Y109" s="15" t="n"/>
      <c r="Z109" s="15" t="n"/>
      <c r="AA109" s="1" t="n"/>
    </row>
    <row r="110">
      <c r="A110" s="21" t="inlineStr">
        <is>
          <t>electricity, low-voltage, used as final energy</t>
        </is>
      </c>
      <c r="B110" s="21" t="n">
        <v>1</v>
      </c>
      <c r="C110" s="21" t="inlineStr">
        <is>
          <t>RER</t>
        </is>
      </c>
      <c r="D110" s="21" t="inlineStr">
        <is>
          <t>megajoule</t>
        </is>
      </c>
      <c r="E110" s="22" t="n"/>
      <c r="F110" s="21" t="inlineStr">
        <is>
          <t>production</t>
        </is>
      </c>
      <c r="G110" s="21" t="inlineStr">
        <is>
          <t>heat</t>
        </is>
      </c>
      <c r="H110" s="22" t="n"/>
      <c r="I110" s="16" t="n"/>
      <c r="K110" s="13" t="n"/>
      <c r="L110" s="13" t="n"/>
      <c r="M110" s="13" t="n"/>
      <c r="N110" s="13" t="n"/>
      <c r="O110" s="13" t="n"/>
      <c r="P110" s="13" t="n"/>
    </row>
    <row r="111" customFormat="1" s="16">
      <c r="A111" s="22" t="inlineStr">
        <is>
          <t>market group for electricity, low voltage</t>
        </is>
      </c>
      <c r="B111" s="22">
        <f>1/3.6</f>
        <v>0.27777777777777779</v>
      </c>
      <c r="C111" s="22" t="inlineStr">
        <is>
          <t>RER</t>
        </is>
      </c>
      <c r="D111" s="22" t="inlineStr">
        <is>
          <t>kilowatt hour</t>
        </is>
      </c>
      <c r="E111" s="23" t="n"/>
      <c r="F111" s="23" t="inlineStr">
        <is>
          <t>technosphere</t>
        </is>
      </c>
      <c r="G111" s="23" t="inlineStr">
        <is>
          <t>electricity, low voltage</t>
        </is>
      </c>
      <c r="H111" s="23" t="n"/>
      <c r="K111" s="18" t="n"/>
      <c r="L111" s="18" t="n"/>
      <c r="M111" s="18" t="n"/>
      <c r="N111" s="18" t="n"/>
      <c r="O111" s="18" t="n"/>
      <c r="P111" s="18" t="n"/>
      <c r="Q111" s="18" t="n"/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Romain Sacchi</dc:creator>
  <dcterms:created xmlns:dcterms="http://purl.org/dc/terms/" xmlns:xsi="http://www.w3.org/2001/XMLSchema-instance" xsi:type="dcterms:W3CDTF">2025-03-29T09:15:26Z</dcterms:created>
  <dcterms:modified xmlns:dcterms="http://purl.org/dc/terms/" xmlns:xsi="http://www.w3.org/2001/XMLSchema-instance" xsi:type="dcterms:W3CDTF">2026-07-07T14:16:28Z</dcterms:modified>
  <cp:lastModifiedBy>Romain Sacchi</cp:lastModifiedBy>
</cp:coreProperties>
</file>