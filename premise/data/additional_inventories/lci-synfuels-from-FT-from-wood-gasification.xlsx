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7"/>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BEBD2499-72F9-D840-AA85-3BB3EC694AB6}" xr6:coauthVersionLast="47" xr6:coauthVersionMax="47" xr10:uidLastSave="{00000000-0000-0000-0000-000000000000}"/>
  <bookViews>
    <workbookView xWindow="0" yWindow="760" windowWidth="30240" windowHeight="18880" xr2:uid="{00000000-000D-0000-FFFF-FFFF00000000}"/>
  </bookViews>
  <sheets>
    <sheet name="FT fuel - Diesel" sheetId="1" r:id="rId1"/>
  </sheets>
  <definedNames>
    <definedName name="_xlnm._FilterDatabase" localSheetId="0" hidden="1">'FT fuel - Diesel'!$A$1:$K$596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3" i="1" l="1"/>
  <c r="B230" i="1"/>
  <c r="B229" i="1"/>
  <c r="G227" i="1"/>
  <c r="A227" i="1"/>
  <c r="B106" i="1"/>
  <c r="B124" i="1"/>
  <c r="B142" i="1"/>
  <c r="B160" i="1"/>
  <c r="B178" i="1"/>
  <c r="B196" i="1"/>
  <c r="B214" i="1"/>
  <c r="B104" i="1"/>
  <c r="B103" i="1"/>
  <c r="B122" i="1"/>
  <c r="B121" i="1"/>
  <c r="B140" i="1"/>
  <c r="B139" i="1"/>
  <c r="B158" i="1"/>
  <c r="B157" i="1"/>
  <c r="B176" i="1"/>
  <c r="B175" i="1"/>
  <c r="B194" i="1"/>
  <c r="B193" i="1"/>
  <c r="B212" i="1"/>
  <c r="B211" i="1"/>
  <c r="B23" i="1"/>
  <c r="B45" i="1"/>
  <c r="B67" i="1"/>
  <c r="B89" i="1"/>
  <c r="B248" i="1" l="1"/>
</calcChain>
</file>

<file path=xl/sharedStrings.xml><?xml version="1.0" encoding="utf-8"?>
<sst xmlns="http://schemas.openxmlformats.org/spreadsheetml/2006/main" count="954" uniqueCount="103">
  <si>
    <t>Activity</t>
  </si>
  <si>
    <t>production amount</t>
  </si>
  <si>
    <t>reference product</t>
  </si>
  <si>
    <t>type</t>
  </si>
  <si>
    <t>process</t>
  </si>
  <si>
    <t>unit</t>
  </si>
  <si>
    <t>kilogram</t>
  </si>
  <si>
    <t>location</t>
  </si>
  <si>
    <t>RER</t>
  </si>
  <si>
    <t>comment</t>
  </si>
  <si>
    <t>Exchanges</t>
  </si>
  <si>
    <t>name</t>
  </si>
  <si>
    <t>amount</t>
  </si>
  <si>
    <t>categories</t>
  </si>
  <si>
    <t>database</t>
  </si>
  <si>
    <t>production</t>
  </si>
  <si>
    <t>From PEM electrolysis</t>
  </si>
  <si>
    <t>technosphere</t>
  </si>
  <si>
    <t>Heat, waste</t>
  </si>
  <si>
    <t>megajoule</t>
  </si>
  <si>
    <t>air</t>
  </si>
  <si>
    <t>biosphere</t>
  </si>
  <si>
    <t>biosphere3</t>
  </si>
  <si>
    <t>Water</t>
  </si>
  <si>
    <t>cubic meter</t>
  </si>
  <si>
    <t>water</t>
  </si>
  <si>
    <t>market group for electricity, low voltage</t>
  </si>
  <si>
    <t>kilowatt hour</t>
  </si>
  <si>
    <t>electricity, low voltage</t>
  </si>
  <si>
    <t>ecoinvent</t>
  </si>
  <si>
    <t>RWGS tank construction</t>
  </si>
  <si>
    <t>GLO</t>
  </si>
  <si>
    <t>Adapted from van der Giesen et al. 2014. Density of syngas: 0.470kg/m3 @1 bar. LHV: 23.9 MJ/kg.</t>
  </si>
  <si>
    <t>source</t>
  </si>
  <si>
    <t>Energy and Climate Impacts of Producing Synthetic Hydrocarbon Fuels from CO2, Coen van der Giesen, René Kleijn, and Gert Jan Kramer, Environmental Science &amp; Technology 2014 48 (12), 7111-7121, DOI: 10.1021/es500191g</t>
  </si>
  <si>
    <t>Car db</t>
  </si>
  <si>
    <t>Gas-to-liquid plant construction</t>
  </si>
  <si>
    <t>Gas-to-liquid plant</t>
  </si>
  <si>
    <t>Adapted from van der Giesen et al. 2014. LHV: 45 MJ/kg, Formula: C13H18, Density: 7551 kg/m3. Economic allocation between 3 other co-products. Allocation key for this co-product: 6%.</t>
  </si>
  <si>
    <t>Adapted from van der Giesen et al. 2014. LHV: 44.5 MJ/kg, Formula: C13H18, Density: 7551 kg/m3. Economic allocation between 3 other co-products. Allocation key for this co-product: 7%.</t>
  </si>
  <si>
    <t>Adapted from van der Giesen et al. 2014. LHV: 43.3 MJ/kg, Formula: C13H18, Density: 7551 kg/m3. Economic allocation between 3 other co-products. Allocation key for this co-product: 16%.</t>
  </si>
  <si>
    <t>Adapted from van der Giesen et al. 2014. LHV: 40.2 MJ/kg, Formula: C13H18, Density: 7551 kg/m3. Energy-based allocation between 3 other co-products. Allocation key for this co-product: 21%.</t>
  </si>
  <si>
    <t>Adapted from van der Giesen et al. 2014. LHV: 45 MJ/kg, Formula: C13H18, Density: 7551 kg/m3. Energy-based allocation between 3 other co-products. Allocation key for this co-product: 18%.</t>
  </si>
  <si>
    <t>Adapted from van der Giesen et al. 2014. LHV: 44.5 MJ/kg, Formula: C13H18, Density: 7551 kg/m3. Energy-based allocation between 3 other co-products. Allocation key for this co-product: 24%.</t>
  </si>
  <si>
    <t>Adapted from van der Giesen et al. 2014. LHV: 43.3 MJ/kg, Formula: C13H18, Density: 7551 kg/m3. Energy-based allocation between 3 other co-products. Allocation key for this co-product: 37%. Post corrected to preserve carbon balance.</t>
  </si>
  <si>
    <t>Fixed bed reactor for RWGS</t>
  </si>
  <si>
    <t>Fixed bed reactor</t>
  </si>
  <si>
    <t>CH</t>
  </si>
  <si>
    <t>Europe without Switzerland</t>
  </si>
  <si>
    <t>uncertainty type</t>
  </si>
  <si>
    <t>loc</t>
  </si>
  <si>
    <t>allocation</t>
  </si>
  <si>
    <t/>
  </si>
  <si>
    <t>market for fly ash and scrubber sludge</t>
  </si>
  <si>
    <t>fly ash and scrubber sludge</t>
  </si>
  <si>
    <t>market for heat, central or small-scale, other than natural gas</t>
  </si>
  <si>
    <t>heat, central or small-scale, other than natural gas</t>
  </si>
  <si>
    <t>infrastructure construction, for regional distribution of oil product</t>
  </si>
  <si>
    <t>infrastructure, for regional distribution of oil product</t>
  </si>
  <si>
    <t>market for municipal solid waste</t>
  </si>
  <si>
    <t>municipal solid waste</t>
  </si>
  <si>
    <t>market for rainwater mineral oil storage</t>
  </si>
  <si>
    <t>rainwater mineral oil storage</t>
  </si>
  <si>
    <t>market for tap water</t>
  </si>
  <si>
    <t>tap water</t>
  </si>
  <si>
    <t>market for transport, freight train</t>
  </si>
  <si>
    <t>ton kilometer</t>
  </si>
  <si>
    <t>transport, freight train</t>
  </si>
  <si>
    <t>market for transport, freight, lorry, unspecified</t>
  </si>
  <si>
    <t>transport, freight, lorry, unspecified</t>
  </si>
  <si>
    <t>wastewater, average</t>
  </si>
  <si>
    <t>diesel, synthetic, vehicle grade</t>
  </si>
  <si>
    <t>treatment of wastewater, average, capacity 1E9l/year</t>
  </si>
  <si>
    <t>kerosene, synthetic</t>
  </si>
  <si>
    <t>synfuel from wood gasification</t>
  </si>
  <si>
    <t>hydrogen production, gaseous, 25 bar, from gasification of woody biomass in entrained flow gasifier, at gasification plant</t>
  </si>
  <si>
    <t>kerosene production, synthetic, from Fischer Tropsch process, hydrogen from wood gasification, economic allocation, at fuelling station</t>
  </si>
  <si>
    <t>diesel production, synthetic, from Fischer Tropsch process, hydrogen from wood gasification, economic allocation, at fuelling station</t>
  </si>
  <si>
    <t>kerosene production, synthetic, from Fischer Tropsch process, hydrogen from wood gasification, energy allocation, at fuelling station</t>
  </si>
  <si>
    <t>diesel production, synthetic, from Fischer Tropsch process, hydrogen from wood gasification, energy allocation, at fuelling station</t>
  </si>
  <si>
    <t>natural resource::in air</t>
  </si>
  <si>
    <t>Carbon dioxide, non-fossil</t>
  </si>
  <si>
    <t>Carbon dioxide, in air</t>
  </si>
  <si>
    <t>Adapted from van der Giesen et al. 2014. Density of syngas: 0.470kg/m3 @1 bar. LHV: 23.9 MJ/kg.
The source for CO2 is from the gasification step to produce the H2. Hence, it comes free of burden.
However, this means we need to reduce the CO2 amount emitted by the gasification process here, as it effectively ends up in the fuel instead.</t>
  </si>
  <si>
    <t>hydrogen, gaseous, 25 bar</t>
  </si>
  <si>
    <t>kerosene production, synthetic, Fischer Tropsch process, hydrogen from wood gasification, economic allocation</t>
  </si>
  <si>
    <t>diesel production, synthetic, Fischer Tropsch process, hydrogen from wood gasification, economic allocation</t>
  </si>
  <si>
    <t>diesel, synthetic</t>
  </si>
  <si>
    <t>kerosene production, synthetic, Fischer Tropsch process, hydrogen from wood gasification, energy allocation</t>
  </si>
  <si>
    <t>diesel production, synthetic, Fischer Tropsch process, hydrogen from wood gasification, energy allocation</t>
  </si>
  <si>
    <t>syngas, RWGS, Production, for Fischer Tropsch process, hydrogen from wood gasification</t>
  </si>
  <si>
    <t>syngas, RWGS, Production</t>
  </si>
  <si>
    <t>naphtha production, synthetic, Fischer Tropsch process, hydrogen from wood gasification, economic allocation</t>
  </si>
  <si>
    <t>naphtha, synthetic</t>
  </si>
  <si>
    <t>lubricating oil production, synthetic, Fischer Tropsch process, hydrogen from wood gasification, energy allocation</t>
  </si>
  <si>
    <t>lubricating oil, synthetic</t>
  </si>
  <si>
    <t>naphtha production, synthetic, Fischer Tropsch process, hydrogen from wood gasification, energy allocation</t>
  </si>
  <si>
    <t>carbon monoxide, from RWGS, for Fischer Tropsch process, hydrogen from wood gasification</t>
  </si>
  <si>
    <t>carbon monoxide, from RWGS</t>
  </si>
  <si>
    <t>liquefied petroleum gas, synthetic</t>
  </si>
  <si>
    <t>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</si>
  <si>
    <t xml:space="preserve"> A.E.M. van den Oever, D. Costa, M. Messagie, Prospective life cycle assessment of alternatively fueled heavy-duty trucks, Applied Energy, 2023, https://doi.org/10.1016/j.apenergy.2023.120834</t>
  </si>
  <si>
    <t>liquefied petroleum gas production, synthetic, Fischer Tropsch process, hydrogen from wood gasification, energy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</si>
</sst>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2" fillId="0" borderId="0" xfId="0" applyFont="1"/>
    <xf numFmtId="11" fontId="0" fillId="0" borderId="0" xfId="0" applyNumberFormat="1"/>
    <xf numFmtId="0" fontId="4" fillId="0" borderId="0" xfId="0" applyFont="1"/>
    <xf numFmtId="11" fontId="5" fillId="0" borderId="0" xfId="0" applyNumberFormat="1" applyFont="1"/>
    <xf numFmtId="0" fontId="3" fillId="2" borderId="0" xfId="0" applyFont="1" applyFill="1"/>
    <xf numFmtId="0" fontId="2" fillId="2" borderId="0" xfId="0" applyFont="1" applyFill="1"/>
    <xf numFmtId="0" fontId="0" fillId="2" borderId="0" xfId="0" applyFill="1"/>
    <xf numFmtId="11" fontId="0" fillId="2" borderId="0" xfId="0" applyNumberFormat="1" applyFill="1"/>
    <xf numFmtId="0" fontId="4" fillId="2" borderId="0" xfId="0" applyFont="1" applyFill="1"/>
    <xf numFmtId="11" fontId="5" fillId="2" borderId="0" xfId="0" applyNumberFormat="1" applyFont="1" applyFill="1"/>
    <xf numFmtId="0" fontId="0" fillId="3" borderId="0" xfId="0" applyFill="1"/>
    <xf numFmtId="164" fontId="0" fillId="2" borderId="0" xfId="0" applyNumberForma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6"/>
  <sheetViews>
    <sheetView tabSelected="1" topLeftCell="A148" workbookViewId="0">
      <selection activeCell="B163" sqref="B163"/>
    </sheetView>
  </sheetViews>
  <sheetFormatPr baseColWidth="10" defaultColWidth="8.83203125" defaultRowHeight="15" x14ac:dyDescent="0.2"/>
  <cols>
    <col min="1" max="1" width="71" customWidth="1"/>
    <col min="2" max="2" width="32.5" customWidth="1"/>
    <col min="3" max="3" width="24.1640625" bestFit="1" customWidth="1"/>
    <col min="7" max="7" width="21" customWidth="1"/>
  </cols>
  <sheetData>
    <row r="1" spans="1:11" x14ac:dyDescent="0.2">
      <c r="A1" s="2" t="s">
        <v>14</v>
      </c>
      <c r="B1" t="s">
        <v>74</v>
      </c>
    </row>
    <row r="2" spans="1:11" x14ac:dyDescent="0.2">
      <c r="A2" s="2"/>
    </row>
    <row r="3" spans="1:11" s="8" customFormat="1" ht="16" x14ac:dyDescent="0.2">
      <c r="A3" s="6" t="s">
        <v>0</v>
      </c>
      <c r="B3" s="6" t="s">
        <v>76</v>
      </c>
    </row>
    <row r="4" spans="1:11" s="8" customFormat="1" x14ac:dyDescent="0.2">
      <c r="A4" s="8" t="s">
        <v>7</v>
      </c>
      <c r="B4" s="8" t="s">
        <v>8</v>
      </c>
    </row>
    <row r="5" spans="1:11" s="8" customFormat="1" x14ac:dyDescent="0.2">
      <c r="A5" s="8" t="s">
        <v>1</v>
      </c>
      <c r="B5" s="8">
        <v>1</v>
      </c>
    </row>
    <row r="6" spans="1:11" s="8" customFormat="1" ht="16" x14ac:dyDescent="0.2">
      <c r="A6" s="8" t="s">
        <v>2</v>
      </c>
      <c r="B6" s="10" t="s">
        <v>73</v>
      </c>
    </row>
    <row r="7" spans="1:11" s="8" customFormat="1" x14ac:dyDescent="0.2">
      <c r="A7" s="8" t="s">
        <v>3</v>
      </c>
      <c r="B7" s="8" t="s">
        <v>4</v>
      </c>
    </row>
    <row r="8" spans="1:11" s="8" customFormat="1" x14ac:dyDescent="0.2">
      <c r="A8" s="8" t="s">
        <v>5</v>
      </c>
      <c r="B8" s="8" t="s">
        <v>6</v>
      </c>
    </row>
    <row r="9" spans="1:11" s="8" customFormat="1" ht="16" x14ac:dyDescent="0.2">
      <c r="A9" s="6" t="s">
        <v>10</v>
      </c>
    </row>
    <row r="10" spans="1:11" s="8" customFormat="1" x14ac:dyDescent="0.2">
      <c r="A10" s="8" t="s">
        <v>11</v>
      </c>
      <c r="B10" s="8" t="s">
        <v>12</v>
      </c>
      <c r="C10" s="8" t="s">
        <v>7</v>
      </c>
      <c r="D10" s="8" t="s">
        <v>5</v>
      </c>
      <c r="E10" s="8" t="s">
        <v>13</v>
      </c>
      <c r="F10" s="8" t="s">
        <v>3</v>
      </c>
      <c r="G10" s="8" t="s">
        <v>49</v>
      </c>
      <c r="H10" s="8" t="s">
        <v>50</v>
      </c>
      <c r="I10" s="8" t="s">
        <v>51</v>
      </c>
      <c r="J10" s="8" t="s">
        <v>9</v>
      </c>
      <c r="K10" s="8" t="s">
        <v>2</v>
      </c>
    </row>
    <row r="11" spans="1:11" s="8" customFormat="1" ht="16" x14ac:dyDescent="0.2">
      <c r="A11" s="8" t="s">
        <v>76</v>
      </c>
      <c r="B11" s="8">
        <v>1</v>
      </c>
      <c r="C11" s="8" t="s">
        <v>8</v>
      </c>
      <c r="D11" s="8" t="s">
        <v>6</v>
      </c>
      <c r="F11" s="8" t="s">
        <v>15</v>
      </c>
      <c r="I11" s="8">
        <v>100</v>
      </c>
      <c r="J11" s="8" t="s">
        <v>52</v>
      </c>
      <c r="K11" s="10" t="s">
        <v>73</v>
      </c>
    </row>
    <row r="12" spans="1:11" s="8" customFormat="1" x14ac:dyDescent="0.2">
      <c r="A12" s="8" t="s">
        <v>85</v>
      </c>
      <c r="B12" s="8">
        <v>1.00057</v>
      </c>
      <c r="C12" s="8" t="s">
        <v>8</v>
      </c>
      <c r="D12" s="8" t="s">
        <v>6</v>
      </c>
      <c r="F12" s="8" t="s">
        <v>17</v>
      </c>
      <c r="K12" s="8" t="s">
        <v>73</v>
      </c>
    </row>
    <row r="13" spans="1:11" s="8" customFormat="1" x14ac:dyDescent="0.2">
      <c r="A13" s="8" t="s">
        <v>26</v>
      </c>
      <c r="B13" s="8">
        <v>6.7000000000000002E-3</v>
      </c>
      <c r="C13" s="8" t="s">
        <v>8</v>
      </c>
      <c r="D13" s="8" t="s">
        <v>27</v>
      </c>
      <c r="F13" s="8" t="s">
        <v>17</v>
      </c>
      <c r="K13" s="8" t="s">
        <v>28</v>
      </c>
    </row>
    <row r="14" spans="1:11" s="8" customFormat="1" x14ac:dyDescent="0.2">
      <c r="A14" s="8" t="s">
        <v>53</v>
      </c>
      <c r="B14" s="9">
        <v>1.8499999999999999E-5</v>
      </c>
      <c r="C14" s="8" t="s">
        <v>48</v>
      </c>
      <c r="D14" s="8" t="s">
        <v>6</v>
      </c>
      <c r="F14" s="8" t="s">
        <v>17</v>
      </c>
      <c r="K14" s="8" t="s">
        <v>54</v>
      </c>
    </row>
    <row r="15" spans="1:11" s="8" customFormat="1" x14ac:dyDescent="0.2">
      <c r="A15" s="8" t="s">
        <v>55</v>
      </c>
      <c r="B15" s="9">
        <v>5.8399999999999999E-4</v>
      </c>
      <c r="C15" s="8" t="s">
        <v>47</v>
      </c>
      <c r="D15" s="8" t="s">
        <v>19</v>
      </c>
      <c r="F15" s="8" t="s">
        <v>17</v>
      </c>
      <c r="K15" s="8" t="s">
        <v>56</v>
      </c>
    </row>
    <row r="16" spans="1:11" s="8" customFormat="1" x14ac:dyDescent="0.2">
      <c r="A16" s="8" t="s">
        <v>57</v>
      </c>
      <c r="B16" s="9">
        <v>1.04E-10</v>
      </c>
      <c r="C16" s="8" t="s">
        <v>8</v>
      </c>
      <c r="D16" s="8" t="s">
        <v>5</v>
      </c>
      <c r="F16" s="8" t="s">
        <v>17</v>
      </c>
      <c r="K16" s="8" t="s">
        <v>58</v>
      </c>
    </row>
    <row r="17" spans="1:11" s="8" customFormat="1" x14ac:dyDescent="0.2">
      <c r="A17" s="8" t="s">
        <v>59</v>
      </c>
      <c r="B17" s="9">
        <v>-6.2700000000000001E-6</v>
      </c>
      <c r="C17" s="8" t="s">
        <v>47</v>
      </c>
      <c r="D17" s="8" t="s">
        <v>6</v>
      </c>
      <c r="F17" s="8" t="s">
        <v>17</v>
      </c>
      <c r="K17" s="8" t="s">
        <v>60</v>
      </c>
    </row>
    <row r="18" spans="1:11" s="8" customFormat="1" x14ac:dyDescent="0.2">
      <c r="A18" s="8" t="s">
        <v>61</v>
      </c>
      <c r="B18" s="9">
        <v>-5.0000000000000002E-5</v>
      </c>
      <c r="C18" s="8" t="s">
        <v>48</v>
      </c>
      <c r="D18" s="12" t="s">
        <v>24</v>
      </c>
      <c r="F18" s="8" t="s">
        <v>17</v>
      </c>
      <c r="K18" s="8" t="s">
        <v>62</v>
      </c>
    </row>
    <row r="19" spans="1:11" s="8" customFormat="1" x14ac:dyDescent="0.2">
      <c r="A19" s="8" t="s">
        <v>63</v>
      </c>
      <c r="B19" s="9">
        <v>6.8900000000000005E-4</v>
      </c>
      <c r="C19" s="8" t="s">
        <v>48</v>
      </c>
      <c r="D19" s="8" t="s">
        <v>6</v>
      </c>
      <c r="F19" s="8" t="s">
        <v>17</v>
      </c>
      <c r="K19" s="8" t="s">
        <v>64</v>
      </c>
    </row>
    <row r="20" spans="1:11" s="8" customFormat="1" x14ac:dyDescent="0.2">
      <c r="A20" s="8" t="s">
        <v>65</v>
      </c>
      <c r="B20" s="8">
        <v>3.3599999999999998E-2</v>
      </c>
      <c r="C20" s="8" t="s">
        <v>48</v>
      </c>
      <c r="D20" s="8" t="s">
        <v>66</v>
      </c>
      <c r="F20" s="8" t="s">
        <v>17</v>
      </c>
      <c r="K20" s="8" t="s">
        <v>67</v>
      </c>
    </row>
    <row r="21" spans="1:11" s="8" customFormat="1" x14ac:dyDescent="0.2">
      <c r="A21" s="8" t="s">
        <v>68</v>
      </c>
      <c r="B21" s="8">
        <v>3.2599999999999997E-2</v>
      </c>
      <c r="C21" s="8" t="s">
        <v>8</v>
      </c>
      <c r="D21" s="8" t="s">
        <v>66</v>
      </c>
      <c r="F21" s="8" t="s">
        <v>17</v>
      </c>
      <c r="K21" s="8" t="s">
        <v>69</v>
      </c>
    </row>
    <row r="22" spans="1:11" s="8" customFormat="1" x14ac:dyDescent="0.2">
      <c r="A22" s="8" t="s">
        <v>72</v>
      </c>
      <c r="B22" s="9">
        <v>-6.8899999999999999E-7</v>
      </c>
      <c r="C22" s="8" t="s">
        <v>48</v>
      </c>
      <c r="D22" s="8" t="s">
        <v>24</v>
      </c>
      <c r="F22" s="8" t="s">
        <v>17</v>
      </c>
      <c r="K22" s="8" t="s">
        <v>70</v>
      </c>
    </row>
    <row r="23" spans="1:11" s="8" customFormat="1" x14ac:dyDescent="0.2">
      <c r="A23" s="8" t="s">
        <v>81</v>
      </c>
      <c r="B23" s="9">
        <f>(B12-1)*3.14</f>
        <v>1.7897999999998727E-3</v>
      </c>
      <c r="D23" s="8" t="s">
        <v>6</v>
      </c>
      <c r="E23" s="8" t="s">
        <v>20</v>
      </c>
      <c r="F23" s="8" t="s">
        <v>21</v>
      </c>
    </row>
    <row r="24" spans="1:11" s="8" customFormat="1" ht="16" x14ac:dyDescent="0.2">
      <c r="A24" s="10"/>
      <c r="B24" s="13"/>
      <c r="G24" s="10"/>
    </row>
    <row r="25" spans="1:11" s="8" customFormat="1" ht="16" x14ac:dyDescent="0.2">
      <c r="A25" s="6" t="s">
        <v>0</v>
      </c>
      <c r="B25" s="6" t="s">
        <v>77</v>
      </c>
    </row>
    <row r="26" spans="1:11" s="8" customFormat="1" x14ac:dyDescent="0.2">
      <c r="A26" s="8" t="s">
        <v>7</v>
      </c>
      <c r="B26" s="8" t="s">
        <v>8</v>
      </c>
    </row>
    <row r="27" spans="1:11" s="8" customFormat="1" x14ac:dyDescent="0.2">
      <c r="A27" s="8" t="s">
        <v>1</v>
      </c>
      <c r="B27" s="8">
        <v>1</v>
      </c>
    </row>
    <row r="28" spans="1:11" s="8" customFormat="1" ht="16" x14ac:dyDescent="0.2">
      <c r="A28" s="8" t="s">
        <v>2</v>
      </c>
      <c r="B28" s="10" t="s">
        <v>71</v>
      </c>
    </row>
    <row r="29" spans="1:11" s="8" customFormat="1" x14ac:dyDescent="0.2">
      <c r="A29" s="8" t="s">
        <v>3</v>
      </c>
      <c r="B29" s="8" t="s">
        <v>4</v>
      </c>
    </row>
    <row r="30" spans="1:11" s="8" customFormat="1" x14ac:dyDescent="0.2">
      <c r="A30" s="8" t="s">
        <v>5</v>
      </c>
      <c r="B30" s="8" t="s">
        <v>6</v>
      </c>
    </row>
    <row r="31" spans="1:11" s="8" customFormat="1" ht="16" x14ac:dyDescent="0.2">
      <c r="A31" s="6" t="s">
        <v>10</v>
      </c>
    </row>
    <row r="32" spans="1:11" s="8" customFormat="1" x14ac:dyDescent="0.2">
      <c r="A32" s="8" t="s">
        <v>11</v>
      </c>
      <c r="B32" s="8" t="s">
        <v>12</v>
      </c>
      <c r="C32" s="8" t="s">
        <v>7</v>
      </c>
      <c r="D32" s="8" t="s">
        <v>5</v>
      </c>
      <c r="E32" s="8" t="s">
        <v>13</v>
      </c>
      <c r="F32" s="8" t="s">
        <v>3</v>
      </c>
      <c r="G32" s="8" t="s">
        <v>49</v>
      </c>
      <c r="H32" s="8" t="s">
        <v>50</v>
      </c>
      <c r="I32" s="8" t="s">
        <v>51</v>
      </c>
      <c r="J32" s="8" t="s">
        <v>9</v>
      </c>
      <c r="K32" s="8" t="s">
        <v>2</v>
      </c>
    </row>
    <row r="33" spans="1:11" s="8" customFormat="1" ht="16" x14ac:dyDescent="0.2">
      <c r="A33" s="8" t="s">
        <v>77</v>
      </c>
      <c r="B33" s="8">
        <v>1</v>
      </c>
      <c r="C33" s="8" t="s">
        <v>8</v>
      </c>
      <c r="D33" s="8" t="s">
        <v>6</v>
      </c>
      <c r="F33" s="8" t="s">
        <v>15</v>
      </c>
      <c r="I33" s="8">
        <v>100</v>
      </c>
      <c r="J33" s="8" t="s">
        <v>52</v>
      </c>
      <c r="K33" s="10" t="s">
        <v>71</v>
      </c>
    </row>
    <row r="34" spans="1:11" s="8" customFormat="1" x14ac:dyDescent="0.2">
      <c r="A34" s="8" t="s">
        <v>86</v>
      </c>
      <c r="B34" s="8">
        <v>1.00057</v>
      </c>
      <c r="C34" s="8" t="s">
        <v>8</v>
      </c>
      <c r="D34" s="8" t="s">
        <v>6</v>
      </c>
      <c r="F34" s="8" t="s">
        <v>17</v>
      </c>
      <c r="K34" s="8" t="s">
        <v>87</v>
      </c>
    </row>
    <row r="35" spans="1:11" s="8" customFormat="1" x14ac:dyDescent="0.2">
      <c r="A35" s="8" t="s">
        <v>26</v>
      </c>
      <c r="B35" s="8">
        <v>6.7000000000000002E-3</v>
      </c>
      <c r="C35" s="8" t="s">
        <v>8</v>
      </c>
      <c r="D35" s="8" t="s">
        <v>27</v>
      </c>
      <c r="F35" s="8" t="s">
        <v>17</v>
      </c>
      <c r="K35" s="8" t="s">
        <v>28</v>
      </c>
    </row>
    <row r="36" spans="1:11" s="8" customFormat="1" x14ac:dyDescent="0.2">
      <c r="A36" s="8" t="s">
        <v>53</v>
      </c>
      <c r="B36" s="8">
        <v>-1.6799999999999999E-4</v>
      </c>
      <c r="C36" s="8" t="s">
        <v>48</v>
      </c>
      <c r="D36" s="8" t="s">
        <v>6</v>
      </c>
      <c r="F36" s="8" t="s">
        <v>17</v>
      </c>
      <c r="K36" s="8" t="s">
        <v>54</v>
      </c>
    </row>
    <row r="37" spans="1:11" s="8" customFormat="1" x14ac:dyDescent="0.2">
      <c r="A37" s="8" t="s">
        <v>55</v>
      </c>
      <c r="B37" s="9">
        <v>5.8399999999999999E-4</v>
      </c>
      <c r="C37" s="8" t="s">
        <v>47</v>
      </c>
      <c r="D37" s="8" t="s">
        <v>19</v>
      </c>
      <c r="F37" s="8" t="s">
        <v>17</v>
      </c>
      <c r="K37" s="8" t="s">
        <v>56</v>
      </c>
    </row>
    <row r="38" spans="1:11" s="8" customFormat="1" x14ac:dyDescent="0.2">
      <c r="A38" s="8" t="s">
        <v>57</v>
      </c>
      <c r="B38" s="9">
        <v>2.5999999999999998E-10</v>
      </c>
      <c r="C38" s="8" t="s">
        <v>8</v>
      </c>
      <c r="D38" s="8" t="s">
        <v>5</v>
      </c>
      <c r="F38" s="8" t="s">
        <v>17</v>
      </c>
      <c r="K38" s="8" t="s">
        <v>58</v>
      </c>
    </row>
    <row r="39" spans="1:11" s="8" customFormat="1" x14ac:dyDescent="0.2">
      <c r="A39" s="8" t="s">
        <v>59</v>
      </c>
      <c r="B39" s="9">
        <v>-6.2700000000000001E-6</v>
      </c>
      <c r="C39" s="8" t="s">
        <v>47</v>
      </c>
      <c r="D39" s="8" t="s">
        <v>6</v>
      </c>
      <c r="F39" s="8" t="s">
        <v>17</v>
      </c>
      <c r="K39" s="8" t="s">
        <v>60</v>
      </c>
    </row>
    <row r="40" spans="1:11" s="8" customFormat="1" x14ac:dyDescent="0.2">
      <c r="A40" s="8" t="s">
        <v>61</v>
      </c>
      <c r="B40" s="9">
        <v>-7.4999999999999993E-5</v>
      </c>
      <c r="C40" s="8" t="s">
        <v>48</v>
      </c>
      <c r="D40" s="12" t="s">
        <v>24</v>
      </c>
      <c r="F40" s="8" t="s">
        <v>17</v>
      </c>
      <c r="K40" s="8" t="s">
        <v>62</v>
      </c>
    </row>
    <row r="41" spans="1:11" s="8" customFormat="1" x14ac:dyDescent="0.2">
      <c r="A41" s="8" t="s">
        <v>63</v>
      </c>
      <c r="B41" s="9">
        <v>6.8900000000000005E-4</v>
      </c>
      <c r="C41" s="8" t="s">
        <v>48</v>
      </c>
      <c r="D41" s="8" t="s">
        <v>6</v>
      </c>
      <c r="F41" s="8" t="s">
        <v>17</v>
      </c>
      <c r="K41" s="8" t="s">
        <v>64</v>
      </c>
    </row>
    <row r="42" spans="1:11" s="8" customFormat="1" x14ac:dyDescent="0.2">
      <c r="A42" s="8" t="s">
        <v>65</v>
      </c>
      <c r="B42" s="8">
        <v>3.3599999999999998E-2</v>
      </c>
      <c r="C42" s="8" t="s">
        <v>48</v>
      </c>
      <c r="D42" s="8" t="s">
        <v>66</v>
      </c>
      <c r="F42" s="8" t="s">
        <v>17</v>
      </c>
      <c r="K42" s="8" t="s">
        <v>67</v>
      </c>
    </row>
    <row r="43" spans="1:11" s="8" customFormat="1" x14ac:dyDescent="0.2">
      <c r="A43" s="8" t="s">
        <v>68</v>
      </c>
      <c r="B43" s="8">
        <v>3.2599999999999997E-2</v>
      </c>
      <c r="C43" s="8" t="s">
        <v>8</v>
      </c>
      <c r="D43" s="8" t="s">
        <v>66</v>
      </c>
      <c r="F43" s="8" t="s">
        <v>17</v>
      </c>
      <c r="K43" s="8" t="s">
        <v>69</v>
      </c>
    </row>
    <row r="44" spans="1:11" s="8" customFormat="1" x14ac:dyDescent="0.2">
      <c r="A44" s="8" t="s">
        <v>72</v>
      </c>
      <c r="B44" s="9">
        <v>-6.8899999999999999E-7</v>
      </c>
      <c r="C44" s="8" t="s">
        <v>48</v>
      </c>
      <c r="D44" s="8" t="s">
        <v>24</v>
      </c>
      <c r="F44" s="8" t="s">
        <v>17</v>
      </c>
      <c r="K44" s="8" t="s">
        <v>70</v>
      </c>
    </row>
    <row r="45" spans="1:11" s="8" customFormat="1" x14ac:dyDescent="0.2">
      <c r="A45" s="8" t="s">
        <v>81</v>
      </c>
      <c r="B45" s="9">
        <f>(B34-1)*3.14</f>
        <v>1.7897999999998727E-3</v>
      </c>
      <c r="D45" s="8" t="s">
        <v>6</v>
      </c>
      <c r="E45" s="8" t="s">
        <v>20</v>
      </c>
      <c r="F45" s="8" t="s">
        <v>21</v>
      </c>
    </row>
    <row r="46" spans="1:11" s="8" customFormat="1" ht="16" x14ac:dyDescent="0.2">
      <c r="A46" s="10"/>
      <c r="B46" s="13"/>
      <c r="G46" s="10"/>
    </row>
    <row r="47" spans="1:11" s="8" customFormat="1" ht="16" x14ac:dyDescent="0.2">
      <c r="A47" s="6" t="s">
        <v>0</v>
      </c>
      <c r="B47" s="6" t="s">
        <v>78</v>
      </c>
    </row>
    <row r="48" spans="1:11" s="8" customFormat="1" x14ac:dyDescent="0.2">
      <c r="A48" s="8" t="s">
        <v>7</v>
      </c>
      <c r="B48" s="8" t="s">
        <v>8</v>
      </c>
    </row>
    <row r="49" spans="1:11" s="8" customFormat="1" x14ac:dyDescent="0.2">
      <c r="A49" s="8" t="s">
        <v>1</v>
      </c>
      <c r="B49" s="8">
        <v>1</v>
      </c>
    </row>
    <row r="50" spans="1:11" s="8" customFormat="1" ht="16" x14ac:dyDescent="0.2">
      <c r="A50" s="8" t="s">
        <v>2</v>
      </c>
      <c r="B50" s="10" t="s">
        <v>73</v>
      </c>
    </row>
    <row r="51" spans="1:11" s="8" customFormat="1" x14ac:dyDescent="0.2">
      <c r="A51" s="8" t="s">
        <v>3</v>
      </c>
      <c r="B51" s="8" t="s">
        <v>4</v>
      </c>
    </row>
    <row r="52" spans="1:11" s="8" customFormat="1" x14ac:dyDescent="0.2">
      <c r="A52" s="8" t="s">
        <v>5</v>
      </c>
      <c r="B52" s="8" t="s">
        <v>6</v>
      </c>
    </row>
    <row r="53" spans="1:11" s="8" customFormat="1" ht="16" x14ac:dyDescent="0.2">
      <c r="A53" s="6" t="s">
        <v>10</v>
      </c>
    </row>
    <row r="54" spans="1:11" s="8" customFormat="1" x14ac:dyDescent="0.2">
      <c r="A54" s="8" t="s">
        <v>11</v>
      </c>
      <c r="B54" s="8" t="s">
        <v>12</v>
      </c>
      <c r="C54" s="8" t="s">
        <v>7</v>
      </c>
      <c r="D54" s="8" t="s">
        <v>5</v>
      </c>
      <c r="E54" s="8" t="s">
        <v>13</v>
      </c>
      <c r="F54" s="8" t="s">
        <v>3</v>
      </c>
      <c r="G54" s="8" t="s">
        <v>49</v>
      </c>
      <c r="H54" s="8" t="s">
        <v>50</v>
      </c>
      <c r="I54" s="8" t="s">
        <v>51</v>
      </c>
      <c r="J54" s="8" t="s">
        <v>9</v>
      </c>
      <c r="K54" s="8" t="s">
        <v>2</v>
      </c>
    </row>
    <row r="55" spans="1:11" s="8" customFormat="1" ht="16" x14ac:dyDescent="0.2">
      <c r="A55" s="8" t="s">
        <v>78</v>
      </c>
      <c r="B55" s="8">
        <v>1</v>
      </c>
      <c r="C55" s="8" t="s">
        <v>8</v>
      </c>
      <c r="D55" s="8" t="s">
        <v>6</v>
      </c>
      <c r="F55" s="8" t="s">
        <v>15</v>
      </c>
      <c r="I55" s="8">
        <v>100</v>
      </c>
      <c r="J55" s="8" t="s">
        <v>52</v>
      </c>
      <c r="K55" s="10" t="s">
        <v>73</v>
      </c>
    </row>
    <row r="56" spans="1:11" s="8" customFormat="1" x14ac:dyDescent="0.2">
      <c r="A56" s="8" t="s">
        <v>88</v>
      </c>
      <c r="B56" s="8">
        <v>1.00057</v>
      </c>
      <c r="C56" s="8" t="s">
        <v>8</v>
      </c>
      <c r="D56" s="8" t="s">
        <v>6</v>
      </c>
      <c r="F56" s="8" t="s">
        <v>17</v>
      </c>
      <c r="K56" s="8" t="s">
        <v>73</v>
      </c>
    </row>
    <row r="57" spans="1:11" s="8" customFormat="1" x14ac:dyDescent="0.2">
      <c r="A57" s="8" t="s">
        <v>26</v>
      </c>
      <c r="B57" s="8">
        <v>6.7000000000000002E-3</v>
      </c>
      <c r="C57" s="8" t="s">
        <v>8</v>
      </c>
      <c r="D57" s="8" t="s">
        <v>27</v>
      </c>
      <c r="F57" s="8" t="s">
        <v>17</v>
      </c>
      <c r="K57" s="8" t="s">
        <v>28</v>
      </c>
    </row>
    <row r="58" spans="1:11" s="8" customFormat="1" x14ac:dyDescent="0.2">
      <c r="A58" s="8" t="s">
        <v>53</v>
      </c>
      <c r="B58" s="9">
        <v>1.8499999999999999E-5</v>
      </c>
      <c r="C58" s="8" t="s">
        <v>48</v>
      </c>
      <c r="D58" s="8" t="s">
        <v>6</v>
      </c>
      <c r="F58" s="8" t="s">
        <v>17</v>
      </c>
      <c r="K58" s="8" t="s">
        <v>54</v>
      </c>
    </row>
    <row r="59" spans="1:11" s="8" customFormat="1" x14ac:dyDescent="0.2">
      <c r="A59" s="8" t="s">
        <v>55</v>
      </c>
      <c r="B59" s="9">
        <v>5.8399999999999999E-4</v>
      </c>
      <c r="C59" s="8" t="s">
        <v>47</v>
      </c>
      <c r="D59" s="8" t="s">
        <v>19</v>
      </c>
      <c r="F59" s="8" t="s">
        <v>17</v>
      </c>
      <c r="K59" s="8" t="s">
        <v>56</v>
      </c>
    </row>
    <row r="60" spans="1:11" s="8" customFormat="1" x14ac:dyDescent="0.2">
      <c r="A60" s="8" t="s">
        <v>57</v>
      </c>
      <c r="B60" s="9">
        <v>1.04E-10</v>
      </c>
      <c r="C60" s="8" t="s">
        <v>8</v>
      </c>
      <c r="D60" s="8" t="s">
        <v>5</v>
      </c>
      <c r="F60" s="8" t="s">
        <v>17</v>
      </c>
      <c r="K60" s="8" t="s">
        <v>58</v>
      </c>
    </row>
    <row r="61" spans="1:11" s="8" customFormat="1" x14ac:dyDescent="0.2">
      <c r="A61" s="8" t="s">
        <v>59</v>
      </c>
      <c r="B61" s="9">
        <v>-6.2700000000000001E-6</v>
      </c>
      <c r="C61" s="8" t="s">
        <v>47</v>
      </c>
      <c r="D61" s="8" t="s">
        <v>6</v>
      </c>
      <c r="F61" s="8" t="s">
        <v>17</v>
      </c>
      <c r="K61" s="8" t="s">
        <v>60</v>
      </c>
    </row>
    <row r="62" spans="1:11" s="8" customFormat="1" x14ac:dyDescent="0.2">
      <c r="A62" s="8" t="s">
        <v>61</v>
      </c>
      <c r="B62" s="9">
        <v>-5.0000000000000002E-5</v>
      </c>
      <c r="C62" s="8" t="s">
        <v>48</v>
      </c>
      <c r="D62" s="12" t="s">
        <v>24</v>
      </c>
      <c r="F62" s="8" t="s">
        <v>17</v>
      </c>
      <c r="K62" s="8" t="s">
        <v>62</v>
      </c>
    </row>
    <row r="63" spans="1:11" s="8" customFormat="1" x14ac:dyDescent="0.2">
      <c r="A63" s="8" t="s">
        <v>63</v>
      </c>
      <c r="B63" s="9">
        <v>6.8900000000000005E-4</v>
      </c>
      <c r="C63" s="8" t="s">
        <v>48</v>
      </c>
      <c r="D63" s="8" t="s">
        <v>6</v>
      </c>
      <c r="F63" s="8" t="s">
        <v>17</v>
      </c>
      <c r="K63" s="8" t="s">
        <v>64</v>
      </c>
    </row>
    <row r="64" spans="1:11" s="8" customFormat="1" x14ac:dyDescent="0.2">
      <c r="A64" s="8" t="s">
        <v>65</v>
      </c>
      <c r="B64" s="8">
        <v>3.3599999999999998E-2</v>
      </c>
      <c r="C64" s="8" t="s">
        <v>48</v>
      </c>
      <c r="D64" s="8" t="s">
        <v>66</v>
      </c>
      <c r="F64" s="8" t="s">
        <v>17</v>
      </c>
      <c r="K64" s="8" t="s">
        <v>67</v>
      </c>
    </row>
    <row r="65" spans="1:11" s="8" customFormat="1" x14ac:dyDescent="0.2">
      <c r="A65" s="8" t="s">
        <v>68</v>
      </c>
      <c r="B65" s="8">
        <v>3.2599999999999997E-2</v>
      </c>
      <c r="C65" s="8" t="s">
        <v>8</v>
      </c>
      <c r="D65" s="8" t="s">
        <v>66</v>
      </c>
      <c r="F65" s="8" t="s">
        <v>17</v>
      </c>
      <c r="K65" s="8" t="s">
        <v>69</v>
      </c>
    </row>
    <row r="66" spans="1:11" s="8" customFormat="1" x14ac:dyDescent="0.2">
      <c r="A66" s="8" t="s">
        <v>72</v>
      </c>
      <c r="B66" s="9">
        <v>-6.8899999999999999E-7</v>
      </c>
      <c r="C66" s="8" t="s">
        <v>48</v>
      </c>
      <c r="D66" s="8" t="s">
        <v>24</v>
      </c>
      <c r="F66" s="8" t="s">
        <v>17</v>
      </c>
      <c r="K66" s="8" t="s">
        <v>70</v>
      </c>
    </row>
    <row r="67" spans="1:11" s="8" customFormat="1" x14ac:dyDescent="0.2">
      <c r="A67" s="8" t="s">
        <v>81</v>
      </c>
      <c r="B67" s="9">
        <f>(B56-1)*3.14</f>
        <v>1.7897999999998727E-3</v>
      </c>
      <c r="D67" s="8" t="s">
        <v>6</v>
      </c>
      <c r="E67" s="8" t="s">
        <v>20</v>
      </c>
      <c r="F67" s="8" t="s">
        <v>21</v>
      </c>
    </row>
    <row r="68" spans="1:11" s="8" customFormat="1" ht="16" x14ac:dyDescent="0.2">
      <c r="A68" s="10"/>
      <c r="B68" s="13"/>
      <c r="G68" s="10"/>
    </row>
    <row r="69" spans="1:11" s="8" customFormat="1" ht="16" x14ac:dyDescent="0.2">
      <c r="A69" s="6" t="s">
        <v>0</v>
      </c>
      <c r="B69" s="6" t="s">
        <v>79</v>
      </c>
    </row>
    <row r="70" spans="1:11" s="8" customFormat="1" x14ac:dyDescent="0.2">
      <c r="A70" s="8" t="s">
        <v>7</v>
      </c>
      <c r="B70" s="8" t="s">
        <v>8</v>
      </c>
    </row>
    <row r="71" spans="1:11" s="8" customFormat="1" x14ac:dyDescent="0.2">
      <c r="A71" s="8" t="s">
        <v>1</v>
      </c>
      <c r="B71" s="8">
        <v>1</v>
      </c>
    </row>
    <row r="72" spans="1:11" s="8" customFormat="1" ht="16" x14ac:dyDescent="0.2">
      <c r="A72" s="8" t="s">
        <v>2</v>
      </c>
      <c r="B72" s="10" t="s">
        <v>71</v>
      </c>
    </row>
    <row r="73" spans="1:11" s="8" customFormat="1" x14ac:dyDescent="0.2">
      <c r="A73" s="8" t="s">
        <v>3</v>
      </c>
      <c r="B73" s="8" t="s">
        <v>4</v>
      </c>
    </row>
    <row r="74" spans="1:11" s="8" customFormat="1" x14ac:dyDescent="0.2">
      <c r="A74" s="8" t="s">
        <v>5</v>
      </c>
      <c r="B74" s="8" t="s">
        <v>6</v>
      </c>
    </row>
    <row r="75" spans="1:11" s="8" customFormat="1" ht="16" x14ac:dyDescent="0.2">
      <c r="A75" s="6" t="s">
        <v>10</v>
      </c>
    </row>
    <row r="76" spans="1:11" s="8" customFormat="1" x14ac:dyDescent="0.2">
      <c r="A76" s="8" t="s">
        <v>11</v>
      </c>
      <c r="B76" s="8" t="s">
        <v>12</v>
      </c>
      <c r="C76" s="8" t="s">
        <v>7</v>
      </c>
      <c r="D76" s="8" t="s">
        <v>5</v>
      </c>
      <c r="E76" s="8" t="s">
        <v>13</v>
      </c>
      <c r="F76" s="8" t="s">
        <v>3</v>
      </c>
      <c r="G76" s="8" t="s">
        <v>49</v>
      </c>
      <c r="H76" s="8" t="s">
        <v>50</v>
      </c>
      <c r="I76" s="8" t="s">
        <v>51</v>
      </c>
      <c r="J76" s="8" t="s">
        <v>9</v>
      </c>
      <c r="K76" s="8" t="s">
        <v>2</v>
      </c>
    </row>
    <row r="77" spans="1:11" s="8" customFormat="1" ht="16" x14ac:dyDescent="0.2">
      <c r="A77" s="8" t="s">
        <v>79</v>
      </c>
      <c r="B77" s="8">
        <v>1</v>
      </c>
      <c r="C77" s="8" t="s">
        <v>8</v>
      </c>
      <c r="D77" s="8" t="s">
        <v>6</v>
      </c>
      <c r="F77" s="8" t="s">
        <v>15</v>
      </c>
      <c r="I77" s="8">
        <v>100</v>
      </c>
      <c r="J77" s="8" t="s">
        <v>52</v>
      </c>
      <c r="K77" s="10" t="s">
        <v>71</v>
      </c>
    </row>
    <row r="78" spans="1:11" s="8" customFormat="1" x14ac:dyDescent="0.2">
      <c r="A78" s="8" t="s">
        <v>89</v>
      </c>
      <c r="B78" s="8">
        <v>1.00057</v>
      </c>
      <c r="C78" s="8" t="s">
        <v>8</v>
      </c>
      <c r="D78" s="8" t="s">
        <v>6</v>
      </c>
      <c r="F78" s="8" t="s">
        <v>17</v>
      </c>
      <c r="K78" s="8" t="s">
        <v>87</v>
      </c>
    </row>
    <row r="79" spans="1:11" s="8" customFormat="1" x14ac:dyDescent="0.2">
      <c r="A79" s="8" t="s">
        <v>26</v>
      </c>
      <c r="B79" s="8">
        <v>6.7000000000000002E-3</v>
      </c>
      <c r="C79" s="8" t="s">
        <v>8</v>
      </c>
      <c r="D79" s="8" t="s">
        <v>27</v>
      </c>
      <c r="F79" s="8" t="s">
        <v>17</v>
      </c>
      <c r="K79" s="8" t="s">
        <v>28</v>
      </c>
    </row>
    <row r="80" spans="1:11" s="8" customFormat="1" x14ac:dyDescent="0.2">
      <c r="A80" s="8" t="s">
        <v>53</v>
      </c>
      <c r="B80" s="8">
        <v>-1.6799999999999999E-4</v>
      </c>
      <c r="C80" s="8" t="s">
        <v>48</v>
      </c>
      <c r="D80" s="8" t="s">
        <v>6</v>
      </c>
      <c r="F80" s="8" t="s">
        <v>17</v>
      </c>
      <c r="K80" s="8" t="s">
        <v>54</v>
      </c>
    </row>
    <row r="81" spans="1:11" s="8" customFormat="1" x14ac:dyDescent="0.2">
      <c r="A81" s="8" t="s">
        <v>55</v>
      </c>
      <c r="B81" s="9">
        <v>5.8399999999999999E-4</v>
      </c>
      <c r="C81" s="8" t="s">
        <v>47</v>
      </c>
      <c r="D81" s="8" t="s">
        <v>19</v>
      </c>
      <c r="F81" s="8" t="s">
        <v>17</v>
      </c>
      <c r="K81" s="8" t="s">
        <v>56</v>
      </c>
    </row>
    <row r="82" spans="1:11" s="8" customFormat="1" x14ac:dyDescent="0.2">
      <c r="A82" s="8" t="s">
        <v>57</v>
      </c>
      <c r="B82" s="9">
        <v>2.5999999999999998E-10</v>
      </c>
      <c r="C82" s="8" t="s">
        <v>8</v>
      </c>
      <c r="D82" s="8" t="s">
        <v>5</v>
      </c>
      <c r="F82" s="8" t="s">
        <v>17</v>
      </c>
      <c r="K82" s="8" t="s">
        <v>58</v>
      </c>
    </row>
    <row r="83" spans="1:11" s="8" customFormat="1" x14ac:dyDescent="0.2">
      <c r="A83" s="8" t="s">
        <v>59</v>
      </c>
      <c r="B83" s="9">
        <v>-6.2700000000000001E-6</v>
      </c>
      <c r="C83" s="8" t="s">
        <v>47</v>
      </c>
      <c r="D83" s="8" t="s">
        <v>6</v>
      </c>
      <c r="F83" s="8" t="s">
        <v>17</v>
      </c>
      <c r="K83" s="8" t="s">
        <v>60</v>
      </c>
    </row>
    <row r="84" spans="1:11" s="8" customFormat="1" x14ac:dyDescent="0.2">
      <c r="A84" s="8" t="s">
        <v>61</v>
      </c>
      <c r="B84" s="9">
        <v>-7.4999999999999993E-5</v>
      </c>
      <c r="C84" s="8" t="s">
        <v>48</v>
      </c>
      <c r="D84" s="12" t="s">
        <v>24</v>
      </c>
      <c r="F84" s="8" t="s">
        <v>17</v>
      </c>
      <c r="K84" s="8" t="s">
        <v>62</v>
      </c>
    </row>
    <row r="85" spans="1:11" s="8" customFormat="1" x14ac:dyDescent="0.2">
      <c r="A85" s="8" t="s">
        <v>63</v>
      </c>
      <c r="B85" s="9">
        <v>6.8900000000000005E-4</v>
      </c>
      <c r="C85" s="8" t="s">
        <v>48</v>
      </c>
      <c r="D85" s="8" t="s">
        <v>6</v>
      </c>
      <c r="F85" s="8" t="s">
        <v>17</v>
      </c>
      <c r="K85" s="8" t="s">
        <v>64</v>
      </c>
    </row>
    <row r="86" spans="1:11" s="8" customFormat="1" x14ac:dyDescent="0.2">
      <c r="A86" s="8" t="s">
        <v>65</v>
      </c>
      <c r="B86" s="8">
        <v>3.3599999999999998E-2</v>
      </c>
      <c r="C86" s="8" t="s">
        <v>48</v>
      </c>
      <c r="D86" s="8" t="s">
        <v>66</v>
      </c>
      <c r="F86" s="8" t="s">
        <v>17</v>
      </c>
      <c r="K86" s="8" t="s">
        <v>67</v>
      </c>
    </row>
    <row r="87" spans="1:11" s="8" customFormat="1" x14ac:dyDescent="0.2">
      <c r="A87" s="8" t="s">
        <v>68</v>
      </c>
      <c r="B87" s="8">
        <v>3.2599999999999997E-2</v>
      </c>
      <c r="C87" s="8" t="s">
        <v>8</v>
      </c>
      <c r="D87" s="8" t="s">
        <v>66</v>
      </c>
      <c r="F87" s="8" t="s">
        <v>17</v>
      </c>
      <c r="K87" s="8" t="s">
        <v>69</v>
      </c>
    </row>
    <row r="88" spans="1:11" s="8" customFormat="1" x14ac:dyDescent="0.2">
      <c r="A88" s="8" t="s">
        <v>72</v>
      </c>
      <c r="B88" s="9">
        <v>-6.8899999999999999E-7</v>
      </c>
      <c r="C88" s="8" t="s">
        <v>48</v>
      </c>
      <c r="D88" s="8" t="s">
        <v>24</v>
      </c>
      <c r="F88" s="8" t="s">
        <v>17</v>
      </c>
      <c r="K88" s="8" t="s">
        <v>70</v>
      </c>
    </row>
    <row r="89" spans="1:11" s="8" customFormat="1" x14ac:dyDescent="0.2">
      <c r="A89" s="8" t="s">
        <v>81</v>
      </c>
      <c r="B89" s="9">
        <f>(B78-1)*3.14</f>
        <v>1.7897999999998727E-3</v>
      </c>
      <c r="D89" s="8" t="s">
        <v>6</v>
      </c>
      <c r="E89" s="8" t="s">
        <v>20</v>
      </c>
      <c r="F89" s="8" t="s">
        <v>21</v>
      </c>
    </row>
    <row r="90" spans="1:11" s="8" customFormat="1" ht="16" x14ac:dyDescent="0.2">
      <c r="A90" s="10"/>
      <c r="B90" s="13"/>
      <c r="G90" s="10"/>
    </row>
    <row r="91" spans="1:11" s="8" customFormat="1" ht="16" x14ac:dyDescent="0.2">
      <c r="A91" s="6" t="s">
        <v>0</v>
      </c>
      <c r="B91" s="7" t="s">
        <v>85</v>
      </c>
    </row>
    <row r="92" spans="1:11" s="8" customFormat="1" x14ac:dyDescent="0.2">
      <c r="A92" s="8" t="s">
        <v>1</v>
      </c>
      <c r="B92" s="8">
        <v>1</v>
      </c>
    </row>
    <row r="93" spans="1:11" s="8" customFormat="1" x14ac:dyDescent="0.2">
      <c r="A93" s="8" t="s">
        <v>2</v>
      </c>
      <c r="B93" s="8" t="s">
        <v>73</v>
      </c>
    </row>
    <row r="94" spans="1:11" s="8" customFormat="1" x14ac:dyDescent="0.2">
      <c r="A94" s="8" t="s">
        <v>3</v>
      </c>
      <c r="B94" s="8" t="s">
        <v>4</v>
      </c>
    </row>
    <row r="95" spans="1:11" s="8" customFormat="1" x14ac:dyDescent="0.2">
      <c r="A95" s="8" t="s">
        <v>5</v>
      </c>
      <c r="B95" s="8" t="s">
        <v>6</v>
      </c>
    </row>
    <row r="96" spans="1:11" s="8" customFormat="1" x14ac:dyDescent="0.2">
      <c r="A96" s="8" t="s">
        <v>7</v>
      </c>
      <c r="B96" s="8" t="s">
        <v>8</v>
      </c>
    </row>
    <row r="97" spans="1:9" s="8" customFormat="1" x14ac:dyDescent="0.2">
      <c r="A97" s="8" t="s">
        <v>9</v>
      </c>
      <c r="B97"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Economic allocation between 3 other co-products. Allocation key for this co-product: 6%.</t>
        </is>
      </c>
    </row>
    <row r="98" spans="1:9" s="8" customFormat="1" x14ac:dyDescent="0.2">
      <c r="A98" s="8" t="s">
        <v>33</v>
      </c>
      <c r="B98" s="8" t="s">
        <v>34</v>
      </c>
    </row>
    <row r="99" spans="1:9" s="8" customFormat="1" ht="16" x14ac:dyDescent="0.2">
      <c r="A99" s="6" t="s">
        <v>10</v>
      </c>
    </row>
    <row r="100" spans="1:9" s="8" customFormat="1" x14ac:dyDescent="0.2">
      <c r="A100" s="8" t="s">
        <v>11</v>
      </c>
      <c r="B100" s="8" t="s">
        <v>12</v>
      </c>
      <c r="C100" s="8" t="s">
        <v>7</v>
      </c>
      <c r="D100" s="8" t="s">
        <v>5</v>
      </c>
      <c r="E100" s="8" t="s">
        <v>13</v>
      </c>
      <c r="F100" s="8" t="s">
        <v>3</v>
      </c>
      <c r="G100" s="8" t="s">
        <v>2</v>
      </c>
      <c r="H100" s="8" t="s">
        <v>14</v>
      </c>
      <c r="I100" s="8" t="s">
        <v>9</v>
      </c>
    </row>
    <row r="101" spans="1:9" s="8" customFormat="1" x14ac:dyDescent="0.2">
      <c r="A101" s="8" t="s">
        <v>85</v>
      </c>
      <c r="B101" s="8">
        <v>1</v>
      </c>
      <c r="C101" s="8" t="s">
        <v>8</v>
      </c>
      <c r="D101" s="8" t="s">
        <v>6</v>
      </c>
      <c r="F101" s="8" t="s">
        <v>15</v>
      </c>
      <c r="G101" s="8" t="s">
        <v>73</v>
      </c>
      <c r="H101" s="8" t="s">
        <v>35</v>
      </c>
      <c r="I101" s="8" t="s">
        <v>16</v>
      </c>
    </row>
    <row r="102" spans="1:9" s="8" customFormat="1" x14ac:dyDescent="0.2">
      <c r="A102" s="8" t="s">
        <v>90</v>
      </c>
      <c r="B102" s="8">
        <v>0.73</v>
      </c>
      <c r="C102" s="8" t="s">
        <v>8</v>
      </c>
      <c r="D102" s="8" t="s">
        <v>6</v>
      </c>
      <c r="F102" s="8" t="s">
        <v>17</v>
      </c>
      <c r="G102" s="8" t="s">
        <v>91</v>
      </c>
      <c r="H102" s="8" t="s">
        <v>35</v>
      </c>
    </row>
    <row r="103" spans="1:9" s="8" customFormat="1" x14ac:dyDescent="0.2">
      <c r="A103" s="8" t="s">
        <v>18</v>
      </c>
      <c r="B103" s="8">
        <f>3.64160231884058*0.06</f>
        <v>0.21849613913043478</v>
      </c>
      <c r="D103" s="8" t="s">
        <v>19</v>
      </c>
      <c r="E103" s="8" t="s">
        <v>20</v>
      </c>
      <c r="F103" s="8" t="s">
        <v>21</v>
      </c>
      <c r="H103" s="8" t="s">
        <v>22</v>
      </c>
    </row>
    <row r="104" spans="1:9" s="8" customFormat="1" x14ac:dyDescent="0.2">
      <c r="A104" s="8" t="s">
        <v>23</v>
      </c>
      <c r="B104" s="8">
        <f>0.00107549913043478*0.06</f>
        <v>6.45299478260868E-5</v>
      </c>
      <c r="D104" s="8" t="s">
        <v>24</v>
      </c>
      <c r="E104" s="8" t="s">
        <v>25</v>
      </c>
      <c r="F104" s="8" t="s">
        <v>21</v>
      </c>
      <c r="H104" s="8" t="s">
        <v>22</v>
      </c>
    </row>
    <row r="105" spans="1:9" s="8" customFormat="1" x14ac:dyDescent="0.2">
      <c r="A105" s="8" t="s">
        <v>36</v>
      </c>
      <c r="B105" s="9">
        <v>6.172839506172839e-12</v>
      </c>
      <c r="C105" s="8" t="s">
        <v>31</v>
      </c>
      <c r="D105" s="8" t="s">
        <v>5</v>
      </c>
      <c r="F105" s="8" t="s">
        <v>17</v>
      </c>
      <c r="G105" s="8" t="s">
        <v>37</v>
      </c>
      <c r="H105" s="8" t="s">
        <v>35</v>
      </c>
    </row>
    <row r="106" spans="1:9" s="8" customFormat="1" x14ac:dyDescent="0.2">
      <c r="A106" s="8" t="s">
        <v>26</v>
      </c>
      <c r="B106" s="9">
        <f>0.0872420618556701*0.06</f>
        <v>5.234523711340206E-3</v>
      </c>
      <c r="C106" s="8" t="s">
        <v>8</v>
      </c>
      <c r="D106" s="8" t="s">
        <v>27</v>
      </c>
      <c r="F106" s="8" t="s">
        <v>17</v>
      </c>
      <c r="G106" s="8" t="s">
        <v>28</v>
      </c>
      <c r="H106" s="8" t="s">
        <v>29</v>
      </c>
    </row>
    <row r="107" spans="1:9" s="8" customFormat="1" x14ac:dyDescent="0.2">
      <c r="A107" s="8" t="s">
        <v>82</v>
      </c>
      <c r="B107" s="8">
        <v>2</v>
      </c>
      <c r="D107" s="8" t="s">
        <v>6</v>
      </c>
      <c r="E107" s="8" t="s">
        <v>80</v>
      </c>
      <c r="F107" s="8" t="s">
        <v>21</v>
      </c>
      <c r="H107" s="8" t="s">
        <v>22</v>
      </c>
    </row>
    <row r="108" spans="1:9" s="8" customFormat="1" x14ac:dyDescent="0.2"/>
    <row r="109" spans="1:9" s="8" customFormat="1" ht="16" x14ac:dyDescent="0.2">
      <c r="A109" s="6" t="s">
        <v>0</v>
      </c>
      <c r="B109" s="7" t="s">
        <v>92</v>
      </c>
    </row>
    <row r="110" spans="1:9" s="8" customFormat="1" x14ac:dyDescent="0.2">
      <c r="A110" s="8" t="s">
        <v>1</v>
      </c>
      <c r="B110" s="8">
        <v>1</v>
      </c>
    </row>
    <row r="111" spans="1:9" s="8" customFormat="1" x14ac:dyDescent="0.2">
      <c r="A111" s="8" t="s">
        <v>2</v>
      </c>
      <c r="B111" s="8" t="s">
        <v>93</v>
      </c>
    </row>
    <row r="112" spans="1:9" s="8" customFormat="1" x14ac:dyDescent="0.2">
      <c r="A112" s="8" t="s">
        <v>3</v>
      </c>
      <c r="B112" s="8" t="s">
        <v>4</v>
      </c>
    </row>
    <row r="113" spans="1:9" s="8" customFormat="1" x14ac:dyDescent="0.2">
      <c r="A113" s="8" t="s">
        <v>5</v>
      </c>
      <c r="B113" s="8" t="s">
        <v>6</v>
      </c>
    </row>
    <row r="114" spans="1:9" s="8" customFormat="1" x14ac:dyDescent="0.2">
      <c r="A114" s="8" t="s">
        <v>7</v>
      </c>
      <c r="B114" s="8" t="s">
        <v>8</v>
      </c>
    </row>
    <row r="115" spans="1:9" s="8" customFormat="1" x14ac:dyDescent="0.2">
      <c r="A115" s="8" t="s">
        <v>9</v>
      </c>
      <c r="B115"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Economic allocation between 3 other co-products. Allocation key for this co-product: 7%.</t>
        </is>
      </c>
    </row>
    <row r="116" spans="1:9" s="8" customFormat="1" x14ac:dyDescent="0.2">
      <c r="A116" s="8" t="s">
        <v>33</v>
      </c>
      <c r="B116" s="8" t="s">
        <v>34</v>
      </c>
    </row>
    <row r="117" spans="1:9" s="8" customFormat="1" ht="16" x14ac:dyDescent="0.2">
      <c r="A117" s="6" t="s">
        <v>10</v>
      </c>
    </row>
    <row r="118" spans="1:9" s="8" customFormat="1" x14ac:dyDescent="0.2">
      <c r="A118" s="8" t="s">
        <v>11</v>
      </c>
      <c r="B118" s="8" t="s">
        <v>12</v>
      </c>
      <c r="C118" s="8" t="s">
        <v>7</v>
      </c>
      <c r="D118" s="8" t="s">
        <v>5</v>
      </c>
      <c r="E118" s="8" t="s">
        <v>13</v>
      </c>
      <c r="F118" s="8" t="s">
        <v>3</v>
      </c>
      <c r="G118" s="8" t="s">
        <v>2</v>
      </c>
      <c r="H118" s="8" t="s">
        <v>14</v>
      </c>
      <c r="I118" s="8" t="s">
        <v>9</v>
      </c>
    </row>
    <row r="119" spans="1:9" s="8" customFormat="1" x14ac:dyDescent="0.2">
      <c r="A119" s="8" t="s">
        <v>92</v>
      </c>
      <c r="B119" s="8">
        <v>1</v>
      </c>
      <c r="C119" s="8" t="s">
        <v>8</v>
      </c>
      <c r="D119" s="8" t="s">
        <v>6</v>
      </c>
      <c r="F119" s="8" t="s">
        <v>15</v>
      </c>
      <c r="G119" s="8" t="s">
        <v>93</v>
      </c>
      <c r="H119" s="8" t="s">
        <v>35</v>
      </c>
    </row>
    <row r="120" spans="1:9" s="8" customFormat="1" x14ac:dyDescent="0.2">
      <c r="A120" s="8" t="s">
        <v>90</v>
      </c>
      <c r="B120" s="8">
        <v>0.65</v>
      </c>
      <c r="C120" s="8" t="s">
        <v>8</v>
      </c>
      <c r="D120" s="8" t="s">
        <v>6</v>
      </c>
      <c r="F120" s="8" t="s">
        <v>17</v>
      </c>
      <c r="G120" s="8" t="s">
        <v>91</v>
      </c>
      <c r="H120" s="8" t="s">
        <v>35</v>
      </c>
    </row>
    <row r="121" spans="1:9" s="8" customFormat="1" x14ac:dyDescent="0.2">
      <c r="A121" s="8" t="s">
        <v>18</v>
      </c>
      <c r="B121" s="8">
        <f>3.64160231884058*0.07</f>
        <v>0.25491216231884062</v>
      </c>
      <c r="D121" s="8" t="s">
        <v>19</v>
      </c>
      <c r="E121" s="8" t="s">
        <v>20</v>
      </c>
      <c r="F121" s="8" t="s">
        <v>21</v>
      </c>
      <c r="H121" s="8" t="s">
        <v>22</v>
      </c>
    </row>
    <row r="122" spans="1:9" s="8" customFormat="1" x14ac:dyDescent="0.2">
      <c r="A122" s="8" t="s">
        <v>23</v>
      </c>
      <c r="B122" s="8">
        <f>0.00107549913043478*0.07</f>
        <v>7.5284939130434612E-5</v>
      </c>
      <c r="D122" s="8" t="s">
        <v>24</v>
      </c>
      <c r="E122" s="8" t="s">
        <v>25</v>
      </c>
      <c r="F122" s="8" t="s">
        <v>21</v>
      </c>
      <c r="H122" s="8" t="s">
        <v>22</v>
      </c>
    </row>
    <row r="123" spans="1:9" s="8" customFormat="1" x14ac:dyDescent="0.2">
      <c r="A123" s="8" t="s">
        <v>36</v>
      </c>
      <c r="B123" s="9">
        <v>6.172839506172839e-12</v>
      </c>
      <c r="C123" s="8" t="s">
        <v>31</v>
      </c>
      <c r="D123" s="8" t="s">
        <v>5</v>
      </c>
      <c r="F123" s="8" t="s">
        <v>17</v>
      </c>
      <c r="G123" s="8" t="s">
        <v>37</v>
      </c>
      <c r="H123" s="8" t="s">
        <v>35</v>
      </c>
    </row>
    <row r="124" spans="1:9" s="8" customFormat="1" x14ac:dyDescent="0.2">
      <c r="A124" s="8" t="s">
        <v>26</v>
      </c>
      <c r="B124" s="9">
        <f>0.0872420618556701*0.07</f>
        <v>6.106944329896908E-3</v>
      </c>
      <c r="C124" s="8" t="s">
        <v>8</v>
      </c>
      <c r="D124" s="8" t="s">
        <v>27</v>
      </c>
      <c r="F124" s="8" t="s">
        <v>17</v>
      </c>
      <c r="G124" s="8" t="s">
        <v>28</v>
      </c>
      <c r="H124" s="8" t="s">
        <v>29</v>
      </c>
    </row>
    <row r="125" spans="1:9" s="8" customFormat="1" x14ac:dyDescent="0.2">
      <c r="A125" s="8" t="s">
        <v>82</v>
      </c>
      <c r="B125" s="8">
        <v>2.48</v>
      </c>
      <c r="D125" s="8" t="s">
        <v>6</v>
      </c>
      <c r="E125" s="8" t="s">
        <v>80</v>
      </c>
      <c r="F125" s="8" t="s">
        <v>21</v>
      </c>
      <c r="H125" s="8" t="s">
        <v>22</v>
      </c>
    </row>
    <row r="126" spans="1:9" s="8" customFormat="1" x14ac:dyDescent="0.2"/>
    <row r="127" spans="1:9" s="8" customFormat="1" ht="16" x14ac:dyDescent="0.2">
      <c r="A127" s="6" t="s">
        <v>0</v>
      </c>
      <c r="B127" s="7" t="s">
        <v>86</v>
      </c>
    </row>
    <row r="128" spans="1:9" s="8" customFormat="1" x14ac:dyDescent="0.2">
      <c r="A128" s="8" t="s">
        <v>1</v>
      </c>
      <c r="B128" s="8">
        <v>1</v>
      </c>
    </row>
    <row r="129" spans="1:9" s="8" customFormat="1" x14ac:dyDescent="0.2">
      <c r="A129" s="8" t="s">
        <v>2</v>
      </c>
      <c r="B129" s="8" t="s">
        <v>87</v>
      </c>
    </row>
    <row r="130" spans="1:9" s="8" customFormat="1" x14ac:dyDescent="0.2">
      <c r="A130" s="8" t="s">
        <v>3</v>
      </c>
      <c r="B130" s="8" t="s">
        <v>4</v>
      </c>
    </row>
    <row r="131" spans="1:9" s="8" customFormat="1" x14ac:dyDescent="0.2">
      <c r="A131" s="8" t="s">
        <v>5</v>
      </c>
      <c r="B131" s="8" t="s">
        <v>6</v>
      </c>
    </row>
    <row r="132" spans="1:9" s="8" customFormat="1" x14ac:dyDescent="0.2">
      <c r="A132" s="8" t="s">
        <v>7</v>
      </c>
      <c r="B132" s="8" t="s">
        <v>8</v>
      </c>
    </row>
    <row r="133" spans="1:9" s="8" customFormat="1" x14ac:dyDescent="0.2">
      <c r="A133" s="8" t="s">
        <v>9</v>
      </c>
      <c r="B133"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Economic allocation between 3 other co-products. Allocation key for this co-product: 16%.</t>
        </is>
      </c>
    </row>
    <row r="134" spans="1:9" s="8" customFormat="1" x14ac:dyDescent="0.2">
      <c r="A134" s="8" t="s">
        <v>33</v>
      </c>
      <c r="B134" s="8" t="s">
        <v>34</v>
      </c>
    </row>
    <row r="135" spans="1:9" s="8" customFormat="1" ht="16" x14ac:dyDescent="0.2">
      <c r="A135" s="6" t="s">
        <v>10</v>
      </c>
    </row>
    <row r="136" spans="1:9" s="8" customFormat="1" x14ac:dyDescent="0.2">
      <c r="A136" s="8" t="s">
        <v>11</v>
      </c>
      <c r="B136" s="8" t="s">
        <v>12</v>
      </c>
      <c r="C136" s="8" t="s">
        <v>7</v>
      </c>
      <c r="D136" s="8" t="s">
        <v>5</v>
      </c>
      <c r="E136" s="8" t="s">
        <v>13</v>
      </c>
      <c r="F136" s="8" t="s">
        <v>3</v>
      </c>
      <c r="G136" s="8" t="s">
        <v>2</v>
      </c>
      <c r="H136" s="8" t="s">
        <v>14</v>
      </c>
      <c r="I136" s="8" t="s">
        <v>9</v>
      </c>
    </row>
    <row r="137" spans="1:9" s="8" customFormat="1" x14ac:dyDescent="0.2">
      <c r="A137" s="8" t="s">
        <v>86</v>
      </c>
      <c r="B137" s="8">
        <v>1</v>
      </c>
      <c r="C137" s="8" t="s">
        <v>8</v>
      </c>
      <c r="D137" s="8" t="s">
        <v>6</v>
      </c>
      <c r="F137" s="8" t="s">
        <v>15</v>
      </c>
      <c r="G137" s="8" t="s">
        <v>87</v>
      </c>
      <c r="H137" s="8" t="s">
        <v>35</v>
      </c>
      <c r="I137" s="8" t="s">
        <v>16</v>
      </c>
    </row>
    <row r="138" spans="1:9" s="8" customFormat="1" x14ac:dyDescent="0.2">
      <c r="A138" s="8" t="s">
        <v>90</v>
      </c>
      <c r="B138" s="8">
        <v>0.98</v>
      </c>
      <c r="C138" s="8" t="s">
        <v>8</v>
      </c>
      <c r="D138" s="8" t="s">
        <v>6</v>
      </c>
      <c r="F138" s="8" t="s">
        <v>17</v>
      </c>
      <c r="G138" s="8" t="s">
        <v>91</v>
      </c>
      <c r="H138" s="8" t="s">
        <v>35</v>
      </c>
    </row>
    <row r="139" spans="1:9" s="8" customFormat="1" x14ac:dyDescent="0.2">
      <c r="A139" s="8" t="s">
        <v>18</v>
      </c>
      <c r="B139" s="8">
        <f>3.64160231884058*0.16</f>
        <v>0.58265637101449286</v>
      </c>
      <c r="D139" s="8" t="s">
        <v>19</v>
      </c>
      <c r="E139" s="8" t="s">
        <v>20</v>
      </c>
      <c r="F139" s="8" t="s">
        <v>21</v>
      </c>
      <c r="H139" s="8" t="s">
        <v>22</v>
      </c>
    </row>
    <row r="140" spans="1:9" s="8" customFormat="1" x14ac:dyDescent="0.2">
      <c r="A140" s="8" t="s">
        <v>23</v>
      </c>
      <c r="B140" s="8">
        <f>0.00107549913043478*0.16</f>
        <v>1.7207986086956482E-4</v>
      </c>
      <c r="D140" s="8" t="s">
        <v>24</v>
      </c>
      <c r="E140" s="8" t="s">
        <v>25</v>
      </c>
      <c r="F140" s="8" t="s">
        <v>21</v>
      </c>
      <c r="H140" s="8" t="s">
        <v>22</v>
      </c>
    </row>
    <row r="141" spans="1:9" s="8" customFormat="1" x14ac:dyDescent="0.2">
      <c r="A141" s="8" t="s">
        <v>36</v>
      </c>
      <c r="B141" s="9">
        <v>6.172839506172839e-12</v>
      </c>
      <c r="C141" s="8" t="s">
        <v>31</v>
      </c>
      <c r="D141" s="8" t="s">
        <v>5</v>
      </c>
      <c r="F141" s="8" t="s">
        <v>17</v>
      </c>
      <c r="G141" s="8" t="s">
        <v>37</v>
      </c>
      <c r="H141" s="8" t="s">
        <v>35</v>
      </c>
    </row>
    <row r="142" spans="1:9" s="8" customFormat="1" x14ac:dyDescent="0.2">
      <c r="A142" s="8" t="s">
        <v>26</v>
      </c>
      <c r="B142" s="9">
        <f>0.0872420618556701*0.16</f>
        <v>1.3958729896907216E-2</v>
      </c>
      <c r="C142" s="8" t="s">
        <v>8</v>
      </c>
      <c r="D142" s="8" t="s">
        <v>27</v>
      </c>
      <c r="F142" s="8" t="s">
        <v>17</v>
      </c>
      <c r="G142" s="8" t="s">
        <v>28</v>
      </c>
      <c r="H142" s="8" t="s">
        <v>29</v>
      </c>
    </row>
    <row r="143" spans="1:9" s="8" customFormat="1" x14ac:dyDescent="0.2">
      <c r="A143" s="8" t="s">
        <v>82</v>
      </c>
      <c r="B143" s="8">
        <v>1.82</v>
      </c>
      <c r="D143" s="8" t="s">
        <v>6</v>
      </c>
      <c r="E143" s="8" t="s">
        <v>80</v>
      </c>
      <c r="F143" s="8" t="s">
        <v>21</v>
      </c>
      <c r="H143" s="8" t="s">
        <v>22</v>
      </c>
    </row>
    <row r="144" spans="1:9" s="8" customFormat="1" x14ac:dyDescent="0.2"/>
    <row r="145" spans="1:9" s="8" customFormat="1" ht="16" x14ac:dyDescent="0.2">
      <c r="A145" s="6" t="s">
        <v>0</v>
      </c>
      <c r="B145" s="7" t="s">
        <v>94</v>
      </c>
    </row>
    <row r="146" spans="1:9" s="8" customFormat="1" x14ac:dyDescent="0.2">
      <c r="A146" s="8" t="s">
        <v>1</v>
      </c>
      <c r="B146" s="8">
        <v>1</v>
      </c>
    </row>
    <row r="147" spans="1:9" s="8" customFormat="1" x14ac:dyDescent="0.2">
      <c r="A147" s="8" t="s">
        <v>2</v>
      </c>
      <c r="B147" s="8" t="s">
        <v>95</v>
      </c>
    </row>
    <row r="148" spans="1:9" s="8" customFormat="1" x14ac:dyDescent="0.2">
      <c r="A148" s="8" t="s">
        <v>3</v>
      </c>
      <c r="B148" s="8" t="s">
        <v>4</v>
      </c>
    </row>
    <row r="149" spans="1:9" s="8" customFormat="1" x14ac:dyDescent="0.2">
      <c r="A149" s="8" t="s">
        <v>5</v>
      </c>
      <c r="B149" s="8" t="s">
        <v>6</v>
      </c>
    </row>
    <row r="150" spans="1:9" s="8" customFormat="1" x14ac:dyDescent="0.2">
      <c r="A150" s="8" t="s">
        <v>7</v>
      </c>
      <c r="B150" s="8" t="s">
        <v>8</v>
      </c>
    </row>
    <row r="151" spans="1:9" s="8" customFormat="1" x14ac:dyDescent="0.2">
      <c r="A151" s="8" t="s">
        <v>9</v>
      </c>
      <c r="B151"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52" spans="1:9" s="8" customFormat="1" x14ac:dyDescent="0.2">
      <c r="A152" s="8" t="s">
        <v>33</v>
      </c>
      <c r="B152" s="8" t="s">
        <v>34</v>
      </c>
    </row>
    <row r="153" spans="1:9" s="8" customFormat="1" ht="16" x14ac:dyDescent="0.2">
      <c r="A153" s="6" t="s">
        <v>10</v>
      </c>
    </row>
    <row r="154" spans="1:9" s="8" customFormat="1" x14ac:dyDescent="0.2">
      <c r="A154" s="8" t="s">
        <v>11</v>
      </c>
      <c r="B154" s="8" t="s">
        <v>12</v>
      </c>
      <c r="C154" s="8" t="s">
        <v>7</v>
      </c>
      <c r="D154" s="8" t="s">
        <v>5</v>
      </c>
      <c r="E154" s="8" t="s">
        <v>13</v>
      </c>
      <c r="F154" s="8" t="s">
        <v>3</v>
      </c>
      <c r="G154" s="8" t="s">
        <v>2</v>
      </c>
      <c r="H154" s="8" t="s">
        <v>14</v>
      </c>
      <c r="I154" s="8" t="s">
        <v>9</v>
      </c>
    </row>
    <row r="155" spans="1:9" s="8" customFormat="1" x14ac:dyDescent="0.2">
      <c r="A155" s="8" t="s">
        <v>94</v>
      </c>
      <c r="B155" s="8">
        <v>1</v>
      </c>
      <c r="C155" s="8" t="s">
        <v>8</v>
      </c>
      <c r="D155" s="8" t="s">
        <v>6</v>
      </c>
      <c r="F155" s="8" t="s">
        <v>15</v>
      </c>
      <c r="G155" s="8" t="s">
        <v>95</v>
      </c>
      <c r="H155" s="8" t="s">
        <v>35</v>
      </c>
      <c r="I155" s="8" t="s">
        <v>16</v>
      </c>
    </row>
    <row r="156" spans="1:9" s="8" customFormat="1" x14ac:dyDescent="0.2">
      <c r="A156" s="8" t="s">
        <v>90</v>
      </c>
      <c r="B156" s="8">
        <v>2.1</v>
      </c>
      <c r="C156" s="8" t="s">
        <v>8</v>
      </c>
      <c r="D156" s="8" t="s">
        <v>6</v>
      </c>
      <c r="F156" s="8" t="s">
        <v>17</v>
      </c>
      <c r="G156" s="8" t="s">
        <v>91</v>
      </c>
      <c r="H156" s="8" t="s">
        <v>35</v>
      </c>
    </row>
    <row r="157" spans="1:9" s="8" customFormat="1" x14ac:dyDescent="0.2">
      <c r="A157" s="8" t="s">
        <v>18</v>
      </c>
      <c r="B157" s="8">
        <f>3.64160231884058*0.21</f>
        <v>0.76473648695652174</v>
      </c>
      <c r="D157" s="8" t="s">
        <v>19</v>
      </c>
      <c r="E157" s="8" t="s">
        <v>20</v>
      </c>
      <c r="F157" s="8" t="s">
        <v>21</v>
      </c>
      <c r="H157" s="8" t="s">
        <v>22</v>
      </c>
    </row>
    <row r="158" spans="1:9" s="8" customFormat="1" x14ac:dyDescent="0.2">
      <c r="A158" s="8" t="s">
        <v>23</v>
      </c>
      <c r="B158" s="8">
        <f>0.00107549913043478*0.21</f>
        <v>2.2585481739130381E-4</v>
      </c>
      <c r="D158" s="8" t="s">
        <v>24</v>
      </c>
      <c r="E158" s="8" t="s">
        <v>25</v>
      </c>
      <c r="F158" s="8" t="s">
        <v>21</v>
      </c>
      <c r="H158" s="8" t="s">
        <v>22</v>
      </c>
    </row>
    <row r="159" spans="1:9" s="8" customFormat="1" x14ac:dyDescent="0.2">
      <c r="A159" s="8" t="s">
        <v>36</v>
      </c>
      <c r="B159" s="9">
        <v>6.172839506172839e-12</v>
      </c>
      <c r="C159" s="8" t="s">
        <v>31</v>
      </c>
      <c r="D159" s="8" t="s">
        <v>5</v>
      </c>
      <c r="F159" s="8" t="s">
        <v>17</v>
      </c>
      <c r="G159" s="8" t="s">
        <v>37</v>
      </c>
      <c r="H159" s="8" t="s">
        <v>35</v>
      </c>
    </row>
    <row r="160" spans="1:9" s="8" customFormat="1" x14ac:dyDescent="0.2">
      <c r="A160" s="8" t="s">
        <v>26</v>
      </c>
      <c r="B160" s="9">
        <f>0.0872420618556701*0.21</f>
        <v>1.832083298969072E-2</v>
      </c>
      <c r="C160" s="8" t="s">
        <v>8</v>
      </c>
      <c r="D160" s="8" t="s">
        <v>27</v>
      </c>
      <c r="F160" s="8" t="s">
        <v>17</v>
      </c>
      <c r="G160" s="8" t="s">
        <v>28</v>
      </c>
      <c r="H160" s="8" t="s">
        <v>29</v>
      </c>
    </row>
    <row r="161" spans="1:9" s="8" customFormat="1" x14ac:dyDescent="0.2">
      <c r="A161" s="8" t="s">
        <v>81</v>
      </c>
      <c r="B161" s="8">
        <v>0.13</v>
      </c>
      <c r="D161" s="8" t="s">
        <v>6</v>
      </c>
      <c r="E161" s="8" t="s">
        <v>20</v>
      </c>
      <c r="F161" s="8" t="s">
        <v>21</v>
      </c>
      <c r="H161" s="8" t="s">
        <v>22</v>
      </c>
    </row>
    <row r="162" spans="1:9" s="8" customFormat="1" x14ac:dyDescent="0.2">
      <c r="B162" s="9"/>
    </row>
    <row r="163" spans="1:9" s="8" customFormat="1" ht="16" x14ac:dyDescent="0.2">
      <c r="A163" s="6" t="s">
        <v>0</v>
      </c>
      <c r="B163" s="7" t="s">
        <v>88</v>
      </c>
    </row>
    <row r="164" spans="1:9" s="8" customFormat="1" x14ac:dyDescent="0.2">
      <c r="A164" s="8" t="s">
        <v>1</v>
      </c>
      <c r="B164" s="8">
        <v>1</v>
      </c>
    </row>
    <row r="165" spans="1:9" s="8" customFormat="1" x14ac:dyDescent="0.2">
      <c r="A165" s="8" t="s">
        <v>2</v>
      </c>
      <c r="B165" s="8" t="s">
        <v>73</v>
      </c>
    </row>
    <row r="166" spans="1:9" s="8" customFormat="1" x14ac:dyDescent="0.2">
      <c r="A166" s="8" t="s">
        <v>3</v>
      </c>
      <c r="B166" s="8" t="s">
        <v>4</v>
      </c>
    </row>
    <row r="167" spans="1:9" s="8" customFormat="1" x14ac:dyDescent="0.2">
      <c r="A167" s="8" t="s">
        <v>5</v>
      </c>
      <c r="B167" s="8" t="s">
        <v>6</v>
      </c>
    </row>
    <row r="168" spans="1:9" s="8" customFormat="1" x14ac:dyDescent="0.2">
      <c r="A168" s="8" t="s">
        <v>7</v>
      </c>
      <c r="B168" s="8" t="s">
        <v>8</v>
      </c>
    </row>
    <row r="169" spans="1:9" s="8" customFormat="1" x14ac:dyDescent="0.2">
      <c r="A169" s="8" t="s">
        <v>9</v>
      </c>
      <c r="B169"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170" spans="1:9" s="8" customFormat="1" x14ac:dyDescent="0.2">
      <c r="A170" s="8" t="s">
        <v>33</v>
      </c>
      <c r="B170" s="8" t="s">
        <v>34</v>
      </c>
    </row>
    <row r="171" spans="1:9" s="8" customFormat="1" ht="16" x14ac:dyDescent="0.2">
      <c r="A171" s="6" t="s">
        <v>10</v>
      </c>
    </row>
    <row r="172" spans="1:9" s="8" customFormat="1" x14ac:dyDescent="0.2">
      <c r="A172" s="8" t="s">
        <v>11</v>
      </c>
      <c r="B172" s="8" t="s">
        <v>12</v>
      </c>
      <c r="C172" s="8" t="s">
        <v>7</v>
      </c>
      <c r="D172" s="8" t="s">
        <v>5</v>
      </c>
      <c r="E172" s="8" t="s">
        <v>13</v>
      </c>
      <c r="F172" s="8" t="s">
        <v>3</v>
      </c>
      <c r="G172" s="8" t="s">
        <v>2</v>
      </c>
      <c r="H172" s="8" t="s">
        <v>14</v>
      </c>
      <c r="I172" s="8" t="s">
        <v>9</v>
      </c>
    </row>
    <row r="173" spans="1:9" s="8" customFormat="1" x14ac:dyDescent="0.2">
      <c r="A173" s="8" t="s">
        <v>88</v>
      </c>
      <c r="B173" s="8">
        <v>1</v>
      </c>
      <c r="C173" s="8" t="s">
        <v>8</v>
      </c>
      <c r="D173" s="8" t="s">
        <v>6</v>
      </c>
      <c r="F173" s="8" t="s">
        <v>15</v>
      </c>
      <c r="G173" s="8" t="s">
        <v>73</v>
      </c>
      <c r="H173" s="8" t="s">
        <v>35</v>
      </c>
      <c r="I173" s="8" t="s">
        <v>16</v>
      </c>
    </row>
    <row r="174" spans="1:9" s="8" customFormat="1" x14ac:dyDescent="0.2">
      <c r="A174" s="8" t="s">
        <v>90</v>
      </c>
      <c r="B174" s="8">
        <v>2.35</v>
      </c>
      <c r="C174" s="8" t="s">
        <v>8</v>
      </c>
      <c r="D174" s="8" t="s">
        <v>6</v>
      </c>
      <c r="F174" s="8" t="s">
        <v>17</v>
      </c>
      <c r="G174" s="8" t="s">
        <v>91</v>
      </c>
      <c r="H174" s="8" t="s">
        <v>35</v>
      </c>
    </row>
    <row r="175" spans="1:9" s="8" customFormat="1" x14ac:dyDescent="0.2">
      <c r="A175" s="8" t="s">
        <v>18</v>
      </c>
      <c r="B175" s="8">
        <f>3.64160231884058*0.18</f>
        <v>0.65548841739130437</v>
      </c>
      <c r="D175" s="8" t="s">
        <v>19</v>
      </c>
      <c r="E175" s="8" t="s">
        <v>20</v>
      </c>
      <c r="F175" s="8" t="s">
        <v>21</v>
      </c>
      <c r="H175" s="8" t="s">
        <v>22</v>
      </c>
    </row>
    <row r="176" spans="1:9" s="8" customFormat="1" x14ac:dyDescent="0.2">
      <c r="A176" s="8" t="s">
        <v>23</v>
      </c>
      <c r="B176" s="8">
        <f>0.00107549913043478*0.18</f>
        <v>1.9358984347826041E-4</v>
      </c>
      <c r="D176" s="8" t="s">
        <v>24</v>
      </c>
      <c r="E176" s="8" t="s">
        <v>25</v>
      </c>
      <c r="F176" s="8" t="s">
        <v>21</v>
      </c>
      <c r="H176" s="8" t="s">
        <v>22</v>
      </c>
    </row>
    <row r="177" spans="1:9" s="8" customFormat="1" x14ac:dyDescent="0.2">
      <c r="A177" s="8" t="s">
        <v>36</v>
      </c>
      <c r="B177" s="9">
        <v>6.172839506172839e-12</v>
      </c>
      <c r="C177" s="8" t="s">
        <v>31</v>
      </c>
      <c r="D177" s="8" t="s">
        <v>5</v>
      </c>
      <c r="F177" s="8" t="s">
        <v>17</v>
      </c>
      <c r="G177" s="8" t="s">
        <v>37</v>
      </c>
      <c r="H177" s="8" t="s">
        <v>35</v>
      </c>
    </row>
    <row r="178" spans="1:9" s="8" customFormat="1" x14ac:dyDescent="0.2">
      <c r="A178" s="8" t="s">
        <v>26</v>
      </c>
      <c r="B178" s="9">
        <f>0.0872420618556701*0.18</f>
        <v>1.5703571134020617E-2</v>
      </c>
      <c r="C178" s="8" t="s">
        <v>8</v>
      </c>
      <c r="D178" s="8" t="s">
        <v>27</v>
      </c>
      <c r="F178" s="8" t="s">
        <v>17</v>
      </c>
      <c r="G178" s="8" t="s">
        <v>28</v>
      </c>
      <c r="H178" s="8" t="s">
        <v>29</v>
      </c>
    </row>
    <row r="179" spans="1:9" s="8" customFormat="1" x14ac:dyDescent="0.2">
      <c r="A179" s="8" t="s">
        <v>81</v>
      </c>
      <c r="B179" s="8">
        <v>0.22</v>
      </c>
      <c r="D179" s="8" t="s">
        <v>6</v>
      </c>
      <c r="E179" s="8" t="s">
        <v>20</v>
      </c>
      <c r="F179" s="8" t="s">
        <v>21</v>
      </c>
      <c r="H179" s="8" t="s">
        <v>22</v>
      </c>
    </row>
    <row r="180" spans="1:9" s="8" customFormat="1" x14ac:dyDescent="0.2"/>
    <row r="181" spans="1:9" s="8" customFormat="1" ht="16" x14ac:dyDescent="0.2">
      <c r="A181" s="6" t="s">
        <v>0</v>
      </c>
      <c r="B181" s="7" t="s">
        <v>96</v>
      </c>
    </row>
    <row r="182" spans="1:9" s="8" customFormat="1" x14ac:dyDescent="0.2">
      <c r="A182" s="8" t="s">
        <v>1</v>
      </c>
      <c r="B182" s="8">
        <v>1</v>
      </c>
    </row>
    <row r="183" spans="1:9" s="8" customFormat="1" x14ac:dyDescent="0.2">
      <c r="A183" s="8" t="s">
        <v>2</v>
      </c>
      <c r="B183" s="8" t="s">
        <v>93</v>
      </c>
    </row>
    <row r="184" spans="1:9" s="8" customFormat="1" x14ac:dyDescent="0.2">
      <c r="A184" s="8" t="s">
        <v>3</v>
      </c>
      <c r="B184" s="8" t="s">
        <v>4</v>
      </c>
    </row>
    <row r="185" spans="1:9" s="8" customFormat="1" x14ac:dyDescent="0.2">
      <c r="A185" s="8" t="s">
        <v>5</v>
      </c>
      <c r="B185" s="8" t="s">
        <v>6</v>
      </c>
    </row>
    <row r="186" spans="1:9" s="8" customFormat="1" x14ac:dyDescent="0.2">
      <c r="A186" s="8" t="s">
        <v>7</v>
      </c>
      <c r="B186" s="8" t="s">
        <v>8</v>
      </c>
    </row>
    <row r="187" spans="1:9" s="8" customFormat="1" x14ac:dyDescent="0.2">
      <c r="A187" s="8" t="s">
        <v>9</v>
      </c>
      <c r="B187"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188" spans="1:9" s="8" customFormat="1" x14ac:dyDescent="0.2">
      <c r="A188" s="8" t="s">
        <v>33</v>
      </c>
      <c r="B188" s="8" t="s">
        <v>34</v>
      </c>
    </row>
    <row r="189" spans="1:9" s="8" customFormat="1" ht="16" x14ac:dyDescent="0.2">
      <c r="A189" s="6" t="s">
        <v>10</v>
      </c>
    </row>
    <row r="190" spans="1:9" s="8" customFormat="1" x14ac:dyDescent="0.2">
      <c r="A190" s="8" t="s">
        <v>11</v>
      </c>
      <c r="B190" s="8" t="s">
        <v>12</v>
      </c>
      <c r="C190" s="8" t="s">
        <v>7</v>
      </c>
      <c r="D190" s="8" t="s">
        <v>5</v>
      </c>
      <c r="E190" s="8" t="s">
        <v>13</v>
      </c>
      <c r="F190" s="8" t="s">
        <v>3</v>
      </c>
      <c r="G190" s="8" t="s">
        <v>2</v>
      </c>
      <c r="H190" s="8" t="s">
        <v>14</v>
      </c>
      <c r="I190" s="8" t="s">
        <v>9</v>
      </c>
    </row>
    <row r="191" spans="1:9" s="8" customFormat="1" x14ac:dyDescent="0.2">
      <c r="A191" s="8" t="s">
        <v>96</v>
      </c>
      <c r="B191" s="8">
        <v>1</v>
      </c>
      <c r="C191" s="8" t="s">
        <v>8</v>
      </c>
      <c r="D191" s="8" t="s">
        <v>6</v>
      </c>
      <c r="F191" s="8" t="s">
        <v>15</v>
      </c>
      <c r="G191" s="8" t="s">
        <v>93</v>
      </c>
      <c r="H191" s="8" t="s">
        <v>35</v>
      </c>
    </row>
    <row r="192" spans="1:9" s="8" customFormat="1" x14ac:dyDescent="0.2">
      <c r="A192" s="8" t="s">
        <v>90</v>
      </c>
      <c r="B192" s="8">
        <v>2.3199999999999998</v>
      </c>
      <c r="C192" s="8" t="s">
        <v>8</v>
      </c>
      <c r="D192" s="8" t="s">
        <v>6</v>
      </c>
      <c r="F192" s="8" t="s">
        <v>17</v>
      </c>
      <c r="G192" s="8" t="s">
        <v>91</v>
      </c>
      <c r="H192" s="8" t="s">
        <v>35</v>
      </c>
    </row>
    <row r="193" spans="1:9" s="8" customFormat="1" x14ac:dyDescent="0.2">
      <c r="A193" s="8" t="s">
        <v>18</v>
      </c>
      <c r="B193" s="8">
        <f>3.64160231884058*0.24</f>
        <v>0.87398455652173912</v>
      </c>
      <c r="D193" s="8" t="s">
        <v>19</v>
      </c>
      <c r="E193" s="8" t="s">
        <v>20</v>
      </c>
      <c r="F193" s="8" t="s">
        <v>21</v>
      </c>
      <c r="H193" s="8" t="s">
        <v>22</v>
      </c>
    </row>
    <row r="194" spans="1:9" s="8" customFormat="1" x14ac:dyDescent="0.2">
      <c r="A194" s="8" t="s">
        <v>23</v>
      </c>
      <c r="B194" s="8">
        <f>0.00107549913043478*0.24</f>
        <v>2.581197913043472E-4</v>
      </c>
      <c r="D194" s="8" t="s">
        <v>24</v>
      </c>
      <c r="E194" s="8" t="s">
        <v>25</v>
      </c>
      <c r="F194" s="8" t="s">
        <v>21</v>
      </c>
      <c r="H194" s="8" t="s">
        <v>22</v>
      </c>
    </row>
    <row r="195" spans="1:9" s="8" customFormat="1" x14ac:dyDescent="0.2">
      <c r="A195" s="8" t="s">
        <v>36</v>
      </c>
      <c r="B195" s="9">
        <v>6.172839506172839e-12</v>
      </c>
      <c r="C195" s="8" t="s">
        <v>31</v>
      </c>
      <c r="D195" s="8" t="s">
        <v>5</v>
      </c>
      <c r="F195" s="8" t="s">
        <v>17</v>
      </c>
      <c r="G195" s="8" t="s">
        <v>37</v>
      </c>
      <c r="H195" s="8" t="s">
        <v>35</v>
      </c>
    </row>
    <row r="196" spans="1:9" s="8" customFormat="1" x14ac:dyDescent="0.2">
      <c r="A196" s="8" t="s">
        <v>26</v>
      </c>
      <c r="B196" s="9">
        <f>0.0872420618556701*0.24</f>
        <v>2.0938094845360824E-2</v>
      </c>
      <c r="C196" s="8" t="s">
        <v>8</v>
      </c>
      <c r="D196" s="8" t="s">
        <v>27</v>
      </c>
      <c r="F196" s="8" t="s">
        <v>17</v>
      </c>
      <c r="G196" s="8" t="s">
        <v>28</v>
      </c>
      <c r="H196" s="8" t="s">
        <v>29</v>
      </c>
    </row>
    <row r="197" spans="1:9" s="8" customFormat="1" x14ac:dyDescent="0.2">
      <c r="A197" s="8" t="s">
        <v>82</v>
      </c>
      <c r="B197" s="8">
        <v>0.19</v>
      </c>
      <c r="D197" s="8" t="s">
        <v>6</v>
      </c>
      <c r="E197" s="8" t="s">
        <v>80</v>
      </c>
      <c r="F197" s="8" t="s">
        <v>21</v>
      </c>
      <c r="H197" s="8" t="s">
        <v>22</v>
      </c>
    </row>
    <row r="198" spans="1:9" s="8" customFormat="1" x14ac:dyDescent="0.2"/>
    <row r="199" spans="1:9" s="8" customFormat="1" ht="16" x14ac:dyDescent="0.2">
      <c r="A199" s="6" t="s">
        <v>0</v>
      </c>
      <c r="B199" s="7" t="s">
        <v>89</v>
      </c>
    </row>
    <row r="200" spans="1:9" s="8" customFormat="1" x14ac:dyDescent="0.2">
      <c r="A200" s="8" t="s">
        <v>1</v>
      </c>
      <c r="B200" s="8">
        <v>1</v>
      </c>
    </row>
    <row r="201" spans="1:9" s="8" customFormat="1" x14ac:dyDescent="0.2">
      <c r="A201" s="8" t="s">
        <v>2</v>
      </c>
      <c r="B201" s="8" t="s">
        <v>87</v>
      </c>
    </row>
    <row r="202" spans="1:9" s="8" customFormat="1" x14ac:dyDescent="0.2">
      <c r="A202" s="8" t="s">
        <v>3</v>
      </c>
      <c r="B202" s="8" t="s">
        <v>4</v>
      </c>
    </row>
    <row r="203" spans="1:9" s="8" customFormat="1" x14ac:dyDescent="0.2">
      <c r="A203" s="8" t="s">
        <v>5</v>
      </c>
      <c r="B203" s="8" t="s">
        <v>6</v>
      </c>
    </row>
    <row r="204" spans="1:9" s="8" customFormat="1" x14ac:dyDescent="0.2">
      <c r="A204" s="8" t="s">
        <v>7</v>
      </c>
      <c r="B204" s="8" t="s">
        <v>8</v>
      </c>
    </row>
    <row r="205" spans="1:9" s="8" customFormat="1" x14ac:dyDescent="0.2">
      <c r="A205" s="8" t="s">
        <v>9</v>
      </c>
      <c r="B205"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206" spans="1:9" s="8" customFormat="1" x14ac:dyDescent="0.2">
      <c r="A206" s="8" t="s">
        <v>33</v>
      </c>
      <c r="B206" s="8" t="s">
        <v>34</v>
      </c>
    </row>
    <row r="207" spans="1:9" s="8" customFormat="1" ht="16" x14ac:dyDescent="0.2">
      <c r="A207" s="6" t="s">
        <v>10</v>
      </c>
    </row>
    <row r="208" spans="1:9" s="8" customFormat="1" x14ac:dyDescent="0.2">
      <c r="A208" s="8" t="s">
        <v>11</v>
      </c>
      <c r="B208" s="8" t="s">
        <v>12</v>
      </c>
      <c r="C208" s="8" t="s">
        <v>7</v>
      </c>
      <c r="D208" s="8" t="s">
        <v>5</v>
      </c>
      <c r="E208" s="8" t="s">
        <v>13</v>
      </c>
      <c r="F208" s="8" t="s">
        <v>3</v>
      </c>
      <c r="G208" s="8" t="s">
        <v>2</v>
      </c>
      <c r="H208" s="8" t="s">
        <v>14</v>
      </c>
      <c r="I208" s="8" t="s">
        <v>9</v>
      </c>
    </row>
    <row r="209" spans="1:10" s="8" customFormat="1" x14ac:dyDescent="0.2">
      <c r="A209" s="8" t="s">
        <v>89</v>
      </c>
      <c r="B209" s="8">
        <v>1</v>
      </c>
      <c r="C209" s="8" t="s">
        <v>8</v>
      </c>
      <c r="D209" s="8" t="s">
        <v>6</v>
      </c>
      <c r="F209" s="8" t="s">
        <v>15</v>
      </c>
      <c r="G209" s="8" t="s">
        <v>87</v>
      </c>
      <c r="H209" s="8" t="s">
        <v>35</v>
      </c>
      <c r="I209" s="8" t="s">
        <v>16</v>
      </c>
    </row>
    <row r="210" spans="1:10" s="8" customFormat="1" x14ac:dyDescent="0.2">
      <c r="A210" s="8" t="s">
        <v>90</v>
      </c>
      <c r="B210" s="8">
        <v>2.2599999999999998</v>
      </c>
      <c r="C210" s="8" t="s">
        <v>8</v>
      </c>
      <c r="D210" s="8" t="s">
        <v>6</v>
      </c>
      <c r="F210" s="8" t="s">
        <v>17</v>
      </c>
      <c r="G210" s="8" t="s">
        <v>91</v>
      </c>
      <c r="H210" s="8" t="s">
        <v>35</v>
      </c>
    </row>
    <row r="211" spans="1:10" s="8" customFormat="1" x14ac:dyDescent="0.2">
      <c r="A211" s="8" t="s">
        <v>18</v>
      </c>
      <c r="B211" s="8">
        <f>3.64160231884058*0.37</f>
        <v>1.3473928579710146</v>
      </c>
      <c r="D211" s="8" t="s">
        <v>19</v>
      </c>
      <c r="E211" s="8" t="s">
        <v>20</v>
      </c>
      <c r="F211" s="8" t="s">
        <v>21</v>
      </c>
      <c r="H211" s="8" t="s">
        <v>22</v>
      </c>
    </row>
    <row r="212" spans="1:10" s="8" customFormat="1" x14ac:dyDescent="0.2">
      <c r="A212" s="8" t="s">
        <v>23</v>
      </c>
      <c r="B212" s="8">
        <f>0.00107549913043478*0.37</f>
        <v>3.9793467826086865E-4</v>
      </c>
      <c r="D212" s="8" t="s">
        <v>24</v>
      </c>
      <c r="E212" s="8" t="s">
        <v>25</v>
      </c>
      <c r="F212" s="8" t="s">
        <v>21</v>
      </c>
      <c r="H212" s="8" t="s">
        <v>22</v>
      </c>
    </row>
    <row r="213" spans="1:10" s="8" customFormat="1" x14ac:dyDescent="0.2">
      <c r="A213" s="8" t="s">
        <v>36</v>
      </c>
      <c r="B213" s="9">
        <v>6.172839506172839e-12</v>
      </c>
      <c r="C213" s="8" t="s">
        <v>31</v>
      </c>
      <c r="D213" s="8" t="s">
        <v>5</v>
      </c>
      <c r="F213" s="8" t="s">
        <v>17</v>
      </c>
      <c r="G213" s="8" t="s">
        <v>37</v>
      </c>
      <c r="H213" s="8" t="s">
        <v>35</v>
      </c>
      <c r="J213" s="9"/>
    </row>
    <row r="214" spans="1:10" s="8" customFormat="1" x14ac:dyDescent="0.2">
      <c r="A214" s="8" t="s">
        <v>26</v>
      </c>
      <c r="B214" s="9">
        <f>0.0872420618556701*0.37</f>
        <v>3.2279562886597939E-2</v>
      </c>
      <c r="C214" s="8" t="s">
        <v>8</v>
      </c>
      <c r="D214" s="8" t="s">
        <v>27</v>
      </c>
      <c r="F214" s="8" t="s">
        <v>17</v>
      </c>
      <c r="G214" s="8" t="s">
        <v>28</v>
      </c>
      <c r="H214" s="8" t="s">
        <v>29</v>
      </c>
    </row>
    <row r="215" spans="1:10" s="8" customFormat="1" x14ac:dyDescent="0.2">
      <c r="A215" s="8" t="s">
        <v>82</v>
      </c>
      <c r="B215" s="8">
        <v>0.06</v>
      </c>
      <c r="D215" s="8" t="s">
        <v>6</v>
      </c>
      <c r="E215" s="8" t="s">
        <v>80</v>
      </c>
      <c r="F215" s="8" t="s">
        <v>21</v>
      </c>
      <c r="H215" s="8" t="s">
        <v>22</v>
      </c>
    </row>
    <row r="216" spans="1:10" s="8" customFormat="1" x14ac:dyDescent="0.2"/>
    <row r="217" spans="1:10" s="8" customFormat="1" ht="16" x14ac:dyDescent="0.2">
      <c r="A217" s="6" t="s">
        <v>0</v>
      </c>
      <c r="B217" s="7" t="s">
        <v>102</v>
      </c>
    </row>
    <row r="218" spans="1:10" s="8" customFormat="1" x14ac:dyDescent="0.2">
      <c r="A218" s="8" t="s">
        <v>1</v>
      </c>
      <c r="B218" s="8">
        <v>1</v>
      </c>
    </row>
    <row r="219" spans="1:10" s="8" customFormat="1" x14ac:dyDescent="0.2">
      <c r="A219" s="8" t="s">
        <v>2</v>
      </c>
      <c r="B219" s="8" t="s">
        <v>99</v>
      </c>
    </row>
    <row r="220" spans="1:10" s="8" customFormat="1" x14ac:dyDescent="0.2">
      <c r="A220" s="8" t="s">
        <v>3</v>
      </c>
      <c r="B220" s="8" t="s">
        <v>4</v>
      </c>
    </row>
    <row r="221" spans="1:10" s="8" customFormat="1" x14ac:dyDescent="0.2">
      <c r="A221" s="8" t="s">
        <v>5</v>
      </c>
      <c r="B221" s="8" t="s">
        <v>6</v>
      </c>
    </row>
    <row r="222" spans="1:10" s="8" customFormat="1" x14ac:dyDescent="0.2">
      <c r="A222" s="8" t="s">
        <v>7</v>
      </c>
      <c r="B222" s="8" t="s">
        <v>8</v>
      </c>
    </row>
    <row r="223" spans="1:10" s="8" customFormat="1" x14ac:dyDescent="0.2">
      <c r="A223" s="8" t="s">
        <v>9</v>
      </c>
      <c r="B223"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224" spans="1:10" s="8" customFormat="1" x14ac:dyDescent="0.2">
      <c r="A224" s="8" t="s">
        <v>33</v>
      </c>
      <c r="B224" s="8" t="s">
        <v>101</v>
      </c>
    </row>
    <row r="225" spans="1:8" s="8" customFormat="1" ht="16" x14ac:dyDescent="0.2">
      <c r="A225" s="6" t="s">
        <v>10</v>
      </c>
    </row>
    <row r="226" spans="1:8" s="8" customFormat="1" x14ac:dyDescent="0.2">
      <c r="A226" s="8" t="s">
        <v>11</v>
      </c>
      <c r="B226" s="8" t="s">
        <v>12</v>
      </c>
      <c r="C226" s="8" t="s">
        <v>7</v>
      </c>
      <c r="D226" s="8" t="s">
        <v>5</v>
      </c>
      <c r="E226" s="8" t="s">
        <v>13</v>
      </c>
      <c r="F226" s="8" t="s">
        <v>3</v>
      </c>
      <c r="G226" s="8" t="s">
        <v>2</v>
      </c>
      <c r="H226" s="8" t="s">
        <v>9</v>
      </c>
    </row>
    <row r="227" spans="1:8" s="8" customFormat="1" x14ac:dyDescent="0.2">
      <c r="A227" s="8" t="str">
        <f>B217</f>
        <v>liquefied petroleum gas production, synthetic, Fischer Tropsch process, hydrogen from wood gasification, energy allocation</v>
      </c>
      <c r="B227" s="8">
        <v>1</v>
      </c>
      <c r="C227" s="8" t="s">
        <v>8</v>
      </c>
      <c r="D227" s="8" t="s">
        <v>6</v>
      </c>
      <c r="F227" s="8" t="s">
        <v>15</v>
      </c>
      <c r="G227" s="8" t="str">
        <f>B217</f>
        <v>liquefied petroleum gas production, synthetic, Fischer Tropsch process, hydrogen from wood gasification, energy allocation</v>
      </c>
      <c r="H227" s="8" t="s">
        <v>16</v>
      </c>
    </row>
    <row r="228" spans="1:8" s="8" customFormat="1" x14ac:dyDescent="0.2">
      <c r="A228" s="8" t="s">
        <v>90</v>
      </c>
      <c r="B228" s="8">
        <v>2.2799999999999998</v>
      </c>
      <c r="C228" s="8" t="s">
        <v>8</v>
      </c>
      <c r="D228" s="8" t="s">
        <v>6</v>
      </c>
      <c r="F228" s="8" t="s">
        <v>17</v>
      </c>
      <c r="G228" s="8" t="s">
        <v>91</v>
      </c>
    </row>
    <row r="229" spans="1:8" s="8" customFormat="1" x14ac:dyDescent="0.2">
      <c r="A229" s="8" t="s">
        <v>18</v>
      </c>
      <c r="B229" s="8">
        <f>3.64160231884058*0.11</f>
        <v>0.4005762550724638</v>
      </c>
      <c r="D229" s="8" t="s">
        <v>19</v>
      </c>
      <c r="E229" s="8" t="s">
        <v>20</v>
      </c>
      <c r="F229" s="8" t="s">
        <v>21</v>
      </c>
    </row>
    <row r="230" spans="1:8" s="8" customFormat="1" x14ac:dyDescent="0.2">
      <c r="A230" s="8" t="s">
        <v>23</v>
      </c>
      <c r="B230" s="8">
        <f>0.00107549913043478*0.11</f>
        <v>1.1830490434782582E-4</v>
      </c>
      <c r="D230" s="8" t="s">
        <v>24</v>
      </c>
      <c r="E230" s="8" t="s">
        <v>25</v>
      </c>
      <c r="F230" s="8" t="s">
        <v>21</v>
      </c>
    </row>
    <row r="231" spans="1:8" s="8" customFormat="1" x14ac:dyDescent="0.2">
      <c r="A231" s="8" t="s">
        <v>36</v>
      </c>
      <c r="B231" s="9">
        <v>6.172839506172839e-12</v>
      </c>
      <c r="C231" s="8" t="s">
        <v>31</v>
      </c>
      <c r="D231" s="8" t="s">
        <v>5</v>
      </c>
      <c r="F231" s="8" t="s">
        <v>17</v>
      </c>
      <c r="G231" s="8" t="s">
        <v>37</v>
      </c>
    </row>
    <row r="232" spans="1:8" s="8" customFormat="1" x14ac:dyDescent="0.2">
      <c r="A232" s="8" t="s">
        <v>82</v>
      </c>
      <c r="B232" s="8">
        <v>-0.13</v>
      </c>
      <c r="D232" s="8" t="s">
        <v>6</v>
      </c>
      <c r="E232" s="8" t="s">
        <v>80</v>
      </c>
      <c r="F232" s="8" t="s">
        <v>21</v>
      </c>
    </row>
    <row r="233" spans="1:8" s="8" customFormat="1" x14ac:dyDescent="0.2">
      <c r="A233" s="8" t="s">
        <v>26</v>
      </c>
      <c r="B233" s="9">
        <f>0.0872420618556701*0.11</f>
        <v>9.5966268041237108E-3</v>
      </c>
      <c r="C233" s="8" t="s">
        <v>8</v>
      </c>
      <c r="D233" s="8" t="s">
        <v>27</v>
      </c>
      <c r="F233" s="8" t="s">
        <v>17</v>
      </c>
      <c r="G233" s="8" t="s">
        <v>28</v>
      </c>
    </row>
    <row r="234" spans="1:8" s="8" customFormat="1" x14ac:dyDescent="0.2"/>
    <row r="235" spans="1:8" s="8" customFormat="1" ht="16" x14ac:dyDescent="0.2">
      <c r="A235" s="6" t="s">
        <v>0</v>
      </c>
      <c r="B235" s="7" t="s">
        <v>90</v>
      </c>
    </row>
    <row r="236" spans="1:8" s="8" customFormat="1" x14ac:dyDescent="0.2">
      <c r="A236" s="8" t="s">
        <v>1</v>
      </c>
      <c r="B236" s="8">
        <v>1</v>
      </c>
    </row>
    <row r="237" spans="1:8" s="8" customFormat="1" x14ac:dyDescent="0.2">
      <c r="A237" s="8" t="s">
        <v>2</v>
      </c>
      <c r="B237" s="8" t="s">
        <v>91</v>
      </c>
    </row>
    <row r="238" spans="1:8" s="8" customFormat="1" x14ac:dyDescent="0.2">
      <c r="A238" s="8" t="s">
        <v>3</v>
      </c>
      <c r="B238" s="8" t="s">
        <v>4</v>
      </c>
    </row>
    <row r="239" spans="1:8" s="8" customFormat="1" x14ac:dyDescent="0.2">
      <c r="A239" s="8" t="s">
        <v>5</v>
      </c>
      <c r="B239" s="8" t="s">
        <v>6</v>
      </c>
    </row>
    <row r="240" spans="1:8" s="8" customFormat="1" x14ac:dyDescent="0.2">
      <c r="A240" s="8" t="s">
        <v>7</v>
      </c>
      <c r="B240" s="8" t="s">
        <v>8</v>
      </c>
    </row>
    <row r="241" spans="1:7" s="8" customFormat="1" x14ac:dyDescent="0.2">
      <c r="A241" s="8" t="s">
        <v>9</v>
      </c>
      <c r="B241" s="8" t="s">
        <v>32</v>
      </c>
    </row>
    <row r="242" spans="1:7" s="8" customFormat="1" x14ac:dyDescent="0.2">
      <c r="A242" s="8" t="s">
        <v>33</v>
      </c>
      <c r="B242" s="8" t="s">
        <v>34</v>
      </c>
    </row>
    <row r="243" spans="1:7" s="8" customFormat="1" ht="16" x14ac:dyDescent="0.2">
      <c r="A243" s="6" t="s">
        <v>10</v>
      </c>
    </row>
    <row r="244" spans="1:7" s="8" customFormat="1" x14ac:dyDescent="0.2">
      <c r="A244" s="8" t="s">
        <v>11</v>
      </c>
      <c r="B244" s="8" t="s">
        <v>12</v>
      </c>
      <c r="C244" s="8" t="s">
        <v>7</v>
      </c>
      <c r="D244" s="8" t="s">
        <v>5</v>
      </c>
      <c r="E244" s="8" t="s">
        <v>13</v>
      </c>
      <c r="F244" s="8" t="s">
        <v>3</v>
      </c>
      <c r="G244" s="8" t="s">
        <v>2</v>
      </c>
    </row>
    <row r="245" spans="1:7" s="8" customFormat="1" x14ac:dyDescent="0.2">
      <c r="A245" s="8" t="s">
        <v>97</v>
      </c>
      <c r="B245" s="8">
        <v>0.875</v>
      </c>
      <c r="C245" s="8" t="s">
        <v>8</v>
      </c>
      <c r="D245" s="8" t="s">
        <v>6</v>
      </c>
      <c r="F245" s="8" t="s">
        <v>17</v>
      </c>
      <c r="G245" s="8" t="s">
        <v>98</v>
      </c>
    </row>
    <row r="246" spans="1:7" s="8" customFormat="1" ht="16" x14ac:dyDescent="0.2">
      <c r="A246" s="10" t="s">
        <v>75</v>
      </c>
      <c r="B246" s="8">
        <v>0.125</v>
      </c>
      <c r="C246" s="8" t="s">
        <v>8</v>
      </c>
      <c r="D246" s="8" t="s">
        <v>6</v>
      </c>
      <c r="F246" s="8" t="s">
        <v>17</v>
      </c>
      <c r="G246" s="14" t="s">
        <v>84</v>
      </c>
    </row>
    <row r="247" spans="1:7" s="8" customFormat="1" x14ac:dyDescent="0.2">
      <c r="A247" s="8" t="s">
        <v>26</v>
      </c>
      <c r="B247" s="8">
        <v>0.36599999999999999</v>
      </c>
      <c r="C247" s="8" t="s">
        <v>8</v>
      </c>
      <c r="D247" s="8" t="s">
        <v>27</v>
      </c>
      <c r="F247" s="8" t="s">
        <v>17</v>
      </c>
      <c r="G247" s="8" t="s">
        <v>28</v>
      </c>
    </row>
    <row r="248" spans="1:7" s="8" customFormat="1" x14ac:dyDescent="0.2">
      <c r="A248" s="8" t="s">
        <v>23</v>
      </c>
      <c r="B248" s="8">
        <f>60*0.001/106.6</f>
        <v>5.6285178236397749E-4</v>
      </c>
      <c r="D248" s="8" t="s">
        <v>24</v>
      </c>
      <c r="E248" s="8" t="s">
        <v>25</v>
      </c>
      <c r="F248" s="8" t="s">
        <v>21</v>
      </c>
    </row>
    <row r="249" spans="1:7" s="8" customFormat="1" x14ac:dyDescent="0.2">
      <c r="A249" s="8" t="s">
        <v>90</v>
      </c>
      <c r="B249" s="8">
        <v>1</v>
      </c>
      <c r="C249" s="8" t="s">
        <v>8</v>
      </c>
      <c r="D249" s="8" t="s">
        <v>6</v>
      </c>
      <c r="F249" s="8" t="s">
        <v>15</v>
      </c>
      <c r="G249" s="8" t="s">
        <v>91</v>
      </c>
    </row>
    <row r="250" spans="1:7" s="8" customFormat="1" x14ac:dyDescent="0.2">
      <c r="A250" s="8" t="s">
        <v>30</v>
      </c>
      <c r="B250" s="11">
        <v>5.7100000000000004E-6</v>
      </c>
      <c r="C250" s="8" t="s">
        <v>31</v>
      </c>
      <c r="D250" s="8" t="s">
        <v>5</v>
      </c>
      <c r="F250" s="8" t="s">
        <v>17</v>
      </c>
    </row>
    <row r="251" spans="1:7" s="8" customFormat="1" x14ac:dyDescent="0.2">
      <c r="B251" s="11"/>
    </row>
    <row r="252" spans="1:7" s="8" customFormat="1" ht="16" x14ac:dyDescent="0.2">
      <c r="A252" s="6" t="s">
        <v>0</v>
      </c>
      <c r="B252" s="7" t="s">
        <v>97</v>
      </c>
    </row>
    <row r="253" spans="1:7" s="8" customFormat="1" x14ac:dyDescent="0.2">
      <c r="A253" s="8" t="s">
        <v>1</v>
      </c>
      <c r="B253" s="8">
        <v>1</v>
      </c>
    </row>
    <row r="254" spans="1:7" s="8" customFormat="1" x14ac:dyDescent="0.2">
      <c r="A254" s="8" t="s">
        <v>2</v>
      </c>
      <c r="B254" s="8" t="s">
        <v>98</v>
      </c>
    </row>
    <row r="255" spans="1:7" s="8" customFormat="1" x14ac:dyDescent="0.2">
      <c r="A255" s="8" t="s">
        <v>3</v>
      </c>
      <c r="B255" s="8" t="s">
        <v>4</v>
      </c>
    </row>
    <row r="256" spans="1:7" s="8" customFormat="1" x14ac:dyDescent="0.2">
      <c r="A256" s="8" t="s">
        <v>5</v>
      </c>
      <c r="B256" s="8" t="s">
        <v>6</v>
      </c>
    </row>
    <row r="257" spans="1:8" s="8" customFormat="1" x14ac:dyDescent="0.2">
      <c r="A257" s="8" t="s">
        <v>7</v>
      </c>
      <c r="B257" s="8" t="s">
        <v>8</v>
      </c>
    </row>
    <row r="258" spans="1:8" s="8" customFormat="1" x14ac:dyDescent="0.2">
      <c r="A258" s="8" t="s">
        <v>9</v>
      </c>
      <c r="B258" s="8" t="s">
        <v>83</v>
      </c>
    </row>
    <row r="259" spans="1:8" s="8" customFormat="1" ht="16" x14ac:dyDescent="0.2">
      <c r="A259" s="6" t="s">
        <v>10</v>
      </c>
    </row>
    <row r="260" spans="1:8" s="8" customFormat="1" x14ac:dyDescent="0.2">
      <c r="A260" s="8" t="s">
        <v>11</v>
      </c>
      <c r="B260" s="8" t="s">
        <v>12</v>
      </c>
      <c r="C260" s="8" t="s">
        <v>7</v>
      </c>
      <c r="D260" s="8" t="s">
        <v>5</v>
      </c>
      <c r="E260" s="8" t="s">
        <v>13</v>
      </c>
      <c r="F260" s="8" t="s">
        <v>3</v>
      </c>
      <c r="G260" s="8" t="s">
        <v>2</v>
      </c>
    </row>
    <row r="261" spans="1:8" s="8" customFormat="1" x14ac:dyDescent="0.2">
      <c r="A261" s="8" t="s">
        <v>97</v>
      </c>
      <c r="B261" s="8">
        <v>1</v>
      </c>
      <c r="C261" s="8" t="s">
        <v>8</v>
      </c>
      <c r="D261" s="8" t="s">
        <v>6</v>
      </c>
      <c r="F261" s="8" t="s">
        <v>15</v>
      </c>
      <c r="G261" s="8" t="s">
        <v>98</v>
      </c>
    </row>
    <row r="262" spans="1:8" s="8" customFormat="1" ht="16" x14ac:dyDescent="0.2">
      <c r="A262" s="10" t="s">
        <v>75</v>
      </c>
      <c r="B262" s="8">
        <v>7.0000000000000007E-2</v>
      </c>
      <c r="C262" s="8" t="s">
        <v>8</v>
      </c>
      <c r="D262" s="8" t="s">
        <v>6</v>
      </c>
      <c r="F262" s="8" t="s">
        <v>17</v>
      </c>
      <c r="G262" s="14" t="s">
        <v>84</v>
      </c>
    </row>
    <row r="263" spans="1:8" s="8" customFormat="1" x14ac:dyDescent="0.2">
      <c r="A263" s="8" t="s">
        <v>45</v>
      </c>
      <c r="B263" s="9">
        <v>1.9300000000000002E-9</v>
      </c>
      <c r="C263" s="8" t="s">
        <v>8</v>
      </c>
      <c r="D263" s="8" t="s">
        <v>5</v>
      </c>
      <c r="F263" s="8" t="s">
        <v>17</v>
      </c>
      <c r="G263" s="8" t="s">
        <v>46</v>
      </c>
    </row>
    <row r="264" spans="1:8" s="8" customFormat="1" x14ac:dyDescent="0.2">
      <c r="A264" s="8" t="s">
        <v>81</v>
      </c>
      <c r="B264" s="8">
        <v>-1.57</v>
      </c>
      <c r="D264" s="8" t="s">
        <v>6</v>
      </c>
      <c r="E264" s="8" t="s">
        <v>20</v>
      </c>
      <c r="F264" s="8" t="s">
        <v>21</v>
      </c>
      <c r="H264" s="8" t="s">
        <v>22</v>
      </c>
    </row>
    <row r="266" spans="1:8" ht="16" x14ac:dyDescent="0.2">
      <c r="A266" s="1"/>
    </row>
    <row r="272" spans="1:8" x14ac:dyDescent="0.2">
      <c r="B272" s="3"/>
    </row>
    <row r="273" spans="1:7" x14ac:dyDescent="0.2">
      <c r="B273" s="3"/>
    </row>
    <row r="275" spans="1:7" ht="16" x14ac:dyDescent="0.2">
      <c r="A275" s="1"/>
      <c r="B275" s="2"/>
    </row>
    <row r="282" spans="1:7" ht="16" x14ac:dyDescent="0.2">
      <c r="A282" s="1"/>
    </row>
    <row r="285" spans="1:7" ht="16" x14ac:dyDescent="0.2">
      <c r="A285" s="4"/>
      <c r="G285" s="4"/>
    </row>
    <row r="289" spans="1:7" x14ac:dyDescent="0.2">
      <c r="B289" s="5"/>
    </row>
    <row r="290" spans="1:7" x14ac:dyDescent="0.2">
      <c r="B290" s="5"/>
    </row>
    <row r="291" spans="1:7" ht="16" x14ac:dyDescent="0.2">
      <c r="A291" s="1"/>
      <c r="B291" s="2"/>
    </row>
    <row r="298" spans="1:7" ht="16" x14ac:dyDescent="0.2">
      <c r="A298" s="1"/>
    </row>
    <row r="301" spans="1:7" ht="16" x14ac:dyDescent="0.2">
      <c r="A301" s="4"/>
      <c r="G301" s="4"/>
    </row>
    <row r="302" spans="1:7" ht="16" x14ac:dyDescent="0.2">
      <c r="A302" s="4"/>
      <c r="G302" s="4"/>
    </row>
    <row r="305" spans="1:2" ht="16" x14ac:dyDescent="0.2">
      <c r="A305" s="1"/>
      <c r="B305" s="2"/>
    </row>
    <row r="312" spans="1:2" ht="16" x14ac:dyDescent="0.2">
      <c r="A312" s="1"/>
    </row>
    <row r="318" spans="1:2" x14ac:dyDescent="0.2">
      <c r="B318" s="3"/>
    </row>
    <row r="319" spans="1:2" x14ac:dyDescent="0.2">
      <c r="B319" s="3"/>
    </row>
    <row r="321" spans="1:7" ht="16" x14ac:dyDescent="0.2">
      <c r="A321" s="1"/>
      <c r="B321" s="2"/>
    </row>
    <row r="328" spans="1:7" ht="16" x14ac:dyDescent="0.2">
      <c r="A328" s="1"/>
    </row>
    <row r="331" spans="1:7" ht="16" x14ac:dyDescent="0.2">
      <c r="A331" s="4"/>
      <c r="G331" s="4"/>
    </row>
    <row r="335" spans="1:7" x14ac:dyDescent="0.2">
      <c r="B335" s="5"/>
    </row>
    <row r="336" spans="1:7" x14ac:dyDescent="0.2">
      <c r="B336" s="5"/>
    </row>
    <row r="337" spans="1:7" ht="16" x14ac:dyDescent="0.2">
      <c r="A337" s="1"/>
      <c r="B337" s="2"/>
    </row>
    <row r="344" spans="1:7" ht="16" x14ac:dyDescent="0.2">
      <c r="A344" s="1"/>
    </row>
    <row r="347" spans="1:7" ht="16" x14ac:dyDescent="0.2">
      <c r="A347" s="4"/>
      <c r="G347" s="4"/>
    </row>
    <row r="348" spans="1:7" ht="16" x14ac:dyDescent="0.2">
      <c r="A348" s="4"/>
      <c r="G348" s="4"/>
    </row>
    <row r="351" spans="1:7" ht="16" x14ac:dyDescent="0.2">
      <c r="A351" s="1"/>
      <c r="B351" s="2"/>
    </row>
    <row r="358" spans="1:2" ht="16" x14ac:dyDescent="0.2">
      <c r="A358" s="1"/>
    </row>
    <row r="364" spans="1:2" x14ac:dyDescent="0.2">
      <c r="B364" s="3"/>
    </row>
    <row r="365" spans="1:2" x14ac:dyDescent="0.2">
      <c r="B365" s="3"/>
    </row>
    <row r="367" spans="1:2" ht="16" x14ac:dyDescent="0.2">
      <c r="A367" s="1"/>
      <c r="B367" s="2"/>
    </row>
    <row r="374" spans="1:7" ht="16" x14ac:dyDescent="0.2">
      <c r="A374" s="1"/>
    </row>
    <row r="377" spans="1:7" ht="16" x14ac:dyDescent="0.2">
      <c r="A377" s="4"/>
      <c r="G377" s="4"/>
    </row>
    <row r="381" spans="1:7" x14ac:dyDescent="0.2">
      <c r="B381" s="5"/>
    </row>
    <row r="382" spans="1:7" x14ac:dyDescent="0.2">
      <c r="B382" s="5"/>
    </row>
    <row r="383" spans="1:7" ht="16" x14ac:dyDescent="0.2">
      <c r="A383" s="1"/>
      <c r="B383" s="2"/>
    </row>
    <row r="390" spans="1:7" ht="16" x14ac:dyDescent="0.2">
      <c r="A390" s="1"/>
    </row>
    <row r="393" spans="1:7" ht="16" x14ac:dyDescent="0.2">
      <c r="A393" s="4"/>
      <c r="G393" s="4"/>
    </row>
    <row r="394" spans="1:7" ht="16" x14ac:dyDescent="0.2">
      <c r="A394" s="4"/>
      <c r="G394" s="4"/>
    </row>
    <row r="397" spans="1:7" ht="16" x14ac:dyDescent="0.2">
      <c r="A397" s="1"/>
      <c r="B397" s="2"/>
    </row>
    <row r="404" spans="1:2" ht="16" x14ac:dyDescent="0.2">
      <c r="A404" s="1"/>
    </row>
    <row r="410" spans="1:2" x14ac:dyDescent="0.2">
      <c r="B410" s="3"/>
    </row>
    <row r="411" spans="1:2" x14ac:dyDescent="0.2">
      <c r="B411" s="3"/>
    </row>
    <row r="413" spans="1:2" ht="16" x14ac:dyDescent="0.2">
      <c r="A413" s="1"/>
      <c r="B413" s="2"/>
    </row>
    <row r="420" spans="1:7" ht="16" x14ac:dyDescent="0.2">
      <c r="A420" s="1"/>
    </row>
    <row r="423" spans="1:7" ht="16" x14ac:dyDescent="0.2">
      <c r="A423" s="4"/>
      <c r="G423" s="4"/>
    </row>
    <row r="427" spans="1:7" x14ac:dyDescent="0.2">
      <c r="B427" s="5"/>
    </row>
    <row r="428" spans="1:7" x14ac:dyDescent="0.2">
      <c r="B428" s="5"/>
    </row>
    <row r="429" spans="1:7" ht="16" x14ac:dyDescent="0.2">
      <c r="A429" s="1"/>
      <c r="B429" s="2"/>
    </row>
    <row r="436" spans="1:7" ht="16" x14ac:dyDescent="0.2">
      <c r="A436" s="1"/>
    </row>
    <row r="439" spans="1:7" ht="16" x14ac:dyDescent="0.2">
      <c r="A439" s="4"/>
      <c r="G439" s="4"/>
    </row>
    <row r="440" spans="1:7" ht="16" x14ac:dyDescent="0.2">
      <c r="A440" s="4"/>
      <c r="G440" s="4"/>
    </row>
    <row r="443" spans="1:7" ht="16" x14ac:dyDescent="0.2">
      <c r="A443" s="1"/>
      <c r="B443" s="2"/>
    </row>
    <row r="450" spans="1:2" ht="16" x14ac:dyDescent="0.2">
      <c r="A450" s="1"/>
    </row>
    <row r="456" spans="1:2" x14ac:dyDescent="0.2">
      <c r="B456" s="3"/>
    </row>
    <row r="457" spans="1:2" x14ac:dyDescent="0.2">
      <c r="B457" s="3"/>
    </row>
    <row r="459" spans="1:2" ht="16" x14ac:dyDescent="0.2">
      <c r="A459" s="1"/>
      <c r="B459" s="2"/>
    </row>
    <row r="466" spans="1:7" ht="16" x14ac:dyDescent="0.2">
      <c r="A466" s="1"/>
    </row>
    <row r="469" spans="1:7" ht="16" x14ac:dyDescent="0.2">
      <c r="A469" s="4"/>
      <c r="G469" s="4"/>
    </row>
    <row r="473" spans="1:7" x14ac:dyDescent="0.2">
      <c r="B473" s="5"/>
    </row>
    <row r="475" spans="1:7" ht="16" x14ac:dyDescent="0.2">
      <c r="A475" s="1"/>
      <c r="B475" s="2"/>
    </row>
    <row r="482" spans="1:7" ht="16" x14ac:dyDescent="0.2">
      <c r="A482" s="1"/>
    </row>
    <row r="485" spans="1:7" ht="16" x14ac:dyDescent="0.2">
      <c r="A485" s="4"/>
      <c r="G485" s="4"/>
    </row>
    <row r="486" spans="1:7" ht="16" x14ac:dyDescent="0.2">
      <c r="A486" s="4"/>
      <c r="G486" s="4"/>
    </row>
    <row r="488" spans="1:7" ht="16" x14ac:dyDescent="0.2">
      <c r="A488" s="1"/>
      <c r="B488" s="2"/>
    </row>
    <row r="495" spans="1:7" ht="16" x14ac:dyDescent="0.2">
      <c r="A495" s="1"/>
    </row>
    <row r="501" spans="1:2" x14ac:dyDescent="0.2">
      <c r="B501" s="3"/>
    </row>
    <row r="502" spans="1:2" x14ac:dyDescent="0.2">
      <c r="B502" s="3"/>
    </row>
    <row r="504" spans="1:2" ht="16" x14ac:dyDescent="0.2">
      <c r="A504" s="1"/>
      <c r="B504" s="2"/>
    </row>
    <row r="511" spans="1:2" ht="16" x14ac:dyDescent="0.2">
      <c r="A511" s="1"/>
    </row>
    <row r="514" spans="1:7" ht="16" x14ac:dyDescent="0.2">
      <c r="A514" s="4"/>
      <c r="G514" s="4"/>
    </row>
    <row r="518" spans="1:7" x14ac:dyDescent="0.2">
      <c r="B518" s="5"/>
    </row>
    <row r="519" spans="1:7" x14ac:dyDescent="0.2">
      <c r="B519" s="5"/>
    </row>
    <row r="520" spans="1:7" ht="16" x14ac:dyDescent="0.2">
      <c r="A520" s="1"/>
      <c r="B520" s="2"/>
    </row>
    <row r="527" spans="1:7" ht="16" x14ac:dyDescent="0.2">
      <c r="A527" s="1"/>
    </row>
    <row r="530" spans="1:7" ht="16" x14ac:dyDescent="0.2">
      <c r="A530" s="4"/>
      <c r="G530" s="4"/>
    </row>
    <row r="531" spans="1:7" ht="16" x14ac:dyDescent="0.2">
      <c r="A531" s="4"/>
      <c r="G531" s="4"/>
    </row>
    <row r="534" spans="1:7" ht="16" x14ac:dyDescent="0.2">
      <c r="A534" s="1"/>
      <c r="B534" s="2"/>
    </row>
    <row r="541" spans="1:7" ht="16" x14ac:dyDescent="0.2">
      <c r="A541" s="1"/>
    </row>
    <row r="547" spans="1:7" x14ac:dyDescent="0.2">
      <c r="B547" s="3"/>
    </row>
    <row r="548" spans="1:7" x14ac:dyDescent="0.2">
      <c r="B548" s="3"/>
    </row>
    <row r="550" spans="1:7" ht="16" x14ac:dyDescent="0.2">
      <c r="A550" s="1"/>
      <c r="B550" s="2"/>
    </row>
    <row r="557" spans="1:7" ht="16" x14ac:dyDescent="0.2">
      <c r="A557" s="1"/>
    </row>
    <row r="560" spans="1:7" ht="16" x14ac:dyDescent="0.2">
      <c r="A560" s="4"/>
      <c r="G560" s="4"/>
    </row>
    <row r="564" spans="1:7" x14ac:dyDescent="0.2">
      <c r="B564" s="5"/>
    </row>
    <row r="566" spans="1:7" ht="16" x14ac:dyDescent="0.2">
      <c r="A566" s="1"/>
      <c r="B566" s="2"/>
    </row>
    <row r="573" spans="1:7" ht="16" x14ac:dyDescent="0.2">
      <c r="A573" s="1"/>
    </row>
    <row r="576" spans="1:7" ht="16" x14ac:dyDescent="0.2">
      <c r="A576" s="4"/>
      <c r="G576" s="4"/>
    </row>
    <row r="577" spans="1:7" ht="16" x14ac:dyDescent="0.2">
      <c r="A577" s="4"/>
      <c r="G577" s="4"/>
    </row>
    <row r="579" spans="1:7" ht="16" x14ac:dyDescent="0.2">
      <c r="A579" s="1"/>
      <c r="B579" s="2"/>
    </row>
    <row r="585" spans="1:7" ht="16" x14ac:dyDescent="0.2">
      <c r="A585" s="1"/>
    </row>
    <row r="590" spans="1:7" ht="16" x14ac:dyDescent="0.2">
      <c r="A590" s="1"/>
      <c r="B590" s="2"/>
    </row>
    <row r="596" spans="1:1" ht="16" x14ac:dyDescent="0.2">
      <c r="A596" s="1"/>
    </row>
  </sheetData>
  <autoFilter ref="A1:K596"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FT fuel - 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2020-03-25T12:54:37Z</dcterms:created>
  <dcterms:modified xsi:type="dcterms:W3CDTF">2023-12-14T11:48:52Z</dcterms:modified>
</cp:coreProperties>
</file>