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27"/>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BEBD2499-72F9-D840-AA85-3BB3EC694AB6}" xr6:coauthVersionLast="47" xr6:coauthVersionMax="47" xr10:uidLastSave="{00000000-0000-0000-0000-000000000000}"/>
  <bookViews>
    <workbookView xWindow="0" yWindow="760" windowWidth="30240" windowHeight="18880" xr2:uid="{00000000-000D-0000-FFFF-FFFF00000000}"/>
  </bookViews>
  <sheets>
    <sheet name="FT fuel - Diesel" sheetId="1" r:id="rId1"/>
  </sheets>
  <definedNames>
    <definedName name="_xlnm._FilterDatabase" localSheetId="0" hidden="1">'FT fuel - Diesel'!$A$1:$K$596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3" i="1" l="1"/>
  <c r="B230" i="1"/>
  <c r="B229" i="1"/>
  <c r="G227" i="1"/>
  <c r="A227" i="1"/>
  <c r="B106" i="1"/>
  <c r="B124" i="1"/>
  <c r="B142" i="1"/>
  <c r="B160" i="1"/>
  <c r="B178" i="1"/>
  <c r="B196" i="1"/>
  <c r="B214" i="1"/>
  <c r="B104" i="1"/>
  <c r="B103" i="1"/>
  <c r="B122" i="1"/>
  <c r="B121" i="1"/>
  <c r="B140" i="1"/>
  <c r="B139" i="1"/>
  <c r="B158" i="1"/>
  <c r="B157" i="1"/>
  <c r="B176" i="1"/>
  <c r="B175" i="1"/>
  <c r="B194" i="1"/>
  <c r="B193" i="1"/>
  <c r="B212" i="1"/>
  <c r="B211" i="1"/>
  <c r="B23" i="1"/>
  <c r="B45" i="1"/>
  <c r="B67" i="1"/>
  <c r="B89" i="1"/>
  <c r="B248" i="1" l="1"/>
</calcChain>
</file>

<file path=xl/sharedStrings.xml><?xml version="1.0" encoding="utf-8"?>
<sst xmlns="http://schemas.openxmlformats.org/spreadsheetml/2006/main" count="954" uniqueCount="103">
  <si>
    <t>Activity</t>
  </si>
  <si>
    <t>production amount</t>
  </si>
  <si>
    <t>reference product</t>
  </si>
  <si>
    <t>type</t>
  </si>
  <si>
    <t>process</t>
  </si>
  <si>
    <t>unit</t>
  </si>
  <si>
    <t>kilogram</t>
  </si>
  <si>
    <t>location</t>
  </si>
  <si>
    <t>RER</t>
  </si>
  <si>
    <t>comment</t>
  </si>
  <si>
    <t>Exchanges</t>
  </si>
  <si>
    <t>name</t>
  </si>
  <si>
    <t>amount</t>
  </si>
  <si>
    <t>categories</t>
  </si>
  <si>
    <t>database</t>
  </si>
  <si>
    <t>production</t>
  </si>
  <si>
    <t>From PEM electrolysis</t>
  </si>
  <si>
    <t>technosphere</t>
  </si>
  <si>
    <t>Heat, waste</t>
  </si>
  <si>
    <t>megajoule</t>
  </si>
  <si>
    <t>air</t>
  </si>
  <si>
    <t>biosphere</t>
  </si>
  <si>
    <t>biosphere3</t>
  </si>
  <si>
    <t>Water</t>
  </si>
  <si>
    <t>cubic meter</t>
  </si>
  <si>
    <t>water</t>
  </si>
  <si>
    <t>market group for electricity, low voltage</t>
  </si>
  <si>
    <t>kilowatt hour</t>
  </si>
  <si>
    <t>electricity, low voltage</t>
  </si>
  <si>
    <t>ecoinvent</t>
  </si>
  <si>
    <t>RWGS tank construction</t>
  </si>
  <si>
    <t>GLO</t>
  </si>
  <si>
    <t>Adapted from van der Giesen et al. 2014. Density of syngas: 0.470kg/m3 @1 bar. LHV: 23.9 MJ/kg.</t>
  </si>
  <si>
    <t>source</t>
  </si>
  <si>
    <t>Energy and Climate Impacts of Producing Synthetic Hydrocarbon Fuels from CO2, Coen van der Giesen, René Kleijn, and Gert Jan Kramer, Environmental Science &amp; Technology 2014 48 (12), 7111-7121, DOI: 10.1021/es500191g</t>
  </si>
  <si>
    <t>Car db</t>
  </si>
  <si>
    <t>Gas-to-liquid plant construction</t>
  </si>
  <si>
    <t>Gas-to-liquid plant</t>
  </si>
  <si>
    <t>Adapted from van der Giesen et al. 2014. LHV: 45 MJ/kg, Formula: C13H18, Density: 7551 kg/m3. Economic allocation between 3 other co-products. Allocation key for this co-product: 6%.</t>
  </si>
  <si>
    <t>Adapted from van der Giesen et al. 2014. LHV: 44.5 MJ/kg, Formula: C13H18, Density: 7551 kg/m3. Economic allocation between 3 other co-products. Allocation key for this co-product: 7%.</t>
  </si>
  <si>
    <t>Adapted from van der Giesen et al. 2014. LHV: 43.3 MJ/kg, Formula: C13H18, Density: 7551 kg/m3. Economic allocation between 3 other co-products. Allocation key for this co-product: 16%.</t>
  </si>
  <si>
    <t>Adapted from van der Giesen et al. 2014. LHV: 40.2 MJ/kg, Formula: C13H18, Density: 7551 kg/m3. Energy-based allocation between 3 other co-products. Allocation key for this co-product: 21%.</t>
  </si>
  <si>
    <t>Adapted from van der Giesen et al. 2014. LHV: 45 MJ/kg, Formula: C13H18, Density: 7551 kg/m3. Energy-based allocation between 3 other co-products. Allocation key for this co-product: 18%.</t>
  </si>
  <si>
    <t>Adapted from van der Giesen et al. 2014. LHV: 44.5 MJ/kg, Formula: C13H18, Density: 7551 kg/m3. Energy-based allocation between 3 other co-products. Allocation key for this co-product: 24%.</t>
  </si>
  <si>
    <t>Adapted from van der Giesen et al. 2014. LHV: 43.3 MJ/kg, Formula: C13H18, Density: 7551 kg/m3. Energy-based allocation between 3 other co-products. Allocation key for this co-product: 37%. Post corrected to preserve carbon balance.</t>
  </si>
  <si>
    <t>Fixed bed reactor for RWGS</t>
  </si>
  <si>
    <t>Fixed bed reactor</t>
  </si>
  <si>
    <t>CH</t>
  </si>
  <si>
    <t>Europe without Switzerland</t>
  </si>
  <si>
    <t>uncertainty type</t>
  </si>
  <si>
    <t>loc</t>
  </si>
  <si>
    <t>allocation</t>
  </si>
  <si>
    <t/>
  </si>
  <si>
    <t>market for fly ash and scrubber sludge</t>
  </si>
  <si>
    <t>fly ash and scrubber sludge</t>
  </si>
  <si>
    <t>market for heat, central or small-scale, other than natural gas</t>
  </si>
  <si>
    <t>heat, central or small-scale, other than natural gas</t>
  </si>
  <si>
    <t>infrastructure construction, for regional distribution of oil product</t>
  </si>
  <si>
    <t>infrastructure, for regional distribution of oil product</t>
  </si>
  <si>
    <t>market for municipal solid waste</t>
  </si>
  <si>
    <t>municipal solid waste</t>
  </si>
  <si>
    <t>market for rainwater mineral oil storage</t>
  </si>
  <si>
    <t>rainwater mineral oil storage</t>
  </si>
  <si>
    <t>market for tap water</t>
  </si>
  <si>
    <t>tap water</t>
  </si>
  <si>
    <t>market for transport, freight train</t>
  </si>
  <si>
    <t>ton kilometer</t>
  </si>
  <si>
    <t>transport, freight train</t>
  </si>
  <si>
    <t>market for transport, freight, lorry, unspecified</t>
  </si>
  <si>
    <t>transport, freight, lorry, unspecified</t>
  </si>
  <si>
    <t>wastewater, average</t>
  </si>
  <si>
    <t>diesel, synthetic, vehicle grade</t>
  </si>
  <si>
    <t>treatment of wastewater, average, capacity 1E9l/year</t>
  </si>
  <si>
    <t>kerosene, synthetic</t>
  </si>
  <si>
    <t>synfuel from wood gasification</t>
  </si>
  <si>
    <t>hydrogen production, gaseous, 25 bar, from gasification of woody biomass in entrained flow gasifier, at gasification plant</t>
  </si>
  <si>
    <t>kerosene production, synthetic, from Fischer Tropsch process, hydrogen from wood gasification, economic allocation, at fuelling station</t>
  </si>
  <si>
    <t>diesel production, synthetic, from Fischer Tropsch process, hydrogen from wood gasification, economic allocation, at fuelling station</t>
  </si>
  <si>
    <t>kerosene production, synthetic, from Fischer Tropsch process, hydrogen from wood gasification, energy allocation, at fuelling station</t>
  </si>
  <si>
    <t>diesel production, synthetic, from Fischer Tropsch process, hydrogen from wood gasification, energy allocation, at fuelling station</t>
  </si>
  <si>
    <t>natural resource::in air</t>
  </si>
  <si>
    <t>Carbon dioxide, non-fossil</t>
  </si>
  <si>
    <t>Carbon dioxide, in air</t>
  </si>
  <si>
    <t>Adapted from van der Giesen et al. 2014. Density of syngas: 0.470kg/m3 @1 bar. LHV: 23.9 MJ/kg.
The source for CO2 is from the gasification step to produce the H2. Hence, it comes free of burden.
However, this means we need to reduce the CO2 amount emitted by the gasification process here, as it effectively ends up in the fuel instead.</t>
  </si>
  <si>
    <t>hydrogen, gaseous, 25 bar</t>
  </si>
  <si>
    <t>kerosene production, synthetic, Fischer Tropsch process, hydrogen from wood gasification, economic allocation</t>
  </si>
  <si>
    <t>diesel production, synthetic, Fischer Tropsch process, hydrogen from wood gasification, economic allocation</t>
  </si>
  <si>
    <t>diesel, synthetic</t>
  </si>
  <si>
    <t>kerosene production, synthetic, Fischer Tropsch process, hydrogen from wood gasification, energy allocation</t>
  </si>
  <si>
    <t>diesel production, synthetic, Fischer Tropsch process, hydrogen from wood gasification, energy allocation</t>
  </si>
  <si>
    <t>syngas, RWGS, Production, for Fischer Tropsch process, hydrogen from wood gasification</t>
  </si>
  <si>
    <t>syngas, RWGS, Production</t>
  </si>
  <si>
    <t>naphtha production, synthetic, Fischer Tropsch process, hydrogen from wood gasification, economic allocation</t>
  </si>
  <si>
    <t>naphtha, synthetic</t>
  </si>
  <si>
    <t>lubricating oil production, synthetic, Fischer Tropsch process, hydrogen from wood gasification, energy allocation</t>
  </si>
  <si>
    <t>lubricating oil, synthetic</t>
  </si>
  <si>
    <t>naphtha production, synthetic, Fischer Tropsch process, hydrogen from wood gasification, energy allocation</t>
  </si>
  <si>
    <t>carbon monoxide, from RWGS, for Fischer Tropsch process, hydrogen from wood gasification</t>
  </si>
  <si>
    <t>carbon monoxide, from RWGS</t>
  </si>
  <si>
    <t>liquefied petroleum gas, synthetic</t>
  </si>
  <si>
    <t>Adapted from A.E.M. van den Oever, D. Costa, M. Messagie, Prospective life cycle assessment of alternatively fueled heavy-duty trucks, Applied Energy, 2023, https://doi.org/10.1016/j.apenergy.2023.120834. Energy-based allocation between 3 other co-products (diesel, wax and C5-C10 olefins). Allocation key for this co-product: 11%. Post corrected to preserve carbon balance.</t>
  </si>
  <si>
    <t xml:space="preserve"> A.E.M. van den Oever, D. Costa, M. Messagie, Prospective life cycle assessment of alternatively fueled heavy-duty trucks, Applied Energy, 2023, https://doi.org/10.1016/j.apenergy.2023.120834</t>
  </si>
  <si>
    <t>liquefied petroleum gas production, synthetic, Fischer Tropsch process, hydrogen from wood gasification,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</si>
</sst>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6" x14ac:knownFonts="1">
    <font>
      <sz val="11"/>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
      <sz val="10"/>
      <color rgb="FF000000"/>
      <name val="Calibri"/>
      <family val="2"/>
      <scheme val="minor"/>
    </font>
  </fonts>
  <fills count="4">
    <fill>
      <patternFill patternType="none"/>
    </fill>
    <fill>
      <patternFill patternType="gray125"/>
    </fill>
    <fill>
      <patternFill patternType="solid">
        <fgColor theme="8" tint="0.79998168889431442"/>
        <bgColor indexed="64"/>
      </patternFill>
    </fill>
    <fill>
      <patternFill patternType="solid">
        <fgColor theme="6" tint="0.79998168889431442"/>
        <bgColor indexed="64"/>
      </patternFill>
    </fill>
  </fills>
  <borders count="1">
    <border>
      <left/>
      <right/>
      <top/>
      <bottom/>
      <diagonal/>
    </border>
  </borders>
  <cellStyleXfs count="1">
    <xf numFmtId="0" fontId="0" fillId="0" borderId="0"/>
  </cellStyleXfs>
  <cellXfs count="15">
    <xf numFmtId="0" fontId="0" fillId="0" borderId="0" xfId="0"/>
    <xf numFmtId="0" fontId="3" fillId="0" borderId="0" xfId="0" applyFont="1"/>
    <xf numFmtId="0" fontId="2" fillId="0" borderId="0" xfId="0" applyFont="1"/>
    <xf numFmtId="11" fontId="0" fillId="0" borderId="0" xfId="0" applyNumberFormat="1"/>
    <xf numFmtId="0" fontId="4" fillId="0" borderId="0" xfId="0" applyFont="1"/>
    <xf numFmtId="11" fontId="5" fillId="0" borderId="0" xfId="0" applyNumberFormat="1" applyFont="1"/>
    <xf numFmtId="0" fontId="3" fillId="2" borderId="0" xfId="0" applyFont="1" applyFill="1"/>
    <xf numFmtId="0" fontId="2" fillId="2" borderId="0" xfId="0" applyFont="1" applyFill="1"/>
    <xf numFmtId="0" fontId="0" fillId="2" borderId="0" xfId="0" applyFill="1"/>
    <xf numFmtId="11" fontId="0" fillId="2" borderId="0" xfId="0" applyNumberFormat="1" applyFill="1"/>
    <xf numFmtId="0" fontId="4" fillId="2" borderId="0" xfId="0" applyFont="1" applyFill="1"/>
    <xf numFmtId="11" fontId="5" fillId="2" borderId="0" xfId="0" applyNumberFormat="1" applyFont="1" applyFill="1"/>
    <xf numFmtId="0" fontId="0" fillId="3" borderId="0" xfId="0" applyFill="1"/>
    <xf numFmtId="164" fontId="0" fillId="2" borderId="0" xfId="0" applyNumberFormat="1" applyFill="1"/>
    <xf numFmtId="0" fontId="1" fillId="2"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96"/>
  <sheetViews>
    <sheetView tabSelected="1" topLeftCell="A148" workbookViewId="0">
      <selection activeCell="B163" sqref="B163"/>
    </sheetView>
  </sheetViews>
  <sheetFormatPr baseColWidth="10" defaultColWidth="8.83203125" defaultRowHeight="15" x14ac:dyDescent="0.2"/>
  <cols>
    <col min="1" max="1" width="71" customWidth="1"/>
    <col min="2" max="2" width="32.5" customWidth="1"/>
    <col min="3" max="3" width="24.1640625" bestFit="1" customWidth="1"/>
    <col min="7" max="7" width="21" customWidth="1"/>
  </cols>
  <sheetData>
    <row r="1" spans="1:11" x14ac:dyDescent="0.2">
      <c r="A1" s="2" t="s">
        <v>14</v>
      </c>
      <c r="B1" t="s">
        <v>74</v>
      </c>
    </row>
    <row r="2" spans="1:11" x14ac:dyDescent="0.2">
      <c r="A2" s="2"/>
    </row>
    <row r="3" spans="1:11" s="8" customFormat="1" ht="16" x14ac:dyDescent="0.2">
      <c r="A3" s="6" t="s">
        <v>0</v>
      </c>
      <c r="B3" s="6" t="s">
        <v>76</v>
      </c>
    </row>
    <row r="4" spans="1:11" s="8" customFormat="1" x14ac:dyDescent="0.2">
      <c r="A4" s="8" t="s">
        <v>7</v>
      </c>
      <c r="B4" s="8" t="s">
        <v>8</v>
      </c>
    </row>
    <row r="5" spans="1:11" s="8" customFormat="1" x14ac:dyDescent="0.2">
      <c r="A5" s="8" t="s">
        <v>1</v>
      </c>
      <c r="B5" s="8">
        <v>1</v>
      </c>
    </row>
    <row r="6" spans="1:11" s="8" customFormat="1" ht="16" x14ac:dyDescent="0.2">
      <c r="A6" s="8" t="s">
        <v>2</v>
      </c>
      <c r="B6" s="10" t="s">
        <v>73</v>
      </c>
    </row>
    <row r="7" spans="1:11" s="8" customFormat="1" x14ac:dyDescent="0.2">
      <c r="A7" s="8" t="s">
        <v>3</v>
      </c>
      <c r="B7" s="8" t="s">
        <v>4</v>
      </c>
    </row>
    <row r="8" spans="1:11" s="8" customFormat="1" x14ac:dyDescent="0.2">
      <c r="A8" s="8" t="s">
        <v>5</v>
      </c>
      <c r="B8" s="8" t="s">
        <v>6</v>
      </c>
    </row>
    <row r="9" spans="1:11" s="8" customFormat="1" ht="16" x14ac:dyDescent="0.2">
      <c r="A9" s="6" t="s">
        <v>10</v>
      </c>
    </row>
    <row r="10" spans="1:11" s="8" customFormat="1" x14ac:dyDescent="0.2">
      <c r="A10" s="8" t="s">
        <v>11</v>
      </c>
      <c r="B10" s="8" t="s">
        <v>12</v>
      </c>
      <c r="C10" s="8" t="s">
        <v>7</v>
      </c>
      <c r="D10" s="8" t="s">
        <v>5</v>
      </c>
      <c r="E10" s="8" t="s">
        <v>13</v>
      </c>
      <c r="F10" s="8" t="s">
        <v>3</v>
      </c>
      <c r="G10" s="8" t="s">
        <v>49</v>
      </c>
      <c r="H10" s="8" t="s">
        <v>50</v>
      </c>
      <c r="I10" s="8" t="s">
        <v>51</v>
      </c>
      <c r="J10" s="8" t="s">
        <v>9</v>
      </c>
      <c r="K10" s="8" t="s">
        <v>2</v>
      </c>
    </row>
    <row r="11" spans="1:11" s="8" customFormat="1" ht="16" x14ac:dyDescent="0.2">
      <c r="A11" s="8" t="s">
        <v>76</v>
      </c>
      <c r="B11" s="8">
        <v>1</v>
      </c>
      <c r="C11" s="8" t="s">
        <v>8</v>
      </c>
      <c r="D11" s="8" t="s">
        <v>6</v>
      </c>
      <c r="F11" s="8" t="s">
        <v>15</v>
      </c>
      <c r="I11" s="8">
        <v>100</v>
      </c>
      <c r="J11" s="8" t="s">
        <v>52</v>
      </c>
      <c r="K11" s="10" t="s">
        <v>73</v>
      </c>
    </row>
    <row r="12" spans="1:11" s="8" customFormat="1" x14ac:dyDescent="0.2">
      <c r="A12" s="8" t="s">
        <v>85</v>
      </c>
      <c r="B12" s="8">
        <v>1.00057</v>
      </c>
      <c r="C12" s="8" t="s">
        <v>8</v>
      </c>
      <c r="D12" s="8" t="s">
        <v>6</v>
      </c>
      <c r="F12" s="8" t="s">
        <v>17</v>
      </c>
      <c r="K12" s="8" t="s">
        <v>73</v>
      </c>
    </row>
    <row r="13" spans="1:11" s="8" customFormat="1" x14ac:dyDescent="0.2">
      <c r="A13" s="8" t="s">
        <v>26</v>
      </c>
      <c r="B13" s="8">
        <v>6.7000000000000002E-3</v>
      </c>
      <c r="C13" s="8" t="s">
        <v>8</v>
      </c>
      <c r="D13" s="8" t="s">
        <v>27</v>
      </c>
      <c r="F13" s="8" t="s">
        <v>17</v>
      </c>
      <c r="K13" s="8" t="s">
        <v>28</v>
      </c>
    </row>
    <row r="14" spans="1:11" s="8" customFormat="1" x14ac:dyDescent="0.2">
      <c r="A14" s="8" t="s">
        <v>53</v>
      </c>
      <c r="B14" s="9">
        <v>1.8499999999999999E-5</v>
      </c>
      <c r="C14" s="8" t="s">
        <v>48</v>
      </c>
      <c r="D14" s="8" t="s">
        <v>6</v>
      </c>
      <c r="F14" s="8" t="s">
        <v>17</v>
      </c>
      <c r="K14" s="8" t="s">
        <v>54</v>
      </c>
    </row>
    <row r="15" spans="1:11" s="8" customFormat="1" x14ac:dyDescent="0.2">
      <c r="A15" s="8" t="s">
        <v>55</v>
      </c>
      <c r="B15" s="9">
        <v>5.8399999999999999E-4</v>
      </c>
      <c r="C15" s="8" t="s">
        <v>47</v>
      </c>
      <c r="D15" s="8" t="s">
        <v>19</v>
      </c>
      <c r="F15" s="8" t="s">
        <v>17</v>
      </c>
      <c r="K15" s="8" t="s">
        <v>56</v>
      </c>
    </row>
    <row r="16" spans="1:11" s="8" customFormat="1" x14ac:dyDescent="0.2">
      <c r="A16" s="8" t="s">
        <v>57</v>
      </c>
      <c r="B16" s="9">
        <v>1.04E-10</v>
      </c>
      <c r="C16" s="8" t="s">
        <v>8</v>
      </c>
      <c r="D16" s="8" t="s">
        <v>5</v>
      </c>
      <c r="F16" s="8" t="s">
        <v>17</v>
      </c>
      <c r="K16" s="8" t="s">
        <v>58</v>
      </c>
    </row>
    <row r="17" spans="1:11" s="8" customFormat="1" x14ac:dyDescent="0.2">
      <c r="A17" s="8" t="s">
        <v>59</v>
      </c>
      <c r="B17" s="9">
        <v>-6.2700000000000001E-6</v>
      </c>
      <c r="C17" s="8" t="s">
        <v>47</v>
      </c>
      <c r="D17" s="8" t="s">
        <v>6</v>
      </c>
      <c r="F17" s="8" t="s">
        <v>17</v>
      </c>
      <c r="K17" s="8" t="s">
        <v>60</v>
      </c>
    </row>
    <row r="18" spans="1:11" s="8" customFormat="1" x14ac:dyDescent="0.2">
      <c r="A18" s="8" t="s">
        <v>61</v>
      </c>
      <c r="B18" s="9">
        <v>-5.0000000000000002E-5</v>
      </c>
      <c r="C18" s="8" t="s">
        <v>48</v>
      </c>
      <c r="D18" s="12" t="s">
        <v>24</v>
      </c>
      <c r="F18" s="8" t="s">
        <v>17</v>
      </c>
      <c r="K18" s="8" t="s">
        <v>62</v>
      </c>
    </row>
    <row r="19" spans="1:11" s="8" customFormat="1" x14ac:dyDescent="0.2">
      <c r="A19" s="8" t="s">
        <v>63</v>
      </c>
      <c r="B19" s="9">
        <v>6.8900000000000005E-4</v>
      </c>
      <c r="C19" s="8" t="s">
        <v>48</v>
      </c>
      <c r="D19" s="8" t="s">
        <v>6</v>
      </c>
      <c r="F19" s="8" t="s">
        <v>17</v>
      </c>
      <c r="K19" s="8" t="s">
        <v>64</v>
      </c>
    </row>
    <row r="20" spans="1:11" s="8" customFormat="1" x14ac:dyDescent="0.2">
      <c r="A20" s="8" t="s">
        <v>65</v>
      </c>
      <c r="B20" s="8">
        <v>3.3599999999999998E-2</v>
      </c>
      <c r="C20" s="8" t="s">
        <v>48</v>
      </c>
      <c r="D20" s="8" t="s">
        <v>66</v>
      </c>
      <c r="F20" s="8" t="s">
        <v>17</v>
      </c>
      <c r="K20" s="8" t="s">
        <v>67</v>
      </c>
    </row>
    <row r="21" spans="1:11" s="8" customFormat="1" x14ac:dyDescent="0.2">
      <c r="A21" s="8" t="s">
        <v>68</v>
      </c>
      <c r="B21" s="8">
        <v>3.2599999999999997E-2</v>
      </c>
      <c r="C21" s="8" t="s">
        <v>8</v>
      </c>
      <c r="D21" s="8" t="s">
        <v>66</v>
      </c>
      <c r="F21" s="8" t="s">
        <v>17</v>
      </c>
      <c r="K21" s="8" t="s">
        <v>69</v>
      </c>
    </row>
    <row r="22" spans="1:11" s="8" customFormat="1" x14ac:dyDescent="0.2">
      <c r="A22" s="8" t="s">
        <v>72</v>
      </c>
      <c r="B22" s="9">
        <v>-6.8899999999999999E-7</v>
      </c>
      <c r="C22" s="8" t="s">
        <v>48</v>
      </c>
      <c r="D22" s="8" t="s">
        <v>24</v>
      </c>
      <c r="F22" s="8" t="s">
        <v>17</v>
      </c>
      <c r="K22" s="8" t="s">
        <v>70</v>
      </c>
    </row>
    <row r="23" spans="1:11" s="8" customFormat="1" x14ac:dyDescent="0.2">
      <c r="A23" s="8" t="s">
        <v>81</v>
      </c>
      <c r="B23" s="9">
        <f>(B12-1)*3.14</f>
        <v>1.7897999999998727E-3</v>
      </c>
      <c r="D23" s="8" t="s">
        <v>6</v>
      </c>
      <c r="E23" s="8" t="s">
        <v>20</v>
      </c>
      <c r="F23" s="8" t="s">
        <v>21</v>
      </c>
    </row>
    <row r="24" spans="1:11" s="8" customFormat="1" ht="16" x14ac:dyDescent="0.2">
      <c r="A24" s="10"/>
      <c r="B24" s="13"/>
      <c r="G24" s="10"/>
    </row>
    <row r="25" spans="1:11" s="8" customFormat="1" ht="16" x14ac:dyDescent="0.2">
      <c r="A25" s="6" t="s">
        <v>0</v>
      </c>
      <c r="B25" s="6" t="s">
        <v>77</v>
      </c>
    </row>
    <row r="26" spans="1:11" s="8" customFormat="1" x14ac:dyDescent="0.2">
      <c r="A26" s="8" t="s">
        <v>7</v>
      </c>
      <c r="B26" s="8" t="s">
        <v>8</v>
      </c>
    </row>
    <row r="27" spans="1:11" s="8" customFormat="1" x14ac:dyDescent="0.2">
      <c r="A27" s="8" t="s">
        <v>1</v>
      </c>
      <c r="B27" s="8">
        <v>1</v>
      </c>
    </row>
    <row r="28" spans="1:11" s="8" customFormat="1" ht="16" x14ac:dyDescent="0.2">
      <c r="A28" s="8" t="s">
        <v>2</v>
      </c>
      <c r="B28" s="10" t="s">
        <v>71</v>
      </c>
    </row>
    <row r="29" spans="1:11" s="8" customFormat="1" x14ac:dyDescent="0.2">
      <c r="A29" s="8" t="s">
        <v>3</v>
      </c>
      <c r="B29" s="8" t="s">
        <v>4</v>
      </c>
    </row>
    <row r="30" spans="1:11" s="8" customFormat="1" x14ac:dyDescent="0.2">
      <c r="A30" s="8" t="s">
        <v>5</v>
      </c>
      <c r="B30" s="8" t="s">
        <v>6</v>
      </c>
    </row>
    <row r="31" spans="1:11" s="8" customFormat="1" ht="16" x14ac:dyDescent="0.2">
      <c r="A31" s="6" t="s">
        <v>10</v>
      </c>
    </row>
    <row r="32" spans="1:11" s="8" customFormat="1" x14ac:dyDescent="0.2">
      <c r="A32" s="8" t="s">
        <v>11</v>
      </c>
      <c r="B32" s="8" t="s">
        <v>12</v>
      </c>
      <c r="C32" s="8" t="s">
        <v>7</v>
      </c>
      <c r="D32" s="8" t="s">
        <v>5</v>
      </c>
      <c r="E32" s="8" t="s">
        <v>13</v>
      </c>
      <c r="F32" s="8" t="s">
        <v>3</v>
      </c>
      <c r="G32" s="8" t="s">
        <v>49</v>
      </c>
      <c r="H32" s="8" t="s">
        <v>50</v>
      </c>
      <c r="I32" s="8" t="s">
        <v>51</v>
      </c>
      <c r="J32" s="8" t="s">
        <v>9</v>
      </c>
      <c r="K32" s="8" t="s">
        <v>2</v>
      </c>
    </row>
    <row r="33" spans="1:11" s="8" customFormat="1" ht="16" x14ac:dyDescent="0.2">
      <c r="A33" s="8" t="s">
        <v>77</v>
      </c>
      <c r="B33" s="8">
        <v>1</v>
      </c>
      <c r="C33" s="8" t="s">
        <v>8</v>
      </c>
      <c r="D33" s="8" t="s">
        <v>6</v>
      </c>
      <c r="F33" s="8" t="s">
        <v>15</v>
      </c>
      <c r="I33" s="8">
        <v>100</v>
      </c>
      <c r="J33" s="8" t="s">
        <v>52</v>
      </c>
      <c r="K33" s="10" t="s">
        <v>71</v>
      </c>
    </row>
    <row r="34" spans="1:11" s="8" customFormat="1" x14ac:dyDescent="0.2">
      <c r="A34" s="8" t="s">
        <v>86</v>
      </c>
      <c r="B34" s="8">
        <v>1.00057</v>
      </c>
      <c r="C34" s="8" t="s">
        <v>8</v>
      </c>
      <c r="D34" s="8" t="s">
        <v>6</v>
      </c>
      <c r="F34" s="8" t="s">
        <v>17</v>
      </c>
      <c r="K34" s="8" t="s">
        <v>87</v>
      </c>
    </row>
    <row r="35" spans="1:11" s="8" customFormat="1" x14ac:dyDescent="0.2">
      <c r="A35" s="8" t="s">
        <v>26</v>
      </c>
      <c r="B35" s="8">
        <v>6.7000000000000002E-3</v>
      </c>
      <c r="C35" s="8" t="s">
        <v>8</v>
      </c>
      <c r="D35" s="8" t="s">
        <v>27</v>
      </c>
      <c r="F35" s="8" t="s">
        <v>17</v>
      </c>
      <c r="K35" s="8" t="s">
        <v>28</v>
      </c>
    </row>
    <row r="36" spans="1:11" s="8" customFormat="1" x14ac:dyDescent="0.2">
      <c r="A36" s="8" t="s">
        <v>53</v>
      </c>
      <c r="B36" s="8">
        <v>-1.6799999999999999E-4</v>
      </c>
      <c r="C36" s="8" t="s">
        <v>48</v>
      </c>
      <c r="D36" s="8" t="s">
        <v>6</v>
      </c>
      <c r="F36" s="8" t="s">
        <v>17</v>
      </c>
      <c r="K36" s="8" t="s">
        <v>54</v>
      </c>
    </row>
    <row r="37" spans="1:11" s="8" customFormat="1" x14ac:dyDescent="0.2">
      <c r="A37" s="8" t="s">
        <v>55</v>
      </c>
      <c r="B37" s="9">
        <v>5.8399999999999999E-4</v>
      </c>
      <c r="C37" s="8" t="s">
        <v>47</v>
      </c>
      <c r="D37" s="8" t="s">
        <v>19</v>
      </c>
      <c r="F37" s="8" t="s">
        <v>17</v>
      </c>
      <c r="K37" s="8" t="s">
        <v>56</v>
      </c>
    </row>
    <row r="38" spans="1:11" s="8" customFormat="1" x14ac:dyDescent="0.2">
      <c r="A38" s="8" t="s">
        <v>57</v>
      </c>
      <c r="B38" s="9">
        <v>2.5999999999999998E-10</v>
      </c>
      <c r="C38" s="8" t="s">
        <v>8</v>
      </c>
      <c r="D38" s="8" t="s">
        <v>5</v>
      </c>
      <c r="F38" s="8" t="s">
        <v>17</v>
      </c>
      <c r="K38" s="8" t="s">
        <v>58</v>
      </c>
    </row>
    <row r="39" spans="1:11" s="8" customFormat="1" x14ac:dyDescent="0.2">
      <c r="A39" s="8" t="s">
        <v>59</v>
      </c>
      <c r="B39" s="9">
        <v>-6.2700000000000001E-6</v>
      </c>
      <c r="C39" s="8" t="s">
        <v>47</v>
      </c>
      <c r="D39" s="8" t="s">
        <v>6</v>
      </c>
      <c r="F39" s="8" t="s">
        <v>17</v>
      </c>
      <c r="K39" s="8" t="s">
        <v>60</v>
      </c>
    </row>
    <row r="40" spans="1:11" s="8" customFormat="1" x14ac:dyDescent="0.2">
      <c r="A40" s="8" t="s">
        <v>61</v>
      </c>
      <c r="B40" s="9">
        <v>-7.4999999999999993E-5</v>
      </c>
      <c r="C40" s="8" t="s">
        <v>48</v>
      </c>
      <c r="D40" s="12" t="s">
        <v>24</v>
      </c>
      <c r="F40" s="8" t="s">
        <v>17</v>
      </c>
      <c r="K40" s="8" t="s">
        <v>62</v>
      </c>
    </row>
    <row r="41" spans="1:11" s="8" customFormat="1" x14ac:dyDescent="0.2">
      <c r="A41" s="8" t="s">
        <v>63</v>
      </c>
      <c r="B41" s="9">
        <v>6.8900000000000005E-4</v>
      </c>
      <c r="C41" s="8" t="s">
        <v>48</v>
      </c>
      <c r="D41" s="8" t="s">
        <v>6</v>
      </c>
      <c r="F41" s="8" t="s">
        <v>17</v>
      </c>
      <c r="K41" s="8" t="s">
        <v>64</v>
      </c>
    </row>
    <row r="42" spans="1:11" s="8" customFormat="1" x14ac:dyDescent="0.2">
      <c r="A42" s="8" t="s">
        <v>65</v>
      </c>
      <c r="B42" s="8">
        <v>3.3599999999999998E-2</v>
      </c>
      <c r="C42" s="8" t="s">
        <v>48</v>
      </c>
      <c r="D42" s="8" t="s">
        <v>66</v>
      </c>
      <c r="F42" s="8" t="s">
        <v>17</v>
      </c>
      <c r="K42" s="8" t="s">
        <v>67</v>
      </c>
    </row>
    <row r="43" spans="1:11" s="8" customFormat="1" x14ac:dyDescent="0.2">
      <c r="A43" s="8" t="s">
        <v>68</v>
      </c>
      <c r="B43" s="8">
        <v>3.2599999999999997E-2</v>
      </c>
      <c r="C43" s="8" t="s">
        <v>8</v>
      </c>
      <c r="D43" s="8" t="s">
        <v>66</v>
      </c>
      <c r="F43" s="8" t="s">
        <v>17</v>
      </c>
      <c r="K43" s="8" t="s">
        <v>69</v>
      </c>
    </row>
    <row r="44" spans="1:11" s="8" customFormat="1" x14ac:dyDescent="0.2">
      <c r="A44" s="8" t="s">
        <v>72</v>
      </c>
      <c r="B44" s="9">
        <v>-6.8899999999999999E-7</v>
      </c>
      <c r="C44" s="8" t="s">
        <v>48</v>
      </c>
      <c r="D44" s="8" t="s">
        <v>24</v>
      </c>
      <c r="F44" s="8" t="s">
        <v>17</v>
      </c>
      <c r="K44" s="8" t="s">
        <v>70</v>
      </c>
    </row>
    <row r="45" spans="1:11" s="8" customFormat="1" x14ac:dyDescent="0.2">
      <c r="A45" s="8" t="s">
        <v>81</v>
      </c>
      <c r="B45" s="9">
        <f>(B34-1)*3.14</f>
        <v>1.7897999999998727E-3</v>
      </c>
      <c r="D45" s="8" t="s">
        <v>6</v>
      </c>
      <c r="E45" s="8" t="s">
        <v>20</v>
      </c>
      <c r="F45" s="8" t="s">
        <v>21</v>
      </c>
    </row>
    <row r="46" spans="1:11" s="8" customFormat="1" ht="16" x14ac:dyDescent="0.2">
      <c r="A46" s="10"/>
      <c r="B46" s="13"/>
      <c r="G46" s="10"/>
    </row>
    <row r="47" spans="1:11" s="8" customFormat="1" ht="16" x14ac:dyDescent="0.2">
      <c r="A47" s="6" t="s">
        <v>0</v>
      </c>
      <c r="B47" s="6" t="s">
        <v>78</v>
      </c>
    </row>
    <row r="48" spans="1:11" s="8" customFormat="1" x14ac:dyDescent="0.2">
      <c r="A48" s="8" t="s">
        <v>7</v>
      </c>
      <c r="B48" s="8" t="s">
        <v>8</v>
      </c>
    </row>
    <row r="49" spans="1:11" s="8" customFormat="1" x14ac:dyDescent="0.2">
      <c r="A49" s="8" t="s">
        <v>1</v>
      </c>
      <c r="B49" s="8">
        <v>1</v>
      </c>
    </row>
    <row r="50" spans="1:11" s="8" customFormat="1" ht="16" x14ac:dyDescent="0.2">
      <c r="A50" s="8" t="s">
        <v>2</v>
      </c>
      <c r="B50" s="10" t="s">
        <v>73</v>
      </c>
    </row>
    <row r="51" spans="1:11" s="8" customFormat="1" x14ac:dyDescent="0.2">
      <c r="A51" s="8" t="s">
        <v>3</v>
      </c>
      <c r="B51" s="8" t="s">
        <v>4</v>
      </c>
    </row>
    <row r="52" spans="1:11" s="8" customFormat="1" x14ac:dyDescent="0.2">
      <c r="A52" s="8" t="s">
        <v>5</v>
      </c>
      <c r="B52" s="8" t="s">
        <v>6</v>
      </c>
    </row>
    <row r="53" spans="1:11" s="8" customFormat="1" ht="16" x14ac:dyDescent="0.2">
      <c r="A53" s="6" t="s">
        <v>10</v>
      </c>
    </row>
    <row r="54" spans="1:11" s="8" customFormat="1" x14ac:dyDescent="0.2">
      <c r="A54" s="8" t="s">
        <v>11</v>
      </c>
      <c r="B54" s="8" t="s">
        <v>12</v>
      </c>
      <c r="C54" s="8" t="s">
        <v>7</v>
      </c>
      <c r="D54" s="8" t="s">
        <v>5</v>
      </c>
      <c r="E54" s="8" t="s">
        <v>13</v>
      </c>
      <c r="F54" s="8" t="s">
        <v>3</v>
      </c>
      <c r="G54" s="8" t="s">
        <v>49</v>
      </c>
      <c r="H54" s="8" t="s">
        <v>50</v>
      </c>
      <c r="I54" s="8" t="s">
        <v>51</v>
      </c>
      <c r="J54" s="8" t="s">
        <v>9</v>
      </c>
      <c r="K54" s="8" t="s">
        <v>2</v>
      </c>
    </row>
    <row r="55" spans="1:11" s="8" customFormat="1" ht="16" x14ac:dyDescent="0.2">
      <c r="A55" s="8" t="s">
        <v>78</v>
      </c>
      <c r="B55" s="8">
        <v>1</v>
      </c>
      <c r="C55" s="8" t="s">
        <v>8</v>
      </c>
      <c r="D55" s="8" t="s">
        <v>6</v>
      </c>
      <c r="F55" s="8" t="s">
        <v>15</v>
      </c>
      <c r="I55" s="8">
        <v>100</v>
      </c>
      <c r="J55" s="8" t="s">
        <v>52</v>
      </c>
      <c r="K55" s="10" t="s">
        <v>73</v>
      </c>
    </row>
    <row r="56" spans="1:11" s="8" customFormat="1" x14ac:dyDescent="0.2">
      <c r="A56" s="8" t="s">
        <v>88</v>
      </c>
      <c r="B56" s="8">
        <v>1.00057</v>
      </c>
      <c r="C56" s="8" t="s">
        <v>8</v>
      </c>
      <c r="D56" s="8" t="s">
        <v>6</v>
      </c>
      <c r="F56" s="8" t="s">
        <v>17</v>
      </c>
      <c r="K56" s="8" t="s">
        <v>73</v>
      </c>
    </row>
    <row r="57" spans="1:11" s="8" customFormat="1" x14ac:dyDescent="0.2">
      <c r="A57" s="8" t="s">
        <v>26</v>
      </c>
      <c r="B57" s="8">
        <v>6.7000000000000002E-3</v>
      </c>
      <c r="C57" s="8" t="s">
        <v>8</v>
      </c>
      <c r="D57" s="8" t="s">
        <v>27</v>
      </c>
      <c r="F57" s="8" t="s">
        <v>17</v>
      </c>
      <c r="K57" s="8" t="s">
        <v>28</v>
      </c>
    </row>
    <row r="58" spans="1:11" s="8" customFormat="1" x14ac:dyDescent="0.2">
      <c r="A58" s="8" t="s">
        <v>53</v>
      </c>
      <c r="B58" s="9">
        <v>1.8499999999999999E-5</v>
      </c>
      <c r="C58" s="8" t="s">
        <v>48</v>
      </c>
      <c r="D58" s="8" t="s">
        <v>6</v>
      </c>
      <c r="F58" s="8" t="s">
        <v>17</v>
      </c>
      <c r="K58" s="8" t="s">
        <v>54</v>
      </c>
    </row>
    <row r="59" spans="1:11" s="8" customFormat="1" x14ac:dyDescent="0.2">
      <c r="A59" s="8" t="s">
        <v>55</v>
      </c>
      <c r="B59" s="9">
        <v>5.8399999999999999E-4</v>
      </c>
      <c r="C59" s="8" t="s">
        <v>47</v>
      </c>
      <c r="D59" s="8" t="s">
        <v>19</v>
      </c>
      <c r="F59" s="8" t="s">
        <v>17</v>
      </c>
      <c r="K59" s="8" t="s">
        <v>56</v>
      </c>
    </row>
    <row r="60" spans="1:11" s="8" customFormat="1" x14ac:dyDescent="0.2">
      <c r="A60" s="8" t="s">
        <v>57</v>
      </c>
      <c r="B60" s="9">
        <v>1.04E-10</v>
      </c>
      <c r="C60" s="8" t="s">
        <v>8</v>
      </c>
      <c r="D60" s="8" t="s">
        <v>5</v>
      </c>
      <c r="F60" s="8" t="s">
        <v>17</v>
      </c>
      <c r="K60" s="8" t="s">
        <v>58</v>
      </c>
    </row>
    <row r="61" spans="1:11" s="8" customFormat="1" x14ac:dyDescent="0.2">
      <c r="A61" s="8" t="s">
        <v>59</v>
      </c>
      <c r="B61" s="9">
        <v>-6.2700000000000001E-6</v>
      </c>
      <c r="C61" s="8" t="s">
        <v>47</v>
      </c>
      <c r="D61" s="8" t="s">
        <v>6</v>
      </c>
      <c r="F61" s="8" t="s">
        <v>17</v>
      </c>
      <c r="K61" s="8" t="s">
        <v>60</v>
      </c>
    </row>
    <row r="62" spans="1:11" s="8" customFormat="1" x14ac:dyDescent="0.2">
      <c r="A62" s="8" t="s">
        <v>61</v>
      </c>
      <c r="B62" s="9">
        <v>-5.0000000000000002E-5</v>
      </c>
      <c r="C62" s="8" t="s">
        <v>48</v>
      </c>
      <c r="D62" s="12" t="s">
        <v>24</v>
      </c>
      <c r="F62" s="8" t="s">
        <v>17</v>
      </c>
      <c r="K62" s="8" t="s">
        <v>62</v>
      </c>
    </row>
    <row r="63" spans="1:11" s="8" customFormat="1" x14ac:dyDescent="0.2">
      <c r="A63" s="8" t="s">
        <v>63</v>
      </c>
      <c r="B63" s="9">
        <v>6.8900000000000005E-4</v>
      </c>
      <c r="C63" s="8" t="s">
        <v>48</v>
      </c>
      <c r="D63" s="8" t="s">
        <v>6</v>
      </c>
      <c r="F63" s="8" t="s">
        <v>17</v>
      </c>
      <c r="K63" s="8" t="s">
        <v>64</v>
      </c>
    </row>
    <row r="64" spans="1:11" s="8" customFormat="1" x14ac:dyDescent="0.2">
      <c r="A64" s="8" t="s">
        <v>65</v>
      </c>
      <c r="B64" s="8">
        <v>3.3599999999999998E-2</v>
      </c>
      <c r="C64" s="8" t="s">
        <v>48</v>
      </c>
      <c r="D64" s="8" t="s">
        <v>66</v>
      </c>
      <c r="F64" s="8" t="s">
        <v>17</v>
      </c>
      <c r="K64" s="8" t="s">
        <v>67</v>
      </c>
    </row>
    <row r="65" spans="1:11" s="8" customFormat="1" x14ac:dyDescent="0.2">
      <c r="A65" s="8" t="s">
        <v>68</v>
      </c>
      <c r="B65" s="8">
        <v>3.2599999999999997E-2</v>
      </c>
      <c r="C65" s="8" t="s">
        <v>8</v>
      </c>
      <c r="D65" s="8" t="s">
        <v>66</v>
      </c>
      <c r="F65" s="8" t="s">
        <v>17</v>
      </c>
      <c r="K65" s="8" t="s">
        <v>69</v>
      </c>
    </row>
    <row r="66" spans="1:11" s="8" customFormat="1" x14ac:dyDescent="0.2">
      <c r="A66" s="8" t="s">
        <v>72</v>
      </c>
      <c r="B66" s="9">
        <v>-6.8899999999999999E-7</v>
      </c>
      <c r="C66" s="8" t="s">
        <v>48</v>
      </c>
      <c r="D66" s="8" t="s">
        <v>24</v>
      </c>
      <c r="F66" s="8" t="s">
        <v>17</v>
      </c>
      <c r="K66" s="8" t="s">
        <v>70</v>
      </c>
    </row>
    <row r="67" spans="1:11" s="8" customFormat="1" x14ac:dyDescent="0.2">
      <c r="A67" s="8" t="s">
        <v>81</v>
      </c>
      <c r="B67" s="9">
        <f>(B56-1)*3.14</f>
        <v>1.7897999999998727E-3</v>
      </c>
      <c r="D67" s="8" t="s">
        <v>6</v>
      </c>
      <c r="E67" s="8" t="s">
        <v>20</v>
      </c>
      <c r="F67" s="8" t="s">
        <v>21</v>
      </c>
    </row>
    <row r="68" spans="1:11" s="8" customFormat="1" ht="16" x14ac:dyDescent="0.2">
      <c r="A68" s="10"/>
      <c r="B68" s="13"/>
      <c r="G68" s="10"/>
    </row>
    <row r="69" spans="1:11" s="8" customFormat="1" ht="16" x14ac:dyDescent="0.2">
      <c r="A69" s="6" t="s">
        <v>0</v>
      </c>
      <c r="B69" s="6" t="s">
        <v>79</v>
      </c>
    </row>
    <row r="70" spans="1:11" s="8" customFormat="1" x14ac:dyDescent="0.2">
      <c r="A70" s="8" t="s">
        <v>7</v>
      </c>
      <c r="B70" s="8" t="s">
        <v>8</v>
      </c>
    </row>
    <row r="71" spans="1:11" s="8" customFormat="1" x14ac:dyDescent="0.2">
      <c r="A71" s="8" t="s">
        <v>1</v>
      </c>
      <c r="B71" s="8">
        <v>1</v>
      </c>
    </row>
    <row r="72" spans="1:11" s="8" customFormat="1" ht="16" x14ac:dyDescent="0.2">
      <c r="A72" s="8" t="s">
        <v>2</v>
      </c>
      <c r="B72" s="10" t="s">
        <v>71</v>
      </c>
    </row>
    <row r="73" spans="1:11" s="8" customFormat="1" x14ac:dyDescent="0.2">
      <c r="A73" s="8" t="s">
        <v>3</v>
      </c>
      <c r="B73" s="8" t="s">
        <v>4</v>
      </c>
    </row>
    <row r="74" spans="1:11" s="8" customFormat="1" x14ac:dyDescent="0.2">
      <c r="A74" s="8" t="s">
        <v>5</v>
      </c>
      <c r="B74" s="8" t="s">
        <v>6</v>
      </c>
    </row>
    <row r="75" spans="1:11" s="8" customFormat="1" ht="16" x14ac:dyDescent="0.2">
      <c r="A75" s="6" t="s">
        <v>10</v>
      </c>
    </row>
    <row r="76" spans="1:11" s="8" customFormat="1" x14ac:dyDescent="0.2">
      <c r="A76" s="8" t="s">
        <v>11</v>
      </c>
      <c r="B76" s="8" t="s">
        <v>12</v>
      </c>
      <c r="C76" s="8" t="s">
        <v>7</v>
      </c>
      <c r="D76" s="8" t="s">
        <v>5</v>
      </c>
      <c r="E76" s="8" t="s">
        <v>13</v>
      </c>
      <c r="F76" s="8" t="s">
        <v>3</v>
      </c>
      <c r="G76" s="8" t="s">
        <v>49</v>
      </c>
      <c r="H76" s="8" t="s">
        <v>50</v>
      </c>
      <c r="I76" s="8" t="s">
        <v>51</v>
      </c>
      <c r="J76" s="8" t="s">
        <v>9</v>
      </c>
      <c r="K76" s="8" t="s">
        <v>2</v>
      </c>
    </row>
    <row r="77" spans="1:11" s="8" customFormat="1" ht="16" x14ac:dyDescent="0.2">
      <c r="A77" s="8" t="s">
        <v>79</v>
      </c>
      <c r="B77" s="8">
        <v>1</v>
      </c>
      <c r="C77" s="8" t="s">
        <v>8</v>
      </c>
      <c r="D77" s="8" t="s">
        <v>6</v>
      </c>
      <c r="F77" s="8" t="s">
        <v>15</v>
      </c>
      <c r="I77" s="8">
        <v>100</v>
      </c>
      <c r="J77" s="8" t="s">
        <v>52</v>
      </c>
      <c r="K77" s="10" t="s">
        <v>71</v>
      </c>
    </row>
    <row r="78" spans="1:11" s="8" customFormat="1" x14ac:dyDescent="0.2">
      <c r="A78" s="8" t="s">
        <v>89</v>
      </c>
      <c r="B78" s="8">
        <v>1.00057</v>
      </c>
      <c r="C78" s="8" t="s">
        <v>8</v>
      </c>
      <c r="D78" s="8" t="s">
        <v>6</v>
      </c>
      <c r="F78" s="8" t="s">
        <v>17</v>
      </c>
      <c r="K78" s="8" t="s">
        <v>87</v>
      </c>
    </row>
    <row r="79" spans="1:11" s="8" customFormat="1" x14ac:dyDescent="0.2">
      <c r="A79" s="8" t="s">
        <v>26</v>
      </c>
      <c r="B79" s="8">
        <v>6.7000000000000002E-3</v>
      </c>
      <c r="C79" s="8" t="s">
        <v>8</v>
      </c>
      <c r="D79" s="8" t="s">
        <v>27</v>
      </c>
      <c r="F79" s="8" t="s">
        <v>17</v>
      </c>
      <c r="K79" s="8" t="s">
        <v>28</v>
      </c>
    </row>
    <row r="80" spans="1:11" s="8" customFormat="1" x14ac:dyDescent="0.2">
      <c r="A80" s="8" t="s">
        <v>53</v>
      </c>
      <c r="B80" s="8">
        <v>-1.6799999999999999E-4</v>
      </c>
      <c r="C80" s="8" t="s">
        <v>48</v>
      </c>
      <c r="D80" s="8" t="s">
        <v>6</v>
      </c>
      <c r="F80" s="8" t="s">
        <v>17</v>
      </c>
      <c r="K80" s="8" t="s">
        <v>54</v>
      </c>
    </row>
    <row r="81" spans="1:11" s="8" customFormat="1" x14ac:dyDescent="0.2">
      <c r="A81" s="8" t="s">
        <v>55</v>
      </c>
      <c r="B81" s="9">
        <v>5.8399999999999999E-4</v>
      </c>
      <c r="C81" s="8" t="s">
        <v>47</v>
      </c>
      <c r="D81" s="8" t="s">
        <v>19</v>
      </c>
      <c r="F81" s="8" t="s">
        <v>17</v>
      </c>
      <c r="K81" s="8" t="s">
        <v>56</v>
      </c>
    </row>
    <row r="82" spans="1:11" s="8" customFormat="1" x14ac:dyDescent="0.2">
      <c r="A82" s="8" t="s">
        <v>57</v>
      </c>
      <c r="B82" s="9">
        <v>2.5999999999999998E-10</v>
      </c>
      <c r="C82" s="8" t="s">
        <v>8</v>
      </c>
      <c r="D82" s="8" t="s">
        <v>5</v>
      </c>
      <c r="F82" s="8" t="s">
        <v>17</v>
      </c>
      <c r="K82" s="8" t="s">
        <v>58</v>
      </c>
    </row>
    <row r="83" spans="1:11" s="8" customFormat="1" x14ac:dyDescent="0.2">
      <c r="A83" s="8" t="s">
        <v>59</v>
      </c>
      <c r="B83" s="9">
        <v>-6.2700000000000001E-6</v>
      </c>
      <c r="C83" s="8" t="s">
        <v>47</v>
      </c>
      <c r="D83" s="8" t="s">
        <v>6</v>
      </c>
      <c r="F83" s="8" t="s">
        <v>17</v>
      </c>
      <c r="K83" s="8" t="s">
        <v>60</v>
      </c>
    </row>
    <row r="84" spans="1:11" s="8" customFormat="1" x14ac:dyDescent="0.2">
      <c r="A84" s="8" t="s">
        <v>61</v>
      </c>
      <c r="B84" s="9">
        <v>-7.4999999999999993E-5</v>
      </c>
      <c r="C84" s="8" t="s">
        <v>48</v>
      </c>
      <c r="D84" s="12" t="s">
        <v>24</v>
      </c>
      <c r="F84" s="8" t="s">
        <v>17</v>
      </c>
      <c r="K84" s="8" t="s">
        <v>62</v>
      </c>
    </row>
    <row r="85" spans="1:11" s="8" customFormat="1" x14ac:dyDescent="0.2">
      <c r="A85" s="8" t="s">
        <v>63</v>
      </c>
      <c r="B85" s="9">
        <v>6.8900000000000005E-4</v>
      </c>
      <c r="C85" s="8" t="s">
        <v>48</v>
      </c>
      <c r="D85" s="8" t="s">
        <v>6</v>
      </c>
      <c r="F85" s="8" t="s">
        <v>17</v>
      </c>
      <c r="K85" s="8" t="s">
        <v>64</v>
      </c>
    </row>
    <row r="86" spans="1:11" s="8" customFormat="1" x14ac:dyDescent="0.2">
      <c r="A86" s="8" t="s">
        <v>65</v>
      </c>
      <c r="B86" s="8">
        <v>3.3599999999999998E-2</v>
      </c>
      <c r="C86" s="8" t="s">
        <v>48</v>
      </c>
      <c r="D86" s="8" t="s">
        <v>66</v>
      </c>
      <c r="F86" s="8" t="s">
        <v>17</v>
      </c>
      <c r="K86" s="8" t="s">
        <v>67</v>
      </c>
    </row>
    <row r="87" spans="1:11" s="8" customFormat="1" x14ac:dyDescent="0.2">
      <c r="A87" s="8" t="s">
        <v>68</v>
      </c>
      <c r="B87" s="8">
        <v>3.2599999999999997E-2</v>
      </c>
      <c r="C87" s="8" t="s">
        <v>8</v>
      </c>
      <c r="D87" s="8" t="s">
        <v>66</v>
      </c>
      <c r="F87" s="8" t="s">
        <v>17</v>
      </c>
      <c r="K87" s="8" t="s">
        <v>69</v>
      </c>
    </row>
    <row r="88" spans="1:11" s="8" customFormat="1" x14ac:dyDescent="0.2">
      <c r="A88" s="8" t="s">
        <v>72</v>
      </c>
      <c r="B88" s="9">
        <v>-6.8899999999999999E-7</v>
      </c>
      <c r="C88" s="8" t="s">
        <v>48</v>
      </c>
      <c r="D88" s="8" t="s">
        <v>24</v>
      </c>
      <c r="F88" s="8" t="s">
        <v>17</v>
      </c>
      <c r="K88" s="8" t="s">
        <v>70</v>
      </c>
    </row>
    <row r="89" spans="1:11" s="8" customFormat="1" x14ac:dyDescent="0.2">
      <c r="A89" s="8" t="s">
        <v>81</v>
      </c>
      <c r="B89" s="9">
        <f>(B78-1)*3.14</f>
        <v>1.7897999999998727E-3</v>
      </c>
      <c r="D89" s="8" t="s">
        <v>6</v>
      </c>
      <c r="E89" s="8" t="s">
        <v>20</v>
      </c>
      <c r="F89" s="8" t="s">
        <v>21</v>
      </c>
    </row>
    <row r="90" spans="1:11" s="8" customFormat="1" ht="16" x14ac:dyDescent="0.2">
      <c r="A90" s="10"/>
      <c r="B90" s="13"/>
      <c r="G90" s="10"/>
    </row>
    <row r="91" spans="1:11" s="8" customFormat="1" ht="16" x14ac:dyDescent="0.2">
      <c r="A91" s="6" t="s">
        <v>0</v>
      </c>
      <c r="B91" s="7" t="s">
        <v>85</v>
      </c>
    </row>
    <row r="92" spans="1:11" s="8" customFormat="1" x14ac:dyDescent="0.2">
      <c r="A92" s="8" t="s">
        <v>1</v>
      </c>
      <c r="B92" s="8">
        <v>1</v>
      </c>
    </row>
    <row r="93" spans="1:11" s="8" customFormat="1" x14ac:dyDescent="0.2">
      <c r="A93" s="8" t="s">
        <v>2</v>
      </c>
      <c r="B93" s="8" t="s">
        <v>73</v>
      </c>
    </row>
    <row r="94" spans="1:11" s="8" customFormat="1" x14ac:dyDescent="0.2">
      <c r="A94" s="8" t="s">
        <v>3</v>
      </c>
      <c r="B94" s="8" t="s">
        <v>4</v>
      </c>
    </row>
    <row r="95" spans="1:11" s="8" customFormat="1" x14ac:dyDescent="0.2">
      <c r="A95" s="8" t="s">
        <v>5</v>
      </c>
      <c r="B95" s="8" t="s">
        <v>6</v>
      </c>
    </row>
    <row r="96" spans="1:11" s="8" customFormat="1" x14ac:dyDescent="0.2">
      <c r="A96" s="8" t="s">
        <v>7</v>
      </c>
      <c r="B96" s="8" t="s">
        <v>8</v>
      </c>
    </row>
    <row r="97" spans="1:9" s="8" customFormat="1" x14ac:dyDescent="0.2">
      <c r="A97" s="8" t="s">
        <v>9</v>
      </c>
      <c r="B97" s="8" t="inlineStr">
        <is>
          <t>APPROVED GTL LIFETIME-OUTPUT REFERENCE ASSUMPTION, 2026-10-18. Van der Giesen et al. (2014), DOI 10.1021/es500191g, SI https://doi.org/10.1021/es500191g.s001, page S10 and Table S22, gives 18000 tonnes fuel/day, 300 operating days/year and 30 years. Adopt that published production calendar as the reference for the existing GTL equipment: 1/(18000*1000*300*30) = 6.172839506172839E-12 plant units/kg fuel, replacing the inconsistent transcribed 6.7E-12. USER-APPROVED OPERATING ASSUMPTION: this uses the published reference output/calendar; it does not establish measured operation, future plant duty or complete catalyst coverage. Existing product-allocation keys, fuel output and construction recipe remain unchanged. No new hardware, metal-content factors, credits or primary/secondary shares. Prior references to the former dose or preserved lifetime allocation are superseded only for this coefficient.
PREVIOUS NOTES (retained as history; the correction above takes precedence):
Adapted from van der Giesen et al. 2014. LHV: 45 MJ/kg, Formula: C13H18, Density: 7551 kg/m3. Economic allocation between 3 other co-products. Allocation key for this co-product: 6%.</t>
        </is>
      </c>
    </row>
    <row r="98" spans="1:9" s="8" customFormat="1" x14ac:dyDescent="0.2">
      <c r="A98" s="8" t="s">
        <v>33</v>
      </c>
      <c r="B98" s="8" t="s">
        <v>34</v>
      </c>
    </row>
    <row r="99" spans="1:9" s="8" customFormat="1" ht="16" x14ac:dyDescent="0.2">
      <c r="A99" s="6" t="s">
        <v>10</v>
      </c>
    </row>
    <row r="100" spans="1:9" s="8" customFormat="1" x14ac:dyDescent="0.2">
      <c r="A100" s="8" t="s">
        <v>11</v>
      </c>
      <c r="B100" s="8" t="s">
        <v>12</v>
      </c>
      <c r="C100" s="8" t="s">
        <v>7</v>
      </c>
      <c r="D100" s="8" t="s">
        <v>5</v>
      </c>
      <c r="E100" s="8" t="s">
        <v>13</v>
      </c>
      <c r="F100" s="8" t="s">
        <v>3</v>
      </c>
      <c r="G100" s="8" t="s">
        <v>2</v>
      </c>
      <c r="H100" s="8" t="s">
        <v>14</v>
      </c>
      <c r="I100" s="8" t="s">
        <v>9</v>
      </c>
    </row>
    <row r="101" spans="1:9" s="8" customFormat="1" x14ac:dyDescent="0.2">
      <c r="A101" s="8" t="s">
        <v>85</v>
      </c>
      <c r="B101" s="8">
        <v>1</v>
      </c>
      <c r="C101" s="8" t="s">
        <v>8</v>
      </c>
      <c r="D101" s="8" t="s">
        <v>6</v>
      </c>
      <c r="F101" s="8" t="s">
        <v>15</v>
      </c>
      <c r="G101" s="8" t="s">
        <v>73</v>
      </c>
      <c r="H101" s="8" t="s">
        <v>35</v>
      </c>
      <c r="I101" s="8" t="s">
        <v>16</v>
      </c>
    </row>
    <row r="102" spans="1:9" s="8" customFormat="1" x14ac:dyDescent="0.2">
      <c r="A102" s="8" t="s">
        <v>90</v>
      </c>
      <c r="B102" s="8">
        <v>0.73</v>
      </c>
      <c r="C102" s="8" t="s">
        <v>8</v>
      </c>
      <c r="D102" s="8" t="s">
        <v>6</v>
      </c>
      <c r="F102" s="8" t="s">
        <v>17</v>
      </c>
      <c r="G102" s="8" t="s">
        <v>91</v>
      </c>
      <c r="H102" s="8" t="s">
        <v>35</v>
      </c>
    </row>
    <row r="103" spans="1:9" s="8" customFormat="1" x14ac:dyDescent="0.2">
      <c r="A103" s="8" t="s">
        <v>18</v>
      </c>
      <c r="B103" s="8">
        <f>3.64160231884058*0.06</f>
        <v>0.21849613913043478</v>
      </c>
      <c r="D103" s="8" t="s">
        <v>19</v>
      </c>
      <c r="E103" s="8" t="s">
        <v>20</v>
      </c>
      <c r="F103" s="8" t="s">
        <v>21</v>
      </c>
      <c r="H103" s="8" t="s">
        <v>22</v>
      </c>
    </row>
    <row r="104" spans="1:9" s="8" customFormat="1" x14ac:dyDescent="0.2">
      <c r="A104" s="8" t="s">
        <v>23</v>
      </c>
      <c r="B104" s="8">
        <f>0.00107549913043478*0.06</f>
        <v>6.45299478260868E-5</v>
      </c>
      <c r="D104" s="8" t="s">
        <v>24</v>
      </c>
      <c r="E104" s="8" t="s">
        <v>25</v>
      </c>
      <c r="F104" s="8" t="s">
        <v>21</v>
      </c>
      <c r="H104" s="8" t="s">
        <v>22</v>
      </c>
    </row>
    <row r="105" spans="1:9" s="8" customFormat="1" x14ac:dyDescent="0.2">
      <c r="A105" s="8" t="s">
        <v>36</v>
      </c>
      <c r="B105" s="9">
        <v>6.172839506172839e-12</v>
      </c>
      <c r="C105" s="8" t="s">
        <v>31</v>
      </c>
      <c r="D105" s="8" t="s">
        <v>5</v>
      </c>
      <c r="F105" s="8" t="s">
        <v>17</v>
      </c>
      <c r="G105" s="8" t="s">
        <v>37</v>
      </c>
      <c r="H105" s="8" t="s">
        <v>35</v>
      </c>
    </row>
    <row r="106" spans="1:9" s="8" customFormat="1" x14ac:dyDescent="0.2">
      <c r="A106" s="8" t="s">
        <v>26</v>
      </c>
      <c r="B106" s="9">
        <f>0.0872420618556701*0.06</f>
        <v>5.234523711340206E-3</v>
      </c>
      <c r="C106" s="8" t="s">
        <v>8</v>
      </c>
      <c r="D106" s="8" t="s">
        <v>27</v>
      </c>
      <c r="F106" s="8" t="s">
        <v>17</v>
      </c>
      <c r="G106" s="8" t="s">
        <v>28</v>
      </c>
      <c r="H106" s="8" t="s">
        <v>29</v>
      </c>
    </row>
    <row r="107" spans="1:9" s="8" customFormat="1" x14ac:dyDescent="0.2">
      <c r="A107" s="8" t="s">
        <v>82</v>
      </c>
      <c r="B107" s="8">
        <v>2</v>
      </c>
      <c r="D107" s="8" t="s">
        <v>6</v>
      </c>
      <c r="E107" s="8" t="s">
        <v>80</v>
      </c>
      <c r="F107" s="8" t="s">
        <v>21</v>
      </c>
      <c r="H107" s="8" t="s">
        <v>22</v>
      </c>
    </row>
    <row r="108" spans="1:9" s="8" customFormat="1" x14ac:dyDescent="0.2"/>
    <row r="109" spans="1:9" s="8" customFormat="1" ht="16" x14ac:dyDescent="0.2">
      <c r="A109" s="6" t="s">
        <v>0</v>
      </c>
      <c r="B109" s="7" t="s">
        <v>92</v>
      </c>
    </row>
    <row r="110" spans="1:9" s="8" customFormat="1" x14ac:dyDescent="0.2">
      <c r="A110" s="8" t="s">
        <v>1</v>
      </c>
      <c r="B110" s="8">
        <v>1</v>
      </c>
    </row>
    <row r="111" spans="1:9" s="8" customFormat="1" x14ac:dyDescent="0.2">
      <c r="A111" s="8" t="s">
        <v>2</v>
      </c>
      <c r="B111" s="8" t="s">
        <v>93</v>
      </c>
    </row>
    <row r="112" spans="1:9" s="8" customFormat="1" x14ac:dyDescent="0.2">
      <c r="A112" s="8" t="s">
        <v>3</v>
      </c>
      <c r="B112" s="8" t="s">
        <v>4</v>
      </c>
    </row>
    <row r="113" spans="1:9" s="8" customFormat="1" x14ac:dyDescent="0.2">
      <c r="A113" s="8" t="s">
        <v>5</v>
      </c>
      <c r="B113" s="8" t="s">
        <v>6</v>
      </c>
    </row>
    <row r="114" spans="1:9" s="8" customFormat="1" x14ac:dyDescent="0.2">
      <c r="A114" s="8" t="s">
        <v>7</v>
      </c>
      <c r="B114" s="8" t="s">
        <v>8</v>
      </c>
    </row>
    <row r="115" spans="1:9" s="8" customFormat="1" x14ac:dyDescent="0.2">
      <c r="A115" s="8" t="s">
        <v>9</v>
      </c>
      <c r="B115" s="8" t="inlineStr">
        <is>
          <t>APPROVED GTL LIFETIME-OUTPUT REFERENCE ASSUMPTION, 2026-10-18. Van der Giesen et al. (2014), DOI 10.1021/es500191g, SI https://doi.org/10.1021/es500191g.s001, page S10 and Table S22, gives 18000 tonnes fuel/day, 300 operating days/year and 30 years. Adopt that published production calendar as the reference for the existing GTL equipment: 1/(18000*1000*300*30) = 6.172839506172839E-12 plant units/kg fuel, replacing the inconsistent transcribed 6.7E-12. USER-APPROVED OPERATING ASSUMPTION: this uses the published reference output/calendar; it does not establish measured operation, future plant duty or complete catalyst coverage. Existing product-allocation keys, fuel output and construction recipe remain unchanged. No new hardware, metal-content factors, credits or primary/secondary shares. Prior references to the former dose or preserved lifetime allocation are superseded only for this coefficient.
PREVIOUS NOTES (retained as history; the correction above takes precedence):
Adapted from van der Giesen et al. 2014. LHV: 44.5 MJ/kg, Formula: C13H18, Density: 7551 kg/m3. Economic allocation between 3 other co-products. Allocation key for this co-product: 7%.</t>
        </is>
      </c>
    </row>
    <row r="116" spans="1:9" s="8" customFormat="1" x14ac:dyDescent="0.2">
      <c r="A116" s="8" t="s">
        <v>33</v>
      </c>
      <c r="B116" s="8" t="s">
        <v>34</v>
      </c>
    </row>
    <row r="117" spans="1:9" s="8" customFormat="1" ht="16" x14ac:dyDescent="0.2">
      <c r="A117" s="6" t="s">
        <v>10</v>
      </c>
    </row>
    <row r="118" spans="1:9" s="8" customFormat="1" x14ac:dyDescent="0.2">
      <c r="A118" s="8" t="s">
        <v>11</v>
      </c>
      <c r="B118" s="8" t="s">
        <v>12</v>
      </c>
      <c r="C118" s="8" t="s">
        <v>7</v>
      </c>
      <c r="D118" s="8" t="s">
        <v>5</v>
      </c>
      <c r="E118" s="8" t="s">
        <v>13</v>
      </c>
      <c r="F118" s="8" t="s">
        <v>3</v>
      </c>
      <c r="G118" s="8" t="s">
        <v>2</v>
      </c>
      <c r="H118" s="8" t="s">
        <v>14</v>
      </c>
      <c r="I118" s="8" t="s">
        <v>9</v>
      </c>
    </row>
    <row r="119" spans="1:9" s="8" customFormat="1" x14ac:dyDescent="0.2">
      <c r="A119" s="8" t="s">
        <v>92</v>
      </c>
      <c r="B119" s="8">
        <v>1</v>
      </c>
      <c r="C119" s="8" t="s">
        <v>8</v>
      </c>
      <c r="D119" s="8" t="s">
        <v>6</v>
      </c>
      <c r="F119" s="8" t="s">
        <v>15</v>
      </c>
      <c r="G119" s="8" t="s">
        <v>93</v>
      </c>
      <c r="H119" s="8" t="s">
        <v>35</v>
      </c>
    </row>
    <row r="120" spans="1:9" s="8" customFormat="1" x14ac:dyDescent="0.2">
      <c r="A120" s="8" t="s">
        <v>90</v>
      </c>
      <c r="B120" s="8">
        <v>0.65</v>
      </c>
      <c r="C120" s="8" t="s">
        <v>8</v>
      </c>
      <c r="D120" s="8" t="s">
        <v>6</v>
      </c>
      <c r="F120" s="8" t="s">
        <v>17</v>
      </c>
      <c r="G120" s="8" t="s">
        <v>91</v>
      </c>
      <c r="H120" s="8" t="s">
        <v>35</v>
      </c>
    </row>
    <row r="121" spans="1:9" s="8" customFormat="1" x14ac:dyDescent="0.2">
      <c r="A121" s="8" t="s">
        <v>18</v>
      </c>
      <c r="B121" s="8">
        <f>3.64160231884058*0.07</f>
        <v>0.25491216231884062</v>
      </c>
      <c r="D121" s="8" t="s">
        <v>19</v>
      </c>
      <c r="E121" s="8" t="s">
        <v>20</v>
      </c>
      <c r="F121" s="8" t="s">
        <v>21</v>
      </c>
      <c r="H121" s="8" t="s">
        <v>22</v>
      </c>
    </row>
    <row r="122" spans="1:9" s="8" customFormat="1" x14ac:dyDescent="0.2">
      <c r="A122" s="8" t="s">
        <v>23</v>
      </c>
      <c r="B122" s="8">
        <f>0.00107549913043478*0.07</f>
        <v>7.5284939130434612E-5</v>
      </c>
      <c r="D122" s="8" t="s">
        <v>24</v>
      </c>
      <c r="E122" s="8" t="s">
        <v>25</v>
      </c>
      <c r="F122" s="8" t="s">
        <v>21</v>
      </c>
      <c r="H122" s="8" t="s">
        <v>22</v>
      </c>
    </row>
    <row r="123" spans="1:9" s="8" customFormat="1" x14ac:dyDescent="0.2">
      <c r="A123" s="8" t="s">
        <v>36</v>
      </c>
      <c r="B123" s="9">
        <v>6.172839506172839e-12</v>
      </c>
      <c r="C123" s="8" t="s">
        <v>31</v>
      </c>
      <c r="D123" s="8" t="s">
        <v>5</v>
      </c>
      <c r="F123" s="8" t="s">
        <v>17</v>
      </c>
      <c r="G123" s="8" t="s">
        <v>37</v>
      </c>
      <c r="H123" s="8" t="s">
        <v>35</v>
      </c>
    </row>
    <row r="124" spans="1:9" s="8" customFormat="1" x14ac:dyDescent="0.2">
      <c r="A124" s="8" t="s">
        <v>26</v>
      </c>
      <c r="B124" s="9">
        <f>0.0872420618556701*0.07</f>
        <v>6.106944329896908E-3</v>
      </c>
      <c r="C124" s="8" t="s">
        <v>8</v>
      </c>
      <c r="D124" s="8" t="s">
        <v>27</v>
      </c>
      <c r="F124" s="8" t="s">
        <v>17</v>
      </c>
      <c r="G124" s="8" t="s">
        <v>28</v>
      </c>
      <c r="H124" s="8" t="s">
        <v>29</v>
      </c>
    </row>
    <row r="125" spans="1:9" s="8" customFormat="1" x14ac:dyDescent="0.2">
      <c r="A125" s="8" t="s">
        <v>82</v>
      </c>
      <c r="B125" s="8">
        <v>2.48</v>
      </c>
      <c r="D125" s="8" t="s">
        <v>6</v>
      </c>
      <c r="E125" s="8" t="s">
        <v>80</v>
      </c>
      <c r="F125" s="8" t="s">
        <v>21</v>
      </c>
      <c r="H125" s="8" t="s">
        <v>22</v>
      </c>
    </row>
    <row r="126" spans="1:9" s="8" customFormat="1" x14ac:dyDescent="0.2"/>
    <row r="127" spans="1:9" s="8" customFormat="1" ht="16" x14ac:dyDescent="0.2">
      <c r="A127" s="6" t="s">
        <v>0</v>
      </c>
      <c r="B127" s="7" t="s">
        <v>86</v>
      </c>
    </row>
    <row r="128" spans="1:9" s="8" customFormat="1" x14ac:dyDescent="0.2">
      <c r="A128" s="8" t="s">
        <v>1</v>
      </c>
      <c r="B128" s="8">
        <v>1</v>
      </c>
    </row>
    <row r="129" spans="1:9" s="8" customFormat="1" x14ac:dyDescent="0.2">
      <c r="A129" s="8" t="s">
        <v>2</v>
      </c>
      <c r="B129" s="8" t="s">
        <v>87</v>
      </c>
    </row>
    <row r="130" spans="1:9" s="8" customFormat="1" x14ac:dyDescent="0.2">
      <c r="A130" s="8" t="s">
        <v>3</v>
      </c>
      <c r="B130" s="8" t="s">
        <v>4</v>
      </c>
    </row>
    <row r="131" spans="1:9" s="8" customFormat="1" x14ac:dyDescent="0.2">
      <c r="A131" s="8" t="s">
        <v>5</v>
      </c>
      <c r="B131" s="8" t="s">
        <v>6</v>
      </c>
    </row>
    <row r="132" spans="1:9" s="8" customFormat="1" x14ac:dyDescent="0.2">
      <c r="A132" s="8" t="s">
        <v>7</v>
      </c>
      <c r="B132" s="8" t="s">
        <v>8</v>
      </c>
    </row>
    <row r="133" spans="1:9" s="8" customFormat="1" x14ac:dyDescent="0.2">
      <c r="A133" s="8" t="s">
        <v>9</v>
      </c>
      <c r="B133" s="8" t="inlineStr">
        <is>
          <t>APPROVED GTL LIFETIME-OUTPUT REFERENCE ASSUMPTION, 2026-10-18. Van der Giesen et al. (2014), DOI 10.1021/es500191g, SI https://doi.org/10.1021/es500191g.s001, page S10 and Table S22, gives 18000 tonnes fuel/day, 300 operating days/year and 30 years. Adopt that published production calendar as the reference for the existing GTL equipment: 1/(18000*1000*300*30) = 6.172839506172839E-12 plant units/kg fuel, replacing the inconsistent transcribed 6.7E-12. USER-APPROVED OPERATING ASSUMPTION: this uses the published reference output/calendar; it does not establish measured operation, future plant duty or complete catalyst coverage. Existing product-allocation keys, fuel output and construction recipe remain unchanged. No new hardware, metal-content factors, credits or primary/secondary shares. Prior references to the former dose or preserved lifetime allocation are superseded only for this coefficient.
PREVIOUS NOTES (retained as history; the correction above takes precedence):
Adapted from van der Giesen et al. 2014. LHV: 43.3 MJ/kg, Formula: C13H18, Density: 7551 kg/m3. Economic allocation between 3 other co-products. Allocation key for this co-product: 16%.</t>
        </is>
      </c>
    </row>
    <row r="134" spans="1:9" s="8" customFormat="1" x14ac:dyDescent="0.2">
      <c r="A134" s="8" t="s">
        <v>33</v>
      </c>
      <c r="B134" s="8" t="s">
        <v>34</v>
      </c>
    </row>
    <row r="135" spans="1:9" s="8" customFormat="1" ht="16" x14ac:dyDescent="0.2">
      <c r="A135" s="6" t="s">
        <v>10</v>
      </c>
    </row>
    <row r="136" spans="1:9" s="8" customFormat="1" x14ac:dyDescent="0.2">
      <c r="A136" s="8" t="s">
        <v>11</v>
      </c>
      <c r="B136" s="8" t="s">
        <v>12</v>
      </c>
      <c r="C136" s="8" t="s">
        <v>7</v>
      </c>
      <c r="D136" s="8" t="s">
        <v>5</v>
      </c>
      <c r="E136" s="8" t="s">
        <v>13</v>
      </c>
      <c r="F136" s="8" t="s">
        <v>3</v>
      </c>
      <c r="G136" s="8" t="s">
        <v>2</v>
      </c>
      <c r="H136" s="8" t="s">
        <v>14</v>
      </c>
      <c r="I136" s="8" t="s">
        <v>9</v>
      </c>
    </row>
    <row r="137" spans="1:9" s="8" customFormat="1" x14ac:dyDescent="0.2">
      <c r="A137" s="8" t="s">
        <v>86</v>
      </c>
      <c r="B137" s="8">
        <v>1</v>
      </c>
      <c r="C137" s="8" t="s">
        <v>8</v>
      </c>
      <c r="D137" s="8" t="s">
        <v>6</v>
      </c>
      <c r="F137" s="8" t="s">
        <v>15</v>
      </c>
      <c r="G137" s="8" t="s">
        <v>87</v>
      </c>
      <c r="H137" s="8" t="s">
        <v>35</v>
      </c>
      <c r="I137" s="8" t="s">
        <v>16</v>
      </c>
    </row>
    <row r="138" spans="1:9" s="8" customFormat="1" x14ac:dyDescent="0.2">
      <c r="A138" s="8" t="s">
        <v>90</v>
      </c>
      <c r="B138" s="8">
        <v>0.98</v>
      </c>
      <c r="C138" s="8" t="s">
        <v>8</v>
      </c>
      <c r="D138" s="8" t="s">
        <v>6</v>
      </c>
      <c r="F138" s="8" t="s">
        <v>17</v>
      </c>
      <c r="G138" s="8" t="s">
        <v>91</v>
      </c>
      <c r="H138" s="8" t="s">
        <v>35</v>
      </c>
    </row>
    <row r="139" spans="1:9" s="8" customFormat="1" x14ac:dyDescent="0.2">
      <c r="A139" s="8" t="s">
        <v>18</v>
      </c>
      <c r="B139" s="8">
        <f>3.64160231884058*0.16</f>
        <v>0.58265637101449286</v>
      </c>
      <c r="D139" s="8" t="s">
        <v>19</v>
      </c>
      <c r="E139" s="8" t="s">
        <v>20</v>
      </c>
      <c r="F139" s="8" t="s">
        <v>21</v>
      </c>
      <c r="H139" s="8" t="s">
        <v>22</v>
      </c>
    </row>
    <row r="140" spans="1:9" s="8" customFormat="1" x14ac:dyDescent="0.2">
      <c r="A140" s="8" t="s">
        <v>23</v>
      </c>
      <c r="B140" s="8">
        <f>0.00107549913043478*0.16</f>
        <v>1.7207986086956482E-4</v>
      </c>
      <c r="D140" s="8" t="s">
        <v>24</v>
      </c>
      <c r="E140" s="8" t="s">
        <v>25</v>
      </c>
      <c r="F140" s="8" t="s">
        <v>21</v>
      </c>
      <c r="H140" s="8" t="s">
        <v>22</v>
      </c>
    </row>
    <row r="141" spans="1:9" s="8" customFormat="1" x14ac:dyDescent="0.2">
      <c r="A141" s="8" t="s">
        <v>36</v>
      </c>
      <c r="B141" s="9">
        <v>6.172839506172839e-12</v>
      </c>
      <c r="C141" s="8" t="s">
        <v>31</v>
      </c>
      <c r="D141" s="8" t="s">
        <v>5</v>
      </c>
      <c r="F141" s="8" t="s">
        <v>17</v>
      </c>
      <c r="G141" s="8" t="s">
        <v>37</v>
      </c>
      <c r="H141" s="8" t="s">
        <v>35</v>
      </c>
    </row>
    <row r="142" spans="1:9" s="8" customFormat="1" x14ac:dyDescent="0.2">
      <c r="A142" s="8" t="s">
        <v>26</v>
      </c>
      <c r="B142" s="9">
        <f>0.0872420618556701*0.16</f>
        <v>1.3958729896907216E-2</v>
      </c>
      <c r="C142" s="8" t="s">
        <v>8</v>
      </c>
      <c r="D142" s="8" t="s">
        <v>27</v>
      </c>
      <c r="F142" s="8" t="s">
        <v>17</v>
      </c>
      <c r="G142" s="8" t="s">
        <v>28</v>
      </c>
      <c r="H142" s="8" t="s">
        <v>29</v>
      </c>
    </row>
    <row r="143" spans="1:9" s="8" customFormat="1" x14ac:dyDescent="0.2">
      <c r="A143" s="8" t="s">
        <v>82</v>
      </c>
      <c r="B143" s="8">
        <v>1.82</v>
      </c>
      <c r="D143" s="8" t="s">
        <v>6</v>
      </c>
      <c r="E143" s="8" t="s">
        <v>80</v>
      </c>
      <c r="F143" s="8" t="s">
        <v>21</v>
      </c>
      <c r="H143" s="8" t="s">
        <v>22</v>
      </c>
    </row>
    <row r="144" spans="1:9" s="8" customFormat="1" x14ac:dyDescent="0.2"/>
    <row r="145" spans="1:9" s="8" customFormat="1" ht="16" x14ac:dyDescent="0.2">
      <c r="A145" s="6" t="s">
        <v>0</v>
      </c>
      <c r="B145" s="7" t="s">
        <v>94</v>
      </c>
    </row>
    <row r="146" spans="1:9" s="8" customFormat="1" x14ac:dyDescent="0.2">
      <c r="A146" s="8" t="s">
        <v>1</v>
      </c>
      <c r="B146" s="8">
        <v>1</v>
      </c>
    </row>
    <row r="147" spans="1:9" s="8" customFormat="1" x14ac:dyDescent="0.2">
      <c r="A147" s="8" t="s">
        <v>2</v>
      </c>
      <c r="B147" s="8" t="s">
        <v>95</v>
      </c>
    </row>
    <row r="148" spans="1:9" s="8" customFormat="1" x14ac:dyDescent="0.2">
      <c r="A148" s="8" t="s">
        <v>3</v>
      </c>
      <c r="B148" s="8" t="s">
        <v>4</v>
      </c>
    </row>
    <row r="149" spans="1:9" s="8" customFormat="1" x14ac:dyDescent="0.2">
      <c r="A149" s="8" t="s">
        <v>5</v>
      </c>
      <c r="B149" s="8" t="s">
        <v>6</v>
      </c>
    </row>
    <row r="150" spans="1:9" s="8" customFormat="1" x14ac:dyDescent="0.2">
      <c r="A150" s="8" t="s">
        <v>7</v>
      </c>
      <c r="B150" s="8" t="s">
        <v>8</v>
      </c>
    </row>
    <row r="151" spans="1:9" s="8" customFormat="1" x14ac:dyDescent="0.2">
      <c r="A151" s="8" t="s">
        <v>9</v>
      </c>
      <c r="B151" s="8" t="inlineStr">
        <is>
          <t>APPROVED GTL LIFETIME-OUTPUT REFERENCE ASSUMPTION, 2026-10-18. Van der Giesen et al. (2014), DOI 10.1021/es500191g, SI https://doi.org/10.1021/es500191g.s001, page S10 and Table S22, gives 18000 tonnes fuel/day, 300 operating days/year and 30 years. Adopt that published production calendar as the reference for the existing GTL equipment: 1/(18000*1000*300*30) = 6.172839506172839E-12 plant units/kg fuel, replacing the inconsistent transcribed 6.7E-12. USER-APPROVED OPERATING ASSUMPTION: this uses the published reference output/calendar; it does not establish measured operation, future plant duty or complete catalyst coverage. Existing product-allocation keys, fuel output and construction recipe remain unchanged. No new hardware, metal-content factors, credits or primary/secondary shares. Prior references to the former dose or preserved lifetime allocation are superseded only for this coefficient.
PREVIOUS NOTES (retained as history; the correction above takes precedence):
Adapted from van der Giesen et al. 2014. LHV: 40.2 MJ/kg, Formula: C13H18, Density: 7551 kg/m3. Energy-based allocation between 3 other co-products. Allocation key for this co-product: 21%.</t>
        </is>
      </c>
    </row>
    <row r="152" spans="1:9" s="8" customFormat="1" x14ac:dyDescent="0.2">
      <c r="A152" s="8" t="s">
        <v>33</v>
      </c>
      <c r="B152" s="8" t="s">
        <v>34</v>
      </c>
    </row>
    <row r="153" spans="1:9" s="8" customFormat="1" ht="16" x14ac:dyDescent="0.2">
      <c r="A153" s="6" t="s">
        <v>10</v>
      </c>
    </row>
    <row r="154" spans="1:9" s="8" customFormat="1" x14ac:dyDescent="0.2">
      <c r="A154" s="8" t="s">
        <v>11</v>
      </c>
      <c r="B154" s="8" t="s">
        <v>12</v>
      </c>
      <c r="C154" s="8" t="s">
        <v>7</v>
      </c>
      <c r="D154" s="8" t="s">
        <v>5</v>
      </c>
      <c r="E154" s="8" t="s">
        <v>13</v>
      </c>
      <c r="F154" s="8" t="s">
        <v>3</v>
      </c>
      <c r="G154" s="8" t="s">
        <v>2</v>
      </c>
      <c r="H154" s="8" t="s">
        <v>14</v>
      </c>
      <c r="I154" s="8" t="s">
        <v>9</v>
      </c>
    </row>
    <row r="155" spans="1:9" s="8" customFormat="1" x14ac:dyDescent="0.2">
      <c r="A155" s="8" t="s">
        <v>94</v>
      </c>
      <c r="B155" s="8">
        <v>1</v>
      </c>
      <c r="C155" s="8" t="s">
        <v>8</v>
      </c>
      <c r="D155" s="8" t="s">
        <v>6</v>
      </c>
      <c r="F155" s="8" t="s">
        <v>15</v>
      </c>
      <c r="G155" s="8" t="s">
        <v>95</v>
      </c>
      <c r="H155" s="8" t="s">
        <v>35</v>
      </c>
      <c r="I155" s="8" t="s">
        <v>16</v>
      </c>
    </row>
    <row r="156" spans="1:9" s="8" customFormat="1" x14ac:dyDescent="0.2">
      <c r="A156" s="8" t="s">
        <v>90</v>
      </c>
      <c r="B156" s="8">
        <v>2.1</v>
      </c>
      <c r="C156" s="8" t="s">
        <v>8</v>
      </c>
      <c r="D156" s="8" t="s">
        <v>6</v>
      </c>
      <c r="F156" s="8" t="s">
        <v>17</v>
      </c>
      <c r="G156" s="8" t="s">
        <v>91</v>
      </c>
      <c r="H156" s="8" t="s">
        <v>35</v>
      </c>
    </row>
    <row r="157" spans="1:9" s="8" customFormat="1" x14ac:dyDescent="0.2">
      <c r="A157" s="8" t="s">
        <v>18</v>
      </c>
      <c r="B157" s="8">
        <f>3.64160231884058*0.21</f>
        <v>0.76473648695652174</v>
      </c>
      <c r="D157" s="8" t="s">
        <v>19</v>
      </c>
      <c r="E157" s="8" t="s">
        <v>20</v>
      </c>
      <c r="F157" s="8" t="s">
        <v>21</v>
      </c>
      <c r="H157" s="8" t="s">
        <v>22</v>
      </c>
    </row>
    <row r="158" spans="1:9" s="8" customFormat="1" x14ac:dyDescent="0.2">
      <c r="A158" s="8" t="s">
        <v>23</v>
      </c>
      <c r="B158" s="8">
        <f>0.00107549913043478*0.21</f>
        <v>2.2585481739130381E-4</v>
      </c>
      <c r="D158" s="8" t="s">
        <v>24</v>
      </c>
      <c r="E158" s="8" t="s">
        <v>25</v>
      </c>
      <c r="F158" s="8" t="s">
        <v>21</v>
      </c>
      <c r="H158" s="8" t="s">
        <v>22</v>
      </c>
    </row>
    <row r="159" spans="1:9" s="8" customFormat="1" x14ac:dyDescent="0.2">
      <c r="A159" s="8" t="s">
        <v>36</v>
      </c>
      <c r="B159" s="9">
        <v>6.172839506172839e-12</v>
      </c>
      <c r="C159" s="8" t="s">
        <v>31</v>
      </c>
      <c r="D159" s="8" t="s">
        <v>5</v>
      </c>
      <c r="F159" s="8" t="s">
        <v>17</v>
      </c>
      <c r="G159" s="8" t="s">
        <v>37</v>
      </c>
      <c r="H159" s="8" t="s">
        <v>35</v>
      </c>
    </row>
    <row r="160" spans="1:9" s="8" customFormat="1" x14ac:dyDescent="0.2">
      <c r="A160" s="8" t="s">
        <v>26</v>
      </c>
      <c r="B160" s="9">
        <f>0.0872420618556701*0.21</f>
        <v>1.832083298969072E-2</v>
      </c>
      <c r="C160" s="8" t="s">
        <v>8</v>
      </c>
      <c r="D160" s="8" t="s">
        <v>27</v>
      </c>
      <c r="F160" s="8" t="s">
        <v>17</v>
      </c>
      <c r="G160" s="8" t="s">
        <v>28</v>
      </c>
      <c r="H160" s="8" t="s">
        <v>29</v>
      </c>
    </row>
    <row r="161" spans="1:9" s="8" customFormat="1" x14ac:dyDescent="0.2">
      <c r="A161" s="8" t="s">
        <v>81</v>
      </c>
      <c r="B161" s="8">
        <v>0.13</v>
      </c>
      <c r="D161" s="8" t="s">
        <v>6</v>
      </c>
      <c r="E161" s="8" t="s">
        <v>20</v>
      </c>
      <c r="F161" s="8" t="s">
        <v>21</v>
      </c>
      <c r="H161" s="8" t="s">
        <v>22</v>
      </c>
    </row>
    <row r="162" spans="1:9" s="8" customFormat="1" x14ac:dyDescent="0.2">
      <c r="B162" s="9"/>
    </row>
    <row r="163" spans="1:9" s="8" customFormat="1" ht="16" x14ac:dyDescent="0.2">
      <c r="A163" s="6" t="s">
        <v>0</v>
      </c>
      <c r="B163" s="7" t="s">
        <v>88</v>
      </c>
    </row>
    <row r="164" spans="1:9" s="8" customFormat="1" x14ac:dyDescent="0.2">
      <c r="A164" s="8" t="s">
        <v>1</v>
      </c>
      <c r="B164" s="8">
        <v>1</v>
      </c>
    </row>
    <row r="165" spans="1:9" s="8" customFormat="1" x14ac:dyDescent="0.2">
      <c r="A165" s="8" t="s">
        <v>2</v>
      </c>
      <c r="B165" s="8" t="s">
        <v>73</v>
      </c>
    </row>
    <row r="166" spans="1:9" s="8" customFormat="1" x14ac:dyDescent="0.2">
      <c r="A166" s="8" t="s">
        <v>3</v>
      </c>
      <c r="B166" s="8" t="s">
        <v>4</v>
      </c>
    </row>
    <row r="167" spans="1:9" s="8" customFormat="1" x14ac:dyDescent="0.2">
      <c r="A167" s="8" t="s">
        <v>5</v>
      </c>
      <c r="B167" s="8" t="s">
        <v>6</v>
      </c>
    </row>
    <row r="168" spans="1:9" s="8" customFormat="1" x14ac:dyDescent="0.2">
      <c r="A168" s="8" t="s">
        <v>7</v>
      </c>
      <c r="B168" s="8" t="s">
        <v>8</v>
      </c>
    </row>
    <row r="169" spans="1:9" s="8" customFormat="1" x14ac:dyDescent="0.2">
      <c r="A169" s="8" t="s">
        <v>9</v>
      </c>
      <c r="B169" s="8" t="inlineStr">
        <is>
          <t>APPROVED GTL LIFETIME-OUTPUT REFERENCE ASSUMPTION, 2026-10-18. Van der Giesen et al. (2014), DOI 10.1021/es500191g, SI https://doi.org/10.1021/es500191g.s001, page S10 and Table S22, gives 18000 tonnes fuel/day, 300 operating days/year and 30 years. Adopt that published production calendar as the reference for the existing GTL equipment: 1/(18000*1000*300*30) = 6.172839506172839E-12 plant units/kg fuel, replacing the inconsistent transcribed 6.7E-12. USER-APPROVED OPERATING ASSUMPTION: this uses the published reference output/calendar; it does not establish measured operation, future plant duty or complete catalyst coverage. Existing product-allocation keys, fuel output and construction recipe remain unchanged. No new hardware, metal-content factors, credits or primary/secondary shares. Prior references to the former dose or preserved lifetime allocation are superseded only for this coefficient.
PREVIOUS NOTES (retained as history; the correction above takes precedence):
Adapted from van der Giesen et al. 2014. LHV: 45 MJ/kg, Formula: C13H18, Density: 7551 kg/m3. Energy-based allocation between 3 other co-products. Allocation key for this co-product: 18%.</t>
        </is>
      </c>
    </row>
    <row r="170" spans="1:9" s="8" customFormat="1" x14ac:dyDescent="0.2">
      <c r="A170" s="8" t="s">
        <v>33</v>
      </c>
      <c r="B170" s="8" t="s">
        <v>34</v>
      </c>
    </row>
    <row r="171" spans="1:9" s="8" customFormat="1" ht="16" x14ac:dyDescent="0.2">
      <c r="A171" s="6" t="s">
        <v>10</v>
      </c>
    </row>
    <row r="172" spans="1:9" s="8" customFormat="1" x14ac:dyDescent="0.2">
      <c r="A172" s="8" t="s">
        <v>11</v>
      </c>
      <c r="B172" s="8" t="s">
        <v>12</v>
      </c>
      <c r="C172" s="8" t="s">
        <v>7</v>
      </c>
      <c r="D172" s="8" t="s">
        <v>5</v>
      </c>
      <c r="E172" s="8" t="s">
        <v>13</v>
      </c>
      <c r="F172" s="8" t="s">
        <v>3</v>
      </c>
      <c r="G172" s="8" t="s">
        <v>2</v>
      </c>
      <c r="H172" s="8" t="s">
        <v>14</v>
      </c>
      <c r="I172" s="8" t="s">
        <v>9</v>
      </c>
    </row>
    <row r="173" spans="1:9" s="8" customFormat="1" x14ac:dyDescent="0.2">
      <c r="A173" s="8" t="s">
        <v>88</v>
      </c>
      <c r="B173" s="8">
        <v>1</v>
      </c>
      <c r="C173" s="8" t="s">
        <v>8</v>
      </c>
      <c r="D173" s="8" t="s">
        <v>6</v>
      </c>
      <c r="F173" s="8" t="s">
        <v>15</v>
      </c>
      <c r="G173" s="8" t="s">
        <v>73</v>
      </c>
      <c r="H173" s="8" t="s">
        <v>35</v>
      </c>
      <c r="I173" s="8" t="s">
        <v>16</v>
      </c>
    </row>
    <row r="174" spans="1:9" s="8" customFormat="1" x14ac:dyDescent="0.2">
      <c r="A174" s="8" t="s">
        <v>90</v>
      </c>
      <c r="B174" s="8">
        <v>2.35</v>
      </c>
      <c r="C174" s="8" t="s">
        <v>8</v>
      </c>
      <c r="D174" s="8" t="s">
        <v>6</v>
      </c>
      <c r="F174" s="8" t="s">
        <v>17</v>
      </c>
      <c r="G174" s="8" t="s">
        <v>91</v>
      </c>
      <c r="H174" s="8" t="s">
        <v>35</v>
      </c>
    </row>
    <row r="175" spans="1:9" s="8" customFormat="1" x14ac:dyDescent="0.2">
      <c r="A175" s="8" t="s">
        <v>18</v>
      </c>
      <c r="B175" s="8">
        <f>3.64160231884058*0.18</f>
        <v>0.65548841739130437</v>
      </c>
      <c r="D175" s="8" t="s">
        <v>19</v>
      </c>
      <c r="E175" s="8" t="s">
        <v>20</v>
      </c>
      <c r="F175" s="8" t="s">
        <v>21</v>
      </c>
      <c r="H175" s="8" t="s">
        <v>22</v>
      </c>
    </row>
    <row r="176" spans="1:9" s="8" customFormat="1" x14ac:dyDescent="0.2">
      <c r="A176" s="8" t="s">
        <v>23</v>
      </c>
      <c r="B176" s="8">
        <f>0.00107549913043478*0.18</f>
        <v>1.9358984347826041E-4</v>
      </c>
      <c r="D176" s="8" t="s">
        <v>24</v>
      </c>
      <c r="E176" s="8" t="s">
        <v>25</v>
      </c>
      <c r="F176" s="8" t="s">
        <v>21</v>
      </c>
      <c r="H176" s="8" t="s">
        <v>22</v>
      </c>
    </row>
    <row r="177" spans="1:9" s="8" customFormat="1" x14ac:dyDescent="0.2">
      <c r="A177" s="8" t="s">
        <v>36</v>
      </c>
      <c r="B177" s="9">
        <v>6.172839506172839e-12</v>
      </c>
      <c r="C177" s="8" t="s">
        <v>31</v>
      </c>
      <c r="D177" s="8" t="s">
        <v>5</v>
      </c>
      <c r="F177" s="8" t="s">
        <v>17</v>
      </c>
      <c r="G177" s="8" t="s">
        <v>37</v>
      </c>
      <c r="H177" s="8" t="s">
        <v>35</v>
      </c>
    </row>
    <row r="178" spans="1:9" s="8" customFormat="1" x14ac:dyDescent="0.2">
      <c r="A178" s="8" t="s">
        <v>26</v>
      </c>
      <c r="B178" s="9">
        <f>0.0872420618556701*0.18</f>
        <v>1.5703571134020617E-2</v>
      </c>
      <c r="C178" s="8" t="s">
        <v>8</v>
      </c>
      <c r="D178" s="8" t="s">
        <v>27</v>
      </c>
      <c r="F178" s="8" t="s">
        <v>17</v>
      </c>
      <c r="G178" s="8" t="s">
        <v>28</v>
      </c>
      <c r="H178" s="8" t="s">
        <v>29</v>
      </c>
    </row>
    <row r="179" spans="1:9" s="8" customFormat="1" x14ac:dyDescent="0.2">
      <c r="A179" s="8" t="s">
        <v>81</v>
      </c>
      <c r="B179" s="8">
        <v>0.22</v>
      </c>
      <c r="D179" s="8" t="s">
        <v>6</v>
      </c>
      <c r="E179" s="8" t="s">
        <v>20</v>
      </c>
      <c r="F179" s="8" t="s">
        <v>21</v>
      </c>
      <c r="H179" s="8" t="s">
        <v>22</v>
      </c>
    </row>
    <row r="180" spans="1:9" s="8" customFormat="1" x14ac:dyDescent="0.2"/>
    <row r="181" spans="1:9" s="8" customFormat="1" ht="16" x14ac:dyDescent="0.2">
      <c r="A181" s="6" t="s">
        <v>0</v>
      </c>
      <c r="B181" s="7" t="s">
        <v>96</v>
      </c>
    </row>
    <row r="182" spans="1:9" s="8" customFormat="1" x14ac:dyDescent="0.2">
      <c r="A182" s="8" t="s">
        <v>1</v>
      </c>
      <c r="B182" s="8">
        <v>1</v>
      </c>
    </row>
    <row r="183" spans="1:9" s="8" customFormat="1" x14ac:dyDescent="0.2">
      <c r="A183" s="8" t="s">
        <v>2</v>
      </c>
      <c r="B183" s="8" t="s">
        <v>93</v>
      </c>
    </row>
    <row r="184" spans="1:9" s="8" customFormat="1" x14ac:dyDescent="0.2">
      <c r="A184" s="8" t="s">
        <v>3</v>
      </c>
      <c r="B184" s="8" t="s">
        <v>4</v>
      </c>
    </row>
    <row r="185" spans="1:9" s="8" customFormat="1" x14ac:dyDescent="0.2">
      <c r="A185" s="8" t="s">
        <v>5</v>
      </c>
      <c r="B185" s="8" t="s">
        <v>6</v>
      </c>
    </row>
    <row r="186" spans="1:9" s="8" customFormat="1" x14ac:dyDescent="0.2">
      <c r="A186" s="8" t="s">
        <v>7</v>
      </c>
      <c r="B186" s="8" t="s">
        <v>8</v>
      </c>
    </row>
    <row r="187" spans="1:9" s="8" customFormat="1" x14ac:dyDescent="0.2">
      <c r="A187" s="8" t="s">
        <v>9</v>
      </c>
      <c r="B187" s="8" t="inlineStr">
        <is>
          <t>APPROVED GTL LIFETIME-OUTPUT REFERENCE ASSUMPTION, 2026-10-18. Van der Giesen et al. (2014), DOI 10.1021/es500191g, SI https://doi.org/10.1021/es500191g.s001, page S10 and Table S22, gives 18000 tonnes fuel/day, 300 operating days/year and 30 years. Adopt that published production calendar as the reference for the existing GTL equipment: 1/(18000*1000*300*30) = 6.172839506172839E-12 plant units/kg fuel, replacing the inconsistent transcribed 6.7E-12. USER-APPROVED OPERATING ASSUMPTION: this uses the published reference output/calendar; it does not establish measured operation, future plant duty or complete catalyst coverage. Existing product-allocation keys, fuel output and construction recipe remain unchanged. No new hardware, metal-content factors, credits or primary/secondary shares. Prior references to the former dose or preserved lifetime allocation are superseded only for this coefficient.
PREVIOUS NOTES (retained as history; the correction above takes precedence):
Adapted from van der Giesen et al. 2014. LHV: 44.5 MJ/kg, Formula: C13H18, Density: 7551 kg/m3. Energy-based allocation between 3 other co-products. Allocation key for this co-product: 24%.</t>
        </is>
      </c>
    </row>
    <row r="188" spans="1:9" s="8" customFormat="1" x14ac:dyDescent="0.2">
      <c r="A188" s="8" t="s">
        <v>33</v>
      </c>
      <c r="B188" s="8" t="s">
        <v>34</v>
      </c>
    </row>
    <row r="189" spans="1:9" s="8" customFormat="1" ht="16" x14ac:dyDescent="0.2">
      <c r="A189" s="6" t="s">
        <v>10</v>
      </c>
    </row>
    <row r="190" spans="1:9" s="8" customFormat="1" x14ac:dyDescent="0.2">
      <c r="A190" s="8" t="s">
        <v>11</v>
      </c>
      <c r="B190" s="8" t="s">
        <v>12</v>
      </c>
      <c r="C190" s="8" t="s">
        <v>7</v>
      </c>
      <c r="D190" s="8" t="s">
        <v>5</v>
      </c>
      <c r="E190" s="8" t="s">
        <v>13</v>
      </c>
      <c r="F190" s="8" t="s">
        <v>3</v>
      </c>
      <c r="G190" s="8" t="s">
        <v>2</v>
      </c>
      <c r="H190" s="8" t="s">
        <v>14</v>
      </c>
      <c r="I190" s="8" t="s">
        <v>9</v>
      </c>
    </row>
    <row r="191" spans="1:9" s="8" customFormat="1" x14ac:dyDescent="0.2">
      <c r="A191" s="8" t="s">
        <v>96</v>
      </c>
      <c r="B191" s="8">
        <v>1</v>
      </c>
      <c r="C191" s="8" t="s">
        <v>8</v>
      </c>
      <c r="D191" s="8" t="s">
        <v>6</v>
      </c>
      <c r="F191" s="8" t="s">
        <v>15</v>
      </c>
      <c r="G191" s="8" t="s">
        <v>93</v>
      </c>
      <c r="H191" s="8" t="s">
        <v>35</v>
      </c>
    </row>
    <row r="192" spans="1:9" s="8" customFormat="1" x14ac:dyDescent="0.2">
      <c r="A192" s="8" t="s">
        <v>90</v>
      </c>
      <c r="B192" s="8">
        <v>2.3199999999999998</v>
      </c>
      <c r="C192" s="8" t="s">
        <v>8</v>
      </c>
      <c r="D192" s="8" t="s">
        <v>6</v>
      </c>
      <c r="F192" s="8" t="s">
        <v>17</v>
      </c>
      <c r="G192" s="8" t="s">
        <v>91</v>
      </c>
      <c r="H192" s="8" t="s">
        <v>35</v>
      </c>
    </row>
    <row r="193" spans="1:9" s="8" customFormat="1" x14ac:dyDescent="0.2">
      <c r="A193" s="8" t="s">
        <v>18</v>
      </c>
      <c r="B193" s="8">
        <f>3.64160231884058*0.24</f>
        <v>0.87398455652173912</v>
      </c>
      <c r="D193" s="8" t="s">
        <v>19</v>
      </c>
      <c r="E193" s="8" t="s">
        <v>20</v>
      </c>
      <c r="F193" s="8" t="s">
        <v>21</v>
      </c>
      <c r="H193" s="8" t="s">
        <v>22</v>
      </c>
    </row>
    <row r="194" spans="1:9" s="8" customFormat="1" x14ac:dyDescent="0.2">
      <c r="A194" s="8" t="s">
        <v>23</v>
      </c>
      <c r="B194" s="8">
        <f>0.00107549913043478*0.24</f>
        <v>2.581197913043472E-4</v>
      </c>
      <c r="D194" s="8" t="s">
        <v>24</v>
      </c>
      <c r="E194" s="8" t="s">
        <v>25</v>
      </c>
      <c r="F194" s="8" t="s">
        <v>21</v>
      </c>
      <c r="H194" s="8" t="s">
        <v>22</v>
      </c>
    </row>
    <row r="195" spans="1:9" s="8" customFormat="1" x14ac:dyDescent="0.2">
      <c r="A195" s="8" t="s">
        <v>36</v>
      </c>
      <c r="B195" s="9">
        <v>6.172839506172839e-12</v>
      </c>
      <c r="C195" s="8" t="s">
        <v>31</v>
      </c>
      <c r="D195" s="8" t="s">
        <v>5</v>
      </c>
      <c r="F195" s="8" t="s">
        <v>17</v>
      </c>
      <c r="G195" s="8" t="s">
        <v>37</v>
      </c>
      <c r="H195" s="8" t="s">
        <v>35</v>
      </c>
    </row>
    <row r="196" spans="1:9" s="8" customFormat="1" x14ac:dyDescent="0.2">
      <c r="A196" s="8" t="s">
        <v>26</v>
      </c>
      <c r="B196" s="9">
        <f>0.0872420618556701*0.24</f>
        <v>2.0938094845360824E-2</v>
      </c>
      <c r="C196" s="8" t="s">
        <v>8</v>
      </c>
      <c r="D196" s="8" t="s">
        <v>27</v>
      </c>
      <c r="F196" s="8" t="s">
        <v>17</v>
      </c>
      <c r="G196" s="8" t="s">
        <v>28</v>
      </c>
      <c r="H196" s="8" t="s">
        <v>29</v>
      </c>
    </row>
    <row r="197" spans="1:9" s="8" customFormat="1" x14ac:dyDescent="0.2">
      <c r="A197" s="8" t="s">
        <v>82</v>
      </c>
      <c r="B197" s="8">
        <v>0.19</v>
      </c>
      <c r="D197" s="8" t="s">
        <v>6</v>
      </c>
      <c r="E197" s="8" t="s">
        <v>80</v>
      </c>
      <c r="F197" s="8" t="s">
        <v>21</v>
      </c>
      <c r="H197" s="8" t="s">
        <v>22</v>
      </c>
    </row>
    <row r="198" spans="1:9" s="8" customFormat="1" x14ac:dyDescent="0.2"/>
    <row r="199" spans="1:9" s="8" customFormat="1" ht="16" x14ac:dyDescent="0.2">
      <c r="A199" s="6" t="s">
        <v>0</v>
      </c>
      <c r="B199" s="7" t="s">
        <v>89</v>
      </c>
    </row>
    <row r="200" spans="1:9" s="8" customFormat="1" x14ac:dyDescent="0.2">
      <c r="A200" s="8" t="s">
        <v>1</v>
      </c>
      <c r="B200" s="8">
        <v>1</v>
      </c>
    </row>
    <row r="201" spans="1:9" s="8" customFormat="1" x14ac:dyDescent="0.2">
      <c r="A201" s="8" t="s">
        <v>2</v>
      </c>
      <c r="B201" s="8" t="s">
        <v>87</v>
      </c>
    </row>
    <row r="202" spans="1:9" s="8" customFormat="1" x14ac:dyDescent="0.2">
      <c r="A202" s="8" t="s">
        <v>3</v>
      </c>
      <c r="B202" s="8" t="s">
        <v>4</v>
      </c>
    </row>
    <row r="203" spans="1:9" s="8" customFormat="1" x14ac:dyDescent="0.2">
      <c r="A203" s="8" t="s">
        <v>5</v>
      </c>
      <c r="B203" s="8" t="s">
        <v>6</v>
      </c>
    </row>
    <row r="204" spans="1:9" s="8" customFormat="1" x14ac:dyDescent="0.2">
      <c r="A204" s="8" t="s">
        <v>7</v>
      </c>
      <c r="B204" s="8" t="s">
        <v>8</v>
      </c>
    </row>
    <row r="205" spans="1:9" s="8" customFormat="1" x14ac:dyDescent="0.2">
      <c r="A205" s="8" t="s">
        <v>9</v>
      </c>
      <c r="B205" s="8" t="inlineStr">
        <is>
          <t>APPROVED GTL LIFETIME-OUTPUT REFERENCE ASSUMPTION, 2026-10-18. Van der Giesen et al. (2014), DOI 10.1021/es500191g, SI https://doi.org/10.1021/es500191g.s001, page S10 and Table S22, gives 18000 tonnes fuel/day, 300 operating days/year and 30 years. Adopt that published production calendar as the reference for the existing GTL equipment: 1/(18000*1000*300*30) = 6.172839506172839E-12 plant units/kg fuel, replacing the inconsistent transcribed 6.7E-12. USER-APPROVED OPERATING ASSUMPTION: this uses the published reference output/calendar; it does not establish measured operation, future plant duty or complete catalyst coverage. Existing product-allocation keys, fuel output and construction recipe remain unchanged. No new hardware, metal-content factors, credits or primary/secondary shares. Prior references to the former dose or preserved lifetime allocation are superseded only for this coefficient.
PREVIOUS NOTES (retained as history; the correction above takes precedence):
Adapted from van der Giesen et al. 2014. LHV: 43.3 MJ/kg, Formula: C13H18, Density: 7551 kg/m3. Energy-based allocation between 3 other co-products. Allocation key for this co-product: 37%. Post corrected to preserve carbon balance.</t>
        </is>
      </c>
    </row>
    <row r="206" spans="1:9" s="8" customFormat="1" x14ac:dyDescent="0.2">
      <c r="A206" s="8" t="s">
        <v>33</v>
      </c>
      <c r="B206" s="8" t="s">
        <v>34</v>
      </c>
    </row>
    <row r="207" spans="1:9" s="8" customFormat="1" ht="16" x14ac:dyDescent="0.2">
      <c r="A207" s="6" t="s">
        <v>10</v>
      </c>
    </row>
    <row r="208" spans="1:9" s="8" customFormat="1" x14ac:dyDescent="0.2">
      <c r="A208" s="8" t="s">
        <v>11</v>
      </c>
      <c r="B208" s="8" t="s">
        <v>12</v>
      </c>
      <c r="C208" s="8" t="s">
        <v>7</v>
      </c>
      <c r="D208" s="8" t="s">
        <v>5</v>
      </c>
      <c r="E208" s="8" t="s">
        <v>13</v>
      </c>
      <c r="F208" s="8" t="s">
        <v>3</v>
      </c>
      <c r="G208" s="8" t="s">
        <v>2</v>
      </c>
      <c r="H208" s="8" t="s">
        <v>14</v>
      </c>
      <c r="I208" s="8" t="s">
        <v>9</v>
      </c>
    </row>
    <row r="209" spans="1:10" s="8" customFormat="1" x14ac:dyDescent="0.2">
      <c r="A209" s="8" t="s">
        <v>89</v>
      </c>
      <c r="B209" s="8">
        <v>1</v>
      </c>
      <c r="C209" s="8" t="s">
        <v>8</v>
      </c>
      <c r="D209" s="8" t="s">
        <v>6</v>
      </c>
      <c r="F209" s="8" t="s">
        <v>15</v>
      </c>
      <c r="G209" s="8" t="s">
        <v>87</v>
      </c>
      <c r="H209" s="8" t="s">
        <v>35</v>
      </c>
      <c r="I209" s="8" t="s">
        <v>16</v>
      </c>
    </row>
    <row r="210" spans="1:10" s="8" customFormat="1" x14ac:dyDescent="0.2">
      <c r="A210" s="8" t="s">
        <v>90</v>
      </c>
      <c r="B210" s="8">
        <v>2.2599999999999998</v>
      </c>
      <c r="C210" s="8" t="s">
        <v>8</v>
      </c>
      <c r="D210" s="8" t="s">
        <v>6</v>
      </c>
      <c r="F210" s="8" t="s">
        <v>17</v>
      </c>
      <c r="G210" s="8" t="s">
        <v>91</v>
      </c>
      <c r="H210" s="8" t="s">
        <v>35</v>
      </c>
    </row>
    <row r="211" spans="1:10" s="8" customFormat="1" x14ac:dyDescent="0.2">
      <c r="A211" s="8" t="s">
        <v>18</v>
      </c>
      <c r="B211" s="8">
        <f>3.64160231884058*0.37</f>
        <v>1.3473928579710146</v>
      </c>
      <c r="D211" s="8" t="s">
        <v>19</v>
      </c>
      <c r="E211" s="8" t="s">
        <v>20</v>
      </c>
      <c r="F211" s="8" t="s">
        <v>21</v>
      </c>
      <c r="H211" s="8" t="s">
        <v>22</v>
      </c>
    </row>
    <row r="212" spans="1:10" s="8" customFormat="1" x14ac:dyDescent="0.2">
      <c r="A212" s="8" t="s">
        <v>23</v>
      </c>
      <c r="B212" s="8">
        <f>0.00107549913043478*0.37</f>
        <v>3.9793467826086865E-4</v>
      </c>
      <c r="D212" s="8" t="s">
        <v>24</v>
      </c>
      <c r="E212" s="8" t="s">
        <v>25</v>
      </c>
      <c r="F212" s="8" t="s">
        <v>21</v>
      </c>
      <c r="H212" s="8" t="s">
        <v>22</v>
      </c>
    </row>
    <row r="213" spans="1:10" s="8" customFormat="1" x14ac:dyDescent="0.2">
      <c r="A213" s="8" t="s">
        <v>36</v>
      </c>
      <c r="B213" s="9">
        <v>6.172839506172839e-12</v>
      </c>
      <c r="C213" s="8" t="s">
        <v>31</v>
      </c>
      <c r="D213" s="8" t="s">
        <v>5</v>
      </c>
      <c r="F213" s="8" t="s">
        <v>17</v>
      </c>
      <c r="G213" s="8" t="s">
        <v>37</v>
      </c>
      <c r="H213" s="8" t="s">
        <v>35</v>
      </c>
      <c r="J213" s="9"/>
    </row>
    <row r="214" spans="1:10" s="8" customFormat="1" x14ac:dyDescent="0.2">
      <c r="A214" s="8" t="s">
        <v>26</v>
      </c>
      <c r="B214" s="9">
        <f>0.0872420618556701*0.37</f>
        <v>3.2279562886597939E-2</v>
      </c>
      <c r="C214" s="8" t="s">
        <v>8</v>
      </c>
      <c r="D214" s="8" t="s">
        <v>27</v>
      </c>
      <c r="F214" s="8" t="s">
        <v>17</v>
      </c>
      <c r="G214" s="8" t="s">
        <v>28</v>
      </c>
      <c r="H214" s="8" t="s">
        <v>29</v>
      </c>
    </row>
    <row r="215" spans="1:10" s="8" customFormat="1" x14ac:dyDescent="0.2">
      <c r="A215" s="8" t="s">
        <v>82</v>
      </c>
      <c r="B215" s="8">
        <v>0.06</v>
      </c>
      <c r="D215" s="8" t="s">
        <v>6</v>
      </c>
      <c r="E215" s="8" t="s">
        <v>80</v>
      </c>
      <c r="F215" s="8" t="s">
        <v>21</v>
      </c>
      <c r="H215" s="8" t="s">
        <v>22</v>
      </c>
    </row>
    <row r="216" spans="1:10" s="8" customFormat="1" x14ac:dyDescent="0.2"/>
    <row r="217" spans="1:10" s="8" customFormat="1" ht="16" x14ac:dyDescent="0.2">
      <c r="A217" s="6" t="s">
        <v>0</v>
      </c>
      <c r="B217" s="7" t="s">
        <v>102</v>
      </c>
    </row>
    <row r="218" spans="1:10" s="8" customFormat="1" x14ac:dyDescent="0.2">
      <c r="A218" s="8" t="s">
        <v>1</v>
      </c>
      <c r="B218" s="8">
        <v>1</v>
      </c>
    </row>
    <row r="219" spans="1:10" s="8" customFormat="1" x14ac:dyDescent="0.2">
      <c r="A219" s="8" t="s">
        <v>2</v>
      </c>
      <c r="B219" s="8" t="s">
        <v>99</v>
      </c>
    </row>
    <row r="220" spans="1:10" s="8" customFormat="1" x14ac:dyDescent="0.2">
      <c r="A220" s="8" t="s">
        <v>3</v>
      </c>
      <c r="B220" s="8" t="s">
        <v>4</v>
      </c>
    </row>
    <row r="221" spans="1:10" s="8" customFormat="1" x14ac:dyDescent="0.2">
      <c r="A221" s="8" t="s">
        <v>5</v>
      </c>
      <c r="B221" s="8" t="s">
        <v>6</v>
      </c>
    </row>
    <row r="222" spans="1:10" s="8" customFormat="1" x14ac:dyDescent="0.2">
      <c r="A222" s="8" t="s">
        <v>7</v>
      </c>
      <c r="B222" s="8" t="s">
        <v>8</v>
      </c>
    </row>
    <row r="223" spans="1:10" s="8" customFormat="1" x14ac:dyDescent="0.2">
      <c r="A223" s="8" t="s">
        <v>9</v>
      </c>
      <c r="B223" s="8" t="inlineStr">
        <is>
          <t>APPROVED GTL LIFETIME-OUTPUT REFERENCE ASSUMPTION, 2026-10-18. Van der Giesen et al. (2014), DOI 10.1021/es500191g, SI https://doi.org/10.1021/es500191g.s001, page S10 and Table S22, gives 18000 tonnes fuel/day, 300 operating days/year and 30 years. Adopt that published production calendar as the reference for the existing GTL equipment: 1/(18000*1000*300*30) = 6.172839506172839E-12 plant units/kg fuel, replacing the inconsistent transcribed 6.7E-12. USER-APPROVED OPERATING ASSUMPTION: this uses the published reference output/calendar; it does not establish measured operation, future plant duty or complete catalyst coverage. Existing product-allocation keys, fuel output and construction recipe remain unchanged. No new hardware, metal-content factors, credits or primary/secondary shares. Prior references to the former dose or preserved lifetime allocation are superseded only for this coefficient.
PREVIOUS NOTES (retained as history; the correction above takes precedence):
Adapted from A.E.M. van den Oever, D. Costa, M. Messagie, Prospective life cycle assessment of alternatively fueled heavy-duty trucks, Applied Energy, 2023, https://doi.org/10.1016/j.apenergy.2023.120834. Energy-based allocation between 3 other co-products (diesel, wax and C5-C10 olefins). Allocation key for this co-product: 11%. Post corrected to preserve carbon balance.</t>
        </is>
      </c>
    </row>
    <row r="224" spans="1:10" s="8" customFormat="1" x14ac:dyDescent="0.2">
      <c r="A224" s="8" t="s">
        <v>33</v>
      </c>
      <c r="B224" s="8" t="s">
        <v>101</v>
      </c>
    </row>
    <row r="225" spans="1:8" s="8" customFormat="1" ht="16" x14ac:dyDescent="0.2">
      <c r="A225" s="6" t="s">
        <v>10</v>
      </c>
    </row>
    <row r="226" spans="1:8" s="8" customFormat="1" x14ac:dyDescent="0.2">
      <c r="A226" s="8" t="s">
        <v>11</v>
      </c>
      <c r="B226" s="8" t="s">
        <v>12</v>
      </c>
      <c r="C226" s="8" t="s">
        <v>7</v>
      </c>
      <c r="D226" s="8" t="s">
        <v>5</v>
      </c>
      <c r="E226" s="8" t="s">
        <v>13</v>
      </c>
      <c r="F226" s="8" t="s">
        <v>3</v>
      </c>
      <c r="G226" s="8" t="s">
        <v>2</v>
      </c>
      <c r="H226" s="8" t="s">
        <v>9</v>
      </c>
    </row>
    <row r="227" spans="1:8" s="8" customFormat="1" x14ac:dyDescent="0.2">
      <c r="A227" s="8" t="str">
        <f>B217</f>
        <v>liquefied petroleum gas production, synthetic, Fischer Tropsch process, hydrogen from wood gasification, energy allocation</v>
      </c>
      <c r="B227" s="8">
        <v>1</v>
      </c>
      <c r="C227" s="8" t="s">
        <v>8</v>
      </c>
      <c r="D227" s="8" t="s">
        <v>6</v>
      </c>
      <c r="F227" s="8" t="s">
        <v>15</v>
      </c>
      <c r="G227" s="8" t="str">
        <f>B217</f>
        <v>liquefied petroleum gas production, synthetic, Fischer Tropsch process, hydrogen from wood gasification, energy allocation</v>
      </c>
      <c r="H227" s="8" t="s">
        <v>16</v>
      </c>
    </row>
    <row r="228" spans="1:8" s="8" customFormat="1" x14ac:dyDescent="0.2">
      <c r="A228" s="8" t="s">
        <v>90</v>
      </c>
      <c r="B228" s="8">
        <v>2.2799999999999998</v>
      </c>
      <c r="C228" s="8" t="s">
        <v>8</v>
      </c>
      <c r="D228" s="8" t="s">
        <v>6</v>
      </c>
      <c r="F228" s="8" t="s">
        <v>17</v>
      </c>
      <c r="G228" s="8" t="s">
        <v>91</v>
      </c>
    </row>
    <row r="229" spans="1:8" s="8" customFormat="1" x14ac:dyDescent="0.2">
      <c r="A229" s="8" t="s">
        <v>18</v>
      </c>
      <c r="B229" s="8">
        <f>3.64160231884058*0.11</f>
        <v>0.4005762550724638</v>
      </c>
      <c r="D229" s="8" t="s">
        <v>19</v>
      </c>
      <c r="E229" s="8" t="s">
        <v>20</v>
      </c>
      <c r="F229" s="8" t="s">
        <v>21</v>
      </c>
    </row>
    <row r="230" spans="1:8" s="8" customFormat="1" x14ac:dyDescent="0.2">
      <c r="A230" s="8" t="s">
        <v>23</v>
      </c>
      <c r="B230" s="8">
        <f>0.00107549913043478*0.11</f>
        <v>1.1830490434782582E-4</v>
      </c>
      <c r="D230" s="8" t="s">
        <v>24</v>
      </c>
      <c r="E230" s="8" t="s">
        <v>25</v>
      </c>
      <c r="F230" s="8" t="s">
        <v>21</v>
      </c>
    </row>
    <row r="231" spans="1:8" s="8" customFormat="1" x14ac:dyDescent="0.2">
      <c r="A231" s="8" t="s">
        <v>36</v>
      </c>
      <c r="B231" s="9">
        <v>6.172839506172839e-12</v>
      </c>
      <c r="C231" s="8" t="s">
        <v>31</v>
      </c>
      <c r="D231" s="8" t="s">
        <v>5</v>
      </c>
      <c r="F231" s="8" t="s">
        <v>17</v>
      </c>
      <c r="G231" s="8" t="s">
        <v>37</v>
      </c>
    </row>
    <row r="232" spans="1:8" s="8" customFormat="1" x14ac:dyDescent="0.2">
      <c r="A232" s="8" t="s">
        <v>82</v>
      </c>
      <c r="B232" s="8">
        <v>-0.13</v>
      </c>
      <c r="D232" s="8" t="s">
        <v>6</v>
      </c>
      <c r="E232" s="8" t="s">
        <v>80</v>
      </c>
      <c r="F232" s="8" t="s">
        <v>21</v>
      </c>
    </row>
    <row r="233" spans="1:8" s="8" customFormat="1" x14ac:dyDescent="0.2">
      <c r="A233" s="8" t="s">
        <v>26</v>
      </c>
      <c r="B233" s="9">
        <f>0.0872420618556701*0.11</f>
        <v>9.5966268041237108E-3</v>
      </c>
      <c r="C233" s="8" t="s">
        <v>8</v>
      </c>
      <c r="D233" s="8" t="s">
        <v>27</v>
      </c>
      <c r="F233" s="8" t="s">
        <v>17</v>
      </c>
      <c r="G233" s="8" t="s">
        <v>28</v>
      </c>
    </row>
    <row r="234" spans="1:8" s="8" customFormat="1" x14ac:dyDescent="0.2"/>
    <row r="235" spans="1:8" s="8" customFormat="1" ht="16" x14ac:dyDescent="0.2">
      <c r="A235" s="6" t="s">
        <v>0</v>
      </c>
      <c r="B235" s="7" t="s">
        <v>90</v>
      </c>
    </row>
    <row r="236" spans="1:8" s="8" customFormat="1" x14ac:dyDescent="0.2">
      <c r="A236" s="8" t="s">
        <v>1</v>
      </c>
      <c r="B236" s="8">
        <v>1</v>
      </c>
    </row>
    <row r="237" spans="1:8" s="8" customFormat="1" x14ac:dyDescent="0.2">
      <c r="A237" s="8" t="s">
        <v>2</v>
      </c>
      <c r="B237" s="8" t="s">
        <v>91</v>
      </c>
    </row>
    <row r="238" spans="1:8" s="8" customFormat="1" x14ac:dyDescent="0.2">
      <c r="A238" s="8" t="s">
        <v>3</v>
      </c>
      <c r="B238" s="8" t="s">
        <v>4</v>
      </c>
    </row>
    <row r="239" spans="1:8" s="8" customFormat="1" x14ac:dyDescent="0.2">
      <c r="A239" s="8" t="s">
        <v>5</v>
      </c>
      <c r="B239" s="8" t="s">
        <v>6</v>
      </c>
    </row>
    <row r="240" spans="1:8" s="8" customFormat="1" x14ac:dyDescent="0.2">
      <c r="A240" s="8" t="s">
        <v>7</v>
      </c>
      <c r="B240" s="8" t="s">
        <v>8</v>
      </c>
    </row>
    <row r="241" spans="1:7" s="8" customFormat="1" x14ac:dyDescent="0.2">
      <c r="A241" s="8" t="s">
        <v>9</v>
      </c>
      <c r="B241" s="8" t="s">
        <v>32</v>
      </c>
    </row>
    <row r="242" spans="1:7" s="8" customFormat="1" x14ac:dyDescent="0.2">
      <c r="A242" s="8" t="s">
        <v>33</v>
      </c>
      <c r="B242" s="8" t="s">
        <v>34</v>
      </c>
    </row>
    <row r="243" spans="1:7" s="8" customFormat="1" ht="16" x14ac:dyDescent="0.2">
      <c r="A243" s="6" t="s">
        <v>10</v>
      </c>
    </row>
    <row r="244" spans="1:7" s="8" customFormat="1" x14ac:dyDescent="0.2">
      <c r="A244" s="8" t="s">
        <v>11</v>
      </c>
      <c r="B244" s="8" t="s">
        <v>12</v>
      </c>
      <c r="C244" s="8" t="s">
        <v>7</v>
      </c>
      <c r="D244" s="8" t="s">
        <v>5</v>
      </c>
      <c r="E244" s="8" t="s">
        <v>13</v>
      </c>
      <c r="F244" s="8" t="s">
        <v>3</v>
      </c>
      <c r="G244" s="8" t="s">
        <v>2</v>
      </c>
    </row>
    <row r="245" spans="1:7" s="8" customFormat="1" x14ac:dyDescent="0.2">
      <c r="A245" s="8" t="s">
        <v>97</v>
      </c>
      <c r="B245" s="8">
        <v>0.875</v>
      </c>
      <c r="C245" s="8" t="s">
        <v>8</v>
      </c>
      <c r="D245" s="8" t="s">
        <v>6</v>
      </c>
      <c r="F245" s="8" t="s">
        <v>17</v>
      </c>
      <c r="G245" s="8" t="s">
        <v>98</v>
      </c>
    </row>
    <row r="246" spans="1:7" s="8" customFormat="1" ht="16" x14ac:dyDescent="0.2">
      <c r="A246" s="10" t="s">
        <v>75</v>
      </c>
      <c r="B246" s="8">
        <v>0.125</v>
      </c>
      <c r="C246" s="8" t="s">
        <v>8</v>
      </c>
      <c r="D246" s="8" t="s">
        <v>6</v>
      </c>
      <c r="F246" s="8" t="s">
        <v>17</v>
      </c>
      <c r="G246" s="14" t="s">
        <v>84</v>
      </c>
    </row>
    <row r="247" spans="1:7" s="8" customFormat="1" x14ac:dyDescent="0.2">
      <c r="A247" s="8" t="s">
        <v>26</v>
      </c>
      <c r="B247" s="8">
        <v>0.36599999999999999</v>
      </c>
      <c r="C247" s="8" t="s">
        <v>8</v>
      </c>
      <c r="D247" s="8" t="s">
        <v>27</v>
      </c>
      <c r="F247" s="8" t="s">
        <v>17</v>
      </c>
      <c r="G247" s="8" t="s">
        <v>28</v>
      </c>
    </row>
    <row r="248" spans="1:7" s="8" customFormat="1" x14ac:dyDescent="0.2">
      <c r="A248" s="8" t="s">
        <v>23</v>
      </c>
      <c r="B248" s="8">
        <f>60*0.001/106.6</f>
        <v>5.6285178236397749E-4</v>
      </c>
      <c r="D248" s="8" t="s">
        <v>24</v>
      </c>
      <c r="E248" s="8" t="s">
        <v>25</v>
      </c>
      <c r="F248" s="8" t="s">
        <v>21</v>
      </c>
    </row>
    <row r="249" spans="1:7" s="8" customFormat="1" x14ac:dyDescent="0.2">
      <c r="A249" s="8" t="s">
        <v>90</v>
      </c>
      <c r="B249" s="8">
        <v>1</v>
      </c>
      <c r="C249" s="8" t="s">
        <v>8</v>
      </c>
      <c r="D249" s="8" t="s">
        <v>6</v>
      </c>
      <c r="F249" s="8" t="s">
        <v>15</v>
      </c>
      <c r="G249" s="8" t="s">
        <v>91</v>
      </c>
    </row>
    <row r="250" spans="1:7" s="8" customFormat="1" x14ac:dyDescent="0.2">
      <c r="A250" s="8" t="s">
        <v>30</v>
      </c>
      <c r="B250" s="11">
        <v>5.7100000000000004E-6</v>
      </c>
      <c r="C250" s="8" t="s">
        <v>31</v>
      </c>
      <c r="D250" s="8" t="s">
        <v>5</v>
      </c>
      <c r="F250" s="8" t="s">
        <v>17</v>
      </c>
    </row>
    <row r="251" spans="1:7" s="8" customFormat="1" x14ac:dyDescent="0.2">
      <c r="B251" s="11"/>
    </row>
    <row r="252" spans="1:7" s="8" customFormat="1" ht="16" x14ac:dyDescent="0.2">
      <c r="A252" s="6" t="s">
        <v>0</v>
      </c>
      <c r="B252" s="7" t="s">
        <v>97</v>
      </c>
    </row>
    <row r="253" spans="1:7" s="8" customFormat="1" x14ac:dyDescent="0.2">
      <c r="A253" s="8" t="s">
        <v>1</v>
      </c>
      <c r="B253" s="8">
        <v>1</v>
      </c>
    </row>
    <row r="254" spans="1:7" s="8" customFormat="1" x14ac:dyDescent="0.2">
      <c r="A254" s="8" t="s">
        <v>2</v>
      </c>
      <c r="B254" s="8" t="s">
        <v>98</v>
      </c>
    </row>
    <row r="255" spans="1:7" s="8" customFormat="1" x14ac:dyDescent="0.2">
      <c r="A255" s="8" t="s">
        <v>3</v>
      </c>
      <c r="B255" s="8" t="s">
        <v>4</v>
      </c>
    </row>
    <row r="256" spans="1:7" s="8" customFormat="1" x14ac:dyDescent="0.2">
      <c r="A256" s="8" t="s">
        <v>5</v>
      </c>
      <c r="B256" s="8" t="s">
        <v>6</v>
      </c>
    </row>
    <row r="257" spans="1:8" s="8" customFormat="1" x14ac:dyDescent="0.2">
      <c r="A257" s="8" t="s">
        <v>7</v>
      </c>
      <c r="B257" s="8" t="s">
        <v>8</v>
      </c>
    </row>
    <row r="258" spans="1:8" s="8" customFormat="1" x14ac:dyDescent="0.2">
      <c r="A258" s="8" t="s">
        <v>9</v>
      </c>
      <c r="B258" s="8" t="inlineStr">
        <is>
          <t>APPROVED RWGS PAIR-LEVEL THROUGHPUT ASSUMPTION, 2026-10-18. Van der Giesen et al. (2014), DOI 10.1021/es500191g, SI https://doi.org/10.1021/es500191g.s001, pages S7-S8 and Table S19, states 2900 kg CO per 30 minutes, 8000 operating hours/year and 30 years, for construction represented by a two-reactor unit. EXPLICIT USER-APPROVED BOUNDARY ASSUMPTION: treat 2900 kg per 30 minutes as total output of the COMPLETE TWO-REACTOR UNIT, not per vessel. Then 1/(2900*2*8000*30) = 7.183908045977011E-10 pair units/kg CO, replacing the inconsistent 1.93E-9. The source duty/parallel-vessel interpretation remains ambiguous: if both vessels each deliver this throughput, the dose would be half this value. This reference accounting assumption is not proof of industrial performance. Keep the corrected two-vessel steel recipe, catalyst/zeolite lifetime quantities, CO output and other material/energy flows unchanged. Historical dose statements are superseded only for this coefficient. No new recovery credit or primary/secondary split.
PREVIOUS NOTES (retained as history; the correction above takes precedence):
Adapted from van der Giesen et al. 2014. Density of syngas: 0.470kg/m3 @1 bar. LHV: 23.9 MJ/kg.
The source for CO2 is from the gasification step to produce the H2. Hence, it comes free of burden.
However, this means we need to reduce the CO2 amount emitted by the gasification process here, as it effectively ends up in the fuel instead.</t>
        </is>
      </c>
    </row>
    <row r="259" spans="1:8" s="8" customFormat="1" ht="16" x14ac:dyDescent="0.2">
      <c r="A259" s="6" t="s">
        <v>10</v>
      </c>
    </row>
    <row r="260" spans="1:8" s="8" customFormat="1" x14ac:dyDescent="0.2">
      <c r="A260" s="8" t="s">
        <v>11</v>
      </c>
      <c r="B260" s="8" t="s">
        <v>12</v>
      </c>
      <c r="C260" s="8" t="s">
        <v>7</v>
      </c>
      <c r="D260" s="8" t="s">
        <v>5</v>
      </c>
      <c r="E260" s="8" t="s">
        <v>13</v>
      </c>
      <c r="F260" s="8" t="s">
        <v>3</v>
      </c>
      <c r="G260" s="8" t="s">
        <v>2</v>
      </c>
    </row>
    <row r="261" spans="1:8" s="8" customFormat="1" x14ac:dyDescent="0.2">
      <c r="A261" s="8" t="s">
        <v>97</v>
      </c>
      <c r="B261" s="8">
        <v>1</v>
      </c>
      <c r="C261" s="8" t="s">
        <v>8</v>
      </c>
      <c r="D261" s="8" t="s">
        <v>6</v>
      </c>
      <c r="F261" s="8" t="s">
        <v>15</v>
      </c>
      <c r="G261" s="8" t="s">
        <v>98</v>
      </c>
    </row>
    <row r="262" spans="1:8" s="8" customFormat="1" ht="16" x14ac:dyDescent="0.2">
      <c r="A262" s="10" t="s">
        <v>75</v>
      </c>
      <c r="B262" s="8">
        <v>7.0000000000000007E-2</v>
      </c>
      <c r="C262" s="8" t="s">
        <v>8</v>
      </c>
      <c r="D262" s="8" t="s">
        <v>6</v>
      </c>
      <c r="F262" s="8" t="s">
        <v>17</v>
      </c>
      <c r="G262" s="14" t="s">
        <v>84</v>
      </c>
    </row>
    <row r="263" spans="1:8" s="8" customFormat="1" x14ac:dyDescent="0.2">
      <c r="A263" s="8" t="s">
        <v>45</v>
      </c>
      <c r="B263" s="9">
        <v>7.183908045977011e-10</v>
      </c>
      <c r="C263" s="8" t="s">
        <v>8</v>
      </c>
      <c r="D263" s="8" t="s">
        <v>5</v>
      </c>
      <c r="F263" s="8" t="s">
        <v>17</v>
      </c>
      <c r="G263" s="8" t="s">
        <v>46</v>
      </c>
    </row>
    <row r="264" spans="1:8" s="8" customFormat="1" x14ac:dyDescent="0.2">
      <c r="A264" s="8" t="s">
        <v>81</v>
      </c>
      <c r="B264" s="8">
        <v>-1.57</v>
      </c>
      <c r="D264" s="8" t="s">
        <v>6</v>
      </c>
      <c r="E264" s="8" t="s">
        <v>20</v>
      </c>
      <c r="F264" s="8" t="s">
        <v>21</v>
      </c>
      <c r="H264" s="8" t="s">
        <v>22</v>
      </c>
    </row>
    <row r="266" spans="1:8" ht="16" x14ac:dyDescent="0.2">
      <c r="A266" s="1"/>
    </row>
    <row r="272" spans="1:8" x14ac:dyDescent="0.2">
      <c r="B272" s="3"/>
    </row>
    <row r="273" spans="1:7" x14ac:dyDescent="0.2">
      <c r="B273" s="3"/>
    </row>
    <row r="275" spans="1:7" ht="16" x14ac:dyDescent="0.2">
      <c r="A275" s="1"/>
      <c r="B275" s="2"/>
    </row>
    <row r="282" spans="1:7" ht="16" x14ac:dyDescent="0.2">
      <c r="A282" s="1"/>
    </row>
    <row r="285" spans="1:7" ht="16" x14ac:dyDescent="0.2">
      <c r="A285" s="4"/>
      <c r="G285" s="4"/>
    </row>
    <row r="289" spans="1:7" x14ac:dyDescent="0.2">
      <c r="B289" s="5"/>
    </row>
    <row r="290" spans="1:7" x14ac:dyDescent="0.2">
      <c r="B290" s="5"/>
    </row>
    <row r="291" spans="1:7" ht="16" x14ac:dyDescent="0.2">
      <c r="A291" s="1"/>
      <c r="B291" s="2"/>
    </row>
    <row r="298" spans="1:7" ht="16" x14ac:dyDescent="0.2">
      <c r="A298" s="1"/>
    </row>
    <row r="301" spans="1:7" ht="16" x14ac:dyDescent="0.2">
      <c r="A301" s="4"/>
      <c r="G301" s="4"/>
    </row>
    <row r="302" spans="1:7" ht="16" x14ac:dyDescent="0.2">
      <c r="A302" s="4"/>
      <c r="G302" s="4"/>
    </row>
    <row r="305" spans="1:2" ht="16" x14ac:dyDescent="0.2">
      <c r="A305" s="1"/>
      <c r="B305" s="2"/>
    </row>
    <row r="312" spans="1:2" ht="16" x14ac:dyDescent="0.2">
      <c r="A312" s="1"/>
    </row>
    <row r="318" spans="1:2" x14ac:dyDescent="0.2">
      <c r="B318" s="3"/>
    </row>
    <row r="319" spans="1:2" x14ac:dyDescent="0.2">
      <c r="B319" s="3"/>
    </row>
    <row r="321" spans="1:7" ht="16" x14ac:dyDescent="0.2">
      <c r="A321" s="1"/>
      <c r="B321" s="2"/>
    </row>
    <row r="328" spans="1:7" ht="16" x14ac:dyDescent="0.2">
      <c r="A328" s="1"/>
    </row>
    <row r="331" spans="1:7" ht="16" x14ac:dyDescent="0.2">
      <c r="A331" s="4"/>
      <c r="G331" s="4"/>
    </row>
    <row r="335" spans="1:7" x14ac:dyDescent="0.2">
      <c r="B335" s="5"/>
    </row>
    <row r="336" spans="1:7" x14ac:dyDescent="0.2">
      <c r="B336" s="5"/>
    </row>
    <row r="337" spans="1:7" ht="16" x14ac:dyDescent="0.2">
      <c r="A337" s="1"/>
      <c r="B337" s="2"/>
    </row>
    <row r="344" spans="1:7" ht="16" x14ac:dyDescent="0.2">
      <c r="A344" s="1"/>
    </row>
    <row r="347" spans="1:7" ht="16" x14ac:dyDescent="0.2">
      <c r="A347" s="4"/>
      <c r="G347" s="4"/>
    </row>
    <row r="348" spans="1:7" ht="16" x14ac:dyDescent="0.2">
      <c r="A348" s="4"/>
      <c r="G348" s="4"/>
    </row>
    <row r="351" spans="1:7" ht="16" x14ac:dyDescent="0.2">
      <c r="A351" s="1"/>
      <c r="B351" s="2"/>
    </row>
    <row r="358" spans="1:2" ht="16" x14ac:dyDescent="0.2">
      <c r="A358" s="1"/>
    </row>
    <row r="364" spans="1:2" x14ac:dyDescent="0.2">
      <c r="B364" s="3"/>
    </row>
    <row r="365" spans="1:2" x14ac:dyDescent="0.2">
      <c r="B365" s="3"/>
    </row>
    <row r="367" spans="1:2" ht="16" x14ac:dyDescent="0.2">
      <c r="A367" s="1"/>
      <c r="B367" s="2"/>
    </row>
    <row r="374" spans="1:7" ht="16" x14ac:dyDescent="0.2">
      <c r="A374" s="1"/>
    </row>
    <row r="377" spans="1:7" ht="16" x14ac:dyDescent="0.2">
      <c r="A377" s="4"/>
      <c r="G377" s="4"/>
    </row>
    <row r="381" spans="1:7" x14ac:dyDescent="0.2">
      <c r="B381" s="5"/>
    </row>
    <row r="382" spans="1:7" x14ac:dyDescent="0.2">
      <c r="B382" s="5"/>
    </row>
    <row r="383" spans="1:7" ht="16" x14ac:dyDescent="0.2">
      <c r="A383" s="1"/>
      <c r="B383" s="2"/>
    </row>
    <row r="390" spans="1:7" ht="16" x14ac:dyDescent="0.2">
      <c r="A390" s="1"/>
    </row>
    <row r="393" spans="1:7" ht="16" x14ac:dyDescent="0.2">
      <c r="A393" s="4"/>
      <c r="G393" s="4"/>
    </row>
    <row r="394" spans="1:7" ht="16" x14ac:dyDescent="0.2">
      <c r="A394" s="4"/>
      <c r="G394" s="4"/>
    </row>
    <row r="397" spans="1:7" ht="16" x14ac:dyDescent="0.2">
      <c r="A397" s="1"/>
      <c r="B397" s="2"/>
    </row>
    <row r="404" spans="1:2" ht="16" x14ac:dyDescent="0.2">
      <c r="A404" s="1"/>
    </row>
    <row r="410" spans="1:2" x14ac:dyDescent="0.2">
      <c r="B410" s="3"/>
    </row>
    <row r="411" spans="1:2" x14ac:dyDescent="0.2">
      <c r="B411" s="3"/>
    </row>
    <row r="413" spans="1:2" ht="16" x14ac:dyDescent="0.2">
      <c r="A413" s="1"/>
      <c r="B413" s="2"/>
    </row>
    <row r="420" spans="1:7" ht="16" x14ac:dyDescent="0.2">
      <c r="A420" s="1"/>
    </row>
    <row r="423" spans="1:7" ht="16" x14ac:dyDescent="0.2">
      <c r="A423" s="4"/>
      <c r="G423" s="4"/>
    </row>
    <row r="427" spans="1:7" x14ac:dyDescent="0.2">
      <c r="B427" s="5"/>
    </row>
    <row r="428" spans="1:7" x14ac:dyDescent="0.2">
      <c r="B428" s="5"/>
    </row>
    <row r="429" spans="1:7" ht="16" x14ac:dyDescent="0.2">
      <c r="A429" s="1"/>
      <c r="B429" s="2"/>
    </row>
    <row r="436" spans="1:7" ht="16" x14ac:dyDescent="0.2">
      <c r="A436" s="1"/>
    </row>
    <row r="439" spans="1:7" ht="16" x14ac:dyDescent="0.2">
      <c r="A439" s="4"/>
      <c r="G439" s="4"/>
    </row>
    <row r="440" spans="1:7" ht="16" x14ac:dyDescent="0.2">
      <c r="A440" s="4"/>
      <c r="G440" s="4"/>
    </row>
    <row r="443" spans="1:7" ht="16" x14ac:dyDescent="0.2">
      <c r="A443" s="1"/>
      <c r="B443" s="2"/>
    </row>
    <row r="450" spans="1:2" ht="16" x14ac:dyDescent="0.2">
      <c r="A450" s="1"/>
    </row>
    <row r="456" spans="1:2" x14ac:dyDescent="0.2">
      <c r="B456" s="3"/>
    </row>
    <row r="457" spans="1:2" x14ac:dyDescent="0.2">
      <c r="B457" s="3"/>
    </row>
    <row r="459" spans="1:2" ht="16" x14ac:dyDescent="0.2">
      <c r="A459" s="1"/>
      <c r="B459" s="2"/>
    </row>
    <row r="466" spans="1:7" ht="16" x14ac:dyDescent="0.2">
      <c r="A466" s="1"/>
    </row>
    <row r="469" spans="1:7" ht="16" x14ac:dyDescent="0.2">
      <c r="A469" s="4"/>
      <c r="G469" s="4"/>
    </row>
    <row r="473" spans="1:7" x14ac:dyDescent="0.2">
      <c r="B473" s="5"/>
    </row>
    <row r="475" spans="1:7" ht="16" x14ac:dyDescent="0.2">
      <c r="A475" s="1"/>
      <c r="B475" s="2"/>
    </row>
    <row r="482" spans="1:7" ht="16" x14ac:dyDescent="0.2">
      <c r="A482" s="1"/>
    </row>
    <row r="485" spans="1:7" ht="16" x14ac:dyDescent="0.2">
      <c r="A485" s="4"/>
      <c r="G485" s="4"/>
    </row>
    <row r="486" spans="1:7" ht="16" x14ac:dyDescent="0.2">
      <c r="A486" s="4"/>
      <c r="G486" s="4"/>
    </row>
    <row r="488" spans="1:7" ht="16" x14ac:dyDescent="0.2">
      <c r="A488" s="1"/>
      <c r="B488" s="2"/>
    </row>
    <row r="495" spans="1:7" ht="16" x14ac:dyDescent="0.2">
      <c r="A495" s="1"/>
    </row>
    <row r="501" spans="1:2" x14ac:dyDescent="0.2">
      <c r="B501" s="3"/>
    </row>
    <row r="502" spans="1:2" x14ac:dyDescent="0.2">
      <c r="B502" s="3"/>
    </row>
    <row r="504" spans="1:2" ht="16" x14ac:dyDescent="0.2">
      <c r="A504" s="1"/>
      <c r="B504" s="2"/>
    </row>
    <row r="511" spans="1:2" ht="16" x14ac:dyDescent="0.2">
      <c r="A511" s="1"/>
    </row>
    <row r="514" spans="1:7" ht="16" x14ac:dyDescent="0.2">
      <c r="A514" s="4"/>
      <c r="G514" s="4"/>
    </row>
    <row r="518" spans="1:7" x14ac:dyDescent="0.2">
      <c r="B518" s="5"/>
    </row>
    <row r="519" spans="1:7" x14ac:dyDescent="0.2">
      <c r="B519" s="5"/>
    </row>
    <row r="520" spans="1:7" ht="16" x14ac:dyDescent="0.2">
      <c r="A520" s="1"/>
      <c r="B520" s="2"/>
    </row>
    <row r="527" spans="1:7" ht="16" x14ac:dyDescent="0.2">
      <c r="A527" s="1"/>
    </row>
    <row r="530" spans="1:7" ht="16" x14ac:dyDescent="0.2">
      <c r="A530" s="4"/>
      <c r="G530" s="4"/>
    </row>
    <row r="531" spans="1:7" ht="16" x14ac:dyDescent="0.2">
      <c r="A531" s="4"/>
      <c r="G531" s="4"/>
    </row>
    <row r="534" spans="1:7" ht="16" x14ac:dyDescent="0.2">
      <c r="A534" s="1"/>
      <c r="B534" s="2"/>
    </row>
    <row r="541" spans="1:7" ht="16" x14ac:dyDescent="0.2">
      <c r="A541" s="1"/>
    </row>
    <row r="547" spans="1:7" x14ac:dyDescent="0.2">
      <c r="B547" s="3"/>
    </row>
    <row r="548" spans="1:7" x14ac:dyDescent="0.2">
      <c r="B548" s="3"/>
    </row>
    <row r="550" spans="1:7" ht="16" x14ac:dyDescent="0.2">
      <c r="A550" s="1"/>
      <c r="B550" s="2"/>
    </row>
    <row r="557" spans="1:7" ht="16" x14ac:dyDescent="0.2">
      <c r="A557" s="1"/>
    </row>
    <row r="560" spans="1:7" ht="16" x14ac:dyDescent="0.2">
      <c r="A560" s="4"/>
      <c r="G560" s="4"/>
    </row>
    <row r="564" spans="1:7" x14ac:dyDescent="0.2">
      <c r="B564" s="5"/>
    </row>
    <row r="566" spans="1:7" ht="16" x14ac:dyDescent="0.2">
      <c r="A566" s="1"/>
      <c r="B566" s="2"/>
    </row>
    <row r="573" spans="1:7" ht="16" x14ac:dyDescent="0.2">
      <c r="A573" s="1"/>
    </row>
    <row r="576" spans="1:7" ht="16" x14ac:dyDescent="0.2">
      <c r="A576" s="4"/>
      <c r="G576" s="4"/>
    </row>
    <row r="577" spans="1:7" ht="16" x14ac:dyDescent="0.2">
      <c r="A577" s="4"/>
      <c r="G577" s="4"/>
    </row>
    <row r="579" spans="1:7" ht="16" x14ac:dyDescent="0.2">
      <c r="A579" s="1"/>
      <c r="B579" s="2"/>
    </row>
    <row r="585" spans="1:7" ht="16" x14ac:dyDescent="0.2">
      <c r="A585" s="1"/>
    </row>
    <row r="590" spans="1:7" ht="16" x14ac:dyDescent="0.2">
      <c r="A590" s="1"/>
      <c r="B590" s="2"/>
    </row>
    <row r="596" spans="1:1" ht="16" x14ac:dyDescent="0.2">
      <c r="A596" s="1"/>
    </row>
  </sheetData>
  <autoFilter ref="A1:K596" xr:uid="{00000000-0001-0000-0000-000000000000}"/>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FT fuel - Diesel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2020-03-25T12:54:37Z</dcterms:created>
  <dcterms:modified xsi:type="dcterms:W3CDTF">2023-12-14T11:48:52Z</dcterms:modified>
</cp:coreProperties>
</file>