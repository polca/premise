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<sst xmlns="http://schemas.openxmlformats.org/spreadsheetml/2006/main" count="3520" uniqueCount="556">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</sst>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657"/>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PFSA membrane, EW1100, balanced chemistry engineering reference</t>
        </is>
      </c>
      <c r="B175" s="12">
        <v>16</v>
      </c>
      <c r="C175" s="11" t="inlineStr">
        <is>
          <t>GLO</t>
        </is>
      </c>
      <c r="D175" s="11" t="s">
        <v>13</v>
      </c>
      <c r="F175" s="11" t="s">
        <v>12</v>
      </c>
      <c r="G175" s="11" t="inlineStr">
        <is>
          <t>PFSA membrane, EW1100, balanced chemistry engineering reference</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s">
        <v>81</v>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c r="I210" s="10"/>
      <c r="K210" s="12"/>
      <c r="L210" s="12"/>
      <c r="M210" s="12"/>
      <c r="N210" s="12"/>
      <c r="O210" s="12"/>
      <c r="P210" s="26"/>
    </row>
    <row r="211" spans="1:20" s="11" customFormat="1" ht="16" x14ac:dyDescent="0.2">
      <c r="A211" s="11" t="s">
        <v>18</v>
      </c>
      <c r="B211" s="16">
        <v>100</v>
      </c>
      <c r="C211" s="11" t="s">
        <v>17</v>
      </c>
      <c r="D211" s="11" t="s">
        <v>13</v>
      </c>
      <c r="F211" s="11" t="s">
        <v>12</v>
      </c>
      <c r="G211" s="11" t="s">
        <v>19</v>
      </c>
      <c r="H211" s="27" t="s">
        <v>82</v>
      </c>
      <c r="J211"/>
      <c r="K211" s="19"/>
      <c r="L211" s="19"/>
      <c r="M211" s="19"/>
      <c r="N211" s="19"/>
      <c r="O211" s="19"/>
      <c r="P211" s="19"/>
      <c r="Q211"/>
      <c r="R211"/>
    </row>
    <row r="212" spans="1:20" s="11" customFormat="1" ht="16" x14ac:dyDescent="0.2">
      <c r="A212" s="11" t="s">
        <v>68</v>
      </c>
      <c r="B212" s="16">
        <v>200</v>
      </c>
      <c r="C212" s="11" t="s">
        <v>17</v>
      </c>
      <c r="D212" s="11" t="s">
        <v>13</v>
      </c>
      <c r="F212" s="11" t="s">
        <v>12</v>
      </c>
      <c r="G212" s="11" t="s">
        <v>69</v>
      </c>
      <c r="H212" s="27" t="s">
        <v>82</v>
      </c>
      <c r="J212"/>
      <c r="K212" s="19"/>
      <c r="L212" s="19"/>
      <c r="M212" s="19"/>
      <c r="N212" s="19"/>
      <c r="O212" s="19"/>
      <c r="P212" s="19"/>
      <c r="Q212"/>
      <c r="R212"/>
    </row>
    <row r="213" spans="1:20" s="11" customFormat="1" ht="16" x14ac:dyDescent="0.2">
      <c r="A213" s="11" t="s">
        <v>83</v>
      </c>
      <c r="B213" s="16">
        <v>600</v>
      </c>
      <c r="C213" s="11" t="s">
        <v>17</v>
      </c>
      <c r="D213" s="11" t="s">
        <v>13</v>
      </c>
      <c r="F213" s="11" t="s">
        <v>12</v>
      </c>
      <c r="G213" s="11" t="s">
        <v>40</v>
      </c>
      <c r="H213" s="27" t="s">
        <v>82</v>
      </c>
      <c r="J213"/>
      <c r="K213" s="19"/>
      <c r="L213" s="19"/>
      <c r="M213" s="19"/>
      <c r="N213" s="19"/>
      <c r="O213" s="19"/>
      <c r="P213" s="19"/>
      <c r="Q213"/>
      <c r="R213"/>
    </row>
    <row r="214" spans="1:20" s="11" customFormat="1" ht="16" x14ac:dyDescent="0.2">
      <c r="A214" s="11" t="s">
        <v>58</v>
      </c>
      <c r="B214" s="16">
        <v>100</v>
      </c>
      <c r="C214" s="11" t="s">
        <v>17</v>
      </c>
      <c r="D214" s="11" t="s">
        <v>13</v>
      </c>
      <c r="F214" s="11" t="s">
        <v>12</v>
      </c>
      <c r="G214" s="11" t="s">
        <v>41</v>
      </c>
      <c r="H214" s="27" t="s">
        <v>82</v>
      </c>
      <c r="J214"/>
      <c r="K214" s="19"/>
      <c r="L214" s="19"/>
      <c r="M214" s="19"/>
      <c r="N214" s="19"/>
      <c r="O214" s="19"/>
      <c r="P214" s="19"/>
      <c r="Q214"/>
      <c r="R214"/>
    </row>
    <row r="215" spans="1:20" s="11" customFormat="1" ht="16" x14ac:dyDescent="0.2">
      <c r="A215" s="11" t="s">
        <v>84</v>
      </c>
      <c r="B215" s="16">
        <v>600</v>
      </c>
      <c r="C215" s="11" t="s">
        <v>17</v>
      </c>
      <c r="D215" s="11" t="s">
        <v>13</v>
      </c>
      <c r="F215" s="11" t="s">
        <v>12</v>
      </c>
      <c r="G215" s="11" t="s">
        <v>42</v>
      </c>
      <c r="H215" s="27" t="s">
        <v>82</v>
      </c>
      <c r="J215"/>
      <c r="K215" s="19"/>
      <c r="L215" s="19"/>
      <c r="M215" s="19"/>
      <c r="N215" s="19"/>
      <c r="O215" s="19"/>
      <c r="P215" s="19"/>
      <c r="Q215"/>
      <c r="R215"/>
    </row>
    <row r="216" spans="1:20" s="11" customFormat="1" ht="16" x14ac:dyDescent="0.2">
      <c r="A216" s="11" t="s">
        <v>85</v>
      </c>
      <c r="B216" s="16">
        <v>100</v>
      </c>
      <c r="C216" s="11" t="s">
        <v>17</v>
      </c>
      <c r="D216" s="11" t="s">
        <v>13</v>
      </c>
      <c r="F216" s="11" t="s">
        <v>12</v>
      </c>
      <c r="G216" s="11" t="s">
        <v>43</v>
      </c>
      <c r="H216" s="27" t="s">
        <v>82</v>
      </c>
      <c r="J216"/>
      <c r="K216" s="19"/>
      <c r="L216" s="19"/>
      <c r="M216" s="19"/>
      <c r="N216" s="19"/>
      <c r="O216" s="19"/>
      <c r="P216" s="19"/>
      <c r="Q216"/>
      <c r="R216"/>
    </row>
    <row r="217" spans="1:20" s="11" customFormat="1" ht="16" x14ac:dyDescent="0.2">
      <c r="A217" s="11" t="s">
        <v>86</v>
      </c>
      <c r="B217" s="16">
        <v>200</v>
      </c>
      <c r="C217" s="11" t="s">
        <v>17</v>
      </c>
      <c r="D217" s="11" t="s">
        <v>13</v>
      </c>
      <c r="F217" s="11" t="s">
        <v>12</v>
      </c>
      <c r="G217" s="11" t="s">
        <v>44</v>
      </c>
      <c r="H217" s="27" t="s">
        <v>82</v>
      </c>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s">
        <v>87</v>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s">
        <v>18</v>
      </c>
      <c r="B237" s="16">
        <v>60</v>
      </c>
      <c r="C237" s="11" t="s">
        <v>17</v>
      </c>
      <c r="D237" s="11" t="s">
        <v>13</v>
      </c>
      <c r="F237" s="11" t="s">
        <v>12</v>
      </c>
      <c r="G237" s="11" t="s">
        <v>19</v>
      </c>
      <c r="H237" s="10" t="s">
        <v>107</v>
      </c>
      <c r="J237"/>
      <c r="K237" s="19"/>
      <c r="L237" s="19"/>
      <c r="M237" s="19"/>
      <c r="N237" s="19"/>
      <c r="O237" s="19"/>
      <c r="P237" s="19"/>
      <c r="Q237"/>
      <c r="R237"/>
    </row>
    <row r="238" spans="1:18" s="11" customFormat="1" ht="16" x14ac:dyDescent="0.2">
      <c r="A238" s="11" t="s">
        <v>68</v>
      </c>
      <c r="B238" s="16">
        <v>45</v>
      </c>
      <c r="C238" s="11" t="s">
        <v>17</v>
      </c>
      <c r="D238" s="11" t="s">
        <v>13</v>
      </c>
      <c r="F238" s="11" t="s">
        <v>12</v>
      </c>
      <c r="G238" s="11" t="s">
        <v>69</v>
      </c>
      <c r="H238" s="10" t="s">
        <v>107</v>
      </c>
      <c r="J238"/>
      <c r="K238" s="19"/>
      <c r="L238" s="19"/>
      <c r="M238" s="19"/>
      <c r="N238" s="19"/>
      <c r="O238" s="19"/>
      <c r="P238" s="19"/>
      <c r="Q238"/>
      <c r="R238"/>
    </row>
    <row r="239" spans="1:18" s="11" customFormat="1" ht="16" x14ac:dyDescent="0.2">
      <c r="A239" s="11" t="s">
        <v>83</v>
      </c>
      <c r="B239" s="16">
        <v>180</v>
      </c>
      <c r="C239" s="11" t="s">
        <v>17</v>
      </c>
      <c r="D239" s="11" t="s">
        <v>13</v>
      </c>
      <c r="F239" s="11" t="s">
        <v>12</v>
      </c>
      <c r="G239" s="11" t="s">
        <v>40</v>
      </c>
      <c r="H239" s="10" t="s">
        <v>107</v>
      </c>
      <c r="J239"/>
      <c r="K239" s="19"/>
      <c r="L239" s="19"/>
      <c r="M239" s="19"/>
      <c r="N239" s="19"/>
      <c r="O239" s="19"/>
      <c r="P239" s="19"/>
      <c r="Q239"/>
      <c r="R239"/>
    </row>
    <row r="240" spans="1:18" s="11" customFormat="1" ht="16" x14ac:dyDescent="0.2">
      <c r="A240" s="11" t="s">
        <v>85</v>
      </c>
      <c r="B240" s="16">
        <v>15</v>
      </c>
      <c r="C240" s="11" t="s">
        <v>17</v>
      </c>
      <c r="D240" s="11" t="s">
        <v>13</v>
      </c>
      <c r="F240" s="11" t="s">
        <v>12</v>
      </c>
      <c r="G240" s="11" t="s">
        <v>43</v>
      </c>
      <c r="H240" s="10" t="s">
        <v>107</v>
      </c>
      <c r="J240"/>
      <c r="K240" s="19"/>
      <c r="L240" s="19"/>
      <c r="M240" s="19"/>
      <c r="N240" s="19"/>
      <c r="O240" s="19"/>
      <c r="P240" s="19"/>
      <c r="Q240"/>
      <c r="R240"/>
    </row>
    <row r="241" spans="1:18" s="11" customFormat="1" ht="16" x14ac:dyDescent="0.2">
      <c r="A241" s="11" t="s">
        <v>86</v>
      </c>
      <c r="B241" s="16">
        <v>45</v>
      </c>
      <c r="C241" s="11" t="s">
        <v>17</v>
      </c>
      <c r="D241" s="11" t="s">
        <v>13</v>
      </c>
      <c r="F241" s="11" t="s">
        <v>12</v>
      </c>
      <c r="G241" s="11" t="s">
        <v>44</v>
      </c>
      <c r="H241" s="10" t="s">
        <v>107</v>
      </c>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s">
        <v>56</v>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-3312</v>
      </c>
      <c r="C270" s="11" t="s">
        <v>217</v>
      </c>
      <c r="D270" s="11" t="s">
        <v>13</v>
      </c>
      <c r="F270" s="11" t="s">
        <v>12</v>
      </c>
      <c r="G270" s="16" t="s">
        <v>216</v>
      </c>
      <c r="J270"/>
      <c r="K270" s="19"/>
      <c r="L270" s="19"/>
      <c r="M270" s="19"/>
      <c r="N270" s="19"/>
      <c r="O270" s="19"/>
      <c r="P270" s="19"/>
      <c r="Q270"/>
      <c r="R270"/>
    </row>
    <row r="271" spans="1:20" s="11" customFormat="1" ht="16" x14ac:dyDescent="0.2">
      <c r="A271" s="11" t="s">
        <v>206</v>
      </c>
      <c r="B271" s="11">
        <v>-260</v>
      </c>
      <c r="C271" s="11" t="s">
        <v>37</v>
      </c>
      <c r="D271" s="11" t="s">
        <v>13</v>
      </c>
      <c r="F271" s="11" t="s">
        <v>12</v>
      </c>
      <c r="G271" s="11" t="s">
        <v>207</v>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-345</v>
      </c>
      <c r="C277" s="11" t="s">
        <v>37</v>
      </c>
      <c r="D277" s="11" t="s">
        <v>13</v>
      </c>
      <c r="F277" s="11" t="s">
        <v>12</v>
      </c>
      <c r="G277" s="11" t="s">
        <v>209</v>
      </c>
      <c r="J277"/>
      <c r="K277" s="19"/>
      <c r="L277" s="19"/>
      <c r="M277" s="19"/>
      <c r="N277" s="19"/>
      <c r="O277" s="19"/>
      <c r="P277" s="19"/>
      <c r="Q277"/>
      <c r="R277"/>
    </row>
    <row r="278" spans="1:18" s="11" customFormat="1" ht="16" x14ac:dyDescent="0.2">
      <c r="A278" s="11" t="s">
        <v>210</v>
      </c>
      <c r="B278" s="11">
        <v>-147</v>
      </c>
      <c r="C278" s="11" t="s">
        <v>212</v>
      </c>
      <c r="D278" s="11" t="s">
        <v>13</v>
      </c>
      <c r="F278" s="11" t="s">
        <v>12</v>
      </c>
      <c r="G278" s="11" t="s">
        <v>211</v>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B281" s="16"/>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s">
        <v>129</v>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K311" s="12"/>
      <c r="L311" s="12"/>
      <c r="M311" s="12"/>
      <c r="N311" s="12"/>
      <c r="O311" s="12"/>
      <c r="P311" s="12"/>
    </row>
    <row r="312" spans="1:20" s="11" customFormat="1" ht="16" x14ac:dyDescent="0.2">
      <c r="A312" s="11" t="s">
        <v>21</v>
      </c>
      <c r="B312" s="12">
        <v>144.19999999999999</v>
      </c>
      <c r="C312" s="11" t="s">
        <v>17</v>
      </c>
      <c r="D312" s="11" t="s">
        <v>13</v>
      </c>
      <c r="F312" s="11" t="s">
        <v>12</v>
      </c>
      <c r="G312" s="11" t="s">
        <v>22</v>
      </c>
      <c r="H312" s="11" t="s">
        <v>78</v>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s">
        <v>133</v>
      </c>
      <c r="B316" s="12">
        <v>48.8</v>
      </c>
      <c r="C316" s="11" t="s">
        <v>17</v>
      </c>
      <c r="D316" s="11" t="s">
        <v>13</v>
      </c>
      <c r="E316" s="10"/>
      <c r="F316" s="11" t="s">
        <v>12</v>
      </c>
      <c r="G316" s="10" t="s">
        <v>134</v>
      </c>
      <c r="H316" s="11" t="s">
        <v>135</v>
      </c>
      <c r="J316"/>
      <c r="K316" s="19"/>
      <c r="L316" s="19"/>
      <c r="M316" s="19"/>
      <c r="N316" s="19"/>
      <c r="O316" s="19"/>
      <c r="P316" s="19"/>
      <c r="Q316"/>
      <c r="R316"/>
    </row>
    <row r="317" spans="1:20" s="11" customFormat="1" ht="16" x14ac:dyDescent="0.2">
      <c r="A317" s="11" t="s">
        <v>136</v>
      </c>
      <c r="B317" s="12">
        <v>73</v>
      </c>
      <c r="C317" s="11" t="s">
        <v>17</v>
      </c>
      <c r="D317" s="11" t="s">
        <v>13</v>
      </c>
      <c r="E317" s="10"/>
      <c r="F317" s="11" t="s">
        <v>12</v>
      </c>
      <c r="G317" s="10" t="s">
        <v>137</v>
      </c>
      <c r="H317" s="11" t="s">
        <v>135</v>
      </c>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s">
        <v>56</v>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-1*SUM(B312,B316)</f>
        <v>-193</v>
      </c>
      <c r="C330" s="11" t="s">
        <v>212</v>
      </c>
      <c r="D330" s="11" t="s">
        <v>13</v>
      </c>
      <c r="F330" s="11" t="s">
        <v>12</v>
      </c>
      <c r="G330" s="11" t="s">
        <v>211</v>
      </c>
      <c r="J330"/>
      <c r="K330" s="19"/>
      <c r="L330" s="19"/>
      <c r="M330" s="19"/>
      <c r="N330" s="19"/>
      <c r="O330" s="19"/>
      <c r="P330" s="19"/>
      <c r="Q330"/>
      <c r="R330"/>
    </row>
    <row r="331" spans="1:20" s="11" customFormat="1" ht="16" x14ac:dyDescent="0.2">
      <c r="B331" s="16"/>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s">
        <v>139</v>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c r="I340" s="10"/>
      <c r="J340" s="10"/>
      <c r="K340" s="12"/>
      <c r="L340" s="12"/>
      <c r="M340" s="12"/>
      <c r="N340" s="12"/>
      <c r="O340" s="12"/>
      <c r="P340" s="12"/>
    </row>
    <row r="341" spans="1:20" s="11" customFormat="1" ht="16" x14ac:dyDescent="0.2">
      <c r="A341" s="11" t="s">
        <v>18</v>
      </c>
      <c r="B341" s="16">
        <v>100</v>
      </c>
      <c r="C341" s="11" t="s">
        <v>17</v>
      </c>
      <c r="D341" s="11" t="s">
        <v>13</v>
      </c>
      <c r="F341" s="11" t="s">
        <v>12</v>
      </c>
      <c r="G341" s="11" t="s">
        <v>19</v>
      </c>
      <c r="H341" s="27" t="s">
        <v>82</v>
      </c>
      <c r="J341"/>
      <c r="K341" s="19"/>
      <c r="L341" s="19"/>
      <c r="M341" s="19"/>
      <c r="N341" s="19"/>
      <c r="O341" s="19"/>
      <c r="P341" s="19"/>
      <c r="Q341"/>
      <c r="R341"/>
    </row>
    <row r="342" spans="1:20" s="11" customFormat="1" ht="16" x14ac:dyDescent="0.2">
      <c r="A342" s="11" t="s">
        <v>68</v>
      </c>
      <c r="B342" s="16">
        <v>200</v>
      </c>
      <c r="C342" s="11" t="s">
        <v>17</v>
      </c>
      <c r="D342" s="11" t="s">
        <v>13</v>
      </c>
      <c r="F342" s="11" t="s">
        <v>12</v>
      </c>
      <c r="G342" s="11" t="s">
        <v>69</v>
      </c>
      <c r="H342" s="27" t="s">
        <v>82</v>
      </c>
      <c r="J342"/>
      <c r="K342" s="19"/>
      <c r="L342" s="19"/>
      <c r="M342" s="19"/>
      <c r="N342" s="19"/>
      <c r="O342" s="19"/>
      <c r="P342" s="19"/>
      <c r="Q342"/>
      <c r="R342"/>
    </row>
    <row r="343" spans="1:20" s="11" customFormat="1" ht="16" x14ac:dyDescent="0.2">
      <c r="A343" s="11" t="s">
        <v>83</v>
      </c>
      <c r="B343" s="16">
        <v>600</v>
      </c>
      <c r="C343" s="11" t="s">
        <v>17</v>
      </c>
      <c r="D343" s="11" t="s">
        <v>13</v>
      </c>
      <c r="F343" s="11" t="s">
        <v>12</v>
      </c>
      <c r="G343" s="11" t="s">
        <v>40</v>
      </c>
      <c r="H343" s="27" t="s">
        <v>82</v>
      </c>
      <c r="J343"/>
      <c r="K343" s="19"/>
      <c r="L343" s="19"/>
      <c r="M343" s="19"/>
      <c r="N343" s="19"/>
      <c r="O343" s="19"/>
      <c r="P343" s="19"/>
      <c r="Q343"/>
      <c r="R343"/>
    </row>
    <row r="344" spans="1:20" s="11" customFormat="1" ht="16" x14ac:dyDescent="0.2">
      <c r="A344" s="11" t="s">
        <v>58</v>
      </c>
      <c r="B344" s="16">
        <v>100</v>
      </c>
      <c r="C344" s="11" t="s">
        <v>17</v>
      </c>
      <c r="D344" s="11" t="s">
        <v>13</v>
      </c>
      <c r="F344" s="11" t="s">
        <v>12</v>
      </c>
      <c r="G344" s="11" t="s">
        <v>41</v>
      </c>
      <c r="H344" s="27" t="s">
        <v>82</v>
      </c>
      <c r="J344"/>
      <c r="K344" s="19"/>
      <c r="L344" s="19"/>
      <c r="M344" s="19"/>
      <c r="N344" s="19"/>
      <c r="O344" s="19"/>
      <c r="P344" s="19"/>
      <c r="Q344"/>
      <c r="R344"/>
    </row>
    <row r="345" spans="1:20" s="11" customFormat="1" ht="16" x14ac:dyDescent="0.2">
      <c r="A345" s="11" t="s">
        <v>84</v>
      </c>
      <c r="B345" s="16">
        <v>600</v>
      </c>
      <c r="C345" s="11" t="s">
        <v>17</v>
      </c>
      <c r="D345" s="11" t="s">
        <v>13</v>
      </c>
      <c r="F345" s="11" t="s">
        <v>12</v>
      </c>
      <c r="G345" s="11" t="s">
        <v>42</v>
      </c>
      <c r="H345" s="27" t="s">
        <v>82</v>
      </c>
      <c r="J345"/>
      <c r="K345" s="19"/>
      <c r="L345" s="19"/>
      <c r="M345" s="19"/>
      <c r="N345" s="19"/>
      <c r="O345" s="19"/>
      <c r="P345" s="19"/>
      <c r="Q345"/>
      <c r="R345"/>
    </row>
    <row r="346" spans="1:20" s="11" customFormat="1" ht="16" x14ac:dyDescent="0.2">
      <c r="A346" s="11" t="s">
        <v>85</v>
      </c>
      <c r="B346" s="16">
        <v>100</v>
      </c>
      <c r="C346" s="11" t="s">
        <v>17</v>
      </c>
      <c r="D346" s="11" t="s">
        <v>13</v>
      </c>
      <c r="F346" s="11" t="s">
        <v>12</v>
      </c>
      <c r="G346" s="11" t="s">
        <v>43</v>
      </c>
      <c r="H346" s="27" t="s">
        <v>82</v>
      </c>
      <c r="J346"/>
      <c r="K346" s="19"/>
      <c r="L346" s="19"/>
      <c r="M346" s="19"/>
      <c r="N346" s="19"/>
      <c r="O346" s="19"/>
      <c r="P346" s="19"/>
      <c r="Q346"/>
      <c r="R346"/>
    </row>
    <row r="347" spans="1:20" s="11" customFormat="1" ht="16" x14ac:dyDescent="0.2">
      <c r="A347" s="11" t="s">
        <v>86</v>
      </c>
      <c r="B347" s="16">
        <v>200</v>
      </c>
      <c r="C347" s="11" t="s">
        <v>17</v>
      </c>
      <c r="D347" s="11" t="s">
        <v>13</v>
      </c>
      <c r="F347" s="11" t="s">
        <v>12</v>
      </c>
      <c r="G347" s="11" t="s">
        <v>44</v>
      </c>
      <c r="H347" s="27" t="s">
        <v>82</v>
      </c>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s">
        <v>87</v>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s">
        <v>18</v>
      </c>
      <c r="B358" s="16">
        <v>60</v>
      </c>
      <c r="C358" s="11" t="s">
        <v>17</v>
      </c>
      <c r="D358" s="11" t="s">
        <v>13</v>
      </c>
      <c r="F358" s="11" t="s">
        <v>12</v>
      </c>
      <c r="G358" s="11" t="s">
        <v>19</v>
      </c>
      <c r="H358" s="10" t="s">
        <v>107</v>
      </c>
      <c r="J358"/>
      <c r="K358" s="19"/>
      <c r="L358" s="19"/>
      <c r="M358" s="19"/>
      <c r="N358" s="19"/>
      <c r="O358" s="19"/>
      <c r="P358" s="19"/>
      <c r="Q358"/>
      <c r="R358"/>
    </row>
    <row r="359" spans="1:18" s="11" customFormat="1" ht="16" x14ac:dyDescent="0.2">
      <c r="A359" s="11" t="s">
        <v>68</v>
      </c>
      <c r="B359" s="16">
        <v>45</v>
      </c>
      <c r="C359" s="11" t="s">
        <v>17</v>
      </c>
      <c r="D359" s="11" t="s">
        <v>13</v>
      </c>
      <c r="F359" s="11" t="s">
        <v>12</v>
      </c>
      <c r="G359" s="11" t="s">
        <v>69</v>
      </c>
      <c r="H359" s="10" t="s">
        <v>107</v>
      </c>
      <c r="J359"/>
      <c r="K359" s="19"/>
      <c r="L359" s="19"/>
      <c r="M359" s="19"/>
      <c r="N359" s="19"/>
      <c r="O359" s="19"/>
      <c r="P359" s="19"/>
      <c r="Q359"/>
      <c r="R359"/>
    </row>
    <row r="360" spans="1:18" s="11" customFormat="1" ht="16" x14ac:dyDescent="0.2">
      <c r="A360" s="11" t="s">
        <v>83</v>
      </c>
      <c r="B360" s="16">
        <v>180</v>
      </c>
      <c r="C360" s="11" t="s">
        <v>17</v>
      </c>
      <c r="D360" s="11" t="s">
        <v>13</v>
      </c>
      <c r="F360" s="11" t="s">
        <v>12</v>
      </c>
      <c r="G360" s="11" t="s">
        <v>40</v>
      </c>
      <c r="H360" s="10" t="s">
        <v>107</v>
      </c>
      <c r="J360"/>
      <c r="K360" s="19"/>
      <c r="L360" s="19"/>
      <c r="M360" s="19"/>
      <c r="N360" s="19"/>
      <c r="O360" s="19"/>
      <c r="P360" s="19"/>
      <c r="Q360"/>
      <c r="R360"/>
    </row>
    <row r="361" spans="1:18" s="11" customFormat="1" ht="16" x14ac:dyDescent="0.2">
      <c r="A361" s="11" t="s">
        <v>85</v>
      </c>
      <c r="B361" s="16">
        <v>15</v>
      </c>
      <c r="C361" s="11" t="s">
        <v>17</v>
      </c>
      <c r="D361" s="11" t="s">
        <v>13</v>
      </c>
      <c r="F361" s="11" t="s">
        <v>12</v>
      </c>
      <c r="G361" s="11" t="s">
        <v>43</v>
      </c>
      <c r="H361" s="10" t="s">
        <v>107</v>
      </c>
      <c r="J361"/>
      <c r="K361" s="19"/>
      <c r="L361" s="19"/>
      <c r="M361" s="19"/>
      <c r="N361" s="19"/>
      <c r="O361" s="19"/>
      <c r="P361" s="19"/>
      <c r="Q361"/>
      <c r="R361"/>
    </row>
    <row r="362" spans="1:18" s="11" customFormat="1" ht="16" x14ac:dyDescent="0.2">
      <c r="A362" s="11" t="s">
        <v>86</v>
      </c>
      <c r="B362" s="16">
        <v>45</v>
      </c>
      <c r="C362" s="11" t="s">
        <v>17</v>
      </c>
      <c r="D362" s="11" t="s">
        <v>13</v>
      </c>
      <c r="F362" s="11" t="s">
        <v>12</v>
      </c>
      <c r="G362" s="11" t="s">
        <v>44</v>
      </c>
      <c r="H362" s="10" t="s">
        <v>107</v>
      </c>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s">
        <v>56</v>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-5134.3999999999996</v>
      </c>
      <c r="C411" s="11" t="s">
        <v>217</v>
      </c>
      <c r="D411" s="11" t="s">
        <v>13</v>
      </c>
      <c r="F411" s="11" t="s">
        <v>12</v>
      </c>
      <c r="G411" s="16" t="s">
        <v>216</v>
      </c>
      <c r="J411"/>
      <c r="K411" s="19"/>
      <c r="L411" s="19"/>
      <c r="M411" s="19"/>
      <c r="N411" s="19"/>
      <c r="O411" s="19"/>
      <c r="P411" s="19"/>
      <c r="Q411"/>
      <c r="R411"/>
    </row>
    <row r="412" spans="1:20" s="11" customFormat="1" ht="16" x14ac:dyDescent="0.2">
      <c r="A412" s="11" t="s">
        <v>206</v>
      </c>
      <c r="B412" s="11">
        <v>-160</v>
      </c>
      <c r="C412" s="11" t="s">
        <v>37</v>
      </c>
      <c r="D412" s="11" t="s">
        <v>13</v>
      </c>
      <c r="F412" s="11" t="s">
        <v>12</v>
      </c>
      <c r="G412" s="11" t="s">
        <v>207</v>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-617</v>
      </c>
      <c r="C418" s="11" t="s">
        <v>37</v>
      </c>
      <c r="D418" s="11" t="s">
        <v>13</v>
      </c>
      <c r="F418" s="11" t="s">
        <v>12</v>
      </c>
      <c r="G418" s="11" t="s">
        <v>209</v>
      </c>
      <c r="J418"/>
      <c r="K418" s="19"/>
      <c r="L418" s="19"/>
      <c r="M418" s="19"/>
      <c r="N418" s="19"/>
      <c r="O418" s="19"/>
      <c r="P418" s="19"/>
      <c r="Q418"/>
      <c r="R418"/>
    </row>
    <row r="419" spans="1:21" s="11" customFormat="1" ht="16" x14ac:dyDescent="0.2">
      <c r="A419" s="11" t="s">
        <v>210</v>
      </c>
      <c r="B419" s="11">
        <v>-208</v>
      </c>
      <c r="C419" s="11" t="s">
        <v>212</v>
      </c>
      <c r="D419" s="11" t="s">
        <v>13</v>
      </c>
      <c r="F419" s="11" t="s">
        <v>12</v>
      </c>
      <c r="G419" s="11" t="s">
        <v>211</v>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B421" s="16"/>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s">
        <v>154</v>
      </c>
      <c r="J473"/>
      <c r="K473" s="19"/>
      <c r="L473" s="19"/>
      <c r="M473" s="19"/>
      <c r="N473" s="19"/>
      <c r="O473" s="19"/>
      <c r="P473" s="19"/>
      <c r="Q473"/>
      <c r="R473"/>
    </row>
    <row r="474" spans="1:20" s="11" customFormat="1" ht="16" x14ac:dyDescent="0.2">
      <c r="A474" s="11" t="s">
        <v>20</v>
      </c>
      <c r="B474" s="12">
        <v>8976.1</v>
      </c>
      <c r="C474" s="11" t="s">
        <v>17</v>
      </c>
      <c r="D474" s="11" t="s">
        <v>13</v>
      </c>
      <c r="F474" s="11" t="s">
        <v>12</v>
      </c>
      <c r="G474" s="11" t="s">
        <v>15</v>
      </c>
      <c r="H474" s="11" t="s">
        <v>154</v>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s">
        <v>163</v>
      </c>
      <c r="B481" s="12">
        <f>42/2</f>
        <v>21</v>
      </c>
      <c r="C481" s="11" t="s">
        <v>17</v>
      </c>
      <c r="D481" s="11" t="s">
        <v>13</v>
      </c>
      <c r="F481" s="11" t="s">
        <v>12</v>
      </c>
      <c r="G481" s="11" t="s">
        <v>164</v>
      </c>
      <c r="H481" s="11" t="s">
        <v>165</v>
      </c>
      <c r="J481"/>
      <c r="K481" s="19"/>
      <c r="L481" s="19"/>
      <c r="M481" s="19"/>
      <c r="N481" s="19"/>
      <c r="O481" s="19"/>
      <c r="P481" s="19"/>
      <c r="Q481"/>
      <c r="R481"/>
    </row>
    <row r="482" spans="1:18" s="11" customFormat="1" ht="16" x14ac:dyDescent="0.2">
      <c r="A482" s="11" t="s">
        <v>166</v>
      </c>
      <c r="B482" s="12">
        <f>42/2</f>
        <v>21</v>
      </c>
      <c r="C482" s="11" t="s">
        <v>17</v>
      </c>
      <c r="D482" s="11" t="s">
        <v>13</v>
      </c>
      <c r="F482" s="11" t="s">
        <v>12</v>
      </c>
      <c r="G482" s="11" t="s">
        <v>167</v>
      </c>
      <c r="H482" s="11" t="s">
        <v>165</v>
      </c>
      <c r="J482"/>
      <c r="K482" s="19"/>
      <c r="L482" s="19"/>
      <c r="M482" s="19"/>
      <c r="N482" s="19"/>
      <c r="O482" s="19"/>
      <c r="P482" s="19"/>
      <c r="Q482"/>
      <c r="R482"/>
    </row>
    <row r="483" spans="1:18" s="11" customFormat="1" ht="16" x14ac:dyDescent="0.2">
      <c r="A483" s="11" t="s">
        <v>168</v>
      </c>
      <c r="B483" s="12">
        <v>6.4</v>
      </c>
      <c r="C483" s="11" t="s">
        <v>169</v>
      </c>
      <c r="D483" s="11" t="s">
        <v>13</v>
      </c>
      <c r="F483" s="11" t="s">
        <v>12</v>
      </c>
      <c r="G483" s="11" t="s">
        <v>170</v>
      </c>
      <c r="H483" s="11" t="s">
        <v>171</v>
      </c>
      <c r="J483"/>
      <c r="K483" s="19"/>
      <c r="L483" s="19"/>
      <c r="M483" s="19"/>
      <c r="N483" s="19"/>
      <c r="O483" s="19"/>
      <c r="P483" s="19"/>
      <c r="Q483"/>
      <c r="R483"/>
    </row>
    <row r="484" spans="1:18" s="11" customFormat="1" ht="16" x14ac:dyDescent="0.2">
      <c r="A484" s="11" t="s">
        <v>172</v>
      </c>
      <c r="B484" s="12">
        <v>6.4</v>
      </c>
      <c r="C484" s="11" t="s">
        <v>17</v>
      </c>
      <c r="D484" s="11" t="s">
        <v>13</v>
      </c>
      <c r="F484" s="11" t="s">
        <v>12</v>
      </c>
      <c r="G484" s="11" t="s">
        <v>173</v>
      </c>
      <c r="H484" s="11" t="s">
        <v>171</v>
      </c>
      <c r="J484"/>
      <c r="K484" s="19"/>
      <c r="L484" s="19"/>
      <c r="M484" s="19"/>
      <c r="N484" s="19"/>
      <c r="O484" s="19"/>
      <c r="P484" s="19"/>
      <c r="Q484"/>
      <c r="R484"/>
    </row>
    <row r="485" spans="1:18" s="11" customFormat="1" ht="16" x14ac:dyDescent="0.2">
      <c r="A485" s="11" t="s">
        <v>174</v>
      </c>
      <c r="B485" s="12">
        <v>6.4</v>
      </c>
      <c r="C485" s="11" t="s">
        <v>17</v>
      </c>
      <c r="D485" s="11" t="s">
        <v>13</v>
      </c>
      <c r="F485" s="11" t="s">
        <v>12</v>
      </c>
      <c r="G485" s="11" t="s">
        <v>175</v>
      </c>
      <c r="H485" s="11" t="s">
        <v>171</v>
      </c>
      <c r="J485"/>
      <c r="K485" s="19"/>
      <c r="L485" s="19"/>
      <c r="M485" s="19"/>
      <c r="N485" s="19"/>
      <c r="O485" s="19"/>
      <c r="P485" s="19"/>
      <c r="Q485"/>
      <c r="R485"/>
    </row>
    <row r="486" spans="1:18" s="11" customFormat="1" ht="16" x14ac:dyDescent="0.2">
      <c r="A486" s="11" t="s">
        <v>176</v>
      </c>
      <c r="B486" s="12">
        <v>6.4</v>
      </c>
      <c r="C486" s="11" t="s">
        <v>34</v>
      </c>
      <c r="D486" s="11" t="s">
        <v>13</v>
      </c>
      <c r="F486" s="11" t="s">
        <v>12</v>
      </c>
      <c r="G486" s="11" t="s">
        <v>177</v>
      </c>
      <c r="H486" s="11" t="s">
        <v>171</v>
      </c>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s">
        <v>56</v>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B500" s="16"/>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s">
        <v>180</v>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s">
        <v>18</v>
      </c>
      <c r="B512" s="16">
        <v>300</v>
      </c>
      <c r="C512" s="11" t="s">
        <v>17</v>
      </c>
      <c r="D512" s="11" t="s">
        <v>13</v>
      </c>
      <c r="F512" s="11" t="s">
        <v>12</v>
      </c>
      <c r="G512" s="16" t="s">
        <v>19</v>
      </c>
      <c r="H512" s="10" t="s">
        <v>182</v>
      </c>
      <c r="J512"/>
      <c r="K512" s="19"/>
      <c r="L512" s="19"/>
      <c r="M512" s="19"/>
      <c r="N512" s="19"/>
      <c r="O512" s="19"/>
      <c r="P512" s="19"/>
      <c r="Q512"/>
      <c r="R512"/>
    </row>
    <row r="513" spans="1:18" s="11" customFormat="1" ht="16" x14ac:dyDescent="0.2">
      <c r="A513" s="16" t="s">
        <v>68</v>
      </c>
      <c r="B513" s="16">
        <v>225</v>
      </c>
      <c r="C513" s="11" t="s">
        <v>17</v>
      </c>
      <c r="D513" s="11" t="s">
        <v>13</v>
      </c>
      <c r="F513" s="11" t="s">
        <v>12</v>
      </c>
      <c r="G513" s="16" t="s">
        <v>69</v>
      </c>
      <c r="H513" s="10" t="s">
        <v>182</v>
      </c>
      <c r="J513"/>
      <c r="K513" s="19"/>
      <c r="L513" s="19"/>
      <c r="M513" s="19"/>
      <c r="N513" s="19"/>
      <c r="O513" s="19"/>
      <c r="P513" s="19"/>
      <c r="Q513"/>
      <c r="R513"/>
    </row>
    <row r="514" spans="1:18" s="11" customFormat="1" ht="16" x14ac:dyDescent="0.2">
      <c r="A514" s="16" t="s">
        <v>83</v>
      </c>
      <c r="B514" s="16">
        <f>180*5</f>
        <v>900</v>
      </c>
      <c r="C514" s="11" t="s">
        <v>17</v>
      </c>
      <c r="D514" s="11" t="s">
        <v>13</v>
      </c>
      <c r="F514" s="11" t="s">
        <v>12</v>
      </c>
      <c r="G514" s="16" t="s">
        <v>40</v>
      </c>
      <c r="H514" s="10" t="s">
        <v>182</v>
      </c>
      <c r="J514"/>
      <c r="K514" s="19"/>
      <c r="L514" s="19"/>
      <c r="M514" s="19"/>
      <c r="N514" s="19"/>
      <c r="O514" s="19"/>
      <c r="P514" s="19"/>
      <c r="Q514"/>
      <c r="R514"/>
    </row>
    <row r="515" spans="1:18" s="11" customFormat="1" ht="16" x14ac:dyDescent="0.2">
      <c r="A515" s="16" t="s">
        <v>85</v>
      </c>
      <c r="B515" s="16">
        <f>15*5</f>
        <v>75</v>
      </c>
      <c r="C515" s="11" t="s">
        <v>17</v>
      </c>
      <c r="D515" s="11" t="s">
        <v>13</v>
      </c>
      <c r="F515" s="11" t="s">
        <v>12</v>
      </c>
      <c r="G515" s="16" t="s">
        <v>43</v>
      </c>
      <c r="H515" s="10" t="s">
        <v>182</v>
      </c>
      <c r="J515"/>
      <c r="K515" s="19"/>
      <c r="L515" s="19"/>
      <c r="M515" s="19"/>
      <c r="N515" s="19"/>
      <c r="O515" s="19"/>
      <c r="P515" s="19"/>
      <c r="Q515"/>
      <c r="R515"/>
    </row>
    <row r="516" spans="1:18" s="11" customFormat="1" ht="16" x14ac:dyDescent="0.2">
      <c r="A516" s="16" t="s">
        <v>86</v>
      </c>
      <c r="B516" s="16">
        <f>45*5</f>
        <v>225</v>
      </c>
      <c r="C516" s="11" t="s">
        <v>17</v>
      </c>
      <c r="D516" s="11" t="s">
        <v>13</v>
      </c>
      <c r="F516" s="11" t="s">
        <v>12</v>
      </c>
      <c r="G516" s="16" t="s">
        <v>44</v>
      </c>
      <c r="H516" s="10" t="s">
        <v>182</v>
      </c>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s">
        <v>18</v>
      </c>
      <c r="B527" s="16">
        <v>100</v>
      </c>
      <c r="C527" s="11" t="s">
        <v>17</v>
      </c>
      <c r="D527" s="11" t="s">
        <v>13</v>
      </c>
      <c r="F527" s="11" t="s">
        <v>12</v>
      </c>
      <c r="G527" s="16" t="s">
        <v>19</v>
      </c>
      <c r="H527" s="10" t="s">
        <v>185</v>
      </c>
      <c r="J527"/>
      <c r="K527" s="19"/>
      <c r="L527" s="19"/>
      <c r="M527" s="19"/>
      <c r="N527" s="19"/>
      <c r="O527" s="19"/>
      <c r="P527" s="19"/>
      <c r="Q527"/>
      <c r="R527"/>
    </row>
    <row r="528" spans="1:18" s="11" customFormat="1" ht="16" x14ac:dyDescent="0.2">
      <c r="A528" s="16" t="s">
        <v>68</v>
      </c>
      <c r="B528" s="16">
        <v>200</v>
      </c>
      <c r="C528" s="11" t="s">
        <v>17</v>
      </c>
      <c r="D528" s="11" t="s">
        <v>13</v>
      </c>
      <c r="F528" s="11" t="s">
        <v>12</v>
      </c>
      <c r="G528" s="16" t="s">
        <v>69</v>
      </c>
      <c r="H528" s="10" t="s">
        <v>185</v>
      </c>
      <c r="J528"/>
      <c r="K528" s="19"/>
      <c r="L528" s="19"/>
      <c r="M528" s="19"/>
      <c r="N528" s="19"/>
      <c r="O528" s="19"/>
      <c r="P528" s="19"/>
      <c r="Q528"/>
      <c r="R528"/>
    </row>
    <row r="529" spans="1:18" s="11" customFormat="1" ht="16" x14ac:dyDescent="0.2">
      <c r="A529" s="16" t="s">
        <v>83</v>
      </c>
      <c r="B529" s="16">
        <v>600</v>
      </c>
      <c r="C529" s="11" t="s">
        <v>17</v>
      </c>
      <c r="D529" s="11" t="s">
        <v>13</v>
      </c>
      <c r="F529" s="11" t="s">
        <v>12</v>
      </c>
      <c r="G529" s="16" t="s">
        <v>40</v>
      </c>
      <c r="H529" s="10" t="s">
        <v>185</v>
      </c>
      <c r="J529"/>
      <c r="K529" s="19"/>
      <c r="L529" s="19"/>
      <c r="M529" s="19"/>
      <c r="N529" s="19"/>
      <c r="O529" s="19"/>
      <c r="P529" s="19"/>
      <c r="Q529"/>
      <c r="R529"/>
    </row>
    <row r="530" spans="1:18" s="11" customFormat="1" ht="16" x14ac:dyDescent="0.2">
      <c r="A530" s="16" t="s">
        <v>58</v>
      </c>
      <c r="B530" s="16">
        <v>100</v>
      </c>
      <c r="C530" s="11" t="s">
        <v>17</v>
      </c>
      <c r="D530" s="11" t="s">
        <v>13</v>
      </c>
      <c r="F530" s="11" t="s">
        <v>12</v>
      </c>
      <c r="G530" s="16" t="s">
        <v>41</v>
      </c>
      <c r="H530" s="10" t="s">
        <v>185</v>
      </c>
      <c r="J530"/>
      <c r="K530" s="19"/>
      <c r="L530" s="19"/>
      <c r="M530" s="19"/>
      <c r="N530" s="19"/>
      <c r="O530" s="19"/>
      <c r="P530" s="19"/>
      <c r="Q530"/>
      <c r="R530"/>
    </row>
    <row r="531" spans="1:18" s="11" customFormat="1" ht="16" x14ac:dyDescent="0.2">
      <c r="A531" s="16" t="s">
        <v>84</v>
      </c>
      <c r="B531" s="16">
        <v>600</v>
      </c>
      <c r="C531" s="11" t="s">
        <v>17</v>
      </c>
      <c r="D531" s="11" t="s">
        <v>13</v>
      </c>
      <c r="F531" s="11" t="s">
        <v>12</v>
      </c>
      <c r="G531" s="16" t="s">
        <v>42</v>
      </c>
      <c r="H531" s="10" t="s">
        <v>185</v>
      </c>
      <c r="J531"/>
      <c r="K531" s="19"/>
      <c r="L531" s="19"/>
      <c r="M531" s="19"/>
      <c r="N531" s="19"/>
      <c r="O531" s="19"/>
      <c r="P531" s="19"/>
      <c r="Q531"/>
      <c r="R531"/>
    </row>
    <row r="532" spans="1:18" s="11" customFormat="1" ht="16" x14ac:dyDescent="0.2">
      <c r="A532" s="16" t="s">
        <v>85</v>
      </c>
      <c r="B532" s="16">
        <v>100</v>
      </c>
      <c r="C532" s="11" t="s">
        <v>17</v>
      </c>
      <c r="D532" s="11" t="s">
        <v>13</v>
      </c>
      <c r="F532" s="11" t="s">
        <v>12</v>
      </c>
      <c r="G532" s="16" t="s">
        <v>43</v>
      </c>
      <c r="H532" s="10" t="s">
        <v>185</v>
      </c>
      <c r="J532"/>
      <c r="K532" s="19"/>
      <c r="L532" s="19"/>
      <c r="M532" s="19"/>
      <c r="N532" s="19"/>
      <c r="O532" s="19"/>
      <c r="P532" s="19"/>
      <c r="Q532"/>
      <c r="R532"/>
    </row>
    <row r="533" spans="1:18" s="11" customFormat="1" ht="16" x14ac:dyDescent="0.2">
      <c r="A533" s="16" t="s">
        <v>86</v>
      </c>
      <c r="B533" s="16">
        <v>200</v>
      </c>
      <c r="C533" s="11" t="s">
        <v>17</v>
      </c>
      <c r="D533" s="11" t="s">
        <v>13</v>
      </c>
      <c r="F533" s="11" t="s">
        <v>12</v>
      </c>
      <c r="G533" s="16" t="s">
        <v>44</v>
      </c>
      <c r="H533" s="10" t="s">
        <v>185</v>
      </c>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s">
        <v>186</v>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t="s">
        <v>18</v>
      </c>
      <c r="B556" s="16">
        <v>1</v>
      </c>
      <c r="C556" s="11" t="s">
        <v>17</v>
      </c>
      <c r="D556" s="11" t="s">
        <v>13</v>
      </c>
      <c r="F556" s="11" t="s">
        <v>12</v>
      </c>
      <c r="G556" s="16" t="s">
        <v>19</v>
      </c>
      <c r="H556" s="10" t="s">
        <v>197</v>
      </c>
      <c r="J556"/>
      <c r="K556" s="19"/>
      <c r="L556" s="19"/>
      <c r="M556" s="19"/>
      <c r="N556" s="19"/>
      <c r="O556" s="19"/>
      <c r="P556" s="19"/>
      <c r="Q556"/>
      <c r="R556"/>
    </row>
    <row r="557" spans="1:18" s="11" customFormat="1" ht="16" x14ac:dyDescent="0.2">
      <c r="A557" s="16" t="s">
        <v>68</v>
      </c>
      <c r="B557" s="16">
        <v>0.7</v>
      </c>
      <c r="C557" s="11" t="s">
        <v>17</v>
      </c>
      <c r="D557" s="11" t="s">
        <v>13</v>
      </c>
      <c r="F557" s="11" t="s">
        <v>12</v>
      </c>
      <c r="G557" s="16" t="s">
        <v>69</v>
      </c>
      <c r="H557" s="10" t="s">
        <v>197</v>
      </c>
      <c r="J557"/>
      <c r="K557" s="19"/>
      <c r="L557" s="19"/>
      <c r="M557" s="19"/>
      <c r="N557" s="19"/>
      <c r="O557" s="19"/>
      <c r="P557" s="19"/>
      <c r="Q557"/>
      <c r="R557"/>
    </row>
    <row r="558" spans="1:18" s="11" customFormat="1" ht="16" x14ac:dyDescent="0.2">
      <c r="A558" s="16" t="s">
        <v>83</v>
      </c>
      <c r="B558" s="16">
        <v>3</v>
      </c>
      <c r="C558" s="11" t="s">
        <v>17</v>
      </c>
      <c r="D558" s="11" t="s">
        <v>13</v>
      </c>
      <c r="F558" s="11" t="s">
        <v>12</v>
      </c>
      <c r="G558" s="16" t="s">
        <v>198</v>
      </c>
      <c r="H558" s="10" t="s">
        <v>197</v>
      </c>
      <c r="J558"/>
      <c r="K558" s="19"/>
      <c r="L558" s="19"/>
      <c r="M558" s="19"/>
      <c r="N558" s="19"/>
      <c r="O558" s="19"/>
      <c r="P558" s="19"/>
      <c r="Q558"/>
      <c r="R558"/>
    </row>
    <row r="559" spans="1:18" s="11" customFormat="1" ht="16" x14ac:dyDescent="0.2">
      <c r="A559" s="16" t="s">
        <v>85</v>
      </c>
      <c r="B559" s="16">
        <v>0.2</v>
      </c>
      <c r="C559" s="11" t="s">
        <v>17</v>
      </c>
      <c r="D559" s="11" t="s">
        <v>13</v>
      </c>
      <c r="F559" s="11" t="s">
        <v>12</v>
      </c>
      <c r="G559" s="16" t="s">
        <v>43</v>
      </c>
      <c r="H559" s="10" t="s">
        <v>197</v>
      </c>
      <c r="J559"/>
      <c r="K559" s="19"/>
      <c r="L559" s="19"/>
      <c r="M559" s="19"/>
      <c r="N559" s="19"/>
      <c r="O559" s="19"/>
      <c r="P559" s="19"/>
      <c r="Q559"/>
      <c r="R559"/>
    </row>
    <row r="560" spans="1:18" s="11" customFormat="1" ht="16" x14ac:dyDescent="0.2">
      <c r="A560" s="16" t="s">
        <v>86</v>
      </c>
      <c r="B560" s="16">
        <v>0.7</v>
      </c>
      <c r="C560" s="11" t="s">
        <v>17</v>
      </c>
      <c r="D560" s="11" t="s">
        <v>13</v>
      </c>
      <c r="F560" s="11" t="s">
        <v>12</v>
      </c>
      <c r="G560" s="16" t="s">
        <v>44</v>
      </c>
      <c r="H560" s="10" t="s">
        <v>197</v>
      </c>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s">
        <v>56</v>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-13730</v>
      </c>
      <c r="C585" s="11" t="s">
        <v>217</v>
      </c>
      <c r="D585" s="11" t="s">
        <v>13</v>
      </c>
      <c r="F585" s="11" t="s">
        <v>12</v>
      </c>
      <c r="G585" s="16" t="s">
        <v>216</v>
      </c>
      <c r="J585"/>
      <c r="K585" s="19"/>
      <c r="L585" s="19"/>
      <c r="M585" s="19"/>
      <c r="N585" s="19"/>
      <c r="O585" s="19"/>
      <c r="P585" s="19"/>
      <c r="Q585"/>
      <c r="R585"/>
    </row>
    <row r="586" spans="1:20" s="11" customFormat="1" ht="16" x14ac:dyDescent="0.2">
      <c r="A586" s="11" t="s">
        <v>206</v>
      </c>
      <c r="B586" s="11">
        <v>-401</v>
      </c>
      <c r="C586" s="11" t="s">
        <v>37</v>
      </c>
      <c r="D586" s="11" t="s">
        <v>13</v>
      </c>
      <c r="F586" s="11" t="s">
        <v>12</v>
      </c>
      <c r="G586" s="11" t="s">
        <v>207</v>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-429</v>
      </c>
      <c r="C592" s="11" t="s">
        <v>37</v>
      </c>
      <c r="D592" s="11" t="s">
        <v>13</v>
      </c>
      <c r="F592" s="11" t="s">
        <v>12</v>
      </c>
      <c r="G592" s="11" t="s">
        <v>209</v>
      </c>
      <c r="J592"/>
      <c r="K592" s="19"/>
      <c r="L592" s="19"/>
      <c r="M592" s="19"/>
      <c r="N592" s="19"/>
      <c r="O592" s="19"/>
      <c r="P592" s="19"/>
      <c r="Q592"/>
      <c r="R592"/>
    </row>
    <row r="593" spans="1:21" s="11" customFormat="1" ht="16" x14ac:dyDescent="0.2">
      <c r="A593" s="11" t="s">
        <v>210</v>
      </c>
      <c r="B593" s="11">
        <v>-210</v>
      </c>
      <c r="C593" s="11" t="s">
        <v>212</v>
      </c>
      <c r="D593" s="11" t="s">
        <v>13</v>
      </c>
      <c r="F593" s="11" t="s">
        <v>12</v>
      </c>
      <c r="G593" s="11" t="s">
        <v>211</v>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B595" s="16"/>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PFSA membrane, EW1100, balanced chemistry engineering reference</t>
        </is>
      </c>
    </row>
    <row r="637">
      <c r="A637" t="inlineStr">
        <is>
          <t>location</t>
        </is>
      </c>
      <c r="B637" t="inlineStr">
        <is>
          <t>GLO</t>
        </is>
      </c>
    </row>
    <row r="638">
      <c r="A638" t="inlineStr">
        <is>
          <t>production amount</t>
        </is>
      </c>
      <c r="B638">
        <v>1</v>
      </c>
    </row>
    <row r="639">
      <c r="A639" t="inlineStr">
        <is>
          <t>reference product</t>
        </is>
      </c>
      <c r="B639" t="inlineStr">
        <is>
          <t>PFSA membrane, EW1100, balanced chemistry engineering reference</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PFSA membrane, EW1100, balanced chemistry engineering reference</t>
        </is>
      </c>
      <c r="B645">
        <v>1</v>
      </c>
      <c r="C645" t="inlineStr">
        <is>
          <t>GLO</t>
        </is>
      </c>
      <c r="D645" t="inlineStr">
        <is>
          <t>kilogram</t>
        </is>
      </c>
      <c r="F645" t="inlineStr">
        <is>
          <t>production</t>
        </is>
      </c>
      <c r="G645" t="inlineStr">
        <is>
          <t>PFSA membrane, EW1100, balanced chemistry engineering reference</t>
        </is>
      </c>
      <c r="I645" t="inlineStr">
        <is>
          <t>PFSA membrane, EW1100, balanced chemistry engineering reference</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