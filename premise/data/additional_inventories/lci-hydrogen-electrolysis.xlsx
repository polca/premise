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921"/>
  <workbookPr/>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C12A5CB0-B7AA-E548-96E6-B277AF67FADC}" xr6:coauthVersionLast="47" xr6:coauthVersionMax="47" xr10:uidLastSave="{00000000-0000-0000-0000-000000000000}"/>
  <bookViews>
    <workbookView xWindow="4440" yWindow="760" windowWidth="25800" windowHeight="18880" xr2:uid="{00000000-000D-0000-FFFF-FFFF00000000}"/>
  </bookViews>
  <sheets>
    <sheet name="lci" sheetId="1" r:id="rId1"/>
    <sheet name="Final specifications" sheetId="3" r:id="rId2"/>
    <sheet name="Manufacturers' data" sheetId="2" r:id="rId3"/>
  </sheets>
  <definedNames>
    <definedName name="_xlnm._FilterDatabase" localSheetId="0" hidden="1">lci!$A$1:$T$638</definedName>
    <definedName name="_xlnm._FilterDatabase" localSheetId="2" hidden="1">'Manufacturers'' data'!$A$3:$AG$104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R141" i="1" l="1"/>
  <c r="J141" i="1"/>
  <c r="B141" i="1"/>
  <c r="R140" i="1"/>
  <c r="B140" i="1"/>
  <c r="J140" i="1" s="1"/>
  <c r="R139" i="1"/>
  <c r="J139" i="1"/>
  <c r="B139" i="1"/>
  <c r="J136" i="1"/>
  <c r="S134" i="1"/>
  <c r="T133" i="1"/>
  <c r="S135" i="1" s="1"/>
  <c r="S133" i="1"/>
  <c r="T135" i="1" s="1"/>
  <c r="B133" i="1"/>
  <c r="J133" i="1" s="1"/>
  <c r="T132" i="1"/>
  <c r="S132" i="1"/>
  <c r="T134" i="1" s="1"/>
  <c r="B132" i="1"/>
  <c r="J132" i="1" s="1"/>
  <c r="D131" i="1"/>
  <c r="C131" i="1"/>
  <c r="A131" i="1"/>
  <c r="R61" i="1"/>
  <c r="B61" i="1"/>
  <c r="J61" i="1" s="1"/>
  <c r="R60" i="1"/>
  <c r="B60" i="1"/>
  <c r="J60" i="1" s="1"/>
  <c r="R59" i="1"/>
  <c r="B59" i="1"/>
  <c r="J59" i="1" s="1"/>
  <c r="J56" i="1"/>
  <c r="T54" i="1"/>
  <c r="T53" i="1"/>
  <c r="S55" i="1" s="1"/>
  <c r="S53" i="1"/>
  <c r="T55" i="1" s="1"/>
  <c r="B53" i="1"/>
  <c r="J53" i="1" s="1"/>
  <c r="T52" i="1"/>
  <c r="S54" i="1" s="1"/>
  <c r="S52" i="1"/>
  <c r="B52" i="1"/>
  <c r="B54" i="1" s="1"/>
  <c r="J54" i="1" s="1"/>
  <c r="D51" i="1"/>
  <c r="C51" i="1"/>
  <c r="A51" i="1"/>
  <c r="B499" i="1"/>
  <c r="B330" i="1"/>
  <c r="B329" i="1"/>
  <c r="T630" i="1"/>
  <c r="S630" i="1"/>
  <c r="B630" i="1"/>
  <c r="J630" i="1" s="1"/>
  <c r="T625" i="1"/>
  <c r="S625" i="1"/>
  <c r="B625" i="1"/>
  <c r="J625" i="1" s="1"/>
  <c r="G624" i="1"/>
  <c r="D624" i="1"/>
  <c r="C624" i="1"/>
  <c r="A624" i="1"/>
  <c r="S610" i="1"/>
  <c r="T610" i="1"/>
  <c r="B610" i="1"/>
  <c r="B611" i="1" s="1"/>
  <c r="B614" i="1" s="1"/>
  <c r="J610" i="1"/>
  <c r="T605" i="1"/>
  <c r="S605" i="1"/>
  <c r="J605" i="1"/>
  <c r="G604" i="1"/>
  <c r="A604" i="1"/>
  <c r="D604" i="1"/>
  <c r="C604" i="1"/>
  <c r="R161" i="1"/>
  <c r="B161" i="1"/>
  <c r="J161" i="1" s="1"/>
  <c r="R160" i="1"/>
  <c r="B160" i="1"/>
  <c r="J160" i="1" s="1"/>
  <c r="R159" i="1"/>
  <c r="B159" i="1"/>
  <c r="J159" i="1" s="1"/>
  <c r="J156" i="1"/>
  <c r="T153" i="1"/>
  <c r="S155" i="1" s="1"/>
  <c r="S153" i="1"/>
  <c r="T155" i="1" s="1"/>
  <c r="B153" i="1"/>
  <c r="B155" i="1" s="1"/>
  <c r="J155" i="1" s="1"/>
  <c r="T152" i="1"/>
  <c r="S154" i="1" s="1"/>
  <c r="S152" i="1"/>
  <c r="T154" i="1" s="1"/>
  <c r="B152" i="1"/>
  <c r="B154" i="1" s="1"/>
  <c r="J154" i="1" s="1"/>
  <c r="D151" i="1"/>
  <c r="C151" i="1"/>
  <c r="A151" i="1"/>
  <c r="R121" i="1"/>
  <c r="B121" i="1"/>
  <c r="J121" i="1" s="1"/>
  <c r="R120" i="1"/>
  <c r="B120" i="1"/>
  <c r="J120" i="1" s="1"/>
  <c r="R119" i="1"/>
  <c r="B119" i="1"/>
  <c r="J119" i="1" s="1"/>
  <c r="J116" i="1"/>
  <c r="T113" i="1"/>
  <c r="S115" i="1" s="1"/>
  <c r="S113" i="1"/>
  <c r="T115" i="1" s="1"/>
  <c r="B113" i="1"/>
  <c r="J113" i="1" s="1"/>
  <c r="T112" i="1"/>
  <c r="S114" i="1" s="1"/>
  <c r="S112" i="1"/>
  <c r="T114" i="1" s="1"/>
  <c r="B112" i="1"/>
  <c r="B114" i="1" s="1"/>
  <c r="J114" i="1" s="1"/>
  <c r="D111" i="1"/>
  <c r="C111" i="1"/>
  <c r="A111" i="1"/>
  <c r="R101" i="1"/>
  <c r="B101" i="1"/>
  <c r="J101" i="1" s="1"/>
  <c r="R100" i="1"/>
  <c r="B100" i="1"/>
  <c r="J100" i="1" s="1"/>
  <c r="R99" i="1"/>
  <c r="B99" i="1"/>
  <c r="J99" i="1" s="1"/>
  <c r="J96" i="1"/>
  <c r="T93" i="1"/>
  <c r="S95" i="1" s="1"/>
  <c r="S93" i="1"/>
  <c r="T95" i="1" s="1"/>
  <c r="B93" i="1"/>
  <c r="J93" i="1" s="1"/>
  <c r="T92" i="1"/>
  <c r="S94" i="1" s="1"/>
  <c r="S92" i="1"/>
  <c r="T94" i="1" s="1"/>
  <c r="B92" i="1"/>
  <c r="B94" i="1" s="1"/>
  <c r="J94" i="1" s="1"/>
  <c r="D91" i="1"/>
  <c r="C91" i="1"/>
  <c r="A91" i="1"/>
  <c r="A71" i="1"/>
  <c r="A31" i="1"/>
  <c r="R81" i="1"/>
  <c r="B81" i="1"/>
  <c r="J81" i="1" s="1"/>
  <c r="R80" i="1"/>
  <c r="B80" i="1"/>
  <c r="J80" i="1" s="1"/>
  <c r="R79" i="1"/>
  <c r="B79" i="1"/>
  <c r="J79" i="1" s="1"/>
  <c r="J76" i="1"/>
  <c r="T73" i="1"/>
  <c r="S75" i="1" s="1"/>
  <c r="S73" i="1"/>
  <c r="T75" i="1" s="1"/>
  <c r="B73" i="1"/>
  <c r="J73" i="1" s="1"/>
  <c r="T72" i="1"/>
  <c r="S74" i="1" s="1"/>
  <c r="S72" i="1"/>
  <c r="T74" i="1" s="1"/>
  <c r="B72" i="1"/>
  <c r="B74" i="1" s="1"/>
  <c r="J74" i="1" s="1"/>
  <c r="D71" i="1"/>
  <c r="C71" i="1"/>
  <c r="R41" i="1"/>
  <c r="B41" i="1"/>
  <c r="J41" i="1" s="1"/>
  <c r="R40" i="1"/>
  <c r="B40" i="1"/>
  <c r="J40" i="1" s="1"/>
  <c r="R39" i="1"/>
  <c r="B39" i="1"/>
  <c r="J39" i="1" s="1"/>
  <c r="J36" i="1"/>
  <c r="T33" i="1"/>
  <c r="S35" i="1" s="1"/>
  <c r="S33" i="1"/>
  <c r="T35" i="1" s="1"/>
  <c r="B33" i="1"/>
  <c r="J33" i="1" s="1"/>
  <c r="T32" i="1"/>
  <c r="S34" i="1" s="1"/>
  <c r="S32" i="1"/>
  <c r="T34" i="1" s="1"/>
  <c r="B32" i="1"/>
  <c r="B34" i="1" s="1"/>
  <c r="J34" i="1" s="1"/>
  <c r="D31" i="1"/>
  <c r="C31" i="1"/>
  <c r="T452" i="1"/>
  <c r="S454" i="1" s="1"/>
  <c r="S452" i="1"/>
  <c r="T454" i="1" s="1"/>
  <c r="T453" i="1"/>
  <c r="S455" i="1" s="1"/>
  <c r="S453" i="1"/>
  <c r="T455" i="1" s="1"/>
  <c r="B135" i="1" l="1"/>
  <c r="J135" i="1" s="1"/>
  <c r="J52" i="1"/>
  <c r="B134" i="1"/>
  <c r="J134" i="1" s="1"/>
  <c r="B612" i="1"/>
  <c r="B631" i="1"/>
  <c r="B632" i="1"/>
  <c r="B633" i="1"/>
  <c r="B55" i="1"/>
  <c r="J55" i="1" s="1"/>
  <c r="B613" i="1"/>
  <c r="J152" i="1"/>
  <c r="B95" i="1"/>
  <c r="J95" i="1" s="1"/>
  <c r="J153" i="1"/>
  <c r="J112" i="1"/>
  <c r="B115" i="1"/>
  <c r="J115" i="1" s="1"/>
  <c r="J92" i="1"/>
  <c r="J72" i="1"/>
  <c r="B75" i="1"/>
  <c r="J75" i="1" s="1"/>
  <c r="B35" i="1"/>
  <c r="J35" i="1" s="1"/>
  <c r="J32" i="1"/>
  <c r="T292" i="1"/>
  <c r="S294" i="1" s="1"/>
  <c r="S292" i="1"/>
  <c r="T294" i="1" s="1"/>
  <c r="S291" i="1"/>
  <c r="T293" i="1" s="1"/>
  <c r="T291" i="1"/>
  <c r="S293" i="1" s="1"/>
  <c r="B291" i="1"/>
  <c r="J291" i="1" s="1"/>
  <c r="T13" i="1"/>
  <c r="S15" i="1" s="1"/>
  <c r="S13" i="1"/>
  <c r="T15" i="1" s="1"/>
  <c r="S12" i="1"/>
  <c r="T14" i="1" s="1"/>
  <c r="T12" i="1"/>
  <c r="S14" i="1" s="1"/>
  <c r="J435" i="1"/>
  <c r="J295" i="1"/>
  <c r="J16" i="1"/>
  <c r="B178" i="1"/>
  <c r="C168" i="1" s="1"/>
  <c r="R462" i="1"/>
  <c r="B462" i="1"/>
  <c r="J462" i="1" s="1"/>
  <c r="R461" i="1"/>
  <c r="B461" i="1"/>
  <c r="J461" i="1" s="1"/>
  <c r="R460" i="1"/>
  <c r="B460" i="1"/>
  <c r="J460" i="1" s="1"/>
  <c r="R441" i="1"/>
  <c r="B441" i="1"/>
  <c r="J441" i="1" s="1"/>
  <c r="R440" i="1"/>
  <c r="B440" i="1"/>
  <c r="J440" i="1" s="1"/>
  <c r="R439" i="1"/>
  <c r="B439" i="1"/>
  <c r="J439" i="1" s="1"/>
  <c r="R301" i="1"/>
  <c r="B301" i="1"/>
  <c r="J301" i="1" s="1"/>
  <c r="R300" i="1"/>
  <c r="B300" i="1"/>
  <c r="J300" i="1" s="1"/>
  <c r="R299" i="1"/>
  <c r="B299" i="1"/>
  <c r="J299" i="1" s="1"/>
  <c r="R21" i="1"/>
  <c r="B21" i="1"/>
  <c r="J21" i="1" s="1"/>
  <c r="R20" i="1"/>
  <c r="B20" i="1"/>
  <c r="J20" i="1" s="1"/>
  <c r="R19" i="1"/>
  <c r="B19" i="1"/>
  <c r="J19" i="1" s="1"/>
  <c r="J178" i="1" l="1"/>
  <c r="B431" i="1"/>
  <c r="B12" i="1"/>
  <c r="J12" i="1" s="1"/>
  <c r="B453" i="1"/>
  <c r="B452" i="1"/>
  <c r="D451" i="1"/>
  <c r="C451" i="1"/>
  <c r="P59" i="2"/>
  <c r="P96" i="2"/>
  <c r="P55" i="2"/>
  <c r="P94" i="2"/>
  <c r="P53" i="2"/>
  <c r="T91" i="2"/>
  <c r="Y90" i="2"/>
  <c r="T90" i="2"/>
  <c r="Q90" i="2"/>
  <c r="P13" i="2"/>
  <c r="P18" i="2"/>
  <c r="P30" i="2"/>
  <c r="P85" i="2"/>
  <c r="P25" i="2"/>
  <c r="P21" i="2"/>
  <c r="P82" i="2"/>
  <c r="P80" i="2"/>
  <c r="T80" i="2" s="1"/>
  <c r="P52" i="2"/>
  <c r="P77" i="2"/>
  <c r="P76" i="2"/>
  <c r="P20" i="2"/>
  <c r="P12" i="2"/>
  <c r="P51" i="2"/>
  <c r="P8" i="2"/>
  <c r="P71" i="2"/>
  <c r="P48" i="2"/>
  <c r="P62" i="2"/>
  <c r="AC65" i="2"/>
  <c r="T65" i="2"/>
  <c r="Q65" i="2"/>
  <c r="AC64" i="2"/>
  <c r="T64" i="2"/>
  <c r="P63" i="2"/>
  <c r="P14" i="2"/>
  <c r="P19" i="2"/>
  <c r="P5" i="2"/>
  <c r="P58" i="2"/>
  <c r="P57" i="2"/>
  <c r="P56" i="2"/>
  <c r="P45" i="2"/>
  <c r="P4" i="2"/>
  <c r="P44" i="2"/>
  <c r="P49" i="2"/>
  <c r="P43" i="2"/>
  <c r="P47" i="2"/>
  <c r="P46" i="2"/>
  <c r="P41" i="2"/>
  <c r="P40" i="2"/>
  <c r="P39" i="2"/>
  <c r="P38" i="2"/>
  <c r="P37" i="2"/>
  <c r="P36" i="2"/>
  <c r="P60" i="2"/>
  <c r="P35" i="2"/>
  <c r="P33" i="2"/>
  <c r="P31" i="2"/>
  <c r="P70" i="2"/>
  <c r="P29" i="2"/>
  <c r="P28" i="2"/>
  <c r="P27" i="2"/>
  <c r="P34" i="2"/>
  <c r="P24" i="2"/>
  <c r="P23" i="2"/>
  <c r="P22" i="2"/>
  <c r="P69" i="2"/>
  <c r="P66" i="2"/>
  <c r="P16" i="2"/>
  <c r="P15" i="2"/>
  <c r="P68" i="2"/>
  <c r="P11" i="2"/>
  <c r="P10" i="2"/>
  <c r="P6" i="2"/>
  <c r="P67" i="2"/>
  <c r="P61" i="2"/>
  <c r="B432" i="1"/>
  <c r="B434" i="1" s="1"/>
  <c r="B292" i="1"/>
  <c r="J292" i="1" s="1"/>
  <c r="B13" i="1"/>
  <c r="J13" i="1" s="1"/>
  <c r="G583" i="1"/>
  <c r="D583" i="1"/>
  <c r="A583" i="1"/>
  <c r="G498" i="1"/>
  <c r="D498" i="1"/>
  <c r="A498" i="1"/>
  <c r="G409" i="1"/>
  <c r="D409" i="1"/>
  <c r="A409" i="1"/>
  <c r="G328" i="1"/>
  <c r="D328" i="1"/>
  <c r="A328" i="1"/>
  <c r="B269" i="1"/>
  <c r="G268" i="1"/>
  <c r="D268" i="1"/>
  <c r="A268" i="1"/>
  <c r="B200" i="1"/>
  <c r="B199" i="1"/>
  <c r="B198" i="1"/>
  <c r="B197" i="1"/>
  <c r="B196" i="1"/>
  <c r="G195" i="1"/>
  <c r="D195" i="1"/>
  <c r="A195" i="1"/>
  <c r="B455" i="1" l="1"/>
  <c r="J455" i="1" s="1"/>
  <c r="J453" i="1"/>
  <c r="B454" i="1"/>
  <c r="J454" i="1" s="1"/>
  <c r="J452" i="1"/>
  <c r="B433" i="1"/>
  <c r="B293" i="1"/>
  <c r="J293" i="1" s="1"/>
  <c r="B551" i="1"/>
  <c r="B550" i="1"/>
  <c r="B549" i="1"/>
  <c r="B548" i="1"/>
  <c r="B547" i="1"/>
  <c r="B546" i="1"/>
  <c r="B545" i="1"/>
  <c r="B544" i="1"/>
  <c r="B543" i="1"/>
  <c r="B542" i="1"/>
  <c r="B541" i="1"/>
  <c r="B540" i="1"/>
  <c r="B539" i="1"/>
  <c r="B536" i="1"/>
  <c r="B535" i="1"/>
  <c r="B526" i="1"/>
  <c r="B525" i="1"/>
  <c r="B524" i="1"/>
  <c r="B523" i="1"/>
  <c r="B522" i="1"/>
  <c r="B521" i="1"/>
  <c r="B520" i="1"/>
  <c r="B519" i="1"/>
  <c r="B518" i="1"/>
  <c r="B517" i="1"/>
  <c r="B516" i="1"/>
  <c r="B515" i="1"/>
  <c r="B514" i="1"/>
  <c r="G509" i="1"/>
  <c r="A509" i="1"/>
  <c r="B482" i="1"/>
  <c r="B481" i="1"/>
  <c r="G472" i="1"/>
  <c r="D472" i="1"/>
  <c r="A472" i="1"/>
  <c r="A432" i="1"/>
  <c r="A431" i="1"/>
  <c r="D430" i="1"/>
  <c r="C430" i="1"/>
  <c r="G340" i="1"/>
  <c r="A340" i="1"/>
  <c r="G311" i="1"/>
  <c r="D311" i="1"/>
  <c r="A311" i="1"/>
  <c r="A292" i="1"/>
  <c r="A291" i="1"/>
  <c r="D290" i="1"/>
  <c r="C290" i="1"/>
  <c r="G210" i="1"/>
  <c r="A210" i="1"/>
  <c r="G171" i="1"/>
  <c r="D171" i="1"/>
  <c r="A171" i="1"/>
  <c r="A13" i="1"/>
  <c r="A12" i="1"/>
  <c r="D11" i="1"/>
  <c r="C11" i="1"/>
  <c r="B294" i="1" l="1"/>
  <c r="J294" i="1" s="1"/>
  <c r="B15" i="1"/>
  <c r="J15" i="1" s="1"/>
  <c r="B14" i="1"/>
  <c r="J14" i="1" s="1"/>
</calcChain>
</file>

<file path=xl/sharedStrings.xml><?xml version="1.0" encoding="utf-8"?>
<sst xmlns="http://schemas.openxmlformats.org/spreadsheetml/2006/main" count="3520" uniqueCount="556">
  <si>
    <t>Database</t>
  </si>
  <si>
    <t>Activity</t>
  </si>
  <si>
    <t>location</t>
  </si>
  <si>
    <t>production amount</t>
  </si>
  <si>
    <t>reference product</t>
  </si>
  <si>
    <t>type</t>
  </si>
  <si>
    <t>unit</t>
  </si>
  <si>
    <t>Exchanges</t>
  </si>
  <si>
    <t>name</t>
  </si>
  <si>
    <t>amount</t>
  </si>
  <si>
    <t>categories</t>
  </si>
  <si>
    <t>comment</t>
  </si>
  <si>
    <t>technosphere</t>
  </si>
  <si>
    <t>kilogram</t>
  </si>
  <si>
    <t>biosphere</t>
  </si>
  <si>
    <t>steel, chromium steel 18/8, hot rolled</t>
  </si>
  <si>
    <t>production</t>
  </si>
  <si>
    <t>GLO</t>
  </si>
  <si>
    <t>market for aluminium, wrought alloy</t>
  </si>
  <si>
    <t>aluminium, wrought alloy</t>
  </si>
  <si>
    <t>market for steel, chromium steel 18/8, hot rolled</t>
  </si>
  <si>
    <t>market for tetrafluoroethylene</t>
  </si>
  <si>
    <t>tetrafluoroethylene</t>
  </si>
  <si>
    <t>market for platinum</t>
  </si>
  <si>
    <t>platinum</t>
  </si>
  <si>
    <t>market for steel, low-alloyed</t>
  </si>
  <si>
    <t>steel, low-alloyed</t>
  </si>
  <si>
    <t>market for polypropylene, granulate</t>
  </si>
  <si>
    <t>polypropylene, granulate</t>
  </si>
  <si>
    <t>electronics, for control units</t>
  </si>
  <si>
    <t>market for electronics, for control units</t>
  </si>
  <si>
    <t>cubic meter</t>
  </si>
  <si>
    <t>h2_pem</t>
  </si>
  <si>
    <t>market group for electricity, low voltage</t>
  </si>
  <si>
    <t>RER</t>
  </si>
  <si>
    <t>kilowatt hour</t>
  </si>
  <si>
    <t>electricity, low voltage</t>
  </si>
  <si>
    <t>Europe without Switzerland</t>
  </si>
  <si>
    <t>Oxygen</t>
  </si>
  <si>
    <t>air</t>
  </si>
  <si>
    <t>reinforcing steel</t>
  </si>
  <si>
    <t>sheet rolling, aluminium</t>
  </si>
  <si>
    <t>sheet rolling, steel</t>
  </si>
  <si>
    <t>tube insulation, elastomere</t>
  </si>
  <si>
    <t>wire drawing, copper</t>
  </si>
  <si>
    <t>CH</t>
  </si>
  <si>
    <t>negative</t>
  </si>
  <si>
    <t>electrolyzer, 1MWe, PEM, Stack</t>
  </si>
  <si>
    <t>electrolyzer, 1MWe, PEM, Balance of Plant</t>
  </si>
  <si>
    <t>BoP, 20 years lifetime.</t>
  </si>
  <si>
    <t>market for electricity, low voltage</t>
  </si>
  <si>
    <t>market for heat, from steam, in chemical industry</t>
  </si>
  <si>
    <t>megajoule</t>
  </si>
  <si>
    <t>heat, from steam, in chemical industry</t>
  </si>
  <si>
    <t xml:space="preserve">A perfect reaction of H2O results in 1 kg H2 and 8 kg O2, and needs 9 kg H2O, however, considering some losses we assume 14 kg H2O (Simoes et al., 2021). </t>
  </si>
  <si>
    <t>electrolyzer production, 1MWe, PEM, Stack</t>
  </si>
  <si>
    <t>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</si>
  <si>
    <t>end plate</t>
  </si>
  <si>
    <t>market for sheet rolling, aluminium</t>
  </si>
  <si>
    <t>market for titanium</t>
  </si>
  <si>
    <t>titanium</t>
  </si>
  <si>
    <t>bipolar plate</t>
  </si>
  <si>
    <t>membrane polymer</t>
  </si>
  <si>
    <t>market for carbon black</t>
  </si>
  <si>
    <t>carbon black</t>
  </si>
  <si>
    <t>electrocatalyst anode</t>
  </si>
  <si>
    <t>iridium</t>
  </si>
  <si>
    <t>electrocatalyst cathode</t>
  </si>
  <si>
    <t>market for copper, cathode</t>
  </si>
  <si>
    <t>copper, cathode</t>
  </si>
  <si>
    <t>current collector</t>
  </si>
  <si>
    <t>market for sheet rolling, copper</t>
  </si>
  <si>
    <t>sheet rolling, copper</t>
  </si>
  <si>
    <t>market for sheet rolling, chromium steel</t>
  </si>
  <si>
    <t>sheet rolling, chromium steel</t>
  </si>
  <si>
    <t>bolts and screws</t>
  </si>
  <si>
    <t>market for synthetic rubber</t>
  </si>
  <si>
    <t>synthetic rubber</t>
  </si>
  <si>
    <t>gasket</t>
  </si>
  <si>
    <t>assembly energy</t>
  </si>
  <si>
    <t>electrolyzer production, 1MWe, PEM, Balance of Plant</t>
  </si>
  <si>
    <t>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t>
  </si>
  <si>
    <t>power electronics (rectifier, voltage adaption)</t>
  </si>
  <si>
    <t>market for reinforcing steel</t>
  </si>
  <si>
    <t>market for sheet rolling, steel</t>
  </si>
  <si>
    <t>market for tube insulation, elastomere</t>
  </si>
  <si>
    <t>market for wire drawing, copper</t>
  </si>
  <si>
    <t>control panels/electronics</t>
  </si>
  <si>
    <t>tubing and pump</t>
  </si>
  <si>
    <t>steel construction element</t>
  </si>
  <si>
    <t>Purification (De-Oxo) &amp; water treatment</t>
  </si>
  <si>
    <t>water-gas separator</t>
  </si>
  <si>
    <t>valve</t>
  </si>
  <si>
    <t>market for injection moulding</t>
  </si>
  <si>
    <t>injection moulding</t>
  </si>
  <si>
    <t>market for lubricating oil</t>
  </si>
  <si>
    <t>lubricating oil</t>
  </si>
  <si>
    <t>back-pressure regulator</t>
  </si>
  <si>
    <t>market for zeolite, powder</t>
  </si>
  <si>
    <t>zeolite, powder</t>
  </si>
  <si>
    <t>ion exchanger</t>
  </si>
  <si>
    <t>heat exchanger</t>
  </si>
  <si>
    <t>market for extrusion, plastic pipes</t>
  </si>
  <si>
    <t>extrusion, plastic pipes</t>
  </si>
  <si>
    <t>water purifier and feed tank</t>
  </si>
  <si>
    <t>market for polyethylene, low density, granulate</t>
  </si>
  <si>
    <t>polyethylene, low density, granulate</t>
  </si>
  <si>
    <t>frequency converter, diaphragm compressor</t>
  </si>
  <si>
    <t>market for cast iron</t>
  </si>
  <si>
    <t>cast iron</t>
  </si>
  <si>
    <t>diaphragm for diaphragm compressor</t>
  </si>
  <si>
    <t>market for ethylene glycol</t>
  </si>
  <si>
    <t>ethylene glycol</t>
  </si>
  <si>
    <t>container with pipes and fittings for compressor</t>
  </si>
  <si>
    <t>buffer tank</t>
  </si>
  <si>
    <t>market for welding, arc, steel</t>
  </si>
  <si>
    <t>meter</t>
  </si>
  <si>
    <t>welding, arc, steel</t>
  </si>
  <si>
    <t>container</t>
  </si>
  <si>
    <t>market for concrete, normal strength</t>
  </si>
  <si>
    <t>concrete, normal strength</t>
  </si>
  <si>
    <t>foundation concrete</t>
  </si>
  <si>
    <t>hydrogen, gaseous, 30 bar</t>
  </si>
  <si>
    <t>electrolyzer, 1MWe, AEC, Stack</t>
  </si>
  <si>
    <t>electrolyzer, 1MWe, AEC, Balance of Plant</t>
  </si>
  <si>
    <t>market for potassium hydroxide</t>
  </si>
  <si>
    <t>potassium hydroxide</t>
  </si>
  <si>
    <t>KOH input</t>
  </si>
  <si>
    <t>electrolyzer production, 1MWe, AEC, Stack</t>
  </si>
  <si>
    <t>1 MWe Alkaline electrolyzer based on Niklas Gerloff, Comparative Life-Cycle-Assessment analysis of three major water electrolysis technologies while applying various energy scenarios for a greener hydrogen production, Journal of Energy Storage, Volume 43, 2021, https://doi.org/10.1016/j.est.2021.102759. Single stack lifetime of 7-8 years @ 8000 hours/year, hence 3 replacements over 20 years. Produced amount of H2 over 20 years: 3085961.12 kg. The technology is available for large plant sizes and operates with a stack efficiency of up to 67 % (based on the lower heating value (LHV) of the generated H2). The operating temperature is in between 60–80 °C, and the current density is around 0.2–0.4 A/cm2. Moreover, the system energy –including the stack and periphery energy– is in the range of 4.4–6.6 kWh/m3H2, while the gas purity is higher than 99.5%, and the operating pressure is below 30 bar. While the LCI data of the BoP components either originate from Zhang et al., based on a 300-kW system and, therefore, scaled-up to 1 MW by a factor of 0.7, the LCI data of the other BoP components originate from manufacturer offers or have been estimated by own calculations using additional information by the producers.  Values have already been multiplied by 3 to reflect 2 stack replacements over 20 years of use.</t>
  </si>
  <si>
    <t>anode and cathode with frame</t>
  </si>
  <si>
    <t>market for nickel, class 1</t>
  </si>
  <si>
    <t>nickel, class 1</t>
  </si>
  <si>
    <t>market for polysulfone</t>
  </si>
  <si>
    <t>polysulfone</t>
  </si>
  <si>
    <t>diaphragm, zirfon</t>
  </si>
  <si>
    <t>market for zirconium oxide</t>
  </si>
  <si>
    <t>zirconium oxide</t>
  </si>
  <si>
    <t>electrolyzer production, 1MWe, AEC, Balance of Plant</t>
  </si>
  <si>
    <t>1 MWe Alkaline electrolyzer based on Niklas Gerloff, Comparative Life-Cycle-Assessment analysis of three major water electrolysis technologies while applying various energy scenarios for a greener hydrogen production, Journal of Energy Storage, Volume 43, 2021, https://doi.org/10.1016/j.est.2021.102759. Single stack lifetime of 7-8 years @ 8000 hours/year, hence 3 replacements over 20 years. Produced amount of H2 over 20 years: 3085961.12 kg. The technology is available for large plant sizes and operates with a stack efficiency of up to 67 % (based on the lower heating value (LHV) of the generated H2). The operating temperature is in between 60–80 °C, and the current density is around 0.2–0.4 A/cm2. Moreover, the system energy –including the stack and periphery energy– is in the range of 4.4–6.6 kWh/m3H2, while the gas purity is higher than 99.5%, and the operating pressure is below 30 bar. While the LCI data of the BoP components either originate from Zhang et al., based on a 300-kW system and, therefore, scaled-up to 1 MW by a factor of 0.7, the LCI data of the other BoP components originate from manufacturer offers or have been estimated by own calculations using additional information by the producers.</t>
  </si>
  <si>
    <t>market for glass fibre</t>
  </si>
  <si>
    <t>glass fibre</t>
  </si>
  <si>
    <t>hydrogen dryer and de-oxidizer</t>
  </si>
  <si>
    <t>tubing and cables</t>
  </si>
  <si>
    <t>water cooling plant for electrolyzer</t>
  </si>
  <si>
    <t>pumps and coolers</t>
  </si>
  <si>
    <t>gas separator</t>
  </si>
  <si>
    <t>steel tank for KOH</t>
  </si>
  <si>
    <t>alkali-resistant rotary pump</t>
  </si>
  <si>
    <t>storage tank</t>
  </si>
  <si>
    <t>electrolyzer, 1MWe, SOEC, Stack</t>
  </si>
  <si>
    <t>electrolyzer, 1MWe, SOEC, Balance of Plant</t>
  </si>
  <si>
    <t>5.24 kWh heat needed/kg H2</t>
  </si>
  <si>
    <t>electrolyzer production, 1MWe, SOEC, Stack</t>
  </si>
  <si>
    <t>air electrode</t>
  </si>
  <si>
    <t>market for praseodymium oxide</t>
  </si>
  <si>
    <t>praseodymium oxide</t>
  </si>
  <si>
    <t>screen printing</t>
  </si>
  <si>
    <t>blocking layer</t>
  </si>
  <si>
    <t>market for samarium-europium-gadolinium oxide</t>
  </si>
  <si>
    <t>samarium-europium-gadolinium oxide</t>
  </si>
  <si>
    <t>market for cerium oxide</t>
  </si>
  <si>
    <t>cerium oxide</t>
  </si>
  <si>
    <t>market for lanthanum oxide</t>
  </si>
  <si>
    <t>lanthanum oxide</t>
  </si>
  <si>
    <t>electrolyte - to check</t>
  </si>
  <si>
    <t>market for strontium carbonate</t>
  </si>
  <si>
    <t>strontium carbonate</t>
  </si>
  <si>
    <t>market for aluminium oxide, metallurgical</t>
  </si>
  <si>
    <t>IAI Area, EU27 &amp; EFTA</t>
  </si>
  <si>
    <t>aluminium oxide, metallurgical</t>
  </si>
  <si>
    <t>electrolyte + H2 electrode</t>
  </si>
  <si>
    <t>market for boric oxide</t>
  </si>
  <si>
    <t>boric oxide</t>
  </si>
  <si>
    <t>market for barium oxide</t>
  </si>
  <si>
    <t>barium oxide</t>
  </si>
  <si>
    <t>market for silicone product</t>
  </si>
  <si>
    <t>silicone product</t>
  </si>
  <si>
    <t>firing of cell</t>
  </si>
  <si>
    <t>electrolyzer production, 1MWe, SOEC, Balance of Plant</t>
  </si>
  <si>
    <t>1 MWe Solid Oxide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Produced amount of H2 over 20 years: 3779894.18 kg.</t>
  </si>
  <si>
    <t>heat exchangers</t>
  </si>
  <si>
    <t>frequency converters</t>
  </si>
  <si>
    <t>diaphragm compressor</t>
  </si>
  <si>
    <t>container with pipes and fittings for diaphragm compressor</t>
  </si>
  <si>
    <t>power electronics (rectifier, voltage adaptation)</t>
  </si>
  <si>
    <t>control electronics</t>
  </si>
  <si>
    <t>mixer</t>
  </si>
  <si>
    <t>splitter</t>
  </si>
  <si>
    <t>flange</t>
  </si>
  <si>
    <t>vessel</t>
  </si>
  <si>
    <t>market for acrylonitrile-butadiene-styrene copolymer</t>
  </si>
  <si>
    <t>acrylonitrile-butadiene-styrene copolymer</t>
  </si>
  <si>
    <t>control panel</t>
  </si>
  <si>
    <t>skid component</t>
  </si>
  <si>
    <t>separator</t>
  </si>
  <si>
    <t>water pump</t>
  </si>
  <si>
    <t>frequency converter -water pump</t>
  </si>
  <si>
    <t xml:space="preserve"> reinforcing steel</t>
  </si>
  <si>
    <t>tubing</t>
  </si>
  <si>
    <t>water purifier &amp; feed tank</t>
  </si>
  <si>
    <t>market for steel, low-alloyed, hot rolled</t>
  </si>
  <si>
    <t>steel, low-alloyed, hot rolled</t>
  </si>
  <si>
    <t>foundation</t>
  </si>
  <si>
    <t>market for scrap steel</t>
  </si>
  <si>
    <t>scrap steel</t>
  </si>
  <si>
    <t>market for scrap aluminium</t>
  </si>
  <si>
    <t>scrap aluminium</t>
  </si>
  <si>
    <t>market for scrap copper</t>
  </si>
  <si>
    <t>scrap copper</t>
  </si>
  <si>
    <t>market for waste plastic, mixture</t>
  </si>
  <si>
    <t>waste plastic, mixture</t>
  </si>
  <si>
    <t>DE</t>
  </si>
  <si>
    <t>market for waste rubber, unspecified</t>
  </si>
  <si>
    <t>waste rubber, unspecified</t>
  </si>
  <si>
    <t>Stack EoL</t>
  </si>
  <si>
    <t>waste reinforcement steel</t>
  </si>
  <si>
    <t>RoW</t>
  </si>
  <si>
    <t>treatment of scrap printed wiring boards, shredding and separation</t>
  </si>
  <si>
    <t>treatment of used cable</t>
  </si>
  <si>
    <t>used cable</t>
  </si>
  <si>
    <t>treatment of waste polyethylene/polypropylene product, collection for final disposal</t>
  </si>
  <si>
    <t>waste bulk iron, excluding reinforcement</t>
  </si>
  <si>
    <t>waste concrete, not reinforced</t>
  </si>
  <si>
    <t>treatment of waste zeolite, inert material landfill</t>
  </si>
  <si>
    <t>BoP EoL</t>
  </si>
  <si>
    <t>market for waste plastic, industrial electronics</t>
  </si>
  <si>
    <t>waste plastic, industrial electronics</t>
  </si>
  <si>
    <t>Manufacturer</t>
  </si>
  <si>
    <t>Model</t>
  </si>
  <si>
    <t>Electrolysis type</t>
  </si>
  <si>
    <t>Minimum power consumption [kW]</t>
  </si>
  <si>
    <t>Rated power [kW]</t>
  </si>
  <si>
    <t>Maximum power consumption [kW]</t>
  </si>
  <si>
    <t>Voltage consumption [V]</t>
  </si>
  <si>
    <t>Type of current [V]</t>
  </si>
  <si>
    <t>Space requirement [m²/kW]</t>
  </si>
  <si>
    <t>Start-up dynamics [s]</t>
  </si>
  <si>
    <t>Water treatment [s]</t>
  </si>
  <si>
    <t>Max. system availability [hours/year]</t>
  </si>
  <si>
    <t>Min. ambient temperature [°C]</t>
  </si>
  <si>
    <t>Max. Ambient temperature [°C]</t>
  </si>
  <si>
    <t>Spec. electricity demand [kWh/Nm³H2]</t>
  </si>
  <si>
    <t>Spec. electricity demand [kWh/kgH2]</t>
  </si>
  <si>
    <t>Spec. Heat demand [MJ/kgH2]</t>
  </si>
  <si>
    <t>Useful heat output [kW/kW]</t>
  </si>
  <si>
    <t>Temperature of useful heat [°C]</t>
  </si>
  <si>
    <t>Electrical efficiency [%, LHV]</t>
  </si>
  <si>
    <t>Total efficiency [%]</t>
  </si>
  <si>
    <t>Minimum stack temperature [°C]</t>
  </si>
  <si>
    <t>Maximum stack temperature [°C]</t>
  </si>
  <si>
    <t>Required water quality [µS/cm]</t>
  </si>
  <si>
    <t>Stack life [h]</t>
  </si>
  <si>
    <t>Maintenance interval [h]</t>
  </si>
  <si>
    <t>H2 quality</t>
  </si>
  <si>
    <t>H2 pressure level [bar]</t>
  </si>
  <si>
    <t>H2 quantity [kg/h]</t>
  </si>
  <si>
    <t>H2 quantity [Nm³/h]</t>
  </si>
  <si>
    <t>Gas treatment</t>
  </si>
  <si>
    <t>H2 quality after treatment</t>
  </si>
  <si>
    <t>Maximum H2 pressure level [bar]</t>
  </si>
  <si>
    <t>Hoeller Electrolyzer_x000D_GmbH</t>
  </si>
  <si>
    <t>Prometheus L_x000D_Stack</t>
  </si>
  <si>
    <t>PEM</t>
  </si>
  <si>
    <t>DC</t>
  </si>
  <si>
    <t>Yes</t>
  </si>
  <si>
    <t>Optional</t>
  </si>
  <si>
    <t>HIAT gGmbH</t>
  </si>
  <si>
    <t>PURIFIER</t>
  </si>
  <si>
    <t>Enapter</t>
  </si>
  <si>
    <t>EL 2.1</t>
  </si>
  <si>
    <t>AEC</t>
  </si>
  <si>
    <t>AC</t>
  </si>
  <si>
    <t>McPhy Energy S.A.</t>
  </si>
  <si>
    <t>Piel Baby</t>
  </si>
  <si>
    <t>ostermeier H2ydrogen_x000D_Solutions GmbH</t>
  </si>
  <si>
    <t>EO.05</t>
  </si>
  <si>
    <t>Piel P</t>
  </si>
  <si>
    <t>H2 Core Systems GmbH</t>
  </si>
  <si>
    <t>HydroCab_x000D_Indoor 2.0_x000D_Nm3/h</t>
  </si>
  <si>
    <t>AC/_x000D_DC</t>
  </si>
  <si>
    <t>HydroCab_x000D_Outdoor 2.0_x000D_Nm3/h</t>
  </si>
  <si>
    <t>CUSTOMIZER</t>
  </si>
  <si>
    <t>EO.10</t>
  </si>
  <si>
    <t>EO.15</t>
  </si>
  <si>
    <t>HydroCab_x000D_Indoor 4.5_x000D_Nm3/h</t>
  </si>
  <si>
    <t>HydroCab_x000D_Outdoor 4.5_x000D_Nm3/h</t>
  </si>
  <si>
    <t>Piel M</t>
  </si>
  <si>
    <t>EO.20</t>
  </si>
  <si>
    <t>AVX/KUMATEC Hydrogen_x000D_GmbH &amp; Co. KG</t>
  </si>
  <si>
    <t>PEM-100-25</t>
  </si>
  <si>
    <t>EO.25</t>
  </si>
  <si>
    <t>SUPPLIER</t>
  </si>
  <si>
    <t>HydroCab_x000D_Indoor 9.0_x000D_Nm3/h</t>
  </si>
  <si>
    <t>HydroCab_x000D_Outdoor 9.0_x000D_Nm3/h</t>
  </si>
  <si>
    <t>McLyzer 10-30</t>
  </si>
  <si>
    <t>Kyros Hydrogen_x000D_Solutions GmbH</t>
  </si>
  <si>
    <t>Kyros_x000D_Electrolyzer 50</t>
  </si>
  <si>
    <t>Piel H</t>
  </si>
  <si>
    <t>HydroCab_x000D_Indoor 18.0_x000D_Nm3/h</t>
  </si>
  <si>
    <t>HydroCab_x000D_Outdoor 18.0_x000D_Nm3/h</t>
  </si>
  <si>
    <t>McLyzer 20-30</t>
  </si>
  <si>
    <t>STORAGER</t>
  </si>
  <si>
    <t>iph Hähn Gmbh</t>
  </si>
  <si>
    <t>EL20</t>
  </si>
  <si>
    <t>PEM-40-100</t>
  </si>
  <si>
    <t>Hydrogenics_x000D_(Cummins Inc.)*</t>
  </si>
  <si>
    <t>HySTAT 10</t>
  </si>
  <si>
    <t>Kyros_x000D_Electrolyzer 100</t>
  </si>
  <si>
    <t>Prometheus S_x000D_Stack</t>
  </si>
  <si>
    <t>HySTAT 15</t>
  </si>
  <si>
    <t>HydroCab_x000D_Indoor 36.0_x000D_Nm3/h</t>
  </si>
  <si>
    <t>HydroCab_x000D_Outdoor 36.0_x000D_Nm3/h</t>
  </si>
  <si>
    <t>Kyros_x000D_Electrolyzer 150</t>
  </si>
  <si>
    <t>EL40</t>
  </si>
  <si>
    <t>Kyros_x000D_Electrolyzer 200</t>
  </si>
  <si>
    <t>Hydrogenics</t>
  </si>
  <si>
    <t>HySTAT 30</t>
  </si>
  <si>
    <t>H-TEC SYSTEMS GmbH</t>
  </si>
  <si>
    <t>ME100/350</t>
  </si>
  <si>
    <t>Kyros_x000D_Electrolyzer 300</t>
  </si>
  <si>
    <t>EL80</t>
  </si>
  <si>
    <t>McLyzer 100-30</t>
  </si>
  <si>
    <t>Multicore MC_x000D_225/450</t>
  </si>
  <si>
    <t>Kyros_x000D_Electrolyzer 450</t>
  </si>
  <si>
    <t>HySTAT 60</t>
  </si>
  <si>
    <t>HySTAT 70</t>
  </si>
  <si>
    <t>ITMPower</t>
  </si>
  <si>
    <t>HGAS1SP</t>
  </si>
  <si>
    <t>Kyros_x000D_Electrolyzer 600</t>
  </si>
  <si>
    <t>HyLyzer 200</t>
  </si>
  <si>
    <t>HySTAT 100</t>
  </si>
  <si>
    <t>Kyros_x000D_Electrolyzer 750</t>
  </si>
  <si>
    <t>McLyzer 200-30</t>
  </si>
  <si>
    <t>Ecoclean GmbH</t>
  </si>
  <si>
    <t>EcoLyzer P200</t>
  </si>
  <si>
    <t>Multicore_x000D_MC450</t>
  </si>
  <si>
    <t>HyLyzer 250</t>
  </si>
  <si>
    <t>PlugPower Inc.</t>
  </si>
  <si>
    <t>1MW_x000D_ELECTROLYZER</t>
  </si>
  <si>
    <t>ME450</t>
  </si>
  <si>
    <t>elogen</t>
  </si>
  <si>
    <t>E200</t>
  </si>
  <si>
    <t>AEM Multicore</t>
  </si>
  <si>
    <t>Fuel Cell Energy</t>
  </si>
  <si>
    <t>Solid Oxide Electrolyzer</t>
  </si>
  <si>
    <t>SOEC</t>
  </si>
  <si>
    <t>SOEC + steam</t>
  </si>
  <si>
    <t>PEM-40-1000</t>
  </si>
  <si>
    <t>EL220</t>
  </si>
  <si>
    <t>Kyros_x000D_Electrolyzer 1000</t>
  </si>
  <si>
    <t>HGAS2SP</t>
  </si>
  <si>
    <t>ME450/1400</t>
  </si>
  <si>
    <t>EcoLyzer A300</t>
  </si>
  <si>
    <t>HyLyzer 400</t>
  </si>
  <si>
    <t>Kyros_x000D_Electrolyzer 1500</t>
  </si>
  <si>
    <t>HyLyzer 500</t>
  </si>
  <si>
    <t>green-H2-systems</t>
  </si>
  <si>
    <t>green_x000D_Electrolyzer_x000D_gEL400</t>
  </si>
  <si>
    <t>McLyzer 400-30</t>
  </si>
  <si>
    <t>EcoLyzer P400</t>
  </si>
  <si>
    <t>HGAS3SP</t>
  </si>
  <si>
    <t>Kyros_x000D_Electrolyzer 2000</t>
  </si>
  <si>
    <t>Sunfire GmbH</t>
  </si>
  <si>
    <t>Sunfire-HyLink_x000D_SOEC</t>
  </si>
  <si>
    <t>E500</t>
  </si>
  <si>
    <t>EcoLyzer A600</t>
  </si>
  <si>
    <t>green_x000D_Electrolyzer_x000D_gEL600</t>
  </si>
  <si>
    <t>green_x000D_Electrolyzer_x000D_gEL800</t>
  </si>
  <si>
    <t>McLyzer 800-30</t>
  </si>
  <si>
    <t>green_x000D_Electrolyzer_x000D_gEL1000</t>
  </si>
  <si>
    <t>E1000</t>
  </si>
  <si>
    <t>5MW_x000D_ELECTROLYZER</t>
  </si>
  <si>
    <t>HyLyzer 1000</t>
  </si>
  <si>
    <t>Bloom</t>
  </si>
  <si>
    <t>Electrolyzer + steam</t>
  </si>
  <si>
    <t>Electrolyzer</t>
  </si>
  <si>
    <t>E2000</t>
  </si>
  <si>
    <t>HGASXMW</t>
  </si>
  <si>
    <t>Sunfire GmbH*</t>
  </si>
  <si>
    <t>Sunfire-HyLink_x000D_Alkaline</t>
  </si>
  <si>
    <t>E3000</t>
  </si>
  <si>
    <t>thyssenkrupp Uhde_x000D_Chlorine Engineers*</t>
  </si>
  <si>
    <t>20 MW module</t>
  </si>
  <si>
    <t>E4000</t>
  </si>
  <si>
    <t>Indoor</t>
  </si>
  <si>
    <t>ALLAGASH ELECTROLYZER STACK 50</t>
  </si>
  <si>
    <t>ALLAGASH ELECTROLYZER STACK 200</t>
  </si>
  <si>
    <t>MERRIMACK ELECTROLYZER STACK 10</t>
  </si>
  <si>
    <t>MERRIMACK ELECTROLYZER STACK 30</t>
  </si>
  <si>
    <t>Siemens Energy</t>
  </si>
  <si>
    <t>Silyzer 300 Minimalbeispiel</t>
  </si>
  <si>
    <t>Silyzer 300 Maximalbeispiel</t>
  </si>
  <si>
    <t>PEMC</t>
  </si>
  <si>
    <t>Source</t>
  </si>
  <si>
    <t>20’000</t>
  </si>
  <si>
    <t>IndWEDe</t>
  </si>
  <si>
    <r>
      <t xml:space="preserve">IndWEDe, </t>
    </r>
    <r>
      <rPr>
        <sz val="10"/>
        <color rgb="FF000000"/>
        <rFont val="Arial"/>
        <family val="2"/>
      </rPr>
      <t>based on the lower estimate of 8,000 hours per year, from manufacturers’ data.</t>
    </r>
  </si>
  <si>
    <t>Balance of Plant lifetime [years]</t>
  </si>
  <si>
    <t>Same as system.</t>
  </si>
  <si>
    <t>From row below.</t>
  </si>
  <si>
    <t>System lifetime [years]</t>
  </si>
  <si>
    <t>Stack replacement over system’s lifetime, excluding initial unit [unit]</t>
  </si>
  <si>
    <t>Calculated.</t>
  </si>
  <si>
    <r>
      <t>Water demand [kg water/kg H</t>
    </r>
    <r>
      <rPr>
        <b/>
        <vertAlign val="subscript"/>
        <sz val="10"/>
        <color theme="1"/>
        <rFont val="Arial"/>
        <family val="2"/>
      </rPr>
      <t>2</t>
    </r>
    <r>
      <rPr>
        <b/>
        <sz val="10"/>
        <color theme="1"/>
        <rFont val="Arial"/>
        <family val="2"/>
      </rPr>
      <t>]</t>
    </r>
  </si>
  <si>
    <t>(Simoes et al. 2021)</t>
  </si>
  <si>
    <r>
      <t>Electricity demand [kWh/kg H</t>
    </r>
    <r>
      <rPr>
        <b/>
        <vertAlign val="subscript"/>
        <sz val="10"/>
        <color theme="1"/>
        <rFont val="Arial"/>
        <family val="2"/>
      </rPr>
      <t>2</t>
    </r>
    <r>
      <rPr>
        <b/>
        <sz val="10"/>
        <color theme="1"/>
        <rFont val="Arial"/>
        <family val="2"/>
      </rPr>
      <t>]</t>
    </r>
  </si>
  <si>
    <t>IndWEDe for all cases, except SOEC + steam, which is based on manufacturers’ data.</t>
  </si>
  <si>
    <t>From row above.</t>
  </si>
  <si>
    <r>
      <t>Steam demand [kWh/kg H</t>
    </r>
    <r>
      <rPr>
        <b/>
        <vertAlign val="subscript"/>
        <sz val="10"/>
        <color theme="1"/>
        <rFont val="Arial"/>
        <family val="2"/>
      </rPr>
      <t>2</t>
    </r>
    <r>
      <rPr>
        <b/>
        <sz val="10"/>
        <color theme="1"/>
        <rFont val="Arial"/>
        <family val="2"/>
      </rPr>
      <t>]</t>
    </r>
  </si>
  <si>
    <t>Manufacturers’ data.</t>
  </si>
  <si>
    <r>
      <t>Productivity [kg H</t>
    </r>
    <r>
      <rPr>
        <b/>
        <vertAlign val="subscript"/>
        <sz val="10"/>
        <color theme="1"/>
        <rFont val="Arial"/>
        <family val="2"/>
      </rPr>
      <t>2</t>
    </r>
    <r>
      <rPr>
        <b/>
        <sz val="10"/>
        <color theme="1"/>
        <rFont val="Arial"/>
        <family val="2"/>
      </rPr>
      <t>/hour]</t>
    </r>
  </si>
  <si>
    <r>
      <t>KOH [kg/kg H</t>
    </r>
    <r>
      <rPr>
        <b/>
        <vertAlign val="subscript"/>
        <sz val="10"/>
        <color theme="1"/>
        <rFont val="Arial"/>
        <family val="2"/>
      </rPr>
      <t>2</t>
    </r>
    <r>
      <rPr>
        <b/>
        <sz val="10"/>
        <color theme="1"/>
        <rFont val="Arial"/>
        <family val="2"/>
      </rPr>
      <t>]</t>
    </r>
  </si>
  <si>
    <t>(Gerloff 2021a)</t>
  </si>
  <si>
    <t>Operating temperature [°C]</t>
  </si>
  <si>
    <t>60-80</t>
  </si>
  <si>
    <t>50-80</t>
  </si>
  <si>
    <t>650-1000</t>
  </si>
  <si>
    <t>Operating pressure [bar]</t>
  </si>
  <si>
    <t>~20</t>
  </si>
  <si>
    <t>~30</t>
  </si>
  <si>
    <t>~1</t>
  </si>
  <si>
    <r>
      <t>Produced amount over system’s lifetime years [kg H</t>
    </r>
    <r>
      <rPr>
        <b/>
        <vertAlign val="subscript"/>
        <sz val="10"/>
        <color theme="1"/>
        <rFont val="Arial"/>
        <family val="2"/>
      </rPr>
      <t>2</t>
    </r>
    <r>
      <rPr>
        <b/>
        <sz val="10"/>
        <color theme="1"/>
        <rFont val="Arial"/>
        <family val="2"/>
      </rPr>
      <t>]</t>
    </r>
  </si>
  <si>
    <t>4,259,200</t>
  </si>
  <si>
    <t>2,963,200</t>
  </si>
  <si>
    <t>3,776,000</t>
  </si>
  <si>
    <t>Calculated based on the system’s lifetime (fourth row), and 8,000 hours stack operation per year (from manufacturers’ data) and hourly productivity.</t>
  </si>
  <si>
    <t>Stack lifetime [hours]</t>
  </si>
  <si>
    <t xml:space="preserve">55’000 </t>
  </si>
  <si>
    <t>Stack lifetime [years]</t>
  </si>
  <si>
    <t>45’000</t>
  </si>
  <si>
    <t>8.9, corrected to 14 to represent “real world” operation.</t>
  </si>
  <si>
    <r>
      <t xml:space="preserve">Electrical Efficiency </t>
    </r>
    <r>
      <rPr>
        <b/>
        <sz val="10"/>
        <color rgb="FF000000"/>
        <rFont val="Arial"/>
        <family val="2"/>
      </rPr>
      <t>[%, based on H</t>
    </r>
    <r>
      <rPr>
        <b/>
        <vertAlign val="subscript"/>
        <sz val="10"/>
        <color rgb="FF000000"/>
        <rFont val="Arial"/>
        <family val="2"/>
      </rPr>
      <t>2</t>
    </r>
    <r>
      <rPr>
        <b/>
        <sz val="10"/>
        <color rgb="FF000000"/>
        <rFont val="Arial"/>
        <family val="2"/>
      </rPr>
      <t xml:space="preserve"> LHV]</t>
    </r>
  </si>
  <si>
    <t>Manufacturers’ data, also matching with (Gerloff 2021a).</t>
  </si>
  <si>
    <t>skip</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</si>
  <si>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</si>
  <si>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1 kg H2 produced using a AEC electrolyzer. Original source: 1 MW AEC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</si>
  <si>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1 kg H2 produced using a SOEC electrolyzer. Original source: 1 MW SOEC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</si>
  <si>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hydrogen production, gaseous, 30 bar, from PEM electrolysis, from grid electricity</t>
  </si>
  <si>
    <t>hydrogen production, gaseous, 20 bar, from AEC electrolysis, from grid electricity</t>
  </si>
  <si>
    <t>hydrogen, gaseous, 20 bar</t>
  </si>
  <si>
    <t>hydrogen production, gaseous, 1 bar, from SOEC electrolysis, from grid electricity</t>
  </si>
  <si>
    <t>hydrogen, gaseous, 1 bar</t>
  </si>
  <si>
    <t>Stack, 2.5 years lifetime.</t>
  </si>
  <si>
    <t>Electricity consumption with 85% eff if steam input, otherwise, 78.7%.</t>
  </si>
  <si>
    <t>hydrogen production, gaseous, 1 bar, from SOEC electrolysis, with steam input, from grid electricity</t>
  </si>
  <si>
    <t>5.24 kWh heat needed/kg H2. Can also be excess heat.</t>
  </si>
  <si>
    <t>waste zeolite</t>
  </si>
  <si>
    <t>market for waste concrete, not reinforced</t>
  </si>
  <si>
    <t>treatment of waste reinforcement steel, sorting plant</t>
  </si>
  <si>
    <t>used printed wiring boards</t>
  </si>
  <si>
    <t>treatment of waste bulk iron, excluding reinforcement, sorting plant</t>
  </si>
  <si>
    <t>waste polyethylene/polypropylene product</t>
  </si>
  <si>
    <t>square meter-year</t>
  </si>
  <si>
    <t>natural resource::land</t>
  </si>
  <si>
    <t xml:space="preserve">1 MWe Solid Oxide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Produced amount of H2 over 20 years: 3779894.18 kg. Amounts of lanthanum oxide and strontium carbonate are unsure. </t>
  </si>
  <si>
    <t>Occupation, industrial area</t>
  </si>
  <si>
    <t>Electrolyser land footprint: (0.09 [m2/kW]*1000[kW/MW])/(2963200[kg H2 per lifetime]/20[years])</t>
  </si>
  <si>
    <t>Transformation, from industrial area</t>
  </si>
  <si>
    <t>square meter</t>
  </si>
  <si>
    <t>Electrolyser land transformation: (0.09 [m2/kW]*1000 [kW/MW])/2963200 [kg H2]</t>
  </si>
  <si>
    <t>Transformation, to industrial area</t>
  </si>
  <si>
    <t>Electrolyser land footprint: (0.12 [m2/kW]*1000[kW/MW])/(4259200[kg H2 per lifetime]/27.5[years])</t>
  </si>
  <si>
    <t>Electrolyser land transformation: (0.12 [m2/kW]*1000 [kW/MW])/4259200 [kg H2]</t>
  </si>
  <si>
    <t>Electrolyser land footprint: (0.02 [m2/kW]*1000[kW/MW])/(3776000[kg H2 per lifetime]/20[years])</t>
  </si>
  <si>
    <t>Electrolyser land transformation: (0.02 [m2/kW]*1000 [kW/MW])/3776000 [kg H2]</t>
  </si>
  <si>
    <t>uncertainty type</t>
  </si>
  <si>
    <t>loc</t>
  </si>
  <si>
    <t>u1</t>
  </si>
  <si>
    <t>u2</t>
  </si>
  <si>
    <t>u3</t>
  </si>
  <si>
    <t>u4</t>
  </si>
  <si>
    <t>u5</t>
  </si>
  <si>
    <t>u6</t>
  </si>
  <si>
    <t>ub</t>
  </si>
  <si>
    <t>scale</t>
  </si>
  <si>
    <t>minimum</t>
  </si>
  <si>
    <t>maximum</t>
  </si>
  <si>
    <t>electrocatalyst cathode. 0.75kg Pt/MWe.</t>
  </si>
  <si>
    <t>platinum group metal, extraction and refinery operations</t>
  </si>
  <si>
    <t>ZA</t>
  </si>
  <si>
    <t>Electricity consumption with 61.7% eff. Min-max from IndWEDe report.</t>
  </si>
  <si>
    <t>Electricity consumption with 64.5% eff. Min-ax from IndWEDe report.</t>
  </si>
  <si>
    <t>Electricity consumption with 85% eff if steam input, otherwise, 78.7%. Min-max from IndWEDe report.</t>
  </si>
  <si>
    <t>Stack, 5.5 years lifetime. Min-max: 15-25 years system lifetime, from the IndWEDe report.</t>
  </si>
  <si>
    <t>BoP, 20 years lifetime. Min-max: 15-25 years system lifetime, from the IndWEDe report.</t>
  </si>
  <si>
    <t>Stack, 7 years lifetime. Min-max: 22.5-32.5 years system lifetime, from the IndWEDe report.</t>
  </si>
  <si>
    <t>BoP, 27.5 years lifetime. Min-max: 22.5-32.5 years system lifetime, from the IndWEDe report.</t>
  </si>
  <si>
    <t>Stack, 2.5 years lifetime, replaced 7 times over 20 years. Min-max: 15-25 years.</t>
  </si>
  <si>
    <t>electricity production, photovoltaic, 570kWp open ground installation, multi-Si</t>
  </si>
  <si>
    <t>ES</t>
  </si>
  <si>
    <t>Electricity consumption with 61.7% eff. Min-max from IndWEDe report. Uses large-scale installation in Spain.</t>
  </si>
  <si>
    <t>electricity production, wind, &gt;3MW turbine, onshore</t>
  </si>
  <si>
    <t>DK</t>
  </si>
  <si>
    <t>electricity, high voltage</t>
  </si>
  <si>
    <t>Electricity consumption with 61.7% eff. Min-max from IndWEDe report. Uses onshore installation in Denmark.</t>
  </si>
  <si>
    <t>hydrogen production, gaseous, 30 bar, from PEM electrolysis, from onshore wind electricity</t>
  </si>
  <si>
    <t>hydrogen production, gaseous, 30 bar, from PEM electrolysis, from offshore wind electricity</t>
  </si>
  <si>
    <t>electricity production, wind, 1-3MW turbine, offshore</t>
  </si>
  <si>
    <t>Electricity consumption with 61.7% eff. Min-max from IndWEDe report. Uses offshore installation in Denmark.</t>
  </si>
  <si>
    <t>hydrogen production, gaseous, 30 bar, from PEM electrolysis, from geothermal electricity</t>
  </si>
  <si>
    <t>electricity production, deep geothermal</t>
  </si>
  <si>
    <t>hydrogen production, gaseous, 30 bar, from PEM electrolysis, from concentrated solar electricity</t>
  </si>
  <si>
    <t>electricity production, solar tower power plant, 20 MW</t>
  </si>
  <si>
    <t>treatment of electrolyzer stack, 1MWe, PEM</t>
  </si>
  <si>
    <t>used electrolyzer stack, 1MWe, PEM</t>
  </si>
  <si>
    <t>treatment of electrolyzer balance of plant, 1MWe, PEM</t>
  </si>
  <si>
    <t>used electrolyzer balance of plant, 1MWe, PEM</t>
  </si>
  <si>
    <t>treatment of electrolyzer stack, 1MWe, AEC</t>
  </si>
  <si>
    <t>used electrolyzer stack, 1MWe, AEC</t>
  </si>
  <si>
    <t>treatment of electrolyzer balance of plant, 1MWe, AEC</t>
  </si>
  <si>
    <t>used electrolyzer balance of plant, 1MWe, AEC</t>
  </si>
  <si>
    <t>treatment of electrolyzer stack, 1MWe, SOEC</t>
  </si>
  <si>
    <t>used electrolyzer stack, 1MWe, SOEC</t>
  </si>
  <si>
    <t>treatment of electrolyzer balance of plant, 1MWe, SOEC</t>
  </si>
  <si>
    <t>used electrolyzer balance of plant, 1MWe, SOEC</t>
  </si>
  <si>
    <t>deionized water production, via reverse osmosis, from brackish water</t>
  </si>
  <si>
    <t>water, deionized</t>
  </si>
  <si>
    <t>market for sulfuric acid</t>
  </si>
  <si>
    <t>sulfuric acid</t>
  </si>
  <si>
    <t>market for sodium hydroxide, without water, in 50% solution state</t>
  </si>
  <si>
    <t>sodium hydroxide, without water, in 50% solution state</t>
  </si>
  <si>
    <t>market for chlorine, liquid</t>
  </si>
  <si>
    <t>chlorine, liquid</t>
  </si>
  <si>
    <t>acrylic dispersion, with water, in 58% solution state</t>
  </si>
  <si>
    <t>Water, river</t>
  </si>
  <si>
    <t>natural resource::in water</t>
  </si>
  <si>
    <t>Low salinity of 1-15 g/L. Recovery ratio of 70%.</t>
  </si>
  <si>
    <t>deionized water production, via reverse osmosis, from sea water</t>
  </si>
  <si>
    <t>Depends on salinity. 1.4-1.7 kWh/m3 of brackish water, with miximum posisble values up to 2.5 kWh.</t>
  </si>
  <si>
    <t>3.6-5.7 kWh/m3 of sea water.</t>
  </si>
  <si>
    <t>1 kg of demineralized and deionized water, from sea water. Adapted from inventories from the following report: LIFE CYCLE ASSESSMENT OF HYDROGEN PRODUCTION PATHWAYS IN CANADA, Giovanna Gonzales-Calienes et al., 2022. https://publications.gc.ca/collections/collection_2022/cnrc-nrc/NR16-399-2022-eng.pdf, but electricity conusmption has been adapted to represent the treatment of high salinity water, based on ﻿Hausmann, J. N., Schlögl, R., Menezes, P. W., &amp; Driess, M. (2021). Is direct seawater splitting economically meaningful? Energy and Environmental Science, 14(7), 3679–3685. https://doi.org/10.1039/d0ee03659e.</t>
  </si>
  <si>
    <t>Water, salt, ocean</t>
  </si>
  <si>
    <t>Recovery rate of 40% for seawater.</t>
  </si>
  <si>
    <t>Water</t>
  </si>
  <si>
    <t>water</t>
  </si>
  <si>
    <t>Brine release</t>
  </si>
  <si>
    <t>market for acrylic dispersion, with water, in 58% solution</t>
  </si>
  <si>
    <t>Chlorine</t>
  </si>
  <si>
    <t>5.2 mg Chlorine (as Cl2)/liter brine.</t>
  </si>
  <si>
    <t>Sodium hydroxide</t>
  </si>
  <si>
    <t>1.7 mg Sodium hydroxide (as NaOH)/liter brine.</t>
  </si>
  <si>
    <t>Sulfuric acid</t>
  </si>
  <si>
    <t>31 mg Sulfuric acid (as H2SO4)/liter brine.</t>
  </si>
  <si>
    <t>1 kg of demineralized and deionized water. Inventories from the following report: Life Cycle Assessment of Hydrogen production pathways in Canada, Giovanna Gonzales-Calienes et al., 2022. 
https://publications.gc.ca/collections/collection_2022/cnrc-nrc/NR16-399-2022-eng.pdf
Description from the report: "The reverse osmosis process was used since it is one of the most common desalination technologies. The energy requirement is highly dependent on the water quality (such as salinity) of the available source since it mainly comes from the use of high-pressure pumps. The quality of feed water is location-dependent for the real plant. In our study, the plant is assumed to be near a river or lake for easy access to fresh water and brine discharge, and hence the water is assumed to be brackish water (salinity of 1-15 g/L), and a brackish water RO (BWRO) rather than the seawater RO is considered.
The recovery ratio of the water (flow rate ratio of generated clean water to the brackish feed water) by BWRO can range from 50% to 90%, depending on the different configurations adopted (Pan et al., 2020).
The average water recovery ratio of 70% was assumed. The energy consumption to produce a unit of deionized water generally can vary from 0.8-2.5 kWh/m3 based on the review of BWRO plants (Pan et al., 2020). A specific energy requirement of 1.55 kWh/m3 is assumed for the RO in this AE plant, which is an average value of 1.4-1.7 kWh/m3 from a RO process with treatment capacity of 360 m3/day (Pan et al., 2020)."
Note: we could not represent the emissions of dissolved salts (~33g/L) and antiscalant (~7mg/L) to water.</t>
  </si>
  <si>
    <t>hydrogen production, gaseous, 30 bar, from PEM electrolysis, from open ground solar photovoltaic electricity</t>
  </si>
  <si>
    <t>hydrogen production, gaseous, 30 bar, from PEM electrolysis, from rooftop solar photovoltaic electricity</t>
  </si>
  <si>
    <t>electricity production, photovoltaic, at 280 kWp flat-roof, single-Si</t>
  </si>
  <si>
    <t>Electricity consumption with 61.7% eff. Min-max from IndWEDe report. Uses large-scale rooftop installation in Switzerland.</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</si>
  <si>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Switzerland, where the electricity is provided by a large rooftop PV installation.</t>
  </si>
  <si>
    <t>hydrogen production, gaseous, 30 bar, from PEM electrolysis, from hydropower electricity</t>
  </si>
  <si>
    <t>electricity production, hydro, reservoir, alpine region</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</si>
  <si>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Denmark, where the electricity is provided by a 1-3 MW onshore wind turbine.</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</si>
  <si>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Denmark, where the electricity is provided by a 1-3 MW offshore wind turbine.</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</si>
  <si>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Germany, where the electricity is provided by a geothermal well.</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</si>
  <si>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Switzerland, where the electricity is provided by an Alpine reservoir-type hydropower dam.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</si>
</sst>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
    <numFmt numFmtId="165" formatCode="0.0"/>
    <numFmt numFmtId="166" formatCode="0.000"/>
  </numFmts>
  <fonts count="15"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Arial"/>
      <family val="2"/>
    </font>
    <font>
      <sz val="11"/>
      <color rgb="FF9C5700"/>
      <name val="Calibri"/>
      <family val="2"/>
      <scheme val="minor"/>
    </font>
    <font>
      <b/>
      <sz val="12"/>
      <color theme="1"/>
      <name val="Calibri"/>
      <family val="2"/>
      <scheme val="minor"/>
    </font>
    <font>
      <b/>
      <sz val="12"/>
      <name val="Calibri (Body)"/>
    </font>
    <font>
      <sz val="12"/>
      <name val="Calibri (Body)"/>
    </font>
    <font>
      <sz val="12"/>
      <name val="Calibri"/>
      <family val="2"/>
      <scheme val="minor"/>
    </font>
    <font>
      <sz val="11"/>
      <color theme="1"/>
      <name val="Arial"/>
      <family val="2"/>
    </font>
    <font>
      <b/>
      <sz val="10"/>
      <color theme="1"/>
      <name val="Arial"/>
      <family val="2"/>
    </font>
    <font>
      <sz val="10"/>
      <color rgb="FF000000"/>
      <name val="Arial"/>
      <family val="2"/>
    </font>
    <font>
      <b/>
      <vertAlign val="subscript"/>
      <sz val="10"/>
      <color theme="1"/>
      <name val="Arial"/>
      <family val="2"/>
    </font>
    <font>
      <b/>
      <sz val="10"/>
      <color rgb="FF000000"/>
      <name val="Arial"/>
      <family val="2"/>
    </font>
    <font>
      <b/>
      <vertAlign val="subscript"/>
      <sz val="10"/>
      <color rgb="FF000000"/>
      <name val="Arial"/>
      <family val="2"/>
    </font>
  </fonts>
  <fills count="3">
    <fill>
      <patternFill patternType="none"/>
    </fill>
    <fill>
      <patternFill patternType="gray125"/>
    </fill>
    <fill>
      <patternFill patternType="solid">
        <fgColor rgb="FFFFEB9C"/>
      </patternFill>
    </fill>
  </fills>
  <borders count="11">
    <border>
      <left/>
      <right/>
      <top/>
      <bottom/>
      <diagonal/>
    </border>
    <border>
      <left/>
      <right style="thin">
        <color indexed="64"/>
      </right>
      <top/>
      <bottom/>
      <diagonal/>
    </border>
    <border>
      <left style="medium">
        <color rgb="FF999999"/>
      </left>
      <right style="medium">
        <color rgb="FF999999"/>
      </right>
      <top style="medium">
        <color rgb="FF999999"/>
      </top>
      <bottom style="thick">
        <color rgb="FF666666"/>
      </bottom>
      <diagonal/>
    </border>
    <border>
      <left/>
      <right style="medium">
        <color rgb="FF999999"/>
      </right>
      <top style="medium">
        <color rgb="FF999999"/>
      </top>
      <bottom style="thick">
        <color rgb="FF666666"/>
      </bottom>
      <diagonal/>
    </border>
    <border>
      <left style="medium">
        <color rgb="FF999999"/>
      </left>
      <right style="medium">
        <color rgb="FF999999"/>
      </right>
      <top/>
      <bottom style="medium">
        <color rgb="FF999999"/>
      </bottom>
      <diagonal/>
    </border>
    <border>
      <left/>
      <right style="medium">
        <color rgb="FF999999"/>
      </right>
      <top/>
      <bottom style="medium">
        <color rgb="FF999999"/>
      </bottom>
      <diagonal/>
    </border>
    <border>
      <left style="medium">
        <color rgb="FF999999"/>
      </left>
      <right/>
      <top style="thick">
        <color rgb="FF666666"/>
      </top>
      <bottom style="medium">
        <color rgb="FF999999"/>
      </bottom>
      <diagonal/>
    </border>
    <border>
      <left/>
      <right style="medium">
        <color rgb="FF999999"/>
      </right>
      <top style="thick">
        <color rgb="FF666666"/>
      </top>
      <bottom style="medium">
        <color rgb="FF999999"/>
      </bottom>
      <diagonal/>
    </border>
    <border>
      <left style="medium">
        <color rgb="FF999999"/>
      </left>
      <right/>
      <top style="medium">
        <color rgb="FF999999"/>
      </top>
      <bottom style="medium">
        <color rgb="FF999999"/>
      </bottom>
      <diagonal/>
    </border>
    <border>
      <left/>
      <right style="medium">
        <color rgb="FF999999"/>
      </right>
      <top style="medium">
        <color rgb="FF999999"/>
      </top>
      <bottom style="medium">
        <color rgb="FF999999"/>
      </bottom>
      <diagonal/>
    </border>
    <border>
      <left/>
      <right/>
      <top style="medium">
        <color rgb="FF999999"/>
      </top>
      <bottom style="medium">
        <color rgb="FF999999"/>
      </bottom>
      <diagonal/>
    </border>
  </borders>
  <cellStyleXfs count="6">
    <xf numFmtId="0" fontId="0" fillId="0" borderId="0"/>
    <xf numFmtId="0" fontId="1" fillId="0" borderId="0"/>
    <xf numFmtId="0" fontId="1" fillId="0" borderId="0"/>
    <xf numFmtId="0" fontId="3" fillId="0" borderId="0"/>
    <xf numFmtId="0" fontId="4" fillId="2" borderId="0" applyNumberFormat="0" applyBorder="0" applyAlignment="0" applyProtection="0"/>
    <xf numFmtId="9" fontId="1" fillId="0" borderId="0" applyFont="0" applyFill="0" applyBorder="0" applyAlignment="0" applyProtection="0"/>
  </cellStyleXfs>
  <cellXfs count="60">
    <xf numFmtId="0" fontId="0" fillId="0" borderId="0" xfId="0"/>
    <xf numFmtId="0" fontId="2" fillId="0" borderId="0" xfId="1" applyFont="1"/>
    <xf numFmtId="0" fontId="1" fillId="0" borderId="0" xfId="1"/>
    <xf numFmtId="0" fontId="1" fillId="0" borderId="0" xfId="0" applyFont="1"/>
    <xf numFmtId="11" fontId="0" fillId="0" borderId="0" xfId="0" applyNumberFormat="1"/>
    <xf numFmtId="0" fontId="1" fillId="0" borderId="1" xfId="1" applyBorder="1"/>
    <xf numFmtId="11" fontId="2" fillId="0" borderId="0" xfId="1" applyNumberFormat="1" applyFont="1"/>
    <xf numFmtId="0" fontId="5" fillId="0" borderId="0" xfId="0" applyFont="1"/>
    <xf numFmtId="0" fontId="6" fillId="0" borderId="0" xfId="1" applyFont="1"/>
    <xf numFmtId="11" fontId="6" fillId="0" borderId="0" xfId="0" applyNumberFormat="1" applyFont="1"/>
    <xf numFmtId="0" fontId="7" fillId="0" borderId="0" xfId="2" applyFont="1"/>
    <xf numFmtId="0" fontId="7" fillId="0" borderId="0" xfId="0" applyFont="1"/>
    <xf numFmtId="2" fontId="7" fillId="0" borderId="0" xfId="0" applyNumberFormat="1" applyFont="1"/>
    <xf numFmtId="0" fontId="7" fillId="0" borderId="0" xfId="1" applyFont="1"/>
    <xf numFmtId="11" fontId="7" fillId="0" borderId="0" xfId="1" applyNumberFormat="1" applyFont="1" applyAlignment="1">
      <alignment horizontal="left"/>
    </xf>
    <xf numFmtId="11" fontId="7" fillId="0" borderId="0" xfId="4" applyNumberFormat="1" applyFont="1" applyFill="1"/>
    <xf numFmtId="11" fontId="7" fillId="0" borderId="0" xfId="0" applyNumberFormat="1" applyFont="1"/>
    <xf numFmtId="0" fontId="6" fillId="0" borderId="0" xfId="0" applyFont="1"/>
    <xf numFmtId="2" fontId="5" fillId="0" borderId="0" xfId="0" applyNumberFormat="1" applyFont="1"/>
    <xf numFmtId="2" fontId="0" fillId="0" borderId="0" xfId="0" applyNumberFormat="1"/>
    <xf numFmtId="0" fontId="8" fillId="0" borderId="0" xfId="0" applyFont="1"/>
    <xf numFmtId="0" fontId="7" fillId="0" borderId="0" xfId="4" applyFont="1" applyFill="1"/>
    <xf numFmtId="0" fontId="7" fillId="0" borderId="0" xfId="4" applyFont="1" applyFill="1" applyBorder="1"/>
    <xf numFmtId="0" fontId="6" fillId="0" borderId="0" xfId="2" applyFont="1"/>
    <xf numFmtId="2" fontId="7" fillId="0" borderId="0" xfId="1" applyNumberFormat="1" applyFont="1" applyAlignment="1">
      <alignment wrapText="1"/>
    </xf>
    <xf numFmtId="2" fontId="7" fillId="0" borderId="0" xfId="2" quotePrefix="1" applyNumberFormat="1" applyFont="1"/>
    <xf numFmtId="2" fontId="7" fillId="0" borderId="0" xfId="2" applyNumberFormat="1" applyFont="1"/>
    <xf numFmtId="0" fontId="7" fillId="0" borderId="1" xfId="2" applyFont="1" applyBorder="1"/>
    <xf numFmtId="0" fontId="7" fillId="0" borderId="0" xfId="0" applyFont="1" applyAlignment="1">
      <alignment horizontal="left" vertical="center"/>
    </xf>
    <xf numFmtId="11" fontId="7" fillId="0" borderId="0" xfId="2" applyNumberFormat="1" applyFont="1"/>
    <xf numFmtId="0" fontId="5" fillId="0" borderId="0" xfId="0" applyFont="1" applyAlignment="1">
      <alignment horizontal="left" vertical="center" wrapText="1"/>
    </xf>
    <xf numFmtId="164" fontId="0" fillId="0" borderId="0" xfId="0" applyNumberFormat="1"/>
    <xf numFmtId="165" fontId="0" fillId="0" borderId="0" xfId="0" applyNumberFormat="1"/>
    <xf numFmtId="166" fontId="0" fillId="0" borderId="0" xfId="0" applyNumberFormat="1"/>
    <xf numFmtId="2" fontId="0" fillId="0" borderId="0" xfId="5" applyNumberFormat="1" applyFont="1"/>
    <xf numFmtId="0" fontId="9" fillId="0" borderId="2" xfId="0" applyFont="1" applyBorder="1" applyAlignment="1">
      <alignment vertical="top"/>
    </xf>
    <xf numFmtId="0" fontId="10" fillId="0" borderId="3" xfId="0" applyFont="1" applyBorder="1" applyAlignment="1">
      <alignment vertical="center"/>
    </xf>
    <xf numFmtId="0" fontId="10" fillId="0" borderId="3" xfId="0" applyFont="1" applyBorder="1" applyAlignment="1">
      <alignment vertical="center" wrapText="1"/>
    </xf>
    <xf numFmtId="0" fontId="3" fillId="0" borderId="5" xfId="0" applyFont="1" applyBorder="1" applyAlignment="1">
      <alignment vertical="center" wrapText="1"/>
    </xf>
    <xf numFmtId="0" fontId="3" fillId="0" borderId="5" xfId="0" applyFont="1" applyBorder="1" applyAlignment="1">
      <alignment vertical="center"/>
    </xf>
    <xf numFmtId="0" fontId="11" fillId="0" borderId="5" xfId="0" applyFont="1" applyBorder="1" applyAlignment="1">
      <alignment vertical="center" wrapText="1"/>
    </xf>
    <xf numFmtId="0" fontId="10" fillId="0" borderId="4" xfId="0" applyFont="1" applyBorder="1" applyAlignment="1">
      <alignment vertical="center"/>
    </xf>
    <xf numFmtId="10" fontId="3" fillId="0" borderId="5" xfId="0" applyNumberFormat="1" applyFont="1" applyBorder="1" applyAlignment="1">
      <alignment vertical="center"/>
    </xf>
    <xf numFmtId="9" fontId="11" fillId="0" borderId="5" xfId="0" applyNumberFormat="1" applyFont="1" applyBorder="1" applyAlignment="1">
      <alignment vertical="center" wrapText="1"/>
    </xf>
    <xf numFmtId="0" fontId="11" fillId="0" borderId="5" xfId="0" applyFont="1" applyBorder="1" applyAlignment="1">
      <alignment vertical="center"/>
    </xf>
    <xf numFmtId="0" fontId="9" fillId="0" borderId="5" xfId="0" applyFont="1" applyBorder="1" applyAlignment="1">
      <alignment vertical="center"/>
    </xf>
    <xf numFmtId="0" fontId="10" fillId="0" borderId="4" xfId="0" applyFont="1" applyBorder="1" applyAlignment="1">
      <alignment vertical="center" wrapText="1"/>
    </xf>
    <xf numFmtId="0" fontId="7" fillId="0" borderId="0" xfId="4" applyFont="1" applyFill="1" applyAlignment="1"/>
    <xf numFmtId="11" fontId="7" fillId="0" borderId="0" xfId="4" applyNumberFormat="1" applyFont="1" applyFill="1" applyAlignment="1"/>
    <xf numFmtId="0" fontId="3" fillId="0" borderId="8" xfId="0" applyFont="1" applyBorder="1" applyAlignment="1">
      <alignment vertical="center"/>
    </xf>
    <xf numFmtId="0" fontId="3" fillId="0" borderId="9" xfId="0" applyFont="1" applyBorder="1" applyAlignment="1">
      <alignment vertical="center"/>
    </xf>
    <xf numFmtId="0" fontId="9" fillId="0" borderId="8" xfId="0" applyFont="1" applyBorder="1" applyAlignment="1">
      <alignment vertical="center"/>
    </xf>
    <xf numFmtId="0" fontId="9" fillId="0" borderId="9" xfId="0" applyFont="1" applyBorder="1" applyAlignment="1">
      <alignment vertical="center"/>
    </xf>
    <xf numFmtId="0" fontId="11" fillId="0" borderId="8" xfId="0" applyFont="1" applyBorder="1" applyAlignment="1">
      <alignment vertical="center"/>
    </xf>
    <xf numFmtId="0" fontId="11" fillId="0" borderId="9" xfId="0" applyFont="1" applyBorder="1" applyAlignment="1">
      <alignment vertical="center"/>
    </xf>
    <xf numFmtId="0" fontId="3" fillId="0" borderId="10" xfId="0" applyFont="1" applyBorder="1" applyAlignment="1">
      <alignment vertical="center"/>
    </xf>
    <xf numFmtId="0" fontId="3" fillId="0" borderId="6" xfId="0" applyFont="1" applyBorder="1" applyAlignment="1">
      <alignment vertical="center" wrapText="1"/>
    </xf>
    <xf numFmtId="0" fontId="3" fillId="0" borderId="7" xfId="0" applyFont="1" applyBorder="1" applyAlignment="1">
      <alignment vertical="center" wrapText="1"/>
    </xf>
    <xf numFmtId="0" fontId="3" fillId="0" borderId="8" xfId="0" applyFont="1" applyBorder="1" applyAlignment="1">
      <alignment vertical="center" wrapText="1"/>
    </xf>
    <xf numFmtId="0" fontId="3" fillId="0" borderId="9" xfId="0" applyFont="1" applyBorder="1" applyAlignment="1">
      <alignment vertical="center" wrapText="1"/>
    </xf>
  </cellXfs>
  <cellStyles count="6">
    <cellStyle name="Neutral" xfId="4" builtinId="28"/>
    <cellStyle name="Normal" xfId="0" builtinId="0"/>
    <cellStyle name="Normal 11 3" xfId="1" xr:uid="{00000000-0005-0000-0000-000002000000}"/>
    <cellStyle name="Normal 2" xfId="2" xr:uid="{00000000-0005-0000-0000-000003000000}"/>
    <cellStyle name="Normal 3" xfId="3" xr:uid="{00000000-0005-0000-0000-000004000000}"/>
    <cellStyle name="Percent" xfId="5"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209"/>
  <sheetViews>
    <sheetView tabSelected="1" topLeftCell="A102" zoomScaleNormal="100" workbookViewId="0">
      <selection activeCell="B123" sqref="B123"/>
    </sheetView>
  </sheetViews>
  <sheetFormatPr baseColWidth="10" defaultColWidth="8.83203125" defaultRowHeight="15" x14ac:dyDescent="0.2"/>
  <cols>
    <col min="1" max="1" width="55.1640625" customWidth="1"/>
    <col min="2" max="2" width="40.83203125" style="4" customWidth="1"/>
    <col min="3" max="3" width="17.1640625" customWidth="1"/>
    <col min="4" max="4" width="24.33203125" bestFit="1" customWidth="1"/>
    <col min="5" max="5" width="26.5" customWidth="1"/>
    <col min="6" max="6" width="14.83203125" bestFit="1" customWidth="1"/>
    <col min="7" max="7" width="33.5" bestFit="1" customWidth="1"/>
    <col min="8" max="8" width="15.5" customWidth="1"/>
    <col min="9" max="9" width="20.6640625" customWidth="1"/>
    <col min="10" max="10" width="8.6640625" customWidth="1"/>
    <col min="19" max="20" width="12.83203125" bestFit="1" customWidth="1"/>
  </cols>
  <sheetData>
    <row r="1" spans="1:21" x14ac:dyDescent="0.2">
      <c r="A1" s="1" t="s">
        <v>0</v>
      </c>
      <c r="B1" s="6" t="s">
        <v>32</v>
      </c>
      <c r="C1" s="2"/>
      <c r="D1" s="2"/>
      <c r="E1" s="2"/>
      <c r="F1" s="2"/>
      <c r="G1" s="2"/>
      <c r="H1" s="2"/>
      <c r="I1" s="5"/>
      <c r="K1" s="3"/>
    </row>
    <row r="2" spans="1:21" x14ac:dyDescent="0.2">
      <c r="A2" s="1"/>
      <c r="B2" s="6"/>
      <c r="C2" s="2"/>
      <c r="D2" s="2"/>
      <c r="E2" s="2"/>
      <c r="F2" s="2"/>
      <c r="G2" s="2"/>
      <c r="H2" s="2"/>
      <c r="I2" s="5"/>
      <c r="K2" s="3"/>
    </row>
    <row r="3" spans="1:21" s="11" customFormat="1" ht="16" x14ac:dyDescent="0.2">
      <c r="A3" s="8" t="s">
        <v>1</v>
      </c>
      <c r="B3" s="9" t="s">
        <v>438</v>
      </c>
      <c r="C3" s="10"/>
      <c r="K3" s="12"/>
      <c r="L3" s="12"/>
      <c r="M3" s="12"/>
      <c r="N3" s="12"/>
      <c r="O3" s="12"/>
      <c r="P3" s="12"/>
    </row>
    <row r="4" spans="1:21" s="11" customFormat="1" ht="16" x14ac:dyDescent="0.2">
      <c r="A4" s="13" t="s">
        <v>3</v>
      </c>
      <c r="B4" s="14">
        <v>1</v>
      </c>
      <c r="K4" s="12"/>
      <c r="L4" s="12"/>
      <c r="M4" s="12"/>
      <c r="N4" s="12"/>
      <c r="O4" s="12"/>
      <c r="P4" s="12"/>
    </row>
    <row r="5" spans="1:21" s="11" customFormat="1" ht="16" x14ac:dyDescent="0.2">
      <c r="A5" s="13" t="s">
        <v>11</v>
      </c>
      <c r="B5" s="14" t="s">
        <v>435</v>
      </c>
      <c r="K5" s="12"/>
      <c r="L5" s="12"/>
      <c r="M5" s="12"/>
      <c r="N5" s="12"/>
      <c r="O5" s="12"/>
      <c r="P5" s="12"/>
    </row>
    <row r="6" spans="1:21" s="11" customFormat="1" ht="16" x14ac:dyDescent="0.2">
      <c r="A6" s="13" t="s">
        <v>4</v>
      </c>
      <c r="B6" s="15" t="s">
        <v>122</v>
      </c>
      <c r="K6" s="12"/>
      <c r="L6" s="12"/>
      <c r="M6" s="12"/>
      <c r="N6" s="12"/>
      <c r="O6" s="12"/>
      <c r="P6" s="12"/>
    </row>
    <row r="7" spans="1:21" s="11" customFormat="1" ht="16" x14ac:dyDescent="0.2">
      <c r="A7" s="13" t="s">
        <v>2</v>
      </c>
      <c r="B7" s="14" t="s">
        <v>34</v>
      </c>
      <c r="K7" s="12"/>
      <c r="L7" s="12"/>
      <c r="M7" s="12"/>
      <c r="N7" s="12"/>
      <c r="O7" s="12"/>
      <c r="P7" s="12"/>
    </row>
    <row r="8" spans="1:21" s="11" customFormat="1" ht="16" x14ac:dyDescent="0.2">
      <c r="A8" s="13" t="s">
        <v>6</v>
      </c>
      <c r="B8" s="16" t="s">
        <v>13</v>
      </c>
      <c r="H8" s="17"/>
      <c r="I8" s="17"/>
      <c r="J8" s="17"/>
      <c r="K8" s="12"/>
      <c r="L8" s="12"/>
      <c r="M8" s="12"/>
      <c r="N8" s="12"/>
      <c r="O8" s="12"/>
      <c r="P8" s="12"/>
    </row>
    <row r="9" spans="1:21" s="11" customFormat="1" ht="16" x14ac:dyDescent="0.2">
      <c r="A9" s="17" t="s">
        <v>7</v>
      </c>
      <c r="B9" s="9"/>
      <c r="C9" s="17"/>
      <c r="D9" s="17"/>
      <c r="E9" s="17"/>
      <c r="F9" s="17"/>
      <c r="G9" s="17"/>
      <c r="H9" s="10"/>
      <c r="I9" s="10"/>
      <c r="J9" s="10"/>
      <c r="K9" s="12"/>
      <c r="L9" s="12"/>
      <c r="M9" s="12"/>
      <c r="N9" s="12"/>
      <c r="O9" s="12"/>
      <c r="P9" s="12"/>
    </row>
    <row r="10" spans="1:21" s="11" customFormat="1" ht="16" x14ac:dyDescent="0.2">
      <c r="A10" s="17" t="s">
        <v>8</v>
      </c>
      <c r="B10" s="17" t="s">
        <v>9</v>
      </c>
      <c r="C10" s="17" t="s">
        <v>2</v>
      </c>
      <c r="D10" s="17" t="s">
        <v>6</v>
      </c>
      <c r="E10" s="17" t="s">
        <v>10</v>
      </c>
      <c r="F10" s="17" t="s">
        <v>5</v>
      </c>
      <c r="G10" s="17" t="s">
        <v>4</v>
      </c>
      <c r="H10" s="17" t="s">
        <v>11</v>
      </c>
      <c r="I10" s="17" t="s">
        <v>466</v>
      </c>
      <c r="J10" s="7" t="s">
        <v>467</v>
      </c>
      <c r="K10" s="18" t="s">
        <v>468</v>
      </c>
      <c r="L10" s="18" t="s">
        <v>469</v>
      </c>
      <c r="M10" s="18" t="s">
        <v>470</v>
      </c>
      <c r="N10" s="18" t="s">
        <v>471</v>
      </c>
      <c r="O10" s="18" t="s">
        <v>472</v>
      </c>
      <c r="P10" s="18" t="s">
        <v>473</v>
      </c>
      <c r="Q10" s="7" t="s">
        <v>474</v>
      </c>
      <c r="R10" s="7" t="s">
        <v>475</v>
      </c>
      <c r="S10" s="17" t="s">
        <v>476</v>
      </c>
      <c r="T10" s="7" t="s">
        <v>477</v>
      </c>
      <c r="U10" s="17" t="s">
        <v>46</v>
      </c>
    </row>
    <row r="11" spans="1:21" s="11" customFormat="1" ht="16" x14ac:dyDescent="0.2">
      <c r="A11" s="16" t="s">
        <v>438</v>
      </c>
      <c r="B11" s="16">
        <v>1</v>
      </c>
      <c r="C11" s="11" t="str">
        <f>B7</f>
        <v>RER</v>
      </c>
      <c r="D11" s="11" t="str">
        <f>B8</f>
        <v>kilogram</v>
      </c>
      <c r="E11" s="10"/>
      <c r="F11" s="11" t="s">
        <v>16</v>
      </c>
      <c r="G11" s="11" t="s">
        <v>122</v>
      </c>
      <c r="H11" s="10"/>
      <c r="I11" s="10">
        <v>0</v>
      </c>
      <c r="K11" s="12"/>
      <c r="L11" s="12"/>
      <c r="M11" s="12"/>
      <c r="N11" s="12"/>
      <c r="O11" s="12"/>
      <c r="P11" s="12"/>
      <c r="T11"/>
    </row>
    <row r="12" spans="1:21" s="11" customFormat="1" ht="16" x14ac:dyDescent="0.2">
      <c r="A12" s="16" t="str">
        <f>B163</f>
        <v>electrolyzer production, 1MWe, PEM, Stack</v>
      </c>
      <c r="B12" s="11">
        <f>(1/2963200)*4</f>
        <v>1.3498920086393089E-6</v>
      </c>
      <c r="C12" s="11" t="s">
        <v>34</v>
      </c>
      <c r="D12" s="11" t="s">
        <v>6</v>
      </c>
      <c r="F12" s="11" t="s">
        <v>12</v>
      </c>
      <c r="G12" s="11" t="s">
        <v>47</v>
      </c>
      <c r="H12" s="11" t="s">
        <v>484</v>
      </c>
      <c r="I12" s="11">
        <v>5</v>
      </c>
      <c r="J12">
        <f>B12</f>
        <v>1.3498920086393089E-6</v>
      </c>
      <c r="K12" s="19"/>
      <c r="L12" s="19"/>
      <c r="M12" s="19"/>
      <c r="N12" s="19"/>
      <c r="O12" s="19"/>
      <c r="P12" s="19"/>
      <c r="Q12"/>
      <c r="R12"/>
      <c r="S12" s="11">
        <f>(1/(25*8000*18.52))*4</f>
        <v>1.0799136069114471E-6</v>
      </c>
      <c r="T12" s="11">
        <f>(1/(15*8000*18.52))*4</f>
        <v>1.7998560115190784E-6</v>
      </c>
    </row>
    <row r="13" spans="1:21" s="11" customFormat="1" ht="16" x14ac:dyDescent="0.2">
      <c r="A13" s="16" t="str">
        <f>B202</f>
        <v>electrolyzer production, 1MWe, PEM, Balance of Plant</v>
      </c>
      <c r="B13" s="11">
        <f>1/2963200</f>
        <v>3.3747300215982723E-7</v>
      </c>
      <c r="C13" s="11" t="s">
        <v>34</v>
      </c>
      <c r="D13" s="11" t="s">
        <v>6</v>
      </c>
      <c r="F13" s="11" t="s">
        <v>12</v>
      </c>
      <c r="G13" s="11" t="s">
        <v>48</v>
      </c>
      <c r="H13" s="11" t="s">
        <v>485</v>
      </c>
      <c r="I13" s="11">
        <v>5</v>
      </c>
      <c r="J13">
        <f>B13</f>
        <v>3.3747300215982723E-7</v>
      </c>
      <c r="K13" s="19"/>
      <c r="L13" s="19"/>
      <c r="M13" s="19"/>
      <c r="N13" s="19"/>
      <c r="O13" s="19"/>
      <c r="P13" s="19"/>
      <c r="Q13"/>
      <c r="R13"/>
      <c r="S13" s="11">
        <f>(1/(25*8000*18.52))</f>
        <v>2.6997840172786177E-7</v>
      </c>
      <c r="T13" s="11">
        <f>(1/(15*8000*18.52))</f>
        <v>4.4996400287976961E-7</v>
      </c>
    </row>
    <row r="14" spans="1:21" s="11" customFormat="1" ht="16" x14ac:dyDescent="0.2">
      <c r="A14" s="16" t="s">
        <v>504</v>
      </c>
      <c r="B14" s="11">
        <f>B12*-1</f>
        <v>-1.3498920086393089E-6</v>
      </c>
      <c r="C14" s="11" t="s">
        <v>34</v>
      </c>
      <c r="D14" s="11" t="s">
        <v>6</v>
      </c>
      <c r="F14" s="11" t="s">
        <v>12</v>
      </c>
      <c r="G14" s="11" t="s">
        <v>505</v>
      </c>
      <c r="H14" s="11" t="s">
        <v>215</v>
      </c>
      <c r="I14" s="11">
        <v>5</v>
      </c>
      <c r="J14">
        <f>B14</f>
        <v>-1.3498920086393089E-6</v>
      </c>
      <c r="K14" s="19"/>
      <c r="L14" s="19"/>
      <c r="M14" s="19"/>
      <c r="N14" s="19"/>
      <c r="O14" s="19"/>
      <c r="P14" s="19"/>
      <c r="Q14"/>
      <c r="R14"/>
      <c r="S14" s="11">
        <f>-1*T12</f>
        <v>-1.7998560115190784E-6</v>
      </c>
      <c r="T14" s="11">
        <f>-1*S12</f>
        <v>-1.0799136069114471E-6</v>
      </c>
      <c r="U14" s="11" t="b">
        <v>1</v>
      </c>
    </row>
    <row r="15" spans="1:21" s="11" customFormat="1" ht="16" x14ac:dyDescent="0.2">
      <c r="A15" s="16" t="s">
        <v>506</v>
      </c>
      <c r="B15" s="11">
        <f>-1*B13</f>
        <v>-3.3747300215982723E-7</v>
      </c>
      <c r="C15" s="11" t="s">
        <v>34</v>
      </c>
      <c r="D15" s="11" t="s">
        <v>6</v>
      </c>
      <c r="F15" s="11" t="s">
        <v>12</v>
      </c>
      <c r="G15" s="11" t="s">
        <v>507</v>
      </c>
      <c r="H15" s="11" t="s">
        <v>225</v>
      </c>
      <c r="I15" s="11">
        <v>5</v>
      </c>
      <c r="J15">
        <f>B15</f>
        <v>-3.3747300215982723E-7</v>
      </c>
      <c r="K15" s="19"/>
      <c r="L15" s="19"/>
      <c r="M15" s="19"/>
      <c r="N15" s="19"/>
      <c r="O15" s="19"/>
      <c r="P15" s="19"/>
      <c r="Q15"/>
      <c r="R15"/>
      <c r="S15" s="11">
        <f>-1*T13</f>
        <v>-4.4996400287976961E-7</v>
      </c>
      <c r="T15" s="11">
        <f>-1*S13</f>
        <v>-2.6997840172786177E-7</v>
      </c>
      <c r="U15" s="11" t="b">
        <v>1</v>
      </c>
    </row>
    <row r="16" spans="1:21" s="11" customFormat="1" ht="16" x14ac:dyDescent="0.2">
      <c r="A16" s="13" t="s">
        <v>33</v>
      </c>
      <c r="B16" s="16">
        <v>54</v>
      </c>
      <c r="C16" s="11" t="s">
        <v>34</v>
      </c>
      <c r="D16" s="11" t="s">
        <v>35</v>
      </c>
      <c r="E16" s="10"/>
      <c r="F16" s="11" t="s">
        <v>12</v>
      </c>
      <c r="G16" s="11" t="s">
        <v>36</v>
      </c>
      <c r="H16" s="10" t="s">
        <v>481</v>
      </c>
      <c r="I16" s="11">
        <v>5</v>
      </c>
      <c r="J16" s="4">
        <f>B16</f>
        <v>54</v>
      </c>
      <c r="K16" s="19"/>
      <c r="L16" s="19"/>
      <c r="M16" s="19"/>
      <c r="N16" s="19"/>
      <c r="O16" s="19"/>
      <c r="P16" s="19"/>
      <c r="Q16"/>
      <c r="R16"/>
      <c r="S16" s="11">
        <v>52.9</v>
      </c>
      <c r="T16" s="11">
        <v>55.1</v>
      </c>
    </row>
    <row r="17" spans="1:21" s="11" customFormat="1" ht="16" x14ac:dyDescent="0.2">
      <c r="A17" s="13" t="s">
        <v>516</v>
      </c>
      <c r="B17" s="16">
        <v>14</v>
      </c>
      <c r="C17" s="11" t="s">
        <v>34</v>
      </c>
      <c r="D17" s="11" t="s">
        <v>13</v>
      </c>
      <c r="F17" s="11" t="s">
        <v>12</v>
      </c>
      <c r="G17" s="11" t="s">
        <v>517</v>
      </c>
      <c r="H17" s="20" t="s">
        <v>54</v>
      </c>
      <c r="I17" s="11">
        <v>0</v>
      </c>
      <c r="J17"/>
      <c r="K17" s="19"/>
      <c r="L17" s="19"/>
      <c r="M17" s="19"/>
      <c r="N17" s="19"/>
      <c r="O17" s="19"/>
      <c r="P17" s="19"/>
      <c r="Q17"/>
      <c r="R17"/>
    </row>
    <row r="18" spans="1:21" s="11" customFormat="1" ht="16" x14ac:dyDescent="0.2">
      <c r="A18" s="21" t="s">
        <v>38</v>
      </c>
      <c r="B18" s="15">
        <v>8</v>
      </c>
      <c r="C18" s="21"/>
      <c r="D18" s="21" t="s">
        <v>13</v>
      </c>
      <c r="E18" s="21" t="s">
        <v>39</v>
      </c>
      <c r="F18" s="21" t="s">
        <v>14</v>
      </c>
      <c r="G18" s="21"/>
      <c r="H18" s="22"/>
      <c r="I18" s="11">
        <v>0</v>
      </c>
      <c r="J18"/>
      <c r="K18" s="19"/>
      <c r="L18" s="19"/>
      <c r="M18" s="19"/>
      <c r="N18" s="19"/>
      <c r="O18" s="19"/>
      <c r="P18" s="19"/>
      <c r="Q18" s="19"/>
      <c r="R18"/>
    </row>
    <row r="19" spans="1:21" s="11" customFormat="1" ht="16" x14ac:dyDescent="0.2">
      <c r="A19" s="47" t="s">
        <v>456</v>
      </c>
      <c r="B19" s="48">
        <f>(0.09*1000)/(2963200/20)</f>
        <v>6.0745140388768898E-4</v>
      </c>
      <c r="C19" s="47"/>
      <c r="D19" s="47" t="s">
        <v>453</v>
      </c>
      <c r="E19" s="47" t="s">
        <v>454</v>
      </c>
      <c r="F19" s="47" t="s">
        <v>14</v>
      </c>
      <c r="H19" s="47" t="s">
        <v>457</v>
      </c>
      <c r="I19" s="11">
        <v>2</v>
      </c>
      <c r="J19">
        <f t="shared" ref="J19:J21" si="0">LN(B19)</f>
        <v>-7.4062383795497411</v>
      </c>
      <c r="K19" s="19">
        <v>1.05</v>
      </c>
      <c r="L19" s="19">
        <v>1.1000000000000001</v>
      </c>
      <c r="M19" s="19">
        <v>1</v>
      </c>
      <c r="N19" s="19">
        <v>1.02</v>
      </c>
      <c r="O19" s="19">
        <v>1.2</v>
      </c>
      <c r="P19" s="19">
        <v>1.2</v>
      </c>
      <c r="Q19" s="19">
        <v>1.5</v>
      </c>
      <c r="R19">
        <f t="shared" ref="R19:R21" si="1">LN(SQRT(EXP(
SQRT(
+POWER(LN(K19),2)
+POWER(LN(L19),2)
+POWER(LN(M19),2)
+POWER(LN(N19),2)
+POWER(LN(O19),2)
+POWER(LN(P19),2)
+POWER(LN(Q19),2)
)
)))</f>
        <v>0.24634371748562628</v>
      </c>
    </row>
    <row r="20" spans="1:21" s="11" customFormat="1" ht="16" x14ac:dyDescent="0.2">
      <c r="A20" s="47" t="s">
        <v>458</v>
      </c>
      <c r="B20" s="48">
        <f>(0.09*1000)/2963200</f>
        <v>3.0372570194384448E-5</v>
      </c>
      <c r="C20" s="47"/>
      <c r="D20" s="47" t="s">
        <v>459</v>
      </c>
      <c r="E20" s="47" t="s">
        <v>454</v>
      </c>
      <c r="F20" s="47" t="s">
        <v>14</v>
      </c>
      <c r="H20" s="47" t="s">
        <v>460</v>
      </c>
      <c r="I20" s="11">
        <v>2</v>
      </c>
      <c r="J20">
        <f t="shared" si="0"/>
        <v>-10.401970653103731</v>
      </c>
      <c r="K20" s="19">
        <v>1.05</v>
      </c>
      <c r="L20" s="19">
        <v>1.1000000000000001</v>
      </c>
      <c r="M20" s="19">
        <v>1</v>
      </c>
      <c r="N20" s="19">
        <v>1.02</v>
      </c>
      <c r="O20" s="19">
        <v>1.2</v>
      </c>
      <c r="P20" s="19">
        <v>1.2</v>
      </c>
      <c r="Q20" s="19">
        <v>1.5</v>
      </c>
      <c r="R20">
        <f t="shared" si="1"/>
        <v>0.24634371748562628</v>
      </c>
    </row>
    <row r="21" spans="1:21" s="11" customFormat="1" ht="16" x14ac:dyDescent="0.2">
      <c r="A21" s="47" t="s">
        <v>461</v>
      </c>
      <c r="B21" s="48">
        <f>(0.09*1000)/2963200</f>
        <v>3.0372570194384448E-5</v>
      </c>
      <c r="C21" s="47"/>
      <c r="D21" s="47" t="s">
        <v>459</v>
      </c>
      <c r="E21" s="47" t="s">
        <v>454</v>
      </c>
      <c r="F21" s="47" t="s">
        <v>14</v>
      </c>
      <c r="H21" s="47" t="s">
        <v>460</v>
      </c>
      <c r="I21" s="11">
        <v>2</v>
      </c>
      <c r="J21">
        <f t="shared" si="0"/>
        <v>-10.401970653103731</v>
      </c>
      <c r="K21" s="19">
        <v>1.05</v>
      </c>
      <c r="L21" s="19">
        <v>1.1000000000000001</v>
      </c>
      <c r="M21" s="19">
        <v>1</v>
      </c>
      <c r="N21" s="19">
        <v>1.02</v>
      </c>
      <c r="O21" s="19">
        <v>1.2</v>
      </c>
      <c r="P21" s="19">
        <v>1.2</v>
      </c>
      <c r="Q21" s="19">
        <v>1.5</v>
      </c>
      <c r="R21">
        <f t="shared" si="1"/>
        <v>0.24634371748562628</v>
      </c>
    </row>
    <row r="22" spans="1:21" s="11" customFormat="1" ht="16" x14ac:dyDescent="0.2">
      <c r="K22" s="12"/>
      <c r="L22" s="12"/>
      <c r="M22" s="12"/>
      <c r="N22" s="12"/>
      <c r="O22" s="12"/>
      <c r="P22" s="12"/>
    </row>
    <row r="23" spans="1:21" s="11" customFormat="1" ht="16" x14ac:dyDescent="0.2">
      <c r="A23" s="8" t="s">
        <v>1</v>
      </c>
      <c r="B23" s="9" t="s">
        <v>545</v>
      </c>
      <c r="C23" s="10"/>
      <c r="K23" s="12"/>
      <c r="L23" s="12"/>
      <c r="M23" s="12"/>
      <c r="N23" s="12"/>
      <c r="O23" s="12"/>
      <c r="P23" s="12"/>
    </row>
    <row r="24" spans="1:21" s="11" customFormat="1" ht="16" x14ac:dyDescent="0.2">
      <c r="A24" s="13" t="s">
        <v>3</v>
      </c>
      <c r="B24" s="14">
        <v>1</v>
      </c>
      <c r="K24" s="12"/>
      <c r="L24" s="12"/>
      <c r="M24" s="12"/>
      <c r="N24" s="12"/>
      <c r="O24" s="12"/>
      <c r="P24" s="12"/>
    </row>
    <row r="25" spans="1:21" s="11" customFormat="1" ht="16" x14ac:dyDescent="0.2">
      <c r="A25" s="13" t="s">
        <v>11</v>
      </c>
      <c r="B25" s="14" t="s">
        <v>435</v>
      </c>
      <c r="K25" s="12"/>
      <c r="L25" s="12"/>
      <c r="M25" s="12"/>
      <c r="N25" s="12"/>
      <c r="O25" s="12"/>
      <c r="P25" s="12"/>
    </row>
    <row r="26" spans="1:21" s="11" customFormat="1" ht="16" x14ac:dyDescent="0.2">
      <c r="A26" s="13" t="s">
        <v>4</v>
      </c>
      <c r="B26" s="15" t="s">
        <v>122</v>
      </c>
      <c r="K26" s="12"/>
      <c r="L26" s="12"/>
      <c r="M26" s="12"/>
      <c r="N26" s="12"/>
      <c r="O26" s="12"/>
      <c r="P26" s="12"/>
    </row>
    <row r="27" spans="1:21" s="11" customFormat="1" ht="16" x14ac:dyDescent="0.2">
      <c r="A27" s="13" t="s">
        <v>2</v>
      </c>
      <c r="B27" s="14" t="s">
        <v>34</v>
      </c>
      <c r="K27" s="12"/>
      <c r="L27" s="12"/>
      <c r="M27" s="12"/>
      <c r="N27" s="12"/>
      <c r="O27" s="12"/>
      <c r="P27" s="12"/>
    </row>
    <row r="28" spans="1:21" s="11" customFormat="1" ht="16" x14ac:dyDescent="0.2">
      <c r="A28" s="13" t="s">
        <v>6</v>
      </c>
      <c r="B28" s="16" t="s">
        <v>13</v>
      </c>
      <c r="H28" s="17"/>
      <c r="I28" s="17"/>
      <c r="J28" s="17"/>
      <c r="K28" s="12"/>
      <c r="L28" s="12"/>
      <c r="M28" s="12"/>
      <c r="N28" s="12"/>
      <c r="O28" s="12"/>
      <c r="P28" s="12"/>
    </row>
    <row r="29" spans="1:21" s="11" customFormat="1" ht="16" x14ac:dyDescent="0.2">
      <c r="A29" s="17" t="s">
        <v>7</v>
      </c>
      <c r="B29" s="9"/>
      <c r="C29" s="17"/>
      <c r="D29" s="17"/>
      <c r="E29" s="17"/>
      <c r="F29" s="17"/>
      <c r="G29" s="17"/>
      <c r="H29" s="10"/>
      <c r="I29" s="10"/>
      <c r="J29" s="10"/>
      <c r="K29" s="12"/>
      <c r="L29" s="12"/>
      <c r="M29" s="12"/>
      <c r="N29" s="12"/>
      <c r="O29" s="12"/>
      <c r="P29" s="12"/>
    </row>
    <row r="30" spans="1:21" s="11" customFormat="1" ht="16" x14ac:dyDescent="0.2">
      <c r="A30" s="17" t="s">
        <v>8</v>
      </c>
      <c r="B30" s="17" t="s">
        <v>9</v>
      </c>
      <c r="C30" s="17" t="s">
        <v>2</v>
      </c>
      <c r="D30" s="17" t="s">
        <v>6</v>
      </c>
      <c r="E30" s="17" t="s">
        <v>10</v>
      </c>
      <c r="F30" s="17" t="s">
        <v>5</v>
      </c>
      <c r="G30" s="17" t="s">
        <v>4</v>
      </c>
      <c r="H30" s="17" t="s">
        <v>11</v>
      </c>
      <c r="I30" s="17" t="s">
        <v>466</v>
      </c>
      <c r="J30" s="7" t="s">
        <v>467</v>
      </c>
      <c r="K30" s="18" t="s">
        <v>468</v>
      </c>
      <c r="L30" s="18" t="s">
        <v>469</v>
      </c>
      <c r="M30" s="18" t="s">
        <v>470</v>
      </c>
      <c r="N30" s="18" t="s">
        <v>471</v>
      </c>
      <c r="O30" s="18" t="s">
        <v>472</v>
      </c>
      <c r="P30" s="18" t="s">
        <v>473</v>
      </c>
      <c r="Q30" s="7" t="s">
        <v>474</v>
      </c>
      <c r="R30" s="7" t="s">
        <v>475</v>
      </c>
      <c r="S30" s="17" t="s">
        <v>476</v>
      </c>
      <c r="T30" s="7" t="s">
        <v>477</v>
      </c>
      <c r="U30" s="17" t="s">
        <v>46</v>
      </c>
    </row>
    <row r="31" spans="1:21" s="11" customFormat="1" ht="16" x14ac:dyDescent="0.2">
      <c r="A31" s="16" t="str">
        <f>B23</f>
        <v>hydrogen production, gaseous, 30 bar, from PEM electrolysis, from open ground solar photovoltaic electricity</v>
      </c>
      <c r="B31" s="16">
        <v>1</v>
      </c>
      <c r="C31" s="11" t="str">
        <f>B27</f>
        <v>RER</v>
      </c>
      <c r="D31" s="11" t="str">
        <f>B28</f>
        <v>kilogram</v>
      </c>
      <c r="E31" s="10"/>
      <c r="F31" s="11" t="s">
        <v>16</v>
      </c>
      <c r="G31" s="11" t="s">
        <v>122</v>
      </c>
      <c r="H31" s="10"/>
      <c r="I31" s="10">
        <v>0</v>
      </c>
      <c r="K31" s="12"/>
      <c r="L31" s="12"/>
      <c r="M31" s="12"/>
      <c r="N31" s="12"/>
      <c r="O31" s="12"/>
      <c r="P31" s="12"/>
      <c r="T31"/>
    </row>
    <row r="32" spans="1:21" s="11" customFormat="1" ht="16" x14ac:dyDescent="0.2">
      <c r="A32" s="16" t="s">
        <v>55</v>
      </c>
      <c r="B32" s="11">
        <f>(1/2963200)*4</f>
        <v>1.3498920086393089E-6</v>
      </c>
      <c r="C32" s="11" t="s">
        <v>34</v>
      </c>
      <c r="D32" s="11" t="s">
        <v>6</v>
      </c>
      <c r="F32" s="11" t="s">
        <v>12</v>
      </c>
      <c r="G32" s="11" t="s">
        <v>47</v>
      </c>
      <c r="H32" s="11" t="s">
        <v>484</v>
      </c>
      <c r="I32" s="11">
        <v>5</v>
      </c>
      <c r="J32">
        <f>B32</f>
        <v>1.3498920086393089E-6</v>
      </c>
      <c r="K32" s="19"/>
      <c r="L32" s="19"/>
      <c r="M32" s="19"/>
      <c r="N32" s="19"/>
      <c r="O32" s="19"/>
      <c r="P32" s="19"/>
      <c r="Q32"/>
      <c r="R32"/>
      <c r="S32" s="11">
        <f>(1/(25*8000*18.52))*4</f>
        <v>1.0799136069114471E-6</v>
      </c>
      <c r="T32" s="11">
        <f>(1/(15*8000*18.52))*4</f>
        <v>1.7998560115190784E-6</v>
      </c>
    </row>
    <row r="33" spans="1:21" s="11" customFormat="1" ht="16" x14ac:dyDescent="0.2">
      <c r="A33" s="16" t="s">
        <v>80</v>
      </c>
      <c r="B33" s="11">
        <f>1/2963200</f>
        <v>3.3747300215982723E-7</v>
      </c>
      <c r="C33" s="11" t="s">
        <v>34</v>
      </c>
      <c r="D33" s="11" t="s">
        <v>6</v>
      </c>
      <c r="F33" s="11" t="s">
        <v>12</v>
      </c>
      <c r="G33" s="11" t="s">
        <v>48</v>
      </c>
      <c r="H33" s="11" t="s">
        <v>485</v>
      </c>
      <c r="I33" s="11">
        <v>5</v>
      </c>
      <c r="J33">
        <f>B33</f>
        <v>3.3747300215982723E-7</v>
      </c>
      <c r="K33" s="19"/>
      <c r="L33" s="19"/>
      <c r="M33" s="19"/>
      <c r="N33" s="19"/>
      <c r="O33" s="19"/>
      <c r="P33" s="19"/>
      <c r="Q33"/>
      <c r="R33"/>
      <c r="S33" s="11">
        <f>(1/(25*8000*18.52))</f>
        <v>2.6997840172786177E-7</v>
      </c>
      <c r="T33" s="11">
        <f>(1/(15*8000*18.52))</f>
        <v>4.4996400287976961E-7</v>
      </c>
    </row>
    <row r="34" spans="1:21" s="11" customFormat="1" ht="16" x14ac:dyDescent="0.2">
      <c r="A34" s="16" t="s">
        <v>504</v>
      </c>
      <c r="B34" s="11">
        <f>B32*-1</f>
        <v>-1.3498920086393089E-6</v>
      </c>
      <c r="C34" s="11" t="s">
        <v>34</v>
      </c>
      <c r="D34" s="11" t="s">
        <v>6</v>
      </c>
      <c r="F34" s="11" t="s">
        <v>12</v>
      </c>
      <c r="G34" s="11" t="s">
        <v>505</v>
      </c>
      <c r="H34" s="11" t="s">
        <v>215</v>
      </c>
      <c r="I34" s="11">
        <v>5</v>
      </c>
      <c r="J34">
        <f>B34</f>
        <v>-1.3498920086393089E-6</v>
      </c>
      <c r="K34" s="19"/>
      <c r="L34" s="19"/>
      <c r="M34" s="19"/>
      <c r="N34" s="19"/>
      <c r="O34" s="19"/>
      <c r="P34" s="19"/>
      <c r="Q34"/>
      <c r="R34"/>
      <c r="S34" s="11">
        <f>-1*T32</f>
        <v>-1.7998560115190784E-6</v>
      </c>
      <c r="T34" s="11">
        <f>-1*S32</f>
        <v>-1.0799136069114471E-6</v>
      </c>
      <c r="U34" s="11" t="b">
        <v>1</v>
      </c>
    </row>
    <row r="35" spans="1:21" s="11" customFormat="1" ht="16" x14ac:dyDescent="0.2">
      <c r="A35" s="16" t="s">
        <v>506</v>
      </c>
      <c r="B35" s="11">
        <f>-1*B33</f>
        <v>-3.3747300215982723E-7</v>
      </c>
      <c r="C35" s="11" t="s">
        <v>34</v>
      </c>
      <c r="D35" s="11" t="s">
        <v>6</v>
      </c>
      <c r="F35" s="11" t="s">
        <v>12</v>
      </c>
      <c r="G35" s="11" t="s">
        <v>507</v>
      </c>
      <c r="H35" s="11" t="s">
        <v>225</v>
      </c>
      <c r="I35" s="11">
        <v>5</v>
      </c>
      <c r="J35">
        <f>B35</f>
        <v>-3.3747300215982723E-7</v>
      </c>
      <c r="K35" s="19"/>
      <c r="L35" s="19"/>
      <c r="M35" s="19"/>
      <c r="N35" s="19"/>
      <c r="O35" s="19"/>
      <c r="P35" s="19"/>
      <c r="Q35"/>
      <c r="R35"/>
      <c r="S35" s="11">
        <f>-1*T33</f>
        <v>-4.4996400287976961E-7</v>
      </c>
      <c r="T35" s="11">
        <f>-1*S33</f>
        <v>-2.6997840172786177E-7</v>
      </c>
      <c r="U35" s="11" t="b">
        <v>1</v>
      </c>
    </row>
    <row r="36" spans="1:21" s="11" customFormat="1" ht="16" x14ac:dyDescent="0.2">
      <c r="A36" s="13" t="s">
        <v>489</v>
      </c>
      <c r="B36" s="16">
        <v>54</v>
      </c>
      <c r="C36" s="11" t="s">
        <v>490</v>
      </c>
      <c r="D36" s="11" t="s">
        <v>35</v>
      </c>
      <c r="E36" s="10"/>
      <c r="F36" s="11" t="s">
        <v>12</v>
      </c>
      <c r="G36" s="11" t="s">
        <v>36</v>
      </c>
      <c r="H36" s="10" t="s">
        <v>491</v>
      </c>
      <c r="I36" s="11">
        <v>5</v>
      </c>
      <c r="J36" s="4">
        <f>B36</f>
        <v>54</v>
      </c>
      <c r="K36" s="19"/>
      <c r="L36" s="19"/>
      <c r="M36" s="19"/>
      <c r="N36" s="19"/>
      <c r="O36" s="19"/>
      <c r="P36" s="19"/>
      <c r="Q36"/>
      <c r="R36"/>
      <c r="S36" s="11">
        <v>52.9</v>
      </c>
      <c r="T36" s="11">
        <v>55.1</v>
      </c>
    </row>
    <row r="37" spans="1:21" s="11" customFormat="1" ht="16" x14ac:dyDescent="0.2">
      <c r="A37" s="13" t="s">
        <v>516</v>
      </c>
      <c r="B37" s="16">
        <v>14</v>
      </c>
      <c r="C37" s="11" t="s">
        <v>34</v>
      </c>
      <c r="D37" s="11" t="s">
        <v>13</v>
      </c>
      <c r="F37" s="11" t="s">
        <v>12</v>
      </c>
      <c r="G37" s="11" t="s">
        <v>517</v>
      </c>
      <c r="H37" s="20" t="s">
        <v>54</v>
      </c>
      <c r="I37" s="11">
        <v>0</v>
      </c>
      <c r="J37"/>
      <c r="K37" s="19"/>
      <c r="L37" s="19"/>
      <c r="M37" s="19"/>
      <c r="N37" s="19"/>
      <c r="O37" s="19"/>
      <c r="P37" s="19"/>
      <c r="Q37"/>
      <c r="R37"/>
    </row>
    <row r="38" spans="1:21" s="11" customFormat="1" ht="16" x14ac:dyDescent="0.2">
      <c r="A38" s="21" t="s">
        <v>38</v>
      </c>
      <c r="B38" s="15">
        <v>8</v>
      </c>
      <c r="C38" s="21"/>
      <c r="D38" s="21" t="s">
        <v>13</v>
      </c>
      <c r="E38" s="21" t="s">
        <v>39</v>
      </c>
      <c r="F38" s="21" t="s">
        <v>14</v>
      </c>
      <c r="G38" s="21"/>
      <c r="H38" s="22"/>
      <c r="I38" s="11">
        <v>0</v>
      </c>
      <c r="J38"/>
      <c r="K38" s="19"/>
      <c r="L38" s="19"/>
      <c r="M38" s="19"/>
      <c r="N38" s="19"/>
      <c r="O38" s="19"/>
      <c r="P38" s="19"/>
      <c r="Q38" s="19"/>
      <c r="R38"/>
    </row>
    <row r="39" spans="1:21" s="11" customFormat="1" ht="16" x14ac:dyDescent="0.2">
      <c r="A39" s="47" t="s">
        <v>456</v>
      </c>
      <c r="B39" s="48">
        <f>(0.09*1000)/(2963200/20)</f>
        <v>6.0745140388768898E-4</v>
      </c>
      <c r="C39" s="47"/>
      <c r="D39" s="47" t="s">
        <v>453</v>
      </c>
      <c r="E39" s="47" t="s">
        <v>454</v>
      </c>
      <c r="F39" s="47" t="s">
        <v>14</v>
      </c>
      <c r="H39" s="47" t="s">
        <v>457</v>
      </c>
      <c r="I39" s="11">
        <v>2</v>
      </c>
      <c r="J39">
        <f t="shared" ref="J39:J41" si="2">LN(B39)</f>
        <v>-7.4062383795497411</v>
      </c>
      <c r="K39" s="19">
        <v>1.05</v>
      </c>
      <c r="L39" s="19">
        <v>1.1000000000000001</v>
      </c>
      <c r="M39" s="19">
        <v>1</v>
      </c>
      <c r="N39" s="19">
        <v>1.02</v>
      </c>
      <c r="O39" s="19">
        <v>1.2</v>
      </c>
      <c r="P39" s="19">
        <v>1.2</v>
      </c>
      <c r="Q39" s="19">
        <v>1.5</v>
      </c>
      <c r="R39">
        <f t="shared" ref="R39:R41" si="3">LN(SQRT(EXP(
SQRT(
+POWER(LN(K39),2)
+POWER(LN(L39),2)
+POWER(LN(M39),2)
+POWER(LN(N39),2)
+POWER(LN(O39),2)
+POWER(LN(P39),2)
+POWER(LN(Q39),2)
)
)))</f>
        <v>0.24634371748562628</v>
      </c>
    </row>
    <row r="40" spans="1:21" s="11" customFormat="1" ht="16" x14ac:dyDescent="0.2">
      <c r="A40" s="47" t="s">
        <v>458</v>
      </c>
      <c r="B40" s="48">
        <f>(0.09*1000)/2963200</f>
        <v>3.0372570194384448E-5</v>
      </c>
      <c r="C40" s="47"/>
      <c r="D40" s="47" t="s">
        <v>459</v>
      </c>
      <c r="E40" s="47" t="s">
        <v>454</v>
      </c>
      <c r="F40" s="47" t="s">
        <v>14</v>
      </c>
      <c r="H40" s="47" t="s">
        <v>460</v>
      </c>
      <c r="I40" s="11">
        <v>2</v>
      </c>
      <c r="J40">
        <f t="shared" si="2"/>
        <v>-10.401970653103731</v>
      </c>
      <c r="K40" s="19">
        <v>1.05</v>
      </c>
      <c r="L40" s="19">
        <v>1.1000000000000001</v>
      </c>
      <c r="M40" s="19">
        <v>1</v>
      </c>
      <c r="N40" s="19">
        <v>1.02</v>
      </c>
      <c r="O40" s="19">
        <v>1.2</v>
      </c>
      <c r="P40" s="19">
        <v>1.2</v>
      </c>
      <c r="Q40" s="19">
        <v>1.5</v>
      </c>
      <c r="R40">
        <f t="shared" si="3"/>
        <v>0.24634371748562628</v>
      </c>
    </row>
    <row r="41" spans="1:21" s="11" customFormat="1" ht="16" x14ac:dyDescent="0.2">
      <c r="A41" s="47" t="s">
        <v>461</v>
      </c>
      <c r="B41" s="48">
        <f>(0.09*1000)/2963200</f>
        <v>3.0372570194384448E-5</v>
      </c>
      <c r="C41" s="47"/>
      <c r="D41" s="47" t="s">
        <v>459</v>
      </c>
      <c r="E41" s="47" t="s">
        <v>454</v>
      </c>
      <c r="F41" s="47" t="s">
        <v>14</v>
      </c>
      <c r="H41" s="47" t="s">
        <v>460</v>
      </c>
      <c r="I41" s="11">
        <v>2</v>
      </c>
      <c r="J41">
        <f t="shared" si="2"/>
        <v>-10.401970653103731</v>
      </c>
      <c r="K41" s="19">
        <v>1.05</v>
      </c>
      <c r="L41" s="19">
        <v>1.1000000000000001</v>
      </c>
      <c r="M41" s="19">
        <v>1</v>
      </c>
      <c r="N41" s="19">
        <v>1.02</v>
      </c>
      <c r="O41" s="19">
        <v>1.2</v>
      </c>
      <c r="P41" s="19">
        <v>1.2</v>
      </c>
      <c r="Q41" s="19">
        <v>1.5</v>
      </c>
      <c r="R41">
        <f t="shared" si="3"/>
        <v>0.24634371748562628</v>
      </c>
    </row>
    <row r="42" spans="1:21" s="11" customFormat="1" ht="16" x14ac:dyDescent="0.2">
      <c r="K42" s="12"/>
      <c r="L42" s="12"/>
      <c r="M42" s="12"/>
      <c r="N42" s="12"/>
      <c r="O42" s="12"/>
      <c r="P42" s="12"/>
    </row>
    <row r="43" spans="1:21" s="11" customFormat="1" ht="16" x14ac:dyDescent="0.2">
      <c r="A43" s="8" t="s">
        <v>1</v>
      </c>
      <c r="B43" s="9" t="s">
        <v>546</v>
      </c>
      <c r="C43" s="10"/>
      <c r="K43" s="12"/>
      <c r="L43" s="12"/>
      <c r="M43" s="12"/>
      <c r="N43" s="12"/>
      <c r="O43" s="12"/>
      <c r="P43" s="12"/>
    </row>
    <row r="44" spans="1:21" s="11" customFormat="1" ht="16" x14ac:dyDescent="0.2">
      <c r="A44" s="13" t="s">
        <v>3</v>
      </c>
      <c r="B44" s="14">
        <v>1</v>
      </c>
      <c r="K44" s="12"/>
      <c r="L44" s="12"/>
      <c r="M44" s="12"/>
      <c r="N44" s="12"/>
      <c r="O44" s="12"/>
      <c r="P44" s="12"/>
    </row>
    <row r="45" spans="1:21" s="11" customFormat="1" ht="16" x14ac:dyDescent="0.2">
      <c r="A45" s="13" t="s">
        <v>11</v>
      </c>
      <c r="B45" s="14" t="s">
        <v>549</v>
      </c>
      <c r="K45" s="12"/>
      <c r="L45" s="12"/>
      <c r="M45" s="12"/>
      <c r="N45" s="12"/>
      <c r="O45" s="12"/>
      <c r="P45" s="12"/>
    </row>
    <row r="46" spans="1:21" s="11" customFormat="1" ht="16" x14ac:dyDescent="0.2">
      <c r="A46" s="13" t="s">
        <v>4</v>
      </c>
      <c r="B46" s="15" t="s">
        <v>122</v>
      </c>
      <c r="K46" s="12"/>
      <c r="L46" s="12"/>
      <c r="M46" s="12"/>
      <c r="N46" s="12"/>
      <c r="O46" s="12"/>
      <c r="P46" s="12"/>
    </row>
    <row r="47" spans="1:21" s="11" customFormat="1" ht="16" x14ac:dyDescent="0.2">
      <c r="A47" s="13" t="s">
        <v>2</v>
      </c>
      <c r="B47" s="14" t="s">
        <v>34</v>
      </c>
      <c r="K47" s="12"/>
      <c r="L47" s="12"/>
      <c r="M47" s="12"/>
      <c r="N47" s="12"/>
      <c r="O47" s="12"/>
      <c r="P47" s="12"/>
    </row>
    <row r="48" spans="1:21" s="11" customFormat="1" ht="16" x14ac:dyDescent="0.2">
      <c r="A48" s="13" t="s">
        <v>6</v>
      </c>
      <c r="B48" s="16" t="s">
        <v>13</v>
      </c>
      <c r="H48" s="17"/>
      <c r="I48" s="17"/>
      <c r="J48" s="17"/>
      <c r="K48" s="12"/>
      <c r="L48" s="12"/>
      <c r="M48" s="12"/>
      <c r="N48" s="12"/>
      <c r="O48" s="12"/>
      <c r="P48" s="12"/>
    </row>
    <row r="49" spans="1:21" s="11" customFormat="1" ht="16" x14ac:dyDescent="0.2">
      <c r="A49" s="17" t="s">
        <v>7</v>
      </c>
      <c r="B49" s="9"/>
      <c r="C49" s="17"/>
      <c r="D49" s="17"/>
      <c r="E49" s="17"/>
      <c r="F49" s="17"/>
      <c r="G49" s="17"/>
      <c r="H49" s="10"/>
      <c r="I49" s="10"/>
      <c r="J49" s="10"/>
      <c r="K49" s="12"/>
      <c r="L49" s="12"/>
      <c r="M49" s="12"/>
      <c r="N49" s="12"/>
      <c r="O49" s="12"/>
      <c r="P49" s="12"/>
    </row>
    <row r="50" spans="1:21" s="11" customFormat="1" ht="16" x14ac:dyDescent="0.2">
      <c r="A50" s="17" t="s">
        <v>8</v>
      </c>
      <c r="B50" s="17" t="s">
        <v>9</v>
      </c>
      <c r="C50" s="17" t="s">
        <v>2</v>
      </c>
      <c r="D50" s="17" t="s">
        <v>6</v>
      </c>
      <c r="E50" s="17" t="s">
        <v>10</v>
      </c>
      <c r="F50" s="17" t="s">
        <v>5</v>
      </c>
      <c r="G50" s="17" t="s">
        <v>4</v>
      </c>
      <c r="H50" s="17" t="s">
        <v>11</v>
      </c>
      <c r="I50" s="17" t="s">
        <v>466</v>
      </c>
      <c r="J50" s="7" t="s">
        <v>467</v>
      </c>
      <c r="K50" s="18" t="s">
        <v>468</v>
      </c>
      <c r="L50" s="18" t="s">
        <v>469</v>
      </c>
      <c r="M50" s="18" t="s">
        <v>470</v>
      </c>
      <c r="N50" s="18" t="s">
        <v>471</v>
      </c>
      <c r="O50" s="18" t="s">
        <v>472</v>
      </c>
      <c r="P50" s="18" t="s">
        <v>473</v>
      </c>
      <c r="Q50" s="7" t="s">
        <v>474</v>
      </c>
      <c r="R50" s="7" t="s">
        <v>475</v>
      </c>
      <c r="S50" s="17" t="s">
        <v>476</v>
      </c>
      <c r="T50" s="7" t="s">
        <v>477</v>
      </c>
      <c r="U50" s="17" t="s">
        <v>46</v>
      </c>
    </row>
    <row r="51" spans="1:21" s="11" customFormat="1" ht="16" x14ac:dyDescent="0.2">
      <c r="A51" s="16" t="str">
        <f>B43</f>
        <v>hydrogen production, gaseous, 30 bar, from PEM electrolysis, from rooftop solar photovoltaic electricity</v>
      </c>
      <c r="B51" s="16">
        <v>1</v>
      </c>
      <c r="C51" s="11" t="str">
        <f>B47</f>
        <v>RER</v>
      </c>
      <c r="D51" s="11" t="str">
        <f>B48</f>
        <v>kilogram</v>
      </c>
      <c r="E51" s="10"/>
      <c r="F51" s="11" t="s">
        <v>16</v>
      </c>
      <c r="G51" s="11" t="s">
        <v>122</v>
      </c>
      <c r="H51" s="10"/>
      <c r="I51" s="10">
        <v>0</v>
      </c>
      <c r="K51" s="12"/>
      <c r="L51" s="12"/>
      <c r="M51" s="12"/>
      <c r="N51" s="12"/>
      <c r="O51" s="12"/>
      <c r="P51" s="12"/>
      <c r="T51"/>
    </row>
    <row r="52" spans="1:21" s="11" customFormat="1" ht="16" x14ac:dyDescent="0.2">
      <c r="A52" s="16" t="s">
        <v>55</v>
      </c>
      <c r="B52" s="11">
        <f>(1/2963200)*4</f>
        <v>1.3498920086393089E-6</v>
      </c>
      <c r="C52" s="11" t="s">
        <v>34</v>
      </c>
      <c r="D52" s="11" t="s">
        <v>6</v>
      </c>
      <c r="F52" s="11" t="s">
        <v>12</v>
      </c>
      <c r="G52" s="11" t="s">
        <v>47</v>
      </c>
      <c r="H52" s="11" t="s">
        <v>484</v>
      </c>
      <c r="I52" s="11">
        <v>5</v>
      </c>
      <c r="J52">
        <f>B52</f>
        <v>1.3498920086393089E-6</v>
      </c>
      <c r="K52" s="19"/>
      <c r="L52" s="19"/>
      <c r="M52" s="19"/>
      <c r="N52" s="19"/>
      <c r="O52" s="19"/>
      <c r="P52" s="19"/>
      <c r="Q52"/>
      <c r="R52"/>
      <c r="S52" s="11">
        <f>(1/(25*8000*18.52))*4</f>
        <v>1.0799136069114471E-6</v>
      </c>
      <c r="T52" s="11">
        <f>(1/(15*8000*18.52))*4</f>
        <v>1.7998560115190784E-6</v>
      </c>
    </row>
    <row r="53" spans="1:21" s="11" customFormat="1" ht="16" x14ac:dyDescent="0.2">
      <c r="A53" s="16" t="s">
        <v>80</v>
      </c>
      <c r="B53" s="11">
        <f>1/2963200</f>
        <v>3.3747300215982723E-7</v>
      </c>
      <c r="C53" s="11" t="s">
        <v>34</v>
      </c>
      <c r="D53" s="11" t="s">
        <v>6</v>
      </c>
      <c r="F53" s="11" t="s">
        <v>12</v>
      </c>
      <c r="G53" s="11" t="s">
        <v>48</v>
      </c>
      <c r="H53" s="11" t="s">
        <v>485</v>
      </c>
      <c r="I53" s="11">
        <v>5</v>
      </c>
      <c r="J53">
        <f>B53</f>
        <v>3.3747300215982723E-7</v>
      </c>
      <c r="K53" s="19"/>
      <c r="L53" s="19"/>
      <c r="M53" s="19"/>
      <c r="N53" s="19"/>
      <c r="O53" s="19"/>
      <c r="P53" s="19"/>
      <c r="Q53"/>
      <c r="R53"/>
      <c r="S53" s="11">
        <f>(1/(25*8000*18.52))</f>
        <v>2.6997840172786177E-7</v>
      </c>
      <c r="T53" s="11">
        <f>(1/(15*8000*18.52))</f>
        <v>4.4996400287976961E-7</v>
      </c>
    </row>
    <row r="54" spans="1:21" s="11" customFormat="1" ht="16" x14ac:dyDescent="0.2">
      <c r="A54" s="16" t="s">
        <v>504</v>
      </c>
      <c r="B54" s="11">
        <f>B52*-1</f>
        <v>-1.3498920086393089E-6</v>
      </c>
      <c r="C54" s="11" t="s">
        <v>34</v>
      </c>
      <c r="D54" s="11" t="s">
        <v>6</v>
      </c>
      <c r="F54" s="11" t="s">
        <v>12</v>
      </c>
      <c r="G54" s="11" t="s">
        <v>505</v>
      </c>
      <c r="H54" s="11" t="s">
        <v>215</v>
      </c>
      <c r="I54" s="11">
        <v>5</v>
      </c>
      <c r="J54">
        <f>B54</f>
        <v>-1.3498920086393089E-6</v>
      </c>
      <c r="K54" s="19"/>
      <c r="L54" s="19"/>
      <c r="M54" s="19"/>
      <c r="N54" s="19"/>
      <c r="O54" s="19"/>
      <c r="P54" s="19"/>
      <c r="Q54"/>
      <c r="R54"/>
      <c r="S54" s="11">
        <f>-1*T52</f>
        <v>-1.7998560115190784E-6</v>
      </c>
      <c r="T54" s="11">
        <f>-1*S52</f>
        <v>-1.0799136069114471E-6</v>
      </c>
      <c r="U54" s="11" t="b">
        <v>1</v>
      </c>
    </row>
    <row r="55" spans="1:21" s="11" customFormat="1" ht="16" x14ac:dyDescent="0.2">
      <c r="A55" s="16" t="s">
        <v>506</v>
      </c>
      <c r="B55" s="11">
        <f>-1*B53</f>
        <v>-3.3747300215982723E-7</v>
      </c>
      <c r="C55" s="11" t="s">
        <v>34</v>
      </c>
      <c r="D55" s="11" t="s">
        <v>6</v>
      </c>
      <c r="F55" s="11" t="s">
        <v>12</v>
      </c>
      <c r="G55" s="11" t="s">
        <v>507</v>
      </c>
      <c r="H55" s="11" t="s">
        <v>225</v>
      </c>
      <c r="I55" s="11">
        <v>5</v>
      </c>
      <c r="J55">
        <f>B55</f>
        <v>-3.3747300215982723E-7</v>
      </c>
      <c r="K55" s="19"/>
      <c r="L55" s="19"/>
      <c r="M55" s="19"/>
      <c r="N55" s="19"/>
      <c r="O55" s="19"/>
      <c r="P55" s="19"/>
      <c r="Q55"/>
      <c r="R55"/>
      <c r="S55" s="11">
        <f>-1*T53</f>
        <v>-4.4996400287976961E-7</v>
      </c>
      <c r="T55" s="11">
        <f>-1*S53</f>
        <v>-2.6997840172786177E-7</v>
      </c>
      <c r="U55" s="11" t="b">
        <v>1</v>
      </c>
    </row>
    <row r="56" spans="1:21" s="11" customFormat="1" ht="16" x14ac:dyDescent="0.2">
      <c r="A56" s="13" t="s">
        <v>547</v>
      </c>
      <c r="B56" s="16">
        <v>54</v>
      </c>
      <c r="C56" s="11" t="s">
        <v>45</v>
      </c>
      <c r="D56" s="11" t="s">
        <v>35</v>
      </c>
      <c r="E56" s="10"/>
      <c r="F56" s="11" t="s">
        <v>12</v>
      </c>
      <c r="G56" s="13" t="s">
        <v>547</v>
      </c>
      <c r="H56" s="10" t="s">
        <v>548</v>
      </c>
      <c r="I56" s="11">
        <v>5</v>
      </c>
      <c r="J56" s="4">
        <f>B56</f>
        <v>54</v>
      </c>
      <c r="K56" s="19"/>
      <c r="L56" s="19"/>
      <c r="M56" s="19"/>
      <c r="N56" s="19"/>
      <c r="O56" s="19"/>
      <c r="P56" s="19"/>
      <c r="Q56"/>
      <c r="R56"/>
      <c r="S56" s="11">
        <v>52.9</v>
      </c>
      <c r="T56" s="11">
        <v>55.1</v>
      </c>
    </row>
    <row r="57" spans="1:21" s="11" customFormat="1" ht="16" x14ac:dyDescent="0.2">
      <c r="A57" s="13" t="s">
        <v>516</v>
      </c>
      <c r="B57" s="16">
        <v>14</v>
      </c>
      <c r="C57" s="11" t="s">
        <v>34</v>
      </c>
      <c r="D57" s="11" t="s">
        <v>13</v>
      </c>
      <c r="F57" s="11" t="s">
        <v>12</v>
      </c>
      <c r="G57" s="11" t="s">
        <v>517</v>
      </c>
      <c r="H57" s="20" t="s">
        <v>54</v>
      </c>
      <c r="I57" s="11">
        <v>0</v>
      </c>
      <c r="J57"/>
      <c r="K57" s="19"/>
      <c r="L57" s="19"/>
      <c r="M57" s="19"/>
      <c r="N57" s="19"/>
      <c r="O57" s="19"/>
      <c r="P57" s="19"/>
      <c r="Q57"/>
      <c r="R57"/>
    </row>
    <row r="58" spans="1:21" s="11" customFormat="1" ht="16" x14ac:dyDescent="0.2">
      <c r="A58" s="21" t="s">
        <v>38</v>
      </c>
      <c r="B58" s="15">
        <v>8</v>
      </c>
      <c r="C58" s="21"/>
      <c r="D58" s="21" t="s">
        <v>13</v>
      </c>
      <c r="E58" s="21" t="s">
        <v>39</v>
      </c>
      <c r="F58" s="21" t="s">
        <v>14</v>
      </c>
      <c r="G58" s="21"/>
      <c r="H58" s="22"/>
      <c r="I58" s="11">
        <v>0</v>
      </c>
      <c r="J58"/>
      <c r="K58" s="19"/>
      <c r="L58" s="19"/>
      <c r="M58" s="19"/>
      <c r="N58" s="19"/>
      <c r="O58" s="19"/>
      <c r="P58" s="19"/>
      <c r="Q58" s="19"/>
      <c r="R58"/>
    </row>
    <row r="59" spans="1:21" s="11" customFormat="1" ht="16" x14ac:dyDescent="0.2">
      <c r="A59" s="47" t="s">
        <v>456</v>
      </c>
      <c r="B59" s="48">
        <f>(0.09*1000)/(2963200/20)</f>
        <v>6.0745140388768898E-4</v>
      </c>
      <c r="C59" s="47"/>
      <c r="D59" s="47" t="s">
        <v>453</v>
      </c>
      <c r="E59" s="47" t="s">
        <v>454</v>
      </c>
      <c r="F59" s="47" t="s">
        <v>14</v>
      </c>
      <c r="H59" s="47" t="s">
        <v>457</v>
      </c>
      <c r="I59" s="11">
        <v>2</v>
      </c>
      <c r="J59">
        <f t="shared" ref="J59:J61" si="4">LN(B59)</f>
        <v>-7.4062383795497411</v>
      </c>
      <c r="K59" s="19">
        <v>1.05</v>
      </c>
      <c r="L59" s="19">
        <v>1.1000000000000001</v>
      </c>
      <c r="M59" s="19">
        <v>1</v>
      </c>
      <c r="N59" s="19">
        <v>1.02</v>
      </c>
      <c r="O59" s="19">
        <v>1.2</v>
      </c>
      <c r="P59" s="19">
        <v>1.2</v>
      </c>
      <c r="Q59" s="19">
        <v>1.5</v>
      </c>
      <c r="R59">
        <f t="shared" ref="R59:R61" si="5">LN(SQRT(EXP(
SQRT(
+POWER(LN(K59),2)
+POWER(LN(L59),2)
+POWER(LN(M59),2)
+POWER(LN(N59),2)
+POWER(LN(O59),2)
+POWER(LN(P59),2)
+POWER(LN(Q59),2)
)
)))</f>
        <v>0.24634371748562628</v>
      </c>
    </row>
    <row r="60" spans="1:21" s="11" customFormat="1" ht="16" x14ac:dyDescent="0.2">
      <c r="A60" s="47" t="s">
        <v>458</v>
      </c>
      <c r="B60" s="48">
        <f>(0.09*1000)/2963200</f>
        <v>3.0372570194384448E-5</v>
      </c>
      <c r="C60" s="47"/>
      <c r="D60" s="47" t="s">
        <v>459</v>
      </c>
      <c r="E60" s="47" t="s">
        <v>454</v>
      </c>
      <c r="F60" s="47" t="s">
        <v>14</v>
      </c>
      <c r="H60" s="47" t="s">
        <v>460</v>
      </c>
      <c r="I60" s="11">
        <v>2</v>
      </c>
      <c r="J60">
        <f t="shared" si="4"/>
        <v>-10.401970653103731</v>
      </c>
      <c r="K60" s="19">
        <v>1.05</v>
      </c>
      <c r="L60" s="19">
        <v>1.1000000000000001</v>
      </c>
      <c r="M60" s="19">
        <v>1</v>
      </c>
      <c r="N60" s="19">
        <v>1.02</v>
      </c>
      <c r="O60" s="19">
        <v>1.2</v>
      </c>
      <c r="P60" s="19">
        <v>1.2</v>
      </c>
      <c r="Q60" s="19">
        <v>1.5</v>
      </c>
      <c r="R60">
        <f t="shared" si="5"/>
        <v>0.24634371748562628</v>
      </c>
    </row>
    <row r="61" spans="1:21" s="11" customFormat="1" ht="16" x14ac:dyDescent="0.2">
      <c r="A61" s="47" t="s">
        <v>461</v>
      </c>
      <c r="B61" s="48">
        <f>(0.09*1000)/2963200</f>
        <v>3.0372570194384448E-5</v>
      </c>
      <c r="C61" s="47"/>
      <c r="D61" s="47" t="s">
        <v>459</v>
      </c>
      <c r="E61" s="47" t="s">
        <v>454</v>
      </c>
      <c r="F61" s="47" t="s">
        <v>14</v>
      </c>
      <c r="H61" s="47" t="s">
        <v>460</v>
      </c>
      <c r="I61" s="11">
        <v>2</v>
      </c>
      <c r="J61">
        <f t="shared" si="4"/>
        <v>-10.401970653103731</v>
      </c>
      <c r="K61" s="19">
        <v>1.05</v>
      </c>
      <c r="L61" s="19">
        <v>1.1000000000000001</v>
      </c>
      <c r="M61" s="19">
        <v>1</v>
      </c>
      <c r="N61" s="19">
        <v>1.02</v>
      </c>
      <c r="O61" s="19">
        <v>1.2</v>
      </c>
      <c r="P61" s="19">
        <v>1.2</v>
      </c>
      <c r="Q61" s="19">
        <v>1.5</v>
      </c>
      <c r="R61">
        <f t="shared" si="5"/>
        <v>0.24634371748562628</v>
      </c>
    </row>
    <row r="62" spans="1:21" s="11" customFormat="1" ht="16" x14ac:dyDescent="0.2">
      <c r="K62" s="12"/>
      <c r="L62" s="12"/>
      <c r="M62" s="12"/>
      <c r="N62" s="12"/>
      <c r="O62" s="12"/>
      <c r="P62" s="12"/>
    </row>
    <row r="63" spans="1:21" s="11" customFormat="1" ht="16" x14ac:dyDescent="0.2">
      <c r="A63" s="8" t="s">
        <v>1</v>
      </c>
      <c r="B63" s="9" t="s">
        <v>496</v>
      </c>
      <c r="C63" s="10"/>
      <c r="K63" s="12"/>
      <c r="L63" s="12"/>
      <c r="M63" s="12"/>
      <c r="N63" s="12"/>
      <c r="O63" s="12"/>
      <c r="P63" s="12"/>
    </row>
    <row r="64" spans="1:21" s="11" customFormat="1" ht="16" x14ac:dyDescent="0.2">
      <c r="A64" s="13" t="s">
        <v>3</v>
      </c>
      <c r="B64" s="14">
        <v>1</v>
      </c>
      <c r="K64" s="12"/>
      <c r="L64" s="12"/>
      <c r="M64" s="12"/>
      <c r="N64" s="12"/>
      <c r="O64" s="12"/>
      <c r="P64" s="12"/>
    </row>
    <row r="65" spans="1:21" s="11" customFormat="1" ht="16" x14ac:dyDescent="0.2">
      <c r="A65" s="13" t="s">
        <v>11</v>
      </c>
      <c r="B65" s="14" t="s">
        <v>552</v>
      </c>
      <c r="K65" s="12"/>
      <c r="L65" s="12"/>
      <c r="M65" s="12"/>
      <c r="N65" s="12"/>
      <c r="O65" s="12"/>
      <c r="P65" s="12"/>
    </row>
    <row r="66" spans="1:21" s="11" customFormat="1" ht="16" x14ac:dyDescent="0.2">
      <c r="A66" s="13" t="s">
        <v>4</v>
      </c>
      <c r="B66" s="15" t="s">
        <v>122</v>
      </c>
      <c r="K66" s="12"/>
      <c r="L66" s="12"/>
      <c r="M66" s="12"/>
      <c r="N66" s="12"/>
      <c r="O66" s="12"/>
      <c r="P66" s="12"/>
    </row>
    <row r="67" spans="1:21" s="11" customFormat="1" ht="16" x14ac:dyDescent="0.2">
      <c r="A67" s="13" t="s">
        <v>2</v>
      </c>
      <c r="B67" s="14" t="s">
        <v>34</v>
      </c>
      <c r="K67" s="12"/>
      <c r="L67" s="12"/>
      <c r="M67" s="12"/>
      <c r="N67" s="12"/>
      <c r="O67" s="12"/>
      <c r="P67" s="12"/>
    </row>
    <row r="68" spans="1:21" s="11" customFormat="1" ht="16" x14ac:dyDescent="0.2">
      <c r="A68" s="13" t="s">
        <v>6</v>
      </c>
      <c r="B68" s="16" t="s">
        <v>13</v>
      </c>
      <c r="H68" s="17"/>
      <c r="I68" s="17"/>
      <c r="J68" s="17"/>
      <c r="K68" s="12"/>
      <c r="L68" s="12"/>
      <c r="M68" s="12"/>
      <c r="N68" s="12"/>
      <c r="O68" s="12"/>
      <c r="P68" s="12"/>
    </row>
    <row r="69" spans="1:21" s="11" customFormat="1" ht="16" x14ac:dyDescent="0.2">
      <c r="A69" s="17" t="s">
        <v>7</v>
      </c>
      <c r="B69" s="9"/>
      <c r="C69" s="17"/>
      <c r="D69" s="17"/>
      <c r="E69" s="17"/>
      <c r="F69" s="17"/>
      <c r="G69" s="17"/>
      <c r="H69" s="10"/>
      <c r="I69" s="10"/>
      <c r="J69" s="10"/>
      <c r="K69" s="12"/>
      <c r="L69" s="12"/>
      <c r="M69" s="12"/>
      <c r="N69" s="12"/>
      <c r="O69" s="12"/>
      <c r="P69" s="12"/>
    </row>
    <row r="70" spans="1:21" s="11" customFormat="1" ht="16" x14ac:dyDescent="0.2">
      <c r="A70" s="17" t="s">
        <v>8</v>
      </c>
      <c r="B70" s="17" t="s">
        <v>9</v>
      </c>
      <c r="C70" s="17" t="s">
        <v>2</v>
      </c>
      <c r="D70" s="17" t="s">
        <v>6</v>
      </c>
      <c r="E70" s="17" t="s">
        <v>10</v>
      </c>
      <c r="F70" s="17" t="s">
        <v>5</v>
      </c>
      <c r="G70" s="17" t="s">
        <v>4</v>
      </c>
      <c r="H70" s="17" t="s">
        <v>11</v>
      </c>
      <c r="I70" s="17" t="s">
        <v>466</v>
      </c>
      <c r="J70" s="7" t="s">
        <v>467</v>
      </c>
      <c r="K70" s="18" t="s">
        <v>468</v>
      </c>
      <c r="L70" s="18" t="s">
        <v>469</v>
      </c>
      <c r="M70" s="18" t="s">
        <v>470</v>
      </c>
      <c r="N70" s="18" t="s">
        <v>471</v>
      </c>
      <c r="O70" s="18" t="s">
        <v>472</v>
      </c>
      <c r="P70" s="18" t="s">
        <v>473</v>
      </c>
      <c r="Q70" s="7" t="s">
        <v>474</v>
      </c>
      <c r="R70" s="7" t="s">
        <v>475</v>
      </c>
      <c r="S70" s="17" t="s">
        <v>476</v>
      </c>
      <c r="T70" s="7" t="s">
        <v>477</v>
      </c>
      <c r="U70" s="17" t="s">
        <v>46</v>
      </c>
    </row>
    <row r="71" spans="1:21" s="11" customFormat="1" ht="16" x14ac:dyDescent="0.2">
      <c r="A71" s="16" t="str">
        <f>B63</f>
        <v>hydrogen production, gaseous, 30 bar, from PEM electrolysis, from onshore wind electricity</v>
      </c>
      <c r="B71" s="16">
        <v>1</v>
      </c>
      <c r="C71" s="11" t="str">
        <f>B67</f>
        <v>RER</v>
      </c>
      <c r="D71" s="11" t="str">
        <f>B68</f>
        <v>kilogram</v>
      </c>
      <c r="E71" s="10"/>
      <c r="F71" s="11" t="s">
        <v>16</v>
      </c>
      <c r="G71" s="11" t="s">
        <v>122</v>
      </c>
      <c r="H71" s="10"/>
      <c r="I71" s="10">
        <v>0</v>
      </c>
      <c r="K71" s="12"/>
      <c r="L71" s="12"/>
      <c r="M71" s="12"/>
      <c r="N71" s="12"/>
      <c r="O71" s="12"/>
      <c r="P71" s="12"/>
      <c r="T71"/>
    </row>
    <row r="72" spans="1:21" s="11" customFormat="1" ht="16" x14ac:dyDescent="0.2">
      <c r="A72" s="16" t="s">
        <v>55</v>
      </c>
      <c r="B72" s="11">
        <f>(1/2963200)*4</f>
        <v>1.3498920086393089E-6</v>
      </c>
      <c r="C72" s="11" t="s">
        <v>34</v>
      </c>
      <c r="D72" s="11" t="s">
        <v>6</v>
      </c>
      <c r="F72" s="11" t="s">
        <v>12</v>
      </c>
      <c r="G72" s="11" t="s">
        <v>47</v>
      </c>
      <c r="H72" s="11" t="s">
        <v>484</v>
      </c>
      <c r="I72" s="11">
        <v>5</v>
      </c>
      <c r="J72">
        <f>B72</f>
        <v>1.3498920086393089E-6</v>
      </c>
      <c r="K72" s="19"/>
      <c r="L72" s="19"/>
      <c r="M72" s="19"/>
      <c r="N72" s="19"/>
      <c r="O72" s="19"/>
      <c r="P72" s="19"/>
      <c r="Q72"/>
      <c r="R72"/>
      <c r="S72" s="11">
        <f>(1/(25*8000*18.52))*4</f>
        <v>1.0799136069114471E-6</v>
      </c>
      <c r="T72" s="11">
        <f>(1/(15*8000*18.52))*4</f>
        <v>1.7998560115190784E-6</v>
      </c>
    </row>
    <row r="73" spans="1:21" s="11" customFormat="1" ht="16" x14ac:dyDescent="0.2">
      <c r="A73" s="16" t="s">
        <v>80</v>
      </c>
      <c r="B73" s="11">
        <f>1/2963200</f>
        <v>3.3747300215982723E-7</v>
      </c>
      <c r="C73" s="11" t="s">
        <v>34</v>
      </c>
      <c r="D73" s="11" t="s">
        <v>6</v>
      </c>
      <c r="F73" s="11" t="s">
        <v>12</v>
      </c>
      <c r="G73" s="11" t="s">
        <v>48</v>
      </c>
      <c r="H73" s="11" t="s">
        <v>485</v>
      </c>
      <c r="I73" s="11">
        <v>5</v>
      </c>
      <c r="J73">
        <f>B73</f>
        <v>3.3747300215982723E-7</v>
      </c>
      <c r="K73" s="19"/>
      <c r="L73" s="19"/>
      <c r="M73" s="19"/>
      <c r="N73" s="19"/>
      <c r="O73" s="19"/>
      <c r="P73" s="19"/>
      <c r="Q73"/>
      <c r="R73"/>
      <c r="S73" s="11">
        <f>(1/(25*8000*18.52))</f>
        <v>2.6997840172786177E-7</v>
      </c>
      <c r="T73" s="11">
        <f>(1/(15*8000*18.52))</f>
        <v>4.4996400287976961E-7</v>
      </c>
    </row>
    <row r="74" spans="1:21" s="11" customFormat="1" ht="16" x14ac:dyDescent="0.2">
      <c r="A74" s="16" t="s">
        <v>504</v>
      </c>
      <c r="B74" s="11">
        <f>B72*-1</f>
        <v>-1.3498920086393089E-6</v>
      </c>
      <c r="C74" s="11" t="s">
        <v>34</v>
      </c>
      <c r="D74" s="11" t="s">
        <v>6</v>
      </c>
      <c r="F74" s="11" t="s">
        <v>12</v>
      </c>
      <c r="G74" s="11" t="s">
        <v>505</v>
      </c>
      <c r="H74" s="11" t="s">
        <v>215</v>
      </c>
      <c r="I74" s="11">
        <v>5</v>
      </c>
      <c r="J74">
        <f>B74</f>
        <v>-1.3498920086393089E-6</v>
      </c>
      <c r="K74" s="19"/>
      <c r="L74" s="19"/>
      <c r="M74" s="19"/>
      <c r="N74" s="19"/>
      <c r="O74" s="19"/>
      <c r="P74" s="19"/>
      <c r="Q74"/>
      <c r="R74"/>
      <c r="S74" s="11">
        <f>-1*T72</f>
        <v>-1.7998560115190784E-6</v>
      </c>
      <c r="T74" s="11">
        <f>-1*S72</f>
        <v>-1.0799136069114471E-6</v>
      </c>
      <c r="U74" s="11" t="b">
        <v>1</v>
      </c>
    </row>
    <row r="75" spans="1:21" s="11" customFormat="1" ht="16" x14ac:dyDescent="0.2">
      <c r="A75" s="16" t="s">
        <v>506</v>
      </c>
      <c r="B75" s="11">
        <f>-1*B73</f>
        <v>-3.3747300215982723E-7</v>
      </c>
      <c r="C75" s="11" t="s">
        <v>34</v>
      </c>
      <c r="D75" s="11" t="s">
        <v>6</v>
      </c>
      <c r="F75" s="11" t="s">
        <v>12</v>
      </c>
      <c r="G75" s="11" t="s">
        <v>507</v>
      </c>
      <c r="H75" s="11" t="s">
        <v>225</v>
      </c>
      <c r="I75" s="11">
        <v>5</v>
      </c>
      <c r="J75">
        <f>B75</f>
        <v>-3.3747300215982723E-7</v>
      </c>
      <c r="K75" s="19"/>
      <c r="L75" s="19"/>
      <c r="M75" s="19"/>
      <c r="N75" s="19"/>
      <c r="O75" s="19"/>
      <c r="P75" s="19"/>
      <c r="Q75"/>
      <c r="R75"/>
      <c r="S75" s="11">
        <f>-1*T73</f>
        <v>-4.4996400287976961E-7</v>
      </c>
      <c r="T75" s="11">
        <f>-1*S73</f>
        <v>-2.6997840172786177E-7</v>
      </c>
      <c r="U75" s="11" t="b">
        <v>1</v>
      </c>
    </row>
    <row r="76" spans="1:21" s="11" customFormat="1" ht="16" x14ac:dyDescent="0.2">
      <c r="A76" s="13" t="s">
        <v>492</v>
      </c>
      <c r="B76" s="16">
        <v>54</v>
      </c>
      <c r="C76" s="11" t="s">
        <v>493</v>
      </c>
      <c r="D76" s="11" t="s">
        <v>35</v>
      </c>
      <c r="E76" s="10"/>
      <c r="F76" s="11" t="s">
        <v>12</v>
      </c>
      <c r="G76" s="11" t="s">
        <v>494</v>
      </c>
      <c r="H76" s="10" t="s">
        <v>495</v>
      </c>
      <c r="I76" s="11">
        <v>5</v>
      </c>
      <c r="J76" s="4">
        <f>B76</f>
        <v>54</v>
      </c>
      <c r="K76" s="19"/>
      <c r="L76" s="19"/>
      <c r="M76" s="19"/>
      <c r="N76" s="19"/>
      <c r="O76" s="19"/>
      <c r="P76" s="19"/>
      <c r="Q76"/>
      <c r="R76"/>
      <c r="S76" s="11">
        <v>52.9</v>
      </c>
      <c r="T76" s="11">
        <v>55.1</v>
      </c>
    </row>
    <row r="77" spans="1:21" s="11" customFormat="1" ht="16" x14ac:dyDescent="0.2">
      <c r="A77" s="13" t="s">
        <v>516</v>
      </c>
      <c r="B77" s="16">
        <v>14</v>
      </c>
      <c r="C77" s="11" t="s">
        <v>34</v>
      </c>
      <c r="D77" s="11" t="s">
        <v>13</v>
      </c>
      <c r="F77" s="11" t="s">
        <v>12</v>
      </c>
      <c r="G77" s="11" t="s">
        <v>517</v>
      </c>
      <c r="H77" s="20" t="s">
        <v>54</v>
      </c>
      <c r="I77" s="11">
        <v>0</v>
      </c>
      <c r="J77"/>
      <c r="K77" s="19"/>
      <c r="L77" s="19"/>
      <c r="M77" s="19"/>
      <c r="N77" s="19"/>
      <c r="O77" s="19"/>
      <c r="P77" s="19"/>
      <c r="Q77"/>
      <c r="R77"/>
    </row>
    <row r="78" spans="1:21" s="11" customFormat="1" ht="16" x14ac:dyDescent="0.2">
      <c r="A78" s="21" t="s">
        <v>38</v>
      </c>
      <c r="B78" s="15">
        <v>8</v>
      </c>
      <c r="C78" s="21"/>
      <c r="D78" s="21" t="s">
        <v>13</v>
      </c>
      <c r="E78" s="21" t="s">
        <v>39</v>
      </c>
      <c r="F78" s="21" t="s">
        <v>14</v>
      </c>
      <c r="G78" s="21"/>
      <c r="H78" s="22"/>
      <c r="I78" s="11">
        <v>0</v>
      </c>
      <c r="J78"/>
      <c r="K78" s="19"/>
      <c r="L78" s="19"/>
      <c r="M78" s="19"/>
      <c r="N78" s="19"/>
      <c r="O78" s="19"/>
      <c r="P78" s="19"/>
      <c r="Q78" s="19"/>
      <c r="R78"/>
    </row>
    <row r="79" spans="1:21" s="11" customFormat="1" ht="16" x14ac:dyDescent="0.2">
      <c r="A79" s="47" t="s">
        <v>456</v>
      </c>
      <c r="B79" s="48">
        <f>(0.09*1000)/(2963200/20)</f>
        <v>6.0745140388768898E-4</v>
      </c>
      <c r="C79" s="47"/>
      <c r="D79" s="47" t="s">
        <v>453</v>
      </c>
      <c r="E79" s="47" t="s">
        <v>454</v>
      </c>
      <c r="F79" s="47" t="s">
        <v>14</v>
      </c>
      <c r="H79" s="47" t="s">
        <v>457</v>
      </c>
      <c r="I79" s="11">
        <v>2</v>
      </c>
      <c r="J79">
        <f t="shared" ref="J79:J81" si="6">LN(B79)</f>
        <v>-7.4062383795497411</v>
      </c>
      <c r="K79" s="19">
        <v>1.05</v>
      </c>
      <c r="L79" s="19">
        <v>1.1000000000000001</v>
      </c>
      <c r="M79" s="19">
        <v>1</v>
      </c>
      <c r="N79" s="19">
        <v>1.02</v>
      </c>
      <c r="O79" s="19">
        <v>1.2</v>
      </c>
      <c r="P79" s="19">
        <v>1.2</v>
      </c>
      <c r="Q79" s="19">
        <v>1.5</v>
      </c>
      <c r="R79">
        <f t="shared" ref="R79:R81" si="7">LN(SQRT(EXP(
SQRT(
+POWER(LN(K79),2)
+POWER(LN(L79),2)
+POWER(LN(M79),2)
+POWER(LN(N79),2)
+POWER(LN(O79),2)
+POWER(LN(P79),2)
+POWER(LN(Q79),2)
)
)))</f>
        <v>0.24634371748562628</v>
      </c>
    </row>
    <row r="80" spans="1:21" s="11" customFormat="1" ht="16" x14ac:dyDescent="0.2">
      <c r="A80" s="47" t="s">
        <v>458</v>
      </c>
      <c r="B80" s="48">
        <f>(0.09*1000)/2963200</f>
        <v>3.0372570194384448E-5</v>
      </c>
      <c r="C80" s="47"/>
      <c r="D80" s="47" t="s">
        <v>459</v>
      </c>
      <c r="E80" s="47" t="s">
        <v>454</v>
      </c>
      <c r="F80" s="47" t="s">
        <v>14</v>
      </c>
      <c r="H80" s="47" t="s">
        <v>460</v>
      </c>
      <c r="I80" s="11">
        <v>2</v>
      </c>
      <c r="J80">
        <f t="shared" si="6"/>
        <v>-10.401970653103731</v>
      </c>
      <c r="K80" s="19">
        <v>1.05</v>
      </c>
      <c r="L80" s="19">
        <v>1.1000000000000001</v>
      </c>
      <c r="M80" s="19">
        <v>1</v>
      </c>
      <c r="N80" s="19">
        <v>1.02</v>
      </c>
      <c r="O80" s="19">
        <v>1.2</v>
      </c>
      <c r="P80" s="19">
        <v>1.2</v>
      </c>
      <c r="Q80" s="19">
        <v>1.5</v>
      </c>
      <c r="R80">
        <f t="shared" si="7"/>
        <v>0.24634371748562628</v>
      </c>
    </row>
    <row r="81" spans="1:21" s="11" customFormat="1" ht="16" x14ac:dyDescent="0.2">
      <c r="A81" s="47" t="s">
        <v>461</v>
      </c>
      <c r="B81" s="48">
        <f>(0.09*1000)/2963200</f>
        <v>3.0372570194384448E-5</v>
      </c>
      <c r="C81" s="47"/>
      <c r="D81" s="47" t="s">
        <v>459</v>
      </c>
      <c r="E81" s="47" t="s">
        <v>454</v>
      </c>
      <c r="F81" s="47" t="s">
        <v>14</v>
      </c>
      <c r="H81" s="47" t="s">
        <v>460</v>
      </c>
      <c r="I81" s="11">
        <v>2</v>
      </c>
      <c r="J81">
        <f t="shared" si="6"/>
        <v>-10.401970653103731</v>
      </c>
      <c r="K81" s="19">
        <v>1.05</v>
      </c>
      <c r="L81" s="19">
        <v>1.1000000000000001</v>
      </c>
      <c r="M81" s="19">
        <v>1</v>
      </c>
      <c r="N81" s="19">
        <v>1.02</v>
      </c>
      <c r="O81" s="19">
        <v>1.2</v>
      </c>
      <c r="P81" s="19">
        <v>1.2</v>
      </c>
      <c r="Q81" s="19">
        <v>1.5</v>
      </c>
      <c r="R81">
        <f t="shared" si="7"/>
        <v>0.24634371748562628</v>
      </c>
    </row>
    <row r="82" spans="1:21" s="11" customFormat="1" ht="16" x14ac:dyDescent="0.2">
      <c r="K82" s="12"/>
      <c r="L82" s="12"/>
      <c r="M82" s="12"/>
      <c r="N82" s="12"/>
      <c r="O82" s="12"/>
      <c r="P82" s="12"/>
    </row>
    <row r="83" spans="1:21" s="11" customFormat="1" ht="16" x14ac:dyDescent="0.2">
      <c r="A83" s="8" t="s">
        <v>1</v>
      </c>
      <c r="B83" s="9" t="s">
        <v>497</v>
      </c>
      <c r="C83" s="10"/>
      <c r="K83" s="12"/>
      <c r="L83" s="12"/>
      <c r="M83" s="12"/>
      <c r="N83" s="12"/>
      <c r="O83" s="12"/>
      <c r="P83" s="12"/>
    </row>
    <row r="84" spans="1:21" s="11" customFormat="1" ht="16" x14ac:dyDescent="0.2">
      <c r="A84" s="13" t="s">
        <v>3</v>
      </c>
      <c r="B84" s="14">
        <v>1</v>
      </c>
      <c r="K84" s="12"/>
      <c r="L84" s="12"/>
      <c r="M84" s="12"/>
      <c r="N84" s="12"/>
      <c r="O84" s="12"/>
      <c r="P84" s="12"/>
    </row>
    <row r="85" spans="1:21" s="11" customFormat="1" ht="16" x14ac:dyDescent="0.2">
      <c r="A85" s="13" t="s">
        <v>11</v>
      </c>
      <c r="B85" s="14" t="s">
        <v>553</v>
      </c>
      <c r="K85" s="12"/>
      <c r="L85" s="12"/>
      <c r="M85" s="12"/>
      <c r="N85" s="12"/>
      <c r="O85" s="12"/>
      <c r="P85" s="12"/>
    </row>
    <row r="86" spans="1:21" s="11" customFormat="1" ht="16" x14ac:dyDescent="0.2">
      <c r="A86" s="13" t="s">
        <v>4</v>
      </c>
      <c r="B86" s="15" t="s">
        <v>122</v>
      </c>
      <c r="K86" s="12"/>
      <c r="L86" s="12"/>
      <c r="M86" s="12"/>
      <c r="N86" s="12"/>
      <c r="O86" s="12"/>
      <c r="P86" s="12"/>
    </row>
    <row r="87" spans="1:21" s="11" customFormat="1" ht="16" x14ac:dyDescent="0.2">
      <c r="A87" s="13" t="s">
        <v>2</v>
      </c>
      <c r="B87" s="14" t="s">
        <v>34</v>
      </c>
      <c r="K87" s="12"/>
      <c r="L87" s="12"/>
      <c r="M87" s="12"/>
      <c r="N87" s="12"/>
      <c r="O87" s="12"/>
      <c r="P87" s="12"/>
    </row>
    <row r="88" spans="1:21" s="11" customFormat="1" ht="16" x14ac:dyDescent="0.2">
      <c r="A88" s="13" t="s">
        <v>6</v>
      </c>
      <c r="B88" s="16" t="s">
        <v>13</v>
      </c>
      <c r="H88" s="17"/>
      <c r="I88" s="17"/>
      <c r="J88" s="17"/>
      <c r="K88" s="12"/>
      <c r="L88" s="12"/>
      <c r="M88" s="12"/>
      <c r="N88" s="12"/>
      <c r="O88" s="12"/>
      <c r="P88" s="12"/>
    </row>
    <row r="89" spans="1:21" s="11" customFormat="1" ht="16" x14ac:dyDescent="0.2">
      <c r="A89" s="17" t="s">
        <v>7</v>
      </c>
      <c r="B89" s="9"/>
      <c r="C89" s="17"/>
      <c r="D89" s="17"/>
      <c r="E89" s="17"/>
      <c r="F89" s="17"/>
      <c r="G89" s="17"/>
      <c r="H89" s="10"/>
      <c r="I89" s="10"/>
      <c r="J89" s="10"/>
      <c r="K89" s="12"/>
      <c r="L89" s="12"/>
      <c r="M89" s="12"/>
      <c r="N89" s="12"/>
      <c r="O89" s="12"/>
      <c r="P89" s="12"/>
    </row>
    <row r="90" spans="1:21" s="11" customFormat="1" ht="16" x14ac:dyDescent="0.2">
      <c r="A90" s="17" t="s">
        <v>8</v>
      </c>
      <c r="B90" s="17" t="s">
        <v>9</v>
      </c>
      <c r="C90" s="17" t="s">
        <v>2</v>
      </c>
      <c r="D90" s="17" t="s">
        <v>6</v>
      </c>
      <c r="E90" s="17" t="s">
        <v>10</v>
      </c>
      <c r="F90" s="17" t="s">
        <v>5</v>
      </c>
      <c r="G90" s="17" t="s">
        <v>4</v>
      </c>
      <c r="H90" s="17" t="s">
        <v>11</v>
      </c>
      <c r="I90" s="17" t="s">
        <v>466</v>
      </c>
      <c r="J90" s="7" t="s">
        <v>467</v>
      </c>
      <c r="K90" s="18" t="s">
        <v>468</v>
      </c>
      <c r="L90" s="18" t="s">
        <v>469</v>
      </c>
      <c r="M90" s="18" t="s">
        <v>470</v>
      </c>
      <c r="N90" s="18" t="s">
        <v>471</v>
      </c>
      <c r="O90" s="18" t="s">
        <v>472</v>
      </c>
      <c r="P90" s="18" t="s">
        <v>473</v>
      </c>
      <c r="Q90" s="7" t="s">
        <v>474</v>
      </c>
      <c r="R90" s="7" t="s">
        <v>475</v>
      </c>
      <c r="S90" s="17" t="s">
        <v>476</v>
      </c>
      <c r="T90" s="7" t="s">
        <v>477</v>
      </c>
      <c r="U90" s="17" t="s">
        <v>46</v>
      </c>
    </row>
    <row r="91" spans="1:21" s="11" customFormat="1" ht="16" x14ac:dyDescent="0.2">
      <c r="A91" s="16" t="str">
        <f>B83</f>
        <v>hydrogen production, gaseous, 30 bar, from PEM electrolysis, from offshore wind electricity</v>
      </c>
      <c r="B91" s="16">
        <v>1</v>
      </c>
      <c r="C91" s="11" t="str">
        <f>B87</f>
        <v>RER</v>
      </c>
      <c r="D91" s="11" t="str">
        <f>B88</f>
        <v>kilogram</v>
      </c>
      <c r="E91" s="10"/>
      <c r="F91" s="11" t="s">
        <v>16</v>
      </c>
      <c r="G91" s="11" t="s">
        <v>122</v>
      </c>
      <c r="H91" s="10"/>
      <c r="I91" s="10">
        <v>0</v>
      </c>
      <c r="K91" s="12"/>
      <c r="L91" s="12"/>
      <c r="M91" s="12"/>
      <c r="N91" s="12"/>
      <c r="O91" s="12"/>
      <c r="P91" s="12"/>
      <c r="T91"/>
    </row>
    <row r="92" spans="1:21" s="11" customFormat="1" ht="16" x14ac:dyDescent="0.2">
      <c r="A92" s="16" t="s">
        <v>55</v>
      </c>
      <c r="B92" s="11">
        <f>(1/2963200)*4</f>
        <v>1.3498920086393089E-6</v>
      </c>
      <c r="C92" s="11" t="s">
        <v>34</v>
      </c>
      <c r="D92" s="11" t="s">
        <v>6</v>
      </c>
      <c r="F92" s="11" t="s">
        <v>12</v>
      </c>
      <c r="G92" s="11" t="s">
        <v>47</v>
      </c>
      <c r="H92" s="11" t="s">
        <v>484</v>
      </c>
      <c r="I92" s="11">
        <v>5</v>
      </c>
      <c r="J92">
        <f>B92</f>
        <v>1.3498920086393089E-6</v>
      </c>
      <c r="K92" s="19"/>
      <c r="L92" s="19"/>
      <c r="M92" s="19"/>
      <c r="N92" s="19"/>
      <c r="O92" s="19"/>
      <c r="P92" s="19"/>
      <c r="Q92"/>
      <c r="R92"/>
      <c r="S92" s="11">
        <f>(1/(25*8000*18.52))*4</f>
        <v>1.0799136069114471E-6</v>
      </c>
      <c r="T92" s="11">
        <f>(1/(15*8000*18.52))*4</f>
        <v>1.7998560115190784E-6</v>
      </c>
    </row>
    <row r="93" spans="1:21" s="11" customFormat="1" ht="16" x14ac:dyDescent="0.2">
      <c r="A93" s="16" t="s">
        <v>80</v>
      </c>
      <c r="B93" s="11">
        <f>1/2963200</f>
        <v>3.3747300215982723E-7</v>
      </c>
      <c r="C93" s="11" t="s">
        <v>34</v>
      </c>
      <c r="D93" s="11" t="s">
        <v>6</v>
      </c>
      <c r="F93" s="11" t="s">
        <v>12</v>
      </c>
      <c r="G93" s="11" t="s">
        <v>48</v>
      </c>
      <c r="H93" s="11" t="s">
        <v>485</v>
      </c>
      <c r="I93" s="11">
        <v>5</v>
      </c>
      <c r="J93">
        <f>B93</f>
        <v>3.3747300215982723E-7</v>
      </c>
      <c r="K93" s="19"/>
      <c r="L93" s="19"/>
      <c r="M93" s="19"/>
      <c r="N93" s="19"/>
      <c r="O93" s="19"/>
      <c r="P93" s="19"/>
      <c r="Q93"/>
      <c r="R93"/>
      <c r="S93" s="11">
        <f>(1/(25*8000*18.52))</f>
        <v>2.6997840172786177E-7</v>
      </c>
      <c r="T93" s="11">
        <f>(1/(15*8000*18.52))</f>
        <v>4.4996400287976961E-7</v>
      </c>
    </row>
    <row r="94" spans="1:21" s="11" customFormat="1" ht="16" x14ac:dyDescent="0.2">
      <c r="A94" s="16" t="s">
        <v>504</v>
      </c>
      <c r="B94" s="11">
        <f>B92*-1</f>
        <v>-1.3498920086393089E-6</v>
      </c>
      <c r="C94" s="11" t="s">
        <v>34</v>
      </c>
      <c r="D94" s="11" t="s">
        <v>6</v>
      </c>
      <c r="F94" s="11" t="s">
        <v>12</v>
      </c>
      <c r="G94" s="11" t="s">
        <v>505</v>
      </c>
      <c r="H94" s="11" t="s">
        <v>215</v>
      </c>
      <c r="I94" s="11">
        <v>5</v>
      </c>
      <c r="J94">
        <f>B94</f>
        <v>-1.3498920086393089E-6</v>
      </c>
      <c r="K94" s="19"/>
      <c r="L94" s="19"/>
      <c r="M94" s="19"/>
      <c r="N94" s="19"/>
      <c r="O94" s="19"/>
      <c r="P94" s="19"/>
      <c r="Q94"/>
      <c r="R94"/>
      <c r="S94" s="11">
        <f>-1*T92</f>
        <v>-1.7998560115190784E-6</v>
      </c>
      <c r="T94" s="11">
        <f>-1*S92</f>
        <v>-1.0799136069114471E-6</v>
      </c>
      <c r="U94" s="11" t="b">
        <v>1</v>
      </c>
    </row>
    <row r="95" spans="1:21" s="11" customFormat="1" ht="16" x14ac:dyDescent="0.2">
      <c r="A95" s="16" t="s">
        <v>506</v>
      </c>
      <c r="B95" s="11">
        <f>-1*B93</f>
        <v>-3.3747300215982723E-7</v>
      </c>
      <c r="C95" s="11" t="s">
        <v>34</v>
      </c>
      <c r="D95" s="11" t="s">
        <v>6</v>
      </c>
      <c r="F95" s="11" t="s">
        <v>12</v>
      </c>
      <c r="G95" s="11" t="s">
        <v>507</v>
      </c>
      <c r="H95" s="11" t="s">
        <v>225</v>
      </c>
      <c r="I95" s="11">
        <v>5</v>
      </c>
      <c r="J95">
        <f>B95</f>
        <v>-3.3747300215982723E-7</v>
      </c>
      <c r="K95" s="19"/>
      <c r="L95" s="19"/>
      <c r="M95" s="19"/>
      <c r="N95" s="19"/>
      <c r="O95" s="19"/>
      <c r="P95" s="19"/>
      <c r="Q95"/>
      <c r="R95"/>
      <c r="S95" s="11">
        <f>-1*T93</f>
        <v>-4.4996400287976961E-7</v>
      </c>
      <c r="T95" s="11">
        <f>-1*S93</f>
        <v>-2.6997840172786177E-7</v>
      </c>
      <c r="U95" s="11" t="b">
        <v>1</v>
      </c>
    </row>
    <row r="96" spans="1:21" s="11" customFormat="1" ht="16" x14ac:dyDescent="0.2">
      <c r="A96" s="13" t="s">
        <v>498</v>
      </c>
      <c r="B96" s="16">
        <v>54</v>
      </c>
      <c r="C96" s="11" t="s">
        <v>493</v>
      </c>
      <c r="D96" s="11" t="s">
        <v>35</v>
      </c>
      <c r="E96" s="10"/>
      <c r="F96" s="11" t="s">
        <v>12</v>
      </c>
      <c r="G96" s="11" t="s">
        <v>494</v>
      </c>
      <c r="H96" s="10" t="s">
        <v>499</v>
      </c>
      <c r="I96" s="11">
        <v>5</v>
      </c>
      <c r="J96" s="4">
        <f>B96</f>
        <v>54</v>
      </c>
      <c r="K96" s="19"/>
      <c r="L96" s="19"/>
      <c r="M96" s="19"/>
      <c r="N96" s="19"/>
      <c r="O96" s="19"/>
      <c r="P96" s="19"/>
      <c r="Q96"/>
      <c r="R96"/>
      <c r="S96" s="11">
        <v>52.9</v>
      </c>
      <c r="T96" s="11">
        <v>55.1</v>
      </c>
    </row>
    <row r="97" spans="1:21" s="11" customFormat="1" ht="16" x14ac:dyDescent="0.2">
      <c r="A97" s="13" t="s">
        <v>516</v>
      </c>
      <c r="B97" s="16">
        <v>14</v>
      </c>
      <c r="C97" s="11" t="s">
        <v>34</v>
      </c>
      <c r="D97" s="11" t="s">
        <v>13</v>
      </c>
      <c r="F97" s="11" t="s">
        <v>12</v>
      </c>
      <c r="G97" s="11" t="s">
        <v>517</v>
      </c>
      <c r="H97" s="20" t="s">
        <v>54</v>
      </c>
      <c r="I97" s="11">
        <v>0</v>
      </c>
      <c r="J97"/>
      <c r="K97" s="19"/>
      <c r="L97" s="19"/>
      <c r="M97" s="19"/>
      <c r="N97" s="19"/>
      <c r="O97" s="19"/>
      <c r="P97" s="19"/>
      <c r="Q97"/>
      <c r="R97"/>
    </row>
    <row r="98" spans="1:21" s="11" customFormat="1" ht="16" x14ac:dyDescent="0.2">
      <c r="A98" s="21" t="s">
        <v>38</v>
      </c>
      <c r="B98" s="15">
        <v>8</v>
      </c>
      <c r="C98" s="21"/>
      <c r="D98" s="21" t="s">
        <v>13</v>
      </c>
      <c r="E98" s="21" t="s">
        <v>39</v>
      </c>
      <c r="F98" s="21" t="s">
        <v>14</v>
      </c>
      <c r="G98" s="21"/>
      <c r="H98" s="22"/>
      <c r="I98" s="11">
        <v>0</v>
      </c>
      <c r="J98"/>
      <c r="K98" s="19"/>
      <c r="L98" s="19"/>
      <c r="M98" s="19"/>
      <c r="N98" s="19"/>
      <c r="O98" s="19"/>
      <c r="P98" s="19"/>
      <c r="Q98" s="19"/>
      <c r="R98"/>
    </row>
    <row r="99" spans="1:21" s="11" customFormat="1" ht="16" x14ac:dyDescent="0.2">
      <c r="A99" s="47" t="s">
        <v>456</v>
      </c>
      <c r="B99" s="48">
        <f>(0.09*1000)/(2963200/20)</f>
        <v>6.0745140388768898E-4</v>
      </c>
      <c r="C99" s="47"/>
      <c r="D99" s="47" t="s">
        <v>453</v>
      </c>
      <c r="E99" s="47" t="s">
        <v>454</v>
      </c>
      <c r="F99" s="47" t="s">
        <v>14</v>
      </c>
      <c r="H99" s="47" t="s">
        <v>457</v>
      </c>
      <c r="I99" s="11">
        <v>2</v>
      </c>
      <c r="J99">
        <f t="shared" ref="J99:J101" si="8">LN(B99)</f>
        <v>-7.4062383795497411</v>
      </c>
      <c r="K99" s="19">
        <v>1.05</v>
      </c>
      <c r="L99" s="19">
        <v>1.1000000000000001</v>
      </c>
      <c r="M99" s="19">
        <v>1</v>
      </c>
      <c r="N99" s="19">
        <v>1.02</v>
      </c>
      <c r="O99" s="19">
        <v>1.2</v>
      </c>
      <c r="P99" s="19">
        <v>1.2</v>
      </c>
      <c r="Q99" s="19">
        <v>1.5</v>
      </c>
      <c r="R99">
        <f t="shared" ref="R99:R101" si="9">LN(SQRT(EXP(
SQRT(
+POWER(LN(K99),2)
+POWER(LN(L99),2)
+POWER(LN(M99),2)
+POWER(LN(N99),2)
+POWER(LN(O99),2)
+POWER(LN(P99),2)
+POWER(LN(Q99),2)
)
)))</f>
        <v>0.24634371748562628</v>
      </c>
    </row>
    <row r="100" spans="1:21" s="11" customFormat="1" ht="16" x14ac:dyDescent="0.2">
      <c r="A100" s="47" t="s">
        <v>458</v>
      </c>
      <c r="B100" s="48">
        <f>(0.09*1000)/2963200</f>
        <v>3.0372570194384448E-5</v>
      </c>
      <c r="C100" s="47"/>
      <c r="D100" s="47" t="s">
        <v>459</v>
      </c>
      <c r="E100" s="47" t="s">
        <v>454</v>
      </c>
      <c r="F100" s="47" t="s">
        <v>14</v>
      </c>
      <c r="H100" s="47" t="s">
        <v>460</v>
      </c>
      <c r="I100" s="11">
        <v>2</v>
      </c>
      <c r="J100">
        <f t="shared" si="8"/>
        <v>-10.401970653103731</v>
      </c>
      <c r="K100" s="19">
        <v>1.05</v>
      </c>
      <c r="L100" s="19">
        <v>1.1000000000000001</v>
      </c>
      <c r="M100" s="19">
        <v>1</v>
      </c>
      <c r="N100" s="19">
        <v>1.02</v>
      </c>
      <c r="O100" s="19">
        <v>1.2</v>
      </c>
      <c r="P100" s="19">
        <v>1.2</v>
      </c>
      <c r="Q100" s="19">
        <v>1.5</v>
      </c>
      <c r="R100">
        <f t="shared" si="9"/>
        <v>0.24634371748562628</v>
      </c>
    </row>
    <row r="101" spans="1:21" s="11" customFormat="1" ht="16" x14ac:dyDescent="0.2">
      <c r="A101" s="47" t="s">
        <v>461</v>
      </c>
      <c r="B101" s="48">
        <f>(0.09*1000)/2963200</f>
        <v>3.0372570194384448E-5</v>
      </c>
      <c r="C101" s="47"/>
      <c r="D101" s="47" t="s">
        <v>459</v>
      </c>
      <c r="E101" s="47" t="s">
        <v>454</v>
      </c>
      <c r="F101" s="47" t="s">
        <v>14</v>
      </c>
      <c r="H101" s="47" t="s">
        <v>460</v>
      </c>
      <c r="I101" s="11">
        <v>2</v>
      </c>
      <c r="J101">
        <f t="shared" si="8"/>
        <v>-10.401970653103731</v>
      </c>
      <c r="K101" s="19">
        <v>1.05</v>
      </c>
      <c r="L101" s="19">
        <v>1.1000000000000001</v>
      </c>
      <c r="M101" s="19">
        <v>1</v>
      </c>
      <c r="N101" s="19">
        <v>1.02</v>
      </c>
      <c r="O101" s="19">
        <v>1.2</v>
      </c>
      <c r="P101" s="19">
        <v>1.2</v>
      </c>
      <c r="Q101" s="19">
        <v>1.5</v>
      </c>
      <c r="R101">
        <f t="shared" si="9"/>
        <v>0.24634371748562628</v>
      </c>
    </row>
    <row r="102" spans="1:21" s="11" customFormat="1" ht="16" x14ac:dyDescent="0.2">
      <c r="K102" s="12"/>
      <c r="L102" s="12"/>
      <c r="M102" s="12"/>
      <c r="N102" s="12"/>
      <c r="O102" s="12"/>
      <c r="P102" s="12"/>
    </row>
    <row r="103" spans="1:21" s="11" customFormat="1" ht="16" x14ac:dyDescent="0.2">
      <c r="A103" s="8" t="s">
        <v>1</v>
      </c>
      <c r="B103" s="9" t="s">
        <v>500</v>
      </c>
      <c r="C103" s="10"/>
      <c r="K103" s="12"/>
      <c r="L103" s="12"/>
      <c r="M103" s="12"/>
      <c r="N103" s="12"/>
      <c r="O103" s="12"/>
      <c r="P103" s="12"/>
    </row>
    <row r="104" spans="1:21" s="11" customFormat="1" ht="16" x14ac:dyDescent="0.2">
      <c r="A104" s="13" t="s">
        <v>3</v>
      </c>
      <c r="B104" s="14">
        <v>1</v>
      </c>
      <c r="K104" s="12"/>
      <c r="L104" s="12"/>
      <c r="M104" s="12"/>
      <c r="N104" s="12"/>
      <c r="O104" s="12"/>
      <c r="P104" s="12"/>
    </row>
    <row r="105" spans="1:21" s="11" customFormat="1" ht="16" x14ac:dyDescent="0.2">
      <c r="A105" s="13" t="s">
        <v>11</v>
      </c>
      <c r="B105" s="14" t="s">
        <v>554</v>
      </c>
      <c r="K105" s="12"/>
      <c r="L105" s="12"/>
      <c r="M105" s="12"/>
      <c r="N105" s="12"/>
      <c r="O105" s="12"/>
      <c r="P105" s="12"/>
    </row>
    <row r="106" spans="1:21" s="11" customFormat="1" ht="16" x14ac:dyDescent="0.2">
      <c r="A106" s="13" t="s">
        <v>4</v>
      </c>
      <c r="B106" s="15" t="s">
        <v>122</v>
      </c>
      <c r="K106" s="12"/>
      <c r="L106" s="12"/>
      <c r="M106" s="12"/>
      <c r="N106" s="12"/>
      <c r="O106" s="12"/>
      <c r="P106" s="12"/>
    </row>
    <row r="107" spans="1:21" s="11" customFormat="1" ht="16" x14ac:dyDescent="0.2">
      <c r="A107" s="13" t="s">
        <v>2</v>
      </c>
      <c r="B107" s="14" t="s">
        <v>34</v>
      </c>
      <c r="K107" s="12"/>
      <c r="L107" s="12"/>
      <c r="M107" s="12"/>
      <c r="N107" s="12"/>
      <c r="O107" s="12"/>
      <c r="P107" s="12"/>
    </row>
    <row r="108" spans="1:21" s="11" customFormat="1" ht="16" x14ac:dyDescent="0.2">
      <c r="A108" s="13" t="s">
        <v>6</v>
      </c>
      <c r="B108" s="16" t="s">
        <v>13</v>
      </c>
      <c r="H108" s="17"/>
      <c r="I108" s="17"/>
      <c r="J108" s="17"/>
      <c r="K108" s="12"/>
      <c r="L108" s="12"/>
      <c r="M108" s="12"/>
      <c r="N108" s="12"/>
      <c r="O108" s="12"/>
      <c r="P108" s="12"/>
    </row>
    <row r="109" spans="1:21" s="11" customFormat="1" ht="16" x14ac:dyDescent="0.2">
      <c r="A109" s="17" t="s">
        <v>7</v>
      </c>
      <c r="B109" s="9"/>
      <c r="C109" s="17"/>
      <c r="D109" s="17"/>
      <c r="E109" s="17"/>
      <c r="F109" s="17"/>
      <c r="G109" s="17"/>
      <c r="H109" s="10"/>
      <c r="I109" s="10"/>
      <c r="J109" s="10"/>
      <c r="K109" s="12"/>
      <c r="L109" s="12"/>
      <c r="M109" s="12"/>
      <c r="N109" s="12"/>
      <c r="O109" s="12"/>
      <c r="P109" s="12"/>
    </row>
    <row r="110" spans="1:21" s="11" customFormat="1" ht="16" x14ac:dyDescent="0.2">
      <c r="A110" s="17" t="s">
        <v>8</v>
      </c>
      <c r="B110" s="17" t="s">
        <v>9</v>
      </c>
      <c r="C110" s="17" t="s">
        <v>2</v>
      </c>
      <c r="D110" s="17" t="s">
        <v>6</v>
      </c>
      <c r="E110" s="17" t="s">
        <v>10</v>
      </c>
      <c r="F110" s="17" t="s">
        <v>5</v>
      </c>
      <c r="G110" s="17" t="s">
        <v>4</v>
      </c>
      <c r="H110" s="17" t="s">
        <v>11</v>
      </c>
      <c r="I110" s="17" t="s">
        <v>466</v>
      </c>
      <c r="J110" s="7" t="s">
        <v>467</v>
      </c>
      <c r="K110" s="18" t="s">
        <v>468</v>
      </c>
      <c r="L110" s="18" t="s">
        <v>469</v>
      </c>
      <c r="M110" s="18" t="s">
        <v>470</v>
      </c>
      <c r="N110" s="18" t="s">
        <v>471</v>
      </c>
      <c r="O110" s="18" t="s">
        <v>472</v>
      </c>
      <c r="P110" s="18" t="s">
        <v>473</v>
      </c>
      <c r="Q110" s="7" t="s">
        <v>474</v>
      </c>
      <c r="R110" s="7" t="s">
        <v>475</v>
      </c>
      <c r="S110" s="17" t="s">
        <v>476</v>
      </c>
      <c r="T110" s="7" t="s">
        <v>477</v>
      </c>
      <c r="U110" s="17" t="s">
        <v>46</v>
      </c>
    </row>
    <row r="111" spans="1:21" s="11" customFormat="1" ht="16" x14ac:dyDescent="0.2">
      <c r="A111" s="16" t="str">
        <f>B103</f>
        <v>hydrogen production, gaseous, 30 bar, from PEM electrolysis, from geothermal electricity</v>
      </c>
      <c r="B111" s="16">
        <v>1</v>
      </c>
      <c r="C111" s="11" t="str">
        <f>B107</f>
        <v>RER</v>
      </c>
      <c r="D111" s="11" t="str">
        <f>B108</f>
        <v>kilogram</v>
      </c>
      <c r="E111" s="10"/>
      <c r="F111" s="11" t="s">
        <v>16</v>
      </c>
      <c r="G111" s="11" t="s">
        <v>122</v>
      </c>
      <c r="H111" s="10"/>
      <c r="I111" s="10">
        <v>0</v>
      </c>
      <c r="K111" s="12"/>
      <c r="L111" s="12"/>
      <c r="M111" s="12"/>
      <c r="N111" s="12"/>
      <c r="O111" s="12"/>
      <c r="P111" s="12"/>
      <c r="T111"/>
    </row>
    <row r="112" spans="1:21" s="11" customFormat="1" ht="16" x14ac:dyDescent="0.2">
      <c r="A112" s="16" t="s">
        <v>55</v>
      </c>
      <c r="B112" s="11">
        <f>(1/2963200)*4</f>
        <v>1.3498920086393089E-6</v>
      </c>
      <c r="C112" s="11" t="s">
        <v>34</v>
      </c>
      <c r="D112" s="11" t="s">
        <v>6</v>
      </c>
      <c r="F112" s="11" t="s">
        <v>12</v>
      </c>
      <c r="G112" s="11" t="s">
        <v>47</v>
      </c>
      <c r="H112" s="11" t="s">
        <v>484</v>
      </c>
      <c r="I112" s="11">
        <v>5</v>
      </c>
      <c r="J112">
        <f>B112</f>
        <v>1.3498920086393089E-6</v>
      </c>
      <c r="K112" s="19"/>
      <c r="L112" s="19"/>
      <c r="M112" s="19"/>
      <c r="N112" s="19"/>
      <c r="O112" s="19"/>
      <c r="P112" s="19"/>
      <c r="Q112"/>
      <c r="R112"/>
      <c r="S112" s="11">
        <f>(1/(25*8000*18.52))*4</f>
        <v>1.0799136069114471E-6</v>
      </c>
      <c r="T112" s="11">
        <f>(1/(15*8000*18.52))*4</f>
        <v>1.7998560115190784E-6</v>
      </c>
    </row>
    <row r="113" spans="1:21" s="11" customFormat="1" ht="16" x14ac:dyDescent="0.2">
      <c r="A113" s="16" t="s">
        <v>80</v>
      </c>
      <c r="B113" s="11">
        <f>1/2963200</f>
        <v>3.3747300215982723E-7</v>
      </c>
      <c r="C113" s="11" t="s">
        <v>34</v>
      </c>
      <c r="D113" s="11" t="s">
        <v>6</v>
      </c>
      <c r="F113" s="11" t="s">
        <v>12</v>
      </c>
      <c r="G113" s="11" t="s">
        <v>48</v>
      </c>
      <c r="H113" s="11" t="s">
        <v>485</v>
      </c>
      <c r="I113" s="11">
        <v>5</v>
      </c>
      <c r="J113">
        <f>B113</f>
        <v>3.3747300215982723E-7</v>
      </c>
      <c r="K113" s="19"/>
      <c r="L113" s="19"/>
      <c r="M113" s="19"/>
      <c r="N113" s="19"/>
      <c r="O113" s="19"/>
      <c r="P113" s="19"/>
      <c r="Q113"/>
      <c r="R113"/>
      <c r="S113" s="11">
        <f>(1/(25*8000*18.52))</f>
        <v>2.6997840172786177E-7</v>
      </c>
      <c r="T113" s="11">
        <f>(1/(15*8000*18.52))</f>
        <v>4.4996400287976961E-7</v>
      </c>
    </row>
    <row r="114" spans="1:21" s="11" customFormat="1" ht="16" x14ac:dyDescent="0.2">
      <c r="A114" s="16" t="s">
        <v>504</v>
      </c>
      <c r="B114" s="11">
        <f>B112*-1</f>
        <v>-1.3498920086393089E-6</v>
      </c>
      <c r="C114" s="11" t="s">
        <v>34</v>
      </c>
      <c r="D114" s="11" t="s">
        <v>6</v>
      </c>
      <c r="F114" s="11" t="s">
        <v>12</v>
      </c>
      <c r="G114" s="11" t="s">
        <v>505</v>
      </c>
      <c r="H114" s="11" t="s">
        <v>215</v>
      </c>
      <c r="I114" s="11">
        <v>5</v>
      </c>
      <c r="J114">
        <f>B114</f>
        <v>-1.3498920086393089E-6</v>
      </c>
      <c r="K114" s="19"/>
      <c r="L114" s="19"/>
      <c r="M114" s="19"/>
      <c r="N114" s="19"/>
      <c r="O114" s="19"/>
      <c r="P114" s="19"/>
      <c r="Q114"/>
      <c r="R114"/>
      <c r="S114" s="11">
        <f>-1*T112</f>
        <v>-1.7998560115190784E-6</v>
      </c>
      <c r="T114" s="11">
        <f>-1*S112</f>
        <v>-1.0799136069114471E-6</v>
      </c>
      <c r="U114" s="11" t="b">
        <v>1</v>
      </c>
    </row>
    <row r="115" spans="1:21" s="11" customFormat="1" ht="16" x14ac:dyDescent="0.2">
      <c r="A115" s="16" t="s">
        <v>506</v>
      </c>
      <c r="B115" s="11">
        <f>-1*B113</f>
        <v>-3.3747300215982723E-7</v>
      </c>
      <c r="C115" s="11" t="s">
        <v>34</v>
      </c>
      <c r="D115" s="11" t="s">
        <v>6</v>
      </c>
      <c r="F115" s="11" t="s">
        <v>12</v>
      </c>
      <c r="G115" s="11" t="s">
        <v>507</v>
      </c>
      <c r="H115" s="11" t="s">
        <v>225</v>
      </c>
      <c r="I115" s="11">
        <v>5</v>
      </c>
      <c r="J115">
        <f>B115</f>
        <v>-3.3747300215982723E-7</v>
      </c>
      <c r="K115" s="19"/>
      <c r="L115" s="19"/>
      <c r="M115" s="19"/>
      <c r="N115" s="19"/>
      <c r="O115" s="19"/>
      <c r="P115" s="19"/>
      <c r="Q115"/>
      <c r="R115"/>
      <c r="S115" s="11">
        <f>-1*T113</f>
        <v>-4.4996400287976961E-7</v>
      </c>
      <c r="T115" s="11">
        <f>-1*S113</f>
        <v>-2.6997840172786177E-7</v>
      </c>
      <c r="U115" s="11" t="b">
        <v>1</v>
      </c>
    </row>
    <row r="116" spans="1:21" s="11" customFormat="1" ht="16" x14ac:dyDescent="0.2">
      <c r="A116" s="13" t="s">
        <v>501</v>
      </c>
      <c r="B116" s="16">
        <v>54</v>
      </c>
      <c r="C116" s="11" t="s">
        <v>212</v>
      </c>
      <c r="D116" s="11" t="s">
        <v>35</v>
      </c>
      <c r="E116" s="10"/>
      <c r="F116" s="11" t="s">
        <v>12</v>
      </c>
      <c r="G116" s="11" t="s">
        <v>494</v>
      </c>
      <c r="H116" s="10" t="s">
        <v>499</v>
      </c>
      <c r="I116" s="11">
        <v>5</v>
      </c>
      <c r="J116" s="4">
        <f>B116</f>
        <v>54</v>
      </c>
      <c r="K116" s="19"/>
      <c r="L116" s="19"/>
      <c r="M116" s="19"/>
      <c r="N116" s="19"/>
      <c r="O116" s="19"/>
      <c r="P116" s="19"/>
      <c r="Q116"/>
      <c r="R116"/>
      <c r="S116" s="11">
        <v>52.9</v>
      </c>
      <c r="T116" s="11">
        <v>55.1</v>
      </c>
    </row>
    <row r="117" spans="1:21" s="11" customFormat="1" ht="16" x14ac:dyDescent="0.2">
      <c r="A117" s="13" t="s">
        <v>516</v>
      </c>
      <c r="B117" s="16">
        <v>14</v>
      </c>
      <c r="C117" s="11" t="s">
        <v>34</v>
      </c>
      <c r="D117" s="11" t="s">
        <v>13</v>
      </c>
      <c r="F117" s="11" t="s">
        <v>12</v>
      </c>
      <c r="G117" s="11" t="s">
        <v>517</v>
      </c>
      <c r="H117" s="20" t="s">
        <v>54</v>
      </c>
      <c r="I117" s="11">
        <v>0</v>
      </c>
      <c r="J117"/>
      <c r="K117" s="19"/>
      <c r="L117" s="19"/>
      <c r="M117" s="19"/>
      <c r="N117" s="19"/>
      <c r="O117" s="19"/>
      <c r="P117" s="19"/>
      <c r="Q117"/>
      <c r="R117"/>
    </row>
    <row r="118" spans="1:21" s="11" customFormat="1" ht="16" x14ac:dyDescent="0.2">
      <c r="A118" s="21" t="s">
        <v>38</v>
      </c>
      <c r="B118" s="15">
        <v>8</v>
      </c>
      <c r="C118" s="21"/>
      <c r="D118" s="21" t="s">
        <v>13</v>
      </c>
      <c r="E118" s="21" t="s">
        <v>39</v>
      </c>
      <c r="F118" s="21" t="s">
        <v>14</v>
      </c>
      <c r="G118" s="21"/>
      <c r="H118" s="22"/>
      <c r="I118" s="11">
        <v>0</v>
      </c>
      <c r="J118"/>
      <c r="K118" s="19"/>
      <c r="L118" s="19"/>
      <c r="M118" s="19"/>
      <c r="N118" s="19"/>
      <c r="O118" s="19"/>
      <c r="P118" s="19"/>
      <c r="Q118" s="19"/>
      <c r="R118"/>
    </row>
    <row r="119" spans="1:21" s="11" customFormat="1" ht="16" x14ac:dyDescent="0.2">
      <c r="A119" s="47" t="s">
        <v>456</v>
      </c>
      <c r="B119" s="48">
        <f>(0.09*1000)/(2963200/20)</f>
        <v>6.0745140388768898E-4</v>
      </c>
      <c r="C119" s="47"/>
      <c r="D119" s="47" t="s">
        <v>453</v>
      </c>
      <c r="E119" s="47" t="s">
        <v>454</v>
      </c>
      <c r="F119" s="47" t="s">
        <v>14</v>
      </c>
      <c r="H119" s="47" t="s">
        <v>457</v>
      </c>
      <c r="I119" s="11">
        <v>2</v>
      </c>
      <c r="J119">
        <f t="shared" ref="J119:J121" si="10">LN(B119)</f>
        <v>-7.4062383795497411</v>
      </c>
      <c r="K119" s="19">
        <v>1.05</v>
      </c>
      <c r="L119" s="19">
        <v>1.1000000000000001</v>
      </c>
      <c r="M119" s="19">
        <v>1</v>
      </c>
      <c r="N119" s="19">
        <v>1.02</v>
      </c>
      <c r="O119" s="19">
        <v>1.2</v>
      </c>
      <c r="P119" s="19">
        <v>1.2</v>
      </c>
      <c r="Q119" s="19">
        <v>1.5</v>
      </c>
      <c r="R119">
        <f t="shared" ref="R119:R121" si="11">LN(SQRT(EXP(
SQRT(
+POWER(LN(K119),2)
+POWER(LN(L119),2)
+POWER(LN(M119),2)
+POWER(LN(N119),2)
+POWER(LN(O119),2)
+POWER(LN(P119),2)
+POWER(LN(Q119),2)
)
)))</f>
        <v>0.24634371748562628</v>
      </c>
    </row>
    <row r="120" spans="1:21" s="11" customFormat="1" ht="16" x14ac:dyDescent="0.2">
      <c r="A120" s="47" t="s">
        <v>458</v>
      </c>
      <c r="B120" s="48">
        <f>(0.09*1000)/2963200</f>
        <v>3.0372570194384448E-5</v>
      </c>
      <c r="C120" s="47"/>
      <c r="D120" s="47" t="s">
        <v>459</v>
      </c>
      <c r="E120" s="47" t="s">
        <v>454</v>
      </c>
      <c r="F120" s="47" t="s">
        <v>14</v>
      </c>
      <c r="H120" s="47" t="s">
        <v>460</v>
      </c>
      <c r="I120" s="11">
        <v>2</v>
      </c>
      <c r="J120">
        <f t="shared" si="10"/>
        <v>-10.401970653103731</v>
      </c>
      <c r="K120" s="19">
        <v>1.05</v>
      </c>
      <c r="L120" s="19">
        <v>1.1000000000000001</v>
      </c>
      <c r="M120" s="19">
        <v>1</v>
      </c>
      <c r="N120" s="19">
        <v>1.02</v>
      </c>
      <c r="O120" s="19">
        <v>1.2</v>
      </c>
      <c r="P120" s="19">
        <v>1.2</v>
      </c>
      <c r="Q120" s="19">
        <v>1.5</v>
      </c>
      <c r="R120">
        <f t="shared" si="11"/>
        <v>0.24634371748562628</v>
      </c>
    </row>
    <row r="121" spans="1:21" s="11" customFormat="1" ht="16" x14ac:dyDescent="0.2">
      <c r="A121" s="47" t="s">
        <v>461</v>
      </c>
      <c r="B121" s="48">
        <f>(0.09*1000)/2963200</f>
        <v>3.0372570194384448E-5</v>
      </c>
      <c r="C121" s="47"/>
      <c r="D121" s="47" t="s">
        <v>459</v>
      </c>
      <c r="E121" s="47" t="s">
        <v>454</v>
      </c>
      <c r="F121" s="47" t="s">
        <v>14</v>
      </c>
      <c r="H121" s="47" t="s">
        <v>460</v>
      </c>
      <c r="I121" s="11">
        <v>2</v>
      </c>
      <c r="J121">
        <f t="shared" si="10"/>
        <v>-10.401970653103731</v>
      </c>
      <c r="K121" s="19">
        <v>1.05</v>
      </c>
      <c r="L121" s="19">
        <v>1.1000000000000001</v>
      </c>
      <c r="M121" s="19">
        <v>1</v>
      </c>
      <c r="N121" s="19">
        <v>1.02</v>
      </c>
      <c r="O121" s="19">
        <v>1.2</v>
      </c>
      <c r="P121" s="19">
        <v>1.2</v>
      </c>
      <c r="Q121" s="19">
        <v>1.5</v>
      </c>
      <c r="R121">
        <f t="shared" si="11"/>
        <v>0.24634371748562628</v>
      </c>
    </row>
    <row r="122" spans="1:21" s="11" customFormat="1" ht="16" x14ac:dyDescent="0.2">
      <c r="K122" s="12"/>
      <c r="L122" s="12"/>
      <c r="M122" s="12"/>
      <c r="N122" s="12"/>
      <c r="O122" s="12"/>
      <c r="P122" s="12"/>
    </row>
    <row r="123" spans="1:21" s="11" customFormat="1" ht="16" x14ac:dyDescent="0.2">
      <c r="A123" s="8" t="s">
        <v>1</v>
      </c>
      <c r="B123" s="9" t="s">
        <v>550</v>
      </c>
      <c r="C123" s="10"/>
      <c r="K123" s="12"/>
      <c r="L123" s="12"/>
      <c r="M123" s="12"/>
      <c r="N123" s="12"/>
      <c r="O123" s="12"/>
      <c r="P123" s="12"/>
    </row>
    <row r="124" spans="1:21" s="11" customFormat="1" ht="16" x14ac:dyDescent="0.2">
      <c r="A124" s="13" t="s">
        <v>3</v>
      </c>
      <c r="B124" s="14">
        <v>1</v>
      </c>
      <c r="K124" s="12"/>
      <c r="L124" s="12"/>
      <c r="M124" s="12"/>
      <c r="N124" s="12"/>
      <c r="O124" s="12"/>
      <c r="P124" s="12"/>
    </row>
    <row r="125" spans="1:21" s="11" customFormat="1" ht="16" x14ac:dyDescent="0.2">
      <c r="A125" s="13" t="s">
        <v>11</v>
      </c>
      <c r="B125" s="14" t="s">
        <v>555</v>
      </c>
      <c r="K125" s="12"/>
      <c r="L125" s="12"/>
      <c r="M125" s="12"/>
      <c r="N125" s="12"/>
      <c r="O125" s="12"/>
      <c r="P125" s="12"/>
    </row>
    <row r="126" spans="1:21" s="11" customFormat="1" ht="16" x14ac:dyDescent="0.2">
      <c r="A126" s="13" t="s">
        <v>4</v>
      </c>
      <c r="B126" s="15" t="s">
        <v>122</v>
      </c>
      <c r="K126" s="12"/>
      <c r="L126" s="12"/>
      <c r="M126" s="12"/>
      <c r="N126" s="12"/>
      <c r="O126" s="12"/>
      <c r="P126" s="12"/>
    </row>
    <row r="127" spans="1:21" s="11" customFormat="1" ht="16" x14ac:dyDescent="0.2">
      <c r="A127" s="13" t="s">
        <v>2</v>
      </c>
      <c r="B127" s="14" t="s">
        <v>34</v>
      </c>
      <c r="K127" s="12"/>
      <c r="L127" s="12"/>
      <c r="M127" s="12"/>
      <c r="N127" s="12"/>
      <c r="O127" s="12"/>
      <c r="P127" s="12"/>
    </row>
    <row r="128" spans="1:21" s="11" customFormat="1" ht="16" x14ac:dyDescent="0.2">
      <c r="A128" s="13" t="s">
        <v>6</v>
      </c>
      <c r="B128" s="16" t="s">
        <v>13</v>
      </c>
      <c r="H128" s="17"/>
      <c r="I128" s="17"/>
      <c r="J128" s="17"/>
      <c r="K128" s="12"/>
      <c r="L128" s="12"/>
      <c r="M128" s="12"/>
      <c r="N128" s="12"/>
      <c r="O128" s="12"/>
      <c r="P128" s="12"/>
    </row>
    <row r="129" spans="1:21" s="11" customFormat="1" ht="16" x14ac:dyDescent="0.2">
      <c r="A129" s="17" t="s">
        <v>7</v>
      </c>
      <c r="B129" s="9"/>
      <c r="C129" s="17"/>
      <c r="D129" s="17"/>
      <c r="E129" s="17"/>
      <c r="F129" s="17"/>
      <c r="G129" s="17"/>
      <c r="H129" s="10"/>
      <c r="I129" s="10"/>
      <c r="J129" s="10"/>
      <c r="K129" s="12"/>
      <c r="L129" s="12"/>
      <c r="M129" s="12"/>
      <c r="N129" s="12"/>
      <c r="O129" s="12"/>
      <c r="P129" s="12"/>
    </row>
    <row r="130" spans="1:21" s="11" customFormat="1" ht="16" x14ac:dyDescent="0.2">
      <c r="A130" s="17" t="s">
        <v>8</v>
      </c>
      <c r="B130" s="17" t="s">
        <v>9</v>
      </c>
      <c r="C130" s="17" t="s">
        <v>2</v>
      </c>
      <c r="D130" s="17" t="s">
        <v>6</v>
      </c>
      <c r="E130" s="17" t="s">
        <v>10</v>
      </c>
      <c r="F130" s="17" t="s">
        <v>5</v>
      </c>
      <c r="G130" s="17" t="s">
        <v>4</v>
      </c>
      <c r="H130" s="17" t="s">
        <v>11</v>
      </c>
      <c r="I130" s="17" t="s">
        <v>466</v>
      </c>
      <c r="J130" s="7" t="s">
        <v>467</v>
      </c>
      <c r="K130" s="18" t="s">
        <v>468</v>
      </c>
      <c r="L130" s="18" t="s">
        <v>469</v>
      </c>
      <c r="M130" s="18" t="s">
        <v>470</v>
      </c>
      <c r="N130" s="18" t="s">
        <v>471</v>
      </c>
      <c r="O130" s="18" t="s">
        <v>472</v>
      </c>
      <c r="P130" s="18" t="s">
        <v>473</v>
      </c>
      <c r="Q130" s="7" t="s">
        <v>474</v>
      </c>
      <c r="R130" s="7" t="s">
        <v>475</v>
      </c>
      <c r="S130" s="17" t="s">
        <v>476</v>
      </c>
      <c r="T130" s="7" t="s">
        <v>477</v>
      </c>
      <c r="U130" s="17" t="s">
        <v>46</v>
      </c>
    </row>
    <row r="131" spans="1:21" s="11" customFormat="1" ht="16" x14ac:dyDescent="0.2">
      <c r="A131" s="16" t="str">
        <f>B123</f>
        <v>hydrogen production, gaseous, 30 bar, from PEM electrolysis, from hydropower electricity</v>
      </c>
      <c r="B131" s="16">
        <v>1</v>
      </c>
      <c r="C131" s="11" t="str">
        <f>B127</f>
        <v>RER</v>
      </c>
      <c r="D131" s="11" t="str">
        <f>B128</f>
        <v>kilogram</v>
      </c>
      <c r="E131" s="10"/>
      <c r="F131" s="11" t="s">
        <v>16</v>
      </c>
      <c r="G131" s="11" t="s">
        <v>122</v>
      </c>
      <c r="H131" s="10"/>
      <c r="I131" s="10">
        <v>0</v>
      </c>
      <c r="K131" s="12"/>
      <c r="L131" s="12"/>
      <c r="M131" s="12"/>
      <c r="N131" s="12"/>
      <c r="O131" s="12"/>
      <c r="P131" s="12"/>
      <c r="T131"/>
    </row>
    <row r="132" spans="1:21" s="11" customFormat="1" ht="16" x14ac:dyDescent="0.2">
      <c r="A132" s="16" t="s">
        <v>55</v>
      </c>
      <c r="B132" s="11">
        <f>(1/2963200)*4</f>
        <v>1.3498920086393089E-6</v>
      </c>
      <c r="C132" s="11" t="s">
        <v>34</v>
      </c>
      <c r="D132" s="11" t="s">
        <v>6</v>
      </c>
      <c r="F132" s="11" t="s">
        <v>12</v>
      </c>
      <c r="G132" s="11" t="s">
        <v>47</v>
      </c>
      <c r="H132" s="11" t="s">
        <v>484</v>
      </c>
      <c r="I132" s="11">
        <v>5</v>
      </c>
      <c r="J132">
        <f>B132</f>
        <v>1.3498920086393089E-6</v>
      </c>
      <c r="K132" s="19"/>
      <c r="L132" s="19"/>
      <c r="M132" s="19"/>
      <c r="N132" s="19"/>
      <c r="O132" s="19"/>
      <c r="P132" s="19"/>
      <c r="Q132"/>
      <c r="R132"/>
      <c r="S132" s="11">
        <f>(1/(25*8000*18.52))*4</f>
        <v>1.0799136069114471E-6</v>
      </c>
      <c r="T132" s="11">
        <f>(1/(15*8000*18.52))*4</f>
        <v>1.7998560115190784E-6</v>
      </c>
    </row>
    <row r="133" spans="1:21" s="11" customFormat="1" ht="16" x14ac:dyDescent="0.2">
      <c r="A133" s="16" t="s">
        <v>80</v>
      </c>
      <c r="B133" s="11">
        <f>1/2963200</f>
        <v>3.3747300215982723E-7</v>
      </c>
      <c r="C133" s="11" t="s">
        <v>34</v>
      </c>
      <c r="D133" s="11" t="s">
        <v>6</v>
      </c>
      <c r="F133" s="11" t="s">
        <v>12</v>
      </c>
      <c r="G133" s="11" t="s">
        <v>48</v>
      </c>
      <c r="H133" s="11" t="s">
        <v>485</v>
      </c>
      <c r="I133" s="11">
        <v>5</v>
      </c>
      <c r="J133">
        <f>B133</f>
        <v>3.3747300215982723E-7</v>
      </c>
      <c r="K133" s="19"/>
      <c r="L133" s="19"/>
      <c r="M133" s="19"/>
      <c r="N133" s="19"/>
      <c r="O133" s="19"/>
      <c r="P133" s="19"/>
      <c r="Q133"/>
      <c r="R133"/>
      <c r="S133" s="11">
        <f>(1/(25*8000*18.52))</f>
        <v>2.6997840172786177E-7</v>
      </c>
      <c r="T133" s="11">
        <f>(1/(15*8000*18.52))</f>
        <v>4.4996400287976961E-7</v>
      </c>
    </row>
    <row r="134" spans="1:21" s="11" customFormat="1" ht="16" x14ac:dyDescent="0.2">
      <c r="A134" s="16" t="s">
        <v>504</v>
      </c>
      <c r="B134" s="11">
        <f>B132*-1</f>
        <v>-1.3498920086393089E-6</v>
      </c>
      <c r="C134" s="11" t="s">
        <v>34</v>
      </c>
      <c r="D134" s="11" t="s">
        <v>6</v>
      </c>
      <c r="F134" s="11" t="s">
        <v>12</v>
      </c>
      <c r="G134" s="11" t="s">
        <v>505</v>
      </c>
      <c r="H134" s="11" t="s">
        <v>215</v>
      </c>
      <c r="I134" s="11">
        <v>5</v>
      </c>
      <c r="J134">
        <f>B134</f>
        <v>-1.3498920086393089E-6</v>
      </c>
      <c r="K134" s="19"/>
      <c r="L134" s="19"/>
      <c r="M134" s="19"/>
      <c r="N134" s="19"/>
      <c r="O134" s="19"/>
      <c r="P134" s="19"/>
      <c r="Q134"/>
      <c r="R134"/>
      <c r="S134" s="11">
        <f>-1*T132</f>
        <v>-1.7998560115190784E-6</v>
      </c>
      <c r="T134" s="11">
        <f>-1*S132</f>
        <v>-1.0799136069114471E-6</v>
      </c>
      <c r="U134" s="11" t="b">
        <v>1</v>
      </c>
    </row>
    <row r="135" spans="1:21" s="11" customFormat="1" ht="16" x14ac:dyDescent="0.2">
      <c r="A135" s="16" t="s">
        <v>506</v>
      </c>
      <c r="B135" s="11">
        <f>-1*B133</f>
        <v>-3.3747300215982723E-7</v>
      </c>
      <c r="C135" s="11" t="s">
        <v>34</v>
      </c>
      <c r="D135" s="11" t="s">
        <v>6</v>
      </c>
      <c r="F135" s="11" t="s">
        <v>12</v>
      </c>
      <c r="G135" s="11" t="s">
        <v>507</v>
      </c>
      <c r="H135" s="11" t="s">
        <v>225</v>
      </c>
      <c r="I135" s="11">
        <v>5</v>
      </c>
      <c r="J135">
        <f>B135</f>
        <v>-3.3747300215982723E-7</v>
      </c>
      <c r="K135" s="19"/>
      <c r="L135" s="19"/>
      <c r="M135" s="19"/>
      <c r="N135" s="19"/>
      <c r="O135" s="19"/>
      <c r="P135" s="19"/>
      <c r="Q135"/>
      <c r="R135"/>
      <c r="S135" s="11">
        <f>-1*T133</f>
        <v>-4.4996400287976961E-7</v>
      </c>
      <c r="T135" s="11">
        <f>-1*S133</f>
        <v>-2.6997840172786177E-7</v>
      </c>
      <c r="U135" s="11" t="b">
        <v>1</v>
      </c>
    </row>
    <row r="136" spans="1:21" s="11" customFormat="1" ht="16" x14ac:dyDescent="0.2">
      <c r="A136" s="13" t="s">
        <v>551</v>
      </c>
      <c r="B136" s="16">
        <v>54</v>
      </c>
      <c r="C136" s="11" t="s">
        <v>45</v>
      </c>
      <c r="D136" s="11" t="s">
        <v>35</v>
      </c>
      <c r="E136" s="10"/>
      <c r="F136" s="11" t="s">
        <v>12</v>
      </c>
      <c r="G136" s="11" t="s">
        <v>494</v>
      </c>
      <c r="H136" s="10" t="s">
        <v>499</v>
      </c>
      <c r="I136" s="11">
        <v>5</v>
      </c>
      <c r="J136" s="4">
        <f>B136</f>
        <v>54</v>
      </c>
      <c r="K136" s="19"/>
      <c r="L136" s="19"/>
      <c r="M136" s="19"/>
      <c r="N136" s="19"/>
      <c r="O136" s="19"/>
      <c r="P136" s="19"/>
      <c r="Q136"/>
      <c r="R136"/>
      <c r="S136" s="11">
        <v>52.9</v>
      </c>
      <c r="T136" s="11">
        <v>55.1</v>
      </c>
    </row>
    <row r="137" spans="1:21" s="11" customFormat="1" ht="16" x14ac:dyDescent="0.2">
      <c r="A137" s="13" t="s">
        <v>516</v>
      </c>
      <c r="B137" s="16">
        <v>14</v>
      </c>
      <c r="C137" s="11" t="s">
        <v>34</v>
      </c>
      <c r="D137" s="11" t="s">
        <v>13</v>
      </c>
      <c r="F137" s="11" t="s">
        <v>12</v>
      </c>
      <c r="G137" s="11" t="s">
        <v>517</v>
      </c>
      <c r="H137" s="20" t="s">
        <v>54</v>
      </c>
      <c r="I137" s="11">
        <v>0</v>
      </c>
      <c r="J137"/>
      <c r="K137" s="19"/>
      <c r="L137" s="19"/>
      <c r="M137" s="19"/>
      <c r="N137" s="19"/>
      <c r="O137" s="19"/>
      <c r="P137" s="19"/>
      <c r="Q137"/>
      <c r="R137"/>
    </row>
    <row r="138" spans="1:21" s="11" customFormat="1" ht="16" x14ac:dyDescent="0.2">
      <c r="A138" s="21" t="s">
        <v>38</v>
      </c>
      <c r="B138" s="15">
        <v>8</v>
      </c>
      <c r="C138" s="21"/>
      <c r="D138" s="21" t="s">
        <v>13</v>
      </c>
      <c r="E138" s="21" t="s">
        <v>39</v>
      </c>
      <c r="F138" s="21" t="s">
        <v>14</v>
      </c>
      <c r="G138" s="21"/>
      <c r="H138" s="22"/>
      <c r="I138" s="11">
        <v>0</v>
      </c>
      <c r="J138"/>
      <c r="K138" s="19"/>
      <c r="L138" s="19"/>
      <c r="M138" s="19"/>
      <c r="N138" s="19"/>
      <c r="O138" s="19"/>
      <c r="P138" s="19"/>
      <c r="Q138" s="19"/>
      <c r="R138"/>
    </row>
    <row r="139" spans="1:21" s="11" customFormat="1" ht="16" x14ac:dyDescent="0.2">
      <c r="A139" s="47" t="s">
        <v>456</v>
      </c>
      <c r="B139" s="48">
        <f>(0.09*1000)/(2963200/20)</f>
        <v>6.0745140388768898E-4</v>
      </c>
      <c r="C139" s="47"/>
      <c r="D139" s="47" t="s">
        <v>453</v>
      </c>
      <c r="E139" s="47" t="s">
        <v>454</v>
      </c>
      <c r="F139" s="47" t="s">
        <v>14</v>
      </c>
      <c r="H139" s="47" t="s">
        <v>457</v>
      </c>
      <c r="I139" s="11">
        <v>2</v>
      </c>
      <c r="J139">
        <f t="shared" ref="J139:J141" si="12">LN(B139)</f>
        <v>-7.4062383795497411</v>
      </c>
      <c r="K139" s="19">
        <v>1.05</v>
      </c>
      <c r="L139" s="19">
        <v>1.1000000000000001</v>
      </c>
      <c r="M139" s="19">
        <v>1</v>
      </c>
      <c r="N139" s="19">
        <v>1.02</v>
      </c>
      <c r="O139" s="19">
        <v>1.2</v>
      </c>
      <c r="P139" s="19">
        <v>1.2</v>
      </c>
      <c r="Q139" s="19">
        <v>1.5</v>
      </c>
      <c r="R139">
        <f t="shared" ref="R139:R141" si="13">LN(SQRT(EXP(
SQRT(
+POWER(LN(K139),2)
+POWER(LN(L139),2)
+POWER(LN(M139),2)
+POWER(LN(N139),2)
+POWER(LN(O139),2)
+POWER(LN(P139),2)
+POWER(LN(Q139),2)
)
)))</f>
        <v>0.24634371748562628</v>
      </c>
    </row>
    <row r="140" spans="1:21" s="11" customFormat="1" ht="16" x14ac:dyDescent="0.2">
      <c r="A140" s="47" t="s">
        <v>458</v>
      </c>
      <c r="B140" s="48">
        <f>(0.09*1000)/2963200</f>
        <v>3.0372570194384448E-5</v>
      </c>
      <c r="C140" s="47"/>
      <c r="D140" s="47" t="s">
        <v>459</v>
      </c>
      <c r="E140" s="47" t="s">
        <v>454</v>
      </c>
      <c r="F140" s="47" t="s">
        <v>14</v>
      </c>
      <c r="H140" s="47" t="s">
        <v>460</v>
      </c>
      <c r="I140" s="11">
        <v>2</v>
      </c>
      <c r="J140">
        <f t="shared" si="12"/>
        <v>-10.401970653103731</v>
      </c>
      <c r="K140" s="19">
        <v>1.05</v>
      </c>
      <c r="L140" s="19">
        <v>1.1000000000000001</v>
      </c>
      <c r="M140" s="19">
        <v>1</v>
      </c>
      <c r="N140" s="19">
        <v>1.02</v>
      </c>
      <c r="O140" s="19">
        <v>1.2</v>
      </c>
      <c r="P140" s="19">
        <v>1.2</v>
      </c>
      <c r="Q140" s="19">
        <v>1.5</v>
      </c>
      <c r="R140">
        <f t="shared" si="13"/>
        <v>0.24634371748562628</v>
      </c>
    </row>
    <row r="141" spans="1:21" s="11" customFormat="1" ht="16" x14ac:dyDescent="0.2">
      <c r="A141" s="47" t="s">
        <v>461</v>
      </c>
      <c r="B141" s="48">
        <f>(0.09*1000)/2963200</f>
        <v>3.0372570194384448E-5</v>
      </c>
      <c r="C141" s="47"/>
      <c r="D141" s="47" t="s">
        <v>459</v>
      </c>
      <c r="E141" s="47" t="s">
        <v>454</v>
      </c>
      <c r="F141" s="47" t="s">
        <v>14</v>
      </c>
      <c r="H141" s="47" t="s">
        <v>460</v>
      </c>
      <c r="I141" s="11">
        <v>2</v>
      </c>
      <c r="J141">
        <f t="shared" si="12"/>
        <v>-10.401970653103731</v>
      </c>
      <c r="K141" s="19">
        <v>1.05</v>
      </c>
      <c r="L141" s="19">
        <v>1.1000000000000001</v>
      </c>
      <c r="M141" s="19">
        <v>1</v>
      </c>
      <c r="N141" s="19">
        <v>1.02</v>
      </c>
      <c r="O141" s="19">
        <v>1.2</v>
      </c>
      <c r="P141" s="19">
        <v>1.2</v>
      </c>
      <c r="Q141" s="19">
        <v>1.5</v>
      </c>
      <c r="R141">
        <f t="shared" si="13"/>
        <v>0.24634371748562628</v>
      </c>
    </row>
    <row r="142" spans="1:21" s="11" customFormat="1" ht="16" x14ac:dyDescent="0.2">
      <c r="K142" s="12"/>
      <c r="L142" s="12"/>
      <c r="M142" s="12"/>
      <c r="N142" s="12"/>
      <c r="O142" s="12"/>
      <c r="P142" s="12"/>
    </row>
    <row r="143" spans="1:21" s="11" customFormat="1" ht="16" x14ac:dyDescent="0.2">
      <c r="A143" s="8" t="s">
        <v>1</v>
      </c>
      <c r="B143" s="9" t="s">
        <v>502</v>
      </c>
      <c r="C143" s="10"/>
      <c r="K143" s="12"/>
      <c r="L143" s="12"/>
      <c r="M143" s="12"/>
      <c r="N143" s="12"/>
      <c r="O143" s="12"/>
      <c r="P143" s="12"/>
    </row>
    <row r="144" spans="1:21" s="11" customFormat="1" ht="16" x14ac:dyDescent="0.2">
      <c r="A144" s="13" t="s">
        <v>3</v>
      </c>
      <c r="B144" s="14">
        <v>1</v>
      </c>
      <c r="K144" s="12"/>
      <c r="L144" s="12"/>
      <c r="M144" s="12"/>
      <c r="N144" s="12"/>
      <c r="O144" s="12"/>
      <c r="P144" s="12"/>
    </row>
    <row r="145" spans="1:21" s="11" customFormat="1" ht="16" x14ac:dyDescent="0.2">
      <c r="A145" s="13" t="s">
        <v>11</v>
      </c>
      <c r="B145" s="14" t="s">
        <v>435</v>
      </c>
      <c r="K145" s="12"/>
      <c r="L145" s="12"/>
      <c r="M145" s="12"/>
      <c r="N145" s="12"/>
      <c r="O145" s="12"/>
      <c r="P145" s="12"/>
    </row>
    <row r="146" spans="1:21" s="11" customFormat="1" ht="16" x14ac:dyDescent="0.2">
      <c r="A146" s="13" t="s">
        <v>4</v>
      </c>
      <c r="B146" s="15" t="s">
        <v>122</v>
      </c>
      <c r="K146" s="12"/>
      <c r="L146" s="12"/>
      <c r="M146" s="12"/>
      <c r="N146" s="12"/>
      <c r="O146" s="12"/>
      <c r="P146" s="12"/>
    </row>
    <row r="147" spans="1:21" s="11" customFormat="1" ht="16" x14ac:dyDescent="0.2">
      <c r="A147" s="13" t="s">
        <v>2</v>
      </c>
      <c r="B147" s="14" t="s">
        <v>34</v>
      </c>
      <c r="K147" s="12"/>
      <c r="L147" s="12"/>
      <c r="M147" s="12"/>
      <c r="N147" s="12"/>
      <c r="O147" s="12"/>
      <c r="P147" s="12"/>
    </row>
    <row r="148" spans="1:21" s="11" customFormat="1" ht="16" x14ac:dyDescent="0.2">
      <c r="A148" s="13" t="s">
        <v>6</v>
      </c>
      <c r="B148" s="16" t="s">
        <v>13</v>
      </c>
      <c r="H148" s="17"/>
      <c r="I148" s="17"/>
      <c r="J148" s="17"/>
      <c r="K148" s="12"/>
      <c r="L148" s="12"/>
      <c r="M148" s="12"/>
      <c r="N148" s="12"/>
      <c r="O148" s="12"/>
      <c r="P148" s="12"/>
    </row>
    <row r="149" spans="1:21" s="11" customFormat="1" ht="16" x14ac:dyDescent="0.2">
      <c r="A149" s="17" t="s">
        <v>7</v>
      </c>
      <c r="B149" s="9"/>
      <c r="C149" s="17"/>
      <c r="D149" s="17"/>
      <c r="E149" s="17"/>
      <c r="F149" s="17"/>
      <c r="G149" s="17"/>
      <c r="H149" s="10"/>
      <c r="I149" s="10"/>
      <c r="J149" s="10"/>
      <c r="K149" s="12"/>
      <c r="L149" s="12"/>
      <c r="M149" s="12"/>
      <c r="N149" s="12"/>
      <c r="O149" s="12"/>
      <c r="P149" s="12"/>
    </row>
    <row r="150" spans="1:21" s="11" customFormat="1" ht="16" x14ac:dyDescent="0.2">
      <c r="A150" s="17" t="s">
        <v>8</v>
      </c>
      <c r="B150" s="17" t="s">
        <v>9</v>
      </c>
      <c r="C150" s="17" t="s">
        <v>2</v>
      </c>
      <c r="D150" s="17" t="s">
        <v>6</v>
      </c>
      <c r="E150" s="17" t="s">
        <v>10</v>
      </c>
      <c r="F150" s="17" t="s">
        <v>5</v>
      </c>
      <c r="G150" s="17" t="s">
        <v>4</v>
      </c>
      <c r="H150" s="17" t="s">
        <v>11</v>
      </c>
      <c r="I150" s="17" t="s">
        <v>466</v>
      </c>
      <c r="J150" s="7" t="s">
        <v>467</v>
      </c>
      <c r="K150" s="18" t="s">
        <v>468</v>
      </c>
      <c r="L150" s="18" t="s">
        <v>469</v>
      </c>
      <c r="M150" s="18" t="s">
        <v>470</v>
      </c>
      <c r="N150" s="18" t="s">
        <v>471</v>
      </c>
      <c r="O150" s="18" t="s">
        <v>472</v>
      </c>
      <c r="P150" s="18" t="s">
        <v>473</v>
      </c>
      <c r="Q150" s="7" t="s">
        <v>474</v>
      </c>
      <c r="R150" s="7" t="s">
        <v>475</v>
      </c>
      <c r="S150" s="17" t="s">
        <v>476</v>
      </c>
      <c r="T150" s="7" t="s">
        <v>477</v>
      </c>
      <c r="U150" s="17" t="s">
        <v>46</v>
      </c>
    </row>
    <row r="151" spans="1:21" s="11" customFormat="1" ht="16" x14ac:dyDescent="0.2">
      <c r="A151" s="16" t="str">
        <f>B143</f>
        <v>hydrogen production, gaseous, 30 bar, from PEM electrolysis, from concentrated solar electricity</v>
      </c>
      <c r="B151" s="16">
        <v>1</v>
      </c>
      <c r="C151" s="11" t="str">
        <f>B147</f>
        <v>RER</v>
      </c>
      <c r="D151" s="11" t="str">
        <f>B148</f>
        <v>kilogram</v>
      </c>
      <c r="E151" s="10"/>
      <c r="F151" s="11" t="s">
        <v>16</v>
      </c>
      <c r="G151" s="11" t="s">
        <v>122</v>
      </c>
      <c r="H151" s="10"/>
      <c r="I151" s="10">
        <v>0</v>
      </c>
      <c r="K151" s="12"/>
      <c r="L151" s="12"/>
      <c r="M151" s="12"/>
      <c r="N151" s="12"/>
      <c r="O151" s="12"/>
      <c r="P151" s="12"/>
      <c r="T151"/>
    </row>
    <row r="152" spans="1:21" s="11" customFormat="1" ht="16" x14ac:dyDescent="0.2">
      <c r="A152" s="16" t="s">
        <v>55</v>
      </c>
      <c r="B152" s="11">
        <f>(1/2963200)*4</f>
        <v>1.3498920086393089E-6</v>
      </c>
      <c r="C152" s="11" t="s">
        <v>34</v>
      </c>
      <c r="D152" s="11" t="s">
        <v>6</v>
      </c>
      <c r="F152" s="11" t="s">
        <v>12</v>
      </c>
      <c r="G152" s="11" t="s">
        <v>47</v>
      </c>
      <c r="H152" s="11" t="s">
        <v>484</v>
      </c>
      <c r="I152" s="11">
        <v>5</v>
      </c>
      <c r="J152">
        <f>B152</f>
        <v>1.3498920086393089E-6</v>
      </c>
      <c r="K152" s="19"/>
      <c r="L152" s="19"/>
      <c r="M152" s="19"/>
      <c r="N152" s="19"/>
      <c r="O152" s="19"/>
      <c r="P152" s="19"/>
      <c r="Q152"/>
      <c r="R152"/>
      <c r="S152" s="11">
        <f>(1/(25*8000*18.52))*4</f>
        <v>1.0799136069114471E-6</v>
      </c>
      <c r="T152" s="11">
        <f>(1/(15*8000*18.52))*4</f>
        <v>1.7998560115190784E-6</v>
      </c>
    </row>
    <row r="153" spans="1:21" s="11" customFormat="1" ht="16" x14ac:dyDescent="0.2">
      <c r="A153" s="16" t="s">
        <v>80</v>
      </c>
      <c r="B153" s="11">
        <f>1/2963200</f>
        <v>3.3747300215982723E-7</v>
      </c>
      <c r="C153" s="11" t="s">
        <v>34</v>
      </c>
      <c r="D153" s="11" t="s">
        <v>6</v>
      </c>
      <c r="F153" s="11" t="s">
        <v>12</v>
      </c>
      <c r="G153" s="11" t="s">
        <v>48</v>
      </c>
      <c r="H153" s="11" t="s">
        <v>485</v>
      </c>
      <c r="I153" s="11">
        <v>5</v>
      </c>
      <c r="J153">
        <f>B153</f>
        <v>3.3747300215982723E-7</v>
      </c>
      <c r="K153" s="19"/>
      <c r="L153" s="19"/>
      <c r="M153" s="19"/>
      <c r="N153" s="19"/>
      <c r="O153" s="19"/>
      <c r="P153" s="19"/>
      <c r="Q153"/>
      <c r="R153"/>
      <c r="S153" s="11">
        <f>(1/(25*8000*18.52))</f>
        <v>2.6997840172786177E-7</v>
      </c>
      <c r="T153" s="11">
        <f>(1/(15*8000*18.52))</f>
        <v>4.4996400287976961E-7</v>
      </c>
    </row>
    <row r="154" spans="1:21" s="11" customFormat="1" ht="16" x14ac:dyDescent="0.2">
      <c r="A154" s="16" t="s">
        <v>504</v>
      </c>
      <c r="B154" s="11">
        <f>B152*-1</f>
        <v>-1.3498920086393089E-6</v>
      </c>
      <c r="C154" s="11" t="s">
        <v>34</v>
      </c>
      <c r="D154" s="11" t="s">
        <v>6</v>
      </c>
      <c r="F154" s="11" t="s">
        <v>12</v>
      </c>
      <c r="G154" s="11" t="s">
        <v>505</v>
      </c>
      <c r="H154" s="11" t="s">
        <v>215</v>
      </c>
      <c r="I154" s="11">
        <v>5</v>
      </c>
      <c r="J154">
        <f>B154</f>
        <v>-1.3498920086393089E-6</v>
      </c>
      <c r="K154" s="19"/>
      <c r="L154" s="19"/>
      <c r="M154" s="19"/>
      <c r="N154" s="19"/>
      <c r="O154" s="19"/>
      <c r="P154" s="19"/>
      <c r="Q154"/>
      <c r="R154"/>
      <c r="S154" s="11">
        <f>-1*T152</f>
        <v>-1.7998560115190784E-6</v>
      </c>
      <c r="T154" s="11">
        <f>-1*S152</f>
        <v>-1.0799136069114471E-6</v>
      </c>
      <c r="U154" s="11" t="b">
        <v>1</v>
      </c>
    </row>
    <row r="155" spans="1:21" s="11" customFormat="1" ht="16" x14ac:dyDescent="0.2">
      <c r="A155" s="16" t="s">
        <v>506</v>
      </c>
      <c r="B155" s="11">
        <f>-1*B153</f>
        <v>-3.3747300215982723E-7</v>
      </c>
      <c r="C155" s="11" t="s">
        <v>34</v>
      </c>
      <c r="D155" s="11" t="s">
        <v>6</v>
      </c>
      <c r="F155" s="11" t="s">
        <v>12</v>
      </c>
      <c r="G155" s="11" t="s">
        <v>507</v>
      </c>
      <c r="H155" s="11" t="s">
        <v>225</v>
      </c>
      <c r="I155" s="11">
        <v>5</v>
      </c>
      <c r="J155">
        <f>B155</f>
        <v>-3.3747300215982723E-7</v>
      </c>
      <c r="K155" s="19"/>
      <c r="L155" s="19"/>
      <c r="M155" s="19"/>
      <c r="N155" s="19"/>
      <c r="O155" s="19"/>
      <c r="P155" s="19"/>
      <c r="Q155"/>
      <c r="R155"/>
      <c r="S155" s="11">
        <f>-1*T153</f>
        <v>-4.4996400287976961E-7</v>
      </c>
      <c r="T155" s="11">
        <f>-1*S153</f>
        <v>-2.6997840172786177E-7</v>
      </c>
      <c r="U155" s="11" t="b">
        <v>1</v>
      </c>
    </row>
    <row r="156" spans="1:21" s="11" customFormat="1" ht="16" x14ac:dyDescent="0.2">
      <c r="A156" s="13" t="s">
        <v>503</v>
      </c>
      <c r="B156" s="16">
        <v>54</v>
      </c>
      <c r="C156" s="11" t="s">
        <v>490</v>
      </c>
      <c r="D156" s="11" t="s">
        <v>35</v>
      </c>
      <c r="E156" s="10"/>
      <c r="F156" s="11" t="s">
        <v>12</v>
      </c>
      <c r="G156" s="11" t="s">
        <v>494</v>
      </c>
      <c r="H156" s="10" t="s">
        <v>499</v>
      </c>
      <c r="I156" s="11">
        <v>5</v>
      </c>
      <c r="J156" s="4">
        <f>B156</f>
        <v>54</v>
      </c>
      <c r="K156" s="19"/>
      <c r="L156" s="19"/>
      <c r="M156" s="19"/>
      <c r="N156" s="19"/>
      <c r="O156" s="19"/>
      <c r="P156" s="19"/>
      <c r="Q156"/>
      <c r="R156"/>
      <c r="S156" s="11">
        <v>52.9</v>
      </c>
      <c r="T156" s="11">
        <v>55.1</v>
      </c>
    </row>
    <row r="157" spans="1:21" s="11" customFormat="1" ht="16" x14ac:dyDescent="0.2">
      <c r="A157" s="13" t="s">
        <v>516</v>
      </c>
      <c r="B157" s="16">
        <v>14</v>
      </c>
      <c r="C157" s="11" t="s">
        <v>34</v>
      </c>
      <c r="D157" s="11" t="s">
        <v>13</v>
      </c>
      <c r="F157" s="11" t="s">
        <v>12</v>
      </c>
      <c r="G157" s="11" t="s">
        <v>517</v>
      </c>
      <c r="H157" s="20" t="s">
        <v>54</v>
      </c>
      <c r="I157" s="11">
        <v>0</v>
      </c>
      <c r="J157"/>
      <c r="K157" s="19"/>
      <c r="L157" s="19"/>
      <c r="M157" s="19"/>
      <c r="N157" s="19"/>
      <c r="O157" s="19"/>
      <c r="P157" s="19"/>
      <c r="Q157"/>
      <c r="R157"/>
    </row>
    <row r="158" spans="1:21" s="11" customFormat="1" ht="16" x14ac:dyDescent="0.2">
      <c r="A158" s="21" t="s">
        <v>38</v>
      </c>
      <c r="B158" s="15">
        <v>8</v>
      </c>
      <c r="C158" s="21"/>
      <c r="D158" s="21" t="s">
        <v>13</v>
      </c>
      <c r="E158" s="21" t="s">
        <v>39</v>
      </c>
      <c r="F158" s="21" t="s">
        <v>14</v>
      </c>
      <c r="G158" s="21"/>
      <c r="H158" s="22"/>
      <c r="I158" s="11">
        <v>0</v>
      </c>
      <c r="J158"/>
      <c r="K158" s="19"/>
      <c r="L158" s="19"/>
      <c r="M158" s="19"/>
      <c r="N158" s="19"/>
      <c r="O158" s="19"/>
      <c r="P158" s="19"/>
      <c r="Q158" s="19"/>
      <c r="R158"/>
    </row>
    <row r="159" spans="1:21" s="11" customFormat="1" ht="16" x14ac:dyDescent="0.2">
      <c r="A159" s="47" t="s">
        <v>456</v>
      </c>
      <c r="B159" s="48">
        <f>(0.09*1000)/(2963200/20)</f>
        <v>6.0745140388768898E-4</v>
      </c>
      <c r="C159" s="47"/>
      <c r="D159" s="47" t="s">
        <v>453</v>
      </c>
      <c r="E159" s="47" t="s">
        <v>454</v>
      </c>
      <c r="F159" s="47" t="s">
        <v>14</v>
      </c>
      <c r="H159" s="47" t="s">
        <v>457</v>
      </c>
      <c r="I159" s="11">
        <v>2</v>
      </c>
      <c r="J159">
        <f t="shared" ref="J159:J161" si="14">LN(B159)</f>
        <v>-7.4062383795497411</v>
      </c>
      <c r="K159" s="19">
        <v>1.05</v>
      </c>
      <c r="L159" s="19">
        <v>1.1000000000000001</v>
      </c>
      <c r="M159" s="19">
        <v>1</v>
      </c>
      <c r="N159" s="19">
        <v>1.02</v>
      </c>
      <c r="O159" s="19">
        <v>1.2</v>
      </c>
      <c r="P159" s="19">
        <v>1.2</v>
      </c>
      <c r="Q159" s="19">
        <v>1.5</v>
      </c>
      <c r="R159">
        <f t="shared" ref="R159:R161" si="15">LN(SQRT(EXP(
SQRT(
+POWER(LN(K159),2)
+POWER(LN(L159),2)
+POWER(LN(M159),2)
+POWER(LN(N159),2)
+POWER(LN(O159),2)
+POWER(LN(P159),2)
+POWER(LN(Q159),2)
)
)))</f>
        <v>0.24634371748562628</v>
      </c>
    </row>
    <row r="160" spans="1:21" s="11" customFormat="1" ht="16" x14ac:dyDescent="0.2">
      <c r="A160" s="47" t="s">
        <v>458</v>
      </c>
      <c r="B160" s="48">
        <f>(0.09*1000)/2963200</f>
        <v>3.0372570194384448E-5</v>
      </c>
      <c r="C160" s="47"/>
      <c r="D160" s="47" t="s">
        <v>459</v>
      </c>
      <c r="E160" s="47" t="s">
        <v>454</v>
      </c>
      <c r="F160" s="47" t="s">
        <v>14</v>
      </c>
      <c r="H160" s="47" t="s">
        <v>460</v>
      </c>
      <c r="I160" s="11">
        <v>2</v>
      </c>
      <c r="J160">
        <f t="shared" si="14"/>
        <v>-10.401970653103731</v>
      </c>
      <c r="K160" s="19">
        <v>1.05</v>
      </c>
      <c r="L160" s="19">
        <v>1.1000000000000001</v>
      </c>
      <c r="M160" s="19">
        <v>1</v>
      </c>
      <c r="N160" s="19">
        <v>1.02</v>
      </c>
      <c r="O160" s="19">
        <v>1.2</v>
      </c>
      <c r="P160" s="19">
        <v>1.2</v>
      </c>
      <c r="Q160" s="19">
        <v>1.5</v>
      </c>
      <c r="R160">
        <f t="shared" si="15"/>
        <v>0.24634371748562628</v>
      </c>
    </row>
    <row r="161" spans="1:20" s="11" customFormat="1" ht="16" x14ac:dyDescent="0.2">
      <c r="A161" s="47" t="s">
        <v>461</v>
      </c>
      <c r="B161" s="48">
        <f>(0.09*1000)/2963200</f>
        <v>3.0372570194384448E-5</v>
      </c>
      <c r="C161" s="47"/>
      <c r="D161" s="47" t="s">
        <v>459</v>
      </c>
      <c r="E161" s="47" t="s">
        <v>454</v>
      </c>
      <c r="F161" s="47" t="s">
        <v>14</v>
      </c>
      <c r="H161" s="47" t="s">
        <v>460</v>
      </c>
      <c r="I161" s="11">
        <v>2</v>
      </c>
      <c r="J161">
        <f t="shared" si="14"/>
        <v>-10.401970653103731</v>
      </c>
      <c r="K161" s="19">
        <v>1.05</v>
      </c>
      <c r="L161" s="19">
        <v>1.1000000000000001</v>
      </c>
      <c r="M161" s="19">
        <v>1</v>
      </c>
      <c r="N161" s="19">
        <v>1.02</v>
      </c>
      <c r="O161" s="19">
        <v>1.2</v>
      </c>
      <c r="P161" s="19">
        <v>1.2</v>
      </c>
      <c r="Q161" s="19">
        <v>1.5</v>
      </c>
      <c r="R161">
        <f t="shared" si="15"/>
        <v>0.24634371748562628</v>
      </c>
    </row>
    <row r="162" spans="1:20" s="11" customFormat="1" ht="16" x14ac:dyDescent="0.2">
      <c r="K162" s="12"/>
      <c r="L162" s="12"/>
      <c r="M162" s="12"/>
      <c r="N162" s="12"/>
      <c r="O162" s="12"/>
      <c r="P162" s="12"/>
    </row>
    <row r="163" spans="1:20" s="11" customFormat="1" ht="16" x14ac:dyDescent="0.2">
      <c r="A163" s="8" t="s">
        <v>1</v>
      </c>
      <c r="B163" s="9" t="s">
        <v>55</v>
      </c>
      <c r="K163" s="12"/>
      <c r="L163" s="12"/>
      <c r="M163" s="12"/>
      <c r="N163" s="12"/>
      <c r="O163" s="12"/>
      <c r="P163" s="12"/>
    </row>
    <row r="164" spans="1:20" s="11" customFormat="1" ht="16" x14ac:dyDescent="0.2">
      <c r="A164" s="13" t="s">
        <v>3</v>
      </c>
      <c r="B164" s="14">
        <v>1</v>
      </c>
      <c r="K164" s="12"/>
      <c r="L164" s="12"/>
      <c r="M164" s="12"/>
      <c r="N164" s="12"/>
      <c r="O164" s="12"/>
      <c r="P164" s="12"/>
    </row>
    <row r="165" spans="1:20" s="11" customFormat="1" ht="16" x14ac:dyDescent="0.2">
      <c r="A165" s="13" t="s">
        <v>11</v>
      </c>
      <c r="B165" s="14" t="inlineStr">
        <is>
          <t>APPROVED FINISHED PFSA MEMBRANE REFERENCE, issue90, 2026-10-18. Weber et al.2018 DOI10.1021/acs.est.8b02073 SISec1.2.1/TableS2 describesTFE+SO3-&gt;FDA,HFPoxidationwithNaOCl-&gt;HFPO,FDA+2HFPOadduct,Na2CO3pyrolysistoPSEPVE,polymerization90%yieldand39.31MJ/kgformingheat. Harzer2021PhD https://mediatum.ub.tum.de/doc/1634530/1634530.pdf synthesisfigurecorroboratesPSEPVE/alkalihydrolysis/acidconversion. ElectrolyzermembraneEW1100reference:Mechanical Characterization of Electrolyzer Membranes and Components Under Compression,2024 DOI10.1149/1945-7111/ad7a26. Theseareseparatechemistry/referenceproperties,not a measuredcompleteNafionfactory. Replace16kgTFEmonomerby16kgfinishedunreinforceddryacid-formPFSAperexisting1MWePEMstack. PreserveapprovedPt/Ir/coatingreferencesandlifetimepurchases. UseexplicitbalancednetengineeringchemistrywithEW1100g/molSO3H;n=6.557783744855004TFEbackboneunitsperC7F13O5SHacid-sidechainunit. FDA=C2F4O3SfromTFE+SO3;HFPO=C3F6OfromHFP+NaOCl,HFPfromTFEat1:1mass(rearrangementreference). FDA+2HFPO+Na2CO3-&gt;PSEPVE(C7F14O4S)+2NaF+2CO2;PSEPVE+backboneTFE+2NaOH+HCl-&gt;acidPFSA+NaF+NaCl+H2O. ThisNaOH/HClworkupis anexplicitbalancedengineeringvariant,not a claim ofHarzerKOH/HNO3industrialreagentchoice. Allupstreamintermediateconversionsassumed100%,overallfinishedpolymerretention90%asWeberreference. No2nd90%factoronprecursorinputs. Knownnetingredientsperkgfinished={'TFE': 1.0666093025141414, 'SO3': 0.08086565656565657, 'NaOCl': 0.15038135208080808, 'Na2CO3': 0.10705811975757576, 'NaOH': 0.0808015541010101, 'HCl': 0.03682626262626263};byproducts/reject={'NaCl': 0.17709020993939395, 'NaF': 0.1272368861909091, 'water': 0.018196969696969698, 'CO2': 0.08890707070707071, 'reject_PFSA': 0.11111111111111116}. BuyactualTFE,SO3,NaOCl,Na2CO3,NaOH,HCl,directlyatnetchainfeed;doNOTalsoaddcompleteWebermembranes orunsupportedHFP-&gt;hexafluoroethaneproxy. SaltoutputsNaCl/NaFandstoichiometricwatergotooneaqueouseffluentwith10kgprocesswater/kgfinished (explicitengineeringdilution,1-100kgsensitivity),1000kg/m3densityproxy. Fluoride-specificabatement/isolationanddissolvedsaltfateareunresolved;genericwastewaterisNOTvalidatedNaFdisposal. Polymerrejectgoestoexistingplasticincinerationwithoutcredit;stoichiometricCO2emittedonce.39.31MJ/kgWeberheat isoneaggregateon-sitechemicalsynthesis/filmformingallowance,notaddedagainateachmodeledintermediate;1kWh/kgsiteelectricityassumed. Existingnativeupstreamfeedproductionburdensremainseparate. TestEW1000-1200,finishedretention80-100%,heat20-80MJ/kg,andnonidealintermediateyields;thebalancednetrecipeis a stoichiometricengineeringreferencewithyield,NOTmeasuredindustrialgrosschemicalconsumption. Actualco-monomerpurification,catalysts,solventcirculation,intermediatescrap,PFASemissions,membranewatercontent,reinforcementandlong-termperformancearecoveragegaps. Finished16kgmasskept,notinferredfromfilmthicknessorcellarea. No native/runtime/YAMLorprimary-secondarysharechanges.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165" s="12"/>
      <c r="L165" s="12"/>
      <c r="M165" s="12"/>
      <c r="N165" s="12"/>
      <c r="O165" s="12"/>
      <c r="P165" s="12"/>
    </row>
    <row r="166" spans="1:20" s="11" customFormat="1" ht="16" x14ac:dyDescent="0.2">
      <c r="A166" s="13" t="s">
        <v>4</v>
      </c>
      <c r="B166" s="16" t="s">
        <v>47</v>
      </c>
      <c r="K166" s="12"/>
      <c r="L166" s="12"/>
      <c r="M166" s="12"/>
      <c r="N166" s="12"/>
      <c r="O166" s="12"/>
      <c r="P166" s="12"/>
    </row>
    <row r="167" spans="1:20" s="11" customFormat="1" ht="16" x14ac:dyDescent="0.2">
      <c r="A167" s="13" t="s">
        <v>2</v>
      </c>
      <c r="B167" s="14" t="s">
        <v>34</v>
      </c>
      <c r="K167" s="12"/>
      <c r="L167" s="12"/>
      <c r="M167" s="12"/>
      <c r="N167" s="12"/>
      <c r="O167" s="12"/>
      <c r="P167" s="12"/>
    </row>
    <row r="168" spans="1:20" s="11" customFormat="1" ht="16" x14ac:dyDescent="0.2">
      <c r="A168" s="13" t="s">
        <v>6</v>
      </c>
      <c r="B168" s="16" t="s">
        <v>6</v>
      </c>
      <c r="C168" s="11">
        <f>B178/1000</f>
        <v>7.5000000000000002E-4</v>
      </c>
      <c r="K168" s="12"/>
      <c r="L168" s="12"/>
      <c r="M168" s="12"/>
      <c r="N168" s="12"/>
      <c r="O168" s="12"/>
      <c r="P168" s="12"/>
    </row>
    <row r="169" spans="1:20" s="11" customFormat="1" ht="16" x14ac:dyDescent="0.2">
      <c r="A169" s="17" t="s">
        <v>7</v>
      </c>
      <c r="B169" s="9"/>
      <c r="C169" s="17"/>
      <c r="D169" s="17"/>
      <c r="E169" s="17"/>
      <c r="F169" s="17"/>
      <c r="G169" s="17"/>
      <c r="H169" s="17"/>
      <c r="I169" s="17"/>
      <c r="J169" s="17"/>
      <c r="K169" s="12"/>
      <c r="L169" s="12"/>
      <c r="M169" s="12"/>
      <c r="N169" s="12"/>
      <c r="O169" s="12"/>
      <c r="P169" s="12"/>
    </row>
    <row r="170" spans="1:20" s="11" customFormat="1" ht="16" x14ac:dyDescent="0.2">
      <c r="A170" s="17" t="s">
        <v>8</v>
      </c>
      <c r="B170" s="9" t="s">
        <v>9</v>
      </c>
      <c r="C170" s="17" t="s">
        <v>2</v>
      </c>
      <c r="D170" s="17" t="s">
        <v>6</v>
      </c>
      <c r="E170" s="23" t="s">
        <v>10</v>
      </c>
      <c r="F170" s="17" t="s">
        <v>5</v>
      </c>
      <c r="G170" s="17" t="s">
        <v>4</v>
      </c>
      <c r="H170" s="23" t="s">
        <v>11</v>
      </c>
      <c r="I170" s="17" t="s">
        <v>466</v>
      </c>
      <c r="J170" s="7" t="s">
        <v>467</v>
      </c>
      <c r="K170" s="18" t="s">
        <v>476</v>
      </c>
      <c r="L170" s="18" t="s">
        <v>477</v>
      </c>
      <c r="M170" s="18"/>
      <c r="N170" s="18"/>
      <c r="O170" s="18"/>
      <c r="P170" s="18"/>
      <c r="Q170" s="7"/>
      <c r="R170" s="7"/>
      <c r="S170" s="17"/>
      <c r="T170" s="7"/>
    </row>
    <row r="171" spans="1:20" s="11" customFormat="1" ht="16" x14ac:dyDescent="0.2">
      <c r="A171" s="16" t="str">
        <f>B163</f>
        <v>electrolyzer production, 1MWe, PEM, Stack</v>
      </c>
      <c r="B171" s="12">
        <v>1</v>
      </c>
      <c r="C171" s="11" t="s">
        <v>34</v>
      </c>
      <c r="D171" s="11" t="str">
        <f>B168</f>
        <v>unit</v>
      </c>
      <c r="F171" s="11" t="s">
        <v>16</v>
      </c>
      <c r="G171" s="11" t="str">
        <f>B166</f>
        <v>electrolyzer, 1MWe, PEM, Stack</v>
      </c>
      <c r="I171" s="11">
        <v>0</v>
      </c>
      <c r="K171" s="12"/>
      <c r="L171" s="12"/>
      <c r="M171" s="12"/>
      <c r="N171" s="12"/>
      <c r="O171" s="12"/>
      <c r="P171" s="12"/>
    </row>
    <row r="172" spans="1:20" s="11" customFormat="1" ht="16" x14ac:dyDescent="0.2">
      <c r="A172" s="11" t="s">
        <v>18</v>
      </c>
      <c r="B172" s="12">
        <v>27</v>
      </c>
      <c r="C172" s="11" t="s">
        <v>17</v>
      </c>
      <c r="D172" s="11" t="s">
        <v>13</v>
      </c>
      <c r="F172" s="11" t="s">
        <v>12</v>
      </c>
      <c r="G172" s="11" t="s">
        <v>19</v>
      </c>
      <c r="H172" s="11" t="s">
        <v>57</v>
      </c>
      <c r="I172" s="11">
        <v>0</v>
      </c>
      <c r="J172"/>
      <c r="K172" s="19"/>
      <c r="L172" s="19"/>
      <c r="M172" s="19"/>
      <c r="N172" s="19"/>
      <c r="O172" s="19"/>
      <c r="P172" s="19"/>
      <c r="Q172"/>
      <c r="R172"/>
    </row>
    <row r="173" spans="1:20" s="11" customFormat="1" ht="16" x14ac:dyDescent="0.2">
      <c r="A173" s="11" t="s">
        <v>58</v>
      </c>
      <c r="B173" s="12">
        <v>27</v>
      </c>
      <c r="C173" s="11" t="s">
        <v>17</v>
      </c>
      <c r="D173" s="11" t="s">
        <v>13</v>
      </c>
      <c r="F173" s="11" t="s">
        <v>12</v>
      </c>
      <c r="G173" s="11" t="s">
        <v>41</v>
      </c>
      <c r="H173" s="11" t="s">
        <v>57</v>
      </c>
      <c r="I173" s="11">
        <v>0</v>
      </c>
      <c r="J173"/>
      <c r="K173" s="19"/>
      <c r="L173" s="19"/>
      <c r="M173" s="19"/>
      <c r="N173" s="19"/>
      <c r="O173" s="19"/>
      <c r="P173" s="19"/>
      <c r="Q173"/>
      <c r="R173"/>
    </row>
    <row r="174" spans="1:20" s="11" customFormat="1" ht="16" x14ac:dyDescent="0.2">
      <c r="A174" s="11" t="s">
        <v>59</v>
      </c>
      <c r="B174" s="12">
        <v>528</v>
      </c>
      <c r="C174" s="11" t="s">
        <v>17</v>
      </c>
      <c r="D174" s="11" t="s">
        <v>13</v>
      </c>
      <c r="F174" s="11" t="s">
        <v>12</v>
      </c>
      <c r="G174" s="11" t="s">
        <v>60</v>
      </c>
      <c r="H174" s="11" t="s">
        <v>61</v>
      </c>
      <c r="I174" s="11">
        <v>0</v>
      </c>
      <c r="J174"/>
      <c r="K174" s="19"/>
      <c r="L174" s="19"/>
      <c r="M174" s="19"/>
      <c r="N174" s="19"/>
      <c r="O174" s="19"/>
      <c r="P174" s="19"/>
      <c r="Q174"/>
      <c r="R174"/>
    </row>
    <row r="175" spans="1:20" s="11" customFormat="1" ht="16" x14ac:dyDescent="0.2">
      <c r="A175" s="11" t="inlineStr">
        <is>
          <t xml:space="preserve">PFSA membrane production, electrolysis, EW1100</t>
        </is>
      </c>
      <c r="B175" s="12">
        <v>16</v>
      </c>
      <c r="C175" s="11" t="inlineStr">
        <is>
          <t>GLO</t>
        </is>
      </c>
      <c r="D175" s="11" t="s">
        <v>13</v>
      </c>
      <c r="F175" s="11" t="s">
        <v>12</v>
      </c>
      <c r="G175" s="11" t="inlineStr">
        <is>
          <t xml:space="preserve">PFSA membrane, electrolysis, EW1100</t>
        </is>
      </c>
      <c r="H175" s="11" t="inlineStr">
        <is>
          <t>APPROVED FINISHED PFSA MEMBRANE REFERENCE, issue90, 2026-10-18. Weber et al.2018 DOI10.1021/acs.est.8b02073 SISec1.2.1/TableS2 describesTFE+SO3-&gt;FDA,HFPoxidationwithNaOCl-&gt;HFPO,FDA+2HFPOadduct,Na2CO3pyrolysistoPSEPVE,polymerization90%yieldand39.31MJ/kgformingheat. Harzer2021PhD https://mediatum.ub.tum.de/doc/1634530/1634530.pdf synthesisfigurecorroboratesPSEPVE/alkalihydrolysis/acidconversion. ElectrolyzermembraneEW1100reference:Mechanical Characterization of Electrolyzer Membranes and Components Under Compression,2024 DOI10.1149/1945-7111/ad7a26. Theseareseparatechemistry/referenceproperties,not a measuredcompleteNafionfactory. Replace16kgTFEmonomerby16kgfinishedunreinforceddryacid-formPFSAperexisting1MWePEMstack. PreserveapprovedPt/Ir/coatingreferencesandlifetimepurchases. UseexplicitbalancednetengineeringchemistrywithEW1100g/molSO3H;n=6.557783744855004TFEbackboneunitsperC7F13O5SHacid-sidechainunit. FDA=C2F4O3SfromTFE+SO3;HFPO=C3F6OfromHFP+NaOCl,HFPfromTFEat1:1mass(rearrangementreference). FDA+2HFPO+Na2CO3-&gt;PSEPVE(C7F14O4S)+2NaF+2CO2;PSEPVE+backboneTFE+2NaOH+HCl-&gt;acidPFSA+NaF+NaCl+H2O. ThisNaOH/HClworkupis anexplicitbalancedengineeringvariant,not a claim ofHarzerKOH/HNO3industrialreagentchoice. Allupstreamintermediateconversionsassumed100%,overallfinishedpolymerretention90%asWeberreference. No2nd90%factoronprecursorinputs. Knownnetingredientsperkgfinished={'TFE': 1.0666093025141414, 'SO3': 0.08086565656565657, 'NaOCl': 0.15038135208080808, 'Na2CO3': 0.10705811975757576, 'NaOH': 0.0808015541010101, 'HCl': 0.03682626262626263};byproducts/reject={'NaCl': 0.17709020993939395, 'NaF': 0.1272368861909091, 'water': 0.018196969696969698, 'CO2': 0.08890707070707071, 'reject_PFSA': 0.11111111111111116}. BuyactualTFE,SO3,NaOCl,Na2CO3,NaOH,HCl,directlyatnetchainfeed;doNOTalsoaddcompleteWebermembranes orunsupportedHFP-&gt;hexafluoroethaneproxy. SaltoutputsNaCl/NaFandstoichiometricwatergotooneaqueouseffluentwith10kgprocesswater/kgfinished (explicitengineeringdilution,1-100kgsensitivity),1000kg/m3densityproxy. Fluoride-specificabatement/isolationanddissolvedsaltfateareunresolved;genericwastewaterisNOTvalidatedNaFdisposal. Polymerrejectgoestoexistingplasticincinerationwithoutcredit;stoichiometricCO2emittedonce.39.31MJ/kgWeberheat isoneaggregateon-sitechemicalsynthesis/filmformingallowance,notaddedagainateachmodeledintermediate;1kWh/kgsiteelectricityassumed. Existingnativeupstreamfeedproductionburdensremainseparate. TestEW1000-1200,finishedretention80-100%,heat20-80MJ/kg,andnonidealintermediateyields;thebalancednetrecipeis a stoichiometricengineeringreferencewithyield,NOTmeasuredindustrialgrosschemicalconsumption. Actualco-monomerpurification,catalysts,solventcirculation,intermediatescrap,PFASemissions,membranewatercontent,reinforcementandlong-termperformancearecoveragegaps. Finished16kgmasskept,notinferredfromfilmthicknessorcellarea. No native/runtime/YAMLorprimary-secondarysharechanges.</t>
        </is>
      </c>
      <c r="I175" s="11">
        <v>0</v>
      </c>
      <c r="J175"/>
      <c r="K175" s="19"/>
      <c r="L175" s="19"/>
      <c r="M175" s="19"/>
      <c r="N175" s="19"/>
      <c r="O175" s="19"/>
      <c r="P175" s="19"/>
      <c r="Q175"/>
      <c r="R175"/>
    </row>
    <row r="176" spans="1:20" s="11" customFormat="1" ht="16" x14ac:dyDescent="0.2">
      <c r="A176" s="11" t="s">
        <v>63</v>
      </c>
      <c r="B176" s="12">
        <v>4.5</v>
      </c>
      <c r="C176" s="11" t="s">
        <v>17</v>
      </c>
      <c r="D176" s="11" t="s">
        <v>13</v>
      </c>
      <c r="F176" s="11" t="s">
        <v>12</v>
      </c>
      <c r="G176" s="11" t="s">
        <v>64</v>
      </c>
      <c r="H176" s="11" t="s">
        <v>65</v>
      </c>
      <c r="I176" s="11">
        <v>0</v>
      </c>
      <c r="J176"/>
      <c r="K176" s="19"/>
      <c r="L176" s="19"/>
      <c r="M176" s="19"/>
      <c r="N176" s="19"/>
      <c r="O176" s="19"/>
      <c r="P176" s="19"/>
      <c r="Q176"/>
      <c r="R176"/>
    </row>
    <row r="177" spans="1:18" s="11" customFormat="1" ht="16" x14ac:dyDescent="0.2">
      <c r="A177" s="11" t="s">
        <v>479</v>
      </c>
      <c r="B177" s="12">
        <v>0.8</v>
      </c>
      <c r="C177" s="11" t="s">
        <v>480</v>
      </c>
      <c r="D177" s="11" t="s">
        <v>13</v>
      </c>
      <c r="F177" s="11" t="s">
        <v>12</v>
      </c>
      <c r="G177" s="11" t="s">
        <v>66</v>
      </c>
      <c r="H177" s="11" t="s">
        <v>65</v>
      </c>
      <c r="I177" s="11">
        <v>0</v>
      </c>
      <c r="J177"/>
      <c r="K177" s="19"/>
      <c r="L177" s="19"/>
      <c r="M177" s="19"/>
      <c r="N177" s="19"/>
      <c r="O177" s="19"/>
      <c r="P177" s="19"/>
      <c r="Q177"/>
      <c r="R177"/>
    </row>
    <row r="178" spans="1:18" s="11" customFormat="1" ht="16" x14ac:dyDescent="0.2">
      <c r="A178" s="11" t="s">
        <v>23</v>
      </c>
      <c r="B178" s="12">
        <f>0.75/1000*1000</f>
        <v>0.75</v>
      </c>
      <c r="C178" s="11" t="s">
        <v>17</v>
      </c>
      <c r="D178" s="11" t="s">
        <v>13</v>
      </c>
      <c r="E178" s="10"/>
      <c r="F178" s="11" t="s">
        <v>12</v>
      </c>
      <c r="G178" s="11" t="s">
        <v>24</v>
      </c>
      <c r="H178" s="10" t="s">
        <v>478</v>
      </c>
      <c r="I178" s="11">
        <v>5</v>
      </c>
      <c r="J178" s="19">
        <f>B178</f>
        <v>0.75</v>
      </c>
      <c r="K178" s="19">
        <v>0.5</v>
      </c>
      <c r="L178" s="19">
        <v>1</v>
      </c>
      <c r="M178" s="19"/>
      <c r="N178" s="19"/>
      <c r="O178" s="19"/>
      <c r="P178" s="19"/>
      <c r="Q178"/>
      <c r="R178"/>
    </row>
    <row r="179" spans="1:18" s="11" customFormat="1" ht="16" x14ac:dyDescent="0.2">
      <c r="A179" s="11" t="s">
        <v>63</v>
      </c>
      <c r="B179" s="12">
        <v>4.5</v>
      </c>
      <c r="C179" s="11" t="s">
        <v>17</v>
      </c>
      <c r="D179" s="11" t="s">
        <v>13</v>
      </c>
      <c r="F179" s="11" t="s">
        <v>12</v>
      </c>
      <c r="G179" s="11" t="s">
        <v>64</v>
      </c>
      <c r="H179" s="10" t="s">
        <v>67</v>
      </c>
      <c r="I179" s="11">
        <v>0</v>
      </c>
      <c r="J179"/>
      <c r="K179" s="19"/>
      <c r="L179" s="19"/>
      <c r="M179" s="19"/>
      <c r="N179" s="19"/>
      <c r="O179" s="19"/>
      <c r="P179" s="19"/>
      <c r="Q179"/>
      <c r="R179"/>
    </row>
    <row r="180" spans="1:18" s="11" customFormat="1" ht="16" x14ac:dyDescent="0.2">
      <c r="A180" s="11" t="s">
        <v>68</v>
      </c>
      <c r="B180" s="12">
        <v>4.5</v>
      </c>
      <c r="C180" s="11" t="s">
        <v>17</v>
      </c>
      <c r="D180" s="11" t="s">
        <v>13</v>
      </c>
      <c r="F180" s="11" t="s">
        <v>12</v>
      </c>
      <c r="G180" s="11" t="s">
        <v>69</v>
      </c>
      <c r="H180" s="11" t="s">
        <v>70</v>
      </c>
      <c r="I180" s="11">
        <v>0</v>
      </c>
      <c r="J180"/>
      <c r="K180" s="19"/>
      <c r="L180" s="19"/>
      <c r="M180" s="19"/>
      <c r="N180" s="19"/>
      <c r="O180" s="19"/>
      <c r="P180" s="19"/>
      <c r="Q180"/>
      <c r="R180"/>
    </row>
    <row r="181" spans="1:18" s="11" customFormat="1" ht="16" x14ac:dyDescent="0.2">
      <c r="A181" s="11" t="s">
        <v>71</v>
      </c>
      <c r="B181" s="12">
        <v>4.5</v>
      </c>
      <c r="C181" s="11" t="s">
        <v>17</v>
      </c>
      <c r="D181" s="11" t="s">
        <v>13</v>
      </c>
      <c r="F181" s="11" t="s">
        <v>12</v>
      </c>
      <c r="G181" s="11" t="s">
        <v>72</v>
      </c>
      <c r="H181" s="11" t="s">
        <v>70</v>
      </c>
      <c r="I181" s="11">
        <v>0</v>
      </c>
      <c r="J181"/>
      <c r="K181" s="19"/>
      <c r="L181" s="19"/>
      <c r="M181" s="19"/>
      <c r="N181" s="19"/>
      <c r="O181" s="19"/>
      <c r="P181" s="19"/>
      <c r="Q181"/>
      <c r="R181"/>
    </row>
    <row r="182" spans="1:18" s="11" customFormat="1" ht="16" x14ac:dyDescent="0.2">
      <c r="A182" s="11" t="s">
        <v>73</v>
      </c>
      <c r="B182" s="12">
        <v>100</v>
      </c>
      <c r="C182" s="11" t="s">
        <v>17</v>
      </c>
      <c r="D182" s="11" t="s">
        <v>13</v>
      </c>
      <c r="F182" s="11" t="s">
        <v>12</v>
      </c>
      <c r="G182" s="11" t="s">
        <v>74</v>
      </c>
      <c r="H182" s="11" t="s">
        <v>75</v>
      </c>
      <c r="I182" s="11">
        <v>0</v>
      </c>
      <c r="J182"/>
      <c r="K182" s="19"/>
      <c r="L182" s="19"/>
      <c r="M182" s="19"/>
      <c r="N182" s="19"/>
      <c r="O182" s="19"/>
      <c r="P182" s="19"/>
      <c r="Q182"/>
      <c r="R182"/>
    </row>
    <row r="183" spans="1:18" s="11" customFormat="1" ht="16" x14ac:dyDescent="0.2">
      <c r="A183" s="11" t="s">
        <v>20</v>
      </c>
      <c r="B183" s="12">
        <v>100</v>
      </c>
      <c r="C183" s="11" t="s">
        <v>17</v>
      </c>
      <c r="D183" s="11" t="s">
        <v>13</v>
      </c>
      <c r="F183" s="11" t="s">
        <v>12</v>
      </c>
      <c r="G183" s="11" t="s">
        <v>15</v>
      </c>
      <c r="H183" s="11" t="s">
        <v>75</v>
      </c>
      <c r="I183" s="11">
        <v>0</v>
      </c>
      <c r="J183"/>
      <c r="K183" s="19"/>
      <c r="L183" s="19"/>
      <c r="M183" s="19"/>
      <c r="N183" s="19"/>
      <c r="O183" s="19"/>
      <c r="P183" s="19"/>
      <c r="Q183"/>
      <c r="R183"/>
    </row>
    <row r="184" spans="1:18" s="11" customFormat="1" ht="16" x14ac:dyDescent="0.2">
      <c r="A184" s="11" t="s">
        <v>76</v>
      </c>
      <c r="B184" s="12">
        <v>4.8</v>
      </c>
      <c r="C184" s="11" t="s">
        <v>17</v>
      </c>
      <c r="D184" s="11" t="s">
        <v>13</v>
      </c>
      <c r="F184" s="11" t="s">
        <v>12</v>
      </c>
      <c r="G184" s="11" t="s">
        <v>77</v>
      </c>
      <c r="H184" s="11" t="s">
        <v>78</v>
      </c>
      <c r="I184" s="11">
        <v>0</v>
      </c>
      <c r="J184"/>
      <c r="K184" s="19"/>
      <c r="L184" s="19"/>
      <c r="M184" s="19"/>
      <c r="N184" s="19"/>
      <c r="O184" s="19"/>
      <c r="P184" s="19"/>
      <c r="Q184"/>
      <c r="R184"/>
    </row>
    <row r="185" spans="1:18" s="11" customFormat="1" ht="16" x14ac:dyDescent="0.2">
      <c r="A185" s="11" t="s">
        <v>33</v>
      </c>
      <c r="B185" s="12">
        <v>103890.7681</v>
      </c>
      <c r="C185" s="11" t="s">
        <v>17</v>
      </c>
      <c r="D185" s="11" t="s">
        <v>35</v>
      </c>
      <c r="E185" s="10"/>
      <c r="F185" s="11" t="s">
        <v>12</v>
      </c>
      <c r="G185" s="10" t="s">
        <v>36</v>
      </c>
      <c r="H185" s="11" t="s">
        <v>79</v>
      </c>
      <c r="I185" s="11">
        <v>0</v>
      </c>
      <c r="J185"/>
      <c r="K185" s="19"/>
      <c r="L185" s="19"/>
      <c r="M185" s="19"/>
      <c r="N185" s="19"/>
      <c r="O185" s="19"/>
      <c r="P185" s="19"/>
      <c r="Q185"/>
      <c r="R185"/>
    </row>
    <row r="186" spans="1:18" s="11" customFormat="1" ht="16" x14ac:dyDescent="0.2">
      <c r="B186" s="16"/>
      <c r="K186" s="12"/>
      <c r="L186" s="12"/>
      <c r="M186" s="12"/>
      <c r="N186" s="12"/>
      <c r="O186" s="12"/>
      <c r="P186" s="12"/>
    </row>
    <row r="187" spans="1:18" s="11" customFormat="1" ht="16" x14ac:dyDescent="0.2">
      <c r="A187" s="8" t="s">
        <v>1</v>
      </c>
      <c r="B187" s="9" t="s">
        <v>504</v>
      </c>
      <c r="K187" s="12"/>
      <c r="L187" s="12"/>
      <c r="M187" s="12"/>
      <c r="N187" s="12"/>
      <c r="O187" s="12"/>
      <c r="P187" s="12"/>
    </row>
    <row r="188" spans="1:18" s="11" customFormat="1" ht="16" x14ac:dyDescent="0.2">
      <c r="A188" s="13" t="s">
        <v>3</v>
      </c>
      <c r="B188" s="14">
        <v>1</v>
      </c>
      <c r="K188" s="12"/>
      <c r="L188" s="12"/>
      <c r="M188" s="12"/>
      <c r="N188" s="12"/>
      <c r="O188" s="12"/>
      <c r="P188" s="12"/>
    </row>
    <row r="189" spans="1:18" s="11" customFormat="1" ht="16" x14ac:dyDescent="0.2">
      <c r="A189" s="13" t="s">
        <v>11</v>
      </c>
      <c r="B189" s="14" t="s">
        <v>56</v>
      </c>
      <c r="K189" s="12"/>
      <c r="L189" s="12"/>
      <c r="M189" s="12"/>
      <c r="N189" s="12"/>
      <c r="O189" s="12"/>
      <c r="P189" s="12"/>
    </row>
    <row r="190" spans="1:18" s="11" customFormat="1" ht="16" x14ac:dyDescent="0.2">
      <c r="A190" s="13" t="s">
        <v>4</v>
      </c>
      <c r="B190" s="16" t="s">
        <v>505</v>
      </c>
      <c r="K190" s="12"/>
      <c r="L190" s="12"/>
      <c r="M190" s="12"/>
      <c r="N190" s="12"/>
      <c r="O190" s="12"/>
      <c r="P190" s="12"/>
    </row>
    <row r="191" spans="1:18" s="11" customFormat="1" ht="16" x14ac:dyDescent="0.2">
      <c r="A191" s="13" t="s">
        <v>2</v>
      </c>
      <c r="B191" s="14" t="s">
        <v>34</v>
      </c>
      <c r="K191" s="12"/>
      <c r="L191" s="12"/>
      <c r="M191" s="12"/>
      <c r="N191" s="12"/>
      <c r="O191" s="12"/>
      <c r="P191" s="12"/>
    </row>
    <row r="192" spans="1:18" s="11" customFormat="1" ht="16" x14ac:dyDescent="0.2">
      <c r="A192" s="13" t="s">
        <v>6</v>
      </c>
      <c r="B192" s="16" t="s">
        <v>6</v>
      </c>
      <c r="K192" s="12"/>
      <c r="L192" s="12"/>
      <c r="M192" s="12"/>
      <c r="N192" s="12"/>
      <c r="O192" s="12"/>
      <c r="P192" s="12"/>
    </row>
    <row r="193" spans="1:20" s="11" customFormat="1" ht="16" x14ac:dyDescent="0.2">
      <c r="A193" s="17" t="s">
        <v>7</v>
      </c>
      <c r="B193" s="9"/>
      <c r="C193" s="17"/>
      <c r="D193" s="17"/>
      <c r="E193" s="17"/>
      <c r="F193" s="17"/>
      <c r="G193" s="17"/>
      <c r="H193" s="17"/>
      <c r="I193" s="17"/>
      <c r="J193" s="17"/>
      <c r="K193" s="12"/>
      <c r="L193" s="12"/>
      <c r="M193" s="12"/>
      <c r="N193" s="12"/>
      <c r="O193" s="12"/>
      <c r="P193" s="12"/>
    </row>
    <row r="194" spans="1:20" s="11" customFormat="1" ht="16" x14ac:dyDescent="0.2">
      <c r="A194" s="17" t="s">
        <v>8</v>
      </c>
      <c r="B194" s="9" t="s">
        <v>9</v>
      </c>
      <c r="C194" s="17" t="s">
        <v>2</v>
      </c>
      <c r="D194" s="17" t="s">
        <v>6</v>
      </c>
      <c r="E194" s="23" t="s">
        <v>10</v>
      </c>
      <c r="F194" s="17" t="s">
        <v>5</v>
      </c>
      <c r="G194" s="17" t="s">
        <v>4</v>
      </c>
      <c r="H194" s="23" t="s">
        <v>11</v>
      </c>
      <c r="I194" s="17"/>
      <c r="J194" s="7"/>
      <c r="K194" s="18"/>
      <c r="L194" s="18"/>
      <c r="M194" s="18"/>
      <c r="N194" s="18"/>
      <c r="O194" s="18"/>
      <c r="P194" s="18"/>
      <c r="Q194" s="7"/>
      <c r="R194" s="7"/>
      <c r="S194" s="17"/>
      <c r="T194" s="7"/>
    </row>
    <row r="195" spans="1:20" s="11" customFormat="1" ht="16" x14ac:dyDescent="0.2">
      <c r="A195" s="16" t="str">
        <f>B187</f>
        <v>treatment of electrolyzer stack, 1MWe, PEM</v>
      </c>
      <c r="B195" s="12">
        <v>-1</v>
      </c>
      <c r="C195" s="11" t="s">
        <v>34</v>
      </c>
      <c r="D195" s="11" t="str">
        <f>B192</f>
        <v>unit</v>
      </c>
      <c r="F195" s="11" t="s">
        <v>16</v>
      </c>
      <c r="G195" s="11" t="str">
        <f>B190</f>
        <v>used electrolyzer stack, 1MWe, PEM</v>
      </c>
      <c r="K195" s="12"/>
      <c r="L195" s="12"/>
      <c r="M195" s="12"/>
      <c r="N195" s="12"/>
      <c r="O195" s="12"/>
      <c r="P195" s="12"/>
    </row>
    <row r="196" spans="1:20" s="11" customFormat="1" ht="16" x14ac:dyDescent="0.2">
      <c r="A196" s="16" t="s">
        <v>204</v>
      </c>
      <c r="B196" s="11">
        <f>-1*B182</f>
        <v>-100</v>
      </c>
      <c r="C196" s="11" t="s">
        <v>37</v>
      </c>
      <c r="D196" s="11" t="s">
        <v>13</v>
      </c>
      <c r="F196" s="11" t="s">
        <v>12</v>
      </c>
      <c r="G196" s="11" t="s">
        <v>205</v>
      </c>
      <c r="J196"/>
      <c r="K196" s="19"/>
      <c r="L196" s="19"/>
      <c r="M196" s="19"/>
      <c r="N196" s="19"/>
      <c r="O196" s="19"/>
      <c r="P196" s="19"/>
      <c r="Q196"/>
      <c r="R196"/>
    </row>
    <row r="197" spans="1:20" s="11" customFormat="1" ht="16" x14ac:dyDescent="0.2">
      <c r="A197" s="11" t="s">
        <v>206</v>
      </c>
      <c r="B197" s="11">
        <f>-1*B172</f>
        <v>-27</v>
      </c>
      <c r="C197" s="11" t="s">
        <v>37</v>
      </c>
      <c r="D197" s="11" t="s">
        <v>13</v>
      </c>
      <c r="F197" s="11" t="s">
        <v>12</v>
      </c>
      <c r="G197" s="11" t="s">
        <v>207</v>
      </c>
      <c r="J197"/>
      <c r="K197" s="19"/>
      <c r="L197" s="19"/>
      <c r="M197" s="19"/>
      <c r="N197" s="19"/>
      <c r="O197" s="19"/>
      <c r="P197" s="19"/>
      <c r="Q197"/>
      <c r="R197"/>
    </row>
    <row r="198" spans="1:20" s="11" customFormat="1" ht="16" x14ac:dyDescent="0.2">
      <c r="A198" s="11" t="s">
        <v>208</v>
      </c>
      <c r="B198" s="11">
        <f>-1*B180</f>
        <v>-4.5</v>
      </c>
      <c r="C198" s="11" t="s">
        <v>37</v>
      </c>
      <c r="D198" s="11" t="s">
        <v>13</v>
      </c>
      <c r="F198" s="11" t="s">
        <v>12</v>
      </c>
      <c r="G198" s="11" t="s">
        <v>209</v>
      </c>
      <c r="J198"/>
      <c r="K198" s="19"/>
      <c r="L198" s="19"/>
      <c r="M198" s="19"/>
      <c r="N198" s="19"/>
      <c r="O198" s="19"/>
      <c r="P198" s="19"/>
      <c r="Q198"/>
      <c r="R198"/>
    </row>
    <row r="199" spans="1:20" s="11" customFormat="1" ht="16" x14ac:dyDescent="0.2">
      <c r="A199" s="11" t="s">
        <v>210</v>
      </c>
      <c r="B199" s="11">
        <f>-1*B175</f>
        <v>-16</v>
      </c>
      <c r="C199" s="11" t="s">
        <v>212</v>
      </c>
      <c r="D199" s="11" t="s">
        <v>13</v>
      </c>
      <c r="F199" s="11" t="s">
        <v>12</v>
      </c>
      <c r="G199" s="11" t="s">
        <v>211</v>
      </c>
      <c r="J199"/>
      <c r="K199" s="19"/>
      <c r="L199" s="19"/>
      <c r="M199" s="19"/>
      <c r="N199" s="19"/>
      <c r="O199" s="19"/>
      <c r="P199" s="19"/>
      <c r="Q199"/>
      <c r="R199"/>
    </row>
    <row r="200" spans="1:20" s="11" customFormat="1" ht="16" x14ac:dyDescent="0.2">
      <c r="A200" s="11" t="s">
        <v>213</v>
      </c>
      <c r="B200" s="11">
        <f>-1*B184</f>
        <v>-4.8</v>
      </c>
      <c r="C200" s="11" t="s">
        <v>37</v>
      </c>
      <c r="D200" s="11" t="s">
        <v>13</v>
      </c>
      <c r="F200" s="11" t="s">
        <v>12</v>
      </c>
      <c r="G200" s="11" t="s">
        <v>214</v>
      </c>
      <c r="J200"/>
      <c r="K200" s="19"/>
      <c r="L200" s="19"/>
      <c r="M200" s="19"/>
      <c r="N200" s="19"/>
      <c r="O200" s="19"/>
      <c r="P200" s="19"/>
      <c r="Q200"/>
      <c r="R200"/>
    </row>
    <row r="201" spans="1:20" s="11" customFormat="1" ht="16" x14ac:dyDescent="0.2">
      <c r="B201" s="16"/>
      <c r="K201" s="12"/>
      <c r="L201" s="12"/>
      <c r="M201" s="12"/>
      <c r="N201" s="12"/>
      <c r="O201" s="12"/>
      <c r="P201" s="12"/>
    </row>
    <row r="202" spans="1:20" s="11" customFormat="1" ht="16" x14ac:dyDescent="0.2">
      <c r="A202" s="8" t="s">
        <v>1</v>
      </c>
      <c r="B202" s="9" t="s">
        <v>80</v>
      </c>
      <c r="K202" s="24"/>
      <c r="L202" s="25"/>
      <c r="M202" s="12"/>
      <c r="N202" s="12"/>
      <c r="O202" s="12"/>
      <c r="P202" s="12"/>
    </row>
    <row r="203" spans="1:20" s="11" customFormat="1" ht="16" x14ac:dyDescent="0.2">
      <c r="A203" s="13" t="s">
        <v>3</v>
      </c>
      <c r="B203" s="14">
        <v>1</v>
      </c>
      <c r="K203" s="26"/>
      <c r="L203" s="25"/>
      <c r="M203" s="12"/>
      <c r="N203" s="12"/>
      <c r="O203" s="12"/>
      <c r="P203" s="12"/>
    </row>
    <row r="204" spans="1:20" s="11" customFormat="1" ht="16" x14ac:dyDescent="0.2">
      <c r="A204" s="13" t="s">
        <v>11</v>
      </c>
      <c r="B204" s="14"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PREVIOUS NOTES (retained as history; the correction above takes precedence):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
PREVIOUS NOTES (retained as history; the correction above takes precedence):
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t>
        </is>
      </c>
      <c r="K204" s="12"/>
      <c r="L204" s="25"/>
      <c r="M204" s="12"/>
      <c r="N204" s="12"/>
      <c r="O204" s="12"/>
      <c r="P204" s="12"/>
    </row>
    <row r="205" spans="1:20" s="11" customFormat="1" ht="16" x14ac:dyDescent="0.2">
      <c r="A205" s="13" t="s">
        <v>4</v>
      </c>
      <c r="B205" s="16" t="s">
        <v>48</v>
      </c>
      <c r="K205" s="12"/>
      <c r="L205" s="12"/>
      <c r="M205" s="12"/>
      <c r="N205" s="12"/>
      <c r="O205" s="12"/>
      <c r="P205" s="12"/>
    </row>
    <row r="206" spans="1:20" s="11" customFormat="1" ht="16.25" customHeight="1" x14ac:dyDescent="0.2">
      <c r="A206" s="13" t="s">
        <v>2</v>
      </c>
      <c r="B206" s="14" t="s">
        <v>34</v>
      </c>
      <c r="K206" s="12"/>
      <c r="L206" s="12"/>
      <c r="M206" s="12"/>
      <c r="N206" s="12"/>
      <c r="O206" s="12"/>
      <c r="P206" s="12"/>
    </row>
    <row r="207" spans="1:20" s="11" customFormat="1" ht="16" x14ac:dyDescent="0.2">
      <c r="A207" s="13" t="s">
        <v>6</v>
      </c>
      <c r="B207" s="16" t="s">
        <v>6</v>
      </c>
      <c r="H207" s="17"/>
      <c r="I207" s="17"/>
      <c r="K207" s="12"/>
      <c r="L207" s="12"/>
      <c r="M207" s="12"/>
      <c r="N207" s="12"/>
      <c r="O207" s="12"/>
      <c r="P207" s="12"/>
    </row>
    <row r="208" spans="1:20" s="11" customFormat="1" ht="16" x14ac:dyDescent="0.2">
      <c r="A208" s="17" t="s">
        <v>7</v>
      </c>
      <c r="B208" s="9"/>
      <c r="C208" s="17"/>
      <c r="D208" s="17"/>
      <c r="E208" s="17"/>
      <c r="F208" s="17"/>
      <c r="G208" s="17"/>
      <c r="H208" s="10"/>
      <c r="I208" s="10"/>
      <c r="K208" s="12"/>
      <c r="L208" s="12"/>
      <c r="M208" s="12"/>
      <c r="N208" s="12"/>
      <c r="O208" s="12"/>
      <c r="P208" s="12"/>
    </row>
    <row r="209" spans="1:20" s="11" customFormat="1" ht="16" x14ac:dyDescent="0.2">
      <c r="A209" s="17" t="s">
        <v>8</v>
      </c>
      <c r="B209" s="9" t="s">
        <v>9</v>
      </c>
      <c r="C209" s="17" t="s">
        <v>2</v>
      </c>
      <c r="D209" s="17" t="s">
        <v>6</v>
      </c>
      <c r="E209" s="23" t="s">
        <v>10</v>
      </c>
      <c r="F209" s="17" t="s">
        <v>5</v>
      </c>
      <c r="G209" s="17" t="s">
        <v>4</v>
      </c>
      <c r="H209" s="23" t="s">
        <v>11</v>
      </c>
      <c r="I209" s="17"/>
      <c r="J209" s="7"/>
      <c r="K209" s="18"/>
      <c r="L209" s="18"/>
      <c r="M209" s="18"/>
      <c r="N209" s="18"/>
      <c r="O209" s="18"/>
      <c r="P209" s="18"/>
      <c r="Q209" s="7"/>
      <c r="R209" s="7"/>
      <c r="S209" s="17"/>
      <c r="T209" s="7"/>
    </row>
    <row r="210" spans="1:20" s="11" customFormat="1" ht="16" x14ac:dyDescent="0.2">
      <c r="A210" s="16" t="str">
        <f>B202</f>
        <v>electrolyzer production, 1MWe, PEM, Balance of Plant</v>
      </c>
      <c r="B210" s="16">
        <v>1</v>
      </c>
      <c r="C210" s="11" t="s">
        <v>34</v>
      </c>
      <c r="D210" s="11" t="s">
        <v>6</v>
      </c>
      <c r="F210" s="11" t="s">
        <v>16</v>
      </c>
      <c r="G210" s="16" t="str">
        <f>B205</f>
        <v>electrolyzer, 1MWe, PEM, Balance of Plant</v>
      </c>
      <c r="H210" s="10"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I210" s="10"/>
      <c r="K210" s="12"/>
      <c r="L210" s="12"/>
      <c r="M210" s="12"/>
      <c r="N210" s="12"/>
      <c r="O210" s="12"/>
      <c r="P210" s="26"/>
    </row>
    <row r="211" spans="1:20" s="11" customFormat="1" ht="16" x14ac:dyDescent="0.2">
      <c r="A211" s="11" t="inlineStr">
        <is>
          <t xml:space="preserve">power conversion system production, electrolysis, transformer and rectifier, 1 MW</t>
        </is>
      </c>
      <c r="B211" s="16">
        <v>1</v>
      </c>
      <c r="C211" s="11" t="inlineStr">
        <is>
          <t>GLO</t>
        </is>
      </c>
      <c r="D211" s="11" t="inlineStr">
        <is>
          <t>unit</t>
        </is>
      </c>
      <c r="F211" s="11" t="s">
        <v>12</v>
      </c>
      <c r="G211" s="11" t="inlineStr">
        <is>
          <t xml:space="preserve">power conversion system, electrolysis, transformer and rectifier, 1 MW</t>
        </is>
      </c>
      <c r="H211" s="27"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c r="J211"/>
      <c r="K211" s="19"/>
      <c r="L211" s="19"/>
      <c r="M211" s="19"/>
      <c r="N211" s="19"/>
      <c r="O211" s="19"/>
      <c r="P211" s="19"/>
      <c r="Q211"/>
      <c r="R211"/>
    </row>
    <row r="212" spans="1:20" s="11" customFormat="1" ht="16" x14ac:dyDescent="0.2">
      <c r="A212" s="11"/>
      <c r="B212" s="16"/>
      <c r="C212" s="11"/>
      <c r="D212" s="11"/>
      <c r="F212" s="11"/>
      <c r="G212" s="11"/>
      <c r="H212" s="27"/>
      <c r="J212"/>
      <c r="K212" s="19"/>
      <c r="L212" s="19"/>
      <c r="M212" s="19"/>
      <c r="N212" s="19"/>
      <c r="O212" s="19"/>
      <c r="P212" s="19"/>
      <c r="Q212"/>
      <c r="R212"/>
    </row>
    <row r="213" spans="1:20" s="11" customFormat="1" ht="16" x14ac:dyDescent="0.2">
      <c r="A213" s="11"/>
      <c r="B213" s="16"/>
      <c r="C213" s="11"/>
      <c r="D213" s="11"/>
      <c r="F213" s="11"/>
      <c r="G213" s="11"/>
      <c r="H213" s="27"/>
      <c r="J213"/>
      <c r="K213" s="19"/>
      <c r="L213" s="19"/>
      <c r="M213" s="19"/>
      <c r="N213" s="19"/>
      <c r="O213" s="19"/>
      <c r="P213" s="19"/>
      <c r="Q213"/>
      <c r="R213"/>
    </row>
    <row r="214" spans="1:20" s="11" customFormat="1" ht="16" x14ac:dyDescent="0.2">
      <c r="A214" s="11"/>
      <c r="B214" s="16"/>
      <c r="C214" s="11"/>
      <c r="D214" s="11"/>
      <c r="F214" s="11"/>
      <c r="G214" s="11"/>
      <c r="H214" s="27"/>
      <c r="J214"/>
      <c r="K214" s="19"/>
      <c r="L214" s="19"/>
      <c r="M214" s="19"/>
      <c r="N214" s="19"/>
      <c r="O214" s="19"/>
      <c r="P214" s="19"/>
      <c r="Q214"/>
      <c r="R214"/>
    </row>
    <row r="215" spans="1:20" s="11" customFormat="1" ht="16" x14ac:dyDescent="0.2">
      <c r="A215" s="11"/>
      <c r="B215" s="16"/>
      <c r="C215" s="11"/>
      <c r="D215" s="11"/>
      <c r="F215" s="11"/>
      <c r="G215" s="11"/>
      <c r="H215" s="27"/>
      <c r="J215"/>
      <c r="K215" s="19"/>
      <c r="L215" s="19"/>
      <c r="M215" s="19"/>
      <c r="N215" s="19"/>
      <c r="O215" s="19"/>
      <c r="P215" s="19"/>
      <c r="Q215"/>
      <c r="R215"/>
    </row>
    <row r="216" spans="1:20" s="11" customFormat="1" ht="16" x14ac:dyDescent="0.2">
      <c r="A216" s="11"/>
      <c r="B216" s="16"/>
      <c r="C216" s="11"/>
      <c r="D216" s="11"/>
      <c r="F216" s="11"/>
      <c r="G216" s="11"/>
      <c r="H216" s="27"/>
      <c r="J216"/>
      <c r="K216" s="19"/>
      <c r="L216" s="19"/>
      <c r="M216" s="19"/>
      <c r="N216" s="19"/>
      <c r="O216" s="19"/>
      <c r="P216" s="19"/>
      <c r="Q216"/>
      <c r="R216"/>
    </row>
    <row r="217" spans="1:20" s="11" customFormat="1" ht="16" x14ac:dyDescent="0.2">
      <c r="A217" s="11"/>
      <c r="B217" s="16"/>
      <c r="C217" s="11"/>
      <c r="D217" s="11"/>
      <c r="F217" s="11"/>
      <c r="G217" s="11"/>
      <c r="H217" s="27"/>
      <c r="J217"/>
      <c r="K217" s="19"/>
      <c r="L217" s="19"/>
      <c r="M217" s="19"/>
      <c r="N217" s="19"/>
      <c r="O217" s="19"/>
      <c r="P217" s="19"/>
      <c r="Q217"/>
      <c r="R217"/>
    </row>
    <row r="218" spans="1:20" s="11" customFormat="1" ht="16" x14ac:dyDescent="0.2">
      <c r="A218" s="11" t="s">
        <v>30</v>
      </c>
      <c r="B218" s="16">
        <v>100</v>
      </c>
      <c r="C218" s="11" t="s">
        <v>17</v>
      </c>
      <c r="D218" s="11" t="s">
        <v>13</v>
      </c>
      <c r="F218" s="11" t="s">
        <v>12</v>
      </c>
      <c r="G218" s="11" t="s">
        <v>29</v>
      </c>
      <c r="H218" s="10" t="inlineStr">
        <is>
          <t>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t>
        </is>
      </c>
      <c r="J218"/>
      <c r="K218" s="19"/>
      <c r="L218" s="19"/>
      <c r="M218" s="19"/>
      <c r="N218" s="19"/>
      <c r="O218" s="19"/>
      <c r="P218" s="19"/>
      <c r="Q218"/>
      <c r="R218"/>
    </row>
    <row r="219" spans="1:20" s="11" customFormat="1" ht="16" x14ac:dyDescent="0.2">
      <c r="A219" s="11" t="s">
        <v>25</v>
      </c>
      <c r="B219" s="16">
        <v>900</v>
      </c>
      <c r="C219" s="11" t="s">
        <v>17</v>
      </c>
      <c r="D219" s="11" t="s">
        <v>13</v>
      </c>
      <c r="F219" s="11" t="s">
        <v>12</v>
      </c>
      <c r="G219" s="11" t="s">
        <v>26</v>
      </c>
      <c r="H219" s="10" t="s">
        <v>88</v>
      </c>
      <c r="J219"/>
      <c r="K219" s="19"/>
      <c r="L219" s="19"/>
      <c r="M219" s="19"/>
      <c r="N219" s="19"/>
      <c r="O219" s="19"/>
      <c r="P219" s="19"/>
      <c r="Q219"/>
      <c r="R219"/>
    </row>
    <row r="220" spans="1:20" s="11" customFormat="1" ht="16" x14ac:dyDescent="0.2">
      <c r="A220" s="11" t="s">
        <v>84</v>
      </c>
      <c r="B220" s="16">
        <v>900</v>
      </c>
      <c r="C220" s="11" t="s">
        <v>17</v>
      </c>
      <c r="D220" s="11" t="s">
        <v>13</v>
      </c>
      <c r="F220" s="11" t="s">
        <v>12</v>
      </c>
      <c r="G220" s="11" t="s">
        <v>42</v>
      </c>
      <c r="H220" s="10" t="s">
        <v>88</v>
      </c>
      <c r="J220"/>
      <c r="K220" s="19"/>
      <c r="L220" s="19"/>
      <c r="M220" s="19"/>
      <c r="N220" s="19"/>
      <c r="O220" s="19"/>
      <c r="P220" s="19"/>
      <c r="Q220"/>
      <c r="R220"/>
    </row>
    <row r="221" spans="1:20" s="11" customFormat="1" ht="16" x14ac:dyDescent="0.2">
      <c r="A221" s="11" t="s">
        <v>73</v>
      </c>
      <c r="B221" s="16">
        <v>750</v>
      </c>
      <c r="C221" s="11" t="s">
        <v>17</v>
      </c>
      <c r="D221" s="11" t="s">
        <v>13</v>
      </c>
      <c r="F221" s="11" t="s">
        <v>12</v>
      </c>
      <c r="G221" s="11" t="s">
        <v>74</v>
      </c>
      <c r="H221" s="10" t="s">
        <v>89</v>
      </c>
      <c r="J221"/>
      <c r="K221" s="19"/>
      <c r="L221" s="19"/>
      <c r="M221" s="19"/>
      <c r="N221" s="19"/>
      <c r="O221" s="19"/>
      <c r="P221" s="19"/>
      <c r="Q221"/>
      <c r="R221"/>
    </row>
    <row r="222" spans="1:20" s="11" customFormat="1" ht="16" x14ac:dyDescent="0.2">
      <c r="A222" s="11" t="s">
        <v>20</v>
      </c>
      <c r="B222" s="16">
        <v>750</v>
      </c>
      <c r="C222" s="11" t="s">
        <v>17</v>
      </c>
      <c r="D222" s="11" t="s">
        <v>13</v>
      </c>
      <c r="F222" s="11" t="s">
        <v>12</v>
      </c>
      <c r="G222" s="11" t="s">
        <v>15</v>
      </c>
      <c r="H222" s="10" t="s">
        <v>89</v>
      </c>
      <c r="J222"/>
      <c r="K222" s="19"/>
      <c r="L222" s="19"/>
      <c r="M222" s="19"/>
      <c r="N222" s="19"/>
      <c r="O222" s="19"/>
      <c r="P222" s="19"/>
      <c r="Q222"/>
      <c r="R222"/>
    </row>
    <row r="223" spans="1:20" s="11" customFormat="1" ht="16" x14ac:dyDescent="0.2">
      <c r="A223" s="11" t="s">
        <v>18</v>
      </c>
      <c r="B223" s="16">
        <v>100</v>
      </c>
      <c r="C223" s="11" t="s">
        <v>17</v>
      </c>
      <c r="D223" s="11" t="s">
        <v>13</v>
      </c>
      <c r="F223" s="11" t="s">
        <v>12</v>
      </c>
      <c r="G223" s="11" t="s">
        <v>19</v>
      </c>
      <c r="H223" s="10" t="s">
        <v>90</v>
      </c>
      <c r="J223"/>
      <c r="K223" s="19"/>
      <c r="L223" s="19"/>
      <c r="M223" s="19"/>
      <c r="N223" s="19"/>
      <c r="O223" s="19"/>
      <c r="P223" s="19"/>
      <c r="Q223"/>
      <c r="R223"/>
    </row>
    <row r="224" spans="1:20" s="11" customFormat="1" ht="16" x14ac:dyDescent="0.2">
      <c r="A224" s="11" t="s">
        <v>58</v>
      </c>
      <c r="B224" s="16">
        <v>100</v>
      </c>
      <c r="C224" s="11" t="s">
        <v>17</v>
      </c>
      <c r="D224" s="11" t="s">
        <v>13</v>
      </c>
      <c r="F224" s="11" t="s">
        <v>12</v>
      </c>
      <c r="G224" s="11" t="s">
        <v>41</v>
      </c>
      <c r="H224" s="10" t="s">
        <v>90</v>
      </c>
      <c r="J224"/>
      <c r="K224" s="19"/>
      <c r="L224" s="19"/>
      <c r="M224" s="19"/>
      <c r="N224" s="19"/>
      <c r="O224" s="19"/>
      <c r="P224" s="19"/>
      <c r="Q224"/>
      <c r="R224"/>
    </row>
    <row r="225" spans="1:18" s="11" customFormat="1" ht="16" x14ac:dyDescent="0.2">
      <c r="A225" s="11" t="s">
        <v>68</v>
      </c>
      <c r="B225" s="16">
        <v>100</v>
      </c>
      <c r="C225" s="11" t="s">
        <v>17</v>
      </c>
      <c r="D225" s="11" t="s">
        <v>13</v>
      </c>
      <c r="F225" s="11" t="s">
        <v>12</v>
      </c>
      <c r="G225" s="11" t="s">
        <v>69</v>
      </c>
      <c r="H225" s="10" t="s">
        <v>91</v>
      </c>
      <c r="J225"/>
      <c r="K225" s="19"/>
      <c r="L225" s="19"/>
      <c r="M225" s="19"/>
      <c r="N225" s="19"/>
      <c r="O225" s="19"/>
      <c r="P225" s="19"/>
      <c r="Q225"/>
      <c r="R225"/>
    </row>
    <row r="226" spans="1:18" s="11" customFormat="1" ht="16" x14ac:dyDescent="0.2">
      <c r="A226" s="11" t="s">
        <v>71</v>
      </c>
      <c r="B226" s="16">
        <v>100</v>
      </c>
      <c r="C226" s="11" t="s">
        <v>17</v>
      </c>
      <c r="D226" s="11" t="s">
        <v>13</v>
      </c>
      <c r="F226" s="11" t="s">
        <v>12</v>
      </c>
      <c r="G226" s="11" t="s">
        <v>72</v>
      </c>
      <c r="H226" s="10" t="s">
        <v>91</v>
      </c>
      <c r="J226"/>
      <c r="K226" s="19"/>
      <c r="L226" s="19"/>
      <c r="M226" s="19"/>
      <c r="N226" s="19"/>
      <c r="O226" s="19"/>
      <c r="P226" s="19"/>
      <c r="Q226"/>
      <c r="R226"/>
    </row>
    <row r="227" spans="1:18" s="11" customFormat="1" ht="16" x14ac:dyDescent="0.2">
      <c r="A227" s="11" t="s">
        <v>27</v>
      </c>
      <c r="B227" s="16">
        <v>300</v>
      </c>
      <c r="C227" s="11" t="s">
        <v>17</v>
      </c>
      <c r="D227" s="11" t="s">
        <v>13</v>
      </c>
      <c r="F227" s="11" t="s">
        <v>12</v>
      </c>
      <c r="G227" s="11" t="s">
        <v>28</v>
      </c>
      <c r="H227" s="10" t="s">
        <v>92</v>
      </c>
      <c r="J227"/>
      <c r="K227" s="19"/>
      <c r="L227" s="19"/>
      <c r="M227" s="19"/>
      <c r="N227" s="19"/>
      <c r="O227" s="19"/>
      <c r="P227" s="19"/>
      <c r="Q227"/>
      <c r="R227"/>
    </row>
    <row r="228" spans="1:18" s="11" customFormat="1" ht="16" x14ac:dyDescent="0.2">
      <c r="A228" s="11" t="s">
        <v>93</v>
      </c>
      <c r="B228" s="16">
        <v>300</v>
      </c>
      <c r="C228" s="11" t="s">
        <v>17</v>
      </c>
      <c r="D228" s="11" t="s">
        <v>13</v>
      </c>
      <c r="F228" s="11" t="s">
        <v>12</v>
      </c>
      <c r="G228" s="11" t="s">
        <v>94</v>
      </c>
      <c r="H228" s="10" t="s">
        <v>92</v>
      </c>
      <c r="J228"/>
      <c r="K228" s="19"/>
      <c r="L228" s="19"/>
      <c r="M228" s="19"/>
      <c r="N228" s="19"/>
      <c r="O228" s="19"/>
      <c r="P228" s="19"/>
      <c r="Q228"/>
      <c r="R228"/>
    </row>
    <row r="229" spans="1:18" s="11" customFormat="1" ht="16" x14ac:dyDescent="0.2">
      <c r="A229" s="11" t="s">
        <v>95</v>
      </c>
      <c r="B229" s="16">
        <v>100</v>
      </c>
      <c r="C229" s="11" t="s">
        <v>34</v>
      </c>
      <c r="D229" s="11" t="s">
        <v>13</v>
      </c>
      <c r="F229" s="11" t="s">
        <v>12</v>
      </c>
      <c r="G229" s="11" t="s">
        <v>96</v>
      </c>
      <c r="H229" s="10" t="s">
        <v>97</v>
      </c>
      <c r="J229"/>
      <c r="K229" s="19"/>
      <c r="L229" s="19"/>
      <c r="M229" s="19"/>
      <c r="N229" s="19"/>
      <c r="O229" s="19"/>
      <c r="P229" s="19"/>
      <c r="Q229"/>
      <c r="R229"/>
    </row>
    <row r="230" spans="1:18" s="11" customFormat="1" ht="16" x14ac:dyDescent="0.2">
      <c r="A230" s="11" t="s">
        <v>98</v>
      </c>
      <c r="B230" s="16">
        <v>100</v>
      </c>
      <c r="C230" s="11" t="s">
        <v>17</v>
      </c>
      <c r="D230" s="11" t="s">
        <v>13</v>
      </c>
      <c r="F230" s="11" t="s">
        <v>12</v>
      </c>
      <c r="G230" s="11" t="s">
        <v>99</v>
      </c>
      <c r="H230" s="10" t="s">
        <v>100</v>
      </c>
      <c r="J230"/>
      <c r="K230" s="19"/>
      <c r="L230" s="19"/>
      <c r="M230" s="19"/>
      <c r="N230" s="19"/>
      <c r="O230" s="19"/>
      <c r="P230" s="19"/>
      <c r="Q230"/>
      <c r="R230"/>
    </row>
    <row r="231" spans="1:18" s="11" customFormat="1" ht="16" x14ac:dyDescent="0.2">
      <c r="A231" s="11" t="s">
        <v>73</v>
      </c>
      <c r="B231" s="16">
        <v>1161</v>
      </c>
      <c r="C231" s="11" t="s">
        <v>17</v>
      </c>
      <c r="D231" s="11" t="s">
        <v>13</v>
      </c>
      <c r="F231" s="11" t="s">
        <v>12</v>
      </c>
      <c r="G231" s="11" t="s">
        <v>74</v>
      </c>
      <c r="H231" s="10" t="s">
        <v>101</v>
      </c>
      <c r="J231"/>
      <c r="K231" s="19"/>
      <c r="L231" s="19"/>
      <c r="M231" s="19"/>
      <c r="N231" s="19"/>
      <c r="O231" s="19"/>
      <c r="P231" s="19"/>
      <c r="Q231"/>
      <c r="R231"/>
    </row>
    <row r="232" spans="1:18" s="11" customFormat="1" ht="16" x14ac:dyDescent="0.2">
      <c r="A232" s="11" t="s">
        <v>20</v>
      </c>
      <c r="B232" s="16">
        <v>1161</v>
      </c>
      <c r="C232" s="11" t="s">
        <v>17</v>
      </c>
      <c r="D232" s="11" t="s">
        <v>13</v>
      </c>
      <c r="F232" s="11" t="s">
        <v>12</v>
      </c>
      <c r="G232" s="11" t="s">
        <v>15</v>
      </c>
      <c r="H232" s="10" t="s">
        <v>101</v>
      </c>
      <c r="J232"/>
      <c r="K232" s="19"/>
      <c r="L232" s="19"/>
      <c r="M232" s="19"/>
      <c r="N232" s="19"/>
      <c r="O232" s="19"/>
      <c r="P232" s="19"/>
      <c r="Q232"/>
      <c r="R232"/>
    </row>
    <row r="233" spans="1:18" s="11" customFormat="1" ht="16" x14ac:dyDescent="0.2">
      <c r="A233" s="11" t="s">
        <v>102</v>
      </c>
      <c r="B233" s="16">
        <v>464.6</v>
      </c>
      <c r="C233" s="11" t="s">
        <v>17</v>
      </c>
      <c r="D233" s="11" t="s">
        <v>13</v>
      </c>
      <c r="F233" s="11" t="s">
        <v>12</v>
      </c>
      <c r="G233" s="11" t="s">
        <v>103</v>
      </c>
      <c r="H233" s="10" t="s">
        <v>104</v>
      </c>
      <c r="J233"/>
      <c r="K233" s="19"/>
      <c r="L233" s="19"/>
      <c r="M233" s="19"/>
      <c r="N233" s="19"/>
      <c r="O233" s="19"/>
      <c r="P233" s="19"/>
      <c r="Q233"/>
      <c r="R233"/>
    </row>
    <row r="234" spans="1:18" s="11" customFormat="1" ht="16" x14ac:dyDescent="0.2">
      <c r="A234" s="11" t="s">
        <v>105</v>
      </c>
      <c r="B234" s="16">
        <v>464.6</v>
      </c>
      <c r="C234" s="11" t="s">
        <v>17</v>
      </c>
      <c r="D234" s="11" t="s">
        <v>13</v>
      </c>
      <c r="F234" s="11" t="s">
        <v>12</v>
      </c>
      <c r="G234" s="11" t="s">
        <v>106</v>
      </c>
      <c r="H234" s="10" t="s">
        <v>104</v>
      </c>
      <c r="J234"/>
      <c r="K234" s="19"/>
      <c r="L234" s="19"/>
      <c r="M234" s="19"/>
      <c r="N234" s="19"/>
      <c r="O234" s="19"/>
      <c r="P234" s="19"/>
      <c r="Q234"/>
      <c r="R234"/>
    </row>
    <row r="235" spans="1:18" s="11" customFormat="1" ht="16" x14ac:dyDescent="0.2">
      <c r="A235" s="11" t="s">
        <v>83</v>
      </c>
      <c r="B235" s="16">
        <v>232.3</v>
      </c>
      <c r="C235" s="11" t="s">
        <v>17</v>
      </c>
      <c r="D235" s="11" t="s">
        <v>13</v>
      </c>
      <c r="F235" s="11" t="s">
        <v>12</v>
      </c>
      <c r="G235" s="11" t="s">
        <v>40</v>
      </c>
      <c r="H235" s="10" t="s">
        <v>104</v>
      </c>
      <c r="J235"/>
      <c r="K235" s="19"/>
      <c r="L235" s="19"/>
      <c r="M235" s="19"/>
      <c r="N235" s="19"/>
      <c r="O235" s="19"/>
      <c r="P235" s="19"/>
      <c r="Q235"/>
      <c r="R235"/>
    </row>
    <row r="236" spans="1:18" s="11" customFormat="1" ht="16" x14ac:dyDescent="0.2">
      <c r="A236" s="11" t="s">
        <v>84</v>
      </c>
      <c r="B236" s="16">
        <v>232.3</v>
      </c>
      <c r="C236" s="11" t="s">
        <v>17</v>
      </c>
      <c r="D236" s="11" t="s">
        <v>13</v>
      </c>
      <c r="F236" s="11" t="s">
        <v>12</v>
      </c>
      <c r="G236" s="11" t="s">
        <v>42</v>
      </c>
      <c r="H236" s="10" t="s">
        <v>104</v>
      </c>
      <c r="J236"/>
      <c r="K236" s="19"/>
      <c r="L236" s="19"/>
      <c r="M236" s="19"/>
      <c r="N236" s="19"/>
      <c r="O236" s="19"/>
      <c r="P236" s="19"/>
      <c r="Q236"/>
      <c r="R236"/>
    </row>
    <row r="237" spans="1:18" s="11" customFormat="1" ht="16" x14ac:dyDescent="0.2">
      <c r="A237" s="11" t="inlineStr">
        <is>
          <t xml:space="preserve">motor drive assembly production, electrolysis, PEM</t>
        </is>
      </c>
      <c r="B237" s="16">
        <v>1</v>
      </c>
      <c r="C237" s="11" t="inlineStr">
        <is>
          <t>GLO</t>
        </is>
      </c>
      <c r="D237" s="11" t="inlineStr">
        <is>
          <t>unit</t>
        </is>
      </c>
      <c r="F237" s="11" t="inlineStr">
        <is>
          <t>technosphere</t>
        </is>
      </c>
      <c r="G237" s="11" t="inlineStr">
        <is>
          <t xml:space="preserve">motor drive assembly, electrolysis, PEM</t>
        </is>
      </c>
      <c r="H237" s="10"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237"/>
      <c r="K237" s="19"/>
      <c r="L237" s="19"/>
      <c r="M237" s="19"/>
      <c r="N237" s="19"/>
      <c r="O237" s="19"/>
      <c r="P237" s="19"/>
      <c r="Q237"/>
      <c r="R237"/>
    </row>
    <row r="238" spans="1:18" s="11" customFormat="1" ht="16" x14ac:dyDescent="0.2">
      <c r="A238" s="11"/>
      <c r="B238" s="16"/>
      <c r="C238" s="11"/>
      <c r="D238" s="11"/>
      <c r="F238" s="11"/>
      <c r="G238" s="11"/>
      <c r="H238" s="10"/>
      <c r="J238"/>
      <c r="K238" s="19"/>
      <c r="L238" s="19"/>
      <c r="M238" s="19"/>
      <c r="N238" s="19"/>
      <c r="O238" s="19"/>
      <c r="P238" s="19"/>
      <c r="Q238"/>
      <c r="R238"/>
    </row>
    <row r="239" spans="1:18" s="11" customFormat="1" ht="16" x14ac:dyDescent="0.2">
      <c r="A239" s="11"/>
      <c r="B239" s="16"/>
      <c r="C239" s="11"/>
      <c r="D239" s="11"/>
      <c r="F239" s="11"/>
      <c r="G239" s="11"/>
      <c r="H239" s="10"/>
      <c r="J239"/>
      <c r="K239" s="19"/>
      <c r="L239" s="19"/>
      <c r="M239" s="19"/>
      <c r="N239" s="19"/>
      <c r="O239" s="19"/>
      <c r="P239" s="19"/>
      <c r="Q239"/>
      <c r="R239"/>
    </row>
    <row r="240" spans="1:18" s="11" customFormat="1" ht="16" x14ac:dyDescent="0.2">
      <c r="A240" s="11"/>
      <c r="B240" s="16"/>
      <c r="C240" s="11"/>
      <c r="D240" s="11"/>
      <c r="F240" s="11"/>
      <c r="G240" s="11"/>
      <c r="H240" s="10"/>
      <c r="J240"/>
      <c r="K240" s="19"/>
      <c r="L240" s="19"/>
      <c r="M240" s="19"/>
      <c r="N240" s="19"/>
      <c r="O240" s="19"/>
      <c r="P240" s="19"/>
      <c r="Q240"/>
      <c r="R240"/>
    </row>
    <row r="241" spans="1:18" s="11" customFormat="1" ht="16" x14ac:dyDescent="0.2">
      <c r="A241" s="11"/>
      <c r="B241" s="16"/>
      <c r="C241" s="11"/>
      <c r="D241" s="11"/>
      <c r="F241" s="11"/>
      <c r="G241" s="11"/>
      <c r="H241" s="10"/>
      <c r="J241"/>
      <c r="K241" s="19"/>
      <c r="L241" s="19"/>
      <c r="M241" s="19"/>
      <c r="N241" s="19"/>
      <c r="O241" s="19"/>
      <c r="P241" s="19"/>
      <c r="Q241"/>
      <c r="R241"/>
    </row>
    <row r="242" spans="1:18" s="11" customFormat="1" ht="16" x14ac:dyDescent="0.2">
      <c r="A242" s="11" t="s">
        <v>108</v>
      </c>
      <c r="B242" s="16">
        <v>600</v>
      </c>
      <c r="C242" s="11" t="s">
        <v>17</v>
      </c>
      <c r="D242" s="11" t="s">
        <v>13</v>
      </c>
      <c r="F242" s="11" t="s">
        <v>12</v>
      </c>
      <c r="G242" s="11" t="s">
        <v>109</v>
      </c>
      <c r="H242" s="10" t="s">
        <v>110</v>
      </c>
      <c r="J242"/>
      <c r="K242" s="19"/>
      <c r="L242" s="19"/>
      <c r="M242" s="19"/>
      <c r="N242" s="19"/>
      <c r="O242" s="19"/>
      <c r="P242" s="19"/>
      <c r="Q242"/>
      <c r="R242"/>
    </row>
    <row r="243" spans="1:18" s="11" customFormat="1" ht="16" x14ac:dyDescent="0.2">
      <c r="A243" s="11" t="s">
        <v>111</v>
      </c>
      <c r="B243" s="16">
        <v>7</v>
      </c>
      <c r="C243" s="11" t="s">
        <v>17</v>
      </c>
      <c r="D243" s="11" t="s">
        <v>13</v>
      </c>
      <c r="F243" s="11" t="s">
        <v>12</v>
      </c>
      <c r="G243" s="11" t="s">
        <v>112</v>
      </c>
      <c r="H243" s="10" t="s">
        <v>110</v>
      </c>
      <c r="J243"/>
      <c r="K243" s="19"/>
      <c r="L243" s="19"/>
      <c r="M243" s="19"/>
      <c r="N243" s="19"/>
      <c r="O243" s="19"/>
      <c r="P243" s="19"/>
      <c r="Q243"/>
      <c r="R243"/>
    </row>
    <row r="244" spans="1:18" s="11" customFormat="1" ht="16" x14ac:dyDescent="0.2">
      <c r="A244" s="11" t="s">
        <v>83</v>
      </c>
      <c r="B244" s="16">
        <v>1300</v>
      </c>
      <c r="C244" s="11" t="s">
        <v>17</v>
      </c>
      <c r="D244" s="11" t="s">
        <v>13</v>
      </c>
      <c r="F244" s="11" t="s">
        <v>12</v>
      </c>
      <c r="G244" s="11" t="s">
        <v>40</v>
      </c>
      <c r="H244" s="10" t="s">
        <v>110</v>
      </c>
      <c r="J244"/>
      <c r="K244" s="19"/>
      <c r="L244" s="19"/>
      <c r="M244" s="19"/>
      <c r="N244" s="19"/>
      <c r="O244" s="19"/>
      <c r="P244" s="19"/>
      <c r="Q244"/>
      <c r="R244"/>
    </row>
    <row r="245" spans="1:18" s="11" customFormat="1" ht="16" x14ac:dyDescent="0.2">
      <c r="A245" s="11" t="s">
        <v>73</v>
      </c>
      <c r="B245" s="16">
        <v>405</v>
      </c>
      <c r="C245" s="11" t="s">
        <v>17</v>
      </c>
      <c r="D245" s="11" t="s">
        <v>13</v>
      </c>
      <c r="F245" s="11" t="s">
        <v>12</v>
      </c>
      <c r="G245" s="11" t="s">
        <v>74</v>
      </c>
      <c r="H245" s="10" t="s">
        <v>110</v>
      </c>
      <c r="J245"/>
      <c r="K245" s="19"/>
      <c r="L245" s="19"/>
      <c r="M245" s="19"/>
      <c r="N245" s="19"/>
      <c r="O245" s="19"/>
      <c r="P245" s="19"/>
      <c r="Q245"/>
      <c r="R245"/>
    </row>
    <row r="246" spans="1:18" s="11" customFormat="1" ht="16" x14ac:dyDescent="0.2">
      <c r="A246" s="11" t="s">
        <v>84</v>
      </c>
      <c r="B246" s="16">
        <v>400</v>
      </c>
      <c r="C246" s="11" t="s">
        <v>17</v>
      </c>
      <c r="D246" s="11" t="s">
        <v>13</v>
      </c>
      <c r="F246" s="11" t="s">
        <v>12</v>
      </c>
      <c r="G246" s="11" t="s">
        <v>42</v>
      </c>
      <c r="H246" s="10" t="s">
        <v>110</v>
      </c>
      <c r="J246"/>
      <c r="K246" s="19"/>
      <c r="L246" s="19"/>
      <c r="M246" s="19"/>
      <c r="N246" s="19"/>
      <c r="O246" s="19"/>
      <c r="P246" s="19"/>
      <c r="Q246"/>
      <c r="R246"/>
    </row>
    <row r="247" spans="1:18" s="11" customFormat="1" ht="16" x14ac:dyDescent="0.2">
      <c r="A247" s="11" t="s">
        <v>20</v>
      </c>
      <c r="B247" s="16">
        <v>405</v>
      </c>
      <c r="C247" s="11" t="s">
        <v>17</v>
      </c>
      <c r="D247" s="11" t="s">
        <v>13</v>
      </c>
      <c r="F247" s="11" t="s">
        <v>12</v>
      </c>
      <c r="G247" s="11" t="s">
        <v>15</v>
      </c>
      <c r="H247" s="10" t="s">
        <v>110</v>
      </c>
      <c r="J247"/>
      <c r="K247" s="19"/>
      <c r="L247" s="19"/>
      <c r="M247" s="19"/>
      <c r="N247" s="19"/>
      <c r="O247" s="19"/>
      <c r="P247" s="19"/>
      <c r="Q247"/>
      <c r="R247"/>
    </row>
    <row r="248" spans="1:18" s="11" customFormat="1" ht="16" x14ac:dyDescent="0.2">
      <c r="A248" s="11" t="s">
        <v>83</v>
      </c>
      <c r="B248" s="16">
        <v>1000</v>
      </c>
      <c r="C248" s="11" t="s">
        <v>17</v>
      </c>
      <c r="D248" s="11" t="s">
        <v>13</v>
      </c>
      <c r="F248" s="11" t="s">
        <v>12</v>
      </c>
      <c r="G248" s="11" t="s">
        <v>40</v>
      </c>
      <c r="H248" s="10" t="s">
        <v>113</v>
      </c>
      <c r="J248"/>
      <c r="K248" s="19"/>
      <c r="L248" s="19"/>
      <c r="M248" s="19"/>
      <c r="N248" s="19"/>
      <c r="O248" s="19"/>
      <c r="P248" s="19"/>
      <c r="Q248"/>
      <c r="R248"/>
    </row>
    <row r="249" spans="1:18" s="11" customFormat="1" ht="16" x14ac:dyDescent="0.2">
      <c r="A249" s="11" t="s">
        <v>73</v>
      </c>
      <c r="B249" s="16">
        <v>1500</v>
      </c>
      <c r="C249" s="11" t="s">
        <v>17</v>
      </c>
      <c r="D249" s="11" t="s">
        <v>13</v>
      </c>
      <c r="F249" s="11" t="s">
        <v>12</v>
      </c>
      <c r="G249" s="11" t="s">
        <v>74</v>
      </c>
      <c r="H249" s="10" t="s">
        <v>113</v>
      </c>
      <c r="J249"/>
      <c r="K249" s="19"/>
      <c r="L249" s="19"/>
      <c r="M249" s="19"/>
      <c r="N249" s="19"/>
      <c r="O249" s="19"/>
      <c r="P249" s="19"/>
      <c r="Q249"/>
      <c r="R249"/>
    </row>
    <row r="250" spans="1:18" s="11" customFormat="1" ht="16" x14ac:dyDescent="0.2">
      <c r="A250" s="11" t="s">
        <v>84</v>
      </c>
      <c r="B250" s="16">
        <v>1000</v>
      </c>
      <c r="C250" s="11" t="s">
        <v>17</v>
      </c>
      <c r="D250" s="11" t="s">
        <v>13</v>
      </c>
      <c r="F250" s="11" t="s">
        <v>12</v>
      </c>
      <c r="G250" s="11" t="s">
        <v>42</v>
      </c>
      <c r="H250" s="10" t="s">
        <v>113</v>
      </c>
      <c r="J250"/>
      <c r="K250" s="19"/>
      <c r="L250" s="19"/>
      <c r="M250" s="19"/>
      <c r="N250" s="19"/>
      <c r="O250" s="19"/>
      <c r="P250" s="19"/>
      <c r="Q250"/>
      <c r="R250"/>
    </row>
    <row r="251" spans="1:18" s="11" customFormat="1" ht="16" x14ac:dyDescent="0.2">
      <c r="A251" s="11" t="s">
        <v>20</v>
      </c>
      <c r="B251" s="16">
        <v>1500</v>
      </c>
      <c r="C251" s="11" t="s">
        <v>17</v>
      </c>
      <c r="D251" s="11" t="s">
        <v>13</v>
      </c>
      <c r="F251" s="11" t="s">
        <v>12</v>
      </c>
      <c r="G251" s="11" t="s">
        <v>15</v>
      </c>
      <c r="H251" s="10" t="s">
        <v>113</v>
      </c>
      <c r="J251"/>
      <c r="K251" s="19"/>
      <c r="L251" s="19"/>
      <c r="M251" s="19"/>
      <c r="N251" s="19"/>
      <c r="O251" s="19"/>
      <c r="P251" s="19"/>
      <c r="Q251"/>
      <c r="R251"/>
    </row>
    <row r="252" spans="1:18" s="11" customFormat="1" ht="16" x14ac:dyDescent="0.2">
      <c r="A252" s="11" t="s">
        <v>73</v>
      </c>
      <c r="B252" s="16">
        <v>511</v>
      </c>
      <c r="C252" s="11" t="s">
        <v>17</v>
      </c>
      <c r="D252" s="11" t="s">
        <v>13</v>
      </c>
      <c r="F252" s="11" t="s">
        <v>12</v>
      </c>
      <c r="G252" s="11" t="s">
        <v>74</v>
      </c>
      <c r="H252" s="10" t="s">
        <v>114</v>
      </c>
      <c r="J252"/>
      <c r="K252" s="19"/>
      <c r="L252" s="19"/>
      <c r="M252" s="19"/>
      <c r="N252" s="19"/>
      <c r="O252" s="19"/>
      <c r="P252" s="19"/>
      <c r="Q252"/>
      <c r="R252"/>
    </row>
    <row r="253" spans="1:18" s="11" customFormat="1" ht="16" x14ac:dyDescent="0.2">
      <c r="A253" s="11" t="s">
        <v>20</v>
      </c>
      <c r="B253" s="16">
        <v>511</v>
      </c>
      <c r="C253" s="11" t="s">
        <v>17</v>
      </c>
      <c r="D253" s="11" t="s">
        <v>13</v>
      </c>
      <c r="F253" s="11" t="s">
        <v>12</v>
      </c>
      <c r="G253" s="11" t="s">
        <v>15</v>
      </c>
      <c r="H253" s="10" t="s">
        <v>114</v>
      </c>
      <c r="J253"/>
      <c r="K253" s="19"/>
      <c r="L253" s="19"/>
      <c r="M253" s="19"/>
      <c r="N253" s="19"/>
      <c r="O253" s="19"/>
      <c r="P253" s="19"/>
      <c r="Q253"/>
      <c r="R253"/>
    </row>
    <row r="254" spans="1:18" s="11" customFormat="1" ht="16" x14ac:dyDescent="0.2">
      <c r="A254" s="11" t="s">
        <v>115</v>
      </c>
      <c r="B254" s="16">
        <v>29</v>
      </c>
      <c r="C254" s="11" t="s">
        <v>17</v>
      </c>
      <c r="D254" s="11" t="s">
        <v>116</v>
      </c>
      <c r="F254" s="11" t="s">
        <v>12</v>
      </c>
      <c r="G254" s="11" t="s">
        <v>117</v>
      </c>
      <c r="H254" s="10" t="s">
        <v>114</v>
      </c>
      <c r="J254"/>
      <c r="K254" s="19"/>
      <c r="L254" s="19"/>
      <c r="M254" s="19"/>
      <c r="N254" s="19"/>
      <c r="O254" s="19"/>
      <c r="P254" s="19"/>
      <c r="Q254"/>
      <c r="R254"/>
    </row>
    <row r="255" spans="1:18" s="11" customFormat="1" ht="16" x14ac:dyDescent="0.2">
      <c r="A255" s="11" t="s">
        <v>84</v>
      </c>
      <c r="B255" s="16">
        <v>2250</v>
      </c>
      <c r="C255" s="11" t="s">
        <v>17</v>
      </c>
      <c r="D255" s="11" t="s">
        <v>13</v>
      </c>
      <c r="F255" s="11" t="s">
        <v>12</v>
      </c>
      <c r="G255" s="11" t="s">
        <v>42</v>
      </c>
      <c r="H255" s="10" t="s">
        <v>118</v>
      </c>
      <c r="J255"/>
      <c r="K255" s="19"/>
      <c r="L255" s="19"/>
      <c r="M255" s="19"/>
      <c r="N255" s="19"/>
      <c r="O255" s="19"/>
      <c r="P255" s="19"/>
      <c r="Q255"/>
      <c r="R255"/>
    </row>
    <row r="256" spans="1:18" s="11" customFormat="1" ht="15.5" customHeight="1" x14ac:dyDescent="0.2">
      <c r="A256" s="28" t="s">
        <v>25</v>
      </c>
      <c r="B256" s="29">
        <v>2250</v>
      </c>
      <c r="C256" s="11" t="s">
        <v>17</v>
      </c>
      <c r="D256" s="11" t="s">
        <v>13</v>
      </c>
      <c r="F256" s="11" t="s">
        <v>12</v>
      </c>
      <c r="G256" s="10" t="s">
        <v>26</v>
      </c>
      <c r="H256" s="10" t="s">
        <v>118</v>
      </c>
      <c r="J256"/>
      <c r="K256" s="19"/>
      <c r="L256" s="19"/>
      <c r="M256" s="19"/>
      <c r="N256" s="19"/>
      <c r="O256" s="19"/>
      <c r="P256" s="19"/>
      <c r="Q256"/>
      <c r="R256"/>
    </row>
    <row r="257" spans="1:20" s="11" customFormat="1" ht="16" x14ac:dyDescent="0.2">
      <c r="A257" s="11" t="s">
        <v>119</v>
      </c>
      <c r="B257" s="29">
        <v>2.2999999999999998</v>
      </c>
      <c r="C257" s="11" t="s">
        <v>45</v>
      </c>
      <c r="D257" s="10" t="s">
        <v>31</v>
      </c>
      <c r="F257" s="11" t="s">
        <v>12</v>
      </c>
      <c r="G257" s="10" t="s">
        <v>120</v>
      </c>
      <c r="H257" s="10" t="s">
        <v>121</v>
      </c>
      <c r="J257"/>
      <c r="K257" s="19"/>
      <c r="L257" s="19"/>
      <c r="M257" s="19"/>
      <c r="N257" s="19"/>
      <c r="O257" s="19"/>
      <c r="P257" s="19"/>
      <c r="Q257"/>
      <c r="R257"/>
    </row>
    <row r="258" spans="1:20" s="11" customFormat="1" ht="16" x14ac:dyDescent="0.2">
      <c r="A258" s="11" t="s">
        <v>33</v>
      </c>
      <c r="B258" s="16">
        <v>50000</v>
      </c>
      <c r="C258" s="11" t="s">
        <v>17</v>
      </c>
      <c r="D258" s="11" t="s">
        <v>35</v>
      </c>
      <c r="F258" s="11" t="s">
        <v>12</v>
      </c>
      <c r="G258" s="10" t="s">
        <v>36</v>
      </c>
      <c r="H258" s="11" t="s">
        <v>79</v>
      </c>
      <c r="J258"/>
      <c r="K258" s="19"/>
      <c r="L258" s="19"/>
      <c r="M258" s="19"/>
      <c r="N258" s="19"/>
      <c r="O258" s="19"/>
      <c r="P258" s="19"/>
      <c r="Q258"/>
      <c r="R258"/>
    </row>
    <row r="259" spans="1:20" s="11" customFormat="1" ht="16" x14ac:dyDescent="0.2">
      <c r="B259" s="16"/>
      <c r="K259" s="12"/>
      <c r="L259" s="12"/>
      <c r="M259" s="12"/>
      <c r="N259" s="12"/>
      <c r="O259" s="12"/>
      <c r="P259" s="12"/>
    </row>
    <row r="260" spans="1:20" s="11" customFormat="1" ht="16" x14ac:dyDescent="0.2">
      <c r="A260" s="8" t="s">
        <v>1</v>
      </c>
      <c r="B260" s="9" t="s">
        <v>506</v>
      </c>
      <c r="K260" s="12"/>
      <c r="L260" s="12"/>
      <c r="M260" s="12"/>
      <c r="N260" s="12"/>
      <c r="O260" s="12"/>
      <c r="P260" s="12"/>
    </row>
    <row r="261" spans="1:20" s="11" customFormat="1" ht="16" x14ac:dyDescent="0.2">
      <c r="A261" s="13" t="s">
        <v>3</v>
      </c>
      <c r="B261" s="14">
        <v>1</v>
      </c>
      <c r="K261" s="12"/>
      <c r="L261" s="12"/>
      <c r="M261" s="12"/>
      <c r="N261" s="12"/>
      <c r="O261" s="12"/>
      <c r="P261" s="12"/>
    </row>
    <row r="262" spans="1:20" s="11" customFormat="1" ht="16" x14ac:dyDescent="0.2">
      <c r="A262" s="13" t="s">
        <v>11</v>
      </c>
      <c r="B262" s="14"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PREVIOUS NOTES (retained as history; the correction above takes precedence):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262" s="12"/>
      <c r="L262" s="12"/>
      <c r="M262" s="12"/>
      <c r="N262" s="12"/>
      <c r="O262" s="12"/>
      <c r="P262" s="12"/>
    </row>
    <row r="263" spans="1:20" s="11" customFormat="1" ht="16" x14ac:dyDescent="0.2">
      <c r="A263" s="13" t="s">
        <v>4</v>
      </c>
      <c r="B263" s="16" t="s">
        <v>507</v>
      </c>
      <c r="K263" s="12"/>
      <c r="L263" s="12"/>
      <c r="M263" s="12"/>
      <c r="N263" s="12"/>
      <c r="O263" s="12"/>
      <c r="P263" s="12"/>
    </row>
    <row r="264" spans="1:20" s="11" customFormat="1" ht="16" x14ac:dyDescent="0.2">
      <c r="A264" s="13" t="s">
        <v>2</v>
      </c>
      <c r="B264" s="14" t="s">
        <v>34</v>
      </c>
      <c r="K264" s="12"/>
      <c r="L264" s="12"/>
      <c r="M264" s="12"/>
      <c r="N264" s="12"/>
      <c r="O264" s="12"/>
      <c r="P264" s="12"/>
    </row>
    <row r="265" spans="1:20" s="11" customFormat="1" ht="16" x14ac:dyDescent="0.2">
      <c r="A265" s="13" t="s">
        <v>6</v>
      </c>
      <c r="B265" s="16" t="s">
        <v>6</v>
      </c>
      <c r="K265" s="12"/>
      <c r="L265" s="12"/>
      <c r="M265" s="12"/>
      <c r="N265" s="12"/>
      <c r="O265" s="12"/>
      <c r="P265" s="12"/>
    </row>
    <row r="266" spans="1:20" s="11" customFormat="1" ht="16" x14ac:dyDescent="0.2">
      <c r="A266" s="17" t="s">
        <v>7</v>
      </c>
      <c r="B266" s="9"/>
      <c r="C266" s="17"/>
      <c r="D266" s="17"/>
      <c r="E266" s="17"/>
      <c r="F266" s="17"/>
      <c r="G266" s="17"/>
      <c r="H266" s="17"/>
      <c r="I266" s="17"/>
      <c r="J266" s="17"/>
      <c r="K266" s="12"/>
      <c r="L266" s="12"/>
      <c r="M266" s="12"/>
      <c r="N266" s="12"/>
      <c r="O266" s="12"/>
      <c r="P266" s="12"/>
    </row>
    <row r="267" spans="1:20" s="11" customFormat="1" ht="16" x14ac:dyDescent="0.2">
      <c r="A267" s="17" t="s">
        <v>8</v>
      </c>
      <c r="B267" s="9" t="s">
        <v>9</v>
      </c>
      <c r="C267" s="17" t="s">
        <v>2</v>
      </c>
      <c r="D267" s="17" t="s">
        <v>6</v>
      </c>
      <c r="E267" s="23" t="s">
        <v>10</v>
      </c>
      <c r="F267" s="17" t="s">
        <v>5</v>
      </c>
      <c r="G267" s="17" t="s">
        <v>4</v>
      </c>
      <c r="H267" s="23" t="s">
        <v>11</v>
      </c>
      <c r="I267" s="17"/>
      <c r="J267" s="7"/>
      <c r="K267" s="18"/>
      <c r="L267" s="18"/>
      <c r="M267" s="18"/>
      <c r="N267" s="18"/>
      <c r="O267" s="18"/>
      <c r="P267" s="18"/>
      <c r="Q267" s="7"/>
      <c r="R267" s="7"/>
      <c r="S267" s="17"/>
      <c r="T267" s="7"/>
    </row>
    <row r="268" spans="1:20" s="11" customFormat="1" ht="16" x14ac:dyDescent="0.2">
      <c r="A268" s="16" t="str">
        <f>B260</f>
        <v>treatment of electrolyzer balance of plant, 1MWe, PEM</v>
      </c>
      <c r="B268" s="12">
        <v>-1</v>
      </c>
      <c r="C268" s="11" t="s">
        <v>34</v>
      </c>
      <c r="D268" s="11" t="str">
        <f>B265</f>
        <v>unit</v>
      </c>
      <c r="F268" s="11" t="s">
        <v>16</v>
      </c>
      <c r="G268" s="11" t="str">
        <f>B263</f>
        <v>used electrolyzer balance of plant, 1MWe, PEM</v>
      </c>
      <c r="H268"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K268" s="12"/>
      <c r="L268" s="12"/>
      <c r="M268" s="12"/>
      <c r="N268" s="12"/>
      <c r="O268" s="12"/>
      <c r="P268" s="12"/>
    </row>
    <row r="269" spans="1:20" s="11" customFormat="1" ht="16" x14ac:dyDescent="0.2">
      <c r="A269" s="16" t="s">
        <v>204</v>
      </c>
      <c r="B269" s="11">
        <f>7523*-1</f>
        <v>-7523</v>
      </c>
      <c r="C269" s="11" t="s">
        <v>37</v>
      </c>
      <c r="D269" s="11" t="s">
        <v>13</v>
      </c>
      <c r="F269" s="11" t="s">
        <v>12</v>
      </c>
      <c r="G269" s="11" t="s">
        <v>205</v>
      </c>
      <c r="J269"/>
      <c r="K269" s="19"/>
      <c r="L269" s="19"/>
      <c r="M269" s="19"/>
      <c r="N269" s="19"/>
      <c r="O269" s="19"/>
      <c r="P269" s="19"/>
      <c r="Q269"/>
      <c r="R269"/>
    </row>
    <row r="270" spans="1:20" s="11" customFormat="1" ht="16" x14ac:dyDescent="0.2">
      <c r="A270" s="16" t="s">
        <v>449</v>
      </c>
      <c r="B270" s="11">
        <v>-2532</v>
      </c>
      <c r="C270" s="11" t="s">
        <v>217</v>
      </c>
      <c r="D270" s="11" t="s">
        <v>13</v>
      </c>
      <c r="F270" s="11" t="s">
        <v>12</v>
      </c>
      <c r="G270" s="16" t="s">
        <v>216</v>
      </c>
      <c r="H270"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270"/>
      <c r="K270" s="19"/>
      <c r="L270" s="19"/>
      <c r="M270" s="19"/>
      <c r="N270" s="19"/>
      <c r="O270" s="19"/>
      <c r="P270" s="19"/>
      <c r="Q270"/>
      <c r="R270"/>
    </row>
    <row r="271" spans="1:20" s="11" customFormat="1" ht="16" x14ac:dyDescent="0.2">
      <c r="A271" s="11" t="s">
        <v>206</v>
      </c>
      <c r="B271" s="11">
        <v>-100</v>
      </c>
      <c r="C271" s="11" t="s">
        <v>37</v>
      </c>
      <c r="D271" s="11" t="s">
        <v>13</v>
      </c>
      <c r="F271" s="11" t="s">
        <v>12</v>
      </c>
      <c r="G271" s="11" t="s">
        <v>207</v>
      </c>
      <c r="H271"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271"/>
      <c r="K271" s="19"/>
      <c r="L271" s="19"/>
      <c r="M271" s="19"/>
      <c r="N271" s="19"/>
      <c r="O271" s="19"/>
      <c r="P271" s="19"/>
      <c r="Q271"/>
      <c r="R271"/>
    </row>
    <row r="272" spans="1:20" s="11" customFormat="1" ht="16" x14ac:dyDescent="0.2">
      <c r="A272" s="11" t="s">
        <v>226</v>
      </c>
      <c r="B272" s="11">
        <v>-32</v>
      </c>
      <c r="C272" s="11" t="s">
        <v>217</v>
      </c>
      <c r="D272" s="11" t="s">
        <v>13</v>
      </c>
      <c r="F272" s="11" t="s">
        <v>12</v>
      </c>
      <c r="G272" s="11" t="s">
        <v>227</v>
      </c>
      <c r="J272"/>
      <c r="K272" s="19"/>
      <c r="L272" s="19"/>
      <c r="M272" s="19"/>
      <c r="N272" s="19"/>
      <c r="O272" s="19"/>
      <c r="P272" s="19"/>
      <c r="Q272"/>
      <c r="R272"/>
    </row>
    <row r="273" spans="1:18" s="11" customFormat="1" ht="16" x14ac:dyDescent="0.2">
      <c r="A273" s="11" t="s">
        <v>218</v>
      </c>
      <c r="B273" s="11">
        <v>-14</v>
      </c>
      <c r="C273" s="11" t="s">
        <v>217</v>
      </c>
      <c r="D273" s="11" t="s">
        <v>13</v>
      </c>
      <c r="F273" s="11" t="s">
        <v>12</v>
      </c>
      <c r="G273" s="11" t="s">
        <v>450</v>
      </c>
      <c r="J273"/>
      <c r="K273" s="19"/>
      <c r="L273" s="19"/>
      <c r="M273" s="19"/>
      <c r="N273" s="19"/>
      <c r="O273" s="19"/>
      <c r="P273" s="19"/>
      <c r="Q273"/>
      <c r="R273"/>
    </row>
    <row r="274" spans="1:18" s="11" customFormat="1" ht="16" x14ac:dyDescent="0.2">
      <c r="A274" s="11" t="s">
        <v>219</v>
      </c>
      <c r="B274" s="11">
        <v>-8</v>
      </c>
      <c r="C274" s="11" t="s">
        <v>17</v>
      </c>
      <c r="D274" s="11" t="s">
        <v>13</v>
      </c>
      <c r="F274" s="11" t="s">
        <v>12</v>
      </c>
      <c r="G274" s="11" t="s">
        <v>220</v>
      </c>
      <c r="J274"/>
      <c r="K274" s="19"/>
      <c r="L274" s="19"/>
      <c r="M274" s="19"/>
      <c r="N274" s="19"/>
      <c r="O274" s="19"/>
      <c r="P274" s="19"/>
      <c r="Q274"/>
      <c r="R274"/>
    </row>
    <row r="275" spans="1:18" s="11" customFormat="1" ht="16" x14ac:dyDescent="0.2">
      <c r="A275" s="11" t="s">
        <v>221</v>
      </c>
      <c r="B275" s="11">
        <v>-764.6</v>
      </c>
      <c r="C275" s="11" t="s">
        <v>37</v>
      </c>
      <c r="D275" s="11" t="s">
        <v>13</v>
      </c>
      <c r="F275" s="11" t="s">
        <v>12</v>
      </c>
      <c r="G275" s="11" t="s">
        <v>452</v>
      </c>
      <c r="J275"/>
      <c r="K275" s="19"/>
      <c r="L275" s="19"/>
      <c r="M275" s="19"/>
      <c r="N275" s="19"/>
      <c r="O275" s="19"/>
      <c r="P275" s="19"/>
      <c r="Q275"/>
      <c r="R275"/>
    </row>
    <row r="276" spans="1:18" s="11" customFormat="1" ht="16" x14ac:dyDescent="0.2">
      <c r="A276" s="11" t="s">
        <v>451</v>
      </c>
      <c r="B276" s="11">
        <v>-600</v>
      </c>
      <c r="C276" s="11" t="s">
        <v>37</v>
      </c>
      <c r="D276" s="11" t="s">
        <v>13</v>
      </c>
      <c r="F276" s="11" t="s">
        <v>12</v>
      </c>
      <c r="G276" s="11" t="s">
        <v>222</v>
      </c>
      <c r="J276"/>
      <c r="K276" s="19"/>
      <c r="L276" s="19"/>
      <c r="M276" s="19"/>
      <c r="N276" s="19"/>
      <c r="O276" s="19"/>
      <c r="P276" s="19"/>
      <c r="Q276"/>
      <c r="R276"/>
    </row>
    <row r="277" spans="1:18" s="11" customFormat="1" ht="16" x14ac:dyDescent="0.2">
      <c r="A277" s="11" t="s">
        <v>208</v>
      </c>
      <c r="B277" s="11">
        <v>-100</v>
      </c>
      <c r="C277" s="11" t="s">
        <v>37</v>
      </c>
      <c r="D277" s="11" t="s">
        <v>13</v>
      </c>
      <c r="F277" s="11" t="s">
        <v>12</v>
      </c>
      <c r="G277" s="11" t="s">
        <v>209</v>
      </c>
      <c r="H277"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277"/>
      <c r="K277" s="19"/>
      <c r="L277" s="19"/>
      <c r="M277" s="19"/>
      <c r="N277" s="19"/>
      <c r="O277" s="19"/>
      <c r="P277" s="19"/>
      <c r="Q277"/>
      <c r="R277"/>
    </row>
    <row r="278" spans="1:18" s="11" customFormat="1" ht="16" x14ac:dyDescent="0.2">
      <c r="A278" s="11" t="s">
        <v>210</v>
      </c>
      <c r="B278" s="11">
        <v>-32</v>
      </c>
      <c r="C278" s="11" t="s">
        <v>212</v>
      </c>
      <c r="D278" s="11" t="s">
        <v>13</v>
      </c>
      <c r="F278" s="11" t="s">
        <v>12</v>
      </c>
      <c r="G278" s="11" t="s">
        <v>211</v>
      </c>
      <c r="H278"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278"/>
      <c r="K278" s="19"/>
      <c r="L278" s="19"/>
      <c r="M278" s="19"/>
      <c r="N278" s="19"/>
      <c r="O278" s="19"/>
      <c r="P278" s="19"/>
      <c r="Q278"/>
      <c r="R278"/>
    </row>
    <row r="279" spans="1:18" s="11" customFormat="1" ht="16" x14ac:dyDescent="0.2">
      <c r="A279" s="11" t="s">
        <v>448</v>
      </c>
      <c r="B279" s="11">
        <v>-5600</v>
      </c>
      <c r="C279" s="11" t="s">
        <v>37</v>
      </c>
      <c r="D279" s="11" t="s">
        <v>13</v>
      </c>
      <c r="F279" s="11" t="s">
        <v>12</v>
      </c>
      <c r="G279" s="11" t="s">
        <v>223</v>
      </c>
      <c r="J279"/>
      <c r="K279" s="19"/>
      <c r="L279" s="19"/>
      <c r="M279" s="19"/>
      <c r="N279" s="19"/>
      <c r="O279" s="19"/>
      <c r="P279" s="19"/>
      <c r="Q279"/>
      <c r="R279"/>
    </row>
    <row r="280" spans="1:18" s="11" customFormat="1" ht="16" x14ac:dyDescent="0.2">
      <c r="A280" s="11" t="s">
        <v>224</v>
      </c>
      <c r="B280" s="11">
        <v>-100</v>
      </c>
      <c r="C280" s="11" t="s">
        <v>217</v>
      </c>
      <c r="D280" s="11" t="s">
        <v>13</v>
      </c>
      <c r="F280" s="11" t="s">
        <v>12</v>
      </c>
      <c r="G280" s="11" t="s">
        <v>447</v>
      </c>
      <c r="J280"/>
      <c r="K280" s="19"/>
      <c r="L280" s="19"/>
      <c r="M280" s="19"/>
      <c r="N280" s="19"/>
      <c r="O280" s="19"/>
      <c r="P280" s="19"/>
      <c r="Q280"/>
      <c r="R280"/>
    </row>
    <row r="281" spans="1:18" s="11" customFormat="1" ht="16" x14ac:dyDescent="0.2">
      <c r="A281" t="inlineStr">
        <is>
          <t xml:space="preserve">treatment of used power conversion system and motor drives, electrolysis, PEM</t>
        </is>
      </c>
      <c r="B281" s="16">
        <v>-1</v>
      </c>
      <c r="C281" t="inlineStr">
        <is>
          <t>GLO</t>
        </is>
      </c>
      <c r="D281" t="inlineStr">
        <is>
          <t>unit</t>
        </is>
      </c>
      <c r="F281" t="inlineStr">
        <is>
          <t>technosphere</t>
        </is>
      </c>
      <c r="G281" t="inlineStr">
        <is>
          <t xml:space="preserve">used power conversion system and motor drives, electrolysis, PEM</t>
        </is>
      </c>
      <c r="H281"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K281" s="12"/>
      <c r="L281" s="12"/>
      <c r="M281" s="12"/>
      <c r="N281" s="12"/>
      <c r="O281" s="12"/>
      <c r="P281" s="12"/>
    </row>
    <row r="282" spans="1:18" s="11" customFormat="1" ht="16" x14ac:dyDescent="0.2">
      <c r="A282" s="8" t="s">
        <v>1</v>
      </c>
      <c r="B282" s="9" t="s">
        <v>439</v>
      </c>
      <c r="C282" s="10"/>
      <c r="K282" s="12"/>
      <c r="L282" s="12"/>
      <c r="M282" s="12"/>
      <c r="N282" s="12"/>
      <c r="O282" s="12"/>
      <c r="P282" s="12"/>
    </row>
    <row r="283" spans="1:18" s="11" customFormat="1" ht="16" x14ac:dyDescent="0.2">
      <c r="A283" s="13" t="s">
        <v>3</v>
      </c>
      <c r="B283" s="14">
        <v>1</v>
      </c>
      <c r="K283" s="12"/>
      <c r="L283" s="12"/>
      <c r="M283" s="12"/>
      <c r="N283" s="12"/>
      <c r="O283" s="12"/>
      <c r="P283" s="12"/>
    </row>
    <row r="284" spans="1:18" s="11" customFormat="1" ht="16" x14ac:dyDescent="0.2">
      <c r="A284" s="13" t="s">
        <v>11</v>
      </c>
      <c r="B284" s="14" t="s">
        <v>436</v>
      </c>
      <c r="K284" s="12"/>
      <c r="L284" s="12"/>
      <c r="M284" s="12"/>
      <c r="N284" s="12"/>
      <c r="O284" s="12"/>
      <c r="P284" s="12"/>
    </row>
    <row r="285" spans="1:18" s="11" customFormat="1" ht="16" x14ac:dyDescent="0.2">
      <c r="A285" s="13" t="s">
        <v>4</v>
      </c>
      <c r="B285" s="15" t="s">
        <v>440</v>
      </c>
      <c r="K285" s="12"/>
      <c r="L285" s="12"/>
      <c r="M285" s="12"/>
      <c r="N285" s="12"/>
      <c r="O285" s="12"/>
      <c r="P285" s="12"/>
    </row>
    <row r="286" spans="1:18" s="11" customFormat="1" ht="16" x14ac:dyDescent="0.2">
      <c r="A286" s="13" t="s">
        <v>2</v>
      </c>
      <c r="B286" s="14" t="s">
        <v>45</v>
      </c>
      <c r="K286" s="12"/>
      <c r="L286" s="12"/>
      <c r="M286" s="12"/>
      <c r="N286" s="12"/>
      <c r="O286" s="12"/>
      <c r="P286" s="12"/>
    </row>
    <row r="287" spans="1:18" s="11" customFormat="1" ht="16" x14ac:dyDescent="0.2">
      <c r="A287" s="13" t="s">
        <v>6</v>
      </c>
      <c r="B287" s="16" t="s">
        <v>13</v>
      </c>
      <c r="H287" s="17"/>
      <c r="I287" s="17"/>
      <c r="J287" s="17"/>
      <c r="K287" s="12"/>
      <c r="L287" s="12"/>
      <c r="M287" s="12"/>
      <c r="N287" s="12"/>
      <c r="O287" s="12"/>
      <c r="P287" s="12"/>
    </row>
    <row r="288" spans="1:18" s="11" customFormat="1" ht="16" x14ac:dyDescent="0.2">
      <c r="A288" s="17" t="s">
        <v>7</v>
      </c>
      <c r="B288" s="9"/>
      <c r="C288" s="17"/>
      <c r="D288" s="17"/>
      <c r="E288" s="17"/>
      <c r="F288" s="17"/>
      <c r="G288" s="17"/>
      <c r="H288" s="10"/>
      <c r="I288" s="10"/>
      <c r="J288" s="10"/>
      <c r="K288" s="12"/>
      <c r="L288" s="12"/>
      <c r="M288" s="12"/>
      <c r="N288" s="12"/>
      <c r="O288" s="12"/>
      <c r="P288" s="12"/>
    </row>
    <row r="289" spans="1:21" s="11" customFormat="1" ht="16" x14ac:dyDescent="0.2">
      <c r="A289" s="17" t="s">
        <v>8</v>
      </c>
      <c r="B289" s="9" t="s">
        <v>9</v>
      </c>
      <c r="C289" s="17" t="s">
        <v>2</v>
      </c>
      <c r="D289" s="17" t="s">
        <v>6</v>
      </c>
      <c r="E289" s="17" t="s">
        <v>10</v>
      </c>
      <c r="F289" s="17" t="s">
        <v>5</v>
      </c>
      <c r="G289" s="17" t="s">
        <v>4</v>
      </c>
      <c r="H289" s="23" t="s">
        <v>11</v>
      </c>
      <c r="I289" s="17" t="s">
        <v>466</v>
      </c>
      <c r="J289" s="7" t="s">
        <v>467</v>
      </c>
      <c r="K289" s="18" t="s">
        <v>468</v>
      </c>
      <c r="L289" s="18" t="s">
        <v>469</v>
      </c>
      <c r="M289" s="18" t="s">
        <v>470</v>
      </c>
      <c r="N289" s="18" t="s">
        <v>471</v>
      </c>
      <c r="O289" s="18" t="s">
        <v>472</v>
      </c>
      <c r="P289" s="18" t="s">
        <v>473</v>
      </c>
      <c r="Q289" s="7" t="s">
        <v>474</v>
      </c>
      <c r="R289" s="7" t="s">
        <v>475</v>
      </c>
      <c r="S289" s="17" t="s">
        <v>476</v>
      </c>
      <c r="T289" s="7" t="s">
        <v>477</v>
      </c>
      <c r="U289" s="17" t="s">
        <v>46</v>
      </c>
    </row>
    <row r="290" spans="1:21" s="11" customFormat="1" ht="16" x14ac:dyDescent="0.2">
      <c r="A290" s="16" t="s">
        <v>439</v>
      </c>
      <c r="B290" s="16">
        <v>1</v>
      </c>
      <c r="C290" s="11" t="str">
        <f>B286</f>
        <v>CH</v>
      </c>
      <c r="D290" s="11" t="str">
        <f>B287</f>
        <v>kilogram</v>
      </c>
      <c r="E290" s="10"/>
      <c r="F290" s="11" t="s">
        <v>16</v>
      </c>
      <c r="G290" s="11" t="s">
        <v>440</v>
      </c>
      <c r="H290" s="10"/>
      <c r="I290" s="10"/>
      <c r="K290" s="12"/>
      <c r="L290" s="12"/>
      <c r="M290" s="12"/>
      <c r="N290" s="12"/>
      <c r="O290" s="12"/>
      <c r="P290" s="12"/>
      <c r="T290"/>
    </row>
    <row r="291" spans="1:21" s="11" customFormat="1" ht="16" x14ac:dyDescent="0.2">
      <c r="A291" s="16" t="str">
        <f>B303</f>
        <v>electrolyzer production, 1MWe, AEC, Stack</v>
      </c>
      <c r="B291" s="16">
        <f>(1/4259200)*4</f>
        <v>9.3914350112697222E-7</v>
      </c>
      <c r="C291" s="11" t="s">
        <v>34</v>
      </c>
      <c r="D291" s="11" t="s">
        <v>6</v>
      </c>
      <c r="F291" s="11" t="s">
        <v>12</v>
      </c>
      <c r="G291" s="11" t="s">
        <v>123</v>
      </c>
      <c r="H291" s="11" t="s">
        <v>486</v>
      </c>
      <c r="I291" s="11">
        <v>5</v>
      </c>
      <c r="J291" s="4">
        <f>B291</f>
        <v>9.3914350112697222E-7</v>
      </c>
      <c r="K291" s="19"/>
      <c r="L291" s="19"/>
      <c r="M291" s="19"/>
      <c r="N291" s="19"/>
      <c r="O291" s="19"/>
      <c r="P291" s="19"/>
      <c r="Q291"/>
      <c r="R291"/>
      <c r="S291" s="11">
        <f>(1/(32.5*8000*19.36))*4</f>
        <v>7.9465988556897644E-7</v>
      </c>
      <c r="T291" s="11">
        <f>(1/(22.5*8000*19.36))*4</f>
        <v>1.1478420569329661E-6</v>
      </c>
    </row>
    <row r="292" spans="1:21" s="11" customFormat="1" ht="16" x14ac:dyDescent="0.2">
      <c r="A292" s="16" t="str">
        <f>B332</f>
        <v>electrolyzer production, 1MWe, AEC, Balance of Plant</v>
      </c>
      <c r="B292" s="16">
        <f>1/4259200</f>
        <v>2.3478587528174306E-7</v>
      </c>
      <c r="C292" s="11" t="s">
        <v>34</v>
      </c>
      <c r="D292" s="11" t="s">
        <v>6</v>
      </c>
      <c r="F292" s="11" t="s">
        <v>12</v>
      </c>
      <c r="G292" s="11" t="s">
        <v>124</v>
      </c>
      <c r="H292" s="11" t="s">
        <v>487</v>
      </c>
      <c r="I292" s="11">
        <v>5</v>
      </c>
      <c r="J292" s="4">
        <f>B292</f>
        <v>2.3478587528174306E-7</v>
      </c>
      <c r="K292" s="19"/>
      <c r="L292" s="19"/>
      <c r="M292" s="19"/>
      <c r="N292" s="19"/>
      <c r="O292" s="19"/>
      <c r="P292" s="19"/>
      <c r="Q292"/>
      <c r="R292"/>
      <c r="S292" s="11">
        <f>(1/(32.5*8000*19.36))</f>
        <v>1.9866497139224411E-7</v>
      </c>
      <c r="T292" s="11">
        <f>(1/(22.5*8000*19.36))</f>
        <v>2.8696051423324152E-7</v>
      </c>
    </row>
    <row r="293" spans="1:21" s="11" customFormat="1" ht="16" x14ac:dyDescent="0.2">
      <c r="A293" s="16" t="s">
        <v>508</v>
      </c>
      <c r="B293" s="16">
        <f>-1*B291</f>
        <v>-9.3914350112697222E-7</v>
      </c>
      <c r="C293" s="11" t="s">
        <v>34</v>
      </c>
      <c r="D293" s="11" t="s">
        <v>6</v>
      </c>
      <c r="F293" s="11" t="s">
        <v>12</v>
      </c>
      <c r="G293" s="11" t="s">
        <v>509</v>
      </c>
      <c r="H293" s="11" t="s">
        <v>215</v>
      </c>
      <c r="I293" s="11">
        <v>5</v>
      </c>
      <c r="J293" s="4">
        <f>B293</f>
        <v>-9.3914350112697222E-7</v>
      </c>
      <c r="K293" s="19"/>
      <c r="L293" s="19"/>
      <c r="M293" s="19"/>
      <c r="N293" s="19"/>
      <c r="O293" s="19"/>
      <c r="P293" s="19"/>
      <c r="Q293"/>
      <c r="R293"/>
      <c r="S293" s="11">
        <f>-1*T291</f>
        <v>-1.1478420569329661E-6</v>
      </c>
      <c r="T293" s="11">
        <f>-1*S291</f>
        <v>-7.9465988556897644E-7</v>
      </c>
      <c r="U293" s="11" t="b">
        <v>1</v>
      </c>
    </row>
    <row r="294" spans="1:21" s="11" customFormat="1" ht="16" x14ac:dyDescent="0.2">
      <c r="A294" s="16" t="s">
        <v>510</v>
      </c>
      <c r="B294" s="16">
        <f>-1*B292</f>
        <v>-2.3478587528174306E-7</v>
      </c>
      <c r="C294" s="11" t="s">
        <v>34</v>
      </c>
      <c r="D294" s="11" t="s">
        <v>6</v>
      </c>
      <c r="F294" s="11" t="s">
        <v>12</v>
      </c>
      <c r="G294" s="11" t="s">
        <v>511</v>
      </c>
      <c r="H294" s="11" t="s">
        <v>225</v>
      </c>
      <c r="I294" s="11">
        <v>5</v>
      </c>
      <c r="J294" s="4">
        <f>B294</f>
        <v>-2.3478587528174306E-7</v>
      </c>
      <c r="K294" s="19"/>
      <c r="L294" s="19"/>
      <c r="M294" s="19"/>
      <c r="N294" s="19"/>
      <c r="O294" s="19"/>
      <c r="P294" s="19"/>
      <c r="Q294"/>
      <c r="R294"/>
      <c r="S294" s="11">
        <f>-1*T292</f>
        <v>-2.8696051423324152E-7</v>
      </c>
      <c r="T294" s="11">
        <f>-1*S292</f>
        <v>-1.9866497139224411E-7</v>
      </c>
      <c r="U294" s="11" t="b">
        <v>1</v>
      </c>
    </row>
    <row r="295" spans="1:21" s="11" customFormat="1" ht="16" x14ac:dyDescent="0.2">
      <c r="A295" s="13" t="s">
        <v>50</v>
      </c>
      <c r="B295" s="16">
        <v>51.8</v>
      </c>
      <c r="C295" s="11" t="s">
        <v>45</v>
      </c>
      <c r="D295" s="11" t="s">
        <v>35</v>
      </c>
      <c r="E295" s="10"/>
      <c r="F295" s="11" t="s">
        <v>12</v>
      </c>
      <c r="G295" s="11" t="s">
        <v>36</v>
      </c>
      <c r="H295" s="10" t="s">
        <v>482</v>
      </c>
      <c r="I295" s="11">
        <v>5</v>
      </c>
      <c r="J295" s="4">
        <f>B295</f>
        <v>51.8</v>
      </c>
      <c r="K295" s="19"/>
      <c r="L295" s="19"/>
      <c r="M295" s="19"/>
      <c r="N295" s="19"/>
      <c r="O295" s="19"/>
      <c r="P295" s="19"/>
      <c r="Q295"/>
      <c r="R295"/>
      <c r="S295" s="11">
        <v>48.7</v>
      </c>
      <c r="T295" s="11">
        <v>54.9</v>
      </c>
    </row>
    <row r="296" spans="1:21" s="11" customFormat="1" ht="16" x14ac:dyDescent="0.2">
      <c r="A296" s="13" t="s">
        <v>125</v>
      </c>
      <c r="B296" s="16">
        <v>3.7000000000000002E-3</v>
      </c>
      <c r="C296" s="11" t="s">
        <v>17</v>
      </c>
      <c r="D296" s="11" t="s">
        <v>13</v>
      </c>
      <c r="E296" s="10"/>
      <c r="F296" s="11" t="s">
        <v>12</v>
      </c>
      <c r="G296" s="13" t="s">
        <v>126</v>
      </c>
      <c r="H296" s="10" t="s">
        <v>127</v>
      </c>
      <c r="J296"/>
      <c r="K296" s="19"/>
      <c r="L296" s="19"/>
      <c r="M296" s="19"/>
      <c r="N296" s="19"/>
      <c r="O296" s="19"/>
      <c r="P296" s="19"/>
      <c r="Q296"/>
      <c r="R296"/>
    </row>
    <row r="297" spans="1:21" s="11" customFormat="1" ht="16" x14ac:dyDescent="0.2">
      <c r="A297" s="13" t="s">
        <v>516</v>
      </c>
      <c r="B297" s="16">
        <v>14</v>
      </c>
      <c r="C297" s="11" t="s">
        <v>34</v>
      </c>
      <c r="D297" s="11" t="s">
        <v>13</v>
      </c>
      <c r="F297" s="11" t="s">
        <v>12</v>
      </c>
      <c r="G297" s="11" t="s">
        <v>517</v>
      </c>
      <c r="H297" s="20" t="s">
        <v>54</v>
      </c>
      <c r="J297"/>
      <c r="K297" s="19"/>
      <c r="L297" s="19"/>
      <c r="M297" s="19"/>
      <c r="N297" s="19"/>
      <c r="O297" s="19"/>
      <c r="P297" s="19"/>
      <c r="Q297"/>
      <c r="R297"/>
    </row>
    <row r="298" spans="1:21" s="11" customFormat="1" ht="16" x14ac:dyDescent="0.2">
      <c r="A298" s="21" t="s">
        <v>38</v>
      </c>
      <c r="B298" s="15">
        <v>8</v>
      </c>
      <c r="C298" s="21"/>
      <c r="D298" s="21" t="s">
        <v>13</v>
      </c>
      <c r="E298" s="21" t="s">
        <v>39</v>
      </c>
      <c r="F298" s="21" t="s">
        <v>14</v>
      </c>
      <c r="G298" s="21"/>
      <c r="H298" s="22"/>
      <c r="J298"/>
      <c r="K298" s="19"/>
      <c r="L298" s="19"/>
      <c r="M298" s="19"/>
      <c r="N298" s="19"/>
      <c r="O298" s="19"/>
      <c r="P298" s="19"/>
      <c r="Q298" s="19"/>
      <c r="R298"/>
    </row>
    <row r="299" spans="1:21" s="11" customFormat="1" ht="16" x14ac:dyDescent="0.2">
      <c r="A299" s="47" t="s">
        <v>456</v>
      </c>
      <c r="B299" s="48">
        <f>(0.12*1000)/(4259200/27.5)</f>
        <v>7.7479338842975209E-4</v>
      </c>
      <c r="C299" s="47"/>
      <c r="D299" s="47" t="s">
        <v>453</v>
      </c>
      <c r="E299" s="47" t="s">
        <v>454</v>
      </c>
      <c r="F299" s="47" t="s">
        <v>14</v>
      </c>
      <c r="H299" s="47" t="s">
        <v>462</v>
      </c>
      <c r="I299" s="11">
        <v>2</v>
      </c>
      <c r="J299">
        <f t="shared" ref="J299:J301" si="16">LN(B299)</f>
        <v>-7.1629141597283583</v>
      </c>
      <c r="K299" s="19">
        <v>1.05</v>
      </c>
      <c r="L299" s="19">
        <v>1.1000000000000001</v>
      </c>
      <c r="M299" s="19">
        <v>1</v>
      </c>
      <c r="N299" s="19">
        <v>1.02</v>
      </c>
      <c r="O299" s="19">
        <v>1.2</v>
      </c>
      <c r="P299" s="19">
        <v>1.2</v>
      </c>
      <c r="Q299" s="19">
        <v>1.5</v>
      </c>
      <c r="R299">
        <f t="shared" ref="R299:R301" si="17">LN(SQRT(EXP(
SQRT(
+POWER(LN(K299),2)
+POWER(LN(L299),2)
+POWER(LN(M299),2)
+POWER(LN(N299),2)
+POWER(LN(O299),2)
+POWER(LN(P299),2)
+POWER(LN(Q299),2)
)
)))</f>
        <v>0.24634371748562628</v>
      </c>
    </row>
    <row r="300" spans="1:21" s="11" customFormat="1" ht="16" x14ac:dyDescent="0.2">
      <c r="A300" s="47" t="s">
        <v>458</v>
      </c>
      <c r="B300" s="48">
        <f>(0.12*1000)/4259200</f>
        <v>2.8174305033809167E-5</v>
      </c>
      <c r="C300" s="47"/>
      <c r="D300" s="47" t="s">
        <v>459</v>
      </c>
      <c r="E300" s="47" t="s">
        <v>454</v>
      </c>
      <c r="F300" s="47" t="s">
        <v>14</v>
      </c>
      <c r="H300" s="47" t="s">
        <v>463</v>
      </c>
      <c r="I300" s="11">
        <v>2</v>
      </c>
      <c r="J300">
        <f t="shared" si="16"/>
        <v>-10.477100164400884</v>
      </c>
      <c r="K300" s="19">
        <v>1.05</v>
      </c>
      <c r="L300" s="19">
        <v>1.1000000000000001</v>
      </c>
      <c r="M300" s="19">
        <v>1</v>
      </c>
      <c r="N300" s="19">
        <v>1.02</v>
      </c>
      <c r="O300" s="19">
        <v>1.2</v>
      </c>
      <c r="P300" s="19">
        <v>1.2</v>
      </c>
      <c r="Q300" s="19">
        <v>1.5</v>
      </c>
      <c r="R300">
        <f t="shared" si="17"/>
        <v>0.24634371748562628</v>
      </c>
    </row>
    <row r="301" spans="1:21" s="11" customFormat="1" ht="16" x14ac:dyDescent="0.2">
      <c r="A301" s="47" t="s">
        <v>461</v>
      </c>
      <c r="B301" s="48">
        <f>(0.12*1000)/4259200</f>
        <v>2.8174305033809167E-5</v>
      </c>
      <c r="C301" s="47"/>
      <c r="D301" s="47" t="s">
        <v>459</v>
      </c>
      <c r="E301" s="47" t="s">
        <v>454</v>
      </c>
      <c r="F301" s="47" t="s">
        <v>14</v>
      </c>
      <c r="H301" s="47" t="s">
        <v>463</v>
      </c>
      <c r="I301" s="11">
        <v>2</v>
      </c>
      <c r="J301">
        <f t="shared" si="16"/>
        <v>-10.477100164400884</v>
      </c>
      <c r="K301" s="19">
        <v>1.05</v>
      </c>
      <c r="L301" s="19">
        <v>1.1000000000000001</v>
      </c>
      <c r="M301" s="19">
        <v>1</v>
      </c>
      <c r="N301" s="19">
        <v>1.02</v>
      </c>
      <c r="O301" s="19">
        <v>1.2</v>
      </c>
      <c r="P301" s="19">
        <v>1.2</v>
      </c>
      <c r="Q301" s="19">
        <v>1.5</v>
      </c>
      <c r="R301">
        <f t="shared" si="17"/>
        <v>0.24634371748562628</v>
      </c>
    </row>
    <row r="302" spans="1:21" s="11" customFormat="1" ht="16" x14ac:dyDescent="0.2">
      <c r="B302" s="16"/>
      <c r="K302" s="12"/>
      <c r="L302" s="12"/>
      <c r="M302" s="12"/>
      <c r="N302" s="12"/>
      <c r="O302" s="12"/>
      <c r="P302" s="12"/>
    </row>
    <row r="303" spans="1:21" s="11" customFormat="1" ht="16" x14ac:dyDescent="0.2">
      <c r="A303" s="8" t="s">
        <v>1</v>
      </c>
      <c r="B303" s="9" t="s">
        <v>128</v>
      </c>
      <c r="K303" s="12"/>
      <c r="L303" s="12"/>
      <c r="M303" s="12"/>
      <c r="N303" s="12"/>
      <c r="O303" s="12"/>
      <c r="P303" s="12"/>
    </row>
    <row r="304" spans="1:21" s="11" customFormat="1" ht="16" x14ac:dyDescent="0.2">
      <c r="A304" s="13" t="s">
        <v>3</v>
      </c>
      <c r="B304" s="14">
        <v>1</v>
      </c>
      <c r="K304" s="12"/>
      <c r="L304" s="12"/>
      <c r="M304" s="12"/>
      <c r="N304" s="12"/>
      <c r="O304" s="12"/>
      <c r="P304" s="12"/>
    </row>
    <row r="305" spans="1:20" s="11" customFormat="1" ht="16" x14ac:dyDescent="0.2">
      <c r="A305" s="13" t="s">
        <v>11</v>
      </c>
      <c r="B305" s="14" t="inlineStr">
        <is>
          <t>APPROVED FINISHED AEC PTFE GASKETS, issue100, 2026-10-18. Gerloff2021 DOI10.1016/j.est.2021.102759 andPtM DOI10.1021/acssuschemeng.1c02002 SI pS12 identify144.2kgTFEinputasgasket. FinishedPTFEproperties/polymerization:Hintzer et al.2014 Ullmann Fluoropolymers DOI10.1002/14356007.a11_393.pub2;ecoinvent3.12hasPTFEemulsionpolymerizationbut3.8-3.11lackafinishedprovider. Engineeringallowancesbelowuse3.12polymerizationenergy7.5MJ+0.5kWh/kgplus3MJ+0.2kWhforming,notacopyofwholebackgroundinventory. Replace144.2kgvolatileTFEmonomerby144.2kgfinishedPTFEgasketreference,maintainingallversionbehaviorwithoneworkbookprovider. nC2F4-&gt;(C2F4)n;100%chemicalconversionthen95%finishedsolidretention(includingforming/machiningreject). Perkgfinished1/0.95=1.0526315789473684kgTFE,solidPTFEreject=0.05263157894736836kg. Thisyieldisassumed,90-100%sensitivity;notmeasuredindustrialpolymerizationyield. Aggregatemanufacture10.5MJheat+0.7kWh/kgfinishedincludespolymerizationandformingonce(5-20MJ,.35-1.4kWhsensitivity). ExistingTFEsupplyupstreamburdensretainedonce. Initiator,emulsionwater/surfactant,polymerdrying,highpressureequipment,purification,PFAS/TFEfugitiveemissionsandactualgasketshapesareunresolved;solid-rejectreferenceisnotclaimofzeroindustrialairloss. No nativePTFEpurchaseontopofmonomer,nomassivegasgasketinterpretation. FinishedAECgasketEOL144.2kgoldplasticroutepreserved;fluoropolymer-specificHFabatementnotvalidatedbygenericroute. Stacklifetimesandmetalinputsunchanged.
PREVIOUS NOTES (retained as history; the correction above takes precedence):
APPROVED REINFORCED AEC DIAPHRAGM REFERENCE, issue96, 2026-10-18. 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 Replace48.8kgPSU+73kgZrO2 with121.8kgfinisheddryZirfon-typeengineeringmembrane,notcertifiedAgfaUTP500recipe. Preserveoldtotaldrymass asreferenceassumption;actualoldwet/drybasisunknown. Selected500umfinishedthickness,0.5kg/m2dryarealmass implies243.6m2/MW at121.8kg. SupportwovenPPS100umfilaments/200umpitch/twodirections/1.05crimp,rho1350kg/m3 gives0.11133018966158831kgPPS/m2 and0.22266037932317662fractionofdrymembrane. Theseclothgeometryvaluesareexplicitassumptions,notmeasuredPVFmesh. Remainingcoating0.7773396206768234massfractionuses85/15ZrO2/PSU. Finishedfractions={'PPS': 0.22266037932317662, 'ZrO2': 0.6607386775752998, 'PSU': 0.1166009431015235};usingZrO2rho5680,PSU1240andPPS1350,computedporosity=0.6247061350887926consistentwith45-65%referenceinterval. Do notmistake85/15coatingforwholemembrane. Sensitivitysupport10-30wt%,coatingZr75-85wt%,arealmass0.4-0.6kg/m2,thickness450-550um;notallcombinationsarephysicallycompatible. Coating95%retention,mesh100%,1kWh/kgforming/dryingallowance;freshNMP0.2kg/kgretainedcoating assumes4kgcirculationand95%recovery,solventmakeupalltosolventwaste.10kgprocesswater/kgfinishedandgenericWWT;salinity,coagulationkinetics,soluteemissions,membranegasbarrieranddurabilityqualificationgaps remain. Sourcegross121.8kgisnotindependentlyverifiedfor2026plant. MatchedfinishedEOLroutesneworganicPPS/PSUfractiontogenericplasticincinerationandZrO2togenericinertdisposal;old193kgmixedplasticwasteincluded144.2gasket+48.8PSU,replaceonly48.8PSUshare,leavegasketuntilissue100. No phantommetalrecoverycredit;otherstackmetals,lifetime,energy unchanged.
PREVIOUS NOTES (retained as history; the correction above takes precedence):
1 MWe Alkaline electrolyzer based on Niklas Gerloff, Comparative Life-Cycle-Assessment analysis of three major water electrolysis technologies while applying various energy scenarios for a greener hydrogen production, Journal of Energy Storage, Volume 43, 2021, https://doi.org/10.1016/j.est.2021.102759. Single stack lifetime of 7-8 years @ 8000 hours/year, hence 3 replacements over 20 years. Produced amount of H2 over 20 years: 3085961.12 kg. The technology is available for large plant sizes and operates with a stack efficiency of up to 67 % (based on the lower heating value (LHV) of the generated H2). The operating temperature is in between 60–80 °C, and the current density is around 0.2–0.4 A/cm2. Moreover, the system energy –including the stack and periphery energy– is in the range of 4.4–6.6 kWh/m3H2, while the gas purity is higher than 99.5%, and the operating pressure is below 30 bar. While the LCI data of the BoP components either originate from Zhang et al., based on a 300-kW system and, therefore, scaled-up to 1 MW by a factor of 0.7, the LCI data of the other BoP components originate from manufacturer offers or have been estimated by own calculations using additional information by the producers.  Values have already been multiplied by 3 to reflect 2 stack replacements over 20 years of use.</t>
        </is>
      </c>
      <c r="K305" s="12"/>
      <c r="L305" s="12"/>
      <c r="M305" s="12"/>
      <c r="N305" s="12"/>
      <c r="O305" s="12"/>
      <c r="P305" s="12"/>
    </row>
    <row r="306" spans="1:20" s="11" customFormat="1" ht="16" x14ac:dyDescent="0.2">
      <c r="A306" s="13" t="s">
        <v>4</v>
      </c>
      <c r="B306" s="16" t="s">
        <v>123</v>
      </c>
      <c r="K306" s="12"/>
      <c r="L306" s="12"/>
      <c r="M306" s="12"/>
      <c r="N306" s="12"/>
      <c r="O306" s="12"/>
      <c r="P306" s="12"/>
    </row>
    <row r="307" spans="1:20" s="11" customFormat="1" ht="16" x14ac:dyDescent="0.2">
      <c r="A307" s="13" t="s">
        <v>2</v>
      </c>
      <c r="B307" s="14" t="s">
        <v>34</v>
      </c>
      <c r="K307" s="12"/>
      <c r="L307" s="12"/>
      <c r="M307" s="12"/>
      <c r="N307" s="12"/>
      <c r="O307" s="12"/>
      <c r="P307" s="12"/>
    </row>
    <row r="308" spans="1:20" s="11" customFormat="1" ht="16" x14ac:dyDescent="0.2">
      <c r="A308" s="13" t="s">
        <v>6</v>
      </c>
      <c r="B308" s="16" t="s">
        <v>6</v>
      </c>
      <c r="K308" s="12"/>
      <c r="L308" s="12"/>
      <c r="M308" s="12"/>
      <c r="N308" s="12"/>
      <c r="O308" s="12"/>
      <c r="P308" s="12"/>
    </row>
    <row r="309" spans="1:20" s="11" customFormat="1" ht="16" x14ac:dyDescent="0.2">
      <c r="A309" s="17" t="s">
        <v>7</v>
      </c>
      <c r="B309" s="9"/>
      <c r="C309" s="17"/>
      <c r="D309" s="17"/>
      <c r="E309" s="17"/>
      <c r="F309" s="17"/>
      <c r="G309" s="17"/>
      <c r="H309" s="17"/>
      <c r="I309" s="17"/>
      <c r="J309" s="17"/>
      <c r="K309" s="12"/>
      <c r="L309" s="12"/>
      <c r="M309" s="12"/>
      <c r="N309" s="12"/>
      <c r="O309" s="12"/>
      <c r="P309" s="12"/>
    </row>
    <row r="310" spans="1:20" s="11" customFormat="1" ht="16" x14ac:dyDescent="0.2">
      <c r="A310" s="17" t="s">
        <v>8</v>
      </c>
      <c r="B310" s="9" t="s">
        <v>9</v>
      </c>
      <c r="C310" s="17" t="s">
        <v>2</v>
      </c>
      <c r="D310" s="17" t="s">
        <v>6</v>
      </c>
      <c r="E310" s="23" t="s">
        <v>10</v>
      </c>
      <c r="F310" s="17" t="s">
        <v>5</v>
      </c>
      <c r="G310" s="17" t="s">
        <v>4</v>
      </c>
      <c r="H310" s="23" t="s">
        <v>11</v>
      </c>
      <c r="I310" s="17"/>
      <c r="J310" s="7"/>
      <c r="K310" s="18"/>
      <c r="L310" s="18"/>
      <c r="M310" s="18"/>
      <c r="N310" s="18"/>
      <c r="O310" s="18"/>
      <c r="P310" s="18"/>
      <c r="Q310" s="7"/>
      <c r="R310" s="7"/>
      <c r="S310" s="17"/>
      <c r="T310" s="7"/>
    </row>
    <row r="311" spans="1:20" s="11" customFormat="1" ht="16" x14ac:dyDescent="0.2">
      <c r="A311" s="16" t="str">
        <f>B303</f>
        <v>electrolyzer production, 1MWe, AEC, Stack</v>
      </c>
      <c r="B311" s="16">
        <v>1</v>
      </c>
      <c r="C311" s="11" t="s">
        <v>34</v>
      </c>
      <c r="D311" s="11" t="str">
        <f>B308</f>
        <v>unit</v>
      </c>
      <c r="F311" s="11" t="s">
        <v>16</v>
      </c>
      <c r="G311" s="11" t="str">
        <f>B306</f>
        <v>electrolyzer, 1MWe, AEC, Stack</v>
      </c>
      <c r="H311" t="inlineStr">
        <is>
          <t>APPROVED FINISHED AEC PTFE GASKETS, issue100, 2026-10-18. Gerloff2021 DOI10.1016/j.est.2021.102759 andPtM DOI10.1021/acssuschemeng.1c02002 SI pS12 identify144.2kgTFEinputasgasket. FinishedPTFEproperties/polymerization:Hintzer et al.2014 Ullmann Fluoropolymers DOI10.1002/14356007.a11_393.pub2;ecoinvent3.12hasPTFEemulsionpolymerizationbut3.8-3.11lackafinishedprovider. Engineeringallowancesbelowuse3.12polymerizationenergy7.5MJ+0.5kWh/kgplus3MJ+0.2kWhforming,notacopyofwholebackgroundinventory. Replace144.2kgvolatileTFEmonomerby144.2kgfinishedPTFEgasketreference,maintainingallversionbehaviorwithoneworkbookprovider. nC2F4-&gt;(C2F4)n;100%chemicalconversionthen95%finishedsolidretention(includingforming/machiningreject). Perkgfinished1/0.95=1.0526315789473684kgTFE,solidPTFEreject=0.05263157894736836kg. Thisyieldisassumed,90-100%sensitivity;notmeasuredindustrialpolymerizationyield. Aggregatemanufacture10.5MJheat+0.7kWh/kgfinishedincludespolymerizationandformingonce(5-20MJ,.35-1.4kWhsensitivity). ExistingTFEsupplyupstreamburdensretainedonce. Initiator,emulsionwater/surfactant,polymerdrying,highpressureequipment,purification,PFAS/TFEfugitiveemissionsandactualgasketshapesareunresolved;solid-rejectreferenceisnotclaimofzeroindustrialairloss. No nativePTFEpurchaseontopofmonomer,nomassivegasgasketinterpretation. FinishedAECgasketEOL144.2kgoldplasticroutepreserved;fluoropolymer-specificHFabatementnotvalidatedbygenericroute. Stacklifetimesandmetalinputsunchanged.</t>
        </is>
      </c>
      <c r="K311" s="12"/>
      <c r="L311" s="12"/>
      <c r="M311" s="12"/>
      <c r="N311" s="12"/>
      <c r="O311" s="12"/>
      <c r="P311" s="12"/>
    </row>
    <row r="312" spans="1:20" s="11" customFormat="1" ht="16" x14ac:dyDescent="0.2">
      <c r="A312" s="11" t="inlineStr">
        <is>
          <t xml:space="preserve">PTFE gasket production, polymerization and forming</t>
        </is>
      </c>
      <c r="B312" s="12">
        <v>144.19999999999999</v>
      </c>
      <c r="C312" s="11" t="inlineStr">
        <is>
          <t>GLO</t>
        </is>
      </c>
      <c r="D312" s="11" t="s">
        <v>13</v>
      </c>
      <c r="F312" s="11" t="s">
        <v>12</v>
      </c>
      <c r="G312" s="11" t="inlineStr">
        <is>
          <t xml:space="preserve">PTFE gasket, polymerization and forming</t>
        </is>
      </c>
      <c r="H312" s="11" t="inlineStr">
        <is>
          <t>APPROVED FINISHED AEC PTFE GASKETS, issue100, 2026-10-18. Gerloff2021 DOI10.1016/j.est.2021.102759 andPtM DOI10.1021/acssuschemeng.1c02002 SI pS12 identify144.2kgTFEinputasgasket. FinishedPTFEproperties/polymerization:Hintzer et al.2014 Ullmann Fluoropolymers DOI10.1002/14356007.a11_393.pub2;ecoinvent3.12hasPTFEemulsionpolymerizationbut3.8-3.11lackafinishedprovider. Engineeringallowancesbelowuse3.12polymerizationenergy7.5MJ+0.5kWh/kgplus3MJ+0.2kWhforming,notacopyofwholebackgroundinventory. Replace144.2kgvolatileTFEmonomerby144.2kgfinishedPTFEgasketreference,maintainingallversionbehaviorwithoneworkbookprovider. nC2F4-&gt;(C2F4)n;100%chemicalconversionthen95%finishedsolidretention(includingforming/machiningreject). Perkgfinished1/0.95=1.0526315789473684kgTFE,solidPTFEreject=0.05263157894736836kg. Thisyieldisassumed,90-100%sensitivity;notmeasuredindustrialpolymerizationyield. Aggregatemanufacture10.5MJheat+0.7kWh/kgfinishedincludespolymerizationandformingonce(5-20MJ,.35-1.4kWhsensitivity). ExistingTFEsupplyupstreamburdensretainedonce. Initiator,emulsionwater/surfactant,polymerdrying,highpressureequipment,purification,PFAS/TFEfugitiveemissionsandactualgasketshapesareunresolved;solid-rejectreferenceisnotclaimofzeroindustrialairloss. No nativePTFEpurchaseontopofmonomer,nomassivegasgasketinterpretation. FinishedAECgasketEOL144.2kgoldplasticroutepreserved;fluoropolymer-specificHFabatementnotvalidatedbygenericroute. Stacklifetimesandmetalinputsunchanged.</t>
        </is>
      </c>
      <c r="J312"/>
      <c r="K312" s="19"/>
      <c r="L312" s="19"/>
      <c r="M312" s="19"/>
      <c r="N312" s="19"/>
      <c r="O312" s="19"/>
      <c r="P312" s="19"/>
      <c r="Q312"/>
      <c r="R312"/>
    </row>
    <row r="313" spans="1:20" s="11" customFormat="1" ht="16" x14ac:dyDescent="0.2">
      <c r="A313" s="11" t="s">
        <v>73</v>
      </c>
      <c r="B313" s="12">
        <v>20194.400000000001</v>
      </c>
      <c r="C313" s="11" t="s">
        <v>17</v>
      </c>
      <c r="D313" s="11" t="s">
        <v>13</v>
      </c>
      <c r="F313" s="11" t="s">
        <v>12</v>
      </c>
      <c r="G313" s="11" t="s">
        <v>74</v>
      </c>
      <c r="H313" s="11" t="s">
        <v>130</v>
      </c>
      <c r="J313"/>
      <c r="K313" s="19"/>
      <c r="L313" s="19"/>
      <c r="M313" s="19"/>
      <c r="N313" s="19"/>
      <c r="O313" s="19"/>
      <c r="P313" s="19"/>
      <c r="Q313"/>
      <c r="R313"/>
    </row>
    <row r="314" spans="1:20" s="11" customFormat="1" ht="16" x14ac:dyDescent="0.2">
      <c r="A314" s="11" t="s">
        <v>20</v>
      </c>
      <c r="B314" s="12">
        <v>20194.400000000001</v>
      </c>
      <c r="C314" s="11" t="s">
        <v>17</v>
      </c>
      <c r="D314" s="11" t="s">
        <v>13</v>
      </c>
      <c r="F314" s="11" t="s">
        <v>12</v>
      </c>
      <c r="G314" s="11" t="s">
        <v>15</v>
      </c>
      <c r="H314" s="11" t="s">
        <v>130</v>
      </c>
      <c r="J314"/>
      <c r="K314" s="19"/>
      <c r="L314" s="19"/>
      <c r="M314" s="19"/>
      <c r="N314" s="19"/>
      <c r="O314" s="19"/>
      <c r="P314" s="19"/>
      <c r="Q314"/>
      <c r="R314"/>
    </row>
    <row r="315" spans="1:20" s="11" customFormat="1" ht="16" x14ac:dyDescent="0.2">
      <c r="A315" s="11" t="s">
        <v>131</v>
      </c>
      <c r="B315" s="12">
        <v>2884.9</v>
      </c>
      <c r="C315" s="11" t="s">
        <v>17</v>
      </c>
      <c r="D315" s="11" t="s">
        <v>13</v>
      </c>
      <c r="F315" s="11" t="s">
        <v>12</v>
      </c>
      <c r="G315" s="11" t="s">
        <v>132</v>
      </c>
      <c r="H315" s="11" t="s">
        <v>130</v>
      </c>
      <c r="J315"/>
      <c r="K315" s="19"/>
      <c r="L315" s="19"/>
      <c r="M315" s="19"/>
      <c r="N315" s="19"/>
      <c r="O315" s="19"/>
      <c r="P315" s="19"/>
      <c r="Q315"/>
      <c r="R315"/>
    </row>
    <row r="316" spans="1:20" s="11" customFormat="1" ht="16" x14ac:dyDescent="0.2">
      <c r="A316" s="11" t="inlineStr">
        <is>
          <t xml:space="preserve">diaphragm production, alkaline electrolysis, zirconia-polysulfone with PPS mesh</t>
        </is>
      </c>
      <c r="B316" s="12">
        <v>121.8</v>
      </c>
      <c r="C316" s="11" t="inlineStr">
        <is>
          <t>GLO</t>
        </is>
      </c>
      <c r="D316" s="11" t="s">
        <v>13</v>
      </c>
      <c r="E316" s="10"/>
      <c r="F316" s="11" t="s">
        <v>12</v>
      </c>
      <c r="G316" s="10" t="inlineStr">
        <is>
          <t xml:space="preserve">diaphragm, alkaline electrolysis, zirconia-polysulfone with PPS mesh</t>
        </is>
      </c>
      <c r="H316" s="11" t="inlineStr">
        <is>
          <t>APPROVED REINFORCED AEC DIAPHRAGM REFERENCE, issue96, 2026-10-18. 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 Replace48.8kgPSU+73kgZrO2 with121.8kgfinisheddryZirfon-typeengineeringmembrane,notcertifiedAgfaUTP500recipe. Preserveoldtotaldrymass asreferenceassumption;actualoldwet/drybasisunknown. Selected500umfinishedthickness,0.5kg/m2dryarealmass implies243.6m2/MW at121.8kg. SupportwovenPPS100umfilaments/200umpitch/twodirections/1.05crimp,rho1350kg/m3 gives0.11133018966158831kgPPS/m2 and0.22266037932317662fractionofdrymembrane. Theseclothgeometryvaluesareexplicitassumptions,notmeasuredPVFmesh. Remainingcoating0.7773396206768234massfractionuses85/15ZrO2/PSU. Finishedfractions={'PPS': 0.22266037932317662, 'ZrO2': 0.6607386775752998, 'PSU': 0.1166009431015235};usingZrO2rho5680,PSU1240andPPS1350,computedporosity=0.6247061350887926consistentwith45-65%referenceinterval. Do notmistake85/15coatingforwholemembrane. Sensitivitysupport10-30wt%,coatingZr75-85wt%,arealmass0.4-0.6kg/m2,thickness450-550um;notallcombinationsarephysicallycompatible. Coating95%retention,mesh100%,1kWh/kgforming/dryingallowance;freshNMP0.2kg/kgretainedcoating assumes4kgcirculationand95%recovery,solventmakeupalltosolventwaste.10kgprocesswater/kgfinishedandgenericWWT;salinity,coagulationkinetics,soluteemissions,membranegasbarrieranddurabilityqualificationgaps remain. Sourcegross121.8kgisnotindependentlyverifiedfor2026plant. MatchedfinishedEOLroutesneworganicPPS/PSUfractiontogenericplasticincinerationandZrO2togenericinertdisposal;old193kgmixedplasticwasteincluded144.2gasket+48.8PSU,replaceonly48.8PSUshare,leavegasketuntilissue100. No phantommetalrecoverycredit;otherstackmetals,lifetime,energy unchanged.</t>
        </is>
      </c>
      <c r="J316"/>
      <c r="K316" s="19"/>
      <c r="L316" s="19"/>
      <c r="M316" s="19"/>
      <c r="N316" s="19"/>
      <c r="O316" s="19"/>
      <c r="P316" s="19"/>
      <c r="Q316"/>
      <c r="R316"/>
    </row>
    <row r="317" spans="1:20" s="11" customFormat="1" ht="16" x14ac:dyDescent="0.2">
      <c r="A317" s="11"/>
      <c r="B317" s="12"/>
      <c r="C317" s="11"/>
      <c r="D317" s="11"/>
      <c r="E317" s="10"/>
      <c r="F317" s="11"/>
      <c r="G317" s="10"/>
      <c r="H317" s="11"/>
      <c r="J317"/>
      <c r="K317" s="19"/>
      <c r="L317" s="19"/>
      <c r="M317" s="19"/>
      <c r="N317" s="19"/>
      <c r="O317" s="19"/>
      <c r="P317" s="19"/>
      <c r="Q317"/>
      <c r="R317"/>
    </row>
    <row r="318" spans="1:20" s="11" customFormat="1" ht="16" x14ac:dyDescent="0.2">
      <c r="A318" s="11" t="s">
        <v>33</v>
      </c>
      <c r="B318" s="12">
        <v>95553.31568</v>
      </c>
      <c r="C318" s="11" t="s">
        <v>17</v>
      </c>
      <c r="D318" s="11" t="s">
        <v>35</v>
      </c>
      <c r="E318" s="10"/>
      <c r="F318" s="11" t="s">
        <v>12</v>
      </c>
      <c r="G318" s="10" t="s">
        <v>36</v>
      </c>
      <c r="H318" s="11" t="s">
        <v>79</v>
      </c>
      <c r="J318"/>
      <c r="K318" s="19"/>
      <c r="L318" s="19"/>
      <c r="M318" s="19"/>
      <c r="N318" s="19"/>
      <c r="O318" s="19"/>
      <c r="P318" s="19"/>
      <c r="Q318"/>
      <c r="R318"/>
    </row>
    <row r="319" spans="1:20" s="11" customFormat="1" ht="16" x14ac:dyDescent="0.2">
      <c r="B319" s="16"/>
      <c r="F319" s="10"/>
      <c r="G319" s="10"/>
      <c r="K319" s="12"/>
      <c r="L319" s="12"/>
      <c r="M319" s="12"/>
      <c r="N319" s="12"/>
      <c r="O319" s="12"/>
      <c r="P319" s="12"/>
    </row>
    <row r="320" spans="1:20" s="11" customFormat="1" ht="16" x14ac:dyDescent="0.2">
      <c r="A320" s="8" t="s">
        <v>1</v>
      </c>
      <c r="B320" s="9" t="s">
        <v>508</v>
      </c>
      <c r="K320" s="12"/>
      <c r="L320" s="12"/>
      <c r="M320" s="12"/>
      <c r="N320" s="12"/>
      <c r="O320" s="12"/>
      <c r="P320" s="12"/>
    </row>
    <row r="321" spans="1:20" s="11" customFormat="1" ht="16" x14ac:dyDescent="0.2">
      <c r="A321" s="13" t="s">
        <v>3</v>
      </c>
      <c r="B321" s="14">
        <v>1</v>
      </c>
      <c r="K321" s="12"/>
      <c r="L321" s="12"/>
      <c r="M321" s="12"/>
      <c r="N321" s="12"/>
      <c r="O321" s="12"/>
      <c r="P321" s="12"/>
    </row>
    <row r="322" spans="1:20" s="11" customFormat="1" ht="16" x14ac:dyDescent="0.2">
      <c r="A322" s="13" t="s">
        <v>11</v>
      </c>
      <c r="B322" s="14" t="inlineStr">
        <is>
          <t>APPROVED REINFORCED AEC DIAPHRAGM REFERENCE, issue96, 2026-10-18. 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 Replace48.8kgPSU+73kgZrO2 with121.8kgfinisheddryZirfon-typeengineeringmembrane,notcertifiedAgfaUTP500recipe. Preserveoldtotaldrymass asreferenceassumption;actualoldwet/drybasisunknown. Selected500umfinishedthickness,0.5kg/m2dryarealmass implies243.6m2/MW at121.8kg. SupportwovenPPS100umfilaments/200umpitch/twodirections/1.05crimp,rho1350kg/m3 gives0.11133018966158831kgPPS/m2 and0.22266037932317662fractionofdrymembrane. Theseclothgeometryvaluesareexplicitassumptions,notmeasuredPVFmesh. Remainingcoating0.7773396206768234massfractionuses85/15ZrO2/PSU. Finishedfractions={'PPS': 0.22266037932317662, 'ZrO2': 0.6607386775752998, 'PSU': 0.1166009431015235};usingZrO2rho5680,PSU1240andPPS1350,computedporosity=0.6247061350887926consistentwith45-65%referenceinterval. Do notmistake85/15coatingforwholemembrane. Sensitivitysupport10-30wt%,coatingZr75-85wt%,arealmass0.4-0.6kg/m2,thickness450-550um;notallcombinationsarephysicallycompatible. Coating95%retention,mesh100%,1kWh/kgforming/dryingallowance;freshNMP0.2kg/kgretainedcoating assumes4kgcirculationand95%recovery,solventmakeupalltosolventwaste.10kgprocesswater/kgfinishedandgenericWWT;salinity,coagulationkinetics,soluteemissions,membranegasbarrieranddurabilityqualificationgaps remain. Sourcegross121.8kgisnotindependentlyverifiedfor2026plant. MatchedfinishedEOLroutesneworganicPPS/PSUfractiontogenericplasticincinerationandZrO2togenericinertdisposal;old193kgmixedplasticwasteincluded144.2gasket+48.8PSU,replaceonly48.8PSUshare,leavegasketuntilissue100. No phantommetalrecoverycredit;otherstackmetals,lifetime,energy unchanged.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322" s="12"/>
      <c r="L322" s="12"/>
      <c r="M322" s="12"/>
      <c r="N322" s="12"/>
      <c r="O322" s="12"/>
      <c r="P322" s="12"/>
    </row>
    <row r="323" spans="1:20" s="11" customFormat="1" ht="16" x14ac:dyDescent="0.2">
      <c r="A323" s="13" t="s">
        <v>4</v>
      </c>
      <c r="B323" s="16" t="s">
        <v>509</v>
      </c>
      <c r="K323" s="12"/>
      <c r="L323" s="12"/>
      <c r="M323" s="12"/>
      <c r="N323" s="12"/>
      <c r="O323" s="12"/>
      <c r="P323" s="12"/>
    </row>
    <row r="324" spans="1:20" s="11" customFormat="1" ht="16" x14ac:dyDescent="0.2">
      <c r="A324" s="13" t="s">
        <v>2</v>
      </c>
      <c r="B324" s="14" t="s">
        <v>34</v>
      </c>
      <c r="K324" s="12"/>
      <c r="L324" s="12"/>
      <c r="M324" s="12"/>
      <c r="N324" s="12"/>
      <c r="O324" s="12"/>
      <c r="P324" s="12"/>
    </row>
    <row r="325" spans="1:20" s="11" customFormat="1" ht="16" x14ac:dyDescent="0.2">
      <c r="A325" s="13" t="s">
        <v>6</v>
      </c>
      <c r="B325" s="16" t="s">
        <v>6</v>
      </c>
      <c r="K325" s="12"/>
      <c r="L325" s="12"/>
      <c r="M325" s="12"/>
      <c r="N325" s="12"/>
      <c r="O325" s="12"/>
      <c r="P325" s="12"/>
    </row>
    <row r="326" spans="1:20" s="11" customFormat="1" ht="16" x14ac:dyDescent="0.2">
      <c r="A326" s="17" t="s">
        <v>7</v>
      </c>
      <c r="B326" s="9"/>
      <c r="C326" s="17"/>
      <c r="D326" s="17"/>
      <c r="E326" s="17"/>
      <c r="F326" s="17"/>
      <c r="G326" s="17"/>
      <c r="H326" s="17"/>
      <c r="I326" s="17"/>
      <c r="J326" s="17"/>
      <c r="K326" s="12"/>
      <c r="L326" s="12"/>
      <c r="M326" s="12"/>
      <c r="N326" s="12"/>
      <c r="O326" s="12"/>
      <c r="P326" s="12"/>
    </row>
    <row r="327" spans="1:20" s="11" customFormat="1" ht="16" x14ac:dyDescent="0.2">
      <c r="A327" s="17" t="s">
        <v>8</v>
      </c>
      <c r="B327" s="9" t="s">
        <v>9</v>
      </c>
      <c r="C327" s="17" t="s">
        <v>2</v>
      </c>
      <c r="D327" s="17" t="s">
        <v>6</v>
      </c>
      <c r="E327" s="23" t="s">
        <v>10</v>
      </c>
      <c r="F327" s="17" t="s">
        <v>5</v>
      </c>
      <c r="G327" s="17" t="s">
        <v>4</v>
      </c>
      <c r="H327" s="23" t="s">
        <v>11</v>
      </c>
      <c r="I327" s="17"/>
      <c r="J327" s="7"/>
      <c r="K327" s="18"/>
      <c r="L327" s="18"/>
      <c r="M327" s="18"/>
      <c r="N327" s="18"/>
      <c r="O327" s="18"/>
      <c r="P327" s="18"/>
      <c r="Q327" s="7"/>
      <c r="R327" s="7"/>
      <c r="S327" s="17"/>
      <c r="T327" s="7"/>
    </row>
    <row r="328" spans="1:20" s="11" customFormat="1" ht="16" x14ac:dyDescent="0.2">
      <c r="A328" s="16" t="str">
        <f>B320</f>
        <v>treatment of electrolyzer stack, 1MWe, AEC</v>
      </c>
      <c r="B328" s="12">
        <v>-1</v>
      </c>
      <c r="C328" s="11" t="s">
        <v>34</v>
      </c>
      <c r="D328" s="11" t="str">
        <f>B325</f>
        <v>unit</v>
      </c>
      <c r="F328" s="11" t="s">
        <v>16</v>
      </c>
      <c r="G328" s="11" t="str">
        <f>B323</f>
        <v>used electrolyzer stack, 1MWe, AEC</v>
      </c>
      <c r="H328" t="inlineStr">
        <is>
          <t>APPROVED REINFORCED AEC DIAPHRAGM REFERENCE, issue96, 2026-10-18. 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 Replace48.8kgPSU+73kgZrO2 with121.8kgfinisheddryZirfon-typeengineeringmembrane,notcertifiedAgfaUTP500recipe. Preserveoldtotaldrymass asreferenceassumption;actualoldwet/drybasisunknown. Selected500umfinishedthickness,0.5kg/m2dryarealmass implies243.6m2/MW at121.8kg. SupportwovenPPS100umfilaments/200umpitch/twodirections/1.05crimp,rho1350kg/m3 gives0.11133018966158831kgPPS/m2 and0.22266037932317662fractionofdrymembrane. Theseclothgeometryvaluesareexplicitassumptions,notmeasuredPVFmesh. Remainingcoating0.7773396206768234massfractionuses85/15ZrO2/PSU. Finishedfractions={'PPS': 0.22266037932317662, 'ZrO2': 0.6607386775752998, 'PSU': 0.1166009431015235};usingZrO2rho5680,PSU1240andPPS1350,computedporosity=0.6247061350887926consistentwith45-65%referenceinterval. Do notmistake85/15coatingforwholemembrane. Sensitivitysupport10-30wt%,coatingZr75-85wt%,arealmass0.4-0.6kg/m2,thickness450-550um;notallcombinationsarephysicallycompatible. Coating95%retention,mesh100%,1kWh/kgforming/dryingallowance;freshNMP0.2kg/kgretainedcoating assumes4kgcirculationand95%recovery,solventmakeupalltosolventwaste.10kgprocesswater/kgfinishedandgenericWWT;salinity,coagulationkinetics,soluteemissions,membranegasbarrieranddurabilityqualificationgaps remain. Sourcegross121.8kgisnotindependentlyverifiedfor2026plant. MatchedfinishedEOLroutesneworganicPPS/PSUfractiontogenericplasticincinerationandZrO2togenericinertdisposal;old193kgmixedplasticwasteincluded144.2gasket+48.8PSU,replaceonly48.8PSUshare,leavegasketuntilissue100. No phantommetalrecoverycredit;otherstackmetals,lifetime,energy unchanged.</t>
        </is>
      </c>
      <c r="K328" s="12"/>
      <c r="L328" s="12"/>
      <c r="M328" s="12"/>
      <c r="N328" s="12"/>
      <c r="O328" s="12"/>
      <c r="P328" s="12"/>
    </row>
    <row r="329" spans="1:20" s="11" customFormat="1" ht="16" x14ac:dyDescent="0.2">
      <c r="A329" s="16" t="s">
        <v>204</v>
      </c>
      <c r="B329" s="11">
        <f>-1*B314</f>
        <v>-20194.400000000001</v>
      </c>
      <c r="C329" s="11" t="s">
        <v>37</v>
      </c>
      <c r="D329" s="11" t="s">
        <v>13</v>
      </c>
      <c r="F329" s="11" t="s">
        <v>12</v>
      </c>
      <c r="G329" s="11" t="s">
        <v>205</v>
      </c>
      <c r="J329"/>
      <c r="K329" s="19"/>
      <c r="L329" s="19"/>
      <c r="M329" s="19"/>
      <c r="N329" s="19"/>
      <c r="O329" s="19"/>
      <c r="P329" s="19"/>
      <c r="Q329"/>
      <c r="R329"/>
    </row>
    <row r="330" spans="1:20" s="11" customFormat="1" ht="16" x14ac:dyDescent="0.2">
      <c r="A330" s="11" t="s">
        <v>210</v>
      </c>
      <c r="B330" s="11">
        <f>-185.52202907132846</f>
        <v>-185.52202907132846</v>
      </c>
      <c r="C330" s="11" t="s">
        <v>212</v>
      </c>
      <c r="D330" s="11" t="s">
        <v>13</v>
      </c>
      <c r="F330" s="11" t="s">
        <v>12</v>
      </c>
      <c r="G330" s="11" t="s">
        <v>211</v>
      </c>
      <c r="H330" t="inlineStr">
        <is>
          <t>APPROVED REINFORCED AEC DIAPHRAGM REFERENCE, issue96, 2026-10-18. 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 Replace48.8kgPSU+73kgZrO2 with121.8kgfinisheddryZirfon-typeengineeringmembrane,notcertifiedAgfaUTP500recipe. Preserveoldtotaldrymass asreferenceassumption;actualoldwet/drybasisunknown. Selected500umfinishedthickness,0.5kg/m2dryarealmass implies243.6m2/MW at121.8kg. SupportwovenPPS100umfilaments/200umpitch/twodirections/1.05crimp,rho1350kg/m3 gives0.11133018966158831kgPPS/m2 and0.22266037932317662fractionofdrymembrane. Theseclothgeometryvaluesareexplicitassumptions,notmeasuredPVFmesh. Remainingcoating0.7773396206768234massfractionuses85/15ZrO2/PSU. Finishedfractions={'PPS': 0.22266037932317662, 'ZrO2': 0.6607386775752998, 'PSU': 0.1166009431015235};usingZrO2rho5680,PSU1240andPPS1350,computedporosity=0.6247061350887926consistentwith45-65%referenceinterval. Do notmistake85/15coatingforwholemembrane. Sensitivitysupport10-30wt%,coatingZr75-85wt%,arealmass0.4-0.6kg/m2,thickness450-550um;notallcombinationsarephysicallycompatible. Coating95%retention,mesh100%,1kWh/kgforming/dryingallowance;freshNMP0.2kg/kgretainedcoating assumes4kgcirculationand95%recovery,solventmakeupalltosolventwaste.10kgprocesswater/kgfinishedandgenericWWT;salinity,coagulationkinetics,soluteemissions,membranegasbarrieranddurabilityqualificationgaps remain. Sourcegross121.8kgisnotindependentlyverifiedfor2026plant. MatchedfinishedEOLroutesneworganicPPS/PSUfractiontogenericplasticincinerationandZrO2togenericinertdisposal;old193kgmixedplasticwasteincluded144.2gasket+48.8PSU,replaceonly48.8PSUshare,leavegasketuntilissue100. No phantommetalrecoverycredit;otherstackmetals,lifetime,energy unchanged.</t>
        </is>
      </c>
      <c r="J330"/>
      <c r="K330" s="19"/>
      <c r="L330" s="19"/>
      <c r="M330" s="19"/>
      <c r="N330" s="19"/>
      <c r="O330" s="19"/>
      <c r="P330" s="19"/>
      <c r="Q330"/>
      <c r="R330"/>
    </row>
    <row r="331" spans="1:20" s="11" customFormat="1" ht="16" x14ac:dyDescent="0.2">
      <c r="A331" t="inlineStr">
        <is>
          <t>market for inert waste, for final disposal</t>
        </is>
      </c>
      <c r="B331" s="16">
        <v>-80.47797092867151</v>
      </c>
      <c r="C331" t="inlineStr">
        <is>
          <t>RoW</t>
        </is>
      </c>
      <c r="D331" t="inlineStr">
        <is>
          <t>kilogram</t>
        </is>
      </c>
      <c r="F331" t="inlineStr">
        <is>
          <t>technosphere</t>
        </is>
      </c>
      <c r="G331" t="inlineStr">
        <is>
          <t>inert waste, for final disposal</t>
        </is>
      </c>
      <c r="H331" t="inlineStr">
        <is>
          <t>APPROVED REINFORCED AEC DIAPHRAGM REFERENCE, issue96, 2026-10-18. 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 Replace48.8kgPSU+73kgZrO2 with121.8kgfinisheddryZirfon-typeengineeringmembrane,notcertifiedAgfaUTP500recipe. Preserveoldtotaldrymass asreferenceassumption;actualoldwet/drybasisunknown. Selected500umfinishedthickness,0.5kg/m2dryarealmass implies243.6m2/MW at121.8kg. SupportwovenPPS100umfilaments/200umpitch/twodirections/1.05crimp,rho1350kg/m3 gives0.11133018966158831kgPPS/m2 and0.22266037932317662fractionofdrymembrane. Theseclothgeometryvaluesareexplicitassumptions,notmeasuredPVFmesh. Remainingcoating0.7773396206768234massfractionuses85/15ZrO2/PSU. Finishedfractions={'PPS': 0.22266037932317662, 'ZrO2': 0.6607386775752998, 'PSU': 0.1166009431015235};usingZrO2rho5680,PSU1240andPPS1350,computedporosity=0.6247061350887926consistentwith45-65%referenceinterval. Do notmistake85/15coatingforwholemembrane. Sensitivitysupport10-30wt%,coatingZr75-85wt%,arealmass0.4-0.6kg/m2,thickness450-550um;notallcombinationsarephysicallycompatible. Coating95%retention,mesh100%,1kWh/kgforming/dryingallowance;freshNMP0.2kg/kgretainedcoating assumes4kgcirculationand95%recovery,solventmakeupalltosolventwaste.10kgprocesswater/kgfinishedandgenericWWT;salinity,coagulationkinetics,soluteemissions,membranegasbarrieranddurabilityqualificationgaps remain. Sourcegross121.8kgisnotindependentlyverifiedfor2026plant. MatchedfinishedEOLroutesneworganicPPS/PSUfractiontogenericplasticincinerationandZrO2togenericinertdisposal;old193kgmixedplasticwasteincluded144.2gasket+48.8PSU,replaceonly48.8PSUshare,leavegasketuntilissue100. No phantommetalrecoverycredit;otherstackmetals,lifetime,energy unchanged.</t>
        </is>
      </c>
      <c r="K331" s="12"/>
      <c r="L331" s="12"/>
      <c r="M331" s="12"/>
      <c r="N331" s="12"/>
      <c r="O331" s="12"/>
      <c r="P331" s="12"/>
    </row>
    <row r="332" spans="1:20" s="11" customFormat="1" ht="16" x14ac:dyDescent="0.2">
      <c r="A332" s="8" t="s">
        <v>1</v>
      </c>
      <c r="B332" s="9" t="s">
        <v>138</v>
      </c>
      <c r="K332" s="24"/>
      <c r="L332" s="25"/>
      <c r="M332" s="12"/>
      <c r="N332" s="12"/>
      <c r="O332" s="12"/>
      <c r="P332" s="12"/>
    </row>
    <row r="333" spans="1:20" s="11" customFormat="1" ht="16" x14ac:dyDescent="0.2">
      <c r="A333" s="13" t="s">
        <v>3</v>
      </c>
      <c r="B333" s="14">
        <v>1</v>
      </c>
      <c r="K333" s="26"/>
      <c r="L333" s="25"/>
      <c r="M333" s="12"/>
      <c r="N333" s="12"/>
      <c r="O333" s="12"/>
      <c r="P333" s="12"/>
    </row>
    <row r="334" spans="1:20" s="11" customFormat="1" ht="16" x14ac:dyDescent="0.2">
      <c r="A334" s="13" t="s">
        <v>11</v>
      </c>
      <c r="B334" s="14"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PREVIOUS NOTES (retained as history; the correction above takes precedence):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
PREVIOUS NOTES (retained as history; the correction above takes precedence):
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
PREVIOUS NOTES (retained as history; the correction above takes precedence):
1 MWe Alkaline electrolyzer based on Niklas Gerloff, Comparative Life-Cycle-Assessment analysis of three major water electrolysis technologies while applying various energy scenarios for a greener hydrogen production, Journal of Energy Storage, Volume 43, 2021, https://doi.org/10.1016/j.est.2021.102759. Single stack lifetime of 7-8 years @ 8000 hours/year, hence 3 replacements over 20 years. Produced amount of H2 over 20 years: 3085961.12 kg. The technology is available for large plant sizes and operates with a stack efficiency of up to 67 % (based on the lower heating value (LHV) of the generated H2). The operating temperature is in between 60–80 °C, and the current density is around 0.2–0.4 A/cm2. Moreover, the system energy –including the stack and periphery energy– is in the range of 4.4–6.6 kWh/m3H2, while the gas purity is higher than 99.5%, and the operating pressure is below 30 bar. While the LCI data of the BoP components either originate from Zhang et al., based on a 300-kW system and, therefore, scaled-up to 1 MW by a factor of 0.7, the LCI data of the other BoP components originate from manufacturer offers or have been estimated by own calculations using additional information by the producers.</t>
        </is>
      </c>
      <c r="K334" s="12"/>
      <c r="L334" s="25"/>
      <c r="M334" s="12"/>
      <c r="N334" s="12"/>
      <c r="O334" s="12"/>
      <c r="P334" s="12"/>
    </row>
    <row r="335" spans="1:20" s="11" customFormat="1" ht="16" x14ac:dyDescent="0.2">
      <c r="A335" s="13" t="s">
        <v>4</v>
      </c>
      <c r="B335" s="16" t="s">
        <v>124</v>
      </c>
      <c r="K335" s="12"/>
      <c r="L335" s="12"/>
      <c r="M335" s="12"/>
      <c r="N335" s="12"/>
      <c r="O335" s="12"/>
      <c r="P335" s="12"/>
    </row>
    <row r="336" spans="1:20" s="11" customFormat="1" ht="16.25" customHeight="1" x14ac:dyDescent="0.2">
      <c r="A336" s="13" t="s">
        <v>2</v>
      </c>
      <c r="B336" s="14" t="s">
        <v>34</v>
      </c>
      <c r="K336" s="12"/>
      <c r="L336" s="12"/>
      <c r="M336" s="12"/>
      <c r="N336" s="12"/>
      <c r="O336" s="12"/>
      <c r="P336" s="12"/>
    </row>
    <row r="337" spans="1:20" s="11" customFormat="1" ht="16" x14ac:dyDescent="0.2">
      <c r="A337" s="13" t="s">
        <v>6</v>
      </c>
      <c r="B337" s="16" t="s">
        <v>6</v>
      </c>
      <c r="H337" s="17"/>
      <c r="I337" s="17"/>
      <c r="K337" s="12"/>
      <c r="L337" s="12"/>
      <c r="M337" s="12"/>
      <c r="N337" s="12"/>
      <c r="O337" s="12"/>
      <c r="P337" s="12"/>
    </row>
    <row r="338" spans="1:20" s="11" customFormat="1" ht="16" x14ac:dyDescent="0.2">
      <c r="A338" s="17" t="s">
        <v>7</v>
      </c>
      <c r="B338" s="9"/>
      <c r="C338" s="17"/>
      <c r="D338" s="17"/>
      <c r="E338" s="17"/>
      <c r="F338" s="17"/>
      <c r="G338" s="17"/>
      <c r="H338" s="10"/>
      <c r="I338" s="10"/>
      <c r="K338" s="12"/>
      <c r="L338" s="12"/>
      <c r="M338" s="12"/>
      <c r="N338" s="12"/>
      <c r="O338" s="12"/>
      <c r="P338" s="12"/>
    </row>
    <row r="339" spans="1:20" s="11" customFormat="1" ht="16" x14ac:dyDescent="0.2">
      <c r="A339" s="17" t="s">
        <v>8</v>
      </c>
      <c r="B339" s="9" t="s">
        <v>9</v>
      </c>
      <c r="C339" s="17" t="s">
        <v>2</v>
      </c>
      <c r="D339" s="17" t="s">
        <v>6</v>
      </c>
      <c r="E339" s="23" t="s">
        <v>10</v>
      </c>
      <c r="F339" s="17" t="s">
        <v>5</v>
      </c>
      <c r="G339" s="17" t="s">
        <v>4</v>
      </c>
      <c r="H339" s="23" t="s">
        <v>11</v>
      </c>
      <c r="I339" s="17"/>
      <c r="J339" s="7"/>
      <c r="K339" s="18"/>
      <c r="L339" s="18"/>
      <c r="M339" s="18"/>
      <c r="N339" s="18"/>
      <c r="O339" s="18"/>
      <c r="P339" s="18"/>
      <c r="Q339" s="7"/>
      <c r="R339" s="7"/>
      <c r="S339" s="17"/>
      <c r="T339" s="7"/>
    </row>
    <row r="340" spans="1:20" s="11" customFormat="1" ht="16" x14ac:dyDescent="0.2">
      <c r="A340" s="16" t="str">
        <f>B332</f>
        <v>electrolyzer production, 1MWe, AEC, Balance of Plant</v>
      </c>
      <c r="B340" s="16">
        <v>1</v>
      </c>
      <c r="C340" s="11" t="s">
        <v>34</v>
      </c>
      <c r="D340" s="11" t="s">
        <v>6</v>
      </c>
      <c r="F340" s="11" t="s">
        <v>16</v>
      </c>
      <c r="G340" s="16" t="str">
        <f>B335</f>
        <v>electrolyzer, 1MWe, AEC, Balance of Plant</v>
      </c>
      <c r="H340" s="10"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I340" s="10"/>
      <c r="J340" s="10"/>
      <c r="K340" s="12"/>
      <c r="L340" s="12"/>
      <c r="M340" s="12"/>
      <c r="N340" s="12"/>
      <c r="O340" s="12"/>
      <c r="P340" s="12"/>
    </row>
    <row r="341" spans="1:20" s="11" customFormat="1" ht="16" x14ac:dyDescent="0.2">
      <c r="A341" s="11" t="inlineStr">
        <is>
          <t xml:space="preserve">power conversion system production, electrolysis, transformer and rectifier, 1 MW</t>
        </is>
      </c>
      <c r="B341" s="16">
        <v>1</v>
      </c>
      <c r="C341" s="11" t="inlineStr">
        <is>
          <t>GLO</t>
        </is>
      </c>
      <c r="D341" s="11" t="inlineStr">
        <is>
          <t>unit</t>
        </is>
      </c>
      <c r="F341" s="11" t="s">
        <v>12</v>
      </c>
      <c r="G341" s="11" t="inlineStr">
        <is>
          <t xml:space="preserve">power conversion system, electrolysis, transformer and rectifier, 1 MW</t>
        </is>
      </c>
      <c r="H341" s="27"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c r="J341"/>
      <c r="K341" s="19"/>
      <c r="L341" s="19"/>
      <c r="M341" s="19"/>
      <c r="N341" s="19"/>
      <c r="O341" s="19"/>
      <c r="P341" s="19"/>
      <c r="Q341"/>
      <c r="R341"/>
    </row>
    <row r="342" spans="1:20" s="11" customFormat="1" ht="16" x14ac:dyDescent="0.2">
      <c r="A342" s="11"/>
      <c r="B342" s="16"/>
      <c r="C342" s="11"/>
      <c r="D342" s="11"/>
      <c r="F342" s="11"/>
      <c r="G342" s="11"/>
      <c r="H342" s="27"/>
      <c r="J342"/>
      <c r="K342" s="19"/>
      <c r="L342" s="19"/>
      <c r="M342" s="19"/>
      <c r="N342" s="19"/>
      <c r="O342" s="19"/>
      <c r="P342" s="19"/>
      <c r="Q342"/>
      <c r="R342"/>
    </row>
    <row r="343" spans="1:20" s="11" customFormat="1" ht="16" x14ac:dyDescent="0.2">
      <c r="A343" s="11"/>
      <c r="B343" s="16"/>
      <c r="C343" s="11"/>
      <c r="D343" s="11"/>
      <c r="F343" s="11"/>
      <c r="G343" s="11"/>
      <c r="H343" s="27"/>
      <c r="J343"/>
      <c r="K343" s="19"/>
      <c r="L343" s="19"/>
      <c r="M343" s="19"/>
      <c r="N343" s="19"/>
      <c r="O343" s="19"/>
      <c r="P343" s="19"/>
      <c r="Q343"/>
      <c r="R343"/>
    </row>
    <row r="344" spans="1:20" s="11" customFormat="1" ht="16" x14ac:dyDescent="0.2">
      <c r="A344" s="11"/>
      <c r="B344" s="16"/>
      <c r="C344" s="11"/>
      <c r="D344" s="11"/>
      <c r="F344" s="11"/>
      <c r="G344" s="11"/>
      <c r="H344" s="27"/>
      <c r="J344"/>
      <c r="K344" s="19"/>
      <c r="L344" s="19"/>
      <c r="M344" s="19"/>
      <c r="N344" s="19"/>
      <c r="O344" s="19"/>
      <c r="P344" s="19"/>
      <c r="Q344"/>
      <c r="R344"/>
    </row>
    <row r="345" spans="1:20" s="11" customFormat="1" ht="16" x14ac:dyDescent="0.2">
      <c r="A345" s="11"/>
      <c r="B345" s="16"/>
      <c r="C345" s="11"/>
      <c r="D345" s="11"/>
      <c r="F345" s="11"/>
      <c r="G345" s="11"/>
      <c r="H345" s="27"/>
      <c r="J345"/>
      <c r="K345" s="19"/>
      <c r="L345" s="19"/>
      <c r="M345" s="19"/>
      <c r="N345" s="19"/>
      <c r="O345" s="19"/>
      <c r="P345" s="19"/>
      <c r="Q345"/>
      <c r="R345"/>
    </row>
    <row r="346" spans="1:20" s="11" customFormat="1" ht="16" x14ac:dyDescent="0.2">
      <c r="A346" s="11"/>
      <c r="B346" s="16"/>
      <c r="C346" s="11"/>
      <c r="D346" s="11"/>
      <c r="F346" s="11"/>
      <c r="G346" s="11"/>
      <c r="H346" s="27"/>
      <c r="J346"/>
      <c r="K346" s="19"/>
      <c r="L346" s="19"/>
      <c r="M346" s="19"/>
      <c r="N346" s="19"/>
      <c r="O346" s="19"/>
      <c r="P346" s="19"/>
      <c r="Q346"/>
      <c r="R346"/>
    </row>
    <row r="347" spans="1:20" s="11" customFormat="1" ht="16" x14ac:dyDescent="0.2">
      <c r="A347" s="11"/>
      <c r="B347" s="16"/>
      <c r="C347" s="11"/>
      <c r="D347" s="11"/>
      <c r="F347" s="11"/>
      <c r="G347" s="11"/>
      <c r="H347" s="27"/>
      <c r="J347"/>
      <c r="K347" s="19"/>
      <c r="L347" s="19"/>
      <c r="M347" s="19"/>
      <c r="N347" s="19"/>
      <c r="O347" s="19"/>
      <c r="P347" s="19"/>
      <c r="Q347"/>
      <c r="R347"/>
    </row>
    <row r="348" spans="1:20" s="11" customFormat="1" ht="16" x14ac:dyDescent="0.2">
      <c r="A348" s="11" t="s">
        <v>30</v>
      </c>
      <c r="B348" s="16">
        <v>100</v>
      </c>
      <c r="C348" s="11" t="s">
        <v>17</v>
      </c>
      <c r="D348" s="11" t="s">
        <v>13</v>
      </c>
      <c r="F348" s="11" t="s">
        <v>12</v>
      </c>
      <c r="G348" s="11" t="s">
        <v>29</v>
      </c>
      <c r="H348" s="10" t="inlineStr">
        <is>
          <t>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t>
        </is>
      </c>
      <c r="J348"/>
      <c r="K348" s="19"/>
      <c r="L348" s="19"/>
      <c r="M348" s="19"/>
      <c r="N348" s="19"/>
      <c r="O348" s="19"/>
      <c r="P348" s="19"/>
      <c r="Q348"/>
      <c r="R348"/>
    </row>
    <row r="349" spans="1:20" s="11" customFormat="1" ht="16" x14ac:dyDescent="0.2">
      <c r="A349" s="11" t="s">
        <v>140</v>
      </c>
      <c r="B349" s="16">
        <v>464.6</v>
      </c>
      <c r="C349" s="11" t="s">
        <v>17</v>
      </c>
      <c r="D349" s="11" t="s">
        <v>13</v>
      </c>
      <c r="F349" s="11" t="s">
        <v>12</v>
      </c>
      <c r="G349" s="11" t="s">
        <v>141</v>
      </c>
      <c r="H349" s="10" t="s">
        <v>142</v>
      </c>
      <c r="J349"/>
      <c r="K349" s="19"/>
      <c r="L349" s="19"/>
      <c r="M349" s="19"/>
      <c r="N349" s="19"/>
      <c r="O349" s="19"/>
      <c r="P349" s="19"/>
      <c r="Q349"/>
      <c r="R349"/>
    </row>
    <row r="350" spans="1:20" s="11" customFormat="1" ht="16" x14ac:dyDescent="0.2">
      <c r="A350" s="11" t="s">
        <v>83</v>
      </c>
      <c r="B350" s="16">
        <v>696.8</v>
      </c>
      <c r="C350" s="11" t="s">
        <v>17</v>
      </c>
      <c r="D350" s="11" t="s">
        <v>13</v>
      </c>
      <c r="F350" s="11" t="s">
        <v>12</v>
      </c>
      <c r="G350" s="11" t="s">
        <v>40</v>
      </c>
      <c r="H350" s="10" t="s">
        <v>142</v>
      </c>
      <c r="J350"/>
      <c r="K350" s="19"/>
      <c r="L350" s="19"/>
      <c r="M350" s="19"/>
      <c r="N350" s="19"/>
      <c r="O350" s="19"/>
      <c r="P350" s="19"/>
      <c r="Q350"/>
      <c r="R350"/>
    </row>
    <row r="351" spans="1:20" s="11" customFormat="1" ht="16" x14ac:dyDescent="0.2">
      <c r="A351" s="11" t="s">
        <v>84</v>
      </c>
      <c r="B351" s="16">
        <v>696.8</v>
      </c>
      <c r="C351" s="11" t="s">
        <v>17</v>
      </c>
      <c r="D351" s="11" t="s">
        <v>13</v>
      </c>
      <c r="F351" s="11" t="s">
        <v>12</v>
      </c>
      <c r="G351" s="11" t="s">
        <v>42</v>
      </c>
      <c r="H351" s="10" t="s">
        <v>142</v>
      </c>
      <c r="J351"/>
      <c r="K351" s="19"/>
      <c r="L351" s="19"/>
      <c r="M351" s="19"/>
      <c r="N351" s="19"/>
      <c r="O351" s="19"/>
      <c r="P351" s="19"/>
      <c r="Q351"/>
      <c r="R351"/>
    </row>
    <row r="352" spans="1:20" s="11" customFormat="1" ht="16" x14ac:dyDescent="0.2">
      <c r="A352" s="11" t="s">
        <v>73</v>
      </c>
      <c r="B352" s="16">
        <v>232.3</v>
      </c>
      <c r="C352" s="11" t="s">
        <v>17</v>
      </c>
      <c r="D352" s="11" t="s">
        <v>13</v>
      </c>
      <c r="F352" s="11" t="s">
        <v>12</v>
      </c>
      <c r="G352" s="11" t="s">
        <v>74</v>
      </c>
      <c r="H352" s="10" t="s">
        <v>142</v>
      </c>
      <c r="J352"/>
      <c r="K352" s="19"/>
      <c r="L352" s="19"/>
      <c r="M352" s="19"/>
      <c r="N352" s="19"/>
      <c r="O352" s="19"/>
      <c r="P352" s="19"/>
      <c r="Q352"/>
      <c r="R352"/>
    </row>
    <row r="353" spans="1:18" s="11" customFormat="1" ht="16" x14ac:dyDescent="0.2">
      <c r="A353" s="11" t="s">
        <v>20</v>
      </c>
      <c r="B353" s="16">
        <v>232.3</v>
      </c>
      <c r="C353" s="11" t="s">
        <v>17</v>
      </c>
      <c r="D353" s="11" t="s">
        <v>13</v>
      </c>
      <c r="F353" s="11" t="s">
        <v>12</v>
      </c>
      <c r="G353" s="11" t="s">
        <v>15</v>
      </c>
      <c r="H353" s="10" t="s">
        <v>142</v>
      </c>
      <c r="J353"/>
      <c r="K353" s="19"/>
      <c r="L353" s="19"/>
      <c r="M353" s="19"/>
      <c r="N353" s="19"/>
      <c r="O353" s="19"/>
      <c r="P353" s="19"/>
      <c r="Q353"/>
      <c r="R353"/>
    </row>
    <row r="354" spans="1:18" s="11" customFormat="1" ht="16" x14ac:dyDescent="0.2">
      <c r="A354" s="11" t="s">
        <v>103</v>
      </c>
      <c r="B354" s="16">
        <v>464.6</v>
      </c>
      <c r="C354" s="11" t="s">
        <v>34</v>
      </c>
      <c r="D354" s="11" t="s">
        <v>13</v>
      </c>
      <c r="F354" s="11" t="s">
        <v>12</v>
      </c>
      <c r="G354" s="11" t="s">
        <v>103</v>
      </c>
      <c r="H354" s="10" t="s">
        <v>104</v>
      </c>
      <c r="J354"/>
      <c r="K354" s="19"/>
      <c r="L354" s="19"/>
      <c r="M354" s="19"/>
      <c r="N354" s="19"/>
      <c r="O354" s="19"/>
      <c r="P354" s="19"/>
      <c r="Q354"/>
      <c r="R354"/>
    </row>
    <row r="355" spans="1:18" s="11" customFormat="1" ht="16" x14ac:dyDescent="0.2">
      <c r="A355" s="11" t="s">
        <v>105</v>
      </c>
      <c r="B355" s="16">
        <v>464.6</v>
      </c>
      <c r="C355" s="11" t="s">
        <v>17</v>
      </c>
      <c r="D355" s="11" t="s">
        <v>13</v>
      </c>
      <c r="F355" s="11" t="s">
        <v>12</v>
      </c>
      <c r="G355" s="11" t="s">
        <v>106</v>
      </c>
      <c r="H355" s="10" t="s">
        <v>104</v>
      </c>
      <c r="J355"/>
      <c r="K355" s="19"/>
      <c r="L355" s="19"/>
      <c r="M355" s="19"/>
      <c r="N355" s="19"/>
      <c r="O355" s="19"/>
      <c r="P355" s="19"/>
      <c r="Q355"/>
      <c r="R355"/>
    </row>
    <row r="356" spans="1:18" s="11" customFormat="1" ht="16" x14ac:dyDescent="0.2">
      <c r="A356" s="11" t="s">
        <v>83</v>
      </c>
      <c r="B356" s="16">
        <v>232.3</v>
      </c>
      <c r="C356" s="11" t="s">
        <v>17</v>
      </c>
      <c r="D356" s="11" t="s">
        <v>13</v>
      </c>
      <c r="F356" s="11" t="s">
        <v>12</v>
      </c>
      <c r="G356" s="11" t="s">
        <v>40</v>
      </c>
      <c r="H356" s="10" t="s">
        <v>104</v>
      </c>
      <c r="J356"/>
      <c r="K356" s="19"/>
      <c r="L356" s="19"/>
      <c r="M356" s="19"/>
      <c r="N356" s="19"/>
      <c r="O356" s="19"/>
      <c r="P356" s="19"/>
      <c r="Q356"/>
      <c r="R356"/>
    </row>
    <row r="357" spans="1:18" s="11" customFormat="1" ht="16" x14ac:dyDescent="0.2">
      <c r="A357" s="11" t="s">
        <v>84</v>
      </c>
      <c r="B357" s="16">
        <v>232.3</v>
      </c>
      <c r="C357" s="11" t="s">
        <v>17</v>
      </c>
      <c r="D357" s="11" t="s">
        <v>13</v>
      </c>
      <c r="F357" s="11" t="s">
        <v>12</v>
      </c>
      <c r="G357" s="11" t="s">
        <v>42</v>
      </c>
      <c r="H357" s="10" t="s">
        <v>104</v>
      </c>
      <c r="J357"/>
      <c r="K357" s="19"/>
      <c r="L357" s="19"/>
      <c r="M357" s="19"/>
      <c r="N357" s="19"/>
      <c r="O357" s="19"/>
      <c r="P357" s="19"/>
      <c r="Q357"/>
      <c r="R357"/>
    </row>
    <row r="358" spans="1:18" s="11" customFormat="1" ht="16" x14ac:dyDescent="0.2">
      <c r="A358" s="11" t="inlineStr">
        <is>
          <t xml:space="preserve">motor drive assembly production, electrolysis, AEC</t>
        </is>
      </c>
      <c r="B358" s="16">
        <v>1</v>
      </c>
      <c r="C358" s="11" t="inlineStr">
        <is>
          <t>GLO</t>
        </is>
      </c>
      <c r="D358" s="11" t="inlineStr">
        <is>
          <t>unit</t>
        </is>
      </c>
      <c r="F358" s="11" t="inlineStr">
        <is>
          <t>technosphere</t>
        </is>
      </c>
      <c r="G358" s="11" t="inlineStr">
        <is>
          <t xml:space="preserve">motor drive assembly, electrolysis, AEC</t>
        </is>
      </c>
      <c r="H358" s="10"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358"/>
      <c r="K358" s="19"/>
      <c r="L358" s="19"/>
      <c r="M358" s="19"/>
      <c r="N358" s="19"/>
      <c r="O358" s="19"/>
      <c r="P358" s="19"/>
      <c r="Q358"/>
      <c r="R358"/>
    </row>
    <row r="359" spans="1:18" s="11" customFormat="1" ht="16" x14ac:dyDescent="0.2">
      <c r="A359" s="11"/>
      <c r="B359" s="16"/>
      <c r="C359" s="11"/>
      <c r="D359" s="11"/>
      <c r="F359" s="11"/>
      <c r="G359" s="11"/>
      <c r="H359" s="10"/>
      <c r="J359"/>
      <c r="K359" s="19"/>
      <c r="L359" s="19"/>
      <c r="M359" s="19"/>
      <c r="N359" s="19"/>
      <c r="O359" s="19"/>
      <c r="P359" s="19"/>
      <c r="Q359"/>
      <c r="R359"/>
    </row>
    <row r="360" spans="1:18" s="11" customFormat="1" ht="16" x14ac:dyDescent="0.2">
      <c r="A360" s="11"/>
      <c r="B360" s="16"/>
      <c r="C360" s="11"/>
      <c r="D360" s="11"/>
      <c r="F360" s="11"/>
      <c r="G360" s="11"/>
      <c r="H360" s="10"/>
      <c r="J360"/>
      <c r="K360" s="19"/>
      <c r="L360" s="19"/>
      <c r="M360" s="19"/>
      <c r="N360" s="19"/>
      <c r="O360" s="19"/>
      <c r="P360" s="19"/>
      <c r="Q360"/>
      <c r="R360"/>
    </row>
    <row r="361" spans="1:18" s="11" customFormat="1" ht="16" x14ac:dyDescent="0.2">
      <c r="A361" s="11"/>
      <c r="B361" s="16"/>
      <c r="C361" s="11"/>
      <c r="D361" s="11"/>
      <c r="F361" s="11"/>
      <c r="G361" s="11"/>
      <c r="H361" s="10"/>
      <c r="J361"/>
      <c r="K361" s="19"/>
      <c r="L361" s="19"/>
      <c r="M361" s="19"/>
      <c r="N361" s="19"/>
      <c r="O361" s="19"/>
      <c r="P361" s="19"/>
      <c r="Q361"/>
      <c r="R361"/>
    </row>
    <row r="362" spans="1:18" s="11" customFormat="1" ht="16" x14ac:dyDescent="0.2">
      <c r="A362" s="11"/>
      <c r="B362" s="16"/>
      <c r="C362" s="11"/>
      <c r="D362" s="11"/>
      <c r="F362" s="11"/>
      <c r="G362" s="11"/>
      <c r="H362" s="10"/>
      <c r="J362"/>
      <c r="K362" s="19"/>
      <c r="L362" s="19"/>
      <c r="M362" s="19"/>
      <c r="N362" s="19"/>
      <c r="O362" s="19"/>
      <c r="P362" s="19"/>
      <c r="Q362"/>
      <c r="R362"/>
    </row>
    <row r="363" spans="1:18" s="11" customFormat="1" ht="16" x14ac:dyDescent="0.2">
      <c r="A363" s="11" t="s">
        <v>108</v>
      </c>
      <c r="B363" s="16">
        <v>600</v>
      </c>
      <c r="C363" s="11" t="s">
        <v>17</v>
      </c>
      <c r="D363" s="11" t="s">
        <v>13</v>
      </c>
      <c r="F363" s="11" t="s">
        <v>12</v>
      </c>
      <c r="G363" s="11" t="s">
        <v>109</v>
      </c>
      <c r="H363" s="10" t="s">
        <v>110</v>
      </c>
      <c r="J363"/>
      <c r="K363" s="19"/>
      <c r="L363" s="19"/>
      <c r="M363" s="19"/>
      <c r="N363" s="19"/>
      <c r="O363" s="19"/>
      <c r="P363" s="19"/>
      <c r="Q363"/>
      <c r="R363"/>
    </row>
    <row r="364" spans="1:18" s="11" customFormat="1" ht="16" x14ac:dyDescent="0.2">
      <c r="A364" s="11" t="s">
        <v>111</v>
      </c>
      <c r="B364" s="16">
        <v>7</v>
      </c>
      <c r="C364" s="11" t="s">
        <v>17</v>
      </c>
      <c r="D364" s="11" t="s">
        <v>13</v>
      </c>
      <c r="F364" s="11" t="s">
        <v>12</v>
      </c>
      <c r="G364" s="11" t="s">
        <v>112</v>
      </c>
      <c r="H364" s="10" t="s">
        <v>110</v>
      </c>
      <c r="J364"/>
      <c r="K364" s="19"/>
      <c r="L364" s="19"/>
      <c r="M364" s="19"/>
      <c r="N364" s="19"/>
      <c r="O364" s="19"/>
      <c r="P364" s="19"/>
      <c r="Q364"/>
      <c r="R364"/>
    </row>
    <row r="365" spans="1:18" s="11" customFormat="1" ht="16" x14ac:dyDescent="0.2">
      <c r="A365" s="11" t="s">
        <v>83</v>
      </c>
      <c r="B365" s="16">
        <v>1300</v>
      </c>
      <c r="C365" s="11" t="s">
        <v>17</v>
      </c>
      <c r="D365" s="11" t="s">
        <v>13</v>
      </c>
      <c r="F365" s="11" t="s">
        <v>12</v>
      </c>
      <c r="G365" s="11" t="s">
        <v>40</v>
      </c>
      <c r="H365" s="10" t="s">
        <v>110</v>
      </c>
      <c r="J365"/>
      <c r="K365" s="19"/>
      <c r="L365" s="19"/>
      <c r="M365" s="19"/>
      <c r="N365" s="19"/>
      <c r="O365" s="19"/>
      <c r="P365" s="19"/>
      <c r="Q365"/>
      <c r="R365"/>
    </row>
    <row r="366" spans="1:18" s="11" customFormat="1" ht="16" x14ac:dyDescent="0.2">
      <c r="A366" s="11" t="s">
        <v>73</v>
      </c>
      <c r="B366" s="16">
        <v>405</v>
      </c>
      <c r="C366" s="11" t="s">
        <v>17</v>
      </c>
      <c r="D366" s="11" t="s">
        <v>13</v>
      </c>
      <c r="F366" s="11" t="s">
        <v>12</v>
      </c>
      <c r="G366" s="11" t="s">
        <v>74</v>
      </c>
      <c r="H366" s="10" t="s">
        <v>110</v>
      </c>
      <c r="J366"/>
      <c r="K366" s="19"/>
      <c r="L366" s="19"/>
      <c r="M366" s="19"/>
      <c r="N366" s="19"/>
      <c r="O366" s="19"/>
      <c r="P366" s="19"/>
      <c r="Q366"/>
      <c r="R366"/>
    </row>
    <row r="367" spans="1:18" s="11" customFormat="1" ht="16" x14ac:dyDescent="0.2">
      <c r="A367" s="11" t="s">
        <v>84</v>
      </c>
      <c r="B367" s="16">
        <v>400</v>
      </c>
      <c r="C367" s="11" t="s">
        <v>17</v>
      </c>
      <c r="D367" s="11" t="s">
        <v>13</v>
      </c>
      <c r="F367" s="11" t="s">
        <v>12</v>
      </c>
      <c r="G367" s="11" t="s">
        <v>42</v>
      </c>
      <c r="H367" s="10" t="s">
        <v>110</v>
      </c>
      <c r="J367"/>
      <c r="K367" s="19"/>
      <c r="L367" s="19"/>
      <c r="M367" s="19"/>
      <c r="N367" s="19"/>
      <c r="O367" s="19"/>
      <c r="P367" s="19"/>
      <c r="Q367"/>
      <c r="R367"/>
    </row>
    <row r="368" spans="1:18" s="11" customFormat="1" ht="16" x14ac:dyDescent="0.2">
      <c r="A368" s="11" t="s">
        <v>20</v>
      </c>
      <c r="B368" s="16">
        <v>405</v>
      </c>
      <c r="C368" s="11" t="s">
        <v>17</v>
      </c>
      <c r="D368" s="11" t="s">
        <v>13</v>
      </c>
      <c r="F368" s="11" t="s">
        <v>12</v>
      </c>
      <c r="G368" s="11" t="s">
        <v>15</v>
      </c>
      <c r="H368" s="10" t="s">
        <v>110</v>
      </c>
      <c r="J368"/>
      <c r="K368" s="19"/>
      <c r="L368" s="19"/>
      <c r="M368" s="19"/>
      <c r="N368" s="19"/>
      <c r="O368" s="19"/>
      <c r="P368" s="19"/>
      <c r="Q368"/>
      <c r="R368"/>
    </row>
    <row r="369" spans="1:18" s="11" customFormat="1" ht="16" x14ac:dyDescent="0.2">
      <c r="A369" s="11" t="s">
        <v>83</v>
      </c>
      <c r="B369" s="16">
        <v>1000</v>
      </c>
      <c r="C369" s="11" t="s">
        <v>17</v>
      </c>
      <c r="D369" s="11" t="s">
        <v>13</v>
      </c>
      <c r="F369" s="11" t="s">
        <v>12</v>
      </c>
      <c r="G369" s="11" t="s">
        <v>40</v>
      </c>
      <c r="H369" s="10" t="s">
        <v>113</v>
      </c>
      <c r="J369"/>
      <c r="K369" s="19"/>
      <c r="L369" s="19"/>
      <c r="M369" s="19"/>
      <c r="N369" s="19"/>
      <c r="O369" s="19"/>
      <c r="P369" s="19"/>
      <c r="Q369"/>
      <c r="R369"/>
    </row>
    <row r="370" spans="1:18" s="11" customFormat="1" ht="16" x14ac:dyDescent="0.2">
      <c r="A370" s="11" t="s">
        <v>73</v>
      </c>
      <c r="B370" s="16">
        <v>1500</v>
      </c>
      <c r="C370" s="11" t="s">
        <v>17</v>
      </c>
      <c r="D370" s="11" t="s">
        <v>13</v>
      </c>
      <c r="F370" s="11" t="s">
        <v>12</v>
      </c>
      <c r="G370" s="11" t="s">
        <v>74</v>
      </c>
      <c r="H370" s="10" t="s">
        <v>113</v>
      </c>
      <c r="J370"/>
      <c r="K370" s="19"/>
      <c r="L370" s="19"/>
      <c r="M370" s="19"/>
      <c r="N370" s="19"/>
      <c r="O370" s="19"/>
      <c r="P370" s="19"/>
      <c r="Q370"/>
      <c r="R370"/>
    </row>
    <row r="371" spans="1:18" s="11" customFormat="1" ht="16" x14ac:dyDescent="0.2">
      <c r="A371" s="11" t="s">
        <v>84</v>
      </c>
      <c r="B371" s="16">
        <v>1000</v>
      </c>
      <c r="C371" s="11" t="s">
        <v>17</v>
      </c>
      <c r="D371" s="11" t="s">
        <v>13</v>
      </c>
      <c r="F371" s="11" t="s">
        <v>12</v>
      </c>
      <c r="G371" s="11" t="s">
        <v>42</v>
      </c>
      <c r="H371" s="10" t="s">
        <v>113</v>
      </c>
      <c r="J371"/>
      <c r="K371" s="19"/>
      <c r="L371" s="19"/>
      <c r="M371" s="19"/>
      <c r="N371" s="19"/>
      <c r="O371" s="19"/>
      <c r="P371" s="19"/>
      <c r="Q371"/>
      <c r="R371"/>
    </row>
    <row r="372" spans="1:18" s="11" customFormat="1" ht="16" x14ac:dyDescent="0.2">
      <c r="A372" s="11" t="s">
        <v>20</v>
      </c>
      <c r="B372" s="16">
        <v>1500</v>
      </c>
      <c r="C372" s="11" t="s">
        <v>17</v>
      </c>
      <c r="D372" s="11" t="s">
        <v>13</v>
      </c>
      <c r="F372" s="11" t="s">
        <v>12</v>
      </c>
      <c r="G372" s="11" t="s">
        <v>15</v>
      </c>
      <c r="H372" s="10" t="s">
        <v>113</v>
      </c>
      <c r="J372"/>
      <c r="K372" s="19"/>
      <c r="L372" s="19"/>
      <c r="M372" s="19"/>
      <c r="N372" s="19"/>
      <c r="O372" s="19"/>
      <c r="P372" s="19"/>
      <c r="Q372"/>
      <c r="R372"/>
    </row>
    <row r="373" spans="1:18" s="11" customFormat="1" ht="16" x14ac:dyDescent="0.2">
      <c r="A373" s="11" t="s">
        <v>73</v>
      </c>
      <c r="B373" s="16">
        <v>511</v>
      </c>
      <c r="C373" s="11" t="s">
        <v>17</v>
      </c>
      <c r="D373" s="11" t="s">
        <v>13</v>
      </c>
      <c r="F373" s="11" t="s">
        <v>12</v>
      </c>
      <c r="G373" s="11" t="s">
        <v>74</v>
      </c>
      <c r="H373" s="10" t="s">
        <v>114</v>
      </c>
      <c r="J373"/>
      <c r="K373" s="19"/>
      <c r="L373" s="19"/>
      <c r="M373" s="19"/>
      <c r="N373" s="19"/>
      <c r="O373" s="19"/>
      <c r="P373" s="19"/>
      <c r="Q373"/>
      <c r="R373"/>
    </row>
    <row r="374" spans="1:18" s="11" customFormat="1" ht="16" x14ac:dyDescent="0.2">
      <c r="A374" s="11" t="s">
        <v>20</v>
      </c>
      <c r="B374" s="16">
        <v>511</v>
      </c>
      <c r="C374" s="11" t="s">
        <v>17</v>
      </c>
      <c r="D374" s="11" t="s">
        <v>13</v>
      </c>
      <c r="F374" s="11" t="s">
        <v>12</v>
      </c>
      <c r="G374" s="11" t="s">
        <v>15</v>
      </c>
      <c r="H374" s="10" t="s">
        <v>114</v>
      </c>
      <c r="J374"/>
      <c r="K374" s="19"/>
      <c r="L374" s="19"/>
      <c r="M374" s="19"/>
      <c r="N374" s="19"/>
      <c r="O374" s="19"/>
      <c r="P374" s="19"/>
      <c r="Q374"/>
      <c r="R374"/>
    </row>
    <row r="375" spans="1:18" s="11" customFormat="1" ht="16" x14ac:dyDescent="0.2">
      <c r="A375" s="11" t="s">
        <v>68</v>
      </c>
      <c r="B375" s="16">
        <v>371.7</v>
      </c>
      <c r="C375" s="11" t="s">
        <v>17</v>
      </c>
      <c r="D375" s="11" t="s">
        <v>13</v>
      </c>
      <c r="F375" s="11" t="s">
        <v>12</v>
      </c>
      <c r="G375" s="11" t="s">
        <v>69</v>
      </c>
      <c r="H375" s="10" t="s">
        <v>143</v>
      </c>
      <c r="J375"/>
      <c r="K375" s="19"/>
      <c r="L375" s="19"/>
      <c r="M375" s="19"/>
      <c r="N375" s="19"/>
      <c r="O375" s="19"/>
      <c r="P375" s="19"/>
      <c r="Q375"/>
      <c r="R375"/>
    </row>
    <row r="376" spans="1:18" s="11" customFormat="1" ht="16" x14ac:dyDescent="0.2">
      <c r="A376" s="11" t="s">
        <v>86</v>
      </c>
      <c r="B376" s="16">
        <v>371.7</v>
      </c>
      <c r="C376" s="11" t="s">
        <v>17</v>
      </c>
      <c r="D376" s="11" t="s">
        <v>13</v>
      </c>
      <c r="F376" s="11" t="s">
        <v>12</v>
      </c>
      <c r="G376" s="11" t="s">
        <v>44</v>
      </c>
      <c r="H376" s="10" t="s">
        <v>143</v>
      </c>
      <c r="J376"/>
      <c r="K376" s="19"/>
      <c r="L376" s="19"/>
      <c r="M376" s="19"/>
      <c r="N376" s="19"/>
      <c r="O376" s="19"/>
      <c r="P376" s="19"/>
      <c r="Q376"/>
      <c r="R376"/>
    </row>
    <row r="377" spans="1:18" s="11" customFormat="1" ht="16" x14ac:dyDescent="0.2">
      <c r="A377" s="11" t="s">
        <v>73</v>
      </c>
      <c r="B377" s="16">
        <v>929.1</v>
      </c>
      <c r="C377" s="11" t="s">
        <v>17</v>
      </c>
      <c r="D377" s="11" t="s">
        <v>13</v>
      </c>
      <c r="F377" s="11" t="s">
        <v>12</v>
      </c>
      <c r="G377" s="11" t="s">
        <v>74</v>
      </c>
      <c r="H377" s="10" t="s">
        <v>143</v>
      </c>
      <c r="J377"/>
      <c r="K377" s="19"/>
      <c r="L377" s="19"/>
      <c r="M377" s="19"/>
      <c r="N377" s="19"/>
      <c r="O377" s="19"/>
      <c r="P377" s="19"/>
      <c r="Q377"/>
      <c r="R377"/>
    </row>
    <row r="378" spans="1:18" s="11" customFormat="1" ht="16" x14ac:dyDescent="0.2">
      <c r="A378" s="11" t="s">
        <v>20</v>
      </c>
      <c r="B378" s="16">
        <v>929.1</v>
      </c>
      <c r="C378" s="11" t="s">
        <v>17</v>
      </c>
      <c r="D378" s="11" t="s">
        <v>13</v>
      </c>
      <c r="F378" s="11" t="s">
        <v>12</v>
      </c>
      <c r="G378" s="11" t="s">
        <v>15</v>
      </c>
      <c r="H378" s="10" t="s">
        <v>143</v>
      </c>
      <c r="J378"/>
      <c r="K378" s="19"/>
      <c r="L378" s="19"/>
      <c r="M378" s="19"/>
      <c r="N378" s="19"/>
      <c r="O378" s="19"/>
      <c r="P378" s="19"/>
      <c r="Q378"/>
      <c r="R378"/>
    </row>
    <row r="379" spans="1:18" s="11" customFormat="1" ht="16" x14ac:dyDescent="0.2">
      <c r="A379" s="11" t="s">
        <v>85</v>
      </c>
      <c r="B379" s="16">
        <v>92.9</v>
      </c>
      <c r="C379" s="11" t="s">
        <v>17</v>
      </c>
      <c r="D379" s="11" t="s">
        <v>13</v>
      </c>
      <c r="F379" s="11" t="s">
        <v>12</v>
      </c>
      <c r="G379" s="11" t="s">
        <v>43</v>
      </c>
      <c r="H379" s="10" t="s">
        <v>143</v>
      </c>
      <c r="J379"/>
      <c r="K379" s="19"/>
      <c r="L379" s="19"/>
      <c r="M379" s="19"/>
      <c r="N379" s="19"/>
      <c r="O379" s="19"/>
      <c r="P379" s="19"/>
      <c r="Q379"/>
      <c r="R379"/>
    </row>
    <row r="380" spans="1:18" s="11" customFormat="1" ht="16" x14ac:dyDescent="0.2">
      <c r="A380" s="11" t="s">
        <v>83</v>
      </c>
      <c r="B380" s="16">
        <v>836.2</v>
      </c>
      <c r="C380" s="11" t="s">
        <v>17</v>
      </c>
      <c r="D380" s="11" t="s">
        <v>13</v>
      </c>
      <c r="F380" s="11" t="s">
        <v>12</v>
      </c>
      <c r="G380" s="11" t="s">
        <v>40</v>
      </c>
      <c r="H380" s="10" t="s">
        <v>144</v>
      </c>
      <c r="J380"/>
      <c r="K380" s="19"/>
      <c r="L380" s="19"/>
      <c r="M380" s="19"/>
      <c r="N380" s="19"/>
      <c r="O380" s="19"/>
      <c r="P380" s="19"/>
      <c r="Q380"/>
      <c r="R380"/>
    </row>
    <row r="381" spans="1:18" s="11" customFormat="1" ht="16" x14ac:dyDescent="0.2">
      <c r="A381" s="11" t="s">
        <v>84</v>
      </c>
      <c r="B381" s="16">
        <v>836.2</v>
      </c>
      <c r="C381" s="11" t="s">
        <v>17</v>
      </c>
      <c r="D381" s="11" t="s">
        <v>13</v>
      </c>
      <c r="F381" s="11" t="s">
        <v>12</v>
      </c>
      <c r="G381" s="11" t="s">
        <v>42</v>
      </c>
      <c r="H381" s="10" t="s">
        <v>144</v>
      </c>
      <c r="J381"/>
      <c r="K381" s="19"/>
      <c r="L381" s="19"/>
      <c r="M381" s="19"/>
      <c r="N381" s="19"/>
      <c r="O381" s="19"/>
      <c r="P381" s="19"/>
      <c r="Q381"/>
      <c r="R381"/>
    </row>
    <row r="382" spans="1:18" s="11" customFormat="1" ht="16" x14ac:dyDescent="0.2">
      <c r="A382" s="11" t="s">
        <v>108</v>
      </c>
      <c r="B382" s="16">
        <v>116.1</v>
      </c>
      <c r="C382" s="11" t="s">
        <v>17</v>
      </c>
      <c r="D382" s="11" t="s">
        <v>13</v>
      </c>
      <c r="F382" s="11" t="s">
        <v>12</v>
      </c>
      <c r="G382" s="11" t="s">
        <v>109</v>
      </c>
      <c r="H382" s="10" t="s">
        <v>145</v>
      </c>
      <c r="J382"/>
      <c r="K382" s="19"/>
      <c r="L382" s="19"/>
      <c r="M382" s="19"/>
      <c r="N382" s="19"/>
      <c r="O382" s="19"/>
      <c r="P382" s="19"/>
      <c r="Q382"/>
      <c r="R382"/>
    </row>
    <row r="383" spans="1:18" s="11" customFormat="1" ht="16" x14ac:dyDescent="0.2">
      <c r="A383" s="11" t="s">
        <v>83</v>
      </c>
      <c r="B383" s="16">
        <v>209.1</v>
      </c>
      <c r="C383" s="11" t="s">
        <v>17</v>
      </c>
      <c r="D383" s="11" t="s">
        <v>13</v>
      </c>
      <c r="F383" s="11" t="s">
        <v>12</v>
      </c>
      <c r="G383" s="11" t="s">
        <v>40</v>
      </c>
      <c r="H383" s="10" t="s">
        <v>145</v>
      </c>
      <c r="J383"/>
      <c r="K383" s="19"/>
      <c r="L383" s="19"/>
      <c r="M383" s="19"/>
      <c r="N383" s="19"/>
      <c r="O383" s="19"/>
      <c r="P383" s="19"/>
      <c r="Q383"/>
      <c r="R383"/>
    </row>
    <row r="384" spans="1:18" s="11" customFormat="1" ht="16" x14ac:dyDescent="0.2">
      <c r="A384" s="11" t="s">
        <v>84</v>
      </c>
      <c r="B384" s="16">
        <v>209.1</v>
      </c>
      <c r="C384" s="11" t="s">
        <v>17</v>
      </c>
      <c r="D384" s="11" t="s">
        <v>13</v>
      </c>
      <c r="F384" s="11" t="s">
        <v>12</v>
      </c>
      <c r="G384" s="11" t="s">
        <v>42</v>
      </c>
      <c r="H384" s="10" t="s">
        <v>145</v>
      </c>
      <c r="J384"/>
      <c r="K384" s="19"/>
      <c r="L384" s="19"/>
      <c r="M384" s="19"/>
      <c r="N384" s="19"/>
      <c r="O384" s="19"/>
      <c r="P384" s="19"/>
      <c r="Q384"/>
      <c r="R384"/>
    </row>
    <row r="385" spans="1:18" s="11" customFormat="1" ht="16" x14ac:dyDescent="0.2">
      <c r="A385" s="11" t="s">
        <v>73</v>
      </c>
      <c r="B385" s="16">
        <v>1161.4000000000001</v>
      </c>
      <c r="C385" s="11" t="s">
        <v>17</v>
      </c>
      <c r="D385" s="11" t="s">
        <v>13</v>
      </c>
      <c r="F385" s="11" t="s">
        <v>12</v>
      </c>
      <c r="G385" s="11" t="s">
        <v>74</v>
      </c>
      <c r="H385" s="10" t="s">
        <v>101</v>
      </c>
      <c r="J385"/>
      <c r="K385" s="19"/>
      <c r="L385" s="19"/>
      <c r="M385" s="19"/>
      <c r="N385" s="19"/>
      <c r="O385" s="19"/>
      <c r="P385" s="19"/>
      <c r="Q385"/>
      <c r="R385"/>
    </row>
    <row r="386" spans="1:18" s="11" customFormat="1" ht="16" x14ac:dyDescent="0.2">
      <c r="A386" s="11" t="s">
        <v>20</v>
      </c>
      <c r="B386" s="16">
        <v>1161.4000000000001</v>
      </c>
      <c r="C386" s="11" t="s">
        <v>17</v>
      </c>
      <c r="D386" s="11" t="s">
        <v>13</v>
      </c>
      <c r="F386" s="11" t="s">
        <v>12</v>
      </c>
      <c r="G386" s="11" t="s">
        <v>15</v>
      </c>
      <c r="H386" s="10" t="s">
        <v>101</v>
      </c>
      <c r="J386"/>
      <c r="K386" s="19"/>
      <c r="L386" s="19"/>
      <c r="M386" s="19"/>
      <c r="N386" s="19"/>
      <c r="O386" s="19"/>
      <c r="P386" s="19"/>
      <c r="Q386"/>
      <c r="R386"/>
    </row>
    <row r="387" spans="1:18" s="11" customFormat="1" ht="16" x14ac:dyDescent="0.2">
      <c r="A387" s="11" t="s">
        <v>83</v>
      </c>
      <c r="B387" s="16">
        <v>80</v>
      </c>
      <c r="C387" s="11" t="s">
        <v>17</v>
      </c>
      <c r="D387" s="11" t="s">
        <v>13</v>
      </c>
      <c r="F387" s="11" t="s">
        <v>12</v>
      </c>
      <c r="G387" s="11" t="s">
        <v>40</v>
      </c>
      <c r="H387" s="10" t="s">
        <v>146</v>
      </c>
      <c r="J387"/>
      <c r="K387" s="19"/>
      <c r="L387" s="19"/>
      <c r="M387" s="19"/>
      <c r="N387" s="19"/>
      <c r="O387" s="19"/>
      <c r="P387" s="19"/>
      <c r="Q387"/>
      <c r="R387"/>
    </row>
    <row r="388" spans="1:18" s="11" customFormat="1" ht="16" x14ac:dyDescent="0.2">
      <c r="A388" s="11" t="s">
        <v>84</v>
      </c>
      <c r="B388" s="16">
        <v>80</v>
      </c>
      <c r="C388" s="11" t="s">
        <v>17</v>
      </c>
      <c r="D388" s="11" t="s">
        <v>13</v>
      </c>
      <c r="F388" s="11" t="s">
        <v>12</v>
      </c>
      <c r="G388" s="11" t="s">
        <v>42</v>
      </c>
      <c r="H388" s="10" t="s">
        <v>146</v>
      </c>
      <c r="J388"/>
      <c r="K388" s="19"/>
      <c r="L388" s="19"/>
      <c r="M388" s="19"/>
      <c r="N388" s="19"/>
      <c r="O388" s="19"/>
      <c r="P388" s="19"/>
      <c r="Q388"/>
      <c r="R388"/>
    </row>
    <row r="389" spans="1:18" s="11" customFormat="1" ht="16" x14ac:dyDescent="0.2">
      <c r="A389" s="11" t="s">
        <v>73</v>
      </c>
      <c r="B389" s="16">
        <v>851</v>
      </c>
      <c r="C389" s="11" t="s">
        <v>17</v>
      </c>
      <c r="D389" s="11" t="s">
        <v>13</v>
      </c>
      <c r="F389" s="11" t="s">
        <v>12</v>
      </c>
      <c r="G389" s="11" t="s">
        <v>74</v>
      </c>
      <c r="H389" s="10" t="s">
        <v>147</v>
      </c>
      <c r="J389"/>
      <c r="K389" s="19"/>
      <c r="L389" s="19"/>
      <c r="M389" s="19"/>
      <c r="N389" s="19"/>
      <c r="O389" s="19"/>
      <c r="P389" s="19"/>
      <c r="Q389"/>
      <c r="R389"/>
    </row>
    <row r="390" spans="1:18" s="11" customFormat="1" ht="16" x14ac:dyDescent="0.2">
      <c r="A390" s="11" t="s">
        <v>20</v>
      </c>
      <c r="B390" s="16">
        <v>851</v>
      </c>
      <c r="C390" s="11" t="s">
        <v>17</v>
      </c>
      <c r="D390" s="11" t="s">
        <v>13</v>
      </c>
      <c r="F390" s="11" t="s">
        <v>12</v>
      </c>
      <c r="G390" s="11" t="s">
        <v>15</v>
      </c>
      <c r="H390" s="10" t="s">
        <v>147</v>
      </c>
      <c r="J390"/>
      <c r="K390" s="19"/>
      <c r="L390" s="19"/>
      <c r="M390" s="19"/>
      <c r="N390" s="19"/>
      <c r="O390" s="19"/>
      <c r="P390" s="19"/>
      <c r="Q390"/>
      <c r="R390"/>
    </row>
    <row r="391" spans="1:18" s="11" customFormat="1" ht="16" x14ac:dyDescent="0.2">
      <c r="A391" s="11" t="s">
        <v>27</v>
      </c>
      <c r="B391" s="16">
        <v>3</v>
      </c>
      <c r="C391" s="11" t="s">
        <v>17</v>
      </c>
      <c r="D391" s="11" t="s">
        <v>13</v>
      </c>
      <c r="F391" s="11" t="s">
        <v>12</v>
      </c>
      <c r="G391" s="11" t="s">
        <v>28</v>
      </c>
      <c r="H391" s="10" t="s">
        <v>148</v>
      </c>
      <c r="J391"/>
      <c r="K391" s="19"/>
      <c r="L391" s="19"/>
      <c r="M391" s="19"/>
      <c r="N391" s="19"/>
      <c r="O391" s="19"/>
      <c r="P391" s="19"/>
      <c r="Q391"/>
      <c r="R391"/>
    </row>
    <row r="392" spans="1:18" s="11" customFormat="1" ht="16" x14ac:dyDescent="0.2">
      <c r="A392" s="11" t="s">
        <v>93</v>
      </c>
      <c r="B392" s="16">
        <v>3</v>
      </c>
      <c r="C392" s="11" t="s">
        <v>17</v>
      </c>
      <c r="D392" s="11" t="s">
        <v>13</v>
      </c>
      <c r="F392" s="11" t="s">
        <v>12</v>
      </c>
      <c r="G392" s="11" t="s">
        <v>94</v>
      </c>
      <c r="H392" s="10" t="s">
        <v>148</v>
      </c>
      <c r="J392"/>
      <c r="K392" s="19"/>
      <c r="L392" s="19"/>
      <c r="M392" s="19"/>
      <c r="N392" s="19"/>
      <c r="O392" s="19"/>
      <c r="P392" s="19"/>
      <c r="Q392"/>
      <c r="R392"/>
    </row>
    <row r="393" spans="1:18" s="11" customFormat="1" ht="16" x14ac:dyDescent="0.2">
      <c r="A393" s="11" t="s">
        <v>73</v>
      </c>
      <c r="B393" s="16">
        <v>1108</v>
      </c>
      <c r="C393" s="11" t="s">
        <v>17</v>
      </c>
      <c r="D393" s="11" t="s">
        <v>13</v>
      </c>
      <c r="F393" s="11" t="s">
        <v>12</v>
      </c>
      <c r="G393" s="11" t="s">
        <v>74</v>
      </c>
      <c r="H393" s="10" t="s">
        <v>149</v>
      </c>
      <c r="J393"/>
      <c r="K393" s="19"/>
      <c r="L393" s="19"/>
      <c r="M393" s="19"/>
      <c r="N393" s="19"/>
      <c r="O393" s="19"/>
      <c r="P393" s="19"/>
      <c r="Q393"/>
      <c r="R393"/>
    </row>
    <row r="394" spans="1:18" s="11" customFormat="1" ht="16" x14ac:dyDescent="0.2">
      <c r="A394" s="11" t="s">
        <v>20</v>
      </c>
      <c r="B394" s="16">
        <v>1108</v>
      </c>
      <c r="C394" s="11" t="s">
        <v>17</v>
      </c>
      <c r="D394" s="11" t="s">
        <v>13</v>
      </c>
      <c r="F394" s="11" t="s">
        <v>12</v>
      </c>
      <c r="G394" s="11" t="s">
        <v>15</v>
      </c>
      <c r="H394" s="10" t="s">
        <v>149</v>
      </c>
      <c r="J394"/>
      <c r="K394" s="19"/>
      <c r="L394" s="19"/>
      <c r="M394" s="19"/>
      <c r="N394" s="19"/>
      <c r="O394" s="19"/>
      <c r="P394" s="19"/>
      <c r="Q394"/>
      <c r="R394"/>
    </row>
    <row r="395" spans="1:18" s="11" customFormat="1" ht="16" x14ac:dyDescent="0.2">
      <c r="A395" s="11" t="s">
        <v>115</v>
      </c>
      <c r="B395" s="16">
        <v>29</v>
      </c>
      <c r="C395" s="11" t="s">
        <v>17</v>
      </c>
      <c r="D395" s="11" t="s">
        <v>116</v>
      </c>
      <c r="F395" s="11" t="s">
        <v>12</v>
      </c>
      <c r="G395" s="11" t="s">
        <v>117</v>
      </c>
      <c r="H395" s="10" t="s">
        <v>114</v>
      </c>
      <c r="J395"/>
      <c r="K395" s="19"/>
      <c r="L395" s="19"/>
      <c r="M395" s="19"/>
      <c r="N395" s="19"/>
      <c r="O395" s="19"/>
      <c r="P395" s="19"/>
      <c r="Q395"/>
      <c r="R395"/>
    </row>
    <row r="396" spans="1:18" s="11" customFormat="1" ht="16" x14ac:dyDescent="0.2">
      <c r="A396" s="11" t="s">
        <v>84</v>
      </c>
      <c r="B396" s="16">
        <v>6075.6</v>
      </c>
      <c r="C396" s="11" t="s">
        <v>17</v>
      </c>
      <c r="D396" s="11" t="s">
        <v>13</v>
      </c>
      <c r="F396" s="11" t="s">
        <v>12</v>
      </c>
      <c r="G396" s="11" t="s">
        <v>42</v>
      </c>
      <c r="H396" s="10" t="s">
        <v>118</v>
      </c>
      <c r="J396"/>
      <c r="K396" s="19"/>
      <c r="L396" s="19"/>
      <c r="M396" s="19"/>
      <c r="N396" s="19"/>
      <c r="O396" s="19"/>
      <c r="P396" s="19"/>
      <c r="Q396"/>
      <c r="R396"/>
    </row>
    <row r="397" spans="1:18" s="11" customFormat="1" ht="15.5" customHeight="1" x14ac:dyDescent="0.2">
      <c r="A397" s="28" t="s">
        <v>25</v>
      </c>
      <c r="B397" s="16">
        <v>6075.6</v>
      </c>
      <c r="C397" s="11" t="s">
        <v>17</v>
      </c>
      <c r="D397" s="11" t="s">
        <v>13</v>
      </c>
      <c r="F397" s="11" t="s">
        <v>12</v>
      </c>
      <c r="G397" s="10" t="s">
        <v>26</v>
      </c>
      <c r="H397" s="10" t="s">
        <v>118</v>
      </c>
      <c r="J397"/>
      <c r="K397" s="19"/>
      <c r="L397" s="19"/>
      <c r="M397" s="19"/>
      <c r="N397" s="19"/>
      <c r="O397" s="19"/>
      <c r="P397" s="19"/>
      <c r="Q397"/>
      <c r="R397"/>
    </row>
    <row r="398" spans="1:18" s="11" customFormat="1" ht="16" x14ac:dyDescent="0.2">
      <c r="A398" s="11" t="s">
        <v>119</v>
      </c>
      <c r="B398" s="29">
        <v>7.7</v>
      </c>
      <c r="C398" s="11" t="s">
        <v>45</v>
      </c>
      <c r="D398" s="10" t="s">
        <v>31</v>
      </c>
      <c r="F398" s="11" t="s">
        <v>12</v>
      </c>
      <c r="G398" s="10" t="s">
        <v>120</v>
      </c>
      <c r="H398" s="10" t="s">
        <v>121</v>
      </c>
      <c r="J398"/>
      <c r="K398" s="19"/>
      <c r="L398" s="19"/>
      <c r="M398" s="19"/>
      <c r="N398" s="19"/>
      <c r="O398" s="19"/>
      <c r="P398" s="19"/>
      <c r="Q398"/>
      <c r="R398"/>
    </row>
    <row r="399" spans="1:18" s="11" customFormat="1" ht="16" x14ac:dyDescent="0.2">
      <c r="A399" s="11" t="s">
        <v>33</v>
      </c>
      <c r="B399" s="16">
        <v>37113.5</v>
      </c>
      <c r="C399" s="11" t="s">
        <v>17</v>
      </c>
      <c r="D399" s="11" t="s">
        <v>35</v>
      </c>
      <c r="F399" s="11" t="s">
        <v>12</v>
      </c>
      <c r="G399" s="10" t="s">
        <v>36</v>
      </c>
      <c r="H399" s="11" t="s">
        <v>79</v>
      </c>
      <c r="J399"/>
      <c r="K399" s="19"/>
      <c r="L399" s="19"/>
      <c r="M399" s="19"/>
      <c r="N399" s="19"/>
      <c r="O399" s="19"/>
      <c r="P399" s="19"/>
      <c r="Q399"/>
      <c r="R399"/>
    </row>
    <row r="400" spans="1:18" s="11" customFormat="1" ht="16" x14ac:dyDescent="0.2">
      <c r="B400" s="16"/>
      <c r="C400" s="10"/>
      <c r="F400" s="10"/>
      <c r="G400" s="10"/>
      <c r="H400" s="10"/>
      <c r="I400" s="10"/>
      <c r="K400" s="12"/>
      <c r="L400" s="12"/>
      <c r="M400" s="12"/>
      <c r="N400" s="12"/>
      <c r="O400" s="12"/>
      <c r="P400" s="12"/>
    </row>
    <row r="401" spans="1:20" s="11" customFormat="1" ht="16" x14ac:dyDescent="0.2">
      <c r="A401" s="8" t="s">
        <v>1</v>
      </c>
      <c r="B401" s="9" t="s">
        <v>510</v>
      </c>
      <c r="K401" s="12"/>
      <c r="L401" s="12"/>
      <c r="M401" s="12"/>
      <c r="N401" s="12"/>
      <c r="O401" s="12"/>
      <c r="P401" s="12"/>
    </row>
    <row r="402" spans="1:20" s="11" customFormat="1" ht="16" x14ac:dyDescent="0.2">
      <c r="A402" s="13" t="s">
        <v>3</v>
      </c>
      <c r="B402" s="14">
        <v>1</v>
      </c>
      <c r="K402" s="12"/>
      <c r="L402" s="12"/>
      <c r="M402" s="12"/>
      <c r="N402" s="12"/>
      <c r="O402" s="12"/>
      <c r="P402" s="12"/>
    </row>
    <row r="403" spans="1:20" s="11" customFormat="1" ht="16" x14ac:dyDescent="0.2">
      <c r="A403" s="13" t="s">
        <v>11</v>
      </c>
      <c r="B403" s="14"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PREVIOUS NOTES (retained as history; the correction above takes precedence):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403" s="12"/>
      <c r="L403" s="12"/>
      <c r="M403" s="12"/>
      <c r="N403" s="12"/>
      <c r="O403" s="12"/>
      <c r="P403" s="12"/>
    </row>
    <row r="404" spans="1:20" s="11" customFormat="1" ht="16" x14ac:dyDescent="0.2">
      <c r="A404" s="13" t="s">
        <v>4</v>
      </c>
      <c r="B404" s="16" t="s">
        <v>511</v>
      </c>
      <c r="K404" s="12"/>
      <c r="L404" s="12"/>
      <c r="M404" s="12"/>
      <c r="N404" s="12"/>
      <c r="O404" s="12"/>
      <c r="P404" s="12"/>
    </row>
    <row r="405" spans="1:20" s="11" customFormat="1" ht="16" x14ac:dyDescent="0.2">
      <c r="A405" s="13" t="s">
        <v>2</v>
      </c>
      <c r="B405" s="14" t="s">
        <v>34</v>
      </c>
      <c r="K405" s="12"/>
      <c r="L405" s="12"/>
      <c r="M405" s="12"/>
      <c r="N405" s="12"/>
      <c r="O405" s="12"/>
      <c r="P405" s="12"/>
    </row>
    <row r="406" spans="1:20" s="11" customFormat="1" ht="16" x14ac:dyDescent="0.2">
      <c r="A406" s="13" t="s">
        <v>6</v>
      </c>
      <c r="B406" s="16" t="s">
        <v>6</v>
      </c>
      <c r="K406" s="12"/>
      <c r="L406" s="12"/>
      <c r="M406" s="12"/>
      <c r="N406" s="12"/>
      <c r="O406" s="12"/>
      <c r="P406" s="12"/>
    </row>
    <row r="407" spans="1:20" s="11" customFormat="1" ht="16" x14ac:dyDescent="0.2">
      <c r="A407" s="17" t="s">
        <v>7</v>
      </c>
      <c r="B407" s="9"/>
      <c r="C407" s="17"/>
      <c r="D407" s="17"/>
      <c r="E407" s="17"/>
      <c r="F407" s="17"/>
      <c r="G407" s="17"/>
      <c r="H407" s="17"/>
      <c r="I407" s="17"/>
      <c r="J407" s="17"/>
      <c r="K407" s="12"/>
      <c r="L407" s="12"/>
      <c r="M407" s="12"/>
      <c r="N407" s="12"/>
      <c r="O407" s="12"/>
      <c r="P407" s="12"/>
    </row>
    <row r="408" spans="1:20" s="11" customFormat="1" ht="16" x14ac:dyDescent="0.2">
      <c r="A408" s="17" t="s">
        <v>8</v>
      </c>
      <c r="B408" s="9" t="s">
        <v>9</v>
      </c>
      <c r="C408" s="17" t="s">
        <v>2</v>
      </c>
      <c r="D408" s="17" t="s">
        <v>6</v>
      </c>
      <c r="E408" s="23" t="s">
        <v>10</v>
      </c>
      <c r="F408" s="17" t="s">
        <v>5</v>
      </c>
      <c r="G408" s="17" t="s">
        <v>4</v>
      </c>
      <c r="H408" s="23" t="s">
        <v>11</v>
      </c>
      <c r="I408" s="17"/>
      <c r="J408" s="7"/>
      <c r="K408" s="18"/>
      <c r="L408" s="18"/>
      <c r="M408" s="18"/>
      <c r="N408" s="18"/>
      <c r="O408" s="18"/>
      <c r="P408" s="18"/>
      <c r="Q408" s="7"/>
      <c r="R408" s="7"/>
      <c r="S408" s="17"/>
      <c r="T408" s="7"/>
    </row>
    <row r="409" spans="1:20" s="11" customFormat="1" ht="16" x14ac:dyDescent="0.2">
      <c r="A409" s="16" t="str">
        <f>B401</f>
        <v>treatment of electrolyzer balance of plant, 1MWe, AEC</v>
      </c>
      <c r="B409" s="12">
        <v>-1</v>
      </c>
      <c r="C409" s="11" t="s">
        <v>34</v>
      </c>
      <c r="D409" s="11" t="str">
        <f>B406</f>
        <v>unit</v>
      </c>
      <c r="F409" s="11" t="s">
        <v>16</v>
      </c>
      <c r="G409" s="11" t="str">
        <f>B404</f>
        <v>used electrolyzer balance of plant, 1MWe, AEC</v>
      </c>
      <c r="H409"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K409" s="12"/>
      <c r="L409" s="12"/>
      <c r="M409" s="12"/>
      <c r="N409" s="12"/>
      <c r="O409" s="12"/>
      <c r="P409" s="12"/>
    </row>
    <row r="410" spans="1:20" s="11" customFormat="1" ht="16" x14ac:dyDescent="0.2">
      <c r="A410" s="16" t="s">
        <v>204</v>
      </c>
      <c r="B410" s="11">
        <v>-12819.5</v>
      </c>
      <c r="C410" s="11" t="s">
        <v>37</v>
      </c>
      <c r="D410" s="11" t="s">
        <v>13</v>
      </c>
      <c r="F410" s="11" t="s">
        <v>12</v>
      </c>
      <c r="G410" s="11" t="s">
        <v>205</v>
      </c>
      <c r="J410"/>
      <c r="K410" s="19"/>
      <c r="L410" s="19"/>
      <c r="M410" s="19"/>
      <c r="N410" s="19"/>
      <c r="O410" s="19"/>
      <c r="P410" s="19"/>
      <c r="Q410"/>
      <c r="R410"/>
    </row>
    <row r="411" spans="1:20" s="11" customFormat="1" ht="16" x14ac:dyDescent="0.2">
      <c r="A411" s="16" t="s">
        <v>449</v>
      </c>
      <c r="B411" s="11">
        <v>-4354.4</v>
      </c>
      <c r="C411" s="11" t="s">
        <v>217</v>
      </c>
      <c r="D411" s="11" t="s">
        <v>13</v>
      </c>
      <c r="F411" s="11" t="s">
        <v>12</v>
      </c>
      <c r="G411" s="16" t="s">
        <v>216</v>
      </c>
      <c r="H411"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411"/>
      <c r="K411" s="19"/>
      <c r="L411" s="19"/>
      <c r="M411" s="19"/>
      <c r="N411" s="19"/>
      <c r="O411" s="19"/>
      <c r="P411" s="19"/>
      <c r="Q411"/>
      <c r="R411"/>
    </row>
    <row r="412" spans="1:20" s="11" customFormat="1" ht="16" x14ac:dyDescent="0.2">
      <c r="A412" s="11" t="s">
        <v>206</v>
      </c>
      <c r="B412" s="11">
        <v>0</v>
      </c>
      <c r="C412" s="11" t="s">
        <v>37</v>
      </c>
      <c r="D412" s="11" t="s">
        <v>13</v>
      </c>
      <c r="F412" s="11" t="s">
        <v>12</v>
      </c>
      <c r="G412" s="11" t="s">
        <v>207</v>
      </c>
      <c r="H412"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412"/>
      <c r="K412" s="19"/>
      <c r="L412" s="19"/>
      <c r="M412" s="19"/>
      <c r="N412" s="19"/>
      <c r="O412" s="19"/>
      <c r="P412" s="19"/>
      <c r="Q412"/>
      <c r="R412"/>
    </row>
    <row r="413" spans="1:20" s="11" customFormat="1" ht="16" x14ac:dyDescent="0.2">
      <c r="A413" s="11" t="s">
        <v>226</v>
      </c>
      <c r="B413" s="11">
        <v>-32</v>
      </c>
      <c r="C413" s="11" t="s">
        <v>217</v>
      </c>
      <c r="D413" s="11" t="s">
        <v>13</v>
      </c>
      <c r="F413" s="11" t="s">
        <v>12</v>
      </c>
      <c r="G413" s="11" t="s">
        <v>227</v>
      </c>
      <c r="J413"/>
      <c r="K413" s="19"/>
      <c r="L413" s="19"/>
      <c r="M413" s="19"/>
      <c r="N413" s="19"/>
      <c r="O413" s="19"/>
      <c r="P413" s="19"/>
      <c r="Q413"/>
      <c r="R413"/>
    </row>
    <row r="414" spans="1:20" s="11" customFormat="1" ht="16" x14ac:dyDescent="0.2">
      <c r="A414" s="11" t="s">
        <v>218</v>
      </c>
      <c r="B414" s="11">
        <v>-14</v>
      </c>
      <c r="C414" s="11" t="s">
        <v>217</v>
      </c>
      <c r="D414" s="11" t="s">
        <v>13</v>
      </c>
      <c r="F414" s="11" t="s">
        <v>12</v>
      </c>
      <c r="G414" s="11" t="s">
        <v>450</v>
      </c>
      <c r="J414"/>
      <c r="K414" s="19"/>
      <c r="L414" s="19"/>
      <c r="M414" s="19"/>
      <c r="N414" s="19"/>
      <c r="O414" s="19"/>
      <c r="P414" s="19"/>
      <c r="Q414"/>
      <c r="R414"/>
    </row>
    <row r="415" spans="1:20" s="11" customFormat="1" ht="16" x14ac:dyDescent="0.2">
      <c r="A415" s="11" t="s">
        <v>219</v>
      </c>
      <c r="B415" s="11">
        <v>-800</v>
      </c>
      <c r="C415" s="11" t="s">
        <v>17</v>
      </c>
      <c r="D415" s="11" t="s">
        <v>13</v>
      </c>
      <c r="F415" s="11" t="s">
        <v>12</v>
      </c>
      <c r="G415" s="11" t="s">
        <v>220</v>
      </c>
      <c r="J415"/>
      <c r="K415" s="19"/>
      <c r="L415" s="19"/>
      <c r="M415" s="19"/>
      <c r="N415" s="19"/>
      <c r="O415" s="19"/>
      <c r="P415" s="19"/>
      <c r="Q415"/>
      <c r="R415"/>
    </row>
    <row r="416" spans="1:20" s="11" customFormat="1" ht="16" x14ac:dyDescent="0.2">
      <c r="A416" s="11" t="s">
        <v>221</v>
      </c>
      <c r="B416" s="11">
        <v>-468</v>
      </c>
      <c r="C416" s="11" t="s">
        <v>37</v>
      </c>
      <c r="D416" s="11" t="s">
        <v>13</v>
      </c>
      <c r="F416" s="11" t="s">
        <v>12</v>
      </c>
      <c r="G416" s="11" t="s">
        <v>452</v>
      </c>
      <c r="J416"/>
      <c r="K416" s="19"/>
      <c r="L416" s="19"/>
      <c r="M416" s="19"/>
      <c r="N416" s="19"/>
      <c r="O416" s="19"/>
      <c r="P416" s="19"/>
      <c r="Q416"/>
      <c r="R416"/>
    </row>
    <row r="417" spans="1:21" s="11" customFormat="1" ht="16" x14ac:dyDescent="0.2">
      <c r="A417" s="11" t="s">
        <v>451</v>
      </c>
      <c r="B417" s="11">
        <v>-716</v>
      </c>
      <c r="C417" s="11" t="s">
        <v>37</v>
      </c>
      <c r="D417" s="11" t="s">
        <v>13</v>
      </c>
      <c r="F417" s="11" t="s">
        <v>12</v>
      </c>
      <c r="G417" s="11" t="s">
        <v>222</v>
      </c>
      <c r="J417"/>
      <c r="K417" s="19"/>
      <c r="L417" s="19"/>
      <c r="M417" s="19"/>
      <c r="N417" s="19"/>
      <c r="O417" s="19"/>
      <c r="P417" s="19"/>
      <c r="Q417"/>
      <c r="R417"/>
    </row>
    <row r="418" spans="1:21" s="11" customFormat="1" ht="16" x14ac:dyDescent="0.2">
      <c r="A418" s="11" t="s">
        <v>208</v>
      </c>
      <c r="B418" s="11">
        <v>-372</v>
      </c>
      <c r="C418" s="11" t="s">
        <v>37</v>
      </c>
      <c r="D418" s="11" t="s">
        <v>13</v>
      </c>
      <c r="F418" s="11" t="s">
        <v>12</v>
      </c>
      <c r="G418" s="11" t="s">
        <v>209</v>
      </c>
      <c r="H418"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418"/>
      <c r="K418" s="19"/>
      <c r="L418" s="19"/>
      <c r="M418" s="19"/>
      <c r="N418" s="19"/>
      <c r="O418" s="19"/>
      <c r="P418" s="19"/>
      <c r="Q418"/>
      <c r="R418"/>
    </row>
    <row r="419" spans="1:21" s="11" customFormat="1" ht="16" x14ac:dyDescent="0.2">
      <c r="A419" s="11" t="s">
        <v>210</v>
      </c>
      <c r="B419" s="11">
        <v>-93</v>
      </c>
      <c r="C419" s="11" t="s">
        <v>212</v>
      </c>
      <c r="D419" s="11" t="s">
        <v>13</v>
      </c>
      <c r="F419" s="11" t="s">
        <v>12</v>
      </c>
      <c r="G419" s="11" t="s">
        <v>211</v>
      </c>
      <c r="H419"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419"/>
      <c r="K419" s="19"/>
      <c r="L419" s="19"/>
      <c r="M419" s="19"/>
      <c r="N419" s="19"/>
      <c r="O419" s="19"/>
      <c r="P419" s="19"/>
      <c r="Q419"/>
      <c r="R419"/>
    </row>
    <row r="420" spans="1:21" s="11" customFormat="1" ht="16" x14ac:dyDescent="0.2">
      <c r="A420" s="11" t="s">
        <v>448</v>
      </c>
      <c r="B420" s="11">
        <v>-18519</v>
      </c>
      <c r="C420" s="11" t="s">
        <v>37</v>
      </c>
      <c r="D420" s="11" t="s">
        <v>13</v>
      </c>
      <c r="F420" s="11" t="s">
        <v>12</v>
      </c>
      <c r="G420" s="11" t="s">
        <v>223</v>
      </c>
      <c r="J420"/>
      <c r="K420" s="19"/>
      <c r="L420" s="19"/>
      <c r="M420" s="19"/>
      <c r="N420" s="19"/>
      <c r="O420" s="19"/>
      <c r="P420" s="19"/>
      <c r="Q420"/>
      <c r="R420"/>
    </row>
    <row r="421" spans="1:21" s="11" customFormat="1" ht="16" x14ac:dyDescent="0.2">
      <c r="A421" t="inlineStr">
        <is>
          <t xml:space="preserve">treatment of used power conversion system and motor drives, electrolysis, AEC</t>
        </is>
      </c>
      <c r="B421" s="16">
        <v>-1</v>
      </c>
      <c r="C421" t="inlineStr">
        <is>
          <t>GLO</t>
        </is>
      </c>
      <c r="D421" t="inlineStr">
        <is>
          <t>unit</t>
        </is>
      </c>
      <c r="F421" t="inlineStr">
        <is>
          <t>technosphere</t>
        </is>
      </c>
      <c r="G421" t="inlineStr">
        <is>
          <t xml:space="preserve">used power conversion system and motor drives, electrolysis, AEC</t>
        </is>
      </c>
      <c r="H421"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K421" s="12"/>
      <c r="L421" s="12"/>
      <c r="M421" s="12"/>
      <c r="N421" s="12"/>
      <c r="O421" s="12"/>
      <c r="P421" s="12"/>
    </row>
    <row r="422" spans="1:21" s="11" customFormat="1" ht="16" x14ac:dyDescent="0.2">
      <c r="A422" s="8" t="s">
        <v>1</v>
      </c>
      <c r="B422" s="9" t="s">
        <v>441</v>
      </c>
      <c r="C422" s="10"/>
      <c r="K422" s="12"/>
      <c r="L422" s="12"/>
      <c r="M422" s="12"/>
      <c r="N422" s="12"/>
      <c r="O422" s="12"/>
      <c r="P422" s="12"/>
    </row>
    <row r="423" spans="1:21" s="11" customFormat="1" ht="16" x14ac:dyDescent="0.2">
      <c r="A423" s="13" t="s">
        <v>3</v>
      </c>
      <c r="B423" s="14">
        <v>1</v>
      </c>
      <c r="K423" s="12"/>
      <c r="L423" s="12"/>
      <c r="M423" s="12"/>
      <c r="N423" s="12"/>
      <c r="O423" s="12"/>
      <c r="P423" s="12"/>
    </row>
    <row r="424" spans="1:21" s="11" customFormat="1" ht="16" x14ac:dyDescent="0.2">
      <c r="A424" s="13" t="s">
        <v>11</v>
      </c>
      <c r="B424" s="14" t="s">
        <v>437</v>
      </c>
      <c r="K424" s="12"/>
      <c r="L424" s="12"/>
      <c r="M424" s="12"/>
      <c r="N424" s="12"/>
      <c r="O424" s="12"/>
      <c r="P424" s="12"/>
    </row>
    <row r="425" spans="1:21" s="11" customFormat="1" ht="16" x14ac:dyDescent="0.2">
      <c r="A425" s="13" t="s">
        <v>4</v>
      </c>
      <c r="B425" s="15" t="s">
        <v>442</v>
      </c>
      <c r="K425" s="12"/>
      <c r="L425" s="12"/>
      <c r="M425" s="12"/>
      <c r="N425" s="12"/>
      <c r="O425" s="12"/>
      <c r="P425" s="12"/>
    </row>
    <row r="426" spans="1:21" s="11" customFormat="1" ht="16" x14ac:dyDescent="0.2">
      <c r="A426" s="13" t="s">
        <v>2</v>
      </c>
      <c r="B426" s="14" t="s">
        <v>45</v>
      </c>
      <c r="K426" s="12"/>
      <c r="L426" s="12"/>
      <c r="M426" s="12"/>
      <c r="N426" s="12"/>
      <c r="O426" s="12"/>
      <c r="P426" s="12"/>
    </row>
    <row r="427" spans="1:21" s="11" customFormat="1" ht="16" x14ac:dyDescent="0.2">
      <c r="A427" s="13" t="s">
        <v>6</v>
      </c>
      <c r="B427" s="16" t="s">
        <v>13</v>
      </c>
      <c r="H427" s="17"/>
      <c r="I427" s="17"/>
      <c r="J427" s="17"/>
      <c r="K427" s="12"/>
      <c r="L427" s="12"/>
      <c r="M427" s="12"/>
      <c r="N427" s="12"/>
      <c r="O427" s="12"/>
      <c r="P427" s="12"/>
    </row>
    <row r="428" spans="1:21" s="11" customFormat="1" ht="16" x14ac:dyDescent="0.2">
      <c r="A428" s="17" t="s">
        <v>7</v>
      </c>
      <c r="B428" s="9"/>
      <c r="C428" s="17"/>
      <c r="D428" s="17"/>
      <c r="E428" s="17"/>
      <c r="F428" s="17"/>
      <c r="G428" s="17"/>
      <c r="H428" s="10"/>
      <c r="I428" s="10"/>
      <c r="J428" s="10"/>
      <c r="K428" s="12"/>
      <c r="L428" s="12"/>
      <c r="M428" s="12"/>
      <c r="N428" s="12"/>
      <c r="O428" s="12"/>
      <c r="P428" s="12"/>
    </row>
    <row r="429" spans="1:21" s="11" customFormat="1" ht="16" x14ac:dyDescent="0.2">
      <c r="A429" s="17" t="s">
        <v>8</v>
      </c>
      <c r="B429" s="9" t="s">
        <v>9</v>
      </c>
      <c r="C429" s="17" t="s">
        <v>2</v>
      </c>
      <c r="D429" s="17" t="s">
        <v>6</v>
      </c>
      <c r="E429" s="17" t="s">
        <v>10</v>
      </c>
      <c r="F429" s="17" t="s">
        <v>5</v>
      </c>
      <c r="G429" s="17" t="s">
        <v>4</v>
      </c>
      <c r="H429" s="23" t="s">
        <v>11</v>
      </c>
      <c r="I429" s="17" t="s">
        <v>466</v>
      </c>
      <c r="J429" s="7" t="s">
        <v>467</v>
      </c>
      <c r="K429" s="18" t="s">
        <v>468</v>
      </c>
      <c r="L429" s="18" t="s">
        <v>469</v>
      </c>
      <c r="M429" s="18" t="s">
        <v>470</v>
      </c>
      <c r="N429" s="18" t="s">
        <v>471</v>
      </c>
      <c r="O429" s="18" t="s">
        <v>472</v>
      </c>
      <c r="P429" s="18" t="s">
        <v>473</v>
      </c>
      <c r="Q429" s="7" t="s">
        <v>474</v>
      </c>
      <c r="R429" s="7" t="s">
        <v>475</v>
      </c>
      <c r="S429" s="17" t="s">
        <v>476</v>
      </c>
      <c r="T429" s="7" t="s">
        <v>477</v>
      </c>
      <c r="U429" s="17" t="s">
        <v>46</v>
      </c>
    </row>
    <row r="430" spans="1:21" s="11" customFormat="1" ht="16" x14ac:dyDescent="0.2">
      <c r="A430" s="16" t="s">
        <v>441</v>
      </c>
      <c r="B430" s="16">
        <v>1</v>
      </c>
      <c r="C430" s="11" t="str">
        <f>B426</f>
        <v>CH</v>
      </c>
      <c r="D430" s="11" t="str">
        <f>B427</f>
        <v>kilogram</v>
      </c>
      <c r="E430" s="10"/>
      <c r="F430" s="11" t="s">
        <v>16</v>
      </c>
      <c r="G430" s="11" t="s">
        <v>442</v>
      </c>
      <c r="H430" s="10"/>
      <c r="I430" s="10"/>
      <c r="K430" s="12"/>
      <c r="L430" s="12"/>
      <c r="M430" s="12"/>
      <c r="N430" s="12"/>
      <c r="O430" s="12"/>
      <c r="P430" s="12"/>
      <c r="T430"/>
    </row>
    <row r="431" spans="1:21" s="11" customFormat="1" ht="16" x14ac:dyDescent="0.2">
      <c r="A431" s="16" t="str">
        <f>B464</f>
        <v>electrolyzer production, 1MWe, SOEC, Stack</v>
      </c>
      <c r="B431" s="11">
        <f>(1/3776000)*8</f>
        <v>2.1186440677966101E-6</v>
      </c>
      <c r="C431" s="11" t="s">
        <v>34</v>
      </c>
      <c r="D431" s="11" t="s">
        <v>6</v>
      </c>
      <c r="F431" s="11" t="s">
        <v>12</v>
      </c>
      <c r="G431" s="11" t="s">
        <v>150</v>
      </c>
      <c r="H431" s="11" t="s">
        <v>443</v>
      </c>
      <c r="J431"/>
      <c r="K431" s="19"/>
      <c r="L431" s="19"/>
      <c r="M431" s="19"/>
      <c r="N431" s="19"/>
      <c r="O431" s="19"/>
      <c r="P431" s="19"/>
      <c r="Q431"/>
      <c r="R431"/>
    </row>
    <row r="432" spans="1:21" s="11" customFormat="1" ht="16" x14ac:dyDescent="0.2">
      <c r="A432" s="16" t="str">
        <f>B501</f>
        <v>electrolyzer production, 1MWe, SOEC, Balance of Plant</v>
      </c>
      <c r="B432" s="11">
        <f>1/3776000</f>
        <v>2.6483050847457627E-7</v>
      </c>
      <c r="C432" s="11" t="s">
        <v>34</v>
      </c>
      <c r="D432" s="11" t="s">
        <v>6</v>
      </c>
      <c r="F432" s="11" t="s">
        <v>12</v>
      </c>
      <c r="G432" s="11" t="s">
        <v>151</v>
      </c>
      <c r="H432" s="11" t="s">
        <v>49</v>
      </c>
      <c r="J432"/>
      <c r="K432" s="19"/>
      <c r="L432" s="19"/>
      <c r="M432" s="19"/>
      <c r="N432" s="19"/>
      <c r="O432" s="19"/>
      <c r="P432" s="19"/>
      <c r="Q432"/>
      <c r="R432"/>
    </row>
    <row r="433" spans="1:20" s="11" customFormat="1" ht="16" x14ac:dyDescent="0.2">
      <c r="A433" s="16" t="s">
        <v>512</v>
      </c>
      <c r="B433" s="11">
        <f>-1*B431</f>
        <v>-2.1186440677966101E-6</v>
      </c>
      <c r="C433" s="11" t="s">
        <v>34</v>
      </c>
      <c r="D433" s="11" t="s">
        <v>6</v>
      </c>
      <c r="F433" s="11" t="s">
        <v>12</v>
      </c>
      <c r="G433" s="11" t="s">
        <v>513</v>
      </c>
      <c r="H433" s="11" t="s">
        <v>215</v>
      </c>
      <c r="J433"/>
      <c r="K433" s="19"/>
      <c r="L433" s="19"/>
      <c r="M433" s="19"/>
      <c r="N433" s="19"/>
      <c r="O433" s="19"/>
      <c r="P433" s="19"/>
      <c r="Q433"/>
      <c r="R433"/>
    </row>
    <row r="434" spans="1:20" s="11" customFormat="1" ht="16" x14ac:dyDescent="0.2">
      <c r="A434" s="16" t="s">
        <v>514</v>
      </c>
      <c r="B434" s="11">
        <f>-1*B432</f>
        <v>-2.6483050847457627E-7</v>
      </c>
      <c r="C434" s="11" t="s">
        <v>34</v>
      </c>
      <c r="D434" s="11" t="s">
        <v>6</v>
      </c>
      <c r="F434" s="11" t="s">
        <v>12</v>
      </c>
      <c r="G434" s="11" t="s">
        <v>515</v>
      </c>
      <c r="H434" s="11" t="s">
        <v>225</v>
      </c>
      <c r="J434"/>
      <c r="K434" s="19"/>
      <c r="L434" s="19"/>
      <c r="M434" s="19"/>
      <c r="N434" s="19"/>
      <c r="O434" s="19"/>
      <c r="P434" s="19"/>
      <c r="Q434"/>
      <c r="R434"/>
    </row>
    <row r="435" spans="1:20" s="11" customFormat="1" ht="16" x14ac:dyDescent="0.2">
      <c r="A435" s="13" t="s">
        <v>50</v>
      </c>
      <c r="B435" s="16">
        <v>42.3</v>
      </c>
      <c r="C435" s="11" t="s">
        <v>45</v>
      </c>
      <c r="D435" s="11" t="s">
        <v>35</v>
      </c>
      <c r="E435" s="10"/>
      <c r="F435" s="11" t="s">
        <v>12</v>
      </c>
      <c r="G435" s="11" t="s">
        <v>36</v>
      </c>
      <c r="H435" s="10" t="s">
        <v>483</v>
      </c>
      <c r="I435" s="11">
        <v>5</v>
      </c>
      <c r="J435" s="4">
        <f>B435</f>
        <v>42.3</v>
      </c>
      <c r="K435" s="19"/>
      <c r="L435" s="19"/>
      <c r="M435" s="19"/>
      <c r="N435" s="19"/>
      <c r="O435" s="19"/>
      <c r="P435" s="19"/>
      <c r="Q435"/>
      <c r="R435"/>
      <c r="S435" s="11">
        <v>41.2</v>
      </c>
      <c r="T435" s="11">
        <v>43.4</v>
      </c>
    </row>
    <row r="436" spans="1:20" s="11" customFormat="1" ht="16" x14ac:dyDescent="0.2">
      <c r="A436" s="13" t="s">
        <v>51</v>
      </c>
      <c r="B436" s="16">
        <v>0</v>
      </c>
      <c r="C436" s="11" t="s">
        <v>34</v>
      </c>
      <c r="D436" s="11" t="s">
        <v>52</v>
      </c>
      <c r="E436" s="10"/>
      <c r="F436" s="11" t="s">
        <v>12</v>
      </c>
      <c r="G436" s="11" t="s">
        <v>53</v>
      </c>
      <c r="H436" s="10" t="s">
        <v>152</v>
      </c>
      <c r="J436"/>
      <c r="K436" s="19"/>
      <c r="L436" s="19"/>
      <c r="M436" s="19"/>
      <c r="N436" s="19"/>
      <c r="O436" s="19"/>
      <c r="P436" s="19"/>
      <c r="Q436"/>
      <c r="R436"/>
    </row>
    <row r="437" spans="1:20" s="11" customFormat="1" ht="16" x14ac:dyDescent="0.2">
      <c r="A437" s="13" t="s">
        <v>516</v>
      </c>
      <c r="B437" s="16">
        <v>14</v>
      </c>
      <c r="C437" s="11" t="s">
        <v>34</v>
      </c>
      <c r="D437" s="11" t="s">
        <v>13</v>
      </c>
      <c r="F437" s="11" t="s">
        <v>12</v>
      </c>
      <c r="G437" s="11" t="s">
        <v>517</v>
      </c>
      <c r="H437" s="20" t="s">
        <v>54</v>
      </c>
      <c r="J437"/>
      <c r="K437" s="19"/>
      <c r="L437" s="19"/>
      <c r="M437" s="19"/>
      <c r="N437" s="19"/>
      <c r="O437" s="19"/>
      <c r="P437" s="19"/>
      <c r="Q437"/>
      <c r="R437"/>
    </row>
    <row r="438" spans="1:20" s="11" customFormat="1" ht="16" x14ac:dyDescent="0.2">
      <c r="A438" s="21" t="s">
        <v>38</v>
      </c>
      <c r="B438" s="15">
        <v>8</v>
      </c>
      <c r="C438" s="21"/>
      <c r="D438" s="21" t="s">
        <v>13</v>
      </c>
      <c r="E438" s="21" t="s">
        <v>39</v>
      </c>
      <c r="F438" s="21" t="s">
        <v>14</v>
      </c>
      <c r="G438" s="21"/>
      <c r="H438" s="22"/>
      <c r="J438"/>
      <c r="K438" s="19"/>
      <c r="L438" s="19"/>
      <c r="M438" s="19"/>
      <c r="N438" s="19"/>
      <c r="O438" s="19"/>
      <c r="P438" s="19"/>
      <c r="Q438" s="19"/>
      <c r="R438"/>
    </row>
    <row r="439" spans="1:20" s="11" customFormat="1" ht="16" x14ac:dyDescent="0.2">
      <c r="A439" s="47" t="s">
        <v>456</v>
      </c>
      <c r="B439" s="48">
        <f>(0.02*1000)/(3776000/20)</f>
        <v>1.0593220338983051E-4</v>
      </c>
      <c r="C439" s="47"/>
      <c r="D439" s="47" t="s">
        <v>453</v>
      </c>
      <c r="E439" s="47" t="s">
        <v>454</v>
      </c>
      <c r="F439" s="47" t="s">
        <v>14</v>
      </c>
      <c r="H439" s="47" t="s">
        <v>464</v>
      </c>
      <c r="I439" s="11">
        <v>2</v>
      </c>
      <c r="J439">
        <f t="shared" ref="J439:J441" si="18">LN(B439)</f>
        <v>-9.1527112591395472</v>
      </c>
      <c r="K439" s="19">
        <v>1.05</v>
      </c>
      <c r="L439" s="19">
        <v>1.1000000000000001</v>
      </c>
      <c r="M439" s="19">
        <v>1</v>
      </c>
      <c r="N439" s="19">
        <v>1.02</v>
      </c>
      <c r="O439" s="19">
        <v>1.2</v>
      </c>
      <c r="P439" s="19">
        <v>1.2</v>
      </c>
      <c r="Q439" s="19">
        <v>1.5</v>
      </c>
      <c r="R439">
        <f t="shared" ref="R439:R441" si="19">LN(SQRT(EXP(
SQRT(
+POWER(LN(K439),2)
+POWER(LN(L439),2)
+POWER(LN(M439),2)
+POWER(LN(N439),2)
+POWER(LN(O439),2)
+POWER(LN(P439),2)
+POWER(LN(Q439),2)
)
)))</f>
        <v>0.24634371748562628</v>
      </c>
    </row>
    <row r="440" spans="1:20" s="11" customFormat="1" ht="16" x14ac:dyDescent="0.2">
      <c r="A440" s="47" t="s">
        <v>458</v>
      </c>
      <c r="B440" s="48">
        <f>(0.02*1000)/3776000</f>
        <v>5.2966101694915258E-6</v>
      </c>
      <c r="C440" s="47"/>
      <c r="D440" s="47" t="s">
        <v>459</v>
      </c>
      <c r="E440" s="47" t="s">
        <v>454</v>
      </c>
      <c r="F440" s="47" t="s">
        <v>14</v>
      </c>
      <c r="H440" s="47" t="s">
        <v>465</v>
      </c>
      <c r="I440" s="11">
        <v>2</v>
      </c>
      <c r="J440">
        <f t="shared" si="18"/>
        <v>-12.148443532693538</v>
      </c>
      <c r="K440" s="19">
        <v>1.05</v>
      </c>
      <c r="L440" s="19">
        <v>1.1000000000000001</v>
      </c>
      <c r="M440" s="19">
        <v>1</v>
      </c>
      <c r="N440" s="19">
        <v>1.02</v>
      </c>
      <c r="O440" s="19">
        <v>1.2</v>
      </c>
      <c r="P440" s="19">
        <v>1.2</v>
      </c>
      <c r="Q440" s="19">
        <v>1.5</v>
      </c>
      <c r="R440">
        <f t="shared" si="19"/>
        <v>0.24634371748562628</v>
      </c>
    </row>
    <row r="441" spans="1:20" s="11" customFormat="1" ht="16" x14ac:dyDescent="0.2">
      <c r="A441" s="47" t="s">
        <v>461</v>
      </c>
      <c r="B441" s="48">
        <f>(0.02*1000)/3776000</f>
        <v>5.2966101694915258E-6</v>
      </c>
      <c r="C441" s="47"/>
      <c r="D441" s="47" t="s">
        <v>459</v>
      </c>
      <c r="E441" s="47" t="s">
        <v>454</v>
      </c>
      <c r="F441" s="47" t="s">
        <v>14</v>
      </c>
      <c r="H441" s="47" t="s">
        <v>465</v>
      </c>
      <c r="I441" s="11">
        <v>2</v>
      </c>
      <c r="J441">
        <f t="shared" si="18"/>
        <v>-12.148443532693538</v>
      </c>
      <c r="K441" s="19">
        <v>1.05</v>
      </c>
      <c r="L441" s="19">
        <v>1.1000000000000001</v>
      </c>
      <c r="M441" s="19">
        <v>1</v>
      </c>
      <c r="N441" s="19">
        <v>1.02</v>
      </c>
      <c r="O441" s="19">
        <v>1.2</v>
      </c>
      <c r="P441" s="19">
        <v>1.2</v>
      </c>
      <c r="Q441" s="19">
        <v>1.5</v>
      </c>
      <c r="R441">
        <f t="shared" si="19"/>
        <v>0.24634371748562628</v>
      </c>
    </row>
    <row r="442" spans="1:20" s="11" customFormat="1" ht="16" x14ac:dyDescent="0.2">
      <c r="B442" s="16"/>
      <c r="K442" s="12"/>
      <c r="L442" s="12"/>
      <c r="M442" s="12"/>
      <c r="N442" s="12"/>
      <c r="O442" s="12"/>
      <c r="P442" s="12"/>
    </row>
    <row r="443" spans="1:20" s="11" customFormat="1" ht="16" x14ac:dyDescent="0.2">
      <c r="A443" s="8" t="s">
        <v>1</v>
      </c>
      <c r="B443" s="9" t="s">
        <v>445</v>
      </c>
      <c r="C443" s="10"/>
      <c r="K443" s="12"/>
      <c r="L443" s="12"/>
      <c r="M443" s="12"/>
      <c r="N443" s="12"/>
      <c r="O443" s="12"/>
      <c r="P443" s="12"/>
    </row>
    <row r="444" spans="1:20" s="11" customFormat="1" ht="16" x14ac:dyDescent="0.2">
      <c r="A444" s="13" t="s">
        <v>3</v>
      </c>
      <c r="B444" s="14">
        <v>1</v>
      </c>
      <c r="K444" s="12"/>
      <c r="L444" s="12"/>
      <c r="M444" s="12"/>
      <c r="N444" s="12"/>
      <c r="O444" s="12"/>
      <c r="P444" s="12"/>
    </row>
    <row r="445" spans="1:20" s="11" customFormat="1" ht="16" x14ac:dyDescent="0.2">
      <c r="A445" s="13" t="s">
        <v>11</v>
      </c>
      <c r="B445" s="14" t="s">
        <v>437</v>
      </c>
      <c r="K445" s="12"/>
      <c r="L445" s="12"/>
      <c r="M445" s="12"/>
      <c r="N445" s="12"/>
      <c r="O445" s="12"/>
      <c r="P445" s="12"/>
    </row>
    <row r="446" spans="1:20" s="11" customFormat="1" ht="16" x14ac:dyDescent="0.2">
      <c r="A446" s="13" t="s">
        <v>4</v>
      </c>
      <c r="B446" s="15" t="s">
        <v>442</v>
      </c>
      <c r="K446" s="12"/>
      <c r="L446" s="12"/>
      <c r="M446" s="12"/>
      <c r="N446" s="12"/>
      <c r="O446" s="12"/>
      <c r="P446" s="12"/>
    </row>
    <row r="447" spans="1:20" s="11" customFormat="1" ht="16" x14ac:dyDescent="0.2">
      <c r="A447" s="13" t="s">
        <v>2</v>
      </c>
      <c r="B447" s="14" t="s">
        <v>45</v>
      </c>
      <c r="K447" s="12"/>
      <c r="L447" s="12"/>
      <c r="M447" s="12"/>
      <c r="N447" s="12"/>
      <c r="O447" s="12"/>
      <c r="P447" s="12"/>
    </row>
    <row r="448" spans="1:20" s="11" customFormat="1" ht="16" x14ac:dyDescent="0.2">
      <c r="A448" s="13" t="s">
        <v>6</v>
      </c>
      <c r="B448" s="16" t="s">
        <v>13</v>
      </c>
      <c r="H448" s="17"/>
      <c r="I448" s="17"/>
      <c r="J448" s="17"/>
      <c r="K448" s="12"/>
      <c r="L448" s="12"/>
      <c r="M448" s="12"/>
      <c r="N448" s="12"/>
      <c r="O448" s="12"/>
      <c r="P448" s="12"/>
    </row>
    <row r="449" spans="1:21" s="11" customFormat="1" ht="16" x14ac:dyDescent="0.2">
      <c r="A449" s="17" t="s">
        <v>7</v>
      </c>
      <c r="B449" s="9"/>
      <c r="C449" s="17"/>
      <c r="D449" s="17"/>
      <c r="E449" s="17"/>
      <c r="F449" s="17"/>
      <c r="G449" s="17"/>
      <c r="H449" s="10"/>
      <c r="I449" s="10"/>
      <c r="J449" s="10"/>
      <c r="K449" s="12"/>
      <c r="L449" s="12"/>
      <c r="M449" s="12"/>
      <c r="N449" s="12"/>
      <c r="O449" s="12"/>
      <c r="P449" s="12"/>
    </row>
    <row r="450" spans="1:21" s="11" customFormat="1" ht="16" x14ac:dyDescent="0.2">
      <c r="A450" s="17" t="s">
        <v>8</v>
      </c>
      <c r="B450" s="9" t="s">
        <v>9</v>
      </c>
      <c r="C450" s="17" t="s">
        <v>2</v>
      </c>
      <c r="D450" s="17" t="s">
        <v>6</v>
      </c>
      <c r="E450" s="17" t="s">
        <v>10</v>
      </c>
      <c r="F450" s="17" t="s">
        <v>5</v>
      </c>
      <c r="G450" s="17" t="s">
        <v>4</v>
      </c>
      <c r="H450" s="23" t="s">
        <v>11</v>
      </c>
      <c r="I450" s="17" t="s">
        <v>466</v>
      </c>
      <c r="J450" s="7" t="s">
        <v>467</v>
      </c>
      <c r="K450" s="18" t="s">
        <v>468</v>
      </c>
      <c r="L450" s="18" t="s">
        <v>469</v>
      </c>
      <c r="M450" s="18" t="s">
        <v>470</v>
      </c>
      <c r="N450" s="18" t="s">
        <v>471</v>
      </c>
      <c r="O450" s="18" t="s">
        <v>472</v>
      </c>
      <c r="P450" s="18" t="s">
        <v>473</v>
      </c>
      <c r="Q450" s="7" t="s">
        <v>474</v>
      </c>
      <c r="R450" s="7" t="s">
        <v>475</v>
      </c>
      <c r="S450" s="17" t="s">
        <v>476</v>
      </c>
      <c r="T450" s="7" t="s">
        <v>477</v>
      </c>
      <c r="U450" s="17" t="s">
        <v>46</v>
      </c>
    </row>
    <row r="451" spans="1:21" s="11" customFormat="1" ht="16" x14ac:dyDescent="0.2">
      <c r="A451" s="16" t="s">
        <v>445</v>
      </c>
      <c r="B451" s="16">
        <v>1</v>
      </c>
      <c r="C451" s="11" t="str">
        <f>B447</f>
        <v>CH</v>
      </c>
      <c r="D451" s="11" t="str">
        <f>B448</f>
        <v>kilogram</v>
      </c>
      <c r="E451" s="10"/>
      <c r="F451" s="11" t="s">
        <v>16</v>
      </c>
      <c r="G451" s="11" t="s">
        <v>442</v>
      </c>
      <c r="H451" s="10"/>
      <c r="I451" s="10"/>
      <c r="K451" s="12"/>
      <c r="L451" s="12"/>
      <c r="M451" s="12"/>
      <c r="N451" s="12"/>
      <c r="O451" s="12"/>
      <c r="P451" s="12"/>
      <c r="T451"/>
    </row>
    <row r="452" spans="1:21" s="11" customFormat="1" ht="16" x14ac:dyDescent="0.2">
      <c r="A452" s="16" t="s">
        <v>153</v>
      </c>
      <c r="B452" s="11">
        <f>(1/3776000)*8</f>
        <v>2.1186440677966101E-6</v>
      </c>
      <c r="C452" s="11" t="s">
        <v>34</v>
      </c>
      <c r="D452" s="11" t="s">
        <v>6</v>
      </c>
      <c r="F452" s="11" t="s">
        <v>12</v>
      </c>
      <c r="G452" s="11" t="s">
        <v>150</v>
      </c>
      <c r="H452" s="11" t="s">
        <v>488</v>
      </c>
      <c r="I452" s="11">
        <v>5</v>
      </c>
      <c r="J452">
        <f>B452</f>
        <v>2.1186440677966101E-6</v>
      </c>
      <c r="K452" s="19"/>
      <c r="L452" s="19"/>
      <c r="M452" s="19"/>
      <c r="N452" s="19"/>
      <c r="O452" s="19"/>
      <c r="P452" s="19"/>
      <c r="Q452"/>
      <c r="R452"/>
      <c r="S452" s="11">
        <f>(1/(25*8000*23.6))*8</f>
        <v>1.6949152542372882E-6</v>
      </c>
      <c r="T452" s="11">
        <f>(1/(15*8000*23.6))*8</f>
        <v>2.8248587570621469E-6</v>
      </c>
    </row>
    <row r="453" spans="1:21" s="11" customFormat="1" ht="16" x14ac:dyDescent="0.2">
      <c r="A453" s="16" t="s">
        <v>179</v>
      </c>
      <c r="B453" s="11">
        <f>1/3776000</f>
        <v>2.6483050847457627E-7</v>
      </c>
      <c r="C453" s="11" t="s">
        <v>34</v>
      </c>
      <c r="D453" s="11" t="s">
        <v>6</v>
      </c>
      <c r="F453" s="11" t="s">
        <v>12</v>
      </c>
      <c r="G453" s="11" t="s">
        <v>151</v>
      </c>
      <c r="H453" s="11" t="s">
        <v>49</v>
      </c>
      <c r="I453" s="11">
        <v>5</v>
      </c>
      <c r="J453">
        <f>B453</f>
        <v>2.6483050847457627E-7</v>
      </c>
      <c r="K453" s="19"/>
      <c r="L453" s="19"/>
      <c r="M453" s="19"/>
      <c r="N453" s="19"/>
      <c r="O453" s="19"/>
      <c r="P453" s="19"/>
      <c r="Q453"/>
      <c r="R453"/>
      <c r="S453" s="11">
        <f>(1/(25*8000*23.6))</f>
        <v>2.1186440677966102E-7</v>
      </c>
      <c r="T453" s="11">
        <f>(1/(15*8000*23.6))</f>
        <v>3.5310734463276836E-7</v>
      </c>
    </row>
    <row r="454" spans="1:21" s="11" customFormat="1" ht="16" x14ac:dyDescent="0.2">
      <c r="A454" s="16" t="s">
        <v>512</v>
      </c>
      <c r="B454" s="11">
        <f>-1*B452</f>
        <v>-2.1186440677966101E-6</v>
      </c>
      <c r="C454" s="11" t="s">
        <v>34</v>
      </c>
      <c r="D454" s="11" t="s">
        <v>6</v>
      </c>
      <c r="F454" s="11" t="s">
        <v>12</v>
      </c>
      <c r="G454" s="11" t="s">
        <v>513</v>
      </c>
      <c r="H454" s="11" t="s">
        <v>215</v>
      </c>
      <c r="I454" s="11">
        <v>5</v>
      </c>
      <c r="J454">
        <f>B454</f>
        <v>-2.1186440677966101E-6</v>
      </c>
      <c r="K454" s="19"/>
      <c r="L454" s="19"/>
      <c r="M454" s="19"/>
      <c r="N454" s="19"/>
      <c r="O454" s="19"/>
      <c r="P454" s="19"/>
      <c r="Q454"/>
      <c r="R454"/>
      <c r="S454" s="11">
        <f>-1*T452</f>
        <v>-2.8248587570621469E-6</v>
      </c>
      <c r="T454" s="11">
        <f>-1*S452</f>
        <v>-1.6949152542372882E-6</v>
      </c>
      <c r="U454" s="11" t="b">
        <v>1</v>
      </c>
    </row>
    <row r="455" spans="1:21" s="11" customFormat="1" ht="16" x14ac:dyDescent="0.2">
      <c r="A455" s="16" t="s">
        <v>514</v>
      </c>
      <c r="B455" s="11">
        <f>-1*B453</f>
        <v>-2.6483050847457627E-7</v>
      </c>
      <c r="C455" s="11" t="s">
        <v>34</v>
      </c>
      <c r="D455" s="11" t="s">
        <v>6</v>
      </c>
      <c r="F455" s="11" t="s">
        <v>12</v>
      </c>
      <c r="G455" s="11" t="s">
        <v>515</v>
      </c>
      <c r="H455" s="11" t="s">
        <v>225</v>
      </c>
      <c r="I455" s="11">
        <v>5</v>
      </c>
      <c r="J455">
        <f>B455</f>
        <v>-2.6483050847457627E-7</v>
      </c>
      <c r="K455" s="19"/>
      <c r="L455" s="19"/>
      <c r="M455" s="19"/>
      <c r="N455" s="19"/>
      <c r="O455" s="19"/>
      <c r="P455" s="19"/>
      <c r="Q455"/>
      <c r="R455"/>
      <c r="S455" s="11">
        <f>-1*T453</f>
        <v>-3.5310734463276836E-7</v>
      </c>
      <c r="T455" s="11">
        <f>-1*S453</f>
        <v>-2.1186440677966102E-7</v>
      </c>
      <c r="U455" s="11" t="b">
        <v>1</v>
      </c>
    </row>
    <row r="456" spans="1:21" s="11" customFormat="1" ht="16" x14ac:dyDescent="0.2">
      <c r="A456" s="13" t="s">
        <v>50</v>
      </c>
      <c r="B456" s="16">
        <v>39</v>
      </c>
      <c r="C456" s="11" t="s">
        <v>45</v>
      </c>
      <c r="D456" s="11" t="s">
        <v>35</v>
      </c>
      <c r="E456" s="10"/>
      <c r="F456" s="11" t="s">
        <v>12</v>
      </c>
      <c r="G456" s="11" t="s">
        <v>36</v>
      </c>
      <c r="H456" s="10" t="s">
        <v>444</v>
      </c>
      <c r="J456"/>
      <c r="K456" s="19"/>
      <c r="L456" s="19"/>
      <c r="M456" s="19"/>
      <c r="N456" s="19"/>
      <c r="O456" s="19"/>
      <c r="P456" s="19"/>
      <c r="Q456"/>
      <c r="R456"/>
    </row>
    <row r="457" spans="1:21" s="11" customFormat="1" ht="16" x14ac:dyDescent="0.2">
      <c r="A457" s="13" t="s">
        <v>51</v>
      </c>
      <c r="B457" s="16">
        <v>16</v>
      </c>
      <c r="C457" s="11" t="s">
        <v>34</v>
      </c>
      <c r="D457" s="11" t="s">
        <v>52</v>
      </c>
      <c r="E457" s="10"/>
      <c r="F457" s="11" t="s">
        <v>12</v>
      </c>
      <c r="G457" s="11" t="s">
        <v>53</v>
      </c>
      <c r="H457" s="10" t="s">
        <v>446</v>
      </c>
      <c r="J457"/>
      <c r="K457" s="19"/>
      <c r="L457" s="19"/>
      <c r="M457" s="19"/>
      <c r="N457" s="19"/>
      <c r="O457" s="19"/>
      <c r="P457" s="19"/>
      <c r="Q457"/>
      <c r="R457"/>
    </row>
    <row r="458" spans="1:21" s="11" customFormat="1" ht="16" x14ac:dyDescent="0.2">
      <c r="A458" s="13" t="s">
        <v>516</v>
      </c>
      <c r="B458" s="16">
        <v>14</v>
      </c>
      <c r="C458" s="11" t="s">
        <v>34</v>
      </c>
      <c r="D458" s="11" t="s">
        <v>13</v>
      </c>
      <c r="F458" s="11" t="s">
        <v>12</v>
      </c>
      <c r="G458" s="11" t="s">
        <v>517</v>
      </c>
      <c r="H458" s="20" t="s">
        <v>54</v>
      </c>
      <c r="J458"/>
      <c r="K458" s="19"/>
      <c r="L458" s="19"/>
      <c r="M458" s="19"/>
      <c r="N458" s="19"/>
      <c r="O458" s="19"/>
      <c r="P458" s="19"/>
      <c r="Q458"/>
      <c r="R458"/>
    </row>
    <row r="459" spans="1:21" s="11" customFormat="1" ht="16" x14ac:dyDescent="0.2">
      <c r="A459" s="21" t="s">
        <v>38</v>
      </c>
      <c r="B459" s="15">
        <v>8</v>
      </c>
      <c r="C459" s="21"/>
      <c r="D459" s="21" t="s">
        <v>13</v>
      </c>
      <c r="E459" s="21" t="s">
        <v>39</v>
      </c>
      <c r="F459" s="21" t="s">
        <v>14</v>
      </c>
      <c r="G459" s="21"/>
      <c r="H459" s="22"/>
      <c r="J459"/>
      <c r="K459" s="19"/>
      <c r="L459" s="19"/>
      <c r="M459" s="19"/>
      <c r="N459" s="19"/>
      <c r="O459" s="19"/>
      <c r="P459" s="19"/>
      <c r="Q459" s="19"/>
      <c r="R459"/>
    </row>
    <row r="460" spans="1:21" s="11" customFormat="1" ht="16" x14ac:dyDescent="0.2">
      <c r="A460" s="47" t="s">
        <v>456</v>
      </c>
      <c r="B460" s="48">
        <f>(0.05*1000)/(3776000/20)</f>
        <v>2.6483050847457627E-4</v>
      </c>
      <c r="C460" s="47"/>
      <c r="D460" s="47" t="s">
        <v>453</v>
      </c>
      <c r="E460" s="47" t="s">
        <v>454</v>
      </c>
      <c r="F460" s="47" t="s">
        <v>14</v>
      </c>
      <c r="H460" s="47" t="s">
        <v>464</v>
      </c>
      <c r="I460" s="11">
        <v>2</v>
      </c>
      <c r="J460">
        <f t="shared" ref="J460:J462" si="20">LN(B460)</f>
        <v>-8.2364205272653912</v>
      </c>
      <c r="K460" s="19">
        <v>1.05</v>
      </c>
      <c r="L460" s="19">
        <v>1.1000000000000001</v>
      </c>
      <c r="M460" s="19">
        <v>1</v>
      </c>
      <c r="N460" s="19">
        <v>1.02</v>
      </c>
      <c r="O460" s="19">
        <v>1.2</v>
      </c>
      <c r="P460" s="19">
        <v>1.2</v>
      </c>
      <c r="Q460" s="19">
        <v>1.5</v>
      </c>
      <c r="R460">
        <f t="shared" ref="R460:R462" si="21">LN(SQRT(EXP(
SQRT(
+POWER(LN(K460),2)
+POWER(LN(L460),2)
+POWER(LN(M460),2)
+POWER(LN(N460),2)
+POWER(LN(O460),2)
+POWER(LN(P460),2)
+POWER(LN(Q460),2)
)
)))</f>
        <v>0.24634371748562628</v>
      </c>
    </row>
    <row r="461" spans="1:21" s="11" customFormat="1" ht="16" x14ac:dyDescent="0.2">
      <c r="A461" s="47" t="s">
        <v>458</v>
      </c>
      <c r="B461" s="48">
        <f>(0.05*1000)/3776000</f>
        <v>1.3241525423728813E-5</v>
      </c>
      <c r="C461" s="47"/>
      <c r="D461" s="47" t="s">
        <v>459</v>
      </c>
      <c r="E461" s="47" t="s">
        <v>454</v>
      </c>
      <c r="F461" s="47" t="s">
        <v>14</v>
      </c>
      <c r="H461" s="47" t="s">
        <v>465</v>
      </c>
      <c r="I461" s="11">
        <v>2</v>
      </c>
      <c r="J461">
        <f t="shared" si="20"/>
        <v>-11.232152800819382</v>
      </c>
      <c r="K461" s="19">
        <v>1.05</v>
      </c>
      <c r="L461" s="19">
        <v>1.1000000000000001</v>
      </c>
      <c r="M461" s="19">
        <v>1</v>
      </c>
      <c r="N461" s="19">
        <v>1.02</v>
      </c>
      <c r="O461" s="19">
        <v>1.2</v>
      </c>
      <c r="P461" s="19">
        <v>1.2</v>
      </c>
      <c r="Q461" s="19">
        <v>1.5</v>
      </c>
      <c r="R461">
        <f t="shared" si="21"/>
        <v>0.24634371748562628</v>
      </c>
    </row>
    <row r="462" spans="1:21" s="11" customFormat="1" ht="16" x14ac:dyDescent="0.2">
      <c r="A462" s="47" t="s">
        <v>461</v>
      </c>
      <c r="B462" s="48">
        <f>(0.05*1000)/3776000</f>
        <v>1.3241525423728813E-5</v>
      </c>
      <c r="C462" s="47"/>
      <c r="D462" s="47" t="s">
        <v>459</v>
      </c>
      <c r="E462" s="47" t="s">
        <v>454</v>
      </c>
      <c r="F462" s="47" t="s">
        <v>14</v>
      </c>
      <c r="H462" s="47" t="s">
        <v>465</v>
      </c>
      <c r="I462" s="11">
        <v>2</v>
      </c>
      <c r="J462">
        <f t="shared" si="20"/>
        <v>-11.232152800819382</v>
      </c>
      <c r="K462" s="19">
        <v>1.05</v>
      </c>
      <c r="L462" s="19">
        <v>1.1000000000000001</v>
      </c>
      <c r="M462" s="19">
        <v>1</v>
      </c>
      <c r="N462" s="19">
        <v>1.02</v>
      </c>
      <c r="O462" s="19">
        <v>1.2</v>
      </c>
      <c r="P462" s="19">
        <v>1.2</v>
      </c>
      <c r="Q462" s="19">
        <v>1.5</v>
      </c>
      <c r="R462">
        <f t="shared" si="21"/>
        <v>0.24634371748562628</v>
      </c>
    </row>
    <row r="463" spans="1:21" s="11" customFormat="1" ht="16" x14ac:dyDescent="0.2">
      <c r="B463" s="16"/>
      <c r="K463" s="12"/>
      <c r="L463" s="12"/>
      <c r="M463" s="12"/>
      <c r="N463" s="12"/>
      <c r="O463" s="12"/>
      <c r="P463" s="12"/>
    </row>
    <row r="464" spans="1:21" s="11" customFormat="1" ht="16" x14ac:dyDescent="0.2">
      <c r="A464" s="8" t="s">
        <v>1</v>
      </c>
      <c r="B464" s="9" t="s">
        <v>153</v>
      </c>
      <c r="K464" s="12"/>
      <c r="L464" s="12"/>
      <c r="M464" s="12"/>
      <c r="N464" s="12"/>
      <c r="O464" s="12"/>
      <c r="P464" s="12"/>
    </row>
    <row r="465" spans="1:20" s="11" customFormat="1" ht="16" x14ac:dyDescent="0.2">
      <c r="A465" s="13" t="s">
        <v>3</v>
      </c>
      <c r="B465" s="14">
        <v>1</v>
      </c>
      <c r="K465" s="12"/>
      <c r="L465" s="12"/>
      <c r="M465" s="12"/>
      <c r="N465" s="12"/>
      <c r="O465" s="12"/>
      <c r="P465" s="12"/>
    </row>
    <row r="466" spans="1:20" s="11" customFormat="1" ht="16" x14ac:dyDescent="0.2">
      <c r="A466" s="13" t="s">
        <v>11</v>
      </c>
      <c r="B466" t="inlineStr">
        <is>
          <t>APPROVED SOEC FERRITIC INTERCONNECT REFERENCE, issue95, 2026-10-18. 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 Sourceflow8976.1kg is treated as the interconnectplate package based on originalmanufacturingdiagram,not9tair-electrodecatalyst. AdoptCrofer22APU-type reference for THIS stackinput only; do not replace ordinaryBoP18/8heat exchangers. Preserve8976.1kgfinishedsteel and8976.1kgexistingrollingservice; mass derives labstackscaleup and is NOT independently validated industrialMWgeometry. Preserve priorLSM,PrNi,ceramics,stackreplacement andlearning. Reference alloy massfractions={'Cr': 0.22, 'Mn': 0.005, 'Ti': 0.001, 'La': 0.001, 'Si': 0.001, 'Al': 0.0005, 'Cu': 0.0005, 'C': 0.0001, 'P': 5e-05, 'S': 5e-05, 'Fe': 0.7708}. Midrange/lowresidual choices are explicit assumptions within publishedranges,not measured heat assay. No intentionalNi addition; unknownresidualNi/othertraceimpurities are NOT provenzero. ActualoldNi8% cannot be claimed quantitatively without suppliercomposition; compareold18/8 as sensitivity. Cr20-24,Mn0.3-0.8,La0.04-0.20wt% sensitivities. Fe usesunalloyedsteel as feed-gradeproxy,withitsownminoralloys unresolved; completecomponentmetaluse is not identical toelementalpureFe. Addalloyingmaterialsonce and0.5kWh+2MJ/kgremeltingreference (0.25-1kWh/1-4MJsensitivity),not a completeCrsteel production dataset on top. Matchfinishedsteelmass1kgwith100%finalalloyretention; alloyingyield/slag andtracepickup remain gaps. La metal unavailable: explicit netoxide/carbon electrolyticreference La2O3+1.5C-&gt;2La+1.5CO2,95%metalretention,10kWh/kg+3MJ/kgassumed; fluoridebathmakeup,PFCemissions,purification andcalcium-route alternatives unresolved. Thisisstoichiometricnetelectrolysis,NOTthermal carbothermic reduction orvalidatedvendorLa process. Metalrejectgenericinertdisposal; La/C/O/massclose. FinishedinterconnectEOLexistingsteelcollection amount retained; genericsteelroute doesnotvalidatealloy-specificrecycling orrecoverycredits. Native/YAML/runtime/primary-secondaryshares untouched.
PREVIOUS NOTES (retained as history; the correction above takes precedence):
APPROVED COMPLETE SOEC LSM REFERENCE, issue94, 2026-10-18. 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 Replace uncertain21kgLa2O3+21kgSrCO3 placeholders (both formerly to-check) by2.1kgfinishedLa0.8Sr0.2MnO3 perexistingMWstack. This is an explicit published-reference adoption, NOT recovered manufacturer BOM or proof that originalGerloff21kg meant2.1kg. Source-dose sensitivity2.1-21kgfinishedLSM required; old42kgrawsalts is not a chemically defined alternative. La0.8Sr0.2MnO3 is selected nominal oxygen-stoichiometric LSM; actual Sr doping/oxygen nonstoichiometry/contact-layer loading remain gaps. Net reaction0.4La2O3+0.2SrCO3+MnO2 -&gt;La0.8Sr0.2MnO3+0.2CO2+0.2O2. Use95% finished-solid retention,100% conversion before5%handlingreject; yields90-100%sensitivity. Perkgfinished feeds={'La2O3': 0.5923666319735489, 'SrCO3': 0.13420468074687047, 'MnO2': 0.3951562044603966};CO2=0.040007409129630044kg,O2=0.02908852910381745kg,reject=0.05263157894736836kg.6MJ/kgheat+1kWh/kgmilling/sintering is an engineering allowance,not measured industrial calcination (3-12MJ and0.5-2kWhsensitivity). All stoichiometric C/La/Sr/Mn/O and mass close. No nitric-acid/chloroacetic-acid/ammonia route or unsupported metal-free binder is silently copied. Keep totalfinished2.1kg distinct from grossprecursorfeed. Newsolidwaste andfinishedceramic EOL use genericinertdisposal,not validated heavy-metal-specific treatment/recovery. Existing Pr/Ni air-electrode,YSZ/YDCfutureco-scaling,glassseal,steelmass,lifetimes andoperatingH2energy unchanged. No primary/secondary-share or runtime changes.
PREVIOUS NOTES (retained as history; the correction above takes precedence):
APPROVED SOEC INORGANIC GLASS-SEAL REFERENCE, issue91, 2026-10-18. Sun,Xiao,Guo,Hong2010,CeramicsInternational36:821-826,DOI10.1016/j.ceramint.2009.09.045,experimentalBaO-Al2O3-B2O3-SiO2glassfamily:base40BaO/20B2O3/40SiO2mol%,Al2O3replacesB2O3/SiO2atconstant2:1Si/Boxide-moleratio;5mol%Alvariantidentifiedasstable,melting1400-1500Cfor1hour. https://www.sciencedirect.com/science/article/pii/S0272884209003812 . ExistingGerloff2021sealantmass4*6.4kg retained. SiliconepolymerisnotSiO2glassformer. Replacefour6.4kgingredients(Al2O3,B2O3,BaO,silicone)by25.6kgofonefinishedglassreference. Select/reconstruct5mol%Al2O3member:40BaO,5Al2O3,18.333333B2O3,36.666667SiO2mol%;theseareoxideMOLfractions,notweightfractions. Correspondingretainedweightfractions={'BaO': 0.6059001794302946, 'Al2O3': 0.05036460625483175, 'B2O3': 0.12609040016734147, 'SiO2': 0.21764481414753226}. Total25.6kgfinishedsealisinheritedengineeringmass,notmeasuredfromthispublishedglassdesign;sourceTable1fullcompositionwasnotindependentlyrecovered,recipeisexplicitreconstructionfrompublishedseriesdescription. UsingSOFCsealingglassasSOECanalogue doesnotdemonstrateactualstacksealgeometry,thermalcycling,dual-atmospherecompatibilityorleaktightness. PurchaseactualBaO,Al2O3,B2O3,SiO2equivalentsscaledby1/0.95forselected95%melting/formingretention,withmatchedsolidglassreject1/.95-1kg/kgtoexistingmixedhazardoustreatmentproxy;volatilizedB/alkalicomponentsandactualwasteclassificationunresolved.6MJ/kgthermaland1kWh/kgmilling/formingareexplicitengineeringutilityallowancesfor1450Cmelting/quenching,notmeasuredsourceutilities;test3-12MJ/kg,0.2-2kWh/kgand90-100%retention. SilicasandisbulkSiO2purityproxy,nonmetallurgicalaluminaisspecialtyoxideproxy;semiconductorgradepurificationnotclaimed. ExistingapprovedYSZ/YDCchemistryandfutureY/Ce/Zrco-scaling,Ni/La/Sr/Prpurchases,steel,stackreplacementandhydrogenoutputallocationunchanged. Do notreduceentirestackorapplyfuturedensitylearningtosealwithoutsource. No newnative/runtime/YAMLchangesorprimary-secondarycredit.
PREVIOUS NOTES (retained as history; the correction above takes precedence):
1 MWe Solid Oxide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Produced amount of H2 over 20 years: 3779894.18 kg. Amounts of lanthanum oxide and strontium carbonate are unsure. 
SOEC matched ceramic reference v1. YSZ: 8 mol% Y2O3 among binary oxides; YDC: Ce0.8Y0.2O1.9 (20% Y on cation sites). Gerloff 2021 capacity scaling of the attributed Haefele 2016 component masses, not concentrate mass treated as pure oxide. Mixed Sm/Eu/Gd proxy replaced by stoichiometric Y2O3. See data/metals/soec_ceramic_reference.json for source-access limits, explicit composition/scaling assumptions and remaining whole-stack gaps.</t>
        </is>
      </c>
      <c r="K466" s="12"/>
      <c r="L466" s="12"/>
      <c r="M466" s="12"/>
      <c r="N466" s="12"/>
      <c r="O466" s="12"/>
      <c r="P466" s="12"/>
    </row>
    <row r="467" spans="1:20" s="11" customFormat="1" ht="16" x14ac:dyDescent="0.2">
      <c r="A467" s="13" t="s">
        <v>4</v>
      </c>
      <c r="B467" s="16" t="s">
        <v>150</v>
      </c>
      <c r="K467" s="12"/>
      <c r="L467" s="12"/>
      <c r="M467" s="12"/>
      <c r="N467" s="12"/>
      <c r="O467" s="12"/>
      <c r="P467" s="12"/>
    </row>
    <row r="468" spans="1:20" s="11" customFormat="1" ht="16" x14ac:dyDescent="0.2">
      <c r="A468" s="13" t="s">
        <v>2</v>
      </c>
      <c r="B468" s="14" t="s">
        <v>34</v>
      </c>
      <c r="K468" s="12"/>
      <c r="L468" s="12"/>
      <c r="M468" s="12"/>
      <c r="N468" s="12"/>
      <c r="O468" s="12"/>
      <c r="P468" s="12"/>
    </row>
    <row r="469" spans="1:20" s="11" customFormat="1" ht="16" x14ac:dyDescent="0.2">
      <c r="A469" s="13" t="s">
        <v>6</v>
      </c>
      <c r="B469" s="16" t="s">
        <v>6</v>
      </c>
      <c r="K469" s="12"/>
      <c r="L469" s="12"/>
      <c r="M469" s="12"/>
      <c r="N469" s="12"/>
      <c r="O469" s="12"/>
      <c r="P469" s="12"/>
    </row>
    <row r="470" spans="1:20" s="11" customFormat="1" ht="16" x14ac:dyDescent="0.2">
      <c r="A470" s="17" t="s">
        <v>7</v>
      </c>
      <c r="B470" s="9"/>
      <c r="C470" s="17"/>
      <c r="D470" s="17"/>
      <c r="E470" s="17"/>
      <c r="F470" s="17"/>
      <c r="G470" s="17"/>
      <c r="H470" s="17"/>
      <c r="I470" s="17"/>
      <c r="J470" s="17"/>
      <c r="K470" s="12"/>
      <c r="L470" s="12"/>
      <c r="M470" s="12"/>
      <c r="N470" s="12"/>
      <c r="O470" s="12"/>
      <c r="P470" s="12"/>
    </row>
    <row r="471" spans="1:20" s="11" customFormat="1" ht="16" x14ac:dyDescent="0.2">
      <c r="A471" s="17" t="s">
        <v>8</v>
      </c>
      <c r="B471" s="9" t="s">
        <v>9</v>
      </c>
      <c r="C471" s="17" t="s">
        <v>2</v>
      </c>
      <c r="D471" s="17" t="s">
        <v>6</v>
      </c>
      <c r="E471" s="23" t="s">
        <v>10</v>
      </c>
      <c r="F471" s="17" t="s">
        <v>5</v>
      </c>
      <c r="G471" s="17" t="s">
        <v>4</v>
      </c>
      <c r="H471" s="23" t="s">
        <v>11</v>
      </c>
      <c r="I471" s="17"/>
      <c r="J471" s="7"/>
      <c r="K471" s="18"/>
      <c r="L471" s="18"/>
      <c r="M471" s="18"/>
      <c r="N471" s="18"/>
      <c r="O471" s="18"/>
      <c r="P471" s="18"/>
      <c r="Q471" s="7"/>
      <c r="R471" s="7"/>
      <c r="S471" s="17"/>
      <c r="T471" s="7"/>
    </row>
    <row r="472" spans="1:20" s="11" customFormat="1" ht="16" x14ac:dyDescent="0.2">
      <c r="A472" s="16" t="str">
        <f>B464</f>
        <v>electrolyzer production, 1MWe, SOEC, Stack</v>
      </c>
      <c r="B472" s="16">
        <v>1</v>
      </c>
      <c r="C472" s="11" t="s">
        <v>34</v>
      </c>
      <c r="D472" s="11" t="str">
        <f>B469</f>
        <v>unit</v>
      </c>
      <c r="F472" s="11" t="s">
        <v>16</v>
      </c>
      <c r="G472" s="11" t="str">
        <f>B467</f>
        <v>electrolyzer, 1MWe, SOEC, Stack</v>
      </c>
      <c r="H472" t="inlineStr">
        <is>
          <t>APPROVED SOEC FERRITIC INTERCONNECT REFERENCE, issue95, 2026-10-18. 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 Sourceflow8976.1kg is treated as the interconnectplate package based on originalmanufacturingdiagram,not9tair-electrodecatalyst. AdoptCrofer22APU-type reference for THIS stackinput only; do not replace ordinaryBoP18/8heat exchangers. Preserve8976.1kgfinishedsteel and8976.1kgexistingrollingservice; mass derives labstackscaleup and is NOT independently validated industrialMWgeometry. Preserve priorLSM,PrNi,ceramics,stackreplacement andlearning. Reference alloy massfractions={'Cr': 0.22, 'Mn': 0.005, 'Ti': 0.001, 'La': 0.001, 'Si': 0.001, 'Al': 0.0005, 'Cu': 0.0005, 'C': 0.0001, 'P': 5e-05, 'S': 5e-05, 'Fe': 0.7708}. Midrange/lowresidual choices are explicit assumptions within publishedranges,not measured heat assay. No intentionalNi addition; unknownresidualNi/othertraceimpurities are NOT provenzero. ActualoldNi8% cannot be claimed quantitatively without suppliercomposition; compareold18/8 as sensitivity. Cr20-24,Mn0.3-0.8,La0.04-0.20wt% sensitivities. Fe usesunalloyedsteel as feed-gradeproxy,withitsownminoralloys unresolved; completecomponentmetaluse is not identical toelementalpureFe. Addalloyingmaterialsonce and0.5kWh+2MJ/kgremeltingreference (0.25-1kWh/1-4MJsensitivity),not a completeCrsteel production dataset on top. Matchfinishedsteelmass1kgwith100%finalalloyretention; alloyingyield/slag andtracepickup remain gaps. La metal unavailable: explicit netoxide/carbon electrolyticreference La2O3+1.5C-&gt;2La+1.5CO2,95%metalretention,10kWh/kg+3MJ/kgassumed; fluoridebathmakeup,PFCemissions,purification andcalcium-route alternatives unresolved. Thisisstoichiometricnetelectrolysis,NOTthermal carbothermic reduction orvalidatedvendorLa process. Metalrejectgenericinertdisposal; La/C/O/massclose. FinishedinterconnectEOLexistingsteelcollection amount retained; genericsteelroute doesnotvalidatealloy-specificrecycling orrecoverycredits. Native/YAML/runtime/primary-secondaryshares untouched.</t>
        </is>
      </c>
      <c r="K472" s="12"/>
      <c r="L472" s="12"/>
      <c r="M472" s="12"/>
      <c r="N472" s="12"/>
      <c r="O472" s="12"/>
      <c r="P472" s="12"/>
    </row>
    <row r="473" spans="1:20" s="11" customFormat="1" ht="16" x14ac:dyDescent="0.2">
      <c r="A473" s="11" t="s">
        <v>73</v>
      </c>
      <c r="B473" s="12">
        <v>8976.1</v>
      </c>
      <c r="C473" s="11" t="s">
        <v>17</v>
      </c>
      <c r="D473" s="11" t="s">
        <v>13</v>
      </c>
      <c r="F473" s="11" t="s">
        <v>12</v>
      </c>
      <c r="G473" s="11" t="s">
        <v>74</v>
      </c>
      <c r="H473" s="11" t="inlineStr">
        <is>
          <t>APPROVED SOEC FERRITIC INTERCONNECT REFERENCE, issue95, 2026-10-18. 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 Sourceflow8976.1kg is treated as the interconnectplate package based on originalmanufacturingdiagram,not9tair-electrodecatalyst. AdoptCrofer22APU-type reference for THIS stackinput only; do not replace ordinaryBoP18/8heat exchangers. Preserve8976.1kgfinishedsteel and8976.1kgexistingrollingservice; mass derives labstackscaleup and is NOT independently validated industrialMWgeometry. Preserve priorLSM,PrNi,ceramics,stackreplacement andlearning. Reference alloy massfractions={'Cr': 0.22, 'Mn': 0.005, 'Ti': 0.001, 'La': 0.001, 'Si': 0.001, 'Al': 0.0005, 'Cu': 0.0005, 'C': 0.0001, 'P': 5e-05, 'S': 5e-05, 'Fe': 0.7708}. Midrange/lowresidual choices are explicit assumptions within publishedranges,not measured heat assay. No intentionalNi addition; unknownresidualNi/othertraceimpurities are NOT provenzero. ActualoldNi8% cannot be claimed quantitatively without suppliercomposition; compareold18/8 as sensitivity. Cr20-24,Mn0.3-0.8,La0.04-0.20wt% sensitivities. Fe usesunalloyedsteel as feed-gradeproxy,withitsownminoralloys unresolved; completecomponentmetaluse is not identical toelementalpureFe. Addalloyingmaterialsonce and0.5kWh+2MJ/kgremeltingreference (0.25-1kWh/1-4MJsensitivity),not a completeCrsteel production dataset on top. Matchfinishedsteelmass1kgwith100%finalalloyretention; alloyingyield/slag andtracepickup remain gaps. La metal unavailable: explicit netoxide/carbon electrolyticreference La2O3+1.5C-&gt;2La+1.5CO2,95%metalretention,10kWh/kg+3MJ/kgassumed; fluoridebathmakeup,PFCemissions,purification andcalcium-route alternatives unresolved. Thisisstoichiometricnetelectrolysis,NOTthermal carbothermic reduction orvalidatedvendorLa process. Metalrejectgenericinertdisposal; La/C/O/massclose. FinishedinterconnectEOLexistingsteelcollection amount retained; genericsteelroute doesnotvalidatealloy-specificrecycling orrecoverycredits. Native/YAML/runtime/primary-secondaryshares untouched.</t>
        </is>
      </c>
      <c r="J473"/>
      <c r="K473" s="19"/>
      <c r="L473" s="19"/>
      <c r="M473" s="19"/>
      <c r="N473" s="19"/>
      <c r="O473" s="19"/>
      <c r="P473" s="19"/>
      <c r="Q473"/>
      <c r="R473"/>
    </row>
    <row r="474" spans="1:20" s="11" customFormat="1" ht="16" x14ac:dyDescent="0.2">
      <c r="A474" s="11" t="inlineStr">
        <is>
          <t xml:space="preserve">ferritic steel production, electrolysis interconnect, Crofer 22 APU type</t>
        </is>
      </c>
      <c r="B474" s="12">
        <v>8976.1</v>
      </c>
      <c r="C474" s="11" t="inlineStr">
        <is>
          <t>GLO</t>
        </is>
      </c>
      <c r="D474" s="11" t="s">
        <v>13</v>
      </c>
      <c r="F474" s="11" t="s">
        <v>12</v>
      </c>
      <c r="G474" s="11" t="inlineStr">
        <is>
          <t xml:space="preserve">ferritic steel, electrolysis interconnect, Crofer 22 APU type</t>
        </is>
      </c>
      <c r="H474" s="11" t="inlineStr">
        <is>
          <t>APPROVED SOEC FERRITIC INTERCONNECT REFERENCE, issue95, 2026-10-18. 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 Sourceflow8976.1kg is treated as the interconnectplate package based on originalmanufacturingdiagram,not9tair-electrodecatalyst. AdoptCrofer22APU-type reference for THIS stackinput only; do not replace ordinaryBoP18/8heat exchangers. Preserve8976.1kgfinishedsteel and8976.1kgexistingrollingservice; mass derives labstackscaleup and is NOT independently validated industrialMWgeometry. Preserve priorLSM,PrNi,ceramics,stackreplacement andlearning. Reference alloy massfractions={'Cr': 0.22, 'Mn': 0.005, 'Ti': 0.001, 'La': 0.001, 'Si': 0.001, 'Al': 0.0005, 'Cu': 0.0005, 'C': 0.0001, 'P': 5e-05, 'S': 5e-05, 'Fe': 0.7708}. Midrange/lowresidual choices are explicit assumptions within publishedranges,not measured heat assay. No intentionalNi addition; unknownresidualNi/othertraceimpurities are NOT provenzero. ActualoldNi8% cannot be claimed quantitatively without suppliercomposition; compareold18/8 as sensitivity. Cr20-24,Mn0.3-0.8,La0.04-0.20wt% sensitivities. Fe usesunalloyedsteel as feed-gradeproxy,withitsownminoralloys unresolved; completecomponentmetaluse is not identical toelementalpureFe. Addalloyingmaterialsonce and0.5kWh+2MJ/kgremeltingreference (0.25-1kWh/1-4MJsensitivity),not a completeCrsteel production dataset on top. Matchfinishedsteelmass1kgwith100%finalalloyretention; alloyingyield/slag andtracepickup remain gaps. La metal unavailable: explicit netoxide/carbon electrolyticreference La2O3+1.5C-&gt;2La+1.5CO2,95%metalretention,10kWh/kg+3MJ/kgassumed; fluoridebathmakeup,PFCemissions,purification andcalcium-route alternatives unresolved. Thisisstoichiometricnetelectrolysis,NOTthermal carbothermic reduction orvalidatedvendorLa process. Metalrejectgenericinertdisposal; La/C/O/massclose. FinishedinterconnectEOLexistingsteelcollection amount retained; genericsteelroute doesnotvalidatealloy-specificrecycling orrecoverycredits. Native/YAML/runtime/primary-secondaryshares untouched.</t>
        </is>
      </c>
      <c r="J474"/>
      <c r="K474" s="19"/>
      <c r="L474" s="19"/>
      <c r="M474" s="19"/>
      <c r="N474" s="19"/>
      <c r="O474" s="19"/>
      <c r="P474" s="19"/>
      <c r="Q474"/>
      <c r="R474"/>
    </row>
    <row r="475" spans="1:20" s="11" customFormat="1" ht="16" x14ac:dyDescent="0.2">
      <c r="A475" s="11" t="s">
        <v>155</v>
      </c>
      <c r="B475" s="12">
        <v>9</v>
      </c>
      <c r="C475" s="11" t="s">
        <v>17</v>
      </c>
      <c r="D475" s="11" t="s">
        <v>13</v>
      </c>
      <c r="F475" s="11" t="s">
        <v>12</v>
      </c>
      <c r="G475" s="11" t="s">
        <v>156</v>
      </c>
      <c r="H475" s="11" t="s">
        <v>157</v>
      </c>
      <c r="J475"/>
      <c r="K475" s="19"/>
      <c r="L475" s="19"/>
      <c r="M475" s="19"/>
      <c r="N475" s="19"/>
      <c r="O475" s="19"/>
      <c r="P475" s="19"/>
      <c r="Q475"/>
      <c r="R475"/>
    </row>
    <row r="476" spans="1:20" s="11" customFormat="1" ht="16" x14ac:dyDescent="0.2">
      <c r="A476" s="11" t="s">
        <v>131</v>
      </c>
      <c r="B476" s="12">
        <v>7.5</v>
      </c>
      <c r="C476" s="11" t="s">
        <v>17</v>
      </c>
      <c r="D476" s="11" t="s">
        <v>13</v>
      </c>
      <c r="F476" s="11" t="s">
        <v>12</v>
      </c>
      <c r="G476" s="11" t="s">
        <v>132</v>
      </c>
      <c r="H476" s="11" t="s">
        <v>157</v>
      </c>
      <c r="J476"/>
      <c r="K476" s="19"/>
      <c r="L476" s="19"/>
      <c r="M476" s="19"/>
      <c r="N476" s="19"/>
      <c r="O476" s="19"/>
      <c r="P476" s="19"/>
      <c r="Q476"/>
      <c r="R476"/>
    </row>
    <row r="477" spans="1:20" s="11" customFormat="1" ht="16" x14ac:dyDescent="0.2">
      <c r="A477" t="inlineStr">
        <is>
          <t>market for zirconium oxide</t>
        </is>
      </c>
      <c r="B477">
        <v>160.0199108606363</v>
      </c>
      <c r="C477" s="11" t="s">
        <v>17</v>
      </c>
      <c r="D477" s="11" t="s">
        <v>13</v>
      </c>
      <c r="F477" s="11" t="s">
        <v>12</v>
      </c>
      <c r="G477" t="inlineStr">
        <is>
          <t>zirconium oxide</t>
        </is>
      </c>
      <c r="H477" t="inlineStr">
        <is>
          <t>YSZ ceramic component. SOEC matched ceramic reference v1. YSZ: 8 mol% Y2O3 among binary oxides; YDC: Ce0.8Y0.2O1.9 (20% Y on cation sites). Gerloff 2021 capacity scaling of the attributed Haefele 2016 component masses, not concentrate mass treated as pure oxide. Mixed Sm/Eu/Gd proxy replaced by stoichiometric Y2O3. See data/metals/soec_ceramic_reference.json for source-access limits, explicit composition/scaling assumptions and remaining whole-stack gaps.</t>
        </is>
      </c>
      <c r="J477"/>
      <c r="K477" s="19"/>
      <c r="L477" s="19"/>
      <c r="M477" s="19"/>
      <c r="N477" s="19"/>
      <c r="O477" s="19"/>
      <c r="P477" s="19"/>
      <c r="Q477"/>
      <c r="R477"/>
    </row>
    <row r="478" spans="1:20" s="11" customFormat="1" ht="16" x14ac:dyDescent="0.2">
      <c r="A478" t="inlineStr">
        <is>
          <t>market for yttrium oxide</t>
        </is>
      </c>
      <c r="B478">
        <v>25.49931784143426</v>
      </c>
      <c r="C478" s="11" t="s">
        <v>17</v>
      </c>
      <c r="D478" s="11" t="s">
        <v>13</v>
      </c>
      <c r="F478" s="11" t="s">
        <v>12</v>
      </c>
      <c r="G478" t="inlineStr">
        <is>
          <t>yttrium oxide</t>
        </is>
      </c>
      <c r="H478" t="inlineStr">
        <is>
          <t>YSZ ceramic component. SOEC matched ceramic reference v1. YSZ: 8 mol% Y2O3 among binary oxides; YDC: Ce0.8Y0.2O1.9 (20% Y on cation sites). Gerloff 2021 capacity scaling of the attributed Haefele 2016 component masses, not concentrate mass treated as pure oxide. Mixed Sm/Eu/Gd proxy replaced by stoichiometric Y2O3. See data/metals/soec_ceramic_reference.json for source-access limits, explicit composition/scaling assumptions and remaining whole-stack gaps.</t>
        </is>
      </c>
      <c r="J478"/>
      <c r="K478" s="19"/>
      <c r="L478" s="19"/>
      <c r="M478" s="19"/>
      <c r="N478" s="19"/>
      <c r="O478" s="19"/>
      <c r="P478" s="19"/>
      <c r="Q478"/>
      <c r="R478"/>
    </row>
    <row r="479" spans="1:20" s="11" customFormat="1" ht="16" x14ac:dyDescent="0.2">
      <c r="A479" t="inlineStr">
        <is>
          <t>market for cerium oxide</t>
        </is>
      </c>
      <c r="B479">
        <v>98.25386326929126</v>
      </c>
      <c r="C479" s="11" t="s">
        <v>17</v>
      </c>
      <c r="D479" s="11" t="s">
        <v>13</v>
      </c>
      <c r="F479" s="11" t="s">
        <v>12</v>
      </c>
      <c r="G479" t="inlineStr">
        <is>
          <t>cerium oxide</t>
        </is>
      </c>
      <c r="H479" t="inlineStr">
        <is>
          <t>YDC ceramic component. SOEC matched ceramic reference v1. YSZ: 8 mol% Y2O3 among binary oxides; YDC: Ce0.8Y0.2O1.9 (20% Y on cation sites). Gerloff 2021 capacity scaling of the attributed Haefele 2016 component masses, not concentrate mass treated as pure oxide. Mixed Sm/Eu/Gd proxy replaced by stoichiometric Y2O3. See data/metals/soec_ceramic_reference.json for source-access limits, explicit composition/scaling assumptions and remaining whole-stack gaps.</t>
        </is>
      </c>
      <c r="J479"/>
      <c r="K479" s="19"/>
      <c r="L479" s="19"/>
      <c r="M479" s="19"/>
      <c r="N479" s="19"/>
      <c r="O479" s="19"/>
      <c r="P479" s="19"/>
      <c r="Q479"/>
      <c r="R479"/>
    </row>
    <row r="480" spans="1:20" s="11" customFormat="1" ht="16" x14ac:dyDescent="0.2">
      <c r="A480" t="inlineStr">
        <is>
          <t>market for yttrium oxide</t>
        </is>
      </c>
      <c r="B480">
        <v>16.113284777632224</v>
      </c>
      <c r="C480" s="11" t="s">
        <v>17</v>
      </c>
      <c r="D480" s="11" t="s">
        <v>13</v>
      </c>
      <c r="F480" s="11" t="s">
        <v>12</v>
      </c>
      <c r="G480" t="inlineStr">
        <is>
          <t>yttrium oxide</t>
        </is>
      </c>
      <c r="H480" t="inlineStr">
        <is>
          <t>YDC ceramic component. SOEC matched ceramic reference v1. YSZ: 8 mol% Y2O3 among binary oxides; YDC: Ce0.8Y0.2O1.9 (20% Y on cation sites). Gerloff 2021 capacity scaling of the attributed Haefele 2016 component masses, not concentrate mass treated as pure oxide. Mixed Sm/Eu/Gd proxy replaced by stoichiometric Y2O3. See data/metals/soec_ceramic_reference.json for source-access limits, explicit composition/scaling assumptions and remaining whole-stack gaps.</t>
        </is>
      </c>
      <c r="J480"/>
      <c r="K480" s="19"/>
      <c r="L480" s="19"/>
      <c r="M480" s="19"/>
      <c r="N480" s="19"/>
      <c r="O480" s="19"/>
      <c r="P480" s="19"/>
      <c r="Q480"/>
      <c r="R480"/>
    </row>
    <row r="481" spans="1:18" s="11" customFormat="1" ht="16" x14ac:dyDescent="0.2">
      <c r="A481" s="11" t="inlineStr">
        <is>
          <t xml:space="preserve">contact ceramic production, lanthanum strontium manganite, La0.8Sr0.2MnO3</t>
        </is>
      </c>
      <c r="B481" s="12">
        <f>2.1</f>
        <v>2.1</v>
      </c>
      <c r="C481" s="11" t="inlineStr">
        <is>
          <t>GLO</t>
        </is>
      </c>
      <c r="D481" s="11" t="s">
        <v>13</v>
      </c>
      <c r="F481" s="11" t="s">
        <v>12</v>
      </c>
      <c r="G481" s="11" t="inlineStr">
        <is>
          <t xml:space="preserve">contact ceramic, lanthanum strontium manganite, La0.8Sr0.2MnO3</t>
        </is>
      </c>
      <c r="H481" s="11" t="inlineStr">
        <is>
          <t>APPROVED COMPLETE SOEC LSM REFERENCE, issue94, 2026-10-18. 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 Replace uncertain21kgLa2O3+21kgSrCO3 placeholders (both formerly to-check) by2.1kgfinishedLa0.8Sr0.2MnO3 perexistingMWstack. This is an explicit published-reference adoption, NOT recovered manufacturer BOM or proof that originalGerloff21kg meant2.1kg. Source-dose sensitivity2.1-21kgfinishedLSM required; old42kgrawsalts is not a chemically defined alternative. La0.8Sr0.2MnO3 is selected nominal oxygen-stoichiometric LSM; actual Sr doping/oxygen nonstoichiometry/contact-layer loading remain gaps. Net reaction0.4La2O3+0.2SrCO3+MnO2 -&gt;La0.8Sr0.2MnO3+0.2CO2+0.2O2. Use95% finished-solid retention,100% conversion before5%handlingreject; yields90-100%sensitivity. Perkgfinished feeds={'La2O3': 0.5923666319735489, 'SrCO3': 0.13420468074687047, 'MnO2': 0.3951562044603966};CO2=0.040007409129630044kg,O2=0.02908852910381745kg,reject=0.05263157894736836kg.6MJ/kgheat+1kWh/kgmilling/sintering is an engineering allowance,not measured industrial calcination (3-12MJ and0.5-2kWhsensitivity). All stoichiometric C/La/Sr/Mn/O and mass close. No nitric-acid/chloroacetic-acid/ammonia route or unsupported metal-free binder is silently copied. Keep totalfinished2.1kg distinct from grossprecursorfeed. Newsolidwaste andfinishedceramic EOL use genericinertdisposal,not validated heavy-metal-specific treatment/recovery. Existing Pr/Ni air-electrode,YSZ/YDCfutureco-scaling,glassseal,steelmass,lifetimes andoperatingH2energy unchanged. No primary/secondary-share or runtime changes.</t>
        </is>
      </c>
      <c r="J481"/>
      <c r="K481" s="19"/>
      <c r="L481" s="19"/>
      <c r="M481" s="19"/>
      <c r="N481" s="19"/>
      <c r="O481" s="19"/>
      <c r="P481" s="19"/>
      <c r="Q481"/>
      <c r="R481"/>
    </row>
    <row r="482" spans="1:18" s="11" customFormat="1" ht="16" x14ac:dyDescent="0.2">
      <c r="A482" s="11"/>
      <c r="B482" s="12"/>
      <c r="C482" s="11"/>
      <c r="D482" s="11"/>
      <c r="F482" s="11"/>
      <c r="G482" s="11"/>
      <c r="H482" s="11"/>
      <c r="J482"/>
      <c r="K482" s="19"/>
      <c r="L482" s="19"/>
      <c r="M482" s="19"/>
      <c r="N482" s="19"/>
      <c r="O482" s="19"/>
      <c r="P482" s="19"/>
      <c r="Q482"/>
      <c r="R482"/>
    </row>
    <row r="483" spans="1:18" s="11" customFormat="1" ht="16" x14ac:dyDescent="0.2">
      <c r="A483" s="11" t="inlineStr">
        <is>
          <t xml:space="preserve">glass seal production, SOEC, barium alumino-borosilicate</t>
        </is>
      </c>
      <c r="B483" s="12">
        <v>25.6</v>
      </c>
      <c r="C483" s="11" t="inlineStr">
        <is>
          <t>GLO</t>
        </is>
      </c>
      <c r="D483" s="11" t="s">
        <v>13</v>
      </c>
      <c r="F483" s="11" t="s">
        <v>12</v>
      </c>
      <c r="G483" s="11" t="inlineStr">
        <is>
          <t xml:space="preserve">glass seal, SOEC, barium alumino-borosilicate</t>
        </is>
      </c>
      <c r="H483" s="11" t="inlineStr">
        <is>
          <t>APPROVED SOEC INORGANIC GLASS-SEAL REFERENCE, issue91, 2026-10-18. Sun,Xiao,Guo,Hong2010,CeramicsInternational36:821-826,DOI10.1016/j.ceramint.2009.09.045,experimentalBaO-Al2O3-B2O3-SiO2glassfamily:base40BaO/20B2O3/40SiO2mol%,Al2O3replacesB2O3/SiO2atconstant2:1Si/Boxide-moleratio;5mol%Alvariantidentifiedasstable,melting1400-1500Cfor1hour. https://www.sciencedirect.com/science/article/pii/S0272884209003812 . ExistingGerloff2021sealantmass4*6.4kg retained. SiliconepolymerisnotSiO2glassformer. Replacefour6.4kgingredients(Al2O3,B2O3,BaO,silicone)by25.6kgofonefinishedglassreference. Select/reconstruct5mol%Al2O3member:40BaO,5Al2O3,18.333333B2O3,36.666667SiO2mol%;theseareoxideMOLfractions,notweightfractions. Correspondingretainedweightfractions={'BaO': 0.6059001794302946, 'Al2O3': 0.05036460625483175, 'B2O3': 0.12609040016734147, 'SiO2': 0.21764481414753226}. Total25.6kgfinishedsealisinheritedengineeringmass,notmeasuredfromthispublishedglassdesign;sourceTable1fullcompositionwasnotindependentlyrecovered,recipeisexplicitreconstructionfrompublishedseriesdescription. UsingSOFCsealingglassasSOECanalogue doesnotdemonstrateactualstacksealgeometry,thermalcycling,dual-atmospherecompatibilityorleaktightness. PurchaseactualBaO,Al2O3,B2O3,SiO2equivalentsscaledby1/0.95forselected95%melting/formingretention,withmatchedsolidglassreject1/.95-1kg/kgtoexistingmixedhazardoustreatmentproxy;volatilizedB/alkalicomponentsandactualwasteclassificationunresolved.6MJ/kgthermaland1kWh/kgmilling/formingareexplicitengineeringutilityallowancesfor1450Cmelting/quenching,notmeasuredsourceutilities;test3-12MJ/kg,0.2-2kWh/kgand90-100%retention. SilicasandisbulkSiO2purityproxy,nonmetallurgicalaluminaisspecialtyoxideproxy;semiconductorgradepurificationnotclaimed. ExistingapprovedYSZ/YDCchemistryandfutureY/Ce/Zrco-scaling,Ni/La/Sr/Prpurchases,steel,stackreplacementandhydrogenoutputallocationunchanged. Do notreduceentirestackorapplyfuturedensitylearningtosealwithoutsource. No newnative/runtime/YAMLchangesorprimary-secondarycredit.</t>
        </is>
      </c>
      <c r="J483"/>
      <c r="K483" s="19"/>
      <c r="L483" s="19"/>
      <c r="M483" s="19"/>
      <c r="N483" s="19"/>
      <c r="O483" s="19"/>
      <c r="P483" s="19"/>
      <c r="Q483"/>
      <c r="R483"/>
    </row>
    <row r="484" spans="1:18" s="11" customFormat="1" ht="16" x14ac:dyDescent="0.2">
      <c r="A484" s="11"/>
      <c r="B484" s="12"/>
      <c r="C484" s="11"/>
      <c r="D484" s="11"/>
      <c r="F484" s="11"/>
      <c r="G484" s="11"/>
      <c r="H484" s="11"/>
      <c r="J484"/>
      <c r="K484" s="19"/>
      <c r="L484" s="19"/>
      <c r="M484" s="19"/>
      <c r="N484" s="19"/>
      <c r="O484" s="19"/>
      <c r="P484" s="19"/>
      <c r="Q484"/>
      <c r="R484"/>
    </row>
    <row r="485" spans="1:18" s="11" customFormat="1" ht="16" x14ac:dyDescent="0.2">
      <c r="A485" s="11"/>
      <c r="B485" s="12"/>
      <c r="C485" s="11"/>
      <c r="D485" s="11"/>
      <c r="F485" s="11"/>
      <c r="G485" s="11"/>
      <c r="H485" s="11"/>
      <c r="J485"/>
      <c r="K485" s="19"/>
      <c r="L485" s="19"/>
      <c r="M485" s="19"/>
      <c r="N485" s="19"/>
      <c r="O485" s="19"/>
      <c r="P485" s="19"/>
      <c r="Q485"/>
      <c r="R485"/>
    </row>
    <row r="486" spans="1:18" s="11" customFormat="1" ht="16" x14ac:dyDescent="0.2">
      <c r="A486" s="11"/>
      <c r="B486" s="12"/>
      <c r="C486" s="11"/>
      <c r="D486" s="11"/>
      <c r="F486" s="11"/>
      <c r="G486" s="11"/>
      <c r="H486" s="11"/>
      <c r="J486"/>
      <c r="K486" s="19"/>
      <c r="L486" s="19"/>
      <c r="M486" s="19"/>
      <c r="N486" s="19"/>
      <c r="O486" s="19"/>
      <c r="P486" s="19"/>
      <c r="Q486"/>
      <c r="R486"/>
    </row>
    <row r="487" spans="1:18" s="11" customFormat="1" ht="16" x14ac:dyDescent="0.2">
      <c r="A487" s="11" t="s">
        <v>131</v>
      </c>
      <c r="B487" s="12">
        <v>136.6</v>
      </c>
      <c r="C487" s="11" t="s">
        <v>17</v>
      </c>
      <c r="D487" s="11" t="s">
        <v>13</v>
      </c>
      <c r="F487" s="11" t="s">
        <v>12</v>
      </c>
      <c r="G487" s="11" t="s">
        <v>132</v>
      </c>
      <c r="H487" s="11" t="s">
        <v>178</v>
      </c>
      <c r="J487"/>
      <c r="K487" s="19"/>
      <c r="L487" s="19"/>
      <c r="M487" s="19"/>
      <c r="N487" s="19"/>
      <c r="O487" s="19"/>
      <c r="P487" s="19"/>
      <c r="Q487"/>
      <c r="R487"/>
    </row>
    <row r="488" spans="1:18" s="11" customFormat="1" ht="16" x14ac:dyDescent="0.2">
      <c r="A488" s="11" t="s">
        <v>33</v>
      </c>
      <c r="B488" s="12">
        <v>122224.433</v>
      </c>
      <c r="C488" s="11" t="s">
        <v>17</v>
      </c>
      <c r="D488" s="11" t="s">
        <v>35</v>
      </c>
      <c r="F488" s="11" t="s">
        <v>12</v>
      </c>
      <c r="G488" s="11" t="s">
        <v>36</v>
      </c>
      <c r="H488" s="11" t="s">
        <v>79</v>
      </c>
      <c r="J488"/>
      <c r="K488" s="19"/>
      <c r="L488" s="19"/>
      <c r="M488" s="19"/>
      <c r="N488" s="19"/>
      <c r="O488" s="19"/>
      <c r="P488" s="19"/>
      <c r="Q488"/>
      <c r="R488"/>
    </row>
    <row r="489" spans="1:18" s="11" customFormat="1" ht="16" x14ac:dyDescent="0.2">
      <c r="B489" s="12"/>
      <c r="F489" s="10"/>
      <c r="G489" s="10"/>
      <c r="K489" s="12"/>
      <c r="L489" s="12"/>
      <c r="M489" s="12"/>
      <c r="N489" s="12"/>
      <c r="O489" s="12"/>
      <c r="P489" s="12"/>
    </row>
    <row r="490" spans="1:18" s="11" customFormat="1" ht="16" x14ac:dyDescent="0.2">
      <c r="A490" s="8" t="s">
        <v>1</v>
      </c>
      <c r="B490" s="9" t="s">
        <v>512</v>
      </c>
      <c r="K490" s="12"/>
      <c r="L490" s="12"/>
      <c r="M490" s="12"/>
      <c r="N490" s="12"/>
      <c r="O490" s="12"/>
      <c r="P490" s="12"/>
    </row>
    <row r="491" spans="1:18" s="11" customFormat="1" ht="16" x14ac:dyDescent="0.2">
      <c r="A491" s="13" t="s">
        <v>3</v>
      </c>
      <c r="B491" s="14">
        <v>1</v>
      </c>
      <c r="K491" s="12"/>
      <c r="L491" s="12"/>
      <c r="M491" s="12"/>
      <c r="N491" s="12"/>
      <c r="O491" s="12"/>
      <c r="P491" s="12"/>
    </row>
    <row r="492" spans="1:18" s="11" customFormat="1" ht="16" x14ac:dyDescent="0.2">
      <c r="A492" s="13" t="s">
        <v>11</v>
      </c>
      <c r="B492" s="14" t="inlineStr">
        <is>
          <t>APPROVED COMPLETE SOEC LSM REFERENCE, issue94, 2026-10-18. 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 Replace uncertain21kgLa2O3+21kgSrCO3 placeholders (both formerly to-check) by2.1kgfinishedLa0.8Sr0.2MnO3 perexistingMWstack. This is an explicit published-reference adoption, NOT recovered manufacturer BOM or proof that originalGerloff21kg meant2.1kg. Source-dose sensitivity2.1-21kgfinishedLSM required; old42kgrawsalts is not a chemically defined alternative. La0.8Sr0.2MnO3 is selected nominal oxygen-stoichiometric LSM; actual Sr doping/oxygen nonstoichiometry/contact-layer loading remain gaps. Net reaction0.4La2O3+0.2SrCO3+MnO2 -&gt;La0.8Sr0.2MnO3+0.2CO2+0.2O2. Use95% finished-solid retention,100% conversion before5%handlingreject; yields90-100%sensitivity. Perkgfinished feeds={'La2O3': 0.5923666319735489, 'SrCO3': 0.13420468074687047, 'MnO2': 0.3951562044603966};CO2=0.040007409129630044kg,O2=0.02908852910381745kg,reject=0.05263157894736836kg.6MJ/kgheat+1kWh/kgmilling/sintering is an engineering allowance,not measured industrial calcination (3-12MJ and0.5-2kWhsensitivity). All stoichiometric C/La/Sr/Mn/O and mass close. No nitric-acid/chloroacetic-acid/ammonia route or unsupported metal-free binder is silently copied. Keep totalfinished2.1kg distinct from grossprecursorfeed. Newsolidwaste andfinishedceramic EOL use genericinertdisposal,not validated heavy-metal-specific treatment/recovery. Existing Pr/Ni air-electrode,YSZ/YDCfutureco-scaling,glassseal,steelmass,lifetimes andoperatingH2energy unchanged. No primary/secondary-share or runtime changes.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492" s="12"/>
      <c r="L492" s="12"/>
      <c r="M492" s="12"/>
      <c r="N492" s="12"/>
      <c r="O492" s="12"/>
      <c r="P492" s="12"/>
    </row>
    <row r="493" spans="1:18" s="11" customFormat="1" ht="16" x14ac:dyDescent="0.2">
      <c r="A493" s="13" t="s">
        <v>4</v>
      </c>
      <c r="B493" s="16" t="s">
        <v>513</v>
      </c>
      <c r="K493" s="12"/>
      <c r="L493" s="12"/>
      <c r="M493" s="12"/>
      <c r="N493" s="12"/>
      <c r="O493" s="12"/>
      <c r="P493" s="12"/>
    </row>
    <row r="494" spans="1:18" s="11" customFormat="1" ht="16" x14ac:dyDescent="0.2">
      <c r="A494" s="13" t="s">
        <v>2</v>
      </c>
      <c r="B494" s="14" t="s">
        <v>34</v>
      </c>
      <c r="K494" s="12"/>
      <c r="L494" s="12"/>
      <c r="M494" s="12"/>
      <c r="N494" s="12"/>
      <c r="O494" s="12"/>
      <c r="P494" s="12"/>
    </row>
    <row r="495" spans="1:18" s="11" customFormat="1" ht="16" x14ac:dyDescent="0.2">
      <c r="A495" s="13" t="s">
        <v>6</v>
      </c>
      <c r="B495" s="16" t="s">
        <v>6</v>
      </c>
      <c r="K495" s="12"/>
      <c r="L495" s="12"/>
      <c r="M495" s="12"/>
      <c r="N495" s="12"/>
      <c r="O495" s="12"/>
      <c r="P495" s="12"/>
    </row>
    <row r="496" spans="1:18" s="11" customFormat="1" ht="16" x14ac:dyDescent="0.2">
      <c r="A496" s="17" t="s">
        <v>7</v>
      </c>
      <c r="B496" s="9"/>
      <c r="C496" s="17"/>
      <c r="D496" s="17"/>
      <c r="E496" s="17"/>
      <c r="F496" s="17"/>
      <c r="G496" s="17"/>
      <c r="H496" s="17"/>
      <c r="I496" s="17"/>
      <c r="J496" s="17"/>
      <c r="K496" s="12"/>
      <c r="L496" s="12"/>
      <c r="M496" s="12"/>
      <c r="N496" s="12"/>
      <c r="O496" s="12"/>
      <c r="P496" s="12"/>
    </row>
    <row r="497" spans="1:20" s="11" customFormat="1" ht="16" x14ac:dyDescent="0.2">
      <c r="A497" s="17" t="s">
        <v>8</v>
      </c>
      <c r="B497" s="9" t="s">
        <v>9</v>
      </c>
      <c r="C497" s="17" t="s">
        <v>2</v>
      </c>
      <c r="D497" s="17" t="s">
        <v>6</v>
      </c>
      <c r="E497" s="23" t="s">
        <v>10</v>
      </c>
      <c r="F497" s="17" t="s">
        <v>5</v>
      </c>
      <c r="G497" s="17" t="s">
        <v>4</v>
      </c>
      <c r="H497" s="23" t="s">
        <v>11</v>
      </c>
      <c r="I497" s="17"/>
      <c r="J497" s="7"/>
      <c r="K497" s="18"/>
      <c r="L497" s="18"/>
      <c r="M497" s="18"/>
      <c r="N497" s="18"/>
      <c r="O497" s="18"/>
      <c r="P497" s="18"/>
      <c r="Q497" s="7"/>
      <c r="R497" s="7"/>
      <c r="S497" s="17"/>
      <c r="T497" s="7"/>
    </row>
    <row r="498" spans="1:20" s="11" customFormat="1" ht="16" x14ac:dyDescent="0.2">
      <c r="A498" s="16" t="str">
        <f>B490</f>
        <v>treatment of electrolyzer stack, 1MWe, SOEC</v>
      </c>
      <c r="B498" s="12">
        <v>-1</v>
      </c>
      <c r="C498" s="11" t="s">
        <v>34</v>
      </c>
      <c r="D498" s="11" t="str">
        <f>B495</f>
        <v>unit</v>
      </c>
      <c r="F498" s="11" t="s">
        <v>16</v>
      </c>
      <c r="G498" s="11" t="str">
        <f>B493</f>
        <v>used electrolyzer stack, 1MWe, SOEC</v>
      </c>
      <c r="H498" t="inlineStr">
        <is>
          <t>APPROVED COMPLETE SOEC LSM REFERENCE, issue94, 2026-10-18. 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 Replace uncertain21kgLa2O3+21kgSrCO3 placeholders (both formerly to-check) by2.1kgfinishedLa0.8Sr0.2MnO3 perexistingMWstack. This is an explicit published-reference adoption, NOT recovered manufacturer BOM or proof that originalGerloff21kg meant2.1kg. Source-dose sensitivity2.1-21kgfinishedLSM required; old42kgrawsalts is not a chemically defined alternative. La0.8Sr0.2MnO3 is selected nominal oxygen-stoichiometric LSM; actual Sr doping/oxygen nonstoichiometry/contact-layer loading remain gaps. Net reaction0.4La2O3+0.2SrCO3+MnO2 -&gt;La0.8Sr0.2MnO3+0.2CO2+0.2O2. Use95% finished-solid retention,100% conversion before5%handlingreject; yields90-100%sensitivity. Perkgfinished feeds={'La2O3': 0.5923666319735489, 'SrCO3': 0.13420468074687047, 'MnO2': 0.3951562044603966};CO2=0.040007409129630044kg,O2=0.02908852910381745kg,reject=0.05263157894736836kg.6MJ/kgheat+1kWh/kgmilling/sintering is an engineering allowance,not measured industrial calcination (3-12MJ and0.5-2kWhsensitivity). All stoichiometric C/La/Sr/Mn/O and mass close. No nitric-acid/chloroacetic-acid/ammonia route or unsupported metal-free binder is silently copied. Keep totalfinished2.1kg distinct from grossprecursorfeed. Newsolidwaste andfinishedceramic EOL use genericinertdisposal,not validated heavy-metal-specific treatment/recovery. Existing Pr/Ni air-electrode,YSZ/YDCfutureco-scaling,glassseal,steelmass,lifetimes andoperatingH2energy unchanged. No primary/secondary-share or runtime changes.</t>
        </is>
      </c>
      <c r="K498" s="12"/>
      <c r="L498" s="12"/>
      <c r="M498" s="12"/>
      <c r="N498" s="12"/>
      <c r="O498" s="12"/>
      <c r="P498" s="12"/>
    </row>
    <row r="499" spans="1:20" s="11" customFormat="1" ht="16" x14ac:dyDescent="0.2">
      <c r="A499" s="16" t="s">
        <v>204</v>
      </c>
      <c r="B499" s="11">
        <f>-1*B474</f>
        <v>-8976.1</v>
      </c>
      <c r="C499" s="11" t="s">
        <v>37</v>
      </c>
      <c r="D499" s="11" t="s">
        <v>13</v>
      </c>
      <c r="F499" s="11" t="s">
        <v>12</v>
      </c>
      <c r="G499" s="11" t="s">
        <v>205</v>
      </c>
      <c r="J499"/>
      <c r="K499" s="19"/>
      <c r="L499" s="19"/>
      <c r="M499" s="19"/>
      <c r="N499" s="19"/>
      <c r="O499" s="19"/>
      <c r="P499" s="19"/>
      <c r="Q499"/>
      <c r="R499"/>
    </row>
    <row r="500" spans="1:20" s="11" customFormat="1" ht="16" x14ac:dyDescent="0.2">
      <c r="A500" t="inlineStr">
        <is>
          <t>market for inert waste, for final disposal</t>
        </is>
      </c>
      <c r="B500" s="16">
        <v>-2.1</v>
      </c>
      <c r="C500" t="inlineStr">
        <is>
          <t>RoW</t>
        </is>
      </c>
      <c r="D500" t="inlineStr">
        <is>
          <t>kilogram</t>
        </is>
      </c>
      <c r="F500" t="inlineStr">
        <is>
          <t>technosphere</t>
        </is>
      </c>
      <c r="G500" t="inlineStr">
        <is>
          <t>inert waste, for final disposal</t>
        </is>
      </c>
      <c r="H500" t="inlineStr">
        <is>
          <t>APPROVED COMPLETE SOEC LSM REFERENCE, issue94, 2026-10-18. 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 Replace uncertain21kgLa2O3+21kgSrCO3 placeholders (both formerly to-check) by2.1kgfinishedLa0.8Sr0.2MnO3 perexistingMWstack. This is an explicit published-reference adoption, NOT recovered manufacturer BOM or proof that originalGerloff21kg meant2.1kg. Source-dose sensitivity2.1-21kgfinishedLSM required; old42kgrawsalts is not a chemically defined alternative. La0.8Sr0.2MnO3 is selected nominal oxygen-stoichiometric LSM; actual Sr doping/oxygen nonstoichiometry/contact-layer loading remain gaps. Net reaction0.4La2O3+0.2SrCO3+MnO2 -&gt;La0.8Sr0.2MnO3+0.2CO2+0.2O2. Use95% finished-solid retention,100% conversion before5%handlingreject; yields90-100%sensitivity. Perkgfinished feeds={'La2O3': 0.5923666319735489, 'SrCO3': 0.13420468074687047, 'MnO2': 0.3951562044603966};CO2=0.040007409129630044kg,O2=0.02908852910381745kg,reject=0.05263157894736836kg.6MJ/kgheat+1kWh/kgmilling/sintering is an engineering allowance,not measured industrial calcination (3-12MJ and0.5-2kWhsensitivity). All stoichiometric C/La/Sr/Mn/O and mass close. No nitric-acid/chloroacetic-acid/ammonia route or unsupported metal-free binder is silently copied. Keep totalfinished2.1kg distinct from grossprecursorfeed. Newsolidwaste andfinishedceramic EOL use genericinertdisposal,not validated heavy-metal-specific treatment/recovery. Existing Pr/Ni air-electrode,YSZ/YDCfutureco-scaling,glassseal,steelmass,lifetimes andoperatingH2energy unchanged. No primary/secondary-share or runtime changes.</t>
        </is>
      </c>
      <c r="K500" s="12"/>
      <c r="L500" s="12"/>
      <c r="M500" s="12"/>
      <c r="N500" s="12"/>
      <c r="O500" s="12"/>
      <c r="P500" s="12"/>
    </row>
    <row r="501" spans="1:20" s="11" customFormat="1" ht="16" x14ac:dyDescent="0.2">
      <c r="A501" s="8" t="s">
        <v>1</v>
      </c>
      <c r="B501" s="9" t="s">
        <v>179</v>
      </c>
      <c r="K501" s="24"/>
      <c r="L501" s="25"/>
      <c r="M501" s="12"/>
      <c r="N501" s="12"/>
      <c r="O501" s="12"/>
      <c r="P501" s="12"/>
    </row>
    <row r="502" spans="1:20" s="11" customFormat="1" ht="16" x14ac:dyDescent="0.2">
      <c r="A502" s="13" t="s">
        <v>3</v>
      </c>
      <c r="B502" s="14">
        <v>1</v>
      </c>
      <c r="K502" s="26"/>
      <c r="L502" s="25"/>
      <c r="M502" s="12"/>
      <c r="N502" s="12"/>
      <c r="O502" s="12"/>
      <c r="P502" s="12"/>
    </row>
    <row r="503" spans="1:20" s="11" customFormat="1" ht="16" x14ac:dyDescent="0.2">
      <c r="A503" s="13" t="s">
        <v>11</v>
      </c>
      <c r="B503" s="14"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PREVIOUS NOTES (retained as history; the correction above takes precedence):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
PREVIOUS NOTES (retained as history; the correction above takes precedence):
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
PREVIOUS NOTES (retained as history; the correction above takes precedence):
1 MWe Solid Oxide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Produced amount of H2 over 20 years: 3779894.18 kg.</t>
        </is>
      </c>
      <c r="K503" s="12"/>
      <c r="L503" s="25"/>
      <c r="M503" s="12"/>
      <c r="N503" s="12"/>
      <c r="O503" s="12"/>
      <c r="P503" s="12"/>
    </row>
    <row r="504" spans="1:20" s="11" customFormat="1" ht="16" x14ac:dyDescent="0.2">
      <c r="A504" s="13" t="s">
        <v>4</v>
      </c>
      <c r="B504" s="16" t="s">
        <v>151</v>
      </c>
      <c r="K504" s="12"/>
      <c r="L504" s="12"/>
      <c r="M504" s="12"/>
      <c r="N504" s="12"/>
      <c r="O504" s="12"/>
      <c r="P504" s="12"/>
    </row>
    <row r="505" spans="1:20" s="11" customFormat="1" ht="16.25" customHeight="1" x14ac:dyDescent="0.2">
      <c r="A505" s="13" t="s">
        <v>2</v>
      </c>
      <c r="B505" s="14" t="s">
        <v>34</v>
      </c>
      <c r="K505" s="12"/>
      <c r="L505" s="12"/>
      <c r="M505" s="12"/>
      <c r="N505" s="12"/>
      <c r="O505" s="12"/>
      <c r="P505" s="12"/>
    </row>
    <row r="506" spans="1:20" s="11" customFormat="1" ht="16" x14ac:dyDescent="0.2">
      <c r="A506" s="13" t="s">
        <v>6</v>
      </c>
      <c r="B506" s="16" t="s">
        <v>6</v>
      </c>
      <c r="H506" s="17"/>
      <c r="I506" s="17"/>
      <c r="K506" s="12"/>
      <c r="L506" s="12"/>
      <c r="M506" s="12"/>
      <c r="N506" s="12"/>
      <c r="O506" s="12"/>
      <c r="P506" s="12"/>
    </row>
    <row r="507" spans="1:20" s="11" customFormat="1" ht="16" x14ac:dyDescent="0.2">
      <c r="A507" s="17" t="s">
        <v>7</v>
      </c>
      <c r="B507" s="9"/>
      <c r="C507" s="17"/>
      <c r="D507" s="17"/>
      <c r="E507" s="17"/>
      <c r="F507" s="17"/>
      <c r="G507" s="17"/>
      <c r="H507" s="10"/>
      <c r="I507" s="10"/>
      <c r="K507" s="12"/>
      <c r="L507" s="12"/>
      <c r="M507" s="12"/>
      <c r="N507" s="12"/>
      <c r="O507" s="12"/>
      <c r="P507" s="12"/>
    </row>
    <row r="508" spans="1:20" s="11" customFormat="1" ht="16" x14ac:dyDescent="0.2">
      <c r="A508" s="17" t="s">
        <v>8</v>
      </c>
      <c r="B508" s="9" t="s">
        <v>9</v>
      </c>
      <c r="C508" s="17" t="s">
        <v>2</v>
      </c>
      <c r="D508" s="17" t="s">
        <v>6</v>
      </c>
      <c r="E508" s="23" t="s">
        <v>10</v>
      </c>
      <c r="F508" s="17" t="s">
        <v>5</v>
      </c>
      <c r="G508" s="17" t="s">
        <v>4</v>
      </c>
      <c r="H508" s="23" t="s">
        <v>11</v>
      </c>
      <c r="I508" s="17"/>
      <c r="J508" s="7"/>
      <c r="K508" s="18"/>
      <c r="L508" s="18"/>
      <c r="M508" s="18"/>
      <c r="N508" s="18"/>
      <c r="O508" s="18"/>
      <c r="P508" s="18"/>
      <c r="Q508" s="7"/>
      <c r="R508" s="7"/>
      <c r="S508" s="17"/>
      <c r="T508" s="7"/>
    </row>
    <row r="509" spans="1:20" s="11" customFormat="1" ht="16" x14ac:dyDescent="0.2">
      <c r="A509" s="16" t="str">
        <f>B501</f>
        <v>electrolyzer production, 1MWe, SOEC, Balance of Plant</v>
      </c>
      <c r="B509" s="16">
        <v>1</v>
      </c>
      <c r="C509" s="11" t="s">
        <v>34</v>
      </c>
      <c r="D509" s="11" t="s">
        <v>6</v>
      </c>
      <c r="F509" s="11" t="s">
        <v>16</v>
      </c>
      <c r="G509" s="16" t="str">
        <f>B504</f>
        <v>electrolyzer, 1MWe, SOEC, Balance of Plant</v>
      </c>
      <c r="H509" s="10"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I509" s="10"/>
      <c r="J509" s="10"/>
      <c r="K509" s="12"/>
      <c r="L509" s="12"/>
      <c r="M509" s="12"/>
      <c r="N509" s="12"/>
      <c r="O509" s="12"/>
      <c r="P509" s="12"/>
    </row>
    <row r="510" spans="1:20" s="11" customFormat="1" ht="16" x14ac:dyDescent="0.2">
      <c r="A510" s="11" t="s">
        <v>73</v>
      </c>
      <c r="B510" s="12">
        <v>5858.2</v>
      </c>
      <c r="C510" s="11" t="s">
        <v>17</v>
      </c>
      <c r="D510" s="11" t="s">
        <v>13</v>
      </c>
      <c r="F510" s="11" t="s">
        <v>12</v>
      </c>
      <c r="G510" s="11" t="s">
        <v>74</v>
      </c>
      <c r="H510" s="10" t="s">
        <v>181</v>
      </c>
      <c r="J510"/>
      <c r="K510" s="19"/>
      <c r="L510" s="19"/>
      <c r="M510" s="19"/>
      <c r="N510" s="19"/>
      <c r="O510" s="19"/>
      <c r="P510" s="19"/>
      <c r="Q510"/>
      <c r="R510"/>
    </row>
    <row r="511" spans="1:20" s="11" customFormat="1" ht="16" x14ac:dyDescent="0.2">
      <c r="A511" s="11" t="s">
        <v>20</v>
      </c>
      <c r="B511" s="12">
        <v>5858.2</v>
      </c>
      <c r="C511" s="11" t="s">
        <v>17</v>
      </c>
      <c r="D511" s="11" t="s">
        <v>13</v>
      </c>
      <c r="F511" s="11" t="s">
        <v>12</v>
      </c>
      <c r="G511" s="11" t="s">
        <v>15</v>
      </c>
      <c r="H511" s="10" t="s">
        <v>181</v>
      </c>
      <c r="J511"/>
      <c r="K511" s="19"/>
      <c r="L511" s="19"/>
      <c r="M511" s="19"/>
      <c r="N511" s="19"/>
      <c r="O511" s="19"/>
      <c r="P511" s="19"/>
      <c r="Q511"/>
      <c r="R511"/>
    </row>
    <row r="512" spans="1:20" s="11" customFormat="1" ht="16" x14ac:dyDescent="0.2">
      <c r="A512" s="16" t="inlineStr">
        <is>
          <t xml:space="preserve">motor drive assembly production, electrolysis, SOEC</t>
        </is>
      </c>
      <c r="B512" s="16">
        <v>1</v>
      </c>
      <c r="C512" s="11" t="inlineStr">
        <is>
          <t>GLO</t>
        </is>
      </c>
      <c r="D512" s="11" t="inlineStr">
        <is>
          <t>unit</t>
        </is>
      </c>
      <c r="F512" s="11" t="inlineStr">
        <is>
          <t>technosphere</t>
        </is>
      </c>
      <c r="G512" s="16" t="inlineStr">
        <is>
          <t xml:space="preserve">motor drive assembly, electrolysis, SOEC</t>
        </is>
      </c>
      <c r="H512" s="10"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512"/>
      <c r="K512" s="19"/>
      <c r="L512" s="19"/>
      <c r="M512" s="19"/>
      <c r="N512" s="19"/>
      <c r="O512" s="19"/>
      <c r="P512" s="19"/>
      <c r="Q512"/>
      <c r="R512"/>
    </row>
    <row r="513" spans="1:18" s="11" customFormat="1" ht="16" x14ac:dyDescent="0.2">
      <c r="A513" s="16"/>
      <c r="B513" s="16"/>
      <c r="C513" s="11"/>
      <c r="D513" s="11"/>
      <c r="F513" s="11"/>
      <c r="G513" s="16"/>
      <c r="H513" s="10"/>
      <c r="J513"/>
      <c r="K513" s="19"/>
      <c r="L513" s="19"/>
      <c r="M513" s="19"/>
      <c r="N513" s="19"/>
      <c r="O513" s="19"/>
      <c r="P513" s="19"/>
      <c r="Q513"/>
      <c r="R513"/>
    </row>
    <row r="514" spans="1:18" s="11" customFormat="1" ht="16" x14ac:dyDescent="0.2">
      <c r="A514" s="16"/>
      <c r="B514" s="16"/>
      <c r="C514" s="11"/>
      <c r="D514" s="11"/>
      <c r="F514" s="11"/>
      <c r="G514" s="16"/>
      <c r="H514" s="10"/>
      <c r="J514"/>
      <c r="K514" s="19"/>
      <c r="L514" s="19"/>
      <c r="M514" s="19"/>
      <c r="N514" s="19"/>
      <c r="O514" s="19"/>
      <c r="P514" s="19"/>
      <c r="Q514"/>
      <c r="R514"/>
    </row>
    <row r="515" spans="1:18" s="11" customFormat="1" ht="16" x14ac:dyDescent="0.2">
      <c r="A515" s="16"/>
      <c r="B515" s="16"/>
      <c r="C515" s="11"/>
      <c r="D515" s="11"/>
      <c r="F515" s="11"/>
      <c r="G515" s="16"/>
      <c r="H515" s="10"/>
      <c r="J515"/>
      <c r="K515" s="19"/>
      <c r="L515" s="19"/>
      <c r="M515" s="19"/>
      <c r="N515" s="19"/>
      <c r="O515" s="19"/>
      <c r="P515" s="19"/>
      <c r="Q515"/>
      <c r="R515"/>
    </row>
    <row r="516" spans="1:18" s="11" customFormat="1" ht="16" x14ac:dyDescent="0.2">
      <c r="A516" s="16"/>
      <c r="B516" s="16"/>
      <c r="C516" s="11"/>
      <c r="D516" s="11"/>
      <c r="F516" s="11"/>
      <c r="G516" s="16"/>
      <c r="H516" s="10"/>
      <c r="J516"/>
      <c r="K516" s="19"/>
      <c r="L516" s="19"/>
      <c r="M516" s="19"/>
      <c r="N516" s="19"/>
      <c r="O516" s="19"/>
      <c r="P516" s="19"/>
      <c r="Q516"/>
      <c r="R516"/>
    </row>
    <row r="517" spans="1:18" s="11" customFormat="1" ht="16" x14ac:dyDescent="0.2">
      <c r="A517" s="16" t="s">
        <v>108</v>
      </c>
      <c r="B517" s="16">
        <f>600*5</f>
        <v>3000</v>
      </c>
      <c r="C517" s="11" t="s">
        <v>17</v>
      </c>
      <c r="D517" s="11" t="s">
        <v>13</v>
      </c>
      <c r="F517" s="11" t="s">
        <v>12</v>
      </c>
      <c r="G517" s="16" t="s">
        <v>109</v>
      </c>
      <c r="H517" s="10" t="s">
        <v>183</v>
      </c>
      <c r="J517"/>
      <c r="K517" s="19"/>
      <c r="L517" s="19"/>
      <c r="M517" s="19"/>
      <c r="N517" s="19"/>
      <c r="O517" s="19"/>
      <c r="P517" s="19"/>
      <c r="Q517"/>
      <c r="R517"/>
    </row>
    <row r="518" spans="1:18" s="11" customFormat="1" ht="16" x14ac:dyDescent="0.2">
      <c r="A518" s="16" t="s">
        <v>111</v>
      </c>
      <c r="B518" s="16">
        <f>7*5</f>
        <v>35</v>
      </c>
      <c r="C518" s="11" t="s">
        <v>17</v>
      </c>
      <c r="D518" s="11" t="s">
        <v>13</v>
      </c>
      <c r="F518" s="11" t="s">
        <v>12</v>
      </c>
      <c r="G518" s="16" t="s">
        <v>112</v>
      </c>
      <c r="H518" s="10" t="s">
        <v>183</v>
      </c>
      <c r="J518"/>
      <c r="K518" s="19"/>
      <c r="L518" s="19"/>
      <c r="M518" s="19"/>
      <c r="N518" s="19"/>
      <c r="O518" s="19"/>
      <c r="P518" s="19"/>
      <c r="Q518"/>
      <c r="R518"/>
    </row>
    <row r="519" spans="1:18" s="11" customFormat="1" ht="16" x14ac:dyDescent="0.2">
      <c r="A519" s="16" t="s">
        <v>83</v>
      </c>
      <c r="B519" s="16">
        <f>1300*5</f>
        <v>6500</v>
      </c>
      <c r="C519" s="11" t="s">
        <v>17</v>
      </c>
      <c r="D519" s="11" t="s">
        <v>13</v>
      </c>
      <c r="F519" s="11" t="s">
        <v>12</v>
      </c>
      <c r="G519" s="16" t="s">
        <v>40</v>
      </c>
      <c r="H519" s="10" t="s">
        <v>183</v>
      </c>
      <c r="J519"/>
      <c r="K519" s="19"/>
      <c r="L519" s="19"/>
      <c r="M519" s="19"/>
      <c r="N519" s="19"/>
      <c r="O519" s="19"/>
      <c r="P519" s="19"/>
      <c r="Q519"/>
      <c r="R519"/>
    </row>
    <row r="520" spans="1:18" s="11" customFormat="1" ht="16" x14ac:dyDescent="0.2">
      <c r="A520" s="16" t="s">
        <v>73</v>
      </c>
      <c r="B520" s="16">
        <f>405*5</f>
        <v>2025</v>
      </c>
      <c r="C520" s="11" t="s">
        <v>17</v>
      </c>
      <c r="D520" s="11" t="s">
        <v>13</v>
      </c>
      <c r="F520" s="11" t="s">
        <v>12</v>
      </c>
      <c r="G520" s="16" t="s">
        <v>74</v>
      </c>
      <c r="H520" s="10" t="s">
        <v>183</v>
      </c>
      <c r="J520"/>
      <c r="K520" s="19"/>
      <c r="L520" s="19"/>
      <c r="M520" s="19"/>
      <c r="N520" s="19"/>
      <c r="O520" s="19"/>
      <c r="P520" s="19"/>
      <c r="Q520"/>
      <c r="R520"/>
    </row>
    <row r="521" spans="1:18" s="11" customFormat="1" ht="16" x14ac:dyDescent="0.2">
      <c r="A521" s="16" t="s">
        <v>84</v>
      </c>
      <c r="B521" s="16">
        <f>400*5</f>
        <v>2000</v>
      </c>
      <c r="C521" s="11" t="s">
        <v>17</v>
      </c>
      <c r="D521" s="11" t="s">
        <v>13</v>
      </c>
      <c r="F521" s="11" t="s">
        <v>12</v>
      </c>
      <c r="G521" s="16" t="s">
        <v>42</v>
      </c>
      <c r="H521" s="10" t="s">
        <v>183</v>
      </c>
      <c r="J521"/>
      <c r="K521" s="19"/>
      <c r="L521" s="19"/>
      <c r="M521" s="19"/>
      <c r="N521" s="19"/>
      <c r="O521" s="19"/>
      <c r="P521" s="19"/>
      <c r="Q521"/>
      <c r="R521"/>
    </row>
    <row r="522" spans="1:18" s="11" customFormat="1" ht="16" x14ac:dyDescent="0.2">
      <c r="A522" s="16" t="s">
        <v>20</v>
      </c>
      <c r="B522" s="16">
        <f>405*5</f>
        <v>2025</v>
      </c>
      <c r="C522" s="11" t="s">
        <v>17</v>
      </c>
      <c r="D522" s="11" t="s">
        <v>13</v>
      </c>
      <c r="F522" s="11" t="s">
        <v>12</v>
      </c>
      <c r="G522" s="16" t="s">
        <v>15</v>
      </c>
      <c r="H522" s="10" t="s">
        <v>183</v>
      </c>
      <c r="J522"/>
      <c r="K522" s="19"/>
      <c r="L522" s="19"/>
      <c r="M522" s="19"/>
      <c r="N522" s="19"/>
      <c r="O522" s="19"/>
      <c r="P522" s="19"/>
      <c r="Q522"/>
      <c r="R522"/>
    </row>
    <row r="523" spans="1:18" s="11" customFormat="1" ht="16" x14ac:dyDescent="0.2">
      <c r="A523" s="16" t="s">
        <v>83</v>
      </c>
      <c r="B523" s="16">
        <f>1000*5</f>
        <v>5000</v>
      </c>
      <c r="C523" s="11" t="s">
        <v>17</v>
      </c>
      <c r="D523" s="11" t="s">
        <v>13</v>
      </c>
      <c r="F523" s="11" t="s">
        <v>12</v>
      </c>
      <c r="G523" s="16" t="s">
        <v>40</v>
      </c>
      <c r="H523" s="10" t="s">
        <v>184</v>
      </c>
      <c r="J523"/>
      <c r="K523" s="19"/>
      <c r="L523" s="19"/>
      <c r="M523" s="19"/>
      <c r="N523" s="19"/>
      <c r="O523" s="19"/>
      <c r="P523" s="19"/>
      <c r="Q523"/>
      <c r="R523"/>
    </row>
    <row r="524" spans="1:18" s="11" customFormat="1" ht="16" x14ac:dyDescent="0.2">
      <c r="A524" s="16" t="s">
        <v>73</v>
      </c>
      <c r="B524" s="16">
        <f>1500*5</f>
        <v>7500</v>
      </c>
      <c r="C524" s="11" t="s">
        <v>17</v>
      </c>
      <c r="D524" s="11" t="s">
        <v>13</v>
      </c>
      <c r="F524" s="11" t="s">
        <v>12</v>
      </c>
      <c r="G524" s="16" t="s">
        <v>74</v>
      </c>
      <c r="H524" s="10" t="s">
        <v>184</v>
      </c>
      <c r="J524"/>
      <c r="K524" s="19"/>
      <c r="L524" s="19"/>
      <c r="M524" s="19"/>
      <c r="N524" s="19"/>
      <c r="O524" s="19"/>
      <c r="P524" s="19"/>
      <c r="Q524"/>
      <c r="R524"/>
    </row>
    <row r="525" spans="1:18" s="11" customFormat="1" ht="16" x14ac:dyDescent="0.2">
      <c r="A525" s="16" t="s">
        <v>84</v>
      </c>
      <c r="B525" s="16">
        <f>1000*5</f>
        <v>5000</v>
      </c>
      <c r="C525" s="11" t="s">
        <v>17</v>
      </c>
      <c r="D525" s="11" t="s">
        <v>13</v>
      </c>
      <c r="F525" s="11" t="s">
        <v>12</v>
      </c>
      <c r="G525" s="16" t="s">
        <v>42</v>
      </c>
      <c r="H525" s="10" t="s">
        <v>184</v>
      </c>
      <c r="J525"/>
      <c r="K525" s="19"/>
      <c r="L525" s="19"/>
      <c r="M525" s="19"/>
      <c r="N525" s="19"/>
      <c r="O525" s="19"/>
      <c r="P525" s="19"/>
      <c r="Q525"/>
      <c r="R525"/>
    </row>
    <row r="526" spans="1:18" s="11" customFormat="1" ht="16" x14ac:dyDescent="0.2">
      <c r="A526" s="16" t="s">
        <v>20</v>
      </c>
      <c r="B526" s="16">
        <f>1500*5</f>
        <v>7500</v>
      </c>
      <c r="C526" s="11" t="s">
        <v>17</v>
      </c>
      <c r="D526" s="11" t="s">
        <v>13</v>
      </c>
      <c r="F526" s="11" t="s">
        <v>12</v>
      </c>
      <c r="G526" s="16" t="s">
        <v>15</v>
      </c>
      <c r="H526" s="10" t="s">
        <v>184</v>
      </c>
      <c r="J526"/>
      <c r="K526" s="19"/>
      <c r="L526" s="19"/>
      <c r="M526" s="19"/>
      <c r="N526" s="19"/>
      <c r="O526" s="19"/>
      <c r="P526" s="19"/>
      <c r="Q526"/>
      <c r="R526"/>
    </row>
    <row r="527" spans="1:18" s="11" customFormat="1" ht="16" x14ac:dyDescent="0.2">
      <c r="A527" s="16" t="inlineStr">
        <is>
          <t xml:space="preserve">power conversion system production, electrolysis, transformer and rectifier, 1 MW</t>
        </is>
      </c>
      <c r="B527" s="16">
        <v>1</v>
      </c>
      <c r="C527" s="11" t="inlineStr">
        <is>
          <t>GLO</t>
        </is>
      </c>
      <c r="D527" s="11" t="inlineStr">
        <is>
          <t>unit</t>
        </is>
      </c>
      <c r="F527" s="11" t="s">
        <v>12</v>
      </c>
      <c r="G527" s="16" t="inlineStr">
        <is>
          <t xml:space="preserve">power conversion system, electrolysis, transformer and rectifier, 1 MW</t>
        </is>
      </c>
      <c r="H527" s="10"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c r="J527"/>
      <c r="K527" s="19"/>
      <c r="L527" s="19"/>
      <c r="M527" s="19"/>
      <c r="N527" s="19"/>
      <c r="O527" s="19"/>
      <c r="P527" s="19"/>
      <c r="Q527"/>
      <c r="R527"/>
    </row>
    <row r="528" spans="1:18" s="11" customFormat="1" ht="16" x14ac:dyDescent="0.2">
      <c r="A528" s="16"/>
      <c r="B528" s="16"/>
      <c r="C528" s="11"/>
      <c r="D528" s="11"/>
      <c r="F528" s="11"/>
      <c r="G528" s="16"/>
      <c r="H528" s="10"/>
      <c r="J528"/>
      <c r="K528" s="19"/>
      <c r="L528" s="19"/>
      <c r="M528" s="19"/>
      <c r="N528" s="19"/>
      <c r="O528" s="19"/>
      <c r="P528" s="19"/>
      <c r="Q528"/>
      <c r="R528"/>
    </row>
    <row r="529" spans="1:18" s="11" customFormat="1" ht="16" x14ac:dyDescent="0.2">
      <c r="A529" s="16"/>
      <c r="B529" s="16"/>
      <c r="C529" s="11"/>
      <c r="D529" s="11"/>
      <c r="F529" s="11"/>
      <c r="G529" s="16"/>
      <c r="H529" s="10"/>
      <c r="J529"/>
      <c r="K529" s="19"/>
      <c r="L529" s="19"/>
      <c r="M529" s="19"/>
      <c r="N529" s="19"/>
      <c r="O529" s="19"/>
      <c r="P529" s="19"/>
      <c r="Q529"/>
      <c r="R529"/>
    </row>
    <row r="530" spans="1:18" s="11" customFormat="1" ht="16" x14ac:dyDescent="0.2">
      <c r="A530" s="16"/>
      <c r="B530" s="16"/>
      <c r="C530" s="11"/>
      <c r="D530" s="11"/>
      <c r="F530" s="11"/>
      <c r="G530" s="16"/>
      <c r="H530" s="10"/>
      <c r="J530"/>
      <c r="K530" s="19"/>
      <c r="L530" s="19"/>
      <c r="M530" s="19"/>
      <c r="N530" s="19"/>
      <c r="O530" s="19"/>
      <c r="P530" s="19"/>
      <c r="Q530"/>
      <c r="R530"/>
    </row>
    <row r="531" spans="1:18" s="11" customFormat="1" ht="16" x14ac:dyDescent="0.2">
      <c r="A531" s="16"/>
      <c r="B531" s="16"/>
      <c r="C531" s="11"/>
      <c r="D531" s="11"/>
      <c r="F531" s="11"/>
      <c r="G531" s="16"/>
      <c r="H531" s="10"/>
      <c r="J531"/>
      <c r="K531" s="19"/>
      <c r="L531" s="19"/>
      <c r="M531" s="19"/>
      <c r="N531" s="19"/>
      <c r="O531" s="19"/>
      <c r="P531" s="19"/>
      <c r="Q531"/>
      <c r="R531"/>
    </row>
    <row r="532" spans="1:18" s="11" customFormat="1" ht="16" x14ac:dyDescent="0.2">
      <c r="A532" s="16"/>
      <c r="B532" s="16"/>
      <c r="C532" s="11"/>
      <c r="D532" s="11"/>
      <c r="F532" s="11"/>
      <c r="G532" s="16"/>
      <c r="H532" s="10"/>
      <c r="J532"/>
      <c r="K532" s="19"/>
      <c r="L532" s="19"/>
      <c r="M532" s="19"/>
      <c r="N532" s="19"/>
      <c r="O532" s="19"/>
      <c r="P532" s="19"/>
      <c r="Q532"/>
      <c r="R532"/>
    </row>
    <row r="533" spans="1:18" s="11" customFormat="1" ht="16" x14ac:dyDescent="0.2">
      <c r="A533" s="16"/>
      <c r="B533" s="16"/>
      <c r="C533" s="11"/>
      <c r="D533" s="11"/>
      <c r="F533" s="11"/>
      <c r="G533" s="16"/>
      <c r="H533" s="10"/>
      <c r="J533"/>
      <c r="K533" s="19"/>
      <c r="L533" s="19"/>
      <c r="M533" s="19"/>
      <c r="N533" s="19"/>
      <c r="O533" s="19"/>
      <c r="P533" s="19"/>
      <c r="Q533"/>
      <c r="R533"/>
    </row>
    <row r="534" spans="1:18" s="11" customFormat="1" ht="16" x14ac:dyDescent="0.2">
      <c r="A534" s="16" t="s">
        <v>30</v>
      </c>
      <c r="B534" s="16">
        <v>100</v>
      </c>
      <c r="C534" s="11" t="s">
        <v>17</v>
      </c>
      <c r="D534" s="11" t="s">
        <v>13</v>
      </c>
      <c r="F534" s="11" t="s">
        <v>12</v>
      </c>
      <c r="G534" s="16" t="s">
        <v>29</v>
      </c>
      <c r="H534" s="10" t="inlineStr">
        <is>
          <t>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t>
        </is>
      </c>
      <c r="J534"/>
      <c r="K534" s="19"/>
      <c r="L534" s="19"/>
      <c r="M534" s="19"/>
      <c r="N534" s="19"/>
      <c r="O534" s="19"/>
      <c r="P534" s="19"/>
      <c r="Q534"/>
      <c r="R534"/>
    </row>
    <row r="535" spans="1:18" s="11" customFormat="1" ht="16" x14ac:dyDescent="0.2">
      <c r="A535" s="16" t="s">
        <v>73</v>
      </c>
      <c r="B535" s="16">
        <f>25.3+2.1</f>
        <v>27.400000000000002</v>
      </c>
      <c r="C535" s="11" t="s">
        <v>17</v>
      </c>
      <c r="D535" s="11" t="s">
        <v>13</v>
      </c>
      <c r="F535" s="11" t="s">
        <v>12</v>
      </c>
      <c r="G535" s="16" t="s">
        <v>74</v>
      </c>
      <c r="H535" s="10" t="s">
        <v>187</v>
      </c>
      <c r="J535"/>
      <c r="K535" s="19"/>
      <c r="L535" s="19"/>
      <c r="M535" s="19"/>
      <c r="N535" s="19"/>
      <c r="O535" s="19"/>
      <c r="P535" s="19"/>
      <c r="Q535"/>
      <c r="R535"/>
    </row>
    <row r="536" spans="1:18" s="11" customFormat="1" ht="16" x14ac:dyDescent="0.2">
      <c r="A536" s="16" t="s">
        <v>20</v>
      </c>
      <c r="B536" s="16">
        <f>25.3+2.1</f>
        <v>27.400000000000002</v>
      </c>
      <c r="C536" s="11" t="s">
        <v>17</v>
      </c>
      <c r="D536" s="11" t="s">
        <v>13</v>
      </c>
      <c r="F536" s="11" t="s">
        <v>12</v>
      </c>
      <c r="G536" s="16" t="s">
        <v>15</v>
      </c>
      <c r="H536" s="10" t="s">
        <v>187</v>
      </c>
      <c r="J536"/>
      <c r="K536" s="19"/>
      <c r="L536" s="19"/>
      <c r="M536" s="19"/>
      <c r="N536" s="19"/>
      <c r="O536" s="19"/>
      <c r="P536" s="19"/>
      <c r="Q536"/>
      <c r="R536"/>
    </row>
    <row r="537" spans="1:18" s="11" customFormat="1" ht="16" x14ac:dyDescent="0.2">
      <c r="A537" s="16" t="s">
        <v>73</v>
      </c>
      <c r="B537" s="16">
        <v>2.4</v>
      </c>
      <c r="C537" s="11" t="s">
        <v>17</v>
      </c>
      <c r="D537" s="11" t="s">
        <v>13</v>
      </c>
      <c r="F537" s="11" t="s">
        <v>12</v>
      </c>
      <c r="G537" s="16" t="s">
        <v>74</v>
      </c>
      <c r="H537" s="10" t="s">
        <v>188</v>
      </c>
      <c r="J537"/>
      <c r="K537" s="19"/>
      <c r="L537" s="19"/>
      <c r="M537" s="19"/>
      <c r="N537" s="19"/>
      <c r="O537" s="19"/>
      <c r="P537" s="19"/>
      <c r="Q537"/>
      <c r="R537"/>
    </row>
    <row r="538" spans="1:18" s="11" customFormat="1" ht="16" x14ac:dyDescent="0.2">
      <c r="A538" s="16" t="s">
        <v>20</v>
      </c>
      <c r="B538" s="16">
        <v>2.4</v>
      </c>
      <c r="C538" s="11" t="s">
        <v>17</v>
      </c>
      <c r="D538" s="11" t="s">
        <v>13</v>
      </c>
      <c r="F538" s="11" t="s">
        <v>12</v>
      </c>
      <c r="G538" s="16" t="s">
        <v>15</v>
      </c>
      <c r="H538" s="10" t="s">
        <v>188</v>
      </c>
      <c r="J538"/>
      <c r="K538" s="19"/>
      <c r="L538" s="19"/>
      <c r="M538" s="19"/>
      <c r="N538" s="19"/>
      <c r="O538" s="19"/>
      <c r="P538" s="19"/>
      <c r="Q538"/>
      <c r="R538"/>
    </row>
    <row r="539" spans="1:18" s="11" customFormat="1" ht="16" x14ac:dyDescent="0.2">
      <c r="A539" s="16" t="s">
        <v>73</v>
      </c>
      <c r="B539" s="16">
        <f>11+53.1</f>
        <v>64.099999999999994</v>
      </c>
      <c r="C539" s="11" t="s">
        <v>17</v>
      </c>
      <c r="D539" s="11" t="s">
        <v>13</v>
      </c>
      <c r="F539" s="11" t="s">
        <v>12</v>
      </c>
      <c r="G539" s="16" t="s">
        <v>74</v>
      </c>
      <c r="H539" s="10" t="s">
        <v>189</v>
      </c>
      <c r="J539"/>
      <c r="K539" s="19"/>
      <c r="L539" s="19"/>
      <c r="M539" s="19"/>
      <c r="N539" s="19"/>
      <c r="O539" s="19"/>
      <c r="P539" s="19"/>
      <c r="Q539"/>
      <c r="R539"/>
    </row>
    <row r="540" spans="1:18" s="11" customFormat="1" ht="16" x14ac:dyDescent="0.2">
      <c r="A540" s="16" t="s">
        <v>20</v>
      </c>
      <c r="B540" s="16">
        <f>11+53.1</f>
        <v>64.099999999999994</v>
      </c>
      <c r="C540" s="11" t="s">
        <v>17</v>
      </c>
      <c r="D540" s="11" t="s">
        <v>13</v>
      </c>
      <c r="F540" s="11" t="s">
        <v>12</v>
      </c>
      <c r="G540" s="16" t="s">
        <v>15</v>
      </c>
      <c r="H540" s="10" t="s">
        <v>189</v>
      </c>
      <c r="J540"/>
      <c r="K540" s="19"/>
      <c r="L540" s="19"/>
      <c r="M540" s="19"/>
      <c r="N540" s="19"/>
      <c r="O540" s="19"/>
      <c r="P540" s="19"/>
      <c r="Q540"/>
      <c r="R540"/>
    </row>
    <row r="541" spans="1:18" s="11" customFormat="1" ht="16" x14ac:dyDescent="0.2">
      <c r="A541" s="16" t="s">
        <v>73</v>
      </c>
      <c r="B541" s="16">
        <f>29.3+121</f>
        <v>150.30000000000001</v>
      </c>
      <c r="C541" s="11" t="s">
        <v>17</v>
      </c>
      <c r="D541" s="11" t="s">
        <v>13</v>
      </c>
      <c r="F541" s="11" t="s">
        <v>12</v>
      </c>
      <c r="G541" s="16" t="s">
        <v>74</v>
      </c>
      <c r="H541" s="10" t="s">
        <v>190</v>
      </c>
      <c r="J541"/>
      <c r="K541" s="19"/>
      <c r="L541" s="19"/>
      <c r="M541" s="19"/>
      <c r="N541" s="19"/>
      <c r="O541" s="19"/>
      <c r="P541" s="19"/>
      <c r="Q541"/>
      <c r="R541"/>
    </row>
    <row r="542" spans="1:18" s="11" customFormat="1" ht="16" x14ac:dyDescent="0.2">
      <c r="A542" s="16" t="s">
        <v>20</v>
      </c>
      <c r="B542" s="16">
        <f>29.3+121</f>
        <v>150.30000000000001</v>
      </c>
      <c r="C542" s="11" t="s">
        <v>17</v>
      </c>
      <c r="D542" s="11" t="s">
        <v>13</v>
      </c>
      <c r="F542" s="11" t="s">
        <v>12</v>
      </c>
      <c r="G542" s="16" t="s">
        <v>15</v>
      </c>
      <c r="H542" s="10" t="s">
        <v>190</v>
      </c>
      <c r="J542"/>
      <c r="K542" s="19"/>
      <c r="L542" s="19"/>
      <c r="M542" s="19"/>
      <c r="N542" s="19"/>
      <c r="O542" s="19"/>
      <c r="P542" s="19"/>
      <c r="Q542"/>
      <c r="R542"/>
    </row>
    <row r="543" spans="1:18" s="11" customFormat="1" ht="16" x14ac:dyDescent="0.2">
      <c r="A543" s="16" t="s">
        <v>191</v>
      </c>
      <c r="B543" s="16">
        <f>0.4+1</f>
        <v>1.4</v>
      </c>
      <c r="C543" s="11" t="s">
        <v>17</v>
      </c>
      <c r="D543" s="11" t="s">
        <v>13</v>
      </c>
      <c r="F543" s="11" t="s">
        <v>12</v>
      </c>
      <c r="G543" s="16" t="s">
        <v>192</v>
      </c>
      <c r="H543" s="10" t="s">
        <v>193</v>
      </c>
      <c r="J543"/>
      <c r="K543" s="19"/>
      <c r="L543" s="19"/>
      <c r="M543" s="19"/>
      <c r="N543" s="19"/>
      <c r="O543" s="19"/>
      <c r="P543" s="19"/>
      <c r="Q543"/>
      <c r="R543"/>
    </row>
    <row r="544" spans="1:18" s="11" customFormat="1" ht="16" x14ac:dyDescent="0.2">
      <c r="A544" s="16" t="s">
        <v>93</v>
      </c>
      <c r="B544" s="16">
        <f>0.4+1</f>
        <v>1.4</v>
      </c>
      <c r="C544" s="11" t="s">
        <v>17</v>
      </c>
      <c r="D544" s="11" t="s">
        <v>13</v>
      </c>
      <c r="F544" s="11" t="s">
        <v>12</v>
      </c>
      <c r="G544" s="16" t="s">
        <v>94</v>
      </c>
      <c r="H544" s="10" t="s">
        <v>193</v>
      </c>
      <c r="J544"/>
      <c r="K544" s="19"/>
      <c r="L544" s="19"/>
      <c r="M544" s="19"/>
      <c r="N544" s="19"/>
      <c r="O544" s="19"/>
      <c r="P544" s="19"/>
      <c r="Q544"/>
      <c r="R544"/>
    </row>
    <row r="545" spans="1:18" s="11" customFormat="1" ht="16" x14ac:dyDescent="0.2">
      <c r="A545" s="16" t="s">
        <v>85</v>
      </c>
      <c r="B545" s="16">
        <f>0.4+1</f>
        <v>1.4</v>
      </c>
      <c r="C545" s="11" t="s">
        <v>17</v>
      </c>
      <c r="D545" s="11" t="s">
        <v>13</v>
      </c>
      <c r="F545" s="11" t="s">
        <v>12</v>
      </c>
      <c r="G545" s="16" t="s">
        <v>43</v>
      </c>
      <c r="H545" s="10" t="s">
        <v>193</v>
      </c>
      <c r="J545"/>
      <c r="K545" s="19"/>
      <c r="L545" s="19"/>
      <c r="M545" s="19"/>
      <c r="N545" s="19"/>
      <c r="O545" s="19"/>
      <c r="P545" s="19"/>
      <c r="Q545"/>
      <c r="R545"/>
    </row>
    <row r="546" spans="1:18" s="11" customFormat="1" ht="16" x14ac:dyDescent="0.2">
      <c r="A546" s="16" t="s">
        <v>68</v>
      </c>
      <c r="B546" s="16">
        <f>0.9+1.9</f>
        <v>2.8</v>
      </c>
      <c r="C546" s="11" t="s">
        <v>17</v>
      </c>
      <c r="D546" s="11" t="s">
        <v>13</v>
      </c>
      <c r="F546" s="11" t="s">
        <v>12</v>
      </c>
      <c r="G546" s="16" t="s">
        <v>69</v>
      </c>
      <c r="H546" s="10" t="s">
        <v>193</v>
      </c>
      <c r="J546"/>
      <c r="K546" s="19"/>
      <c r="L546" s="19"/>
      <c r="M546" s="19"/>
      <c r="N546" s="19"/>
      <c r="O546" s="19"/>
      <c r="P546" s="19"/>
      <c r="Q546"/>
      <c r="R546"/>
    </row>
    <row r="547" spans="1:18" s="11" customFormat="1" ht="16" x14ac:dyDescent="0.2">
      <c r="A547" s="16" t="s">
        <v>86</v>
      </c>
      <c r="B547" s="16">
        <f>0.9+1.9</f>
        <v>2.8</v>
      </c>
      <c r="C547" s="11" t="s">
        <v>17</v>
      </c>
      <c r="D547" s="11" t="s">
        <v>13</v>
      </c>
      <c r="F547" s="11" t="s">
        <v>12</v>
      </c>
      <c r="G547" s="16" t="s">
        <v>44</v>
      </c>
      <c r="H547" s="10" t="s">
        <v>193</v>
      </c>
      <c r="J547"/>
      <c r="K547" s="19"/>
      <c r="L547" s="19"/>
      <c r="M547" s="19"/>
      <c r="N547" s="19"/>
      <c r="O547" s="19"/>
      <c r="P547" s="19"/>
      <c r="Q547"/>
      <c r="R547"/>
    </row>
    <row r="548" spans="1:18" s="11" customFormat="1" ht="16" x14ac:dyDescent="0.2">
      <c r="A548" s="16" t="s">
        <v>83</v>
      </c>
      <c r="B548" s="16">
        <f>2.7+5.8</f>
        <v>8.5</v>
      </c>
      <c r="C548" s="11" t="s">
        <v>17</v>
      </c>
      <c r="D548" s="11" t="s">
        <v>13</v>
      </c>
      <c r="F548" s="11" t="s">
        <v>12</v>
      </c>
      <c r="G548" s="16" t="s">
        <v>40</v>
      </c>
      <c r="H548" s="10" t="s">
        <v>193</v>
      </c>
      <c r="J548"/>
      <c r="K548" s="19"/>
      <c r="L548" s="19"/>
      <c r="M548" s="19"/>
      <c r="N548" s="19"/>
      <c r="O548" s="19"/>
      <c r="P548" s="19"/>
      <c r="Q548"/>
      <c r="R548"/>
    </row>
    <row r="549" spans="1:18" s="11" customFormat="1" ht="16" x14ac:dyDescent="0.2">
      <c r="A549" s="16" t="s">
        <v>84</v>
      </c>
      <c r="B549" s="16">
        <f>2.7+5.8</f>
        <v>8.5</v>
      </c>
      <c r="C549" s="11" t="s">
        <v>17</v>
      </c>
      <c r="D549" s="11" t="s">
        <v>13</v>
      </c>
      <c r="F549" s="11" t="s">
        <v>12</v>
      </c>
      <c r="G549" s="16" t="s">
        <v>42</v>
      </c>
      <c r="H549" s="10" t="s">
        <v>193</v>
      </c>
      <c r="J549"/>
      <c r="K549" s="19"/>
      <c r="L549" s="19"/>
      <c r="M549" s="19"/>
      <c r="N549" s="19"/>
      <c r="O549" s="19"/>
      <c r="P549" s="19"/>
      <c r="Q549"/>
      <c r="R549"/>
    </row>
    <row r="550" spans="1:18" s="11" customFormat="1" ht="16" x14ac:dyDescent="0.2">
      <c r="A550" s="16" t="s">
        <v>83</v>
      </c>
      <c r="B550" s="16">
        <f>92.3+359.8</f>
        <v>452.1</v>
      </c>
      <c r="C550" s="11" t="s">
        <v>17</v>
      </c>
      <c r="D550" s="11" t="s">
        <v>13</v>
      </c>
      <c r="F550" s="11" t="s">
        <v>12</v>
      </c>
      <c r="G550" s="16" t="s">
        <v>40</v>
      </c>
      <c r="H550" s="10" t="s">
        <v>194</v>
      </c>
      <c r="J550"/>
      <c r="K550" s="19"/>
      <c r="L550" s="19"/>
      <c r="M550" s="19"/>
      <c r="N550" s="19"/>
      <c r="O550" s="19"/>
      <c r="P550" s="19"/>
      <c r="Q550"/>
      <c r="R550"/>
    </row>
    <row r="551" spans="1:18" s="11" customFormat="1" ht="16" x14ac:dyDescent="0.2">
      <c r="A551" s="16" t="s">
        <v>84</v>
      </c>
      <c r="B551" s="16">
        <f>92.3+359.8</f>
        <v>452.1</v>
      </c>
      <c r="C551" s="11" t="s">
        <v>17</v>
      </c>
      <c r="D551" s="11" t="s">
        <v>13</v>
      </c>
      <c r="F551" s="11" t="s">
        <v>12</v>
      </c>
      <c r="G551" s="16" t="s">
        <v>42</v>
      </c>
      <c r="H551" s="10" t="s">
        <v>194</v>
      </c>
      <c r="J551"/>
      <c r="K551" s="19"/>
      <c r="L551" s="19"/>
      <c r="M551" s="19"/>
      <c r="N551" s="19"/>
      <c r="O551" s="19"/>
      <c r="P551" s="19"/>
      <c r="Q551"/>
      <c r="R551"/>
    </row>
    <row r="552" spans="1:18" s="11" customFormat="1" ht="16" x14ac:dyDescent="0.2">
      <c r="A552" s="16" t="s">
        <v>83</v>
      </c>
      <c r="B552" s="16">
        <v>399</v>
      </c>
      <c r="C552" s="11" t="s">
        <v>17</v>
      </c>
      <c r="D552" s="11" t="s">
        <v>13</v>
      </c>
      <c r="F552" s="11" t="s">
        <v>12</v>
      </c>
      <c r="G552" s="16" t="s">
        <v>40</v>
      </c>
      <c r="H552" s="10" t="s">
        <v>195</v>
      </c>
      <c r="J552"/>
      <c r="K552" s="19"/>
      <c r="L552" s="19"/>
      <c r="M552" s="19"/>
      <c r="N552" s="19"/>
      <c r="O552" s="19"/>
      <c r="P552" s="19"/>
      <c r="Q552"/>
      <c r="R552"/>
    </row>
    <row r="553" spans="1:18" s="11" customFormat="1" ht="16" x14ac:dyDescent="0.2">
      <c r="A553" s="16" t="s">
        <v>84</v>
      </c>
      <c r="B553" s="16">
        <v>399</v>
      </c>
      <c r="C553" s="11" t="s">
        <v>17</v>
      </c>
      <c r="D553" s="11" t="s">
        <v>13</v>
      </c>
      <c r="F553" s="11" t="s">
        <v>12</v>
      </c>
      <c r="G553" s="16" t="s">
        <v>42</v>
      </c>
      <c r="H553" s="10" t="s">
        <v>195</v>
      </c>
      <c r="J553"/>
      <c r="K553" s="19"/>
      <c r="L553" s="19"/>
      <c r="M553" s="19"/>
      <c r="N553" s="19"/>
      <c r="O553" s="19"/>
      <c r="P553" s="19"/>
      <c r="Q553"/>
      <c r="R553"/>
    </row>
    <row r="554" spans="1:18" s="11" customFormat="1" ht="16" x14ac:dyDescent="0.2">
      <c r="A554" s="16" t="s">
        <v>83</v>
      </c>
      <c r="B554" s="16">
        <v>7</v>
      </c>
      <c r="C554" s="11" t="s">
        <v>17</v>
      </c>
      <c r="D554" s="11" t="s">
        <v>13</v>
      </c>
      <c r="F554" s="11" t="s">
        <v>12</v>
      </c>
      <c r="G554" s="16" t="s">
        <v>40</v>
      </c>
      <c r="H554" s="10" t="s">
        <v>196</v>
      </c>
      <c r="J554"/>
      <c r="K554" s="19"/>
      <c r="L554" s="19"/>
      <c r="M554" s="19"/>
      <c r="N554" s="19"/>
      <c r="O554" s="19"/>
      <c r="P554" s="19"/>
      <c r="Q554"/>
      <c r="R554"/>
    </row>
    <row r="555" spans="1:18" s="11" customFormat="1" ht="16" x14ac:dyDescent="0.2">
      <c r="A555" s="16" t="s">
        <v>84</v>
      </c>
      <c r="B555" s="16">
        <v>7</v>
      </c>
      <c r="C555" s="11" t="s">
        <v>17</v>
      </c>
      <c r="D555" s="11" t="s">
        <v>13</v>
      </c>
      <c r="F555" s="11" t="s">
        <v>12</v>
      </c>
      <c r="G555" s="16" t="s">
        <v>42</v>
      </c>
      <c r="H555" s="10" t="s">
        <v>196</v>
      </c>
      <c r="J555"/>
      <c r="K555" s="19"/>
      <c r="L555" s="19"/>
      <c r="M555" s="19"/>
      <c r="N555" s="19"/>
      <c r="O555" s="19"/>
      <c r="P555" s="19"/>
      <c r="Q555"/>
      <c r="R555"/>
    </row>
    <row r="556" spans="1:18" s="11" customFormat="1" ht="16" x14ac:dyDescent="0.2">
      <c r="A556" s="16"/>
      <c r="B556" s="16"/>
      <c r="C556" s="11"/>
      <c r="D556" s="11"/>
      <c r="F556" s="11"/>
      <c r="G556" s="16"/>
      <c r="H556" s="10"/>
      <c r="J556"/>
      <c r="K556" s="19"/>
      <c r="L556" s="19"/>
      <c r="M556" s="19"/>
      <c r="N556" s="19"/>
      <c r="O556" s="19"/>
      <c r="P556" s="19"/>
      <c r="Q556"/>
      <c r="R556"/>
    </row>
    <row r="557" spans="1:18" s="11" customFormat="1" ht="16" x14ac:dyDescent="0.2">
      <c r="A557" s="16"/>
      <c r="B557" s="16"/>
      <c r="C557" s="11"/>
      <c r="D557" s="11"/>
      <c r="F557" s="11"/>
      <c r="G557" s="16"/>
      <c r="H557" s="10"/>
      <c r="J557"/>
      <c r="K557" s="19"/>
      <c r="L557" s="19"/>
      <c r="M557" s="19"/>
      <c r="N557" s="19"/>
      <c r="O557" s="19"/>
      <c r="P557" s="19"/>
      <c r="Q557"/>
      <c r="R557"/>
    </row>
    <row r="558" spans="1:18" s="11" customFormat="1" ht="16" x14ac:dyDescent="0.2">
      <c r="A558" s="16"/>
      <c r="B558" s="16"/>
      <c r="C558" s="11"/>
      <c r="D558" s="11"/>
      <c r="F558" s="11"/>
      <c r="G558" s="16"/>
      <c r="H558" s="10"/>
      <c r="J558"/>
      <c r="K558" s="19"/>
      <c r="L558" s="19"/>
      <c r="M558" s="19"/>
      <c r="N558" s="19"/>
      <c r="O558" s="19"/>
      <c r="P558" s="19"/>
      <c r="Q558"/>
      <c r="R558"/>
    </row>
    <row r="559" spans="1:18" s="11" customFormat="1" ht="16" x14ac:dyDescent="0.2">
      <c r="A559" s="16"/>
      <c r="B559" s="16"/>
      <c r="C559" s="11"/>
      <c r="D559" s="11"/>
      <c r="F559" s="11"/>
      <c r="G559" s="16"/>
      <c r="H559" s="10"/>
      <c r="J559"/>
      <c r="K559" s="19"/>
      <c r="L559" s="19"/>
      <c r="M559" s="19"/>
      <c r="N559" s="19"/>
      <c r="O559" s="19"/>
      <c r="P559" s="19"/>
      <c r="Q559"/>
      <c r="R559"/>
    </row>
    <row r="560" spans="1:18" s="11" customFormat="1" ht="16" x14ac:dyDescent="0.2">
      <c r="A560" s="16"/>
      <c r="B560" s="16"/>
      <c r="C560" s="11"/>
      <c r="D560" s="11"/>
      <c r="F560" s="11"/>
      <c r="G560" s="16"/>
      <c r="H560" s="10"/>
      <c r="J560"/>
      <c r="K560" s="19"/>
      <c r="L560" s="19"/>
      <c r="M560" s="19"/>
      <c r="N560" s="19"/>
      <c r="O560" s="19"/>
      <c r="P560" s="19"/>
      <c r="Q560"/>
      <c r="R560"/>
    </row>
    <row r="561" spans="1:18" s="11" customFormat="1" ht="16" x14ac:dyDescent="0.2">
      <c r="A561" s="16" t="s">
        <v>25</v>
      </c>
      <c r="B561" s="16">
        <v>1503.6</v>
      </c>
      <c r="C561" s="11" t="s">
        <v>17</v>
      </c>
      <c r="D561" s="11" t="s">
        <v>13</v>
      </c>
      <c r="F561" s="11" t="s">
        <v>12</v>
      </c>
      <c r="G561" s="16" t="s">
        <v>26</v>
      </c>
      <c r="H561" s="10" t="s">
        <v>199</v>
      </c>
      <c r="J561"/>
      <c r="K561" s="19"/>
      <c r="L561" s="19"/>
      <c r="M561" s="19"/>
      <c r="N561" s="19"/>
      <c r="O561" s="19"/>
      <c r="P561" s="19"/>
      <c r="Q561"/>
      <c r="R561"/>
    </row>
    <row r="562" spans="1:18" s="11" customFormat="1" ht="16" x14ac:dyDescent="0.2">
      <c r="A562" s="16" t="s">
        <v>84</v>
      </c>
      <c r="B562" s="16">
        <v>1503.6</v>
      </c>
      <c r="C562" s="11" t="s">
        <v>17</v>
      </c>
      <c r="D562" s="11" t="s">
        <v>13</v>
      </c>
      <c r="F562" s="11" t="s">
        <v>12</v>
      </c>
      <c r="G562" s="16" t="s">
        <v>42</v>
      </c>
      <c r="H562" s="10" t="s">
        <v>199</v>
      </c>
      <c r="J562"/>
      <c r="K562" s="19"/>
      <c r="L562" s="19"/>
      <c r="M562" s="19"/>
      <c r="N562" s="19"/>
      <c r="O562" s="19"/>
      <c r="P562" s="19"/>
      <c r="Q562"/>
      <c r="R562"/>
    </row>
    <row r="563" spans="1:18" s="11" customFormat="1" ht="16" x14ac:dyDescent="0.2">
      <c r="A563" s="16" t="s">
        <v>102</v>
      </c>
      <c r="B563" s="16">
        <v>534</v>
      </c>
      <c r="C563" s="11" t="s">
        <v>17</v>
      </c>
      <c r="D563" s="11" t="s">
        <v>13</v>
      </c>
      <c r="F563" s="11" t="s">
        <v>12</v>
      </c>
      <c r="G563" s="16" t="s">
        <v>103</v>
      </c>
      <c r="H563" s="10" t="s">
        <v>200</v>
      </c>
      <c r="J563"/>
      <c r="K563" s="19"/>
      <c r="L563" s="19"/>
      <c r="M563" s="19"/>
      <c r="N563" s="19"/>
      <c r="O563" s="19"/>
      <c r="P563" s="19"/>
      <c r="Q563"/>
      <c r="R563"/>
    </row>
    <row r="564" spans="1:18" s="11" customFormat="1" ht="16" x14ac:dyDescent="0.2">
      <c r="A564" s="16" t="s">
        <v>105</v>
      </c>
      <c r="B564" s="16">
        <v>534</v>
      </c>
      <c r="C564" s="11" t="s">
        <v>17</v>
      </c>
      <c r="D564" s="11" t="s">
        <v>13</v>
      </c>
      <c r="F564" s="11" t="s">
        <v>12</v>
      </c>
      <c r="G564" s="16" t="s">
        <v>106</v>
      </c>
      <c r="H564" s="10" t="s">
        <v>200</v>
      </c>
      <c r="J564"/>
      <c r="K564" s="19"/>
      <c r="L564" s="19"/>
      <c r="M564" s="19"/>
      <c r="N564" s="19"/>
      <c r="O564" s="19"/>
      <c r="P564" s="19"/>
      <c r="Q564"/>
      <c r="R564"/>
    </row>
    <row r="565" spans="1:18" s="11" customFormat="1" ht="16" x14ac:dyDescent="0.2">
      <c r="A565" s="16" t="s">
        <v>83</v>
      </c>
      <c r="B565" s="16">
        <v>267</v>
      </c>
      <c r="C565" s="11" t="s">
        <v>17</v>
      </c>
      <c r="D565" s="11" t="s">
        <v>13</v>
      </c>
      <c r="F565" s="11" t="s">
        <v>12</v>
      </c>
      <c r="G565" s="16" t="s">
        <v>40</v>
      </c>
      <c r="H565" s="10" t="s">
        <v>200</v>
      </c>
      <c r="J565"/>
      <c r="K565" s="19"/>
      <c r="L565" s="19"/>
      <c r="M565" s="19"/>
      <c r="N565" s="19"/>
      <c r="O565" s="19"/>
      <c r="P565" s="19"/>
      <c r="Q565"/>
      <c r="R565"/>
    </row>
    <row r="566" spans="1:18" s="11" customFormat="1" ht="16" x14ac:dyDescent="0.2">
      <c r="A566" s="16" t="s">
        <v>84</v>
      </c>
      <c r="B566" s="16">
        <v>267</v>
      </c>
      <c r="C566" s="11" t="s">
        <v>17</v>
      </c>
      <c r="D566" s="11" t="s">
        <v>13</v>
      </c>
      <c r="F566" s="11" t="s">
        <v>12</v>
      </c>
      <c r="G566" s="16" t="s">
        <v>42</v>
      </c>
      <c r="H566" s="10" t="s">
        <v>200</v>
      </c>
      <c r="J566"/>
      <c r="K566" s="19"/>
      <c r="L566" s="19"/>
      <c r="M566" s="19"/>
      <c r="N566" s="19"/>
      <c r="O566" s="19"/>
      <c r="P566" s="19"/>
      <c r="Q566"/>
      <c r="R566"/>
    </row>
    <row r="567" spans="1:18" s="11" customFormat="1" ht="16" x14ac:dyDescent="0.2">
      <c r="A567" s="16" t="s">
        <v>73</v>
      </c>
      <c r="B567" s="16">
        <v>588</v>
      </c>
      <c r="C567" s="11" t="s">
        <v>17</v>
      </c>
      <c r="D567" s="11" t="s">
        <v>13</v>
      </c>
      <c r="F567" s="11" t="s">
        <v>12</v>
      </c>
      <c r="G567" s="16" t="s">
        <v>74</v>
      </c>
      <c r="H567" s="10" t="s">
        <v>114</v>
      </c>
      <c r="J567"/>
      <c r="K567" s="19"/>
      <c r="L567" s="19"/>
      <c r="M567" s="19"/>
      <c r="N567" s="19"/>
      <c r="O567" s="19"/>
      <c r="P567" s="19"/>
      <c r="Q567"/>
      <c r="R567"/>
    </row>
    <row r="568" spans="1:18" s="11" customFormat="1" ht="16" x14ac:dyDescent="0.2">
      <c r="A568" s="16" t="s">
        <v>20</v>
      </c>
      <c r="B568" s="16">
        <v>588</v>
      </c>
      <c r="C568" s="11" t="s">
        <v>17</v>
      </c>
      <c r="D568" s="11" t="s">
        <v>13</v>
      </c>
      <c r="F568" s="11" t="s">
        <v>12</v>
      </c>
      <c r="G568" s="16" t="s">
        <v>15</v>
      </c>
      <c r="H568" s="10" t="s">
        <v>114</v>
      </c>
      <c r="J568"/>
      <c r="K568" s="19"/>
      <c r="L568" s="19"/>
      <c r="M568" s="19"/>
      <c r="N568" s="19"/>
      <c r="O568" s="19"/>
      <c r="P568" s="19"/>
      <c r="Q568"/>
      <c r="R568"/>
    </row>
    <row r="569" spans="1:18" s="11" customFormat="1" ht="16" x14ac:dyDescent="0.2">
      <c r="A569" s="16" t="s">
        <v>115</v>
      </c>
      <c r="B569" s="16">
        <v>33.299999999999997</v>
      </c>
      <c r="C569" s="11" t="s">
        <v>17</v>
      </c>
      <c r="D569" s="11" t="s">
        <v>116</v>
      </c>
      <c r="F569" s="11" t="s">
        <v>12</v>
      </c>
      <c r="G569" s="16" t="s">
        <v>117</v>
      </c>
      <c r="H569" s="10" t="s">
        <v>114</v>
      </c>
      <c r="J569"/>
      <c r="K569" s="19"/>
      <c r="L569" s="19"/>
      <c r="M569" s="19"/>
      <c r="N569" s="19"/>
      <c r="O569" s="19"/>
      <c r="P569" s="19"/>
      <c r="Q569"/>
      <c r="R569"/>
    </row>
    <row r="570" spans="1:18" s="11" customFormat="1" ht="16" x14ac:dyDescent="0.2">
      <c r="A570" s="16" t="s">
        <v>84</v>
      </c>
      <c r="B570" s="16">
        <v>2250</v>
      </c>
      <c r="C570" s="11" t="s">
        <v>17</v>
      </c>
      <c r="D570" s="11" t="s">
        <v>13</v>
      </c>
      <c r="F570" s="11" t="s">
        <v>12</v>
      </c>
      <c r="G570" s="16" t="s">
        <v>42</v>
      </c>
      <c r="H570" s="10" t="s">
        <v>118</v>
      </c>
      <c r="J570"/>
      <c r="K570" s="19"/>
      <c r="L570" s="19"/>
      <c r="M570" s="19"/>
      <c r="N570" s="19"/>
      <c r="O570" s="19"/>
      <c r="P570" s="19"/>
      <c r="Q570"/>
      <c r="R570"/>
    </row>
    <row r="571" spans="1:18" s="11" customFormat="1" ht="16" x14ac:dyDescent="0.2">
      <c r="A571" s="16" t="s">
        <v>201</v>
      </c>
      <c r="B571" s="16">
        <v>2250</v>
      </c>
      <c r="C571" s="11" t="s">
        <v>17</v>
      </c>
      <c r="D571" s="11" t="s">
        <v>13</v>
      </c>
      <c r="F571" s="11" t="s">
        <v>12</v>
      </c>
      <c r="G571" s="16" t="s">
        <v>202</v>
      </c>
      <c r="H571" s="10" t="s">
        <v>118</v>
      </c>
      <c r="J571"/>
      <c r="K571" s="19"/>
      <c r="L571" s="19"/>
      <c r="M571" s="19"/>
      <c r="N571" s="19"/>
      <c r="O571" s="19"/>
      <c r="P571" s="19"/>
      <c r="Q571"/>
      <c r="R571"/>
    </row>
    <row r="572" spans="1:18" s="11" customFormat="1" ht="16" x14ac:dyDescent="0.2">
      <c r="A572" s="16" t="s">
        <v>119</v>
      </c>
      <c r="B572" s="16">
        <v>2.2999999999999998</v>
      </c>
      <c r="C572" s="11" t="s">
        <v>45</v>
      </c>
      <c r="D572" s="11" t="s">
        <v>31</v>
      </c>
      <c r="F572" s="11" t="s">
        <v>12</v>
      </c>
      <c r="G572" s="16" t="s">
        <v>120</v>
      </c>
      <c r="H572" s="10" t="s">
        <v>203</v>
      </c>
      <c r="J572"/>
      <c r="K572" s="19"/>
      <c r="L572" s="19"/>
      <c r="M572" s="19"/>
      <c r="N572" s="19"/>
      <c r="O572" s="19"/>
      <c r="P572" s="19"/>
      <c r="Q572"/>
      <c r="R572"/>
    </row>
    <row r="573" spans="1:18" s="11" customFormat="1" ht="16" x14ac:dyDescent="0.2">
      <c r="A573" s="11" t="s">
        <v>33</v>
      </c>
      <c r="B573" s="12">
        <v>76420.2</v>
      </c>
      <c r="C573" s="11" t="s">
        <v>17</v>
      </c>
      <c r="D573" s="11" t="s">
        <v>35</v>
      </c>
      <c r="F573" s="11" t="s">
        <v>12</v>
      </c>
      <c r="G573" s="11" t="s">
        <v>36</v>
      </c>
      <c r="H573" s="11" t="s">
        <v>79</v>
      </c>
      <c r="J573"/>
      <c r="K573" s="19"/>
      <c r="L573" s="19"/>
      <c r="M573" s="19"/>
      <c r="N573" s="19"/>
      <c r="O573" s="19"/>
      <c r="P573" s="19"/>
      <c r="Q573"/>
      <c r="R573"/>
    </row>
    <row r="574" spans="1:18" s="11" customFormat="1" ht="16" x14ac:dyDescent="0.2">
      <c r="B574" s="16"/>
      <c r="F574" s="10"/>
      <c r="G574" s="10"/>
      <c r="K574" s="12"/>
      <c r="L574" s="12"/>
      <c r="M574" s="12"/>
      <c r="N574" s="12"/>
      <c r="O574" s="12"/>
      <c r="P574" s="12"/>
    </row>
    <row r="575" spans="1:18" s="11" customFormat="1" ht="16" x14ac:dyDescent="0.2">
      <c r="A575" s="8" t="s">
        <v>1</v>
      </c>
      <c r="B575" s="9" t="s">
        <v>514</v>
      </c>
      <c r="K575" s="12"/>
      <c r="L575" s="12"/>
      <c r="M575" s="12"/>
      <c r="N575" s="12"/>
      <c r="O575" s="12"/>
      <c r="P575" s="12"/>
    </row>
    <row r="576" spans="1:18" s="11" customFormat="1" ht="16" x14ac:dyDescent="0.2">
      <c r="A576" s="13" t="s">
        <v>3</v>
      </c>
      <c r="B576" s="14">
        <v>1</v>
      </c>
      <c r="K576" s="12"/>
      <c r="L576" s="12"/>
      <c r="M576" s="12"/>
      <c r="N576" s="12"/>
      <c r="O576" s="12"/>
      <c r="P576" s="12"/>
    </row>
    <row r="577" spans="1:20" s="11" customFormat="1" ht="16" x14ac:dyDescent="0.2">
      <c r="A577" s="13" t="s">
        <v>11</v>
      </c>
      <c r="B577" s="14"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PREVIOUS NOTES (retained as history; the correction above takes precedence):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577" s="12"/>
      <c r="L577" s="12"/>
      <c r="M577" s="12"/>
      <c r="N577" s="12"/>
      <c r="O577" s="12"/>
      <c r="P577" s="12"/>
    </row>
    <row r="578" spans="1:20" s="11" customFormat="1" ht="16" x14ac:dyDescent="0.2">
      <c r="A578" s="13" t="s">
        <v>4</v>
      </c>
      <c r="B578" s="16" t="s">
        <v>515</v>
      </c>
      <c r="K578" s="12"/>
      <c r="L578" s="12"/>
      <c r="M578" s="12"/>
      <c r="N578" s="12"/>
      <c r="O578" s="12"/>
      <c r="P578" s="12"/>
    </row>
    <row r="579" spans="1:20" s="11" customFormat="1" ht="16" x14ac:dyDescent="0.2">
      <c r="A579" s="13" t="s">
        <v>2</v>
      </c>
      <c r="B579" s="14" t="s">
        <v>34</v>
      </c>
      <c r="K579" s="12"/>
      <c r="L579" s="12"/>
      <c r="M579" s="12"/>
      <c r="N579" s="12"/>
      <c r="O579" s="12"/>
      <c r="P579" s="12"/>
    </row>
    <row r="580" spans="1:20" s="11" customFormat="1" ht="16" x14ac:dyDescent="0.2">
      <c r="A580" s="13" t="s">
        <v>6</v>
      </c>
      <c r="B580" s="16" t="s">
        <v>6</v>
      </c>
      <c r="K580" s="12"/>
      <c r="L580" s="12"/>
      <c r="M580" s="12"/>
      <c r="N580" s="12"/>
      <c r="O580" s="12"/>
      <c r="P580" s="12"/>
    </row>
    <row r="581" spans="1:20" s="11" customFormat="1" ht="16" x14ac:dyDescent="0.2">
      <c r="A581" s="17" t="s">
        <v>7</v>
      </c>
      <c r="B581" s="9"/>
      <c r="C581" s="17"/>
      <c r="D581" s="17"/>
      <c r="E581" s="17"/>
      <c r="F581" s="17"/>
      <c r="G581" s="17"/>
      <c r="H581" s="17"/>
      <c r="I581" s="17"/>
      <c r="J581" s="17"/>
      <c r="K581" s="12"/>
      <c r="L581" s="12"/>
      <c r="M581" s="12"/>
      <c r="N581" s="12"/>
      <c r="O581" s="12"/>
      <c r="P581" s="12"/>
    </row>
    <row r="582" spans="1:20" s="11" customFormat="1" ht="16" x14ac:dyDescent="0.2">
      <c r="A582" s="17" t="s">
        <v>8</v>
      </c>
      <c r="B582" s="9" t="s">
        <v>9</v>
      </c>
      <c r="C582" s="17" t="s">
        <v>2</v>
      </c>
      <c r="D582" s="17" t="s">
        <v>6</v>
      </c>
      <c r="E582" s="23" t="s">
        <v>10</v>
      </c>
      <c r="F582" s="17" t="s">
        <v>5</v>
      </c>
      <c r="G582" s="17" t="s">
        <v>4</v>
      </c>
      <c r="H582" s="23" t="s">
        <v>11</v>
      </c>
      <c r="I582" s="17"/>
      <c r="J582" s="7"/>
      <c r="K582" s="18"/>
      <c r="L582" s="18"/>
      <c r="M582" s="18"/>
      <c r="N582" s="18"/>
      <c r="O582" s="18"/>
      <c r="P582" s="18"/>
      <c r="Q582" s="7"/>
      <c r="R582" s="7"/>
      <c r="S582" s="17"/>
      <c r="T582" s="7"/>
    </row>
    <row r="583" spans="1:20" s="11" customFormat="1" ht="16" x14ac:dyDescent="0.2">
      <c r="A583" s="16" t="str">
        <f>B575</f>
        <v>treatment of electrolyzer balance of plant, 1MWe, SOEC</v>
      </c>
      <c r="B583" s="12">
        <v>-1</v>
      </c>
      <c r="C583" s="11" t="s">
        <v>34</v>
      </c>
      <c r="D583" s="11" t="str">
        <f>B580</f>
        <v>unit</v>
      </c>
      <c r="F583" s="11" t="s">
        <v>16</v>
      </c>
      <c r="G583" s="11" t="str">
        <f>B578</f>
        <v>used electrolyzer balance of plant, 1MWe, SOEC</v>
      </c>
      <c r="H583"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K583" s="12"/>
      <c r="L583" s="12"/>
      <c r="M583" s="12"/>
      <c r="N583" s="12"/>
      <c r="O583" s="12"/>
      <c r="P583" s="12"/>
    </row>
    <row r="584" spans="1:20" s="11" customFormat="1" ht="16" x14ac:dyDescent="0.2">
      <c r="A584" s="16" t="s">
        <v>204</v>
      </c>
      <c r="B584" s="11">
        <v>-20421</v>
      </c>
      <c r="C584" s="11" t="s">
        <v>37</v>
      </c>
      <c r="D584" s="11" t="s">
        <v>13</v>
      </c>
      <c r="F584" s="11" t="s">
        <v>12</v>
      </c>
      <c r="G584" s="11" t="s">
        <v>205</v>
      </c>
      <c r="J584"/>
      <c r="K584" s="19"/>
      <c r="L584" s="19"/>
      <c r="M584" s="19"/>
      <c r="N584" s="19"/>
      <c r="O584" s="19"/>
      <c r="P584" s="19"/>
      <c r="Q584"/>
      <c r="R584"/>
    </row>
    <row r="585" spans="1:20" s="11" customFormat="1" ht="16" x14ac:dyDescent="0.2">
      <c r="A585" s="16" t="s">
        <v>449</v>
      </c>
      <c r="B585" s="11">
        <v>-12227</v>
      </c>
      <c r="C585" s="11" t="s">
        <v>217</v>
      </c>
      <c r="D585" s="11" t="s">
        <v>13</v>
      </c>
      <c r="F585" s="11" t="s">
        <v>12</v>
      </c>
      <c r="G585" s="16" t="s">
        <v>216</v>
      </c>
      <c r="H585"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585"/>
      <c r="K585" s="19"/>
      <c r="L585" s="19"/>
      <c r="M585" s="19"/>
      <c r="N585" s="19"/>
      <c r="O585" s="19"/>
      <c r="P585" s="19"/>
      <c r="Q585"/>
      <c r="R585"/>
    </row>
    <row r="586" spans="1:20" s="11" customFormat="1" ht="16" x14ac:dyDescent="0.2">
      <c r="A586" s="11" t="s">
        <v>206</v>
      </c>
      <c r="B586" s="11">
        <v>0</v>
      </c>
      <c r="C586" s="11" t="s">
        <v>37</v>
      </c>
      <c r="D586" s="11" t="s">
        <v>13</v>
      </c>
      <c r="F586" s="11" t="s">
        <v>12</v>
      </c>
      <c r="G586" s="11" t="s">
        <v>207</v>
      </c>
      <c r="H586"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586"/>
      <c r="K586" s="19"/>
      <c r="L586" s="19"/>
      <c r="M586" s="19"/>
      <c r="N586" s="19"/>
      <c r="O586" s="19"/>
      <c r="P586" s="19"/>
      <c r="Q586"/>
      <c r="R586"/>
    </row>
    <row r="587" spans="1:20" s="11" customFormat="1" ht="16" x14ac:dyDescent="0.2">
      <c r="A587" s="11" t="s">
        <v>226</v>
      </c>
      <c r="B587" s="11">
        <v>-32</v>
      </c>
      <c r="C587" s="11" t="s">
        <v>217</v>
      </c>
      <c r="D587" s="11" t="s">
        <v>13</v>
      </c>
      <c r="F587" s="11" t="s">
        <v>12</v>
      </c>
      <c r="G587" s="11" t="s">
        <v>227</v>
      </c>
      <c r="J587"/>
      <c r="K587" s="19"/>
      <c r="L587" s="19"/>
      <c r="M587" s="19"/>
      <c r="N587" s="19"/>
      <c r="O587" s="19"/>
      <c r="P587" s="19"/>
      <c r="Q587"/>
      <c r="R587"/>
    </row>
    <row r="588" spans="1:20" s="11" customFormat="1" ht="16" x14ac:dyDescent="0.2">
      <c r="A588" s="11" t="s">
        <v>218</v>
      </c>
      <c r="B588" s="11">
        <v>-14</v>
      </c>
      <c r="C588" s="11" t="s">
        <v>217</v>
      </c>
      <c r="D588" s="11" t="s">
        <v>13</v>
      </c>
      <c r="F588" s="11" t="s">
        <v>12</v>
      </c>
      <c r="G588" s="11" t="s">
        <v>450</v>
      </c>
      <c r="J588"/>
      <c r="K588" s="19"/>
      <c r="L588" s="19"/>
      <c r="M588" s="19"/>
      <c r="N588" s="19"/>
      <c r="O588" s="19"/>
      <c r="P588" s="19"/>
      <c r="Q588"/>
      <c r="R588"/>
    </row>
    <row r="589" spans="1:20" s="11" customFormat="1" ht="16" x14ac:dyDescent="0.2">
      <c r="A589" s="11" t="s">
        <v>219</v>
      </c>
      <c r="B589" s="11">
        <v>-8</v>
      </c>
      <c r="C589" s="11" t="s">
        <v>17</v>
      </c>
      <c r="D589" s="11" t="s">
        <v>13</v>
      </c>
      <c r="F589" s="11" t="s">
        <v>12</v>
      </c>
      <c r="G589" s="11" t="s">
        <v>220</v>
      </c>
      <c r="J589"/>
      <c r="K589" s="19"/>
      <c r="L589" s="19"/>
      <c r="M589" s="19"/>
      <c r="N589" s="19"/>
      <c r="O589" s="19"/>
      <c r="P589" s="19"/>
      <c r="Q589"/>
      <c r="R589"/>
    </row>
    <row r="590" spans="1:20" s="11" customFormat="1" ht="16" x14ac:dyDescent="0.2">
      <c r="A590" s="11" t="s">
        <v>221</v>
      </c>
      <c r="B590" s="11">
        <v>-534</v>
      </c>
      <c r="C590" s="11" t="s">
        <v>37</v>
      </c>
      <c r="D590" s="11" t="s">
        <v>13</v>
      </c>
      <c r="F590" s="11" t="s">
        <v>12</v>
      </c>
      <c r="G590" s="11" t="s">
        <v>452</v>
      </c>
      <c r="J590"/>
      <c r="K590" s="19"/>
      <c r="L590" s="19"/>
      <c r="M590" s="19"/>
      <c r="N590" s="19"/>
      <c r="O590" s="19"/>
      <c r="P590" s="19"/>
      <c r="Q590"/>
      <c r="R590"/>
    </row>
    <row r="591" spans="1:20" s="11" customFormat="1" ht="16" x14ac:dyDescent="0.2">
      <c r="A591" s="11" t="s">
        <v>451</v>
      </c>
      <c r="B591" s="11">
        <v>-3000</v>
      </c>
      <c r="C591" s="11" t="s">
        <v>37</v>
      </c>
      <c r="D591" s="11" t="s">
        <v>13</v>
      </c>
      <c r="F591" s="11" t="s">
        <v>12</v>
      </c>
      <c r="G591" s="11" t="s">
        <v>222</v>
      </c>
      <c r="J591"/>
      <c r="K591" s="19"/>
      <c r="L591" s="19"/>
      <c r="M591" s="19"/>
      <c r="N591" s="19"/>
      <c r="O591" s="19"/>
      <c r="P591" s="19"/>
      <c r="Q591"/>
      <c r="R591"/>
    </row>
    <row r="592" spans="1:20" s="11" customFormat="1" ht="16" x14ac:dyDescent="0.2">
      <c r="A592" s="11" t="s">
        <v>208</v>
      </c>
      <c r="B592" s="11">
        <v>-3.3000000000000114</v>
      </c>
      <c r="C592" s="11" t="s">
        <v>37</v>
      </c>
      <c r="D592" s="11" t="s">
        <v>13</v>
      </c>
      <c r="F592" s="11" t="s">
        <v>12</v>
      </c>
      <c r="G592" s="11" t="s">
        <v>209</v>
      </c>
      <c r="H592"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592"/>
      <c r="K592" s="19"/>
      <c r="L592" s="19"/>
      <c r="M592" s="19"/>
      <c r="N592" s="19"/>
      <c r="O592" s="19"/>
      <c r="P592" s="19"/>
      <c r="Q592"/>
      <c r="R592"/>
    </row>
    <row r="593" spans="1:21" s="11" customFormat="1" ht="16" x14ac:dyDescent="0.2">
      <c r="A593" s="11" t="s">
        <v>210</v>
      </c>
      <c r="B593" s="11">
        <v>-34.8</v>
      </c>
      <c r="C593" s="11" t="s">
        <v>212</v>
      </c>
      <c r="D593" s="11" t="s">
        <v>13</v>
      </c>
      <c r="F593" s="11" t="s">
        <v>12</v>
      </c>
      <c r="G593" s="11" t="s">
        <v>211</v>
      </c>
      <c r="H593"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593"/>
      <c r="K593" s="19"/>
      <c r="L593" s="19"/>
      <c r="M593" s="19"/>
      <c r="N593" s="19"/>
      <c r="O593" s="19"/>
      <c r="P593" s="19"/>
      <c r="Q593"/>
      <c r="R593"/>
    </row>
    <row r="594" spans="1:21" s="11" customFormat="1" ht="16" x14ac:dyDescent="0.2">
      <c r="A594" s="11" t="s">
        <v>448</v>
      </c>
      <c r="B594" s="11">
        <v>-5600</v>
      </c>
      <c r="C594" s="11" t="s">
        <v>37</v>
      </c>
      <c r="D594" s="11" t="s">
        <v>13</v>
      </c>
      <c r="F594" s="11" t="s">
        <v>12</v>
      </c>
      <c r="G594" s="11" t="s">
        <v>223</v>
      </c>
      <c r="J594"/>
      <c r="K594" s="19"/>
      <c r="L594" s="19"/>
      <c r="M594" s="19"/>
      <c r="N594" s="19"/>
      <c r="O594" s="19"/>
      <c r="P594" s="19"/>
      <c r="Q594"/>
      <c r="R594"/>
    </row>
    <row r="595" spans="1:21" s="11" customFormat="1" ht="16" x14ac:dyDescent="0.2">
      <c r="A595" t="inlineStr">
        <is>
          <t xml:space="preserve">treatment of used power conversion system and motor drives, electrolysis, SOEC</t>
        </is>
      </c>
      <c r="B595" s="16">
        <v>-1</v>
      </c>
      <c r="C595" t="inlineStr">
        <is>
          <t>GLO</t>
        </is>
      </c>
      <c r="D595" t="inlineStr">
        <is>
          <t>unit</t>
        </is>
      </c>
      <c r="F595" t="inlineStr">
        <is>
          <t>technosphere</t>
        </is>
      </c>
      <c r="G595" t="inlineStr">
        <is>
          <t xml:space="preserve">used power conversion system and motor drives, electrolysis, SOEC</t>
        </is>
      </c>
      <c r="H595"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K595" s="12"/>
      <c r="L595" s="12"/>
      <c r="M595" s="12"/>
      <c r="N595" s="12"/>
      <c r="O595" s="12"/>
      <c r="P595" s="12"/>
    </row>
    <row r="596" spans="1:21" s="11" customFormat="1" ht="16" x14ac:dyDescent="0.2">
      <c r="A596" s="8" t="s">
        <v>1</v>
      </c>
      <c r="B596" s="9" t="s">
        <v>516</v>
      </c>
      <c r="C596" s="10"/>
      <c r="K596" s="12"/>
      <c r="L596" s="12"/>
      <c r="M596" s="12"/>
      <c r="N596" s="12"/>
      <c r="O596" s="12"/>
      <c r="P596" s="12"/>
    </row>
    <row r="597" spans="1:21" s="11" customFormat="1" ht="16" x14ac:dyDescent="0.2">
      <c r="A597" s="13" t="s">
        <v>3</v>
      </c>
      <c r="B597" s="14">
        <v>1</v>
      </c>
      <c r="K597" s="12"/>
      <c r="L597" s="12"/>
      <c r="M597" s="12"/>
      <c r="N597" s="12"/>
      <c r="O597" s="12"/>
      <c r="P597" s="12"/>
    </row>
    <row r="598" spans="1:21" s="11" customFormat="1" ht="16" x14ac:dyDescent="0.2">
      <c r="A598" s="13" t="s">
        <v>11</v>
      </c>
      <c r="B598" s="14" t="s">
        <v>544</v>
      </c>
      <c r="K598" s="12"/>
      <c r="L598" s="12"/>
      <c r="M598" s="12"/>
      <c r="N598" s="12"/>
      <c r="O598" s="12"/>
      <c r="P598" s="12"/>
    </row>
    <row r="599" spans="1:21" s="11" customFormat="1" ht="16" x14ac:dyDescent="0.2">
      <c r="A599" s="13" t="s">
        <v>4</v>
      </c>
      <c r="B599" s="15" t="s">
        <v>517</v>
      </c>
      <c r="K599" s="12"/>
      <c r="L599" s="12"/>
      <c r="M599" s="12"/>
      <c r="N599" s="12"/>
      <c r="O599" s="12"/>
      <c r="P599" s="12"/>
    </row>
    <row r="600" spans="1:21" s="11" customFormat="1" ht="16" x14ac:dyDescent="0.2">
      <c r="A600" s="13" t="s">
        <v>2</v>
      </c>
      <c r="B600" s="14" t="s">
        <v>34</v>
      </c>
      <c r="K600" s="12"/>
      <c r="L600" s="12"/>
      <c r="M600" s="12"/>
      <c r="N600" s="12"/>
      <c r="O600" s="12"/>
      <c r="P600" s="12"/>
    </row>
    <row r="601" spans="1:21" s="11" customFormat="1" ht="16" x14ac:dyDescent="0.2">
      <c r="A601" s="13" t="s">
        <v>6</v>
      </c>
      <c r="B601" s="16" t="s">
        <v>13</v>
      </c>
      <c r="H601" s="17"/>
      <c r="I601" s="17"/>
      <c r="J601" s="17"/>
      <c r="K601" s="12"/>
      <c r="L601" s="12"/>
      <c r="M601" s="12"/>
      <c r="N601" s="12"/>
      <c r="O601" s="12"/>
      <c r="P601" s="12"/>
    </row>
    <row r="602" spans="1:21" s="11" customFormat="1" ht="16" x14ac:dyDescent="0.2">
      <c r="A602" s="17" t="s">
        <v>7</v>
      </c>
      <c r="B602" s="9"/>
      <c r="C602" s="17"/>
      <c r="D602" s="17"/>
      <c r="E602" s="17"/>
      <c r="F602" s="17"/>
      <c r="G602" s="17"/>
      <c r="H602" s="10"/>
      <c r="I602" s="10"/>
      <c r="J602" s="10"/>
      <c r="K602" s="12"/>
      <c r="L602" s="12"/>
      <c r="M602" s="12"/>
      <c r="N602" s="12"/>
      <c r="O602" s="12"/>
      <c r="P602" s="12"/>
    </row>
    <row r="603" spans="1:21" s="11" customFormat="1" ht="16" x14ac:dyDescent="0.2">
      <c r="A603" s="17" t="s">
        <v>8</v>
      </c>
      <c r="B603" s="17" t="s">
        <v>9</v>
      </c>
      <c r="C603" s="17" t="s">
        <v>2</v>
      </c>
      <c r="D603" s="17" t="s">
        <v>6</v>
      </c>
      <c r="E603" s="17" t="s">
        <v>10</v>
      </c>
      <c r="F603" s="17" t="s">
        <v>5</v>
      </c>
      <c r="G603" s="17" t="s">
        <v>4</v>
      </c>
      <c r="H603" s="17" t="s">
        <v>11</v>
      </c>
      <c r="I603" s="17" t="s">
        <v>466</v>
      </c>
      <c r="J603" s="7" t="s">
        <v>467</v>
      </c>
      <c r="K603" s="18" t="s">
        <v>468</v>
      </c>
      <c r="L603" s="18" t="s">
        <v>469</v>
      </c>
      <c r="M603" s="18" t="s">
        <v>470</v>
      </c>
      <c r="N603" s="18" t="s">
        <v>471</v>
      </c>
      <c r="O603" s="18" t="s">
        <v>472</v>
      </c>
      <c r="P603" s="18" t="s">
        <v>473</v>
      </c>
      <c r="Q603" s="7" t="s">
        <v>474</v>
      </c>
      <c r="R603" s="7" t="s">
        <v>475</v>
      </c>
      <c r="S603" s="17" t="s">
        <v>476</v>
      </c>
      <c r="T603" s="7" t="s">
        <v>477</v>
      </c>
      <c r="U603" s="17" t="s">
        <v>46</v>
      </c>
    </row>
    <row r="604" spans="1:21" s="11" customFormat="1" ht="16" x14ac:dyDescent="0.2">
      <c r="A604" s="16" t="str">
        <f>B596</f>
        <v>deionized water production, via reverse osmosis, from brackish water</v>
      </c>
      <c r="B604" s="16">
        <v>1</v>
      </c>
      <c r="C604" s="11" t="str">
        <f>B600</f>
        <v>RER</v>
      </c>
      <c r="D604" s="11" t="str">
        <f>B601</f>
        <v>kilogram</v>
      </c>
      <c r="E604" s="10"/>
      <c r="F604" s="11" t="s">
        <v>16</v>
      </c>
      <c r="G604" s="16" t="str">
        <f>B599</f>
        <v>water, deionized</v>
      </c>
      <c r="H604" s="10"/>
      <c r="I604" s="10">
        <v>0</v>
      </c>
      <c r="K604" s="12"/>
      <c r="L604" s="12"/>
      <c r="M604" s="12"/>
      <c r="N604" s="12"/>
      <c r="O604" s="12"/>
      <c r="P604" s="12"/>
      <c r="T604"/>
    </row>
    <row r="605" spans="1:21" ht="16" x14ac:dyDescent="0.2">
      <c r="A605" t="s">
        <v>33</v>
      </c>
      <c r="B605" s="4">
        <v>1.5499999999999999E-3</v>
      </c>
      <c r="C605" s="11" t="s">
        <v>34</v>
      </c>
      <c r="D605" t="s">
        <v>35</v>
      </c>
      <c r="F605" t="s">
        <v>12</v>
      </c>
      <c r="G605" t="s">
        <v>36</v>
      </c>
      <c r="H605" t="s">
        <v>529</v>
      </c>
      <c r="I605">
        <v>5</v>
      </c>
      <c r="J605" s="4">
        <f>B605</f>
        <v>1.5499999999999999E-3</v>
      </c>
      <c r="S605">
        <f>1.4/1000</f>
        <v>1.4E-3</v>
      </c>
      <c r="T605">
        <f>1.7/1000</f>
        <v>1.6999999999999999E-3</v>
      </c>
    </row>
    <row r="606" spans="1:21" ht="16" x14ac:dyDescent="0.2">
      <c r="A606" t="s">
        <v>518</v>
      </c>
      <c r="B606" s="4">
        <v>1.3499999999999999E-5</v>
      </c>
      <c r="C606" s="11" t="s">
        <v>34</v>
      </c>
      <c r="D606" t="s">
        <v>13</v>
      </c>
      <c r="F606" t="s">
        <v>12</v>
      </c>
      <c r="G606" t="s">
        <v>519</v>
      </c>
      <c r="I606">
        <v>0</v>
      </c>
    </row>
    <row r="607" spans="1:21" ht="16" x14ac:dyDescent="0.2">
      <c r="A607" t="s">
        <v>520</v>
      </c>
      <c r="B607" s="4">
        <v>7.5799999999999998E-7</v>
      </c>
      <c r="C607" s="11" t="s">
        <v>17</v>
      </c>
      <c r="D607" t="s">
        <v>13</v>
      </c>
      <c r="F607" t="s">
        <v>12</v>
      </c>
      <c r="G607" t="s">
        <v>521</v>
      </c>
      <c r="I607">
        <v>0</v>
      </c>
    </row>
    <row r="608" spans="1:21" ht="16" x14ac:dyDescent="0.2">
      <c r="A608" t="s">
        <v>522</v>
      </c>
      <c r="B608" s="4">
        <v>2.1600000000000001E-6</v>
      </c>
      <c r="C608" s="11" t="s">
        <v>34</v>
      </c>
      <c r="D608" t="s">
        <v>13</v>
      </c>
      <c r="F608" t="s">
        <v>12</v>
      </c>
      <c r="G608" t="s">
        <v>523</v>
      </c>
      <c r="I608">
        <v>0</v>
      </c>
    </row>
    <row r="609" spans="1:21" ht="16" x14ac:dyDescent="0.2">
      <c r="A609" t="s">
        <v>537</v>
      </c>
      <c r="B609" s="4">
        <v>2.7E-6</v>
      </c>
      <c r="C609" s="11" t="s">
        <v>34</v>
      </c>
      <c r="D609" t="s">
        <v>13</v>
      </c>
      <c r="F609" t="s">
        <v>12</v>
      </c>
      <c r="G609" t="s">
        <v>524</v>
      </c>
      <c r="I609">
        <v>0</v>
      </c>
    </row>
    <row r="610" spans="1:21" x14ac:dyDescent="0.2">
      <c r="A610" t="s">
        <v>525</v>
      </c>
      <c r="B610" s="4">
        <f>1/0.7/1000</f>
        <v>1.4285714285714286E-3</v>
      </c>
      <c r="D610" t="s">
        <v>31</v>
      </c>
      <c r="E610" t="s">
        <v>526</v>
      </c>
      <c r="F610" t="s">
        <v>14</v>
      </c>
      <c r="H610" t="s">
        <v>527</v>
      </c>
      <c r="I610">
        <v>5</v>
      </c>
      <c r="J610" s="4">
        <f>B610</f>
        <v>1.4285714285714286E-3</v>
      </c>
      <c r="S610" s="4">
        <f>1/0.9/1000</f>
        <v>1.1111111111111111E-3</v>
      </c>
      <c r="T610" s="4">
        <f>1/0.5/1000</f>
        <v>2E-3</v>
      </c>
    </row>
    <row r="611" spans="1:21" x14ac:dyDescent="0.2">
      <c r="A611" t="s">
        <v>534</v>
      </c>
      <c r="B611" s="4">
        <f>B610-(1/1000)</f>
        <v>4.2857142857142855E-4</v>
      </c>
      <c r="D611" t="s">
        <v>31</v>
      </c>
      <c r="E611" t="s">
        <v>535</v>
      </c>
      <c r="F611" t="s">
        <v>14</v>
      </c>
      <c r="H611" t="s">
        <v>536</v>
      </c>
      <c r="I611">
        <v>0</v>
      </c>
    </row>
    <row r="612" spans="1:21" x14ac:dyDescent="0.2">
      <c r="A612" t="s">
        <v>538</v>
      </c>
      <c r="B612" s="4">
        <f>(5.2*0.000001)*(B611*1000)</f>
        <v>2.2285714285714286E-6</v>
      </c>
      <c r="D612" t="s">
        <v>13</v>
      </c>
      <c r="E612" t="s">
        <v>535</v>
      </c>
      <c r="F612" t="s">
        <v>14</v>
      </c>
      <c r="H612" t="s">
        <v>539</v>
      </c>
      <c r="I612">
        <v>0</v>
      </c>
    </row>
    <row r="613" spans="1:21" x14ac:dyDescent="0.2">
      <c r="A613" t="s">
        <v>540</v>
      </c>
      <c r="B613" s="4">
        <f>(1.7*0.000001)*(B611*1000)</f>
        <v>7.2857142857142845E-7</v>
      </c>
      <c r="D613" t="s">
        <v>13</v>
      </c>
      <c r="E613" t="s">
        <v>535</v>
      </c>
      <c r="F613" t="s">
        <v>14</v>
      </c>
      <c r="H613" t="s">
        <v>541</v>
      </c>
      <c r="I613">
        <v>0</v>
      </c>
    </row>
    <row r="614" spans="1:21" x14ac:dyDescent="0.2">
      <c r="A614" t="s">
        <v>542</v>
      </c>
      <c r="B614" s="4">
        <f>(31*0.000001)*(B611*1000)</f>
        <v>1.3285714285714285E-5</v>
      </c>
      <c r="D614" t="s">
        <v>13</v>
      </c>
      <c r="E614" t="s">
        <v>535</v>
      </c>
      <c r="F614" t="s">
        <v>14</v>
      </c>
      <c r="H614" t="s">
        <v>543</v>
      </c>
      <c r="I614">
        <v>0</v>
      </c>
    </row>
    <row r="616" spans="1:21" s="11" customFormat="1" ht="16" x14ac:dyDescent="0.2">
      <c r="A616" s="8" t="s">
        <v>1</v>
      </c>
      <c r="B616" s="9" t="s">
        <v>528</v>
      </c>
      <c r="C616" s="10"/>
      <c r="K616" s="12"/>
      <c r="L616" s="12"/>
      <c r="M616" s="12"/>
      <c r="N616" s="12"/>
      <c r="O616" s="12"/>
      <c r="P616" s="12"/>
    </row>
    <row r="617" spans="1:21" s="11" customFormat="1" ht="16" x14ac:dyDescent="0.2">
      <c r="A617" s="13" t="s">
        <v>3</v>
      </c>
      <c r="B617" s="14">
        <v>1</v>
      </c>
      <c r="K617" s="12"/>
      <c r="L617" s="12"/>
      <c r="M617" s="12"/>
      <c r="N617" s="12"/>
      <c r="O617" s="12"/>
      <c r="P617" s="12"/>
    </row>
    <row r="618" spans="1:21" s="11" customFormat="1" ht="16" x14ac:dyDescent="0.2">
      <c r="A618" s="13" t="s">
        <v>11</v>
      </c>
      <c r="B618" s="14" t="s">
        <v>531</v>
      </c>
      <c r="K618" s="12"/>
      <c r="L618" s="12"/>
      <c r="M618" s="12"/>
      <c r="N618" s="12"/>
      <c r="O618" s="12"/>
      <c r="P618" s="12"/>
    </row>
    <row r="619" spans="1:21" s="11" customFormat="1" ht="16" x14ac:dyDescent="0.2">
      <c r="A619" s="13" t="s">
        <v>4</v>
      </c>
      <c r="B619" s="15" t="s">
        <v>517</v>
      </c>
      <c r="K619" s="12"/>
      <c r="L619" s="12"/>
      <c r="M619" s="12"/>
      <c r="N619" s="12"/>
      <c r="O619" s="12"/>
      <c r="P619" s="12"/>
    </row>
    <row r="620" spans="1:21" s="11" customFormat="1" ht="16" x14ac:dyDescent="0.2">
      <c r="A620" s="13" t="s">
        <v>2</v>
      </c>
      <c r="B620" s="14" t="s">
        <v>34</v>
      </c>
      <c r="K620" s="12"/>
      <c r="L620" s="12"/>
      <c r="M620" s="12"/>
      <c r="N620" s="12"/>
      <c r="O620" s="12"/>
      <c r="P620" s="12"/>
    </row>
    <row r="621" spans="1:21" s="11" customFormat="1" ht="16" x14ac:dyDescent="0.2">
      <c r="A621" s="13" t="s">
        <v>6</v>
      </c>
      <c r="B621" s="16" t="s">
        <v>13</v>
      </c>
      <c r="H621" s="17"/>
      <c r="I621" s="17"/>
      <c r="J621" s="17"/>
      <c r="K621" s="12"/>
      <c r="L621" s="12"/>
      <c r="M621" s="12"/>
      <c r="N621" s="12"/>
      <c r="O621" s="12"/>
      <c r="P621" s="12"/>
    </row>
    <row r="622" spans="1:21" s="11" customFormat="1" ht="16" x14ac:dyDescent="0.2">
      <c r="A622" s="17" t="s">
        <v>7</v>
      </c>
      <c r="B622" s="9"/>
      <c r="C622" s="17"/>
      <c r="D622" s="17"/>
      <c r="E622" s="17"/>
      <c r="F622" s="17"/>
      <c r="G622" s="17"/>
      <c r="H622" s="10"/>
      <c r="I622" s="10"/>
      <c r="J622" s="10"/>
      <c r="K622" s="12"/>
      <c r="L622" s="12"/>
      <c r="M622" s="12"/>
      <c r="N622" s="12"/>
      <c r="O622" s="12"/>
      <c r="P622" s="12"/>
    </row>
    <row r="623" spans="1:21" s="11" customFormat="1" ht="16" x14ac:dyDescent="0.2">
      <c r="A623" s="17" t="s">
        <v>8</v>
      </c>
      <c r="B623" s="17" t="s">
        <v>9</v>
      </c>
      <c r="C623" s="17" t="s">
        <v>2</v>
      </c>
      <c r="D623" s="17" t="s">
        <v>6</v>
      </c>
      <c r="E623" s="17" t="s">
        <v>10</v>
      </c>
      <c r="F623" s="17" t="s">
        <v>5</v>
      </c>
      <c r="G623" s="17" t="s">
        <v>4</v>
      </c>
      <c r="H623" s="17" t="s">
        <v>11</v>
      </c>
      <c r="I623" s="17" t="s">
        <v>466</v>
      </c>
      <c r="J623" s="7" t="s">
        <v>467</v>
      </c>
      <c r="K623" s="18" t="s">
        <v>468</v>
      </c>
      <c r="L623" s="18" t="s">
        <v>469</v>
      </c>
      <c r="M623" s="18" t="s">
        <v>470</v>
      </c>
      <c r="N623" s="18" t="s">
        <v>471</v>
      </c>
      <c r="O623" s="18" t="s">
        <v>472</v>
      </c>
      <c r="P623" s="18" t="s">
        <v>473</v>
      </c>
      <c r="Q623" s="7" t="s">
        <v>474</v>
      </c>
      <c r="R623" s="7" t="s">
        <v>475</v>
      </c>
      <c r="S623" s="17" t="s">
        <v>476</v>
      </c>
      <c r="T623" s="7" t="s">
        <v>477</v>
      </c>
      <c r="U623" s="17" t="s">
        <v>46</v>
      </c>
    </row>
    <row r="624" spans="1:21" s="11" customFormat="1" ht="16" x14ac:dyDescent="0.2">
      <c r="A624" s="16" t="str">
        <f>B616</f>
        <v>deionized water production, via reverse osmosis, from sea water</v>
      </c>
      <c r="B624" s="16">
        <v>1</v>
      </c>
      <c r="C624" s="11" t="str">
        <f>B620</f>
        <v>RER</v>
      </c>
      <c r="D624" s="11" t="str">
        <f>B621</f>
        <v>kilogram</v>
      </c>
      <c r="E624" s="10"/>
      <c r="F624" s="11" t="s">
        <v>16</v>
      </c>
      <c r="G624" s="16" t="str">
        <f>B619</f>
        <v>water, deionized</v>
      </c>
      <c r="H624" s="10"/>
      <c r="I624" s="10">
        <v>0</v>
      </c>
      <c r="K624" s="12"/>
      <c r="L624" s="12"/>
      <c r="M624" s="12"/>
      <c r="N624" s="12"/>
      <c r="O624" s="12"/>
      <c r="P624" s="12"/>
      <c r="T624"/>
    </row>
    <row r="625" spans="1:20" ht="16" x14ac:dyDescent="0.2">
      <c r="A625" t="s">
        <v>33</v>
      </c>
      <c r="B625" s="4">
        <f>AVERAGE(3.6, 5.7)/1000</f>
        <v>4.6500000000000005E-3</v>
      </c>
      <c r="C625" s="11" t="s">
        <v>34</v>
      </c>
      <c r="D625" t="s">
        <v>35</v>
      </c>
      <c r="F625" t="s">
        <v>12</v>
      </c>
      <c r="G625" t="s">
        <v>36</v>
      </c>
      <c r="H625" t="s">
        <v>530</v>
      </c>
      <c r="I625">
        <v>5</v>
      </c>
      <c r="J625" s="4">
        <f>B625</f>
        <v>4.6500000000000005E-3</v>
      </c>
      <c r="S625">
        <f>3.6/1000</f>
        <v>3.5999999999999999E-3</v>
      </c>
      <c r="T625">
        <f>5.7/1000</f>
        <v>5.7000000000000002E-3</v>
      </c>
    </row>
    <row r="626" spans="1:20" ht="16" x14ac:dyDescent="0.2">
      <c r="A626" t="s">
        <v>518</v>
      </c>
      <c r="B626" s="4">
        <v>1.3499999999999999E-5</v>
      </c>
      <c r="C626" s="11" t="s">
        <v>34</v>
      </c>
      <c r="D626" t="s">
        <v>13</v>
      </c>
      <c r="F626" t="s">
        <v>12</v>
      </c>
      <c r="G626" t="s">
        <v>519</v>
      </c>
      <c r="I626">
        <v>0</v>
      </c>
    </row>
    <row r="627" spans="1:20" ht="16" x14ac:dyDescent="0.2">
      <c r="A627" t="s">
        <v>520</v>
      </c>
      <c r="B627" s="4">
        <v>7.5799999999999998E-7</v>
      </c>
      <c r="C627" s="11" t="s">
        <v>17</v>
      </c>
      <c r="D627" t="s">
        <v>13</v>
      </c>
      <c r="F627" t="s">
        <v>12</v>
      </c>
      <c r="G627" t="s">
        <v>521</v>
      </c>
      <c r="I627">
        <v>0</v>
      </c>
    </row>
    <row r="628" spans="1:20" ht="16" x14ac:dyDescent="0.2">
      <c r="A628" t="s">
        <v>522</v>
      </c>
      <c r="B628" s="4">
        <v>2.1600000000000001E-6</v>
      </c>
      <c r="C628" s="11" t="s">
        <v>34</v>
      </c>
      <c r="D628" t="s">
        <v>13</v>
      </c>
      <c r="F628" t="s">
        <v>12</v>
      </c>
      <c r="G628" t="s">
        <v>523</v>
      </c>
      <c r="I628">
        <v>0</v>
      </c>
    </row>
    <row r="629" spans="1:20" ht="16" x14ac:dyDescent="0.2">
      <c r="A629" t="s">
        <v>537</v>
      </c>
      <c r="B629" s="4">
        <v>2.7E-6</v>
      </c>
      <c r="C629" s="11" t="s">
        <v>34</v>
      </c>
      <c r="D629" t="s">
        <v>13</v>
      </c>
      <c r="F629" t="s">
        <v>12</v>
      </c>
      <c r="G629" t="s">
        <v>524</v>
      </c>
      <c r="I629">
        <v>0</v>
      </c>
    </row>
    <row r="630" spans="1:20" x14ac:dyDescent="0.2">
      <c r="A630" t="s">
        <v>532</v>
      </c>
      <c r="B630" s="4">
        <f>1/0.4/1000</f>
        <v>2.5000000000000001E-3</v>
      </c>
      <c r="D630" t="s">
        <v>31</v>
      </c>
      <c r="E630" t="s">
        <v>526</v>
      </c>
      <c r="F630" t="s">
        <v>14</v>
      </c>
      <c r="H630" t="s">
        <v>533</v>
      </c>
      <c r="I630">
        <v>5</v>
      </c>
      <c r="J630" s="4">
        <f>B630</f>
        <v>2.5000000000000001E-3</v>
      </c>
      <c r="S630" s="4">
        <f>1/0.5/1000</f>
        <v>2E-3</v>
      </c>
      <c r="T630" s="4">
        <f>1/0.35/1000</f>
        <v>2.8571428571428571E-3</v>
      </c>
    </row>
    <row r="631" spans="1:20" x14ac:dyDescent="0.2">
      <c r="A631" t="s">
        <v>538</v>
      </c>
      <c r="B631" s="4">
        <f>(5.2*0.000001)*(B630*1000)</f>
        <v>1.3000000000000001E-5</v>
      </c>
      <c r="D631" t="s">
        <v>13</v>
      </c>
      <c r="E631" t="s">
        <v>535</v>
      </c>
      <c r="F631" t="s">
        <v>14</v>
      </c>
      <c r="H631" t="s">
        <v>539</v>
      </c>
      <c r="I631">
        <v>0</v>
      </c>
    </row>
    <row r="632" spans="1:20" x14ac:dyDescent="0.2">
      <c r="A632" t="s">
        <v>540</v>
      </c>
      <c r="B632" s="4">
        <f>(1.7*0.000001)*(B630*1000)</f>
        <v>4.25E-6</v>
      </c>
      <c r="D632" t="s">
        <v>13</v>
      </c>
      <c r="E632" t="s">
        <v>535</v>
      </c>
      <c r="F632" t="s">
        <v>14</v>
      </c>
      <c r="H632" t="s">
        <v>541</v>
      </c>
      <c r="I632">
        <v>0</v>
      </c>
    </row>
    <row r="633" spans="1:20" x14ac:dyDescent="0.2">
      <c r="A633" t="s">
        <v>542</v>
      </c>
      <c r="B633" s="4">
        <f>(31*0.000001)*(B630*1000)</f>
        <v>7.75E-5</v>
      </c>
      <c r="D633" t="s">
        <v>13</v>
      </c>
      <c r="E633" t="s">
        <v>535</v>
      </c>
      <c r="F633" t="s">
        <v>14</v>
      </c>
      <c r="H633" t="s">
        <v>543</v>
      </c>
      <c r="I633">
        <v>0</v>
      </c>
    </row>
    <row r="636">
      <c r="A636" t="inlineStr">
        <is>
          <t>Activity</t>
        </is>
      </c>
      <c r="B636" t="inlineStr">
        <is>
          <t xml:space="preserve">PFSA membrane production, electrolysis, EW1100</t>
        </is>
      </c>
    </row>
    <row r="637">
      <c r="A637" t="inlineStr">
        <is>
          <t>location</t>
        </is>
      </c>
      <c r="B637" t="inlineStr">
        <is>
          <t>GLO</t>
        </is>
      </c>
    </row>
    <row r="638">
      <c r="A638" t="inlineStr">
        <is>
          <t>production amount</t>
        </is>
      </c>
      <c r="B638">
        <v>1</v>
      </c>
    </row>
    <row r="639">
      <c r="A639" t="inlineStr">
        <is>
          <t>reference product</t>
        </is>
      </c>
      <c r="B639" t="inlineStr">
        <is>
          <t xml:space="preserve">PFSA membrane, electrolysis, EW1100</t>
        </is>
      </c>
    </row>
    <row r="640">
      <c r="A640" t="inlineStr">
        <is>
          <t>unit</t>
        </is>
      </c>
      <c r="B640" t="inlineStr">
        <is>
          <t>kilogram</t>
        </is>
      </c>
    </row>
    <row r="641">
      <c r="A641" t="inlineStr">
        <is>
          <t>source</t>
        </is>
      </c>
      <c r="B641" t="inlineStr">
        <is>
          <t>Weber et al.2018 DOI10.1021/acs.est.8b02073 SISec1.2.1/TableS2 describesTFE+SO3-&gt;FDA,HFPoxidationwithNaOCl-&gt;HFPO,FDA+2HFPOadduct,Na2CO3pyrolysistoPSEPVE,polymerization90%yieldand39.31MJ/kgformingheat. Harzer2021PhD https://mediatum.ub.tum.de/doc/1634530/1634530.pdf synthesisfigurecorroboratesPSEPVE/alkalihydrolysis/acidconversion. ElectrolyzermembraneEW1100reference:Mechanical Characterization of Electrolyzer Membranes and Components Under Compression,2024 DOI10.1149/1945-7111/ad7a26. Theseareseparatechemistry/referenceproperties,not a measuredcompleteNafionfactory.</t>
        </is>
      </c>
    </row>
    <row r="642">
      <c r="A642" t="inlineStr">
        <is>
          <t>comment</t>
        </is>
      </c>
      <c r="B642" t="inlineStr">
        <is>
          <t xml:space="preserve">Nomenclature revision, 2026-10-19. Former activity name: PFSA membrane, EW1100, balanced chemistry engineering reference. Former reference product: PFSA membrane, EW1100, balanced chemistry engineering reference. Activity/product labels and supplier references only; coefficients, formulas, uncertainty, declared output and unit are unchanged. Original engineering assumptions, functional-unit basis and limitations remain below.
APPROVED FINISHED PFSA MEMBRANE REFERENCE, issue90, 2026-10-18. Weber et al.2018 DOI10.1021/acs.est.8b02073 SISec1.2.1/TableS2 describesTFE+SO3-&gt;FDA,HFPoxidationwithNaOCl-&gt;HFPO,FDA+2HFPOadduct,Na2CO3pyrolysistoPSEPVE,polymerization90%yieldand39.31MJ/kgformingheat. Harzer2021PhD https://mediatum.ub.tum.de/doc/1634530/1634530.pdf synthesisfigurecorroboratesPSEPVE/alkalihydrolysis/acidconversion. ElectrolyzermembraneEW1100reference:Mechanical Characterization of Electrolyzer Membranes and Components Under Compression,2024 DOI10.1149/1945-7111/ad7a26. Theseareseparatechemistry/referenceproperties,not a measuredcompleteNafionfactory. Replace16kgTFEmonomerby16kgfinishedunreinforceddryacid-formPFSAperexisting1MWePEMstack. PreserveapprovedPt/Ir/coatingreferencesandlifetimepurchases. UseexplicitbalancednetengineeringchemistrywithEW1100g/molSO3H;n=6.557783744855004TFEbackboneunitsperC7F13O5SHacid-sidechainunit. FDA=C2F4O3SfromTFE+SO3;HFPO=C3F6OfromHFP+NaOCl,HFPfromTFEat1:1mass(rearrangementreference). FDA+2HFPO+Na2CO3-&gt;PSEPVE(C7F14O4S)+2NaF+2CO2;PSEPVE+backboneTFE+2NaOH+HCl-&gt;acidPFSA+NaF+NaCl+H2O. ThisNaOH/HClworkupis anexplicitbalancedengineeringvariant,not a claim ofHarzerKOH/HNO3industrialreagentchoice. Allupstreamintermediateconversionsassumed100%,overallfinishedpolymerretention90%asWeberreference. No2nd90%factoronprecursorinputs. Knownnetingredientsperkgfinished={'TFE': 1.0666093025141414, 'SO3': 0.08086565656565657, 'NaOCl': 0.15038135208080808, 'Na2CO3': 0.10705811975757576, 'NaOH': 0.0808015541010101, 'HCl': 0.03682626262626263};byproducts/reject={'NaCl': 0.17709020993939395, 'NaF': 0.1272368861909091, 'water': 0.018196969696969698, 'CO2': 0.08890707070707071, 'reject_PFSA': 0.11111111111111116}. BuyactualTFE,SO3,NaOCl,Na2CO3,NaOH,HCl,directlyatnetchainfeed;doNOTalsoaddcompleteWebermembranes orunsupportedHFP-&gt;hexafluoroethaneproxy. SaltoutputsNaCl/NaFandstoichiometricwatergotooneaqueouseffluentwith10kgprocesswater/kgfinished (explicitengineeringdilution,1-100kgsensitivity),1000kg/m3densityproxy. Fluoride-specificabatement/isolationanddissolvedsaltfateareunresolved;genericwastewaterisNOTvalidatedNaFdisposal. Polymerrejectgoestoexistingplasticincinerationwithoutcredit;stoichiometricCO2emittedonce.39.31MJ/kgWeberheat isoneaggregateon-sitechemicalsynthesis/filmformingallowance,notaddedagainateachmodeledintermediate;1kWh/kgsiteelectricityassumed. Existingnativeupstreamfeedproductionburdensremainseparate. TestEW1000-1200,finishedretention80-100%,heat20-80MJ/kg,andnonidealintermediateyields;thebalancednetrecipeis a stoichiometricengineeringreferencewithyield,NOTmeasuredindustrialgrosschemicalconsumption. Actualco-monomerpurification,catalysts,solventcirculation,intermediatescrap,PFASemissions,membranewatercontent,reinforcementandlong-termperformancearecoveragegaps. Finished16kgmasskept,notinferredfromfilmthicknessorcellarea. No native/runtime/YAMLorprimary-secondarysharechanges.</t>
        </is>
      </c>
    </row>
    <row r="643">
      <c r="A643" t="inlineStr">
        <is>
          <t>Exchanges</t>
        </is>
      </c>
    </row>
    <row r="644">
      <c r="A644" t="inlineStr">
        <is>
          <t>name</t>
        </is>
      </c>
      <c r="B644" t="inlineStr">
        <is>
          <t>amount</t>
        </is>
      </c>
      <c r="C644" t="inlineStr">
        <is>
          <t>location</t>
        </is>
      </c>
      <c r="D644" t="inlineStr">
        <is>
          <t>unit</t>
        </is>
      </c>
      <c r="E644" t="inlineStr">
        <is>
          <t>categories</t>
        </is>
      </c>
      <c r="F644" t="inlineStr">
        <is>
          <t>type</t>
        </is>
      </c>
      <c r="G644" t="inlineStr">
        <is>
          <t>reference product</t>
        </is>
      </c>
      <c r="H644" t="inlineStr">
        <is>
          <t>comment</t>
        </is>
      </c>
      <c r="I644" t="inlineStr">
        <is>
          <t>product</t>
        </is>
      </c>
    </row>
    <row r="645">
      <c r="A645" t="inlineStr">
        <is>
          <t xml:space="preserve">PFSA membrane production, electrolysis, EW1100</t>
        </is>
      </c>
      <c r="B645">
        <v>1</v>
      </c>
      <c r="C645" t="inlineStr">
        <is>
          <t>GLO</t>
        </is>
      </c>
      <c r="D645" t="inlineStr">
        <is>
          <t>kilogram</t>
        </is>
      </c>
      <c r="F645" t="inlineStr">
        <is>
          <t>production</t>
        </is>
      </c>
      <c r="G645" t="inlineStr">
        <is>
          <t xml:space="preserve">PFSA membrane, electrolysis, EW1100</t>
        </is>
      </c>
      <c r="I645" t="inlineStr">
        <is>
          <t xml:space="preserve">PFSA membrane, electrolysis, EW1100</t>
        </is>
      </c>
    </row>
    <row r="646">
      <c r="A646" t="inlineStr">
        <is>
          <t>market for tetrafluoroethylene</t>
        </is>
      </c>
      <c r="B646">
        <v>1.0666093025141414</v>
      </c>
      <c r="C646" t="inlineStr">
        <is>
          <t>GLO</t>
        </is>
      </c>
      <c r="D646" t="inlineStr">
        <is>
          <t>kilogram</t>
        </is>
      </c>
      <c r="F646" t="inlineStr">
        <is>
          <t>technosphere</t>
        </is>
      </c>
      <c r="G646" t="inlineStr">
        <is>
          <t>tetrafluoroethylene</t>
        </is>
      </c>
      <c r="I646" t="inlineStr">
        <is>
          <t>tetrafluoroethylene</t>
        </is>
      </c>
    </row>
    <row r="647">
      <c r="A647" t="inlineStr">
        <is>
          <t>market for sulfur trioxide</t>
        </is>
      </c>
      <c r="B647">
        <v>0.08086565656565657</v>
      </c>
      <c r="C647" t="inlineStr">
        <is>
          <t>RER</t>
        </is>
      </c>
      <c r="D647" t="inlineStr">
        <is>
          <t>kilogram</t>
        </is>
      </c>
      <c r="F647" t="inlineStr">
        <is>
          <t>technosphere</t>
        </is>
      </c>
      <c r="G647" t="inlineStr">
        <is>
          <t>sulfur trioxide</t>
        </is>
      </c>
      <c r="I647" t="inlineStr">
        <is>
          <t>sulfur trioxide</t>
        </is>
      </c>
    </row>
    <row r="648">
      <c r="A648" t="inlineStr">
        <is>
          <t>market for sodium hypochlorite, without water, in 15% solution state</t>
        </is>
      </c>
      <c r="B648">
        <v>0.15038135208080808</v>
      </c>
      <c r="C648" t="inlineStr">
        <is>
          <t>RER</t>
        </is>
      </c>
      <c r="D648" t="inlineStr">
        <is>
          <t>kilogram</t>
        </is>
      </c>
      <c r="F648" t="inlineStr">
        <is>
          <t>technosphere</t>
        </is>
      </c>
      <c r="G648" t="inlineStr">
        <is>
          <t>sodium hypochlorite, without water, in 15% solution state</t>
        </is>
      </c>
      <c r="I648" t="inlineStr">
        <is>
          <t>sodium hypochlorite, without water, in 15% solution state</t>
        </is>
      </c>
    </row>
    <row r="649">
      <c r="A649" t="inlineStr">
        <is>
          <t>market for soda ash, dense</t>
        </is>
      </c>
      <c r="B649">
        <v>0.10705811975757576</v>
      </c>
      <c r="C649" t="inlineStr">
        <is>
          <t>GLO</t>
        </is>
      </c>
      <c r="D649" t="inlineStr">
        <is>
          <t>kilogram</t>
        </is>
      </c>
      <c r="F649" t="inlineStr">
        <is>
          <t>technosphere</t>
        </is>
      </c>
      <c r="G649" t="inlineStr">
        <is>
          <t>soda ash, dense</t>
        </is>
      </c>
      <c r="I649" t="inlineStr">
        <is>
          <t>soda ash, dense</t>
        </is>
      </c>
    </row>
    <row r="650">
      <c r="A650" t="inlineStr">
        <is>
          <t>market for sodium hydroxide, without water, in 50% solution state</t>
        </is>
      </c>
      <c r="B650">
        <v>0.0808015541010101</v>
      </c>
      <c r="C650" t="inlineStr">
        <is>
          <t>GLO</t>
        </is>
      </c>
      <c r="D650" t="inlineStr">
        <is>
          <t>kilogram</t>
        </is>
      </c>
      <c r="F650" t="inlineStr">
        <is>
          <t>technosphere</t>
        </is>
      </c>
      <c r="G650" t="inlineStr">
        <is>
          <t>sodium hydroxide, without water, in 50% solution state</t>
        </is>
      </c>
      <c r="I650" t="inlineStr">
        <is>
          <t>sodium hydroxide, without water, in 50% solution state</t>
        </is>
      </c>
    </row>
    <row r="651">
      <c r="A651" t="inlineStr">
        <is>
          <t>market for hydrochloric acid, without water, in 30% solution state</t>
        </is>
      </c>
      <c r="B651">
        <v>0.03682626262626263</v>
      </c>
      <c r="C651" t="inlineStr">
        <is>
          <t>RoW</t>
        </is>
      </c>
      <c r="D651" t="inlineStr">
        <is>
          <t>kilogram</t>
        </is>
      </c>
      <c r="F651" t="inlineStr">
        <is>
          <t>technosphere</t>
        </is>
      </c>
      <c r="G651" t="inlineStr">
        <is>
          <t>hydrochloric acid, without water, in 30% solution state</t>
        </is>
      </c>
      <c r="I651" t="inlineStr">
        <is>
          <t>hydrochloric acid, without water, in 30% solution state</t>
        </is>
      </c>
    </row>
    <row r="652">
      <c r="A652" t="inlineStr">
        <is>
          <t>market for tap water</t>
        </is>
      </c>
      <c r="B652">
        <v>10</v>
      </c>
      <c r="C652" t="inlineStr">
        <is>
          <t>RoW</t>
        </is>
      </c>
      <c r="D652" t="inlineStr">
        <is>
          <t>kilogram</t>
        </is>
      </c>
      <c r="F652" t="inlineStr">
        <is>
          <t>technosphere</t>
        </is>
      </c>
      <c r="G652" t="inlineStr">
        <is>
          <t>tap water</t>
        </is>
      </c>
      <c r="I652" t="inlineStr">
        <is>
          <t>tap water</t>
        </is>
      </c>
    </row>
    <row r="653">
      <c r="A653" t="inlineStr">
        <is>
          <t>market for wastewater, average</t>
        </is>
      </c>
      <c r="B653">
        <v>-0.010322524065827272</v>
      </c>
      <c r="C653" t="inlineStr">
        <is>
          <t>RoW</t>
        </is>
      </c>
      <c r="D653" t="inlineStr">
        <is>
          <t>cubic meter</t>
        </is>
      </c>
      <c r="F653" t="inlineStr">
        <is>
          <t>technosphere</t>
        </is>
      </c>
      <c r="G653" t="inlineStr">
        <is>
          <t>wastewater, average</t>
        </is>
      </c>
      <c r="I653" t="inlineStr">
        <is>
          <t>wastewater, average</t>
        </is>
      </c>
    </row>
    <row r="654">
      <c r="A654" t="inlineStr">
        <is>
          <t>treatment of waste plastic, mixture, municipal incineration</t>
        </is>
      </c>
      <c r="B654">
        <v>-0.11111111111111116</v>
      </c>
      <c r="C654" t="inlineStr">
        <is>
          <t>RoW</t>
        </is>
      </c>
      <c r="D654" t="inlineStr">
        <is>
          <t>kilogram</t>
        </is>
      </c>
      <c r="F654" t="inlineStr">
        <is>
          <t>technosphere</t>
        </is>
      </c>
      <c r="G654" t="inlineStr">
        <is>
          <t>waste plastic, mixture</t>
        </is>
      </c>
      <c r="I654" t="inlineStr">
        <is>
          <t>waste plastic, mixture</t>
        </is>
      </c>
    </row>
    <row r="655">
      <c r="A655" t="inlineStr">
        <is>
          <t>market for heat, district or industrial, natural gas</t>
        </is>
      </c>
      <c r="B655">
        <v>39.31</v>
      </c>
      <c r="C655" t="inlineStr">
        <is>
          <t>RoW</t>
        </is>
      </c>
      <c r="D655" t="inlineStr">
        <is>
          <t>megajoule</t>
        </is>
      </c>
      <c r="F655" t="inlineStr">
        <is>
          <t>technosphere</t>
        </is>
      </c>
      <c r="G655" t="inlineStr">
        <is>
          <t>heat, district or industrial, natural gas</t>
        </is>
      </c>
      <c r="I655" t="inlineStr">
        <is>
          <t>heat, district or industrial, natural gas</t>
        </is>
      </c>
    </row>
    <row r="656">
      <c r="A656" t="inlineStr">
        <is>
          <t>market group for electricity, medium voltage</t>
        </is>
      </c>
      <c r="B656">
        <v>1</v>
      </c>
      <c r="C656" t="inlineStr">
        <is>
          <t>GLO</t>
        </is>
      </c>
      <c r="D656" t="inlineStr">
        <is>
          <t>kilowatt hour</t>
        </is>
      </c>
      <c r="F656" t="inlineStr">
        <is>
          <t>technosphere</t>
        </is>
      </c>
      <c r="G656" t="inlineStr">
        <is>
          <t>electricity, medium voltage</t>
        </is>
      </c>
      <c r="I656" t="inlineStr">
        <is>
          <t>electricity, medium voltage</t>
        </is>
      </c>
    </row>
    <row r="657">
      <c r="A657" t="inlineStr">
        <is>
          <t>Carbon dioxide, fossil</t>
        </is>
      </c>
      <c r="B657">
        <v>0.08890707070707071</v>
      </c>
      <c r="D657" t="inlineStr">
        <is>
          <t>kilogram</t>
        </is>
      </c>
      <c r="E657" t="inlineStr">
        <is>
          <t>air::non-urban air or from high stacks</t>
        </is>
      </c>
      <c r="F657" t="inlineStr">
        <is>
          <t>biosphere</t>
        </is>
      </c>
      <c r="H657" t="inlineStr">
        <is>
          <t/>
        </is>
      </c>
    </row>
    <row r="660">
      <c r="A660" t="inlineStr">
        <is>
          <t>Activity</t>
        </is>
      </c>
      <c r="B660" t="inlineStr">
        <is>
          <t xml:space="preserve">glass seal production, SOEC, barium alumino-borosilicate</t>
        </is>
      </c>
    </row>
    <row r="661">
      <c r="A661" t="inlineStr">
        <is>
          <t>location</t>
        </is>
      </c>
      <c r="B661" t="inlineStr">
        <is>
          <t>GLO</t>
        </is>
      </c>
    </row>
    <row r="662">
      <c r="A662" t="inlineStr">
        <is>
          <t>production amount</t>
        </is>
      </c>
      <c r="B662">
        <v>1</v>
      </c>
    </row>
    <row r="663">
      <c r="A663" t="inlineStr">
        <is>
          <t>reference product</t>
        </is>
      </c>
      <c r="B663" t="inlineStr">
        <is>
          <t xml:space="preserve">glass seal, SOEC, barium alumino-borosilicate</t>
        </is>
      </c>
    </row>
    <row r="664">
      <c r="A664" t="inlineStr">
        <is>
          <t>unit</t>
        </is>
      </c>
      <c r="B664" t="inlineStr">
        <is>
          <t>kilogram</t>
        </is>
      </c>
    </row>
    <row r="665">
      <c r="A665" t="inlineStr">
        <is>
          <t>source</t>
        </is>
      </c>
      <c r="B665" t="inlineStr">
        <is>
          <t>Sun,Xiao,Guo,Hong2010,CeramicsInternational36:821-826,DOI10.1016/j.ceramint.2009.09.045,experimentalBaO-Al2O3-B2O3-SiO2glassfamily:base40BaO/20B2O3/40SiO2mol%,Al2O3replacesB2O3/SiO2atconstant2:1Si/Boxide-moleratio;5mol%Alvariantidentifiedasstable,melting1400-1500Cfor1hour. https://www.sciencedirect.com/science/article/pii/S0272884209003812 . ExistingGerloff2021sealantmass4*6.4kg retained.</t>
        </is>
      </c>
    </row>
    <row r="666">
      <c r="A666" t="inlineStr">
        <is>
          <t>comment</t>
        </is>
      </c>
      <c r="B666" t="inlineStr">
        <is>
          <t xml:space="preserve">Nomenclature revision, 2026-10-19. Former activity name: SOEC glass seal, barium alumino-borosilicate engineering reference. Former reference product: SOEC glass seal, barium alumino-borosilicate engineering reference. Activity/product labels and supplier references only; coefficients, formulas, uncertainty, declared output and unit are unchanged. Original engineering assumptions, functional-unit basis and limitations remain below.
APPROVED SOEC INORGANIC GLASS-SEAL REFERENCE, issue91, 2026-10-18. Sun,Xiao,Guo,Hong2010,CeramicsInternational36:821-826,DOI10.1016/j.ceramint.2009.09.045,experimentalBaO-Al2O3-B2O3-SiO2glassfamily:base40BaO/20B2O3/40SiO2mol%,Al2O3replacesB2O3/SiO2atconstant2:1Si/Boxide-moleratio;5mol%Alvariantidentifiedasstable,melting1400-1500Cfor1hour. https://www.sciencedirect.com/science/article/pii/S0272884209003812 . ExistingGerloff2021sealantmass4*6.4kg retained. SiliconepolymerisnotSiO2glassformer. Replacefour6.4kgingredients(Al2O3,B2O3,BaO,silicone)by25.6kgofonefinishedglassreference. Select/reconstruct5mol%Al2O3member:40BaO,5Al2O3,18.333333B2O3,36.666667SiO2mol%;theseareoxideMOLfractions,notweightfractions. Correspondingretainedweightfractions={'BaO': 0.6059001794302946, 'Al2O3': 0.05036460625483175, 'B2O3': 0.12609040016734147, 'SiO2': 0.21764481414753226}. Total25.6kgfinishedsealisinheritedengineeringmass,notmeasuredfromthispublishedglassdesign;sourceTable1fullcompositionwasnotindependentlyrecovered,recipeisexplicitreconstructionfrompublishedseriesdescription. UsingSOFCsealingglassasSOECanalogue doesnotdemonstrateactualstacksealgeometry,thermalcycling,dual-atmospherecompatibilityorleaktightness. PurchaseactualBaO,Al2O3,B2O3,SiO2equivalentsscaledby1/0.95forselected95%melting/formingretention,withmatchedsolidglassreject1/.95-1kg/kgtoexistingmixedhazardoustreatmentproxy;volatilizedB/alkalicomponentsandactualwasteclassificationunresolved.6MJ/kgthermaland1kWh/kgmilling/formingareexplicitengineeringutilityallowancesfor1450Cmelting/quenching,notmeasuredsourceutilities;test3-12MJ/kg,0.2-2kWh/kgand90-100%retention. SilicasandisbulkSiO2purityproxy,nonmetallurgicalaluminaisspecialtyoxideproxy;semiconductorgradepurificationnotclaimed. ExistingapprovedYSZ/YDCchemistryandfutureY/Ce/Zrco-scaling,Ni/La/Sr/Prpurchases,steel,stackreplacementandhydrogenoutputallocationunchanged. Do notreduceentirestackorapplyfuturedensitylearningtosealwithoutsource. No newnative/runtime/YAMLchangesorprimary-secondarycredit.</t>
        </is>
      </c>
    </row>
    <row r="667">
      <c r="A667" t="inlineStr">
        <is>
          <t>Exchanges</t>
        </is>
      </c>
    </row>
    <row r="668">
      <c r="A668" t="inlineStr">
        <is>
          <t>name</t>
        </is>
      </c>
      <c r="B668" t="inlineStr">
        <is>
          <t>amount</t>
        </is>
      </c>
      <c r="C668" t="inlineStr">
        <is>
          <t>location</t>
        </is>
      </c>
      <c r="D668" t="inlineStr">
        <is>
          <t>unit</t>
        </is>
      </c>
      <c r="E668" t="inlineStr">
        <is>
          <t>categories</t>
        </is>
      </c>
      <c r="F668" t="inlineStr">
        <is>
          <t>type</t>
        </is>
      </c>
      <c r="G668" t="inlineStr">
        <is>
          <t>reference product</t>
        </is>
      </c>
      <c r="H668" t="inlineStr">
        <is>
          <t>comment</t>
        </is>
      </c>
      <c r="I668" t="inlineStr">
        <is>
          <t>product</t>
        </is>
      </c>
    </row>
    <row r="669">
      <c r="A669" t="inlineStr">
        <is>
          <t xml:space="preserve">glass seal production, SOEC, barium alumino-borosilicate</t>
        </is>
      </c>
      <c r="B669">
        <v>1</v>
      </c>
      <c r="C669" t="inlineStr">
        <is>
          <t>GLO</t>
        </is>
      </c>
      <c r="D669" t="inlineStr">
        <is>
          <t>kilogram</t>
        </is>
      </c>
      <c r="F669" t="inlineStr">
        <is>
          <t>production</t>
        </is>
      </c>
      <c r="G669" t="inlineStr">
        <is>
          <t xml:space="preserve">glass seal, SOEC, barium alumino-borosilicate</t>
        </is>
      </c>
      <c r="I669" t="inlineStr">
        <is>
          <t xml:space="preserve">glass seal, SOEC, barium alumino-borosilicate</t>
        </is>
      </c>
    </row>
    <row r="670">
      <c r="A670" t="inlineStr">
        <is>
          <t>market for barium oxide</t>
        </is>
      </c>
      <c r="B670">
        <v>0.6377896625582049</v>
      </c>
      <c r="C670" t="inlineStr">
        <is>
          <t>GLO</t>
        </is>
      </c>
      <c r="D670" t="inlineStr">
        <is>
          <t>kilogram</t>
        </is>
      </c>
      <c r="F670" t="inlineStr">
        <is>
          <t>technosphere</t>
        </is>
      </c>
      <c r="G670" t="inlineStr">
        <is>
          <t>barium oxide</t>
        </is>
      </c>
      <c r="I670" t="inlineStr">
        <is>
          <t>barium oxide</t>
        </is>
      </c>
    </row>
    <row r="671">
      <c r="A671" t="inlineStr">
        <is>
          <t>market for aluminium oxide, non-metallurgical</t>
        </is>
      </c>
      <c r="B671">
        <v>0.05301537500508606</v>
      </c>
      <c r="C671" t="inlineStr">
        <is>
          <t>RoW</t>
        </is>
      </c>
      <c r="D671" t="inlineStr">
        <is>
          <t>kilogram</t>
        </is>
      </c>
      <c r="F671" t="inlineStr">
        <is>
          <t>technosphere</t>
        </is>
      </c>
      <c r="G671" t="inlineStr">
        <is>
          <t>aluminium oxide, non-metallurgical</t>
        </is>
      </c>
      <c r="I671" t="inlineStr">
        <is>
          <t>aluminium oxide, non-metallurgical</t>
        </is>
      </c>
    </row>
    <row r="672">
      <c r="A672" t="inlineStr">
        <is>
          <t>market for boric oxide</t>
        </is>
      </c>
      <c r="B672">
        <v>0.1327267370182542</v>
      </c>
      <c r="C672" t="inlineStr">
        <is>
          <t>GLO</t>
        </is>
      </c>
      <c r="D672" t="inlineStr">
        <is>
          <t>kilogram</t>
        </is>
      </c>
      <c r="F672" t="inlineStr">
        <is>
          <t>technosphere</t>
        </is>
      </c>
      <c r="G672" t="inlineStr">
        <is>
          <t>boric oxide</t>
        </is>
      </c>
      <c r="I672" t="inlineStr">
        <is>
          <t>boric oxide</t>
        </is>
      </c>
    </row>
    <row r="673">
      <c r="A673" t="inlineStr">
        <is>
          <t>market for silica sand</t>
        </is>
      </c>
      <c r="B673">
        <v>0.22909980436582345</v>
      </c>
      <c r="C673" t="inlineStr">
        <is>
          <t>GLO</t>
        </is>
      </c>
      <c r="D673" t="inlineStr">
        <is>
          <t>kilogram</t>
        </is>
      </c>
      <c r="F673" t="inlineStr">
        <is>
          <t>technosphere</t>
        </is>
      </c>
      <c r="G673" t="inlineStr">
        <is>
          <t>silica sand</t>
        </is>
      </c>
      <c r="I673" t="inlineStr">
        <is>
          <t>silica sand</t>
        </is>
      </c>
    </row>
    <row r="674">
      <c r="A674" t="inlineStr">
        <is>
          <t>market for heat, district or industrial, natural gas</t>
        </is>
      </c>
      <c r="B674">
        <v>6</v>
      </c>
      <c r="C674" t="inlineStr">
        <is>
          <t>RoW</t>
        </is>
      </c>
      <c r="D674" t="inlineStr">
        <is>
          <t>megajoule</t>
        </is>
      </c>
      <c r="F674" t="inlineStr">
        <is>
          <t>technosphere</t>
        </is>
      </c>
      <c r="G674" t="inlineStr">
        <is>
          <t>heat, district or industrial, natural gas</t>
        </is>
      </c>
      <c r="I674" t="inlineStr">
        <is>
          <t>heat, district or industrial, natural gas</t>
        </is>
      </c>
    </row>
    <row r="675">
      <c r="A675" t="inlineStr">
        <is>
          <t>market group for electricity, medium voltage</t>
        </is>
      </c>
      <c r="B675">
        <v>1</v>
      </c>
      <c r="C675" t="inlineStr">
        <is>
          <t>GLO</t>
        </is>
      </c>
      <c r="D675" t="inlineStr">
        <is>
          <t>kilowatt hour</t>
        </is>
      </c>
      <c r="F675" t="inlineStr">
        <is>
          <t>technosphere</t>
        </is>
      </c>
      <c r="G675" t="inlineStr">
        <is>
          <t>electricity, medium voltage</t>
        </is>
      </c>
      <c r="I675" t="inlineStr">
        <is>
          <t>electricity, medium voltage</t>
        </is>
      </c>
    </row>
    <row r="676">
      <c r="A676" t="inlineStr">
        <is>
          <t>market for hazardous waste, for incineration</t>
        </is>
      </c>
      <c r="B676">
        <v>-0.05263157894736836</v>
      </c>
      <c r="C676" t="inlineStr">
        <is>
          <t>RoW</t>
        </is>
      </c>
      <c r="D676" t="inlineStr">
        <is>
          <t>kilogram</t>
        </is>
      </c>
      <c r="F676" t="inlineStr">
        <is>
          <t>technosphere</t>
        </is>
      </c>
      <c r="G676" t="inlineStr">
        <is>
          <t>hazardous waste, for incineration</t>
        </is>
      </c>
      <c r="I676" t="inlineStr">
        <is>
          <t>hazardous waste, for incineration</t>
        </is>
      </c>
    </row>
    <row r="679">
      <c r="A679" t="inlineStr">
        <is>
          <t>Activity</t>
        </is>
      </c>
      <c r="B679" t="inlineStr">
        <is>
          <t xml:space="preserve">silicon nitride production, for power modules</t>
        </is>
      </c>
    </row>
    <row r="680">
      <c r="A680" t="inlineStr">
        <is>
          <t>location</t>
        </is>
      </c>
      <c r="B680" t="inlineStr">
        <is>
          <t>GLO</t>
        </is>
      </c>
    </row>
    <row r="681">
      <c r="A681" t="inlineStr">
        <is>
          <t>production amount</t>
        </is>
      </c>
      <c r="B681">
        <v>1</v>
      </c>
    </row>
    <row r="682">
      <c r="A682" t="inlineStr">
        <is>
          <t>reference product</t>
        </is>
      </c>
      <c r="B682" t="inlineStr">
        <is>
          <t xml:space="preserve">silicon nitride, for power modules</t>
        </is>
      </c>
    </row>
    <row r="683">
      <c r="A683" t="inlineStr">
        <is>
          <t>unit</t>
        </is>
      </c>
      <c r="B683" t="inlineStr">
        <is>
          <t>kilogram</t>
        </is>
      </c>
    </row>
    <row r="684">
      <c r="A684" t="inlineStr">
        <is>
          <t>source</t>
        </is>
      </c>
      <c r="B684"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685">
      <c r="A685" t="inlineStr">
        <is>
          <t>comment</t>
        </is>
      </c>
      <c r="B685" t="inlineStr">
        <is>
          <t xml:space="preserve">Nomenclature revision, 2026-10-19. Former activity name: silicon nitride, power-module ceramic engineering reference. Former reference product: silicon nitride, power-module ceramic engineering reference. Activity/product labels and supplier references only; coefficients, formulas, uncertainty, declared output and unit are unchanged. Original engineering assumptions, functional-unit basis and limitations remain below.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686">
      <c r="A686" t="inlineStr">
        <is>
          <t>Exchanges</t>
        </is>
      </c>
    </row>
    <row r="687">
      <c r="A687" t="inlineStr">
        <is>
          <t>name</t>
        </is>
      </c>
      <c r="B687" t="inlineStr">
        <is>
          <t>amount</t>
        </is>
      </c>
      <c r="C687" t="inlineStr">
        <is>
          <t>location</t>
        </is>
      </c>
      <c r="D687" t="inlineStr">
        <is>
          <t>unit</t>
        </is>
      </c>
      <c r="E687" t="inlineStr">
        <is>
          <t>categories</t>
        </is>
      </c>
      <c r="F687" t="inlineStr">
        <is>
          <t>type</t>
        </is>
      </c>
      <c r="G687" t="inlineStr">
        <is>
          <t>reference product</t>
        </is>
      </c>
      <c r="H687" t="inlineStr">
        <is>
          <t>comment</t>
        </is>
      </c>
      <c r="I687" t="inlineStr">
        <is>
          <t>product</t>
        </is>
      </c>
    </row>
    <row r="688">
      <c r="A688" t="inlineStr">
        <is>
          <t xml:space="preserve">silicon nitride production, for power modules</t>
        </is>
      </c>
      <c r="B688">
        <v>1</v>
      </c>
      <c r="C688" t="inlineStr">
        <is>
          <t>GLO</t>
        </is>
      </c>
      <c r="D688" t="inlineStr">
        <is>
          <t>kilogram</t>
        </is>
      </c>
      <c r="F688" t="inlineStr">
        <is>
          <t>production</t>
        </is>
      </c>
      <c r="G688" t="inlineStr">
        <is>
          <t xml:space="preserve">silicon nitride, for power modules</t>
        </is>
      </c>
      <c r="I688" t="inlineStr">
        <is>
          <t xml:space="preserve">silicon nitride, for power modules</t>
        </is>
      </c>
    </row>
    <row r="689">
      <c r="A689" t="inlineStr">
        <is>
          <t>market for silicon, metallurgical grade</t>
        </is>
      </c>
      <c r="B689">
        <v>0.6006073437266098</v>
      </c>
      <c r="C689" t="inlineStr">
        <is>
          <t>GLO</t>
        </is>
      </c>
      <c r="D689" t="inlineStr">
        <is>
          <t>kilogram</t>
        </is>
      </c>
      <c r="F689" t="inlineStr">
        <is>
          <t>technosphere</t>
        </is>
      </c>
      <c r="G689" t="inlineStr">
        <is>
          <t>silicon, metallurgical grade</t>
        </is>
      </c>
      <c r="I689" t="inlineStr">
        <is>
          <t>silicon, metallurgical grade</t>
        </is>
      </c>
    </row>
    <row r="690">
      <c r="A690" t="inlineStr">
        <is>
          <t>market for nitrogen, liquid</t>
        </is>
      </c>
      <c r="B690">
        <v>0.39939265627339027</v>
      </c>
      <c r="C690" t="inlineStr">
        <is>
          <t>RER</t>
        </is>
      </c>
      <c r="D690" t="inlineStr">
        <is>
          <t>kilogram</t>
        </is>
      </c>
      <c r="F690" t="inlineStr">
        <is>
          <t>technosphere</t>
        </is>
      </c>
      <c r="G690" t="inlineStr">
        <is>
          <t>nitrogen, liquid</t>
        </is>
      </c>
      <c r="I690" t="inlineStr">
        <is>
          <t>nitrogen, liquid</t>
        </is>
      </c>
    </row>
    <row r="691">
      <c r="A691" t="inlineStr">
        <is>
          <t>market for heat, district or industrial, natural gas</t>
        </is>
      </c>
      <c r="B691">
        <v>3</v>
      </c>
      <c r="C691" t="inlineStr">
        <is>
          <t>RoW</t>
        </is>
      </c>
      <c r="D691" t="inlineStr">
        <is>
          <t>megajoule</t>
        </is>
      </c>
      <c r="F691" t="inlineStr">
        <is>
          <t>technosphere</t>
        </is>
      </c>
      <c r="G691" t="inlineStr">
        <is>
          <t>heat, district or industrial, natural gas</t>
        </is>
      </c>
      <c r="I691" t="inlineStr">
        <is>
          <t>heat, district or industrial, natural gas</t>
        </is>
      </c>
    </row>
    <row r="692">
      <c r="A692" t="inlineStr">
        <is>
          <t>market group for electricity, medium voltage</t>
        </is>
      </c>
      <c r="B692">
        <v>1</v>
      </c>
      <c r="C692" t="inlineStr">
        <is>
          <t>GLO</t>
        </is>
      </c>
      <c r="D692" t="inlineStr">
        <is>
          <t>kilowatt hour</t>
        </is>
      </c>
      <c r="F692" t="inlineStr">
        <is>
          <t>technosphere</t>
        </is>
      </c>
      <c r="G692" t="inlineStr">
        <is>
          <t>electricity, medium voltage</t>
        </is>
      </c>
      <c r="I692" t="inlineStr">
        <is>
          <t>electricity, medium voltage</t>
        </is>
      </c>
    </row>
    <row r="695">
      <c r="A695" t="inlineStr">
        <is>
          <t>Activity</t>
        </is>
      </c>
      <c r="B695" t="inlineStr">
        <is>
          <t xml:space="preserve">lead oxide production, for power modules</t>
        </is>
      </c>
    </row>
    <row r="696">
      <c r="A696" t="inlineStr">
        <is>
          <t>location</t>
        </is>
      </c>
      <c r="B696" t="inlineStr">
        <is>
          <t>GLO</t>
        </is>
      </c>
    </row>
    <row r="697">
      <c r="A697" t="inlineStr">
        <is>
          <t>production amount</t>
        </is>
      </c>
      <c r="B697">
        <v>1</v>
      </c>
    </row>
    <row r="698">
      <c r="A698" t="inlineStr">
        <is>
          <t>reference product</t>
        </is>
      </c>
      <c r="B698" t="inlineStr">
        <is>
          <t xml:space="preserve">lead oxide, for power modules</t>
        </is>
      </c>
    </row>
    <row r="699">
      <c r="A699" t="inlineStr">
        <is>
          <t>unit</t>
        </is>
      </c>
      <c r="B699" t="inlineStr">
        <is>
          <t>kilogram</t>
        </is>
      </c>
    </row>
    <row r="700">
      <c r="A700" t="inlineStr">
        <is>
          <t>source</t>
        </is>
      </c>
      <c r="B700"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701">
      <c r="A701" t="inlineStr">
        <is>
          <t>comment</t>
        </is>
      </c>
      <c r="B701" t="inlineStr">
        <is>
          <t xml:space="preserve">Nomenclature revision, 2026-10-19. Former activity name: lead oxide, power-module trace engineering reference. Former reference product: lead oxide, power-module trace engineering reference. Activity/product labels and supplier references only; coefficients, formulas, uncertainty, declared output and unit are unchanged. Original engineering assumptions, functional-unit basis and limitations remain below.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702">
      <c r="A702" t="inlineStr">
        <is>
          <t>Exchanges</t>
        </is>
      </c>
    </row>
    <row r="703">
      <c r="A703" t="inlineStr">
        <is>
          <t>name</t>
        </is>
      </c>
      <c r="B703" t="inlineStr">
        <is>
          <t>amount</t>
        </is>
      </c>
      <c r="C703" t="inlineStr">
        <is>
          <t>location</t>
        </is>
      </c>
      <c r="D703" t="inlineStr">
        <is>
          <t>unit</t>
        </is>
      </c>
      <c r="E703" t="inlineStr">
        <is>
          <t>categories</t>
        </is>
      </c>
      <c r="F703" t="inlineStr">
        <is>
          <t>type</t>
        </is>
      </c>
      <c r="G703" t="inlineStr">
        <is>
          <t>reference product</t>
        </is>
      </c>
      <c r="H703" t="inlineStr">
        <is>
          <t>comment</t>
        </is>
      </c>
      <c r="I703" t="inlineStr">
        <is>
          <t>product</t>
        </is>
      </c>
    </row>
    <row r="704">
      <c r="A704" t="inlineStr">
        <is>
          <t xml:space="preserve">lead oxide production, for power modules</t>
        </is>
      </c>
      <c r="B704">
        <v>1</v>
      </c>
      <c r="C704" t="inlineStr">
        <is>
          <t>GLO</t>
        </is>
      </c>
      <c r="D704" t="inlineStr">
        <is>
          <t>kilogram</t>
        </is>
      </c>
      <c r="F704" t="inlineStr">
        <is>
          <t>production</t>
        </is>
      </c>
      <c r="G704" t="inlineStr">
        <is>
          <t xml:space="preserve">lead oxide, for power modules</t>
        </is>
      </c>
      <c r="I704" t="inlineStr">
        <is>
          <t xml:space="preserve">lead oxide, for power modules</t>
        </is>
      </c>
    </row>
    <row r="705">
      <c r="A705" t="inlineStr">
        <is>
          <t>market for lead</t>
        </is>
      </c>
      <c r="B705">
        <v>0.9283195713242443</v>
      </c>
      <c r="C705" t="inlineStr">
        <is>
          <t>GLO</t>
        </is>
      </c>
      <c r="D705" t="inlineStr">
        <is>
          <t>kilogram</t>
        </is>
      </c>
      <c r="F705" t="inlineStr">
        <is>
          <t>technosphere</t>
        </is>
      </c>
      <c r="G705" t="inlineStr">
        <is>
          <t>lead</t>
        </is>
      </c>
      <c r="I705" t="inlineStr">
        <is>
          <t>lead</t>
        </is>
      </c>
    </row>
    <row r="706">
      <c r="A706" t="inlineStr">
        <is>
          <t>market for oxygen, liquid</t>
        </is>
      </c>
      <c r="B706">
        <v>0.07168042867575572</v>
      </c>
      <c r="C706" t="inlineStr">
        <is>
          <t>RER</t>
        </is>
      </c>
      <c r="D706" t="inlineStr">
        <is>
          <t>kilogram</t>
        </is>
      </c>
      <c r="F706" t="inlineStr">
        <is>
          <t>technosphere</t>
        </is>
      </c>
      <c r="G706" t="inlineStr">
        <is>
          <t>oxygen, liquid</t>
        </is>
      </c>
      <c r="I706" t="inlineStr">
        <is>
          <t>oxygen, liquid</t>
        </is>
      </c>
    </row>
    <row r="707">
      <c r="A707" t="inlineStr">
        <is>
          <t>market for heat, district or industrial, natural gas</t>
        </is>
      </c>
      <c r="B707">
        <v>3</v>
      </c>
      <c r="C707" t="inlineStr">
        <is>
          <t>RoW</t>
        </is>
      </c>
      <c r="D707" t="inlineStr">
        <is>
          <t>megajoule</t>
        </is>
      </c>
      <c r="F707" t="inlineStr">
        <is>
          <t>technosphere</t>
        </is>
      </c>
      <c r="G707" t="inlineStr">
        <is>
          <t>heat, district or industrial, natural gas</t>
        </is>
      </c>
      <c r="I707" t="inlineStr">
        <is>
          <t>heat, district or industrial, natural gas</t>
        </is>
      </c>
    </row>
    <row r="710">
      <c r="A710" t="inlineStr">
        <is>
          <t>Activity</t>
        </is>
      </c>
      <c r="B710" t="inlineStr">
        <is>
          <t xml:space="preserve">silicon carbide half-bridge module production</t>
        </is>
      </c>
    </row>
    <row r="711">
      <c r="A711" t="inlineStr">
        <is>
          <t>location</t>
        </is>
      </c>
      <c r="B711" t="inlineStr">
        <is>
          <t>GLO</t>
        </is>
      </c>
    </row>
    <row r="712">
      <c r="A712" t="inlineStr">
        <is>
          <t>production amount</t>
        </is>
      </c>
      <c r="B712">
        <v>1</v>
      </c>
    </row>
    <row r="713">
      <c r="A713" t="inlineStr">
        <is>
          <t>reference product</t>
        </is>
      </c>
      <c r="B713" t="inlineStr">
        <is>
          <t xml:space="preserve">silicon carbide half-bridge module</t>
        </is>
      </c>
    </row>
    <row r="714">
      <c r="A714" t="inlineStr">
        <is>
          <t>unit</t>
        </is>
      </c>
      <c r="B714" t="inlineStr">
        <is>
          <t>kilogram</t>
        </is>
      </c>
    </row>
    <row r="715">
      <c r="A715" t="inlineStr">
        <is>
          <t>source</t>
        </is>
      </c>
      <c r="B715"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716">
      <c r="A716" t="inlineStr">
        <is>
          <t>comment</t>
        </is>
      </c>
      <c r="B716" t="inlineStr">
        <is>
          <t>SiC SUBSTRATE MANUFACTURE, 2026-10-19. Arvidsson and Molander (2017), DOI 10.1111/jiec.12526, section Silicon Carbide Wafer Production / Physical Vapor Transport, citing Warren et al. (2015), DOI 10.1021/acs.est.5b01627: PVT substrate electricity 4.0 kWh/cm2 for a 350 micrometre wafer, density 3210 kg/m3, net wafer-material yield 0.35 including poor crystal regions, slicing and polishing. Thus per kg finished wafer: electricity 35603.0262572 kWh and Acheson SiC powder 1/0.35 = 2.85714285714 kg. Source linearly scales growth electricity with thickness; this mass-normalized reference uses its 350 micrometre basis. Unused charge recirculates internally and is not purchased again; the net discarded 1/0.35-1 kg SiC goes once to generic inert-waste disposal, with no recovery credit. This waste fate is an explicit proxy for discarded crystal/kerf. The source omits measured argon and direct growth emissions; those are unresolved, not demonstrated zero. Global electricity is a geographic proxy. This restores SUBSTRATE production instead of buying industrial SiC powder as a finished semiconductor. It does NOT include device epitaxy, lithography, implantation, metallization, die yields or package assembly. Those remain separate open boundaries; do not interpret this as a complete SiC transistor LCI or a current vendor-specific process. Retain declared finished SiC die mass, package metals/resins, part counts, service life, operating losses and EOL. Do not purchase a complete packaged power device on top. Published reference is historical: test electricity 2/4/6 kWh/cm2 and wafer yield 0.35/0.50/0.70 as illustrative process sensitivities, not measured statistics. Source https://link.springer.com/article/10.1111/jiec.12526 (CC BY 4.0); full text https://publications.lib.chalmers.se/records/fulltext/253433/local_253433.pdf . Only existing supplemental workbooks change; no runtime, native, mapping or primary/secondary-share edits.
PREVIOUS NOTES (retained as history; the correction above takes precedence):
Nomenclature revision, 2026-10-19. Former activity name: SiC half-bridge module, declared material engineering reference. Former reference product: SiC half-bridge module, declared material engineering reference. Activity/product labels and supplier references only; coefficients, formulas, uncertainty, declared output and unit are unchanged. Original engineering assumptions, functional-unit basis and limitations remain below.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717">
      <c r="A717" t="inlineStr">
        <is>
          <t>Exchanges</t>
        </is>
      </c>
    </row>
    <row r="718">
      <c r="A718" t="inlineStr">
        <is>
          <t>name</t>
        </is>
      </c>
      <c r="B718" t="inlineStr">
        <is>
          <t>amount</t>
        </is>
      </c>
      <c r="C718" t="inlineStr">
        <is>
          <t>location</t>
        </is>
      </c>
      <c r="D718" t="inlineStr">
        <is>
          <t>unit</t>
        </is>
      </c>
      <c r="E718" t="inlineStr">
        <is>
          <t>categories</t>
        </is>
      </c>
      <c r="F718" t="inlineStr">
        <is>
          <t>type</t>
        </is>
      </c>
      <c r="G718" t="inlineStr">
        <is>
          <t>reference product</t>
        </is>
      </c>
      <c r="H718" t="inlineStr">
        <is>
          <t>comment</t>
        </is>
      </c>
      <c r="I718" t="inlineStr">
        <is>
          <t>product</t>
        </is>
      </c>
    </row>
    <row r="719">
      <c r="A719" t="inlineStr">
        <is>
          <t xml:space="preserve">silicon carbide half-bridge module production</t>
        </is>
      </c>
      <c r="B719">
        <v>1</v>
      </c>
      <c r="C719" t="inlineStr">
        <is>
          <t>GLO</t>
        </is>
      </c>
      <c r="D719" t="inlineStr">
        <is>
          <t>kilogram</t>
        </is>
      </c>
      <c r="F719" t="inlineStr">
        <is>
          <t>production</t>
        </is>
      </c>
      <c r="G719" t="inlineStr">
        <is>
          <t xml:space="preserve">silicon carbide half-bridge module</t>
        </is>
      </c>
      <c r="I719" t="inlineStr">
        <is>
          <t xml:space="preserve">silicon carbide half-bridge module</t>
        </is>
      </c>
    </row>
    <row r="720">
      <c r="A720" t="inlineStr">
        <is>
          <t>market for copper, cathode</t>
        </is>
      </c>
      <c r="B720">
        <v>0.68</v>
      </c>
      <c r="C720" t="inlineStr">
        <is>
          <t>GLO</t>
        </is>
      </c>
      <c r="D720" t="inlineStr">
        <is>
          <t>kilogram</t>
        </is>
      </c>
      <c r="F720" t="inlineStr">
        <is>
          <t>technosphere</t>
        </is>
      </c>
      <c r="G720" t="inlineStr">
        <is>
          <t>copper, cathode</t>
        </is>
      </c>
      <c r="I720" t="inlineStr">
        <is>
          <t>copper, cathode</t>
        </is>
      </c>
    </row>
    <row r="721">
      <c r="A721" t="inlineStr">
        <is>
          <t>market for tin</t>
        </is>
      </c>
      <c r="B721">
        <v>0.016</v>
      </c>
      <c r="C721" t="inlineStr">
        <is>
          <t>GLO</t>
        </is>
      </c>
      <c r="D721" t="inlineStr">
        <is>
          <t>kilogram</t>
        </is>
      </c>
      <c r="F721" t="inlineStr">
        <is>
          <t>technosphere</t>
        </is>
      </c>
      <c r="G721" t="inlineStr">
        <is>
          <t>tin</t>
        </is>
      </c>
      <c r="I721" t="inlineStr">
        <is>
          <t>tin</t>
        </is>
      </c>
    </row>
    <row r="722">
      <c r="A722" t="inlineStr">
        <is>
          <t>silicon carbide wafer production, physical vapour transport</t>
        </is>
      </c>
      <c r="B722">
        <v>0.001</v>
      </c>
      <c r="C722" t="inlineStr">
        <is>
          <t>GLO</t>
        </is>
      </c>
      <c r="D722" t="inlineStr">
        <is>
          <t>kilogram</t>
        </is>
      </c>
      <c r="F722" t="inlineStr">
        <is>
          <t>technosphere</t>
        </is>
      </c>
      <c r="G722" t="inlineStr">
        <is>
          <t>silicon carbide wafer</t>
        </is>
      </c>
      <c r="H722" t="inlineStr">
        <is>
          <t>SiC SUBSTRATE MANUFACTURE, 2026-10-19. Arvidsson and Molander (2017), DOI 10.1111/jiec.12526, section Silicon Carbide Wafer Production / Physical Vapor Transport, citing Warren et al. (2015), DOI 10.1021/acs.est.5b01627: PVT substrate electricity 4.0 kWh/cm2 for a 350 micrometre wafer, density 3210 kg/m3, net wafer-material yield 0.35 including poor crystal regions, slicing and polishing. Thus per kg finished wafer: electricity 35603.0262572 kWh and Acheson SiC powder 1/0.35 = 2.85714285714 kg. Source linearly scales growth electricity with thickness; this mass-normalized reference uses its 350 micrometre basis. Unused charge recirculates internally and is not purchased again; the net discarded 1/0.35-1 kg SiC goes once to generic inert-waste disposal, with no recovery credit. This waste fate is an explicit proxy for discarded crystal/kerf. The source omits measured argon and direct growth emissions; those are unresolved, not demonstrated zero. Global electricity is a geographic proxy. This restores SUBSTRATE production instead of buying industrial SiC powder as a finished semiconductor. It does NOT include device epitaxy, lithography, implantation, metallization, die yields or package assembly. Those remain separate open boundaries; do not interpret this as a complete SiC transistor LCI or a current vendor-specific process. Retain declared finished SiC die mass, package metals/resins, part counts, service life, operating losses and EOL. Do not purchase a complete packaged power device on top. Published reference is historical: test electricity 2/4/6 kWh/cm2 and wafer yield 0.35/0.50/0.70 as illustrative process sensitivities, not measured statistics. Source https://link.springer.com/article/10.1111/jiec.12526 (CC BY 4.0); full text https://publications.lib.chalmers.se/records/fulltext/253433/local_253433.pdf . Only existing supplemental workbooks change; no runtime, native, mapping or primary/secondary-share edits.</t>
        </is>
      </c>
      <c r="I722" t="inlineStr">
        <is>
          <t>silicon carbide wafer</t>
        </is>
      </c>
    </row>
    <row r="723">
      <c r="A723" t="inlineStr">
        <is>
          <t xml:space="preserve">silicon nitride production, for power modules</t>
        </is>
      </c>
      <c r="B723">
        <v>0.009</v>
      </c>
      <c r="C723" t="inlineStr">
        <is>
          <t>GLO</t>
        </is>
      </c>
      <c r="D723" t="inlineStr">
        <is>
          <t>kilogram</t>
        </is>
      </c>
      <c r="F723" t="inlineStr">
        <is>
          <t>technosphere</t>
        </is>
      </c>
      <c r="G723" t="inlineStr">
        <is>
          <t xml:space="preserve">silicon nitride, for power modules</t>
        </is>
      </c>
      <c r="I723" t="inlineStr">
        <is>
          <t xml:space="preserve">silicon nitride, for power modules</t>
        </is>
      </c>
    </row>
    <row r="724">
      <c r="A724" t="inlineStr">
        <is>
          <t>market for nickel, class 1</t>
        </is>
      </c>
      <c r="B724">
        <v>0.001</v>
      </c>
      <c r="C724" t="inlineStr">
        <is>
          <t>GLO</t>
        </is>
      </c>
      <c r="D724" t="inlineStr">
        <is>
          <t>kilogram</t>
        </is>
      </c>
      <c r="F724" t="inlineStr">
        <is>
          <t>technosphere</t>
        </is>
      </c>
      <c r="G724" t="inlineStr">
        <is>
          <t>nickel, class 1</t>
        </is>
      </c>
      <c r="I724" t="inlineStr">
        <is>
          <t>nickel, class 1</t>
        </is>
      </c>
    </row>
    <row r="725">
      <c r="A725" t="inlineStr">
        <is>
          <t>market for antimony</t>
        </is>
      </c>
      <c r="B725">
        <v>0.001</v>
      </c>
      <c r="C725" t="inlineStr">
        <is>
          <t>GLO</t>
        </is>
      </c>
      <c r="D725" t="inlineStr">
        <is>
          <t>kilogram</t>
        </is>
      </c>
      <c r="F725" t="inlineStr">
        <is>
          <t>technosphere</t>
        </is>
      </c>
      <c r="G725" t="inlineStr">
        <is>
          <t>antimony</t>
        </is>
      </c>
      <c r="I725" t="inlineStr">
        <is>
          <t>antimony</t>
        </is>
      </c>
    </row>
    <row r="726">
      <c r="A726" t="inlineStr">
        <is>
          <t>market for silver</t>
        </is>
      </c>
      <c r="B726">
        <v>0.001</v>
      </c>
      <c r="C726" t="inlineStr">
        <is>
          <t>GLO</t>
        </is>
      </c>
      <c r="D726" t="inlineStr">
        <is>
          <t>kilogram</t>
        </is>
      </c>
      <c r="F726" t="inlineStr">
        <is>
          <t>technosphere</t>
        </is>
      </c>
      <c r="G726" t="inlineStr">
        <is>
          <t>silver</t>
        </is>
      </c>
      <c r="I726" t="inlineStr">
        <is>
          <t>silver</t>
        </is>
      </c>
    </row>
    <row r="727">
      <c r="A727" t="inlineStr">
        <is>
          <t>market for silicone product</t>
        </is>
      </c>
      <c r="B727">
        <v>0.084</v>
      </c>
      <c r="C727" t="inlineStr">
        <is>
          <t>RER</t>
        </is>
      </c>
      <c r="D727" t="inlineStr">
        <is>
          <t>kilogram</t>
        </is>
      </c>
      <c r="F727" t="inlineStr">
        <is>
          <t>technosphere</t>
        </is>
      </c>
      <c r="G727" t="inlineStr">
        <is>
          <t>silicone product</t>
        </is>
      </c>
      <c r="I727" t="inlineStr">
        <is>
          <t>silicone product</t>
        </is>
      </c>
    </row>
    <row r="728">
      <c r="A728" t="inlineStr">
        <is>
          <t>market for nylon 6</t>
        </is>
      </c>
      <c r="B728">
        <v>0.089</v>
      </c>
      <c r="C728" t="inlineStr">
        <is>
          <t>RER</t>
        </is>
      </c>
      <c r="D728" t="inlineStr">
        <is>
          <t>kilogram</t>
        </is>
      </c>
      <c r="F728" t="inlineStr">
        <is>
          <t>technosphere</t>
        </is>
      </c>
      <c r="G728" t="inlineStr">
        <is>
          <t>nylon 6</t>
        </is>
      </c>
      <c r="I728" t="inlineStr">
        <is>
          <t>nylon 6</t>
        </is>
      </c>
    </row>
    <row r="729">
      <c r="A729" t="inlineStr">
        <is>
          <t>market for glass fibre</t>
        </is>
      </c>
      <c r="B729">
        <v>0.046</v>
      </c>
      <c r="C729" t="inlineStr">
        <is>
          <t>GLO</t>
        </is>
      </c>
      <c r="D729" t="inlineStr">
        <is>
          <t>kilogram</t>
        </is>
      </c>
      <c r="F729" t="inlineStr">
        <is>
          <t>technosphere</t>
        </is>
      </c>
      <c r="G729" t="inlineStr">
        <is>
          <t>glass fibre</t>
        </is>
      </c>
      <c r="I729" t="inlineStr">
        <is>
          <t>glass fibre</t>
        </is>
      </c>
    </row>
    <row r="730">
      <c r="A730" t="inlineStr">
        <is>
          <t>market for organophosphorus-compound, unspecified</t>
        </is>
      </c>
      <c r="B730">
        <v>0.015</v>
      </c>
      <c r="C730" t="inlineStr">
        <is>
          <t>GLO</t>
        </is>
      </c>
      <c r="D730" t="inlineStr">
        <is>
          <t>kilogram</t>
        </is>
      </c>
      <c r="F730" t="inlineStr">
        <is>
          <t>technosphere</t>
        </is>
      </c>
      <c r="G730" t="inlineStr">
        <is>
          <t>organophosphorus-compound, unspecified</t>
        </is>
      </c>
      <c r="I730" t="inlineStr">
        <is>
          <t>organophosphorus-compound, unspecified</t>
        </is>
      </c>
    </row>
    <row r="731">
      <c r="A731" t="inlineStr">
        <is>
          <t>market for steel, low-alloyed</t>
        </is>
      </c>
      <c r="B731">
        <v>0.05</v>
      </c>
      <c r="C731" t="inlineStr">
        <is>
          <t>GLO</t>
        </is>
      </c>
      <c r="D731" t="inlineStr">
        <is>
          <t>kilogram</t>
        </is>
      </c>
      <c r="F731" t="inlineStr">
        <is>
          <t>technosphere</t>
        </is>
      </c>
      <c r="G731" t="inlineStr">
        <is>
          <t>steel, low-alloyed</t>
        </is>
      </c>
      <c r="I731" t="inlineStr">
        <is>
          <t>steel, low-alloyed</t>
        </is>
      </c>
    </row>
    <row r="732">
      <c r="A732" t="inlineStr">
        <is>
          <t>market for carbon black</t>
        </is>
      </c>
      <c r="B732">
        <v>0.001</v>
      </c>
      <c r="C732" t="inlineStr">
        <is>
          <t>GLO</t>
        </is>
      </c>
      <c r="D732" t="inlineStr">
        <is>
          <t>kilogram</t>
        </is>
      </c>
      <c r="F732" t="inlineStr">
        <is>
          <t>technosphere</t>
        </is>
      </c>
      <c r="G732" t="inlineStr">
        <is>
          <t>carbon black</t>
        </is>
      </c>
      <c r="I732" t="inlineStr">
        <is>
          <t>carbon black</t>
        </is>
      </c>
    </row>
    <row r="733">
      <c r="A733" t="inlineStr">
        <is>
          <t xml:space="preserve">lead oxide production, for power modules</t>
        </is>
      </c>
      <c r="B733">
        <v>1.8e-05</v>
      </c>
      <c r="C733" t="inlineStr">
        <is>
          <t>GLO</t>
        </is>
      </c>
      <c r="D733" t="inlineStr">
        <is>
          <t>kilogram</t>
        </is>
      </c>
      <c r="F733" t="inlineStr">
        <is>
          <t>technosphere</t>
        </is>
      </c>
      <c r="G733" t="inlineStr">
        <is>
          <t xml:space="preserve">lead oxide, for power modules</t>
        </is>
      </c>
      <c r="I733" t="inlineStr">
        <is>
          <t xml:space="preserve">lead oxide, for power modules</t>
        </is>
      </c>
    </row>
    <row r="736">
      <c r="A736" t="inlineStr">
        <is>
          <t>Activity</t>
        </is>
      </c>
      <c r="B736" t="inlineStr">
        <is>
          <t xml:space="preserve">converter production, industrial, AC-DC, 1 MW</t>
        </is>
      </c>
    </row>
    <row r="737">
      <c r="A737" t="inlineStr">
        <is>
          <t>location</t>
        </is>
      </c>
      <c r="B737" t="inlineStr">
        <is>
          <t>GLO</t>
        </is>
      </c>
    </row>
    <row r="738">
      <c r="A738" t="inlineStr">
        <is>
          <t>production amount</t>
        </is>
      </c>
      <c r="B738">
        <v>1</v>
      </c>
    </row>
    <row r="739">
      <c r="A739" t="inlineStr">
        <is>
          <t>reference product</t>
        </is>
      </c>
      <c r="B739" t="inlineStr">
        <is>
          <t xml:space="preserve">converter, industrial, AC-DC, 1 MW</t>
        </is>
      </c>
    </row>
    <row r="740">
      <c r="A740" t="inlineStr">
        <is>
          <t>unit</t>
        </is>
      </c>
      <c r="B740" t="inlineStr">
        <is>
          <t>unit</t>
        </is>
      </c>
    </row>
    <row r="741">
      <c r="A741" t="inlineStr">
        <is>
          <t>source</t>
        </is>
      </c>
      <c r="B741"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742">
      <c r="A742" t="inlineStr">
        <is>
          <t>comment</t>
        </is>
      </c>
      <c r="B742" t="inlineStr">
        <is>
          <t xml:space="preserve">Nomenclature revision, 2026-10-19. Former activity name: industrial AC-DC converter, 1MW, component engineering reference. Former reference product: industrial AC-DC converter, 1MW, component engineering reference. Activity/product labels and supplier references only; coefficients, formulas, uncertainty, declared output and unit are unchanged. Original engineering assumptions, functional-unit basis and limitations remain below.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743">
      <c r="A743" t="inlineStr">
        <is>
          <t>Exchanges</t>
        </is>
      </c>
    </row>
    <row r="744">
      <c r="A744" t="inlineStr">
        <is>
          <t>name</t>
        </is>
      </c>
      <c r="B744" t="inlineStr">
        <is>
          <t>amount</t>
        </is>
      </c>
      <c r="C744" t="inlineStr">
        <is>
          <t>location</t>
        </is>
      </c>
      <c r="D744" t="inlineStr">
        <is>
          <t>unit</t>
        </is>
      </c>
      <c r="E744" t="inlineStr">
        <is>
          <t>categories</t>
        </is>
      </c>
      <c r="F744" t="inlineStr">
        <is>
          <t>type</t>
        </is>
      </c>
      <c r="G744" t="inlineStr">
        <is>
          <t>reference product</t>
        </is>
      </c>
      <c r="H744" t="inlineStr">
        <is>
          <t>comment</t>
        </is>
      </c>
      <c r="I744" t="inlineStr">
        <is>
          <t>product</t>
        </is>
      </c>
    </row>
    <row r="745">
      <c r="A745" t="inlineStr">
        <is>
          <t xml:space="preserve">converter production, industrial, AC-DC, 1 MW</t>
        </is>
      </c>
      <c r="B745">
        <v>1</v>
      </c>
      <c r="C745" t="inlineStr">
        <is>
          <t>GLO</t>
        </is>
      </c>
      <c r="D745" t="inlineStr">
        <is>
          <t>unit</t>
        </is>
      </c>
      <c r="F745" t="inlineStr">
        <is>
          <t>production</t>
        </is>
      </c>
      <c r="G745" t="inlineStr">
        <is>
          <t xml:space="preserve">converter, industrial, AC-DC, 1 MW</t>
        </is>
      </c>
      <c r="I745" t="inlineStr">
        <is>
          <t xml:space="preserve">converter, industrial, AC-DC, 1 MW</t>
        </is>
      </c>
    </row>
    <row r="746">
      <c r="A746" t="inlineStr">
        <is>
          <t>market for acrylonitrile-butadiene-styrene copolymer</t>
        </is>
      </c>
      <c r="B746">
        <v>8.12501282614425</v>
      </c>
      <c r="C746" t="inlineStr">
        <is>
          <t>GLO</t>
        </is>
      </c>
      <c r="D746" t="inlineStr">
        <is>
          <t>kilogram</t>
        </is>
      </c>
      <c r="F746" t="inlineStr">
        <is>
          <t>technosphere</t>
        </is>
      </c>
      <c r="G746" t="inlineStr">
        <is>
          <t>acrylonitrile-butadiene-styrene copolymer</t>
        </is>
      </c>
      <c r="I746" t="inlineStr">
        <is>
          <t>acrylonitrile-butadiene-styrene copolymer</t>
        </is>
      </c>
    </row>
    <row r="747">
      <c r="A747" t="inlineStr">
        <is>
          <t>market for nylon 6</t>
        </is>
      </c>
      <c r="B747">
        <v>6.658547096547483</v>
      </c>
      <c r="C747" t="inlineStr">
        <is>
          <t>RER</t>
        </is>
      </c>
      <c r="D747" t="inlineStr">
        <is>
          <t>kilogram</t>
        </is>
      </c>
      <c r="F747" t="inlineStr">
        <is>
          <t>technosphere</t>
        </is>
      </c>
      <c r="G747" t="inlineStr">
        <is>
          <t>nylon 6</t>
        </is>
      </c>
      <c r="I747" t="inlineStr">
        <is>
          <t>nylon 6</t>
        </is>
      </c>
    </row>
    <row r="748">
      <c r="A748" t="inlineStr">
        <is>
          <t>market for glass fibre</t>
        </is>
      </c>
      <c r="B748">
        <v>2.2591499077571817</v>
      </c>
      <c r="C748" t="inlineStr">
        <is>
          <t>GLO</t>
        </is>
      </c>
      <c r="D748" t="inlineStr">
        <is>
          <t>kilogram</t>
        </is>
      </c>
      <c r="F748" t="inlineStr">
        <is>
          <t>technosphere</t>
        </is>
      </c>
      <c r="G748" t="inlineStr">
        <is>
          <t>glass fibre</t>
        </is>
      </c>
      <c r="I748" t="inlineStr">
        <is>
          <t>glass fibre</t>
        </is>
      </c>
    </row>
    <row r="749">
      <c r="A749" t="inlineStr">
        <is>
          <t>market for steel, low-alloyed</t>
        </is>
      </c>
      <c r="B749">
        <v>53.308010981287886</v>
      </c>
      <c r="C749" t="inlineStr">
        <is>
          <t>GLO</t>
        </is>
      </c>
      <c r="D749" t="inlineStr">
        <is>
          <t>kilogram</t>
        </is>
      </c>
      <c r="F749" t="inlineStr">
        <is>
          <t>technosphere</t>
        </is>
      </c>
      <c r="G749" t="inlineStr">
        <is>
          <t>steel, low-alloyed</t>
        </is>
      </c>
      <c r="I749" t="inlineStr">
        <is>
          <t>steel, low-alloyed</t>
        </is>
      </c>
    </row>
    <row r="750">
      <c r="A750" t="inlineStr">
        <is>
          <t>market for aluminium, wrought alloy</t>
        </is>
      </c>
      <c r="B750">
        <v>42.80494562066239</v>
      </c>
      <c r="C750" t="inlineStr">
        <is>
          <t>GLO</t>
        </is>
      </c>
      <c r="D750" t="inlineStr">
        <is>
          <t>kilogram</t>
        </is>
      </c>
      <c r="F750" t="inlineStr">
        <is>
          <t>technosphere</t>
        </is>
      </c>
      <c r="G750" t="inlineStr">
        <is>
          <t>aluminium, wrought alloy</t>
        </is>
      </c>
      <c r="I750" t="inlineStr">
        <is>
          <t>aluminium, wrought alloy</t>
        </is>
      </c>
    </row>
    <row r="751">
      <c r="A751" t="inlineStr">
        <is>
          <t>market for copper, cathode</t>
        </is>
      </c>
      <c r="B751">
        <v>39.832379952560835</v>
      </c>
      <c r="C751" t="inlineStr">
        <is>
          <t>GLO</t>
        </is>
      </c>
      <c r="D751" t="inlineStr">
        <is>
          <t>kilogram</t>
        </is>
      </c>
      <c r="F751" t="inlineStr">
        <is>
          <t>technosphere</t>
        </is>
      </c>
      <c r="G751" t="inlineStr">
        <is>
          <t>copper, cathode</t>
        </is>
      </c>
      <c r="I751" t="inlineStr">
        <is>
          <t>copper, cathode</t>
        </is>
      </c>
    </row>
    <row r="752">
      <c r="A752" t="inlineStr">
        <is>
          <t xml:space="preserve">silicon carbide half-bridge module production</t>
        </is>
      </c>
      <c r="B752">
        <v>3.0509999999999997</v>
      </c>
      <c r="C752" t="inlineStr">
        <is>
          <t>GLO</t>
        </is>
      </c>
      <c r="D752" t="inlineStr">
        <is>
          <t>kilogram</t>
        </is>
      </c>
      <c r="F752" t="inlineStr">
        <is>
          <t>technosphere</t>
        </is>
      </c>
      <c r="G752" t="inlineStr">
        <is>
          <t xml:space="preserve">silicon carbide half-bridge module</t>
        </is>
      </c>
      <c r="I752" t="inlineStr">
        <is>
          <t xml:space="preserve">silicon carbide half-bridge module</t>
        </is>
      </c>
    </row>
    <row r="753">
      <c r="A753" t="inlineStr">
        <is>
          <t>market for printed wiring board, surface mounted, unspecified, Pb free</t>
        </is>
      </c>
      <c r="B753">
        <v>8</v>
      </c>
      <c r="C753" t="inlineStr">
        <is>
          <t>GLO</t>
        </is>
      </c>
      <c r="D753" t="inlineStr">
        <is>
          <t>kilogram</t>
        </is>
      </c>
      <c r="F753" t="inlineStr">
        <is>
          <t>technosphere</t>
        </is>
      </c>
      <c r="G753" t="inlineStr">
        <is>
          <t>printed wiring board, surface mounted, unspecified, Pb free</t>
        </is>
      </c>
      <c r="I753" t="inlineStr">
        <is>
          <t>printed wiring board, surface mounted, unspecified, Pb free</t>
        </is>
      </c>
    </row>
    <row r="754">
      <c r="A754" t="inlineStr">
        <is>
          <t>market for capacitor, film type, for through-hole mounting</t>
        </is>
      </c>
      <c r="B754">
        <v>14</v>
      </c>
      <c r="C754" t="inlineStr">
        <is>
          <t>GLO</t>
        </is>
      </c>
      <c r="D754" t="inlineStr">
        <is>
          <t>kilogram</t>
        </is>
      </c>
      <c r="F754" t="inlineStr">
        <is>
          <t>technosphere</t>
        </is>
      </c>
      <c r="G754" t="inlineStr">
        <is>
          <t>capacitor, film type, for through-hole mounting</t>
        </is>
      </c>
      <c r="I754" t="inlineStr">
        <is>
          <t>capacitor, film type, for through-hole mounting</t>
        </is>
      </c>
    </row>
    <row r="755">
      <c r="A755" t="inlineStr">
        <is>
          <t>market for fan, for power supply unit, desktop computer</t>
        </is>
      </c>
      <c r="B755">
        <v>1</v>
      </c>
      <c r="C755" t="inlineStr">
        <is>
          <t>GLO</t>
        </is>
      </c>
      <c r="D755" t="inlineStr">
        <is>
          <t>kilogram</t>
        </is>
      </c>
      <c r="F755" t="inlineStr">
        <is>
          <t>technosphere</t>
        </is>
      </c>
      <c r="G755" t="inlineStr">
        <is>
          <t>fan, for power supply unit, desktop computer</t>
        </is>
      </c>
      <c r="I755" t="inlineStr">
        <is>
          <t>fan, for power supply unit, desktop computer</t>
        </is>
      </c>
    </row>
    <row r="756">
      <c r="A756" t="inlineStr">
        <is>
          <t>metal working, average for steel product manufacturing</t>
        </is>
      </c>
      <c r="B756">
        <v>53.308010981287886</v>
      </c>
      <c r="C756" t="inlineStr">
        <is>
          <t>RER</t>
        </is>
      </c>
      <c r="D756" t="inlineStr">
        <is>
          <t>kilogram</t>
        </is>
      </c>
      <c r="F756" t="inlineStr">
        <is>
          <t>technosphere</t>
        </is>
      </c>
      <c r="G756" t="inlineStr">
        <is>
          <t>metal working, average for steel product manufacturing</t>
        </is>
      </c>
      <c r="I756" t="inlineStr">
        <is>
          <t>metal working, average for steel product manufacturing</t>
        </is>
      </c>
    </row>
    <row r="757">
      <c r="A757" t="inlineStr">
        <is>
          <t>metal working, average for aluminium product manufacturing</t>
        </is>
      </c>
      <c r="B757">
        <v>42.80494562066239</v>
      </c>
      <c r="C757" t="inlineStr">
        <is>
          <t>RER</t>
        </is>
      </c>
      <c r="D757" t="inlineStr">
        <is>
          <t>kilogram</t>
        </is>
      </c>
      <c r="F757" t="inlineStr">
        <is>
          <t>technosphere</t>
        </is>
      </c>
      <c r="G757" t="inlineStr">
        <is>
          <t>metal working, average for aluminium product manufacturing</t>
        </is>
      </c>
      <c r="I757" t="inlineStr">
        <is>
          <t>metal working, average for aluminium product manufacturing</t>
        </is>
      </c>
    </row>
    <row r="758">
      <c r="A758" t="inlineStr">
        <is>
          <t>metal working, average for copper product manufacturing</t>
        </is>
      </c>
      <c r="B758">
        <v>39.832379952560835</v>
      </c>
      <c r="C758" t="inlineStr">
        <is>
          <t>RER</t>
        </is>
      </c>
      <c r="D758" t="inlineStr">
        <is>
          <t>kilogram</t>
        </is>
      </c>
      <c r="F758" t="inlineStr">
        <is>
          <t>technosphere</t>
        </is>
      </c>
      <c r="G758" t="inlineStr">
        <is>
          <t>metal working, average for copper product manufacturing</t>
        </is>
      </c>
      <c r="I758" t="inlineStr">
        <is>
          <t>metal working, average for copper product manufacturing</t>
        </is>
      </c>
    </row>
    <row r="761">
      <c r="A761" t="inlineStr">
        <is>
          <t>Activity</t>
        </is>
      </c>
      <c r="B761" t="inlineStr">
        <is>
          <t xml:space="preserve">transformer production, electrolysis, 1.1 MVA</t>
        </is>
      </c>
    </row>
    <row r="762">
      <c r="A762" t="inlineStr">
        <is>
          <t>location</t>
        </is>
      </c>
      <c r="B762" t="inlineStr">
        <is>
          <t>GLO</t>
        </is>
      </c>
    </row>
    <row r="763">
      <c r="A763" t="inlineStr">
        <is>
          <t>production amount</t>
        </is>
      </c>
      <c r="B763">
        <v>1</v>
      </c>
    </row>
    <row r="764">
      <c r="A764" t="inlineStr">
        <is>
          <t>reference product</t>
        </is>
      </c>
      <c r="B764" t="inlineStr">
        <is>
          <t xml:space="preserve">transformer, electrolysis, 1.1 MVA</t>
        </is>
      </c>
    </row>
    <row r="765">
      <c r="A765" t="inlineStr">
        <is>
          <t>unit</t>
        </is>
      </c>
      <c r="B765" t="inlineStr">
        <is>
          <t>unit</t>
        </is>
      </c>
    </row>
    <row r="766">
      <c r="A766" t="inlineStr">
        <is>
          <t>source</t>
        </is>
      </c>
      <c r="B766"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767">
      <c r="A767" t="inlineStr">
        <is>
          <t>comment</t>
        </is>
      </c>
      <c r="B767" t="inlineStr">
        <is>
          <t xml:space="preserve">Nomenclature revision, 2026-10-19. Former activity name: electrolyzer dedicated transformer, 1.1MVA, engineering reference. Former reference product: electrolyzer dedicated transformer, 1.1MVA, engineering reference. Activity/product labels and supplier references only; coefficients, formulas, uncertainty, declared output and unit are unchanged. Original engineering assumptions, functional-unit basis and limitations remain below.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768">
      <c r="A768" t="inlineStr">
        <is>
          <t>Exchanges</t>
        </is>
      </c>
    </row>
    <row r="769">
      <c r="A769" t="inlineStr">
        <is>
          <t>name</t>
        </is>
      </c>
      <c r="B769" t="inlineStr">
        <is>
          <t>amount</t>
        </is>
      </c>
      <c r="C769" t="inlineStr">
        <is>
          <t>location</t>
        </is>
      </c>
      <c r="D769" t="inlineStr">
        <is>
          <t>unit</t>
        </is>
      </c>
      <c r="E769" t="inlineStr">
        <is>
          <t>categories</t>
        </is>
      </c>
      <c r="F769" t="inlineStr">
        <is>
          <t>type</t>
        </is>
      </c>
      <c r="G769" t="inlineStr">
        <is>
          <t>reference product</t>
        </is>
      </c>
      <c r="H769" t="inlineStr">
        <is>
          <t>comment</t>
        </is>
      </c>
      <c r="I769" t="inlineStr">
        <is>
          <t>product</t>
        </is>
      </c>
    </row>
    <row r="770">
      <c r="A770" t="inlineStr">
        <is>
          <t xml:space="preserve">transformer production, electrolysis, 1.1 MVA</t>
        </is>
      </c>
      <c r="B770">
        <v>1</v>
      </c>
      <c r="C770" t="inlineStr">
        <is>
          <t>GLO</t>
        </is>
      </c>
      <c r="D770" t="inlineStr">
        <is>
          <t>unit</t>
        </is>
      </c>
      <c r="F770" t="inlineStr">
        <is>
          <t>production</t>
        </is>
      </c>
      <c r="G770" t="inlineStr">
        <is>
          <t xml:space="preserve">transformer, electrolysis, 1.1 MVA</t>
        </is>
      </c>
      <c r="I770" t="inlineStr">
        <is>
          <t xml:space="preserve">transformer, electrolysis, 1.1 MVA</t>
        </is>
      </c>
    </row>
    <row r="771">
      <c r="A771" t="inlineStr">
        <is>
          <t>market for steel, unalloyed</t>
        </is>
      </c>
      <c r="B771">
        <v>918.9004000000001</v>
      </c>
      <c r="C771" t="inlineStr">
        <is>
          <t>GLO</t>
        </is>
      </c>
      <c r="D771" t="inlineStr">
        <is>
          <t>kilogram</t>
        </is>
      </c>
      <c r="F771" t="inlineStr">
        <is>
          <t>technosphere</t>
        </is>
      </c>
      <c r="G771" t="inlineStr">
        <is>
          <t>steel, unalloyed</t>
        </is>
      </c>
      <c r="I771" t="inlineStr">
        <is>
          <t>steel, unalloyed</t>
        </is>
      </c>
    </row>
    <row r="772">
      <c r="A772" t="inlineStr">
        <is>
          <t>market for silicon, metallurgical grade</t>
        </is>
      </c>
      <c r="B772">
        <v>28.419600000000006</v>
      </c>
      <c r="C772" t="inlineStr">
        <is>
          <t>GLO</t>
        </is>
      </c>
      <c r="D772" t="inlineStr">
        <is>
          <t>kilogram</t>
        </is>
      </c>
      <c r="F772" t="inlineStr">
        <is>
          <t>technosphere</t>
        </is>
      </c>
      <c r="G772" t="inlineStr">
        <is>
          <t>silicon, metallurgical grade</t>
        </is>
      </c>
      <c r="I772" t="inlineStr">
        <is>
          <t>silicon, metallurgical grade</t>
        </is>
      </c>
    </row>
    <row r="773">
      <c r="A773" t="inlineStr">
        <is>
          <t>market for hot rolling, steel</t>
        </is>
      </c>
      <c r="B773">
        <v>947.3200000000002</v>
      </c>
      <c r="C773" t="inlineStr">
        <is>
          <t>GLO</t>
        </is>
      </c>
      <c r="D773" t="inlineStr">
        <is>
          <t>kilogram</t>
        </is>
      </c>
      <c r="F773" t="inlineStr">
        <is>
          <t>technosphere</t>
        </is>
      </c>
      <c r="G773" t="inlineStr">
        <is>
          <t>hot rolling, steel</t>
        </is>
      </c>
      <c r="I773" t="inlineStr">
        <is>
          <t>hot rolling, steel</t>
        </is>
      </c>
    </row>
    <row r="774">
      <c r="A774" t="inlineStr">
        <is>
          <t>sheet rolling, steel</t>
        </is>
      </c>
      <c r="B774">
        <v>1894.6400000000003</v>
      </c>
      <c r="C774" t="inlineStr">
        <is>
          <t>RER</t>
        </is>
      </c>
      <c r="D774" t="inlineStr">
        <is>
          <t>kilogram</t>
        </is>
      </c>
      <c r="F774" t="inlineStr">
        <is>
          <t>technosphere</t>
        </is>
      </c>
      <c r="G774" t="inlineStr">
        <is>
          <t>sheet rolling, steel</t>
        </is>
      </c>
      <c r="I774" t="inlineStr">
        <is>
          <t>sheet rolling, steel</t>
        </is>
      </c>
    </row>
    <row r="775">
      <c r="A775" t="inlineStr">
        <is>
          <t>market group for electricity, medium voltage</t>
        </is>
      </c>
      <c r="B775">
        <v>1042.0520000000001</v>
      </c>
      <c r="C775" t="inlineStr">
        <is>
          <t>GLO</t>
        </is>
      </c>
      <c r="D775" t="inlineStr">
        <is>
          <t>kilowatt hour</t>
        </is>
      </c>
      <c r="F775" t="inlineStr">
        <is>
          <t>technosphere</t>
        </is>
      </c>
      <c r="G775" t="inlineStr">
        <is>
          <t>electricity, medium voltage</t>
        </is>
      </c>
      <c r="I775" t="inlineStr">
        <is>
          <t>electricity, medium voltage</t>
        </is>
      </c>
    </row>
    <row r="776">
      <c r="A776" t="inlineStr">
        <is>
          <t>heat production, natural gas, at industrial furnace &gt;100kW</t>
        </is>
      </c>
      <c r="B776">
        <v>4357.6720000000005</v>
      </c>
      <c r="C776" t="inlineStr">
        <is>
          <t>Europe without Switzerland</t>
        </is>
      </c>
      <c r="D776" t="inlineStr">
        <is>
          <t>megajoule</t>
        </is>
      </c>
      <c r="F776" t="inlineStr">
        <is>
          <t>technosphere</t>
        </is>
      </c>
      <c r="G776" t="inlineStr">
        <is>
          <t>heat, district or industrial, natural gas</t>
        </is>
      </c>
      <c r="I776" t="inlineStr">
        <is>
          <t>heat, district or industrial, natural gas</t>
        </is>
      </c>
    </row>
    <row r="777">
      <c r="A777" t="inlineStr">
        <is>
          <t>market for lubricating oil</t>
        </is>
      </c>
      <c r="B777">
        <v>466.40000000000003</v>
      </c>
      <c r="C777" t="inlineStr">
        <is>
          <t>RER</t>
        </is>
      </c>
      <c r="D777" t="inlineStr">
        <is>
          <t>kilogram</t>
        </is>
      </c>
      <c r="F777" t="inlineStr">
        <is>
          <t>technosphere</t>
        </is>
      </c>
      <c r="G777" t="inlineStr">
        <is>
          <t>lubricating oil</t>
        </is>
      </c>
      <c r="I777" t="inlineStr">
        <is>
          <t>lubricating oil</t>
        </is>
      </c>
    </row>
    <row r="778">
      <c r="A778" t="inlineStr">
        <is>
          <t>market for aluminium, wrought alloy</t>
        </is>
      </c>
      <c r="B778">
        <v>271.92</v>
      </c>
      <c r="C778" t="inlineStr">
        <is>
          <t>GLO</t>
        </is>
      </c>
      <c r="D778" t="inlineStr">
        <is>
          <t>kilogram</t>
        </is>
      </c>
      <c r="F778" t="inlineStr">
        <is>
          <t>technosphere</t>
        </is>
      </c>
      <c r="G778" t="inlineStr">
        <is>
          <t>aluminium, wrought alloy</t>
        </is>
      </c>
      <c r="I778" t="inlineStr">
        <is>
          <t>aluminium, wrought alloy</t>
        </is>
      </c>
    </row>
    <row r="779">
      <c r="A779" t="inlineStr">
        <is>
          <t>sheet rolling, aluminium</t>
        </is>
      </c>
      <c r="B779">
        <v>271.92</v>
      </c>
      <c r="C779" t="inlineStr">
        <is>
          <t>RER</t>
        </is>
      </c>
      <c r="D779" t="inlineStr">
        <is>
          <t>kilogram</t>
        </is>
      </c>
      <c r="F779" t="inlineStr">
        <is>
          <t>technosphere</t>
        </is>
      </c>
      <c r="G779" t="inlineStr">
        <is>
          <t>sheet rolling, aluminium</t>
        </is>
      </c>
      <c r="I779" t="inlineStr">
        <is>
          <t>sheet rolling, aluminium</t>
        </is>
      </c>
    </row>
    <row r="780">
      <c r="A780" t="inlineStr">
        <is>
          <t>metal working, average for aluminium product manufacturing</t>
        </is>
      </c>
      <c r="B780">
        <v>271.92</v>
      </c>
      <c r="C780" t="inlineStr">
        <is>
          <t>RER</t>
        </is>
      </c>
      <c r="D780" t="inlineStr">
        <is>
          <t>kilogram</t>
        </is>
      </c>
      <c r="F780" t="inlineStr">
        <is>
          <t>technosphere</t>
        </is>
      </c>
      <c r="G780" t="inlineStr">
        <is>
          <t>metal working, average for aluminium product manufacturing</t>
        </is>
      </c>
      <c r="I780" t="inlineStr">
        <is>
          <t>metal working, average for aluminium product manufacturing</t>
        </is>
      </c>
    </row>
    <row r="781">
      <c r="A781" t="inlineStr">
        <is>
          <t>market for steel, low-alloyed</t>
        </is>
      </c>
      <c r="B781">
        <v>763.1888000000001</v>
      </c>
      <c r="C781" t="inlineStr">
        <is>
          <t>GLO</t>
        </is>
      </c>
      <c r="D781" t="inlineStr">
        <is>
          <t>kilogram</t>
        </is>
      </c>
      <c r="F781" t="inlineStr">
        <is>
          <t>technosphere</t>
        </is>
      </c>
      <c r="G781" t="inlineStr">
        <is>
          <t>steel, low-alloyed</t>
        </is>
      </c>
      <c r="I781" t="inlineStr">
        <is>
          <t>steel, low-alloyed</t>
        </is>
      </c>
    </row>
    <row r="782">
      <c r="A782" t="inlineStr">
        <is>
          <t>market for kraft paper</t>
        </is>
      </c>
      <c r="B782">
        <v>15.008400000000002</v>
      </c>
      <c r="C782" t="inlineStr">
        <is>
          <t>RER</t>
        </is>
      </c>
      <c r="D782" t="inlineStr">
        <is>
          <t>kilogram</t>
        </is>
      </c>
      <c r="F782" t="inlineStr">
        <is>
          <t>technosphere</t>
        </is>
      </c>
      <c r="G782" t="inlineStr">
        <is>
          <t>kraft paper</t>
        </is>
      </c>
      <c r="I782" t="inlineStr">
        <is>
          <t>kraft paper</t>
        </is>
      </c>
    </row>
    <row r="783">
      <c r="A783" t="inlineStr">
        <is>
          <t>market for fibreboard, hard</t>
        </is>
      </c>
      <c r="B783">
        <v>0.016262400000000003</v>
      </c>
      <c r="C783" t="inlineStr">
        <is>
          <t>RER</t>
        </is>
      </c>
      <c r="D783" t="inlineStr">
        <is>
          <t>cubic meter</t>
        </is>
      </c>
      <c r="F783" t="inlineStr">
        <is>
          <t>technosphere</t>
        </is>
      </c>
      <c r="G783" t="inlineStr">
        <is>
          <t>fibreboard, hard</t>
        </is>
      </c>
      <c r="I783" t="inlineStr">
        <is>
          <t>fibreboard, hard</t>
        </is>
      </c>
    </row>
    <row r="784">
      <c r="A784" t="inlineStr">
        <is>
          <t>market for epoxy resin, liquid</t>
        </is>
      </c>
      <c r="B784">
        <v>6.6000000000000005</v>
      </c>
      <c r="C784" t="inlineStr">
        <is>
          <t>RER</t>
        </is>
      </c>
      <c r="D784" t="inlineStr">
        <is>
          <t>kilogram</t>
        </is>
      </c>
      <c r="F784" t="inlineStr">
        <is>
          <t>technosphere</t>
        </is>
      </c>
      <c r="G784" t="inlineStr">
        <is>
          <t>epoxy resin, liquid</t>
        </is>
      </c>
      <c r="I784" t="inlineStr">
        <is>
          <t>epoxy resin, liquid</t>
        </is>
      </c>
    </row>
    <row r="785">
      <c r="A785" t="inlineStr">
        <is>
          <t>market for copper, cathode</t>
        </is>
      </c>
      <c r="B785">
        <v>0.9240000000000002</v>
      </c>
      <c r="C785" t="inlineStr">
        <is>
          <t>GLO</t>
        </is>
      </c>
      <c r="D785" t="inlineStr">
        <is>
          <t>kilogram</t>
        </is>
      </c>
      <c r="F785" t="inlineStr">
        <is>
          <t>technosphere</t>
        </is>
      </c>
      <c r="G785" t="inlineStr">
        <is>
          <t>copper, cathode</t>
        </is>
      </c>
      <c r="I785" t="inlineStr">
        <is>
          <t>copper, cathode</t>
        </is>
      </c>
    </row>
    <row r="786">
      <c r="A786" t="inlineStr">
        <is>
          <t>market for steel, chromium steel 18/8</t>
        </is>
      </c>
      <c r="B786">
        <v>1.1</v>
      </c>
      <c r="C786" t="inlineStr">
        <is>
          <t>GLO</t>
        </is>
      </c>
      <c r="D786" t="inlineStr">
        <is>
          <t>kilogram</t>
        </is>
      </c>
      <c r="F786" t="inlineStr">
        <is>
          <t>technosphere</t>
        </is>
      </c>
      <c r="G786" t="inlineStr">
        <is>
          <t>steel, chromium steel 18/8</t>
        </is>
      </c>
      <c r="I786" t="inlineStr">
        <is>
          <t>steel, chromium steel 18/8</t>
        </is>
      </c>
    </row>
    <row r="787">
      <c r="A787" t="inlineStr">
        <is>
          <t>market for synthetic rubber</t>
        </is>
      </c>
      <c r="B787">
        <v>0.08800000000000002</v>
      </c>
      <c r="C787" t="inlineStr">
        <is>
          <t>GLO</t>
        </is>
      </c>
      <c r="D787" t="inlineStr">
        <is>
          <t>kilogram</t>
        </is>
      </c>
      <c r="F787" t="inlineStr">
        <is>
          <t>technosphere</t>
        </is>
      </c>
      <c r="G787" t="inlineStr">
        <is>
          <t>synthetic rubber</t>
        </is>
      </c>
      <c r="I787" t="inlineStr">
        <is>
          <t>synthetic rubber</t>
        </is>
      </c>
    </row>
    <row r="788">
      <c r="A788" t="inlineStr">
        <is>
          <t>market for alkyd paint, white, without water, in 60% solution state</t>
        </is>
      </c>
      <c r="B788">
        <v>5.9884</v>
      </c>
      <c r="C788" t="inlineStr">
        <is>
          <t>RER</t>
        </is>
      </c>
      <c r="D788" t="inlineStr">
        <is>
          <t>kilogram</t>
        </is>
      </c>
      <c r="F788" t="inlineStr">
        <is>
          <t>technosphere</t>
        </is>
      </c>
      <c r="G788" t="inlineStr">
        <is>
          <t>alkyd paint, white, without water, in 60% solution state</t>
        </is>
      </c>
      <c r="I788" t="inlineStr">
        <is>
          <t>alkyd paint, white, without water, in 60% solution state</t>
        </is>
      </c>
    </row>
    <row r="791">
      <c r="A791" t="inlineStr">
        <is>
          <t>Activity</t>
        </is>
      </c>
      <c r="B791" t="inlineStr">
        <is>
          <t xml:space="preserve">power conversion system production, electrolysis, transformer and rectifier, 1 MW</t>
        </is>
      </c>
    </row>
    <row r="792">
      <c r="A792" t="inlineStr">
        <is>
          <t>location</t>
        </is>
      </c>
      <c r="B792" t="inlineStr">
        <is>
          <t>GLO</t>
        </is>
      </c>
    </row>
    <row r="793">
      <c r="A793" t="inlineStr">
        <is>
          <t>production amount</t>
        </is>
      </c>
      <c r="B793">
        <v>1</v>
      </c>
    </row>
    <row r="794">
      <c r="A794" t="inlineStr">
        <is>
          <t>reference product</t>
        </is>
      </c>
      <c r="B794" t="inlineStr">
        <is>
          <t xml:space="preserve">power conversion system, electrolysis, transformer and rectifier, 1 MW</t>
        </is>
      </c>
    </row>
    <row r="795">
      <c r="A795" t="inlineStr">
        <is>
          <t>unit</t>
        </is>
      </c>
      <c r="B795" t="inlineStr">
        <is>
          <t>unit</t>
        </is>
      </c>
    </row>
    <row r="796">
      <c r="A796" t="inlineStr">
        <is>
          <t>source</t>
        </is>
      </c>
      <c r="B796"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797">
      <c r="A797" t="inlineStr">
        <is>
          <t>comment</t>
        </is>
      </c>
      <c r="B797" t="inlineStr">
        <is>
          <t xml:space="preserve">Nomenclature revision, 2026-10-19. Former activity name: electrolyzer power conversion, 1MW, transformer and rectifier engineering reference. Former reference product: electrolyzer power conversion, 1MW, transformer and rectifier engineering reference. Activity/product labels and supplier references only; coefficients, formulas, uncertainty, declared output and unit are unchanged. Original engineering assumptions, functional-unit basis and limitations remain below.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798">
      <c r="A798" t="inlineStr">
        <is>
          <t>Exchanges</t>
        </is>
      </c>
    </row>
    <row r="799">
      <c r="A799" t="inlineStr">
        <is>
          <t>name</t>
        </is>
      </c>
      <c r="B799" t="inlineStr">
        <is>
          <t>amount</t>
        </is>
      </c>
      <c r="C799" t="inlineStr">
        <is>
          <t>location</t>
        </is>
      </c>
      <c r="D799" t="inlineStr">
        <is>
          <t>unit</t>
        </is>
      </c>
      <c r="E799" t="inlineStr">
        <is>
          <t>categories</t>
        </is>
      </c>
      <c r="F799" t="inlineStr">
        <is>
          <t>type</t>
        </is>
      </c>
      <c r="G799" t="inlineStr">
        <is>
          <t>reference product</t>
        </is>
      </c>
      <c r="H799" t="inlineStr">
        <is>
          <t>comment</t>
        </is>
      </c>
      <c r="I799" t="inlineStr">
        <is>
          <t>product</t>
        </is>
      </c>
    </row>
    <row r="800">
      <c r="A800" t="inlineStr">
        <is>
          <t xml:space="preserve">power conversion system production, electrolysis, transformer and rectifier, 1 MW</t>
        </is>
      </c>
      <c r="B800">
        <v>1</v>
      </c>
      <c r="C800" t="inlineStr">
        <is>
          <t>GLO</t>
        </is>
      </c>
      <c r="D800" t="inlineStr">
        <is>
          <t>unit</t>
        </is>
      </c>
      <c r="F800" t="inlineStr">
        <is>
          <t>production</t>
        </is>
      </c>
      <c r="G800" t="inlineStr">
        <is>
          <t xml:space="preserve">power conversion system, electrolysis, transformer and rectifier, 1 MW</t>
        </is>
      </c>
      <c r="I800" t="inlineStr">
        <is>
          <t xml:space="preserve">power conversion system, electrolysis, transformer and rectifier, 1 MW</t>
        </is>
      </c>
    </row>
    <row r="801">
      <c r="A801" t="inlineStr">
        <is>
          <t xml:space="preserve">converter production, industrial, AC-DC, 1 MW</t>
        </is>
      </c>
      <c r="B801">
        <v>1</v>
      </c>
      <c r="C801" t="inlineStr">
        <is>
          <t>GLO</t>
        </is>
      </c>
      <c r="D801" t="inlineStr">
        <is>
          <t>unit</t>
        </is>
      </c>
      <c r="F801" t="inlineStr">
        <is>
          <t>technosphere</t>
        </is>
      </c>
      <c r="G801" t="inlineStr">
        <is>
          <t xml:space="preserve">converter, industrial, AC-DC, 1 MW</t>
        </is>
      </c>
      <c r="I801" t="inlineStr">
        <is>
          <t xml:space="preserve">converter, industrial, AC-DC, 1 MW</t>
        </is>
      </c>
    </row>
    <row r="802">
      <c r="A802" t="inlineStr">
        <is>
          <t xml:space="preserve">transformer production, electrolysis, 1.1 MVA</t>
        </is>
      </c>
      <c r="B802">
        <v>1</v>
      </c>
      <c r="C802" t="inlineStr">
        <is>
          <t>GLO</t>
        </is>
      </c>
      <c r="D802" t="inlineStr">
        <is>
          <t>unit</t>
        </is>
      </c>
      <c r="F802" t="inlineStr">
        <is>
          <t>technosphere</t>
        </is>
      </c>
      <c r="G802" t="inlineStr">
        <is>
          <t xml:space="preserve">transformer, electrolysis, 1.1 MVA</t>
        </is>
      </c>
      <c r="I802" t="inlineStr">
        <is>
          <t xml:space="preserve">transformer, electrolysis, 1.1 MVA</t>
        </is>
      </c>
    </row>
    <row r="805">
      <c r="A805" t="inlineStr">
        <is>
          <t>Activity</t>
        </is>
      </c>
      <c r="B805" t="inlineStr">
        <is>
          <t xml:space="preserve">treatment of used power conversion system, electrolysis, 1 MW</t>
        </is>
      </c>
    </row>
    <row r="806">
      <c r="A806" t="inlineStr">
        <is>
          <t>location</t>
        </is>
      </c>
      <c r="B806" t="inlineStr">
        <is>
          <t>GLO</t>
        </is>
      </c>
    </row>
    <row r="807">
      <c r="A807" t="inlineStr">
        <is>
          <t>production amount</t>
        </is>
      </c>
      <c r="B807">
        <v>1</v>
      </c>
    </row>
    <row r="808">
      <c r="A808" t="inlineStr">
        <is>
          <t>reference product</t>
        </is>
      </c>
      <c r="B808" t="inlineStr">
        <is>
          <t xml:space="preserve">used power conversion system, electrolysis, 1 MW</t>
        </is>
      </c>
    </row>
    <row r="809">
      <c r="A809" t="inlineStr">
        <is>
          <t>unit</t>
        </is>
      </c>
      <c r="B809" t="inlineStr">
        <is>
          <t>unit</t>
        </is>
      </c>
    </row>
    <row r="810">
      <c r="A810" t="inlineStr">
        <is>
          <t>source</t>
        </is>
      </c>
      <c r="B810"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811">
      <c r="A811" t="inlineStr">
        <is>
          <t>comment</t>
        </is>
      </c>
      <c r="B811" t="inlineStr">
        <is>
          <t xml:space="preserve">Nomenclature revision, 2026-10-19. Former activity name: treatment of electrolyzer power conversion, 1MW, engineering reference. Former reference product: treatment of electrolyzer power conversion, 1MW, engineering reference. Activity/product labels and supplier references only; coefficients, formulas, uncertainty, declared output and unit are unchanged. Original engineering assumptions, functional-unit basis and limitations remain below.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812">
      <c r="A812" t="inlineStr">
        <is>
          <t>Exchanges</t>
        </is>
      </c>
    </row>
    <row r="813">
      <c r="A813" t="inlineStr">
        <is>
          <t>name</t>
        </is>
      </c>
      <c r="B813" t="inlineStr">
        <is>
          <t>amount</t>
        </is>
      </c>
      <c r="C813" t="inlineStr">
        <is>
          <t>location</t>
        </is>
      </c>
      <c r="D813" t="inlineStr">
        <is>
          <t>unit</t>
        </is>
      </c>
      <c r="E813" t="inlineStr">
        <is>
          <t>categories</t>
        </is>
      </c>
      <c r="F813" t="inlineStr">
        <is>
          <t>type</t>
        </is>
      </c>
      <c r="G813" t="inlineStr">
        <is>
          <t>reference product</t>
        </is>
      </c>
      <c r="H813" t="inlineStr">
        <is>
          <t>comment</t>
        </is>
      </c>
      <c r="I813" t="inlineStr">
        <is>
          <t>product</t>
        </is>
      </c>
    </row>
    <row r="814">
      <c r="A814" t="inlineStr">
        <is>
          <t xml:space="preserve">treatment of used power conversion system, electrolysis, 1 MW</t>
        </is>
      </c>
      <c r="B814">
        <v>-1</v>
      </c>
      <c r="C814" t="inlineStr">
        <is>
          <t>GLO</t>
        </is>
      </c>
      <c r="D814" t="inlineStr">
        <is>
          <t>unit</t>
        </is>
      </c>
      <c r="F814" t="inlineStr">
        <is>
          <t>production</t>
        </is>
      </c>
      <c r="G814" t="inlineStr">
        <is>
          <t xml:space="preserve">used power conversion system, electrolysis, 1 MW</t>
        </is>
      </c>
      <c r="I814" t="inlineStr">
        <is>
          <t xml:space="preserve">used power conversion system, electrolysis, 1 MW</t>
        </is>
      </c>
    </row>
    <row r="815">
      <c r="A815" t="inlineStr">
        <is>
          <t>market for scrap steel</t>
        </is>
      </c>
      <c r="B815">
        <v>-1764.916810981288</v>
      </c>
      <c r="C815" t="inlineStr">
        <is>
          <t>Europe without Switzerland</t>
        </is>
      </c>
      <c r="D815" t="inlineStr">
        <is>
          <t>kilogram</t>
        </is>
      </c>
      <c r="F815" t="inlineStr">
        <is>
          <t>technosphere</t>
        </is>
      </c>
      <c r="G815" t="inlineStr">
        <is>
          <t>scrap steel</t>
        </is>
      </c>
      <c r="I815" t="inlineStr">
        <is>
          <t>scrap steel</t>
        </is>
      </c>
    </row>
    <row r="816">
      <c r="A816" t="inlineStr">
        <is>
          <t>market for scrap aluminium</t>
        </is>
      </c>
      <c r="B816">
        <v>-314.7249456206624</v>
      </c>
      <c r="C816" t="inlineStr">
        <is>
          <t>Europe without Switzerland</t>
        </is>
      </c>
      <c r="D816" t="inlineStr">
        <is>
          <t>kilogram</t>
        </is>
      </c>
      <c r="F816" t="inlineStr">
        <is>
          <t>technosphere</t>
        </is>
      </c>
      <c r="G816" t="inlineStr">
        <is>
          <t>scrap aluminium</t>
        </is>
      </c>
      <c r="I816" t="inlineStr">
        <is>
          <t>scrap aluminium</t>
        </is>
      </c>
    </row>
    <row r="817">
      <c r="A817" t="inlineStr">
        <is>
          <t>market for scrap copper</t>
        </is>
      </c>
      <c r="B817">
        <v>-40.756379952560835</v>
      </c>
      <c r="C817" t="inlineStr">
        <is>
          <t>Europe without Switzerland</t>
        </is>
      </c>
      <c r="D817" t="inlineStr">
        <is>
          <t>kilogram</t>
        </is>
      </c>
      <c r="F817" t="inlineStr">
        <is>
          <t>technosphere</t>
        </is>
      </c>
      <c r="G817" t="inlineStr">
        <is>
          <t>scrap copper</t>
        </is>
      </c>
      <c r="I817" t="inlineStr">
        <is>
          <t>scrap copper</t>
        </is>
      </c>
    </row>
    <row r="818">
      <c r="A818" t="inlineStr">
        <is>
          <t>treatment of scrap printed wiring boards, shredding and separation</t>
        </is>
      </c>
      <c r="B818">
        <v>-8</v>
      </c>
      <c r="C818" t="inlineStr">
        <is>
          <t>RoW</t>
        </is>
      </c>
      <c r="D818" t="inlineStr">
        <is>
          <t>kilogram</t>
        </is>
      </c>
      <c r="F818" t="inlineStr">
        <is>
          <t>technosphere</t>
        </is>
      </c>
      <c r="G818" t="inlineStr">
        <is>
          <t>used printed wiring boards</t>
        </is>
      </c>
      <c r="I818" t="inlineStr">
        <is>
          <t>used printed wiring boards</t>
        </is>
      </c>
    </row>
    <row r="819">
      <c r="A819" t="inlineStr">
        <is>
          <t>market for waste electric and electronic equipment</t>
        </is>
      </c>
      <c r="B819">
        <v>-43.054663445488906</v>
      </c>
      <c r="C819" t="inlineStr">
        <is>
          <t>GLO</t>
        </is>
      </c>
      <c r="D819" t="inlineStr">
        <is>
          <t>kilogram</t>
        </is>
      </c>
      <c r="F819" t="inlineStr">
        <is>
          <t>technosphere</t>
        </is>
      </c>
      <c r="G819" t="inlineStr">
        <is>
          <t>waste electric and electronic equipment</t>
        </is>
      </c>
      <c r="I819" t="inlineStr">
        <is>
          <t>waste electric and electronic equipment</t>
        </is>
      </c>
    </row>
    <row r="820">
      <c r="A820" t="inlineStr">
        <is>
          <t>market for waste mineral oil</t>
        </is>
      </c>
      <c r="B820">
        <v>-466.40000000000003</v>
      </c>
      <c r="C820" t="inlineStr">
        <is>
          <t>RoW</t>
        </is>
      </c>
      <c r="D820" t="inlineStr">
        <is>
          <t>kilogram</t>
        </is>
      </c>
      <c r="F820" t="inlineStr">
        <is>
          <t>technosphere</t>
        </is>
      </c>
      <c r="G820" t="inlineStr">
        <is>
          <t>waste mineral oil</t>
        </is>
      </c>
      <c r="I820" t="inlineStr">
        <is>
          <t>waste mineral oil</t>
        </is>
      </c>
    </row>
    <row r="821">
      <c r="A821" t="inlineStr">
        <is>
          <t>market for waste paperboard</t>
        </is>
      </c>
      <c r="B821">
        <v>-31.2708</v>
      </c>
      <c r="C821" t="inlineStr">
        <is>
          <t>RoW</t>
        </is>
      </c>
      <c r="D821" t="inlineStr">
        <is>
          <t>kilogram</t>
        </is>
      </c>
      <c r="F821" t="inlineStr">
        <is>
          <t>technosphere</t>
        </is>
      </c>
      <c r="G821" t="inlineStr">
        <is>
          <t>waste paperboard</t>
        </is>
      </c>
      <c r="I821" t="inlineStr">
        <is>
          <t>waste paperboard</t>
        </is>
      </c>
    </row>
    <row r="822">
      <c r="A822" t="inlineStr">
        <is>
          <t>market for waste plastic, mixture</t>
        </is>
      </c>
      <c r="B822">
        <v>-6.6000000000000005</v>
      </c>
      <c r="C822" t="inlineStr">
        <is>
          <t>RoW</t>
        </is>
      </c>
      <c r="D822" t="inlineStr">
        <is>
          <t>kilogram</t>
        </is>
      </c>
      <c r="F822" t="inlineStr">
        <is>
          <t>technosphere</t>
        </is>
      </c>
      <c r="G822" t="inlineStr">
        <is>
          <t>waste plastic, mixture</t>
        </is>
      </c>
      <c r="I822" t="inlineStr">
        <is>
          <t>waste plastic, mixture</t>
        </is>
      </c>
    </row>
    <row r="823">
      <c r="A823" t="inlineStr">
        <is>
          <t>market for waste rubber, unspecified</t>
        </is>
      </c>
      <c r="B823">
        <v>-0.08800000000000002</v>
      </c>
      <c r="C823" t="inlineStr">
        <is>
          <t>RoW</t>
        </is>
      </c>
      <c r="D823" t="inlineStr">
        <is>
          <t>kilogram</t>
        </is>
      </c>
      <c r="F823" t="inlineStr">
        <is>
          <t>technosphere</t>
        </is>
      </c>
      <c r="G823" t="inlineStr">
        <is>
          <t>waste rubber, unspecified</t>
        </is>
      </c>
      <c r="I823" t="inlineStr">
        <is>
          <t>waste rubber, unspecified</t>
        </is>
      </c>
    </row>
    <row r="824">
      <c r="A824" t="inlineStr">
        <is>
          <t>treatment of waste paint on metal, collection for final disposal</t>
        </is>
      </c>
      <c r="B824">
        <v>-5.9884</v>
      </c>
      <c r="C824" t="inlineStr">
        <is>
          <t>CH</t>
        </is>
      </c>
      <c r="D824" t="inlineStr">
        <is>
          <t>kilogram</t>
        </is>
      </c>
      <c r="F824" t="inlineStr">
        <is>
          <t>technosphere</t>
        </is>
      </c>
      <c r="G824" t="inlineStr">
        <is>
          <t>waste paint on metal</t>
        </is>
      </c>
      <c r="I824" t="inlineStr">
        <is>
          <t>waste paint on metal</t>
        </is>
      </c>
    </row>
    <row r="827">
      <c r="A827" t="inlineStr">
        <is>
          <t>Activity</t>
        </is>
      </c>
      <c r="B827" t="inlineStr">
        <is>
          <t xml:space="preserve">contact ceramic production, lanthanum strontium manganite, La0.8Sr0.2MnO3</t>
        </is>
      </c>
    </row>
    <row r="828">
      <c r="A828" t="inlineStr">
        <is>
          <t>location</t>
        </is>
      </c>
      <c r="B828" t="inlineStr">
        <is>
          <t>GLO</t>
        </is>
      </c>
    </row>
    <row r="829">
      <c r="A829" t="inlineStr">
        <is>
          <t>production amount</t>
        </is>
      </c>
      <c r="B829">
        <v>1</v>
      </c>
    </row>
    <row r="830">
      <c r="A830" t="inlineStr">
        <is>
          <t>reference product</t>
        </is>
      </c>
      <c r="B830" t="inlineStr">
        <is>
          <t xml:space="preserve">contact ceramic, lanthanum strontium manganite, La0.8Sr0.2MnO3</t>
        </is>
      </c>
    </row>
    <row r="831">
      <c r="A831" t="inlineStr">
        <is>
          <t>unit</t>
        </is>
      </c>
      <c r="B831" t="inlineStr">
        <is>
          <t>kilogram</t>
        </is>
      </c>
    </row>
    <row r="832">
      <c r="A832" t="inlineStr">
        <is>
          <t>source</t>
        </is>
      </c>
      <c r="B832" t="inlineStr">
        <is>
          <t>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t>
        </is>
      </c>
    </row>
    <row r="833">
      <c r="A833" t="inlineStr">
        <is>
          <t>comment</t>
        </is>
      </c>
      <c r="B833" t="inlineStr">
        <is>
          <t xml:space="preserve">Nomenclature revision, 2026-10-19. Former activity name: LSM contact ceramic, La0.8Sr0.2MnO3, balanced reference. Former reference product: LSM contact ceramic, La0.8Sr0.2MnO3, balanced reference. Activity/product labels and supplier references only; coefficients, formulas, uncertainty, declared output and unit are unchanged. Original engineering assumptions, functional-unit basis and limitations remain below.
APPROVED COMPLETE SOEC LSM REFERENCE, issue94, 2026-10-18. 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 Replace uncertain21kgLa2O3+21kgSrCO3 placeholders (both formerly to-check) by2.1kgfinishedLa0.8Sr0.2MnO3 perexistingMWstack. This is an explicit published-reference adoption, NOT recovered manufacturer BOM or proof that originalGerloff21kg meant2.1kg. Source-dose sensitivity2.1-21kgfinishedLSM required; old42kgrawsalts is not a chemically defined alternative. La0.8Sr0.2MnO3 is selected nominal oxygen-stoichiometric LSM; actual Sr doping/oxygen nonstoichiometry/contact-layer loading remain gaps. Net reaction0.4La2O3+0.2SrCO3+MnO2 -&gt;La0.8Sr0.2MnO3+0.2CO2+0.2O2. Use95% finished-solid retention,100% conversion before5%handlingreject; yields90-100%sensitivity. Perkgfinished feeds={'La2O3': 0.5923666319735489, 'SrCO3': 0.13420468074687047, 'MnO2': 0.3951562044603966};CO2=0.040007409129630044kg,O2=0.02908852910381745kg,reject=0.05263157894736836kg.6MJ/kgheat+1kWh/kgmilling/sintering is an engineering allowance,not measured industrial calcination (3-12MJ and0.5-2kWhsensitivity). All stoichiometric C/La/Sr/Mn/O and mass close. No nitric-acid/chloroacetic-acid/ammonia route or unsupported metal-free binder is silently copied. Keep totalfinished2.1kg distinct from grossprecursorfeed. Newsolidwaste andfinishedceramic EOL use genericinertdisposal,not validated heavy-metal-specific treatment/recovery. Existing Pr/Ni air-electrode,YSZ/YDCfutureco-scaling,glassseal,steelmass,lifetimes andoperatingH2energy unchanged. No primary/secondary-share or runtime changes.</t>
        </is>
      </c>
    </row>
    <row r="834">
      <c r="A834" t="inlineStr">
        <is>
          <t>Exchanges</t>
        </is>
      </c>
    </row>
    <row r="835">
      <c r="A835" t="inlineStr">
        <is>
          <t>name</t>
        </is>
      </c>
      <c r="B835" t="inlineStr">
        <is>
          <t>amount</t>
        </is>
      </c>
      <c r="C835" t="inlineStr">
        <is>
          <t>location</t>
        </is>
      </c>
      <c r="D835" t="inlineStr">
        <is>
          <t>unit</t>
        </is>
      </c>
      <c r="E835" t="inlineStr">
        <is>
          <t>categories</t>
        </is>
      </c>
      <c r="F835" t="inlineStr">
        <is>
          <t>type</t>
        </is>
      </c>
      <c r="G835" t="inlineStr">
        <is>
          <t>reference product</t>
        </is>
      </c>
      <c r="H835" t="inlineStr">
        <is>
          <t>comment</t>
        </is>
      </c>
      <c r="I835" t="inlineStr">
        <is>
          <t>product</t>
        </is>
      </c>
    </row>
    <row r="836">
      <c r="A836" t="inlineStr">
        <is>
          <t xml:space="preserve">contact ceramic production, lanthanum strontium manganite, La0.8Sr0.2MnO3</t>
        </is>
      </c>
      <c r="B836">
        <v>1</v>
      </c>
      <c r="C836" t="inlineStr">
        <is>
          <t>GLO</t>
        </is>
      </c>
      <c r="D836" t="inlineStr">
        <is>
          <t>kilogram</t>
        </is>
      </c>
      <c r="F836" t="inlineStr">
        <is>
          <t>production</t>
        </is>
      </c>
      <c r="G836" t="inlineStr">
        <is>
          <t xml:space="preserve">contact ceramic, lanthanum strontium manganite, La0.8Sr0.2MnO3</t>
        </is>
      </c>
      <c r="I836" t="inlineStr">
        <is>
          <t xml:space="preserve">contact ceramic, lanthanum strontium manganite, La0.8Sr0.2MnO3</t>
        </is>
      </c>
    </row>
    <row r="837">
      <c r="A837" t="inlineStr">
        <is>
          <t>market for lanthanum oxide</t>
        </is>
      </c>
      <c r="B837">
        <v>0.5923666319735489</v>
      </c>
      <c r="C837" t="inlineStr">
        <is>
          <t>GLO</t>
        </is>
      </c>
      <c r="D837" t="inlineStr">
        <is>
          <t>kilogram</t>
        </is>
      </c>
      <c r="F837" t="inlineStr">
        <is>
          <t>technosphere</t>
        </is>
      </c>
      <c r="G837" t="inlineStr">
        <is>
          <t>lanthanum oxide</t>
        </is>
      </c>
      <c r="I837" t="inlineStr">
        <is>
          <t>lanthanum oxide</t>
        </is>
      </c>
    </row>
    <row r="838">
      <c r="A838" t="inlineStr">
        <is>
          <t>market for strontium carbonate</t>
        </is>
      </c>
      <c r="B838">
        <v>0.13420468074687047</v>
      </c>
      <c r="C838" t="inlineStr">
        <is>
          <t>GLO</t>
        </is>
      </c>
      <c r="D838" t="inlineStr">
        <is>
          <t>kilogram</t>
        </is>
      </c>
      <c r="F838" t="inlineStr">
        <is>
          <t>technosphere</t>
        </is>
      </c>
      <c r="G838" t="inlineStr">
        <is>
          <t>strontium carbonate</t>
        </is>
      </c>
      <c r="I838" t="inlineStr">
        <is>
          <t>strontium carbonate</t>
        </is>
      </c>
    </row>
    <row r="839">
      <c r="A839" t="inlineStr">
        <is>
          <t>market for manganese dioxide</t>
        </is>
      </c>
      <c r="B839">
        <v>0.3951562044603966</v>
      </c>
      <c r="C839" t="inlineStr">
        <is>
          <t>GLO</t>
        </is>
      </c>
      <c r="D839" t="inlineStr">
        <is>
          <t>kilogram</t>
        </is>
      </c>
      <c r="F839" t="inlineStr">
        <is>
          <t>technosphere</t>
        </is>
      </c>
      <c r="G839" t="inlineStr">
        <is>
          <t>manganese dioxide</t>
        </is>
      </c>
      <c r="I839" t="inlineStr">
        <is>
          <t>manganese dioxide</t>
        </is>
      </c>
    </row>
    <row r="840">
      <c r="A840" t="inlineStr">
        <is>
          <t>market for heat, district or industrial, natural gas</t>
        </is>
      </c>
      <c r="B840">
        <v>6</v>
      </c>
      <c r="C840" t="inlineStr">
        <is>
          <t>RoW</t>
        </is>
      </c>
      <c r="D840" t="inlineStr">
        <is>
          <t>megajoule</t>
        </is>
      </c>
      <c r="F840" t="inlineStr">
        <is>
          <t>technosphere</t>
        </is>
      </c>
      <c r="G840" t="inlineStr">
        <is>
          <t>heat, district or industrial, natural gas</t>
        </is>
      </c>
      <c r="I840" t="inlineStr">
        <is>
          <t>heat, district or industrial, natural gas</t>
        </is>
      </c>
    </row>
    <row r="841">
      <c r="A841" t="inlineStr">
        <is>
          <t>market group for electricity, medium voltage</t>
        </is>
      </c>
      <c r="B841">
        <v>1</v>
      </c>
      <c r="C841" t="inlineStr">
        <is>
          <t>GLO</t>
        </is>
      </c>
      <c r="D841" t="inlineStr">
        <is>
          <t>kilowatt hour</t>
        </is>
      </c>
      <c r="F841" t="inlineStr">
        <is>
          <t>technosphere</t>
        </is>
      </c>
      <c r="G841" t="inlineStr">
        <is>
          <t>electricity, medium voltage</t>
        </is>
      </c>
      <c r="I841" t="inlineStr">
        <is>
          <t>electricity, medium voltage</t>
        </is>
      </c>
    </row>
    <row r="842">
      <c r="A842" t="inlineStr">
        <is>
          <t>market for inert waste, for final disposal</t>
        </is>
      </c>
      <c r="B842">
        <v>-0.05263157894736836</v>
      </c>
      <c r="C842" t="inlineStr">
        <is>
          <t>RoW</t>
        </is>
      </c>
      <c r="D842" t="inlineStr">
        <is>
          <t>kilogram</t>
        </is>
      </c>
      <c r="F842" t="inlineStr">
        <is>
          <t>technosphere</t>
        </is>
      </c>
      <c r="G842" t="inlineStr">
        <is>
          <t>inert waste, for final disposal</t>
        </is>
      </c>
      <c r="I842" t="inlineStr">
        <is>
          <t>inert waste, for final disposal</t>
        </is>
      </c>
    </row>
    <row r="843">
      <c r="A843" t="inlineStr">
        <is>
          <t>Carbon dioxide, fossil</t>
        </is>
      </c>
      <c r="B843">
        <v>0.040007409129630044</v>
      </c>
      <c r="D843" t="inlineStr">
        <is>
          <t>kilogram</t>
        </is>
      </c>
      <c r="E843" t="inlineStr">
        <is>
          <t>air::non-urban air or from high stacks</t>
        </is>
      </c>
      <c r="F843" t="inlineStr">
        <is>
          <t>biosphere</t>
        </is>
      </c>
      <c r="H843" t="inlineStr">
        <is>
          <t/>
        </is>
      </c>
    </row>
    <row r="844">
      <c r="A844" t="inlineStr">
        <is>
          <t>Oxygen</t>
        </is>
      </c>
      <c r="B844">
        <v>0.02908852910381745</v>
      </c>
      <c r="D844" t="inlineStr">
        <is>
          <t>kilogram</t>
        </is>
      </c>
      <c r="E844" t="inlineStr">
        <is>
          <t>air</t>
        </is>
      </c>
      <c r="F844" t="inlineStr">
        <is>
          <t>biosphere</t>
        </is>
      </c>
      <c r="H844" t="inlineStr">
        <is>
          <t/>
        </is>
      </c>
    </row>
    <row r="847">
      <c r="A847" t="inlineStr">
        <is>
          <t>Activity</t>
        </is>
      </c>
      <c r="B847" t="inlineStr">
        <is>
          <t xml:space="preserve">lanthanum metal production, oxide electrolysis</t>
        </is>
      </c>
    </row>
    <row r="848">
      <c r="A848" t="inlineStr">
        <is>
          <t>location</t>
        </is>
      </c>
      <c r="B848" t="inlineStr">
        <is>
          <t>GLO</t>
        </is>
      </c>
    </row>
    <row r="849">
      <c r="A849" t="inlineStr">
        <is>
          <t>production amount</t>
        </is>
      </c>
      <c r="B849">
        <v>1</v>
      </c>
    </row>
    <row r="850">
      <c r="A850" t="inlineStr">
        <is>
          <t>reference product</t>
        </is>
      </c>
      <c r="B850" t="inlineStr">
        <is>
          <t xml:space="preserve">lanthanum metal, oxide electrolysis</t>
        </is>
      </c>
    </row>
    <row r="851">
      <c r="A851" t="inlineStr">
        <is>
          <t>unit</t>
        </is>
      </c>
      <c r="B851" t="inlineStr">
        <is>
          <t>kilogram</t>
        </is>
      </c>
    </row>
    <row r="852">
      <c r="A852" t="inlineStr">
        <is>
          <t>source</t>
        </is>
      </c>
      <c r="B852" t="inlineStr">
        <is>
          <t>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t>
        </is>
      </c>
    </row>
    <row r="853">
      <c r="A853" t="inlineStr">
        <is>
          <t>comment</t>
        </is>
      </c>
      <c r="B853" t="inlineStr">
        <is>
          <t xml:space="preserve">Nomenclature revision, 2026-10-19. Former activity name: lanthanum alloying metal, oxide-electrolysis net reference. Former reference product: lanthanum alloying metal, oxide-electrolysis net reference. Activity/product labels and supplier references only; coefficients, formulas, uncertainty, declared output and unit are unchanged. Original engineering assumptions, functional-unit basis and limitations remain below.
APPROVED SOEC FERRITIC INTERCONNECT REFERENCE, issue95, 2026-10-18. 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 Sourceflow8976.1kg is treated as the interconnectplate package based on originalmanufacturingdiagram,not9tair-electrodecatalyst. AdoptCrofer22APU-type reference for THIS stackinput only; do not replace ordinaryBoP18/8heat exchangers. Preserve8976.1kgfinishedsteel and8976.1kgexistingrollingservice; mass derives labstackscaleup and is NOT independently validated industrialMWgeometry. Preserve priorLSM,PrNi,ceramics,stackreplacement andlearning. Reference alloy massfractions={'Cr': 0.22, 'Mn': 0.005, 'Ti': 0.001, 'La': 0.001, 'Si': 0.001, 'Al': 0.0005, 'Cu': 0.0005, 'C': 0.0001, 'P': 5e-05, 'S': 5e-05, 'Fe': 0.7708}. Midrange/lowresidual choices are explicit assumptions within publishedranges,not measured heat assay. No intentionalNi addition; unknownresidualNi/othertraceimpurities are NOT provenzero. ActualoldNi8% cannot be claimed quantitatively without suppliercomposition; compareold18/8 as sensitivity. Cr20-24,Mn0.3-0.8,La0.04-0.20wt% sensitivities. Fe usesunalloyedsteel as feed-gradeproxy,withitsownminoralloys unresolved; completecomponentmetaluse is not identical toelementalpureFe. Addalloyingmaterialsonce and0.5kWh+2MJ/kgremeltingreference (0.25-1kWh/1-4MJsensitivity),not a completeCrsteel production dataset on top. Matchfinishedsteelmass1kgwith100%finalalloyretention; alloyingyield/slag andtracepickup remain gaps. La metal unavailable: explicit netoxide/carbon electrolyticreference La2O3+1.5C-&gt;2La+1.5CO2,95%metalretention,10kWh/kg+3MJ/kgassumed; fluoridebathmakeup,PFCemissions,purification andcalcium-route alternatives unresolved. Thisisstoichiometricnetelectrolysis,NOTthermal carbothermic reduction orvalidatedvendorLa process. Metalrejectgenericinertdisposal; La/C/O/massclose. FinishedinterconnectEOLexistingsteelcollection amount retained; genericsteelroute doesnotvalidatealloy-specificrecycling orrecoverycredits. Native/YAML/runtime/primary-secondaryshares untouched.</t>
        </is>
      </c>
    </row>
    <row r="854">
      <c r="A854" t="inlineStr">
        <is>
          <t>Exchanges</t>
        </is>
      </c>
    </row>
    <row r="855">
      <c r="A855" t="inlineStr">
        <is>
          <t>name</t>
        </is>
      </c>
      <c r="B855" t="inlineStr">
        <is>
          <t>amount</t>
        </is>
      </c>
      <c r="C855" t="inlineStr">
        <is>
          <t>location</t>
        </is>
      </c>
      <c r="D855" t="inlineStr">
        <is>
          <t>unit</t>
        </is>
      </c>
      <c r="E855" t="inlineStr">
        <is>
          <t>categories</t>
        </is>
      </c>
      <c r="F855" t="inlineStr">
        <is>
          <t>type</t>
        </is>
      </c>
      <c r="G855" t="inlineStr">
        <is>
          <t>reference product</t>
        </is>
      </c>
      <c r="H855" t="inlineStr">
        <is>
          <t>comment</t>
        </is>
      </c>
      <c r="I855" t="inlineStr">
        <is>
          <t>product</t>
        </is>
      </c>
    </row>
    <row r="856">
      <c r="A856" t="inlineStr">
        <is>
          <t xml:space="preserve">lanthanum metal production, oxide electrolysis</t>
        </is>
      </c>
      <c r="B856">
        <v>1</v>
      </c>
      <c r="C856" t="inlineStr">
        <is>
          <t>GLO</t>
        </is>
      </c>
      <c r="D856" t="inlineStr">
        <is>
          <t>kilogram</t>
        </is>
      </c>
      <c r="F856" t="inlineStr">
        <is>
          <t>production</t>
        </is>
      </c>
      <c r="G856" t="inlineStr">
        <is>
          <t xml:space="preserve">lanthanum metal, oxide electrolysis</t>
        </is>
      </c>
      <c r="I856" t="inlineStr">
        <is>
          <t xml:space="preserve">lanthanum metal, oxide electrolysis</t>
        </is>
      </c>
    </row>
    <row r="857">
      <c r="A857" t="inlineStr">
        <is>
          <t>market for lanthanum oxide</t>
        </is>
      </c>
      <c r="B857">
        <v>1.234493235996356</v>
      </c>
      <c r="C857" t="inlineStr">
        <is>
          <t>GLO</t>
        </is>
      </c>
      <c r="D857" t="inlineStr">
        <is>
          <t>kilogram</t>
        </is>
      </c>
      <c r="F857" t="inlineStr">
        <is>
          <t>technosphere</t>
        </is>
      </c>
      <c r="G857" t="inlineStr">
        <is>
          <t>lanthanum oxide</t>
        </is>
      </c>
      <c r="I857" t="inlineStr">
        <is>
          <t>lanthanum oxide</t>
        </is>
      </c>
    </row>
    <row r="858">
      <c r="A858" t="inlineStr">
        <is>
          <t>market for graphite</t>
        </is>
      </c>
      <c r="B858">
        <v>0.0682649028944118</v>
      </c>
      <c r="C858" t="inlineStr">
        <is>
          <t>GLO</t>
        </is>
      </c>
      <c r="D858" t="inlineStr">
        <is>
          <t>kilogram</t>
        </is>
      </c>
      <c r="F858" t="inlineStr">
        <is>
          <t>technosphere</t>
        </is>
      </c>
      <c r="G858" t="inlineStr">
        <is>
          <t>graphite</t>
        </is>
      </c>
      <c r="I858" t="inlineStr">
        <is>
          <t>graphite</t>
        </is>
      </c>
    </row>
    <row r="859">
      <c r="A859" t="inlineStr">
        <is>
          <t>market group for electricity, medium voltage</t>
        </is>
      </c>
      <c r="B859">
        <v>10</v>
      </c>
      <c r="C859" t="inlineStr">
        <is>
          <t>GLO</t>
        </is>
      </c>
      <c r="D859" t="inlineStr">
        <is>
          <t>kilowatt hour</t>
        </is>
      </c>
      <c r="F859" t="inlineStr">
        <is>
          <t>technosphere</t>
        </is>
      </c>
      <c r="G859" t="inlineStr">
        <is>
          <t>electricity, medium voltage</t>
        </is>
      </c>
      <c r="I859" t="inlineStr">
        <is>
          <t>electricity, medium voltage</t>
        </is>
      </c>
    </row>
    <row r="860">
      <c r="A860" t="inlineStr">
        <is>
          <t>market for heat, district or industrial, natural gas</t>
        </is>
      </c>
      <c r="B860">
        <v>3</v>
      </c>
      <c r="C860" t="inlineStr">
        <is>
          <t>RoW</t>
        </is>
      </c>
      <c r="D860" t="inlineStr">
        <is>
          <t>megajoule</t>
        </is>
      </c>
      <c r="F860" t="inlineStr">
        <is>
          <t>technosphere</t>
        </is>
      </c>
      <c r="G860" t="inlineStr">
        <is>
          <t>heat, district or industrial, natural gas</t>
        </is>
      </c>
      <c r="I860" t="inlineStr">
        <is>
          <t>heat, district or industrial, natural gas</t>
        </is>
      </c>
    </row>
    <row r="861">
      <c r="A861" t="inlineStr">
        <is>
          <t>market for inert waste, for final disposal</t>
        </is>
      </c>
      <c r="B861">
        <v>-0.05263157894736836</v>
      </c>
      <c r="C861" t="inlineStr">
        <is>
          <t>RoW</t>
        </is>
      </c>
      <c r="D861" t="inlineStr">
        <is>
          <t>kilogram</t>
        </is>
      </c>
      <c r="F861" t="inlineStr">
        <is>
          <t>technosphere</t>
        </is>
      </c>
      <c r="G861" t="inlineStr">
        <is>
          <t>inert waste, for final disposal</t>
        </is>
      </c>
      <c r="I861" t="inlineStr">
        <is>
          <t>inert waste, for final disposal</t>
        </is>
      </c>
    </row>
    <row r="862">
      <c r="A862" t="inlineStr">
        <is>
          <t>Carbon dioxide, fossil</t>
        </is>
      </c>
      <c r="B862">
        <v>0.2501265599433993</v>
      </c>
      <c r="D862" t="inlineStr">
        <is>
          <t>kilogram</t>
        </is>
      </c>
      <c r="E862" t="inlineStr">
        <is>
          <t>air::non-urban air or from high stacks</t>
        </is>
      </c>
      <c r="F862" t="inlineStr">
        <is>
          <t>biosphere</t>
        </is>
      </c>
      <c r="H862" t="inlineStr">
        <is>
          <t/>
        </is>
      </c>
    </row>
    <row r="865">
      <c r="A865" t="inlineStr">
        <is>
          <t>Activity</t>
        </is>
      </c>
      <c r="B865" t="inlineStr">
        <is>
          <t xml:space="preserve">ferritic steel production, electrolysis interconnect, Crofer 22 APU type</t>
        </is>
      </c>
    </row>
    <row r="866">
      <c r="A866" t="inlineStr">
        <is>
          <t>location</t>
        </is>
      </c>
      <c r="B866" t="inlineStr">
        <is>
          <t>GLO</t>
        </is>
      </c>
    </row>
    <row r="867">
      <c r="A867" t="inlineStr">
        <is>
          <t>production amount</t>
        </is>
      </c>
      <c r="B867">
        <v>1</v>
      </c>
    </row>
    <row r="868">
      <c r="A868" t="inlineStr">
        <is>
          <t>reference product</t>
        </is>
      </c>
      <c r="B868" t="inlineStr">
        <is>
          <t xml:space="preserve">ferritic steel, electrolysis interconnect, Crofer 22 APU type</t>
        </is>
      </c>
    </row>
    <row r="869">
      <c r="A869" t="inlineStr">
        <is>
          <t>unit</t>
        </is>
      </c>
      <c r="B869" t="inlineStr">
        <is>
          <t>kilogram</t>
        </is>
      </c>
    </row>
    <row r="870">
      <c r="A870" t="inlineStr">
        <is>
          <t>source</t>
        </is>
      </c>
      <c r="B870" t="inlineStr">
        <is>
          <t>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t>
        </is>
      </c>
    </row>
    <row r="871">
      <c r="A871" t="inlineStr">
        <is>
          <t>comment</t>
        </is>
      </c>
      <c r="B871" t="inlineStr">
        <is>
          <t xml:space="preserve">Nomenclature revision, 2026-10-19. Former activity name: ferritic interconnect steel, Crofer22APU-type engineering reference. Former reference product: ferritic interconnect steel, Crofer22APU-type engineering reference. Activity/product labels and supplier references only; coefficients, formulas, uncertainty, declared output and unit are unchanged. Original engineering assumptions, functional-unit basis and limitations remain below.
APPROVED SOEC FERRITIC INTERCONNECT REFERENCE, issue95, 2026-10-18. 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 Sourceflow8976.1kg is treated as the interconnectplate package based on originalmanufacturingdiagram,not9tair-electrodecatalyst. AdoptCrofer22APU-type reference for THIS stackinput only; do not replace ordinaryBoP18/8heat exchangers. Preserve8976.1kgfinishedsteel and8976.1kgexistingrollingservice; mass derives labstackscaleup and is NOT independently validated industrialMWgeometry. Preserve priorLSM,PrNi,ceramics,stackreplacement andlearning. Reference alloy massfractions={'Cr': 0.22, 'Mn': 0.005, 'Ti': 0.001, 'La': 0.001, 'Si': 0.001, 'Al': 0.0005, 'Cu': 0.0005, 'C': 0.0001, 'P': 5e-05, 'S': 5e-05, 'Fe': 0.7708}. Midrange/lowresidual choices are explicit assumptions within publishedranges,not measured heat assay. No intentionalNi addition; unknownresidualNi/othertraceimpurities are NOT provenzero. ActualoldNi8% cannot be claimed quantitatively without suppliercomposition; compareold18/8 as sensitivity. Cr20-24,Mn0.3-0.8,La0.04-0.20wt% sensitivities. Fe usesunalloyedsteel as feed-gradeproxy,withitsownminoralloys unresolved; completecomponentmetaluse is not identical toelementalpureFe. Addalloyingmaterialsonce and0.5kWh+2MJ/kgremeltingreference (0.25-1kWh/1-4MJsensitivity),not a completeCrsteel production dataset on top. Matchfinishedsteelmass1kgwith100%finalalloyretention; alloyingyield/slag andtracepickup remain gaps. La metal unavailable: explicit netoxide/carbon electrolyticreference La2O3+1.5C-&gt;2La+1.5CO2,95%metalretention,10kWh/kg+3MJ/kgassumed; fluoridebathmakeup,PFCemissions,purification andcalcium-route alternatives unresolved. Thisisstoichiometricnetelectrolysis,NOTthermal carbothermic reduction orvalidatedvendorLa process. Metalrejectgenericinertdisposal; La/C/O/massclose. FinishedinterconnectEOLexistingsteelcollection amount retained; genericsteelroute doesnotvalidatealloy-specificrecycling orrecoverycredits. Native/YAML/runtime/primary-secondaryshares untouched.</t>
        </is>
      </c>
    </row>
    <row r="872">
      <c r="A872" t="inlineStr">
        <is>
          <t>Exchanges</t>
        </is>
      </c>
    </row>
    <row r="873">
      <c r="A873" t="inlineStr">
        <is>
          <t>name</t>
        </is>
      </c>
      <c r="B873" t="inlineStr">
        <is>
          <t>amount</t>
        </is>
      </c>
      <c r="C873" t="inlineStr">
        <is>
          <t>location</t>
        </is>
      </c>
      <c r="D873" t="inlineStr">
        <is>
          <t>unit</t>
        </is>
      </c>
      <c r="E873" t="inlineStr">
        <is>
          <t>categories</t>
        </is>
      </c>
      <c r="F873" t="inlineStr">
        <is>
          <t>type</t>
        </is>
      </c>
      <c r="G873" t="inlineStr">
        <is>
          <t>reference product</t>
        </is>
      </c>
      <c r="H873" t="inlineStr">
        <is>
          <t>comment</t>
        </is>
      </c>
      <c r="I873" t="inlineStr">
        <is>
          <t>product</t>
        </is>
      </c>
    </row>
    <row r="874">
      <c r="A874" t="inlineStr">
        <is>
          <t xml:space="preserve">ferritic steel production, electrolysis interconnect, Crofer 22 APU type</t>
        </is>
      </c>
      <c r="B874">
        <v>1</v>
      </c>
      <c r="C874" t="inlineStr">
        <is>
          <t>GLO</t>
        </is>
      </c>
      <c r="D874" t="inlineStr">
        <is>
          <t>kilogram</t>
        </is>
      </c>
      <c r="F874" t="inlineStr">
        <is>
          <t>production</t>
        </is>
      </c>
      <c r="G874" t="inlineStr">
        <is>
          <t xml:space="preserve">ferritic steel, electrolysis interconnect, Crofer 22 APU type</t>
        </is>
      </c>
      <c r="I874" t="inlineStr">
        <is>
          <t xml:space="preserve">ferritic steel, electrolysis interconnect, Crofer 22 APU type</t>
        </is>
      </c>
    </row>
    <row r="875">
      <c r="A875" t="inlineStr">
        <is>
          <t>market for chromium</t>
        </is>
      </c>
      <c r="B875">
        <v>0.22</v>
      </c>
      <c r="C875" t="inlineStr">
        <is>
          <t>GLO</t>
        </is>
      </c>
      <c r="D875" t="inlineStr">
        <is>
          <t>kilogram</t>
        </is>
      </c>
      <c r="F875" t="inlineStr">
        <is>
          <t>technosphere</t>
        </is>
      </c>
      <c r="G875" t="inlineStr">
        <is>
          <t>chromium</t>
        </is>
      </c>
      <c r="I875" t="inlineStr">
        <is>
          <t>chromium</t>
        </is>
      </c>
    </row>
    <row r="876">
      <c r="A876" t="inlineStr">
        <is>
          <t>market for manganese</t>
        </is>
      </c>
      <c r="B876">
        <v>0.005</v>
      </c>
      <c r="C876" t="inlineStr">
        <is>
          <t>GLO</t>
        </is>
      </c>
      <c r="D876" t="inlineStr">
        <is>
          <t>kilogram</t>
        </is>
      </c>
      <c r="F876" t="inlineStr">
        <is>
          <t>technosphere</t>
        </is>
      </c>
      <c r="G876" t="inlineStr">
        <is>
          <t>manganese</t>
        </is>
      </c>
      <c r="I876" t="inlineStr">
        <is>
          <t>manganese</t>
        </is>
      </c>
    </row>
    <row r="877">
      <c r="A877" t="inlineStr">
        <is>
          <t>market for titanium</t>
        </is>
      </c>
      <c r="B877">
        <v>0.001</v>
      </c>
      <c r="C877" t="inlineStr">
        <is>
          <t>GLO</t>
        </is>
      </c>
      <c r="D877" t="inlineStr">
        <is>
          <t>kilogram</t>
        </is>
      </c>
      <c r="F877" t="inlineStr">
        <is>
          <t>technosphere</t>
        </is>
      </c>
      <c r="G877" t="inlineStr">
        <is>
          <t>titanium</t>
        </is>
      </c>
      <c r="I877" t="inlineStr">
        <is>
          <t>titanium</t>
        </is>
      </c>
    </row>
    <row r="878">
      <c r="A878" t="inlineStr">
        <is>
          <t xml:space="preserve">lanthanum metal production, oxide electrolysis</t>
        </is>
      </c>
      <c r="B878">
        <v>0.001</v>
      </c>
      <c r="C878" t="inlineStr">
        <is>
          <t>GLO</t>
        </is>
      </c>
      <c r="D878" t="inlineStr">
        <is>
          <t>kilogram</t>
        </is>
      </c>
      <c r="F878" t="inlineStr">
        <is>
          <t>technosphere</t>
        </is>
      </c>
      <c r="G878" t="inlineStr">
        <is>
          <t xml:space="preserve">lanthanum metal, oxide electrolysis</t>
        </is>
      </c>
      <c r="I878" t="inlineStr">
        <is>
          <t xml:space="preserve">lanthanum metal, oxide electrolysis</t>
        </is>
      </c>
    </row>
    <row r="879">
      <c r="A879" t="inlineStr">
        <is>
          <t>market for silicon, metallurgical grade</t>
        </is>
      </c>
      <c r="B879">
        <v>0.001</v>
      </c>
      <c r="C879" t="inlineStr">
        <is>
          <t>GLO</t>
        </is>
      </c>
      <c r="D879" t="inlineStr">
        <is>
          <t>kilogram</t>
        </is>
      </c>
      <c r="F879" t="inlineStr">
        <is>
          <t>technosphere</t>
        </is>
      </c>
      <c r="G879" t="inlineStr">
        <is>
          <t>silicon, metallurgical grade</t>
        </is>
      </c>
      <c r="I879" t="inlineStr">
        <is>
          <t>silicon, metallurgical grade</t>
        </is>
      </c>
    </row>
    <row r="880">
      <c r="A880" t="inlineStr">
        <is>
          <t>market for aluminium, primary, ingot</t>
        </is>
      </c>
      <c r="B880">
        <v>0.0005</v>
      </c>
      <c r="C880" t="inlineStr">
        <is>
          <t>RoW</t>
        </is>
      </c>
      <c r="D880" t="inlineStr">
        <is>
          <t>kilogram</t>
        </is>
      </c>
      <c r="F880" t="inlineStr">
        <is>
          <t>technosphere</t>
        </is>
      </c>
      <c r="G880" t="inlineStr">
        <is>
          <t>aluminium, primary, ingot</t>
        </is>
      </c>
      <c r="I880" t="inlineStr">
        <is>
          <t>aluminium, primary, ingot</t>
        </is>
      </c>
    </row>
    <row r="881">
      <c r="A881" t="inlineStr">
        <is>
          <t>market for copper, cathode</t>
        </is>
      </c>
      <c r="B881">
        <v>0.0005</v>
      </c>
      <c r="C881" t="inlineStr">
        <is>
          <t>GLO</t>
        </is>
      </c>
      <c r="D881" t="inlineStr">
        <is>
          <t>kilogram</t>
        </is>
      </c>
      <c r="F881" t="inlineStr">
        <is>
          <t>technosphere</t>
        </is>
      </c>
      <c r="G881" t="inlineStr">
        <is>
          <t>copper, cathode</t>
        </is>
      </c>
      <c r="I881" t="inlineStr">
        <is>
          <t>copper, cathode</t>
        </is>
      </c>
    </row>
    <row r="882">
      <c r="A882" t="inlineStr">
        <is>
          <t>market for graphite</t>
        </is>
      </c>
      <c r="B882">
        <v>0.0001</v>
      </c>
      <c r="C882" t="inlineStr">
        <is>
          <t>GLO</t>
        </is>
      </c>
      <c r="D882" t="inlineStr">
        <is>
          <t>kilogram</t>
        </is>
      </c>
      <c r="F882" t="inlineStr">
        <is>
          <t>technosphere</t>
        </is>
      </c>
      <c r="G882" t="inlineStr">
        <is>
          <t>graphite</t>
        </is>
      </c>
      <c r="I882" t="inlineStr">
        <is>
          <t>graphite</t>
        </is>
      </c>
    </row>
    <row r="883">
      <c r="A883" t="inlineStr">
        <is>
          <t>market for phosphorus, white, liquid</t>
        </is>
      </c>
      <c r="B883">
        <v>5e-05</v>
      </c>
      <c r="C883" t="inlineStr">
        <is>
          <t>GLO</t>
        </is>
      </c>
      <c r="D883" t="inlineStr">
        <is>
          <t>kilogram</t>
        </is>
      </c>
      <c r="F883" t="inlineStr">
        <is>
          <t>technosphere</t>
        </is>
      </c>
      <c r="G883" t="inlineStr">
        <is>
          <t>phosphorus, white, liquid</t>
        </is>
      </c>
      <c r="I883" t="inlineStr">
        <is>
          <t>phosphorus, white, liquid</t>
        </is>
      </c>
    </row>
    <row r="884">
      <c r="A884" t="inlineStr">
        <is>
          <t>market for sulfur</t>
        </is>
      </c>
      <c r="B884">
        <v>5e-05</v>
      </c>
      <c r="C884" t="inlineStr">
        <is>
          <t>GLO</t>
        </is>
      </c>
      <c r="D884" t="inlineStr">
        <is>
          <t>kilogram</t>
        </is>
      </c>
      <c r="F884" t="inlineStr">
        <is>
          <t>technosphere</t>
        </is>
      </c>
      <c r="G884" t="inlineStr">
        <is>
          <t>sulfur</t>
        </is>
      </c>
      <c r="I884" t="inlineStr">
        <is>
          <t>sulfur</t>
        </is>
      </c>
    </row>
    <row r="885">
      <c r="A885" t="inlineStr">
        <is>
          <t>market for steel, unalloyed</t>
        </is>
      </c>
      <c r="B885">
        <v>0.7708</v>
      </c>
      <c r="C885" t="inlineStr">
        <is>
          <t>GLO</t>
        </is>
      </c>
      <c r="D885" t="inlineStr">
        <is>
          <t>kilogram</t>
        </is>
      </c>
      <c r="F885" t="inlineStr">
        <is>
          <t>technosphere</t>
        </is>
      </c>
      <c r="G885" t="inlineStr">
        <is>
          <t>steel, unalloyed</t>
        </is>
      </c>
      <c r="I885" t="inlineStr">
        <is>
          <t>steel, unalloyed</t>
        </is>
      </c>
    </row>
    <row r="886">
      <c r="A886" t="inlineStr">
        <is>
          <t>market group for electricity, medium voltage</t>
        </is>
      </c>
      <c r="B886">
        <v>0.5</v>
      </c>
      <c r="C886" t="inlineStr">
        <is>
          <t>GLO</t>
        </is>
      </c>
      <c r="D886" t="inlineStr">
        <is>
          <t>kilowatt hour</t>
        </is>
      </c>
      <c r="F886" t="inlineStr">
        <is>
          <t>technosphere</t>
        </is>
      </c>
      <c r="G886" t="inlineStr">
        <is>
          <t>electricity, medium voltage</t>
        </is>
      </c>
      <c r="I886" t="inlineStr">
        <is>
          <t>electricity, medium voltage</t>
        </is>
      </c>
    </row>
    <row r="887">
      <c r="A887" t="inlineStr">
        <is>
          <t>market for heat, district or industrial, natural gas</t>
        </is>
      </c>
      <c r="B887">
        <v>2</v>
      </c>
      <c r="C887" t="inlineStr">
        <is>
          <t>RoW</t>
        </is>
      </c>
      <c r="D887" t="inlineStr">
        <is>
          <t>megajoule</t>
        </is>
      </c>
      <c r="F887" t="inlineStr">
        <is>
          <t>technosphere</t>
        </is>
      </c>
      <c r="G887" t="inlineStr">
        <is>
          <t>heat, district or industrial, natural gas</t>
        </is>
      </c>
      <c r="I887" t="inlineStr">
        <is>
          <t>heat, district or industrial, natural gas</t>
        </is>
      </c>
    </row>
    <row r="890">
      <c r="A890" t="inlineStr">
        <is>
          <t>Activity</t>
        </is>
      </c>
      <c r="B890" t="inlineStr">
        <is>
          <t xml:space="preserve">diaphragm production, alkaline electrolysis, zirconia-polysulfone with PPS mesh</t>
        </is>
      </c>
    </row>
    <row r="891">
      <c r="A891" t="inlineStr">
        <is>
          <t>location</t>
        </is>
      </c>
      <c r="B891" t="inlineStr">
        <is>
          <t>GLO</t>
        </is>
      </c>
    </row>
    <row r="892">
      <c r="A892" t="inlineStr">
        <is>
          <t>production amount</t>
        </is>
      </c>
      <c r="B892">
        <v>1</v>
      </c>
    </row>
    <row r="893">
      <c r="A893" t="inlineStr">
        <is>
          <t>reference product</t>
        </is>
      </c>
      <c r="B893" t="inlineStr">
        <is>
          <t xml:space="preserve">diaphragm, alkaline electrolysis, zirconia-polysulfone with PPS mesh</t>
        </is>
      </c>
    </row>
    <row r="894">
      <c r="A894" t="inlineStr">
        <is>
          <t>unit</t>
        </is>
      </c>
      <c r="B894" t="inlineStr">
        <is>
          <t>kilogram</t>
        </is>
      </c>
    </row>
    <row r="895">
      <c r="A895" t="inlineStr">
        <is>
          <t>source</t>
        </is>
      </c>
      <c r="B895" t="inlineStr">
        <is>
          <t>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t>
        </is>
      </c>
    </row>
    <row r="896">
      <c r="A896" t="inlineStr">
        <is>
          <t>comment</t>
        </is>
      </c>
      <c r="B896" t="inlineStr">
        <is>
          <t xml:space="preserve">Nomenclature revision, 2026-10-19. Former activity name: AEC reinforced diaphragm, zirconia-PSU with PPS mesh reference. Former reference product: AEC reinforced diaphragm, zirconia-PSU with PPS mesh reference. Activity/product labels and supplier references only; coefficients, formulas, uncertainty, declared output and unit are unchanged. Original engineering assumptions, functional-unit basis and limitations remain below.
APPROVED REINFORCED AEC DIAPHRAGM REFERENCE, issue96, 2026-10-18. 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 Replace48.8kgPSU+73kgZrO2 with121.8kgfinisheddryZirfon-typeengineeringmembrane,notcertifiedAgfaUTP500recipe. Preserveoldtotaldrymass asreferenceassumption;actualoldwet/drybasisunknown. Selected500umfinishedthickness,0.5kg/m2dryarealmass implies243.6m2/MW at121.8kg. SupportwovenPPS100umfilaments/200umpitch/twodirections/1.05crimp,rho1350kg/m3 gives0.11133018966158831kgPPS/m2 and0.22266037932317662fractionofdrymembrane. Theseclothgeometryvaluesareexplicitassumptions,notmeasuredPVFmesh. Remainingcoating0.7773396206768234massfractionuses85/15ZrO2/PSU. Finishedfractions={'PPS': 0.22266037932317662, 'ZrO2': 0.6607386775752998, 'PSU': 0.1166009431015235};usingZrO2rho5680,PSU1240andPPS1350,computedporosity=0.6247061350887926consistentwith45-65%referenceinterval. Do notmistake85/15coatingforwholemembrane. Sensitivitysupport10-30wt%,coatingZr75-85wt%,arealmass0.4-0.6kg/m2,thickness450-550um;notallcombinationsarephysicallycompatible. Coating95%retention,mesh100%,1kWh/kgforming/dryingallowance;freshNMP0.2kg/kgretainedcoating assumes4kgcirculationand95%recovery,solventmakeupalltosolventwaste.10kgprocesswater/kgfinishedandgenericWWT;salinity,coagulationkinetics,soluteemissions,membranegasbarrieranddurabilityqualificationgaps remain. Sourcegross121.8kgisnotindependentlyverifiedfor2026plant. MatchedfinishedEOLroutesneworganicPPS/PSUfractiontogenericplasticincinerationandZrO2togenericinertdisposal;old193kgmixedplasticwasteincluded144.2gasket+48.8PSU,replaceonly48.8PSUshare,leavegasketuntilissue100. No phantommetalrecoverycredit;otherstackmetals,lifetime,energy unchanged.</t>
        </is>
      </c>
    </row>
    <row r="897">
      <c r="A897" t="inlineStr">
        <is>
          <t>Exchanges</t>
        </is>
      </c>
    </row>
    <row r="898">
      <c r="A898" t="inlineStr">
        <is>
          <t>name</t>
        </is>
      </c>
      <c r="B898" t="inlineStr">
        <is>
          <t>amount</t>
        </is>
      </c>
      <c r="C898" t="inlineStr">
        <is>
          <t>location</t>
        </is>
      </c>
      <c r="D898" t="inlineStr">
        <is>
          <t>unit</t>
        </is>
      </c>
      <c r="E898" t="inlineStr">
        <is>
          <t>categories</t>
        </is>
      </c>
      <c r="F898" t="inlineStr">
        <is>
          <t>type</t>
        </is>
      </c>
      <c r="G898" t="inlineStr">
        <is>
          <t>reference product</t>
        </is>
      </c>
      <c r="H898" t="inlineStr">
        <is>
          <t>comment</t>
        </is>
      </c>
      <c r="I898" t="inlineStr">
        <is>
          <t>product</t>
        </is>
      </c>
    </row>
    <row r="899">
      <c r="A899" t="inlineStr">
        <is>
          <t xml:space="preserve">diaphragm production, alkaline electrolysis, zirconia-polysulfone with PPS mesh</t>
        </is>
      </c>
      <c r="B899">
        <v>1</v>
      </c>
      <c r="C899" t="inlineStr">
        <is>
          <t>GLO</t>
        </is>
      </c>
      <c r="D899" t="inlineStr">
        <is>
          <t>kilogram</t>
        </is>
      </c>
      <c r="F899" t="inlineStr">
        <is>
          <t>production</t>
        </is>
      </c>
      <c r="G899" t="inlineStr">
        <is>
          <t xml:space="preserve">diaphragm, alkaline electrolysis, zirconia-polysulfone with PPS mesh</t>
        </is>
      </c>
      <c r="I899" t="inlineStr">
        <is>
          <t xml:space="preserve">diaphragm, alkaline electrolysis, zirconia-polysulfone with PPS mesh</t>
        </is>
      </c>
    </row>
    <row r="900">
      <c r="A900" t="inlineStr">
        <is>
          <t>market for zirconium oxide</t>
        </is>
      </c>
      <c r="B900">
        <v>0.6955143974476841</v>
      </c>
      <c r="C900" t="inlineStr">
        <is>
          <t>GLO</t>
        </is>
      </c>
      <c r="D900" t="inlineStr">
        <is>
          <t>kilogram</t>
        </is>
      </c>
      <c r="F900" t="inlineStr">
        <is>
          <t>technosphere</t>
        </is>
      </c>
      <c r="G900" t="inlineStr">
        <is>
          <t>zirconium oxide</t>
        </is>
      </c>
      <c r="I900" t="inlineStr">
        <is>
          <t>zirconium oxide</t>
        </is>
      </c>
    </row>
    <row r="901">
      <c r="A901" t="inlineStr">
        <is>
          <t>market for polysulfone</t>
        </is>
      </c>
      <c r="B901">
        <v>0.12273783484370895</v>
      </c>
      <c r="C901" t="inlineStr">
        <is>
          <t>GLO</t>
        </is>
      </c>
      <c r="D901" t="inlineStr">
        <is>
          <t>kilogram</t>
        </is>
      </c>
      <c r="F901" t="inlineStr">
        <is>
          <t>technosphere</t>
        </is>
      </c>
      <c r="G901" t="inlineStr">
        <is>
          <t>polysulfone</t>
        </is>
      </c>
      <c r="I901" t="inlineStr">
        <is>
          <t>polysulfone</t>
        </is>
      </c>
    </row>
    <row r="902">
      <c r="A902" t="inlineStr">
        <is>
          <t>market for polyphenylene sulfide</t>
        </is>
      </c>
      <c r="B902">
        <v>0.22266037932317662</v>
      </c>
      <c r="C902" t="inlineStr">
        <is>
          <t>GLO</t>
        </is>
      </c>
      <c r="D902" t="inlineStr">
        <is>
          <t>kilogram</t>
        </is>
      </c>
      <c r="F902" t="inlineStr">
        <is>
          <t>technosphere</t>
        </is>
      </c>
      <c r="G902" t="inlineStr">
        <is>
          <t>polyphenylene sulfide</t>
        </is>
      </c>
      <c r="I902" t="inlineStr">
        <is>
          <t>polyphenylene sulfide</t>
        </is>
      </c>
    </row>
    <row r="903">
      <c r="A903" t="inlineStr">
        <is>
          <t>market for N-methyl-2-pyrrolidone</t>
        </is>
      </c>
      <c r="B903">
        <v>0.1554679241353647</v>
      </c>
      <c r="C903" t="inlineStr">
        <is>
          <t>GLO</t>
        </is>
      </c>
      <c r="D903" t="inlineStr">
        <is>
          <t>kilogram</t>
        </is>
      </c>
      <c r="F903" t="inlineStr">
        <is>
          <t>technosphere</t>
        </is>
      </c>
      <c r="G903" t="inlineStr">
        <is>
          <t>N-methyl-2-pyrrolidone</t>
        </is>
      </c>
      <c r="I903" t="inlineStr">
        <is>
          <t>N-methyl-2-pyrrolidone</t>
        </is>
      </c>
    </row>
    <row r="904">
      <c r="A904" t="inlineStr">
        <is>
          <t>market for spent solvent mixture</t>
        </is>
      </c>
      <c r="B904">
        <v>-0.1554679241353647</v>
      </c>
      <c r="C904" t="inlineStr">
        <is>
          <t>RoW</t>
        </is>
      </c>
      <c r="D904" t="inlineStr">
        <is>
          <t>kilogram</t>
        </is>
      </c>
      <c r="F904" t="inlineStr">
        <is>
          <t>technosphere</t>
        </is>
      </c>
      <c r="G904" t="inlineStr">
        <is>
          <t>spent solvent mixture</t>
        </is>
      </c>
      <c r="I904" t="inlineStr">
        <is>
          <t>spent solvent mixture</t>
        </is>
      </c>
    </row>
    <row r="905">
      <c r="A905" t="inlineStr">
        <is>
          <t>market for inert waste, for final disposal</t>
        </is>
      </c>
      <c r="B905">
        <v>-0.040912611614569605</v>
      </c>
      <c r="C905" t="inlineStr">
        <is>
          <t>RoW</t>
        </is>
      </c>
      <c r="D905" t="inlineStr">
        <is>
          <t>kilogram</t>
        </is>
      </c>
      <c r="F905" t="inlineStr">
        <is>
          <t>technosphere</t>
        </is>
      </c>
      <c r="G905" t="inlineStr">
        <is>
          <t>inert waste, for final disposal</t>
        </is>
      </c>
      <c r="I905" t="inlineStr">
        <is>
          <t>inert waste, for final disposal</t>
        </is>
      </c>
    </row>
    <row r="906">
      <c r="A906" t="inlineStr">
        <is>
          <t>market for tap water</t>
        </is>
      </c>
      <c r="B906">
        <v>10</v>
      </c>
      <c r="C906" t="inlineStr">
        <is>
          <t>RoW</t>
        </is>
      </c>
      <c r="D906" t="inlineStr">
        <is>
          <t>kilogram</t>
        </is>
      </c>
      <c r="F906" t="inlineStr">
        <is>
          <t>technosphere</t>
        </is>
      </c>
      <c r="G906" t="inlineStr">
        <is>
          <t>tap water</t>
        </is>
      </c>
      <c r="I906" t="inlineStr">
        <is>
          <t>tap water</t>
        </is>
      </c>
    </row>
    <row r="907">
      <c r="A907" t="inlineStr">
        <is>
          <t>market for wastewater, average</t>
        </is>
      </c>
      <c r="B907">
        <v>-0.01</v>
      </c>
      <c r="C907" t="inlineStr">
        <is>
          <t>RoW</t>
        </is>
      </c>
      <c r="D907" t="inlineStr">
        <is>
          <t>cubic meter</t>
        </is>
      </c>
      <c r="F907" t="inlineStr">
        <is>
          <t>technosphere</t>
        </is>
      </c>
      <c r="G907" t="inlineStr">
        <is>
          <t>wastewater, average</t>
        </is>
      </c>
      <c r="I907" t="inlineStr">
        <is>
          <t>wastewater, average</t>
        </is>
      </c>
    </row>
    <row r="908">
      <c r="A908" t="inlineStr">
        <is>
          <t>market group for electricity, medium voltage</t>
        </is>
      </c>
      <c r="B908">
        <v>1</v>
      </c>
      <c r="C908" t="inlineStr">
        <is>
          <t>GLO</t>
        </is>
      </c>
      <c r="D908" t="inlineStr">
        <is>
          <t>kilowatt hour</t>
        </is>
      </c>
      <c r="F908" t="inlineStr">
        <is>
          <t>technosphere</t>
        </is>
      </c>
      <c r="G908" t="inlineStr">
        <is>
          <t>electricity, medium voltage</t>
        </is>
      </c>
      <c r="I908" t="inlineStr">
        <is>
          <t>electricity, medium voltage</t>
        </is>
      </c>
    </row>
    <row r="911">
      <c r="A911" t="inlineStr">
        <is>
          <t>Activity</t>
        </is>
      </c>
      <c r="B911" t="inlineStr">
        <is>
          <t xml:space="preserve">silicon carbide switch production, electrolysis motor drive, 1200 V, TO-247</t>
        </is>
      </c>
    </row>
    <row r="912">
      <c r="A912" t="inlineStr">
        <is>
          <t>location</t>
        </is>
      </c>
      <c r="B912" t="inlineStr">
        <is>
          <t>GLO</t>
        </is>
      </c>
    </row>
    <row r="913">
      <c r="A913" t="inlineStr">
        <is>
          <t>production amount</t>
        </is>
      </c>
      <c r="B913">
        <v>1</v>
      </c>
    </row>
    <row r="914">
      <c r="A914" t="inlineStr">
        <is>
          <t>reference product</t>
        </is>
      </c>
      <c r="B914" t="inlineStr">
        <is>
          <t xml:space="preserve">silicon carbide switch, electrolysis motor drive, 1200 V, TO-247</t>
        </is>
      </c>
    </row>
    <row r="915">
      <c r="A915" t="inlineStr">
        <is>
          <t>unit</t>
        </is>
      </c>
      <c r="B915" t="inlineStr">
        <is>
          <t>unit</t>
        </is>
      </c>
    </row>
    <row r="916">
      <c r="A916" t="inlineStr">
        <is>
          <t>source</t>
        </is>
      </c>
      <c r="B916"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917">
      <c r="A917" t="inlineStr">
        <is>
          <t>comment</t>
        </is>
      </c>
      <c r="B917" t="inlineStr">
        <is>
          <t>SiC SUBSTRATE MANUFACTURE, 2026-10-19. Arvidsson and Molander (2017), DOI 10.1111/jiec.12526, section Silicon Carbide Wafer Production / Physical Vapor Transport, citing Warren et al. (2015), DOI 10.1021/acs.est.5b01627: PVT substrate electricity 4.0 kWh/cm2 for a 350 micrometre wafer, density 3210 kg/m3, net wafer-material yield 0.35 including poor crystal regions, slicing and polishing. Thus per kg finished wafer: electricity 35603.0262572 kWh and Acheson SiC powder 1/0.35 = 2.85714285714 kg. Source linearly scales growth electricity with thickness; this mass-normalized reference uses its 350 micrometre basis. Unused charge recirculates internally and is not purchased again; the net discarded 1/0.35-1 kg SiC goes once to generic inert-waste disposal, with no recovery credit. This waste fate is an explicit proxy for discarded crystal/kerf. The source omits measured argon and direct growth emissions; those are unresolved, not demonstrated zero. Global electricity is a geographic proxy. This restores SUBSTRATE production instead of buying industrial SiC powder as a finished semiconductor. It does NOT include device epitaxy, lithography, implantation, metallization, die yields or package assembly. Those remain separate open boundaries; do not interpret this as a complete SiC transistor LCI or a current vendor-specific process. Retain declared finished SiC die mass, package metals/resins, part counts, service life, operating losses and EOL. Do not purchase a complete packaged power device on top. Published reference is historical: test electricity 2/4/6 kWh/cm2 and wafer yield 0.35/0.50/0.70 as illustrative process sensitivities, not measured statistics. Source https://link.springer.com/article/10.1111/jiec.12526 (CC BY 4.0); full text https://publications.lib.chalmers.se/records/fulltext/253433/local_253433.pdf . Only existing supplemental workbooks change; no runtime, native, mapping or primary/secondary-share edits.
PREVIOUS NOTES (retained as history; the correction above takes precedence):
Nomenclature revision, 2026-10-19. Former activity name: Electrolyzer auxiliary drive 1200V SiC switch, TO247 MCD material reference. Former reference product: Electrolyzer auxiliary drive 1200V SiC switch, TO247 MCD material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Componentreference:InfineonIMW120R045M1 MCDMA00164188205April2021 andIMW65R048M1H MCDMA00540015111Dec2019,PG-TO247-3-41,6047.69/6047.25mg. Fullmgconstituentledgers={'1200V': {'SiC': 4.941, 'P': 1.192, 'steel': 3.972, 'Cu': 3967.074, 'Al': 4.257, 'carbon': 20.032, 'epoxy': 380.613, 'silica': 1602.58, 'Sn': 33.233, 'Ni': 29.065, 'Sb': 0.209, 'Ag': 0.523}, '650V': {'SiC': 2.646, 'P': 1.192, 'steel': 3.972, 'Cu': 3967.074, 'Al': 5.601, 'carbon': 20.046, 'epoxy': 380.868, 'silica': 1603.657, 'Sn': 32.692, 'Ni': 29.065, 'Sb': 0.126, 'Ag': 0.314}}. Ledgerrounding0.001/0.003mgnotarbitrarilyrenormalized. Source https://www.infineon.com/assets/row/public/documents/60/71/infineon-ma001641882-materialcontentsheet-en.pdf and https://www.infineon.com/assets/row/public/documents/24/71/infineon-ma005400151-materialcontentsheet-en.pdf . These3pinpackagesarematerialanalogues,notpin-compatibleclaimforTI4pinWolfspeedBOM. SiCpowderfeedisnotqualifiedepitaxy/waferfabrication;processyield/energy/purity remain gaps.1kWh/kgpackageassemblyreferenceadded,notfullICTchipproxy. FF300R12KT4 datasheet340g,1200V300Ahalfbridge,Cu baseplate,Al2O3isolation; https://www.infineon.com/assets/row/public/documents/60/49/infineon-ff300r12kt4-ds-en.pdf . ManufacturerfullMCDnotrecovered. ModulematerialinventoryisGEOMETRYENGINEERINGESTIMATE,notmanufacturerdeclaration. Assumedgrossbaseplate106.4x61.4x2.5mm,DBC35cm2with0.6mmCuand0.63mmAl2O3,25gCu terminals,45cm3PAhousing,25cm3siliconegel,1gSi,0.5gAlwire,4gSACsolder,10gsteel;geometry={'baseplate_length_m': 0.1064, 'baseplate_width_m': 0.0614, 'baseplate_thickness_m': 0.0025, 'DBC_area_m2': 0.0035, 'DBC_Cu_total_thickness_m': 0.0006, 'ceramic_thickness_m': 0.00063, 'Cu_density_kg_m3': 8960, 'alumina_density_kg_m3': 3900};knownmodulekg={'Cu': 0.190154304, 'alumina': 0.0085995, 'PA': 0.051300000000000005, 'silicone': 0.02425, 'Si': 0.001, 'Al': 0.0005, 'solder': 0.004, 'steel': 0.01};unresolvedmodulemass=0.050196196000000026kg. Exteriorfootprintusedasbaseplatearea isproxy;holes/recessesandrealplate thicknessunknown.Sensitivitybaseplate2-3mm,terminalCu15-35g,unresolvedcompositionnotzeroAu/Ni/Ag. FeedgradeSi/Al2O3/siliconesareproxies;diearea/doping/waferyieldunverified. Noextracompletemoduleinventoryon topofingredients.</t>
        </is>
      </c>
    </row>
    <row r="918">
      <c r="A918" t="inlineStr">
        <is>
          <t>Exchanges</t>
        </is>
      </c>
    </row>
    <row r="919">
      <c r="A919" t="inlineStr">
        <is>
          <t>name</t>
        </is>
      </c>
      <c r="B919" t="inlineStr">
        <is>
          <t>amount</t>
        </is>
      </c>
      <c r="C919" t="inlineStr">
        <is>
          <t>location</t>
        </is>
      </c>
      <c r="D919" t="inlineStr">
        <is>
          <t>unit</t>
        </is>
      </c>
      <c r="E919" t="inlineStr">
        <is>
          <t>categories</t>
        </is>
      </c>
      <c r="F919" t="inlineStr">
        <is>
          <t>type</t>
        </is>
      </c>
      <c r="G919" t="inlineStr">
        <is>
          <t>reference product</t>
        </is>
      </c>
      <c r="H919" t="inlineStr">
        <is>
          <t>comment</t>
        </is>
      </c>
      <c r="I919" t="inlineStr">
        <is>
          <t>product</t>
        </is>
      </c>
    </row>
    <row r="920">
      <c r="A920" t="inlineStr">
        <is>
          <t xml:space="preserve">silicon carbide switch production, electrolysis motor drive, 1200 V, TO-247</t>
        </is>
      </c>
      <c r="B920">
        <v>1</v>
      </c>
      <c r="C920" t="inlineStr">
        <is>
          <t>GLO</t>
        </is>
      </c>
      <c r="D920" t="inlineStr">
        <is>
          <t>unit</t>
        </is>
      </c>
      <c r="F920" t="inlineStr">
        <is>
          <t>production</t>
        </is>
      </c>
      <c r="G920" t="inlineStr">
        <is>
          <t xml:space="preserve">silicon carbide switch, electrolysis motor drive, 1200 V, TO-247</t>
        </is>
      </c>
      <c r="I920" t="inlineStr">
        <is>
          <t xml:space="preserve">silicon carbide switch, electrolysis motor drive, 1200 V, TO-247</t>
        </is>
      </c>
    </row>
    <row r="921">
      <c r="A921" t="inlineStr">
        <is>
          <t>silicon carbide wafer production, physical vapour transport</t>
        </is>
      </c>
      <c r="B921">
        <v>4.941e-06</v>
      </c>
      <c r="C921" t="inlineStr">
        <is>
          <t>GLO</t>
        </is>
      </c>
      <c r="D921" t="inlineStr">
        <is>
          <t>kilogram</t>
        </is>
      </c>
      <c r="F921" t="inlineStr">
        <is>
          <t>technosphere</t>
        </is>
      </c>
      <c r="G921" t="inlineStr">
        <is>
          <t>silicon carbide wafer</t>
        </is>
      </c>
      <c r="H921" t="inlineStr">
        <is>
          <t>SiC SUBSTRATE MANUFACTURE, 2026-10-19. Arvidsson and Molander (2017), DOI 10.1111/jiec.12526, section Silicon Carbide Wafer Production / Physical Vapor Transport, citing Warren et al. (2015), DOI 10.1021/acs.est.5b01627: PVT substrate electricity 4.0 kWh/cm2 for a 350 micrometre wafer, density 3210 kg/m3, net wafer-material yield 0.35 including poor crystal regions, slicing and polishing. Thus per kg finished wafer: electricity 35603.0262572 kWh and Acheson SiC powder 1/0.35 = 2.85714285714 kg. Source linearly scales growth electricity with thickness; this mass-normalized reference uses its 350 micrometre basis. Unused charge recirculates internally and is not purchased again; the net discarded 1/0.35-1 kg SiC goes once to generic inert-waste disposal, with no recovery credit. This waste fate is an explicit proxy for discarded crystal/kerf. The source omits measured argon and direct growth emissions; those are unresolved, not demonstrated zero. Global electricity is a geographic proxy. This restores SUBSTRATE production instead of buying industrial SiC powder as a finished semiconductor. It does NOT include device epitaxy, lithography, implantation, metallization, die yields or package assembly. Those remain separate open boundaries; do not interpret this as a complete SiC transistor LCI or a current vendor-specific process. Retain declared finished SiC die mass, package metals/resins, part counts, service life, operating losses and EOL. Do not purchase a complete packaged power device on top. Published reference is historical: test electricity 2/4/6 kWh/cm2 and wafer yield 0.35/0.50/0.70 as illustrative process sensitivities, not measured statistics. Source https://link.springer.com/article/10.1111/jiec.12526 (CC BY 4.0); full text https://publications.lib.chalmers.se/records/fulltext/253433/local_253433.pdf . Only existing supplemental workbooks change; no runtime, native, mapping or primary/secondary-share edits.</t>
        </is>
      </c>
      <c r="I921" t="inlineStr">
        <is>
          <t>silicon carbide wafer</t>
        </is>
      </c>
    </row>
    <row r="922">
      <c r="A922" t="inlineStr">
        <is>
          <t>market for phosphorus, white, liquid</t>
        </is>
      </c>
      <c r="B922">
        <v>1.192e-06</v>
      </c>
      <c r="C922" t="inlineStr">
        <is>
          <t>GLO</t>
        </is>
      </c>
      <c r="D922" t="inlineStr">
        <is>
          <t>kilogram</t>
        </is>
      </c>
      <c r="F922" t="inlineStr">
        <is>
          <t>technosphere</t>
        </is>
      </c>
      <c r="G922" t="inlineStr">
        <is>
          <t>phosphorus, white, liquid</t>
        </is>
      </c>
      <c r="I922" t="inlineStr">
        <is>
          <t>phosphorus, white, liquid</t>
        </is>
      </c>
    </row>
    <row r="923">
      <c r="A923" t="inlineStr">
        <is>
          <t>market for steel, low-alloyed</t>
        </is>
      </c>
      <c r="B923">
        <v>3.972e-06</v>
      </c>
      <c r="C923" t="inlineStr">
        <is>
          <t>GLO</t>
        </is>
      </c>
      <c r="D923" t="inlineStr">
        <is>
          <t>kilogram</t>
        </is>
      </c>
      <c r="F923" t="inlineStr">
        <is>
          <t>technosphere</t>
        </is>
      </c>
      <c r="G923" t="inlineStr">
        <is>
          <t>steel, low-alloyed</t>
        </is>
      </c>
      <c r="I923" t="inlineStr">
        <is>
          <t>steel, low-alloyed</t>
        </is>
      </c>
    </row>
    <row r="924">
      <c r="A924" t="inlineStr">
        <is>
          <t>market for copper, cathode</t>
        </is>
      </c>
      <c r="B924">
        <v>0.003967074</v>
      </c>
      <c r="C924" t="inlineStr">
        <is>
          <t>GLO</t>
        </is>
      </c>
      <c r="D924" t="inlineStr">
        <is>
          <t>kilogram</t>
        </is>
      </c>
      <c r="F924" t="inlineStr">
        <is>
          <t>technosphere</t>
        </is>
      </c>
      <c r="G924" t="inlineStr">
        <is>
          <t>copper, cathode</t>
        </is>
      </c>
      <c r="I924" t="inlineStr">
        <is>
          <t>copper, cathode</t>
        </is>
      </c>
    </row>
    <row r="925">
      <c r="A925" t="inlineStr">
        <is>
          <t>market for aluminium, primary, ingot</t>
        </is>
      </c>
      <c r="B925">
        <v>4.257e-06</v>
      </c>
      <c r="C925" t="inlineStr">
        <is>
          <t>RoW</t>
        </is>
      </c>
      <c r="D925" t="inlineStr">
        <is>
          <t>kilogram</t>
        </is>
      </c>
      <c r="F925" t="inlineStr">
        <is>
          <t>technosphere</t>
        </is>
      </c>
      <c r="G925" t="inlineStr">
        <is>
          <t>aluminium, primary, ingot</t>
        </is>
      </c>
      <c r="I925" t="inlineStr">
        <is>
          <t>aluminium, primary, ingot</t>
        </is>
      </c>
    </row>
    <row r="926">
      <c r="A926" t="inlineStr">
        <is>
          <t>market for carbon black</t>
        </is>
      </c>
      <c r="B926">
        <v>2.0032e-05</v>
      </c>
      <c r="C926" t="inlineStr">
        <is>
          <t>GLO</t>
        </is>
      </c>
      <c r="D926" t="inlineStr">
        <is>
          <t>kilogram</t>
        </is>
      </c>
      <c r="F926" t="inlineStr">
        <is>
          <t>technosphere</t>
        </is>
      </c>
      <c r="G926" t="inlineStr">
        <is>
          <t>carbon black</t>
        </is>
      </c>
      <c r="I926" t="inlineStr">
        <is>
          <t>carbon black</t>
        </is>
      </c>
    </row>
    <row r="927">
      <c r="A927" t="inlineStr">
        <is>
          <t>market for epoxy resin, liquid</t>
        </is>
      </c>
      <c r="B927">
        <v>0.000380613</v>
      </c>
      <c r="C927" t="inlineStr">
        <is>
          <t>RER</t>
        </is>
      </c>
      <c r="D927" t="inlineStr">
        <is>
          <t>kilogram</t>
        </is>
      </c>
      <c r="F927" t="inlineStr">
        <is>
          <t>technosphere</t>
        </is>
      </c>
      <c r="G927" t="inlineStr">
        <is>
          <t>epoxy resin, liquid</t>
        </is>
      </c>
      <c r="I927" t="inlineStr">
        <is>
          <t>epoxy resin, liquid</t>
        </is>
      </c>
    </row>
    <row r="928">
      <c r="A928" t="inlineStr">
        <is>
          <t>market for silica sand</t>
        </is>
      </c>
      <c r="B928">
        <v>0.00160258</v>
      </c>
      <c r="C928" t="inlineStr">
        <is>
          <t>GLO</t>
        </is>
      </c>
      <c r="D928" t="inlineStr">
        <is>
          <t>kilogram</t>
        </is>
      </c>
      <c r="F928" t="inlineStr">
        <is>
          <t>technosphere</t>
        </is>
      </c>
      <c r="G928" t="inlineStr">
        <is>
          <t>silica sand</t>
        </is>
      </c>
      <c r="I928" t="inlineStr">
        <is>
          <t>silica sand</t>
        </is>
      </c>
    </row>
    <row r="929">
      <c r="A929" t="inlineStr">
        <is>
          <t>market for tin</t>
        </is>
      </c>
      <c r="B929">
        <v>3.3233e-05</v>
      </c>
      <c r="C929" t="inlineStr">
        <is>
          <t>GLO</t>
        </is>
      </c>
      <c r="D929" t="inlineStr">
        <is>
          <t>kilogram</t>
        </is>
      </c>
      <c r="F929" t="inlineStr">
        <is>
          <t>technosphere</t>
        </is>
      </c>
      <c r="G929" t="inlineStr">
        <is>
          <t>tin</t>
        </is>
      </c>
      <c r="I929" t="inlineStr">
        <is>
          <t>tin</t>
        </is>
      </c>
    </row>
    <row r="930">
      <c r="A930" t="inlineStr">
        <is>
          <t>market for nickel, class 1</t>
        </is>
      </c>
      <c r="B930">
        <v>2.9065e-05</v>
      </c>
      <c r="C930" t="inlineStr">
        <is>
          <t>GLO</t>
        </is>
      </c>
      <c r="D930" t="inlineStr">
        <is>
          <t>kilogram</t>
        </is>
      </c>
      <c r="F930" t="inlineStr">
        <is>
          <t>technosphere</t>
        </is>
      </c>
      <c r="G930" t="inlineStr">
        <is>
          <t>nickel, class 1</t>
        </is>
      </c>
      <c r="I930" t="inlineStr">
        <is>
          <t>nickel, class 1</t>
        </is>
      </c>
    </row>
    <row r="931">
      <c r="A931" t="inlineStr">
        <is>
          <t>market for antimony</t>
        </is>
      </c>
      <c r="B931">
        <v>2.0899999999999998e-07</v>
      </c>
      <c r="C931" t="inlineStr">
        <is>
          <t>GLO</t>
        </is>
      </c>
      <c r="D931" t="inlineStr">
        <is>
          <t>kilogram</t>
        </is>
      </c>
      <c r="F931" t="inlineStr">
        <is>
          <t>technosphere</t>
        </is>
      </c>
      <c r="G931" t="inlineStr">
        <is>
          <t>antimony</t>
        </is>
      </c>
      <c r="I931" t="inlineStr">
        <is>
          <t>antimony</t>
        </is>
      </c>
    </row>
    <row r="932">
      <c r="A932" t="inlineStr">
        <is>
          <t>market for silver</t>
        </is>
      </c>
      <c r="B932">
        <v>5.23e-07</v>
      </c>
      <c r="C932" t="inlineStr">
        <is>
          <t>GLO</t>
        </is>
      </c>
      <c r="D932" t="inlineStr">
        <is>
          <t>kilogram</t>
        </is>
      </c>
      <c r="F932" t="inlineStr">
        <is>
          <t>technosphere</t>
        </is>
      </c>
      <c r="G932" t="inlineStr">
        <is>
          <t>silver</t>
        </is>
      </c>
      <c r="I932" t="inlineStr">
        <is>
          <t>silver</t>
        </is>
      </c>
    </row>
    <row r="933">
      <c r="A933" t="inlineStr">
        <is>
          <t>market group for electricity, medium voltage</t>
        </is>
      </c>
      <c r="B933">
        <v>0.006047690999999999</v>
      </c>
      <c r="C933" t="inlineStr">
        <is>
          <t>GLO</t>
        </is>
      </c>
      <c r="D933" t="inlineStr">
        <is>
          <t>kilowatt hour</t>
        </is>
      </c>
      <c r="F933" t="inlineStr">
        <is>
          <t>technosphere</t>
        </is>
      </c>
      <c r="G933" t="inlineStr">
        <is>
          <t>electricity, medium voltage</t>
        </is>
      </c>
      <c r="I933" t="inlineStr">
        <is>
          <t>electricity, medium voltage</t>
        </is>
      </c>
    </row>
    <row r="936">
      <c r="A936" t="inlineStr">
        <is>
          <t>Activity</t>
        </is>
      </c>
      <c r="B936" t="inlineStr">
        <is>
          <t xml:space="preserve">silicon carbide switch production, electrolysis motor drive, 650 V, TO-247</t>
        </is>
      </c>
    </row>
    <row r="937">
      <c r="A937" t="inlineStr">
        <is>
          <t>location</t>
        </is>
      </c>
      <c r="B937" t="inlineStr">
        <is>
          <t>GLO</t>
        </is>
      </c>
    </row>
    <row r="938">
      <c r="A938" t="inlineStr">
        <is>
          <t>production amount</t>
        </is>
      </c>
      <c r="B938">
        <v>1</v>
      </c>
    </row>
    <row r="939">
      <c r="A939" t="inlineStr">
        <is>
          <t>reference product</t>
        </is>
      </c>
      <c r="B939" t="inlineStr">
        <is>
          <t xml:space="preserve">silicon carbide switch, electrolysis motor drive, 650 V, TO-247</t>
        </is>
      </c>
    </row>
    <row r="940">
      <c r="A940" t="inlineStr">
        <is>
          <t>unit</t>
        </is>
      </c>
      <c r="B940" t="inlineStr">
        <is>
          <t>unit</t>
        </is>
      </c>
    </row>
    <row r="941">
      <c r="A941" t="inlineStr">
        <is>
          <t>source</t>
        </is>
      </c>
      <c r="B941"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942">
      <c r="A942" t="inlineStr">
        <is>
          <t>comment</t>
        </is>
      </c>
      <c r="B942" t="inlineStr">
        <is>
          <t>SiC SUBSTRATE MANUFACTURE, 2026-10-19. Arvidsson and Molander (2017), DOI 10.1111/jiec.12526, section Silicon Carbide Wafer Production / Physical Vapor Transport, citing Warren et al. (2015), DOI 10.1021/acs.est.5b01627: PVT substrate electricity 4.0 kWh/cm2 for a 350 micrometre wafer, density 3210 kg/m3, net wafer-material yield 0.35 including poor crystal regions, slicing and polishing. Thus per kg finished wafer: electricity 35603.0262572 kWh and Acheson SiC powder 1/0.35 = 2.85714285714 kg. Source linearly scales growth electricity with thickness; this mass-normalized reference uses its 350 micrometre basis. Unused charge recirculates internally and is not purchased again; the net discarded 1/0.35-1 kg SiC goes once to generic inert-waste disposal, with no recovery credit. This waste fate is an explicit proxy for discarded crystal/kerf. The source omits measured argon and direct growth emissions; those are unresolved, not demonstrated zero. Global electricity is a geographic proxy. This restores SUBSTRATE production instead of buying industrial SiC powder as a finished semiconductor. It does NOT include device epitaxy, lithography, implantation, metallization, die yields or package assembly. Those remain separate open boundaries; do not interpret this as a complete SiC transistor LCI or a current vendor-specific process. Retain declared finished SiC die mass, package metals/resins, part counts, service life, operating losses and EOL. Do not purchase a complete packaged power device on top. Published reference is historical: test electricity 2/4/6 kWh/cm2 and wafer yield 0.35/0.50/0.70 as illustrative process sensitivities, not measured statistics. Source https://link.springer.com/article/10.1111/jiec.12526 (CC BY 4.0); full text https://publications.lib.chalmers.se/records/fulltext/253433/local_253433.pdf . Only existing supplemental workbooks change; no runtime, native, mapping or primary/secondary-share edits.
PREVIOUS NOTES (retained as history; the correction above takes precedence):
Nomenclature revision, 2026-10-19. Former activity name: Electrolyzer auxiliary drive 650V SiC switch, TO247 MCD material reference. Former reference product: Electrolyzer auxiliary drive 650V SiC switch, TO247 MCD material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Componentreference:InfineonIMW120R045M1 MCDMA00164188205April2021 andIMW65R048M1H MCDMA00540015111Dec2019,PG-TO247-3-41,6047.69/6047.25mg. Fullmgconstituentledgers={'1200V': {'SiC': 4.941, 'P': 1.192, 'steel': 3.972, 'Cu': 3967.074, 'Al': 4.257, 'carbon': 20.032, 'epoxy': 380.613, 'silica': 1602.58, 'Sn': 33.233, 'Ni': 29.065, 'Sb': 0.209, 'Ag': 0.523}, '650V': {'SiC': 2.646, 'P': 1.192, 'steel': 3.972, 'Cu': 3967.074, 'Al': 5.601, 'carbon': 20.046, 'epoxy': 380.868, 'silica': 1603.657, 'Sn': 32.692, 'Ni': 29.065, 'Sb': 0.126, 'Ag': 0.314}}. Ledgerrounding0.001/0.003mgnotarbitrarilyrenormalized. Source https://www.infineon.com/assets/row/public/documents/60/71/infineon-ma001641882-materialcontentsheet-en.pdf and https://www.infineon.com/assets/row/public/documents/24/71/infineon-ma005400151-materialcontentsheet-en.pdf . These3pinpackagesarematerialanalogues,notpin-compatibleclaimforTI4pinWolfspeedBOM. SiCpowderfeedisnotqualifiedepitaxy/waferfabrication;processyield/energy/purity remain gaps.1kWh/kgpackageassemblyreferenceadded,notfullICTchipproxy. FF300R12KT4 datasheet340g,1200V300Ahalfbridge,Cu baseplate,Al2O3isolation; https://www.infineon.com/assets/row/public/documents/60/49/infineon-ff300r12kt4-ds-en.pdf . ManufacturerfullMCDnotrecovered. ModulematerialinventoryisGEOMETRYENGINEERINGESTIMATE,notmanufacturerdeclaration. Assumedgrossbaseplate106.4x61.4x2.5mm,DBC35cm2with0.6mmCuand0.63mmAl2O3,25gCu terminals,45cm3PAhousing,25cm3siliconegel,1gSi,0.5gAlwire,4gSACsolder,10gsteel;geometry={'baseplate_length_m': 0.1064, 'baseplate_width_m': 0.0614, 'baseplate_thickness_m': 0.0025, 'DBC_area_m2': 0.0035, 'DBC_Cu_total_thickness_m': 0.0006, 'ceramic_thickness_m': 0.00063, 'Cu_density_kg_m3': 8960, 'alumina_density_kg_m3': 3900};knownmodulekg={'Cu': 0.190154304, 'alumina': 0.0085995, 'PA': 0.051300000000000005, 'silicone': 0.02425, 'Si': 0.001, 'Al': 0.0005, 'solder': 0.004, 'steel': 0.01};unresolvedmodulemass=0.050196196000000026kg. Exteriorfootprintusedasbaseplatearea isproxy;holes/recessesandrealplate thicknessunknown.Sensitivitybaseplate2-3mm,terminalCu15-35g,unresolvedcompositionnotzeroAu/Ni/Ag. FeedgradeSi/Al2O3/siliconesareproxies;diearea/doping/waferyieldunverified. Noextracompletemoduleinventoryon topofingredients.</t>
        </is>
      </c>
    </row>
    <row r="943">
      <c r="A943" t="inlineStr">
        <is>
          <t>Exchanges</t>
        </is>
      </c>
    </row>
    <row r="944">
      <c r="A944" t="inlineStr">
        <is>
          <t>name</t>
        </is>
      </c>
      <c r="B944" t="inlineStr">
        <is>
          <t>amount</t>
        </is>
      </c>
      <c r="C944" t="inlineStr">
        <is>
          <t>location</t>
        </is>
      </c>
      <c r="D944" t="inlineStr">
        <is>
          <t>unit</t>
        </is>
      </c>
      <c r="E944" t="inlineStr">
        <is>
          <t>categories</t>
        </is>
      </c>
      <c r="F944" t="inlineStr">
        <is>
          <t>type</t>
        </is>
      </c>
      <c r="G944" t="inlineStr">
        <is>
          <t>reference product</t>
        </is>
      </c>
      <c r="H944" t="inlineStr">
        <is>
          <t>comment</t>
        </is>
      </c>
      <c r="I944" t="inlineStr">
        <is>
          <t>product</t>
        </is>
      </c>
    </row>
    <row r="945">
      <c r="A945" t="inlineStr">
        <is>
          <t xml:space="preserve">silicon carbide switch production, electrolysis motor drive, 650 V, TO-247</t>
        </is>
      </c>
      <c r="B945">
        <v>1</v>
      </c>
      <c r="C945" t="inlineStr">
        <is>
          <t>GLO</t>
        </is>
      </c>
      <c r="D945" t="inlineStr">
        <is>
          <t>unit</t>
        </is>
      </c>
      <c r="F945" t="inlineStr">
        <is>
          <t>production</t>
        </is>
      </c>
      <c r="G945" t="inlineStr">
        <is>
          <t xml:space="preserve">silicon carbide switch, electrolysis motor drive, 650 V, TO-247</t>
        </is>
      </c>
      <c r="I945" t="inlineStr">
        <is>
          <t xml:space="preserve">silicon carbide switch, electrolysis motor drive, 650 V, TO-247</t>
        </is>
      </c>
    </row>
    <row r="946">
      <c r="A946" t="inlineStr">
        <is>
          <t>silicon carbide wafer production, physical vapour transport</t>
        </is>
      </c>
      <c r="B946">
        <v>2.6459999999999997e-06</v>
      </c>
      <c r="C946" t="inlineStr">
        <is>
          <t>GLO</t>
        </is>
      </c>
      <c r="D946" t="inlineStr">
        <is>
          <t>kilogram</t>
        </is>
      </c>
      <c r="F946" t="inlineStr">
        <is>
          <t>technosphere</t>
        </is>
      </c>
      <c r="G946" t="inlineStr">
        <is>
          <t>silicon carbide wafer</t>
        </is>
      </c>
      <c r="H946" t="inlineStr">
        <is>
          <t>SiC SUBSTRATE MANUFACTURE, 2026-10-19. Arvidsson and Molander (2017), DOI 10.1111/jiec.12526, section Silicon Carbide Wafer Production / Physical Vapor Transport, citing Warren et al. (2015), DOI 10.1021/acs.est.5b01627: PVT substrate electricity 4.0 kWh/cm2 for a 350 micrometre wafer, density 3210 kg/m3, net wafer-material yield 0.35 including poor crystal regions, slicing and polishing. Thus per kg finished wafer: electricity 35603.0262572 kWh and Acheson SiC powder 1/0.35 = 2.85714285714 kg. Source linearly scales growth electricity with thickness; this mass-normalized reference uses its 350 micrometre basis. Unused charge recirculates internally and is not purchased again; the net discarded 1/0.35-1 kg SiC goes once to generic inert-waste disposal, with no recovery credit. This waste fate is an explicit proxy for discarded crystal/kerf. The source omits measured argon and direct growth emissions; those are unresolved, not demonstrated zero. Global electricity is a geographic proxy. This restores SUBSTRATE production instead of buying industrial SiC powder as a finished semiconductor. It does NOT include device epitaxy, lithography, implantation, metallization, die yields or package assembly. Those remain separate open boundaries; do not interpret this as a complete SiC transistor LCI or a current vendor-specific process. Retain declared finished SiC die mass, package metals/resins, part counts, service life, operating losses and EOL. Do not purchase a complete packaged power device on top. Published reference is historical: test electricity 2/4/6 kWh/cm2 and wafer yield 0.35/0.50/0.70 as illustrative process sensitivities, not measured statistics. Source https://link.springer.com/article/10.1111/jiec.12526 (CC BY 4.0); full text https://publications.lib.chalmers.se/records/fulltext/253433/local_253433.pdf . Only existing supplemental workbooks change; no runtime, native, mapping or primary/secondary-share edits.</t>
        </is>
      </c>
      <c r="I946" t="inlineStr">
        <is>
          <t>silicon carbide wafer</t>
        </is>
      </c>
    </row>
    <row r="947">
      <c r="A947" t="inlineStr">
        <is>
          <t>market for phosphorus, white, liquid</t>
        </is>
      </c>
      <c r="B947">
        <v>1.192e-06</v>
      </c>
      <c r="C947" t="inlineStr">
        <is>
          <t>GLO</t>
        </is>
      </c>
      <c r="D947" t="inlineStr">
        <is>
          <t>kilogram</t>
        </is>
      </c>
      <c r="F947" t="inlineStr">
        <is>
          <t>technosphere</t>
        </is>
      </c>
      <c r="G947" t="inlineStr">
        <is>
          <t>phosphorus, white, liquid</t>
        </is>
      </c>
      <c r="I947" t="inlineStr">
        <is>
          <t>phosphorus, white, liquid</t>
        </is>
      </c>
    </row>
    <row r="948">
      <c r="A948" t="inlineStr">
        <is>
          <t>market for steel, low-alloyed</t>
        </is>
      </c>
      <c r="B948">
        <v>3.972e-06</v>
      </c>
      <c r="C948" t="inlineStr">
        <is>
          <t>GLO</t>
        </is>
      </c>
      <c r="D948" t="inlineStr">
        <is>
          <t>kilogram</t>
        </is>
      </c>
      <c r="F948" t="inlineStr">
        <is>
          <t>technosphere</t>
        </is>
      </c>
      <c r="G948" t="inlineStr">
        <is>
          <t>steel, low-alloyed</t>
        </is>
      </c>
      <c r="I948" t="inlineStr">
        <is>
          <t>steel, low-alloyed</t>
        </is>
      </c>
    </row>
    <row r="949">
      <c r="A949" t="inlineStr">
        <is>
          <t>market for copper, cathode</t>
        </is>
      </c>
      <c r="B949">
        <v>0.003967074</v>
      </c>
      <c r="C949" t="inlineStr">
        <is>
          <t>GLO</t>
        </is>
      </c>
      <c r="D949" t="inlineStr">
        <is>
          <t>kilogram</t>
        </is>
      </c>
      <c r="F949" t="inlineStr">
        <is>
          <t>technosphere</t>
        </is>
      </c>
      <c r="G949" t="inlineStr">
        <is>
          <t>copper, cathode</t>
        </is>
      </c>
      <c r="I949" t="inlineStr">
        <is>
          <t>copper, cathode</t>
        </is>
      </c>
    </row>
    <row r="950">
      <c r="A950" t="inlineStr">
        <is>
          <t>market for aluminium, primary, ingot</t>
        </is>
      </c>
      <c r="B950">
        <v>5.601e-06</v>
      </c>
      <c r="C950" t="inlineStr">
        <is>
          <t>RoW</t>
        </is>
      </c>
      <c r="D950" t="inlineStr">
        <is>
          <t>kilogram</t>
        </is>
      </c>
      <c r="F950" t="inlineStr">
        <is>
          <t>technosphere</t>
        </is>
      </c>
      <c r="G950" t="inlineStr">
        <is>
          <t>aluminium, primary, ingot</t>
        </is>
      </c>
      <c r="I950" t="inlineStr">
        <is>
          <t>aluminium, primary, ingot</t>
        </is>
      </c>
    </row>
    <row r="951">
      <c r="A951" t="inlineStr">
        <is>
          <t>market for carbon black</t>
        </is>
      </c>
      <c r="B951">
        <v>2.0046e-05</v>
      </c>
      <c r="C951" t="inlineStr">
        <is>
          <t>GLO</t>
        </is>
      </c>
      <c r="D951" t="inlineStr">
        <is>
          <t>kilogram</t>
        </is>
      </c>
      <c r="F951" t="inlineStr">
        <is>
          <t>technosphere</t>
        </is>
      </c>
      <c r="G951" t="inlineStr">
        <is>
          <t>carbon black</t>
        </is>
      </c>
      <c r="I951" t="inlineStr">
        <is>
          <t>carbon black</t>
        </is>
      </c>
    </row>
    <row r="952">
      <c r="A952" t="inlineStr">
        <is>
          <t>market for epoxy resin, liquid</t>
        </is>
      </c>
      <c r="B952">
        <v>0.00038086799999999997</v>
      </c>
      <c r="C952" t="inlineStr">
        <is>
          <t>RER</t>
        </is>
      </c>
      <c r="D952" t="inlineStr">
        <is>
          <t>kilogram</t>
        </is>
      </c>
      <c r="F952" t="inlineStr">
        <is>
          <t>technosphere</t>
        </is>
      </c>
      <c r="G952" t="inlineStr">
        <is>
          <t>epoxy resin, liquid</t>
        </is>
      </c>
      <c r="I952" t="inlineStr">
        <is>
          <t>epoxy resin, liquid</t>
        </is>
      </c>
    </row>
    <row r="953">
      <c r="A953" t="inlineStr">
        <is>
          <t>market for silica sand</t>
        </is>
      </c>
      <c r="B953">
        <v>0.0016036569999999999</v>
      </c>
      <c r="C953" t="inlineStr">
        <is>
          <t>GLO</t>
        </is>
      </c>
      <c r="D953" t="inlineStr">
        <is>
          <t>kilogram</t>
        </is>
      </c>
      <c r="F953" t="inlineStr">
        <is>
          <t>technosphere</t>
        </is>
      </c>
      <c r="G953" t="inlineStr">
        <is>
          <t>silica sand</t>
        </is>
      </c>
      <c r="I953" t="inlineStr">
        <is>
          <t>silica sand</t>
        </is>
      </c>
    </row>
    <row r="954">
      <c r="A954" t="inlineStr">
        <is>
          <t>market for tin</t>
        </is>
      </c>
      <c r="B954">
        <v>3.2692e-05</v>
      </c>
      <c r="C954" t="inlineStr">
        <is>
          <t>GLO</t>
        </is>
      </c>
      <c r="D954" t="inlineStr">
        <is>
          <t>kilogram</t>
        </is>
      </c>
      <c r="F954" t="inlineStr">
        <is>
          <t>technosphere</t>
        </is>
      </c>
      <c r="G954" t="inlineStr">
        <is>
          <t>tin</t>
        </is>
      </c>
      <c r="I954" t="inlineStr">
        <is>
          <t>tin</t>
        </is>
      </c>
    </row>
    <row r="955">
      <c r="A955" t="inlineStr">
        <is>
          <t>market for nickel, class 1</t>
        </is>
      </c>
      <c r="B955">
        <v>2.9065e-05</v>
      </c>
      <c r="C955" t="inlineStr">
        <is>
          <t>GLO</t>
        </is>
      </c>
      <c r="D955" t="inlineStr">
        <is>
          <t>kilogram</t>
        </is>
      </c>
      <c r="F955" t="inlineStr">
        <is>
          <t>technosphere</t>
        </is>
      </c>
      <c r="G955" t="inlineStr">
        <is>
          <t>nickel, class 1</t>
        </is>
      </c>
      <c r="I955" t="inlineStr">
        <is>
          <t>nickel, class 1</t>
        </is>
      </c>
    </row>
    <row r="956">
      <c r="A956" t="inlineStr">
        <is>
          <t>market for antimony</t>
        </is>
      </c>
      <c r="B956">
        <v>1.26e-07</v>
      </c>
      <c r="C956" t="inlineStr">
        <is>
          <t>GLO</t>
        </is>
      </c>
      <c r="D956" t="inlineStr">
        <is>
          <t>kilogram</t>
        </is>
      </c>
      <c r="F956" t="inlineStr">
        <is>
          <t>technosphere</t>
        </is>
      </c>
      <c r="G956" t="inlineStr">
        <is>
          <t>antimony</t>
        </is>
      </c>
      <c r="I956" t="inlineStr">
        <is>
          <t>antimony</t>
        </is>
      </c>
    </row>
    <row r="957">
      <c r="A957" t="inlineStr">
        <is>
          <t>market for silver</t>
        </is>
      </c>
      <c r="B957">
        <v>3.14e-07</v>
      </c>
      <c r="C957" t="inlineStr">
        <is>
          <t>GLO</t>
        </is>
      </c>
      <c r="D957" t="inlineStr">
        <is>
          <t>kilogram</t>
        </is>
      </c>
      <c r="F957" t="inlineStr">
        <is>
          <t>technosphere</t>
        </is>
      </c>
      <c r="G957" t="inlineStr">
        <is>
          <t>silver</t>
        </is>
      </c>
      <c r="I957" t="inlineStr">
        <is>
          <t>silver</t>
        </is>
      </c>
    </row>
    <row r="958">
      <c r="A958" t="inlineStr">
        <is>
          <t>market group for electricity, medium voltage</t>
        </is>
      </c>
      <c r="B958">
        <v>0.006047253</v>
      </c>
      <c r="C958" t="inlineStr">
        <is>
          <t>GLO</t>
        </is>
      </c>
      <c r="D958" t="inlineStr">
        <is>
          <t>kilowatt hour</t>
        </is>
      </c>
      <c r="F958" t="inlineStr">
        <is>
          <t>technosphere</t>
        </is>
      </c>
      <c r="G958" t="inlineStr">
        <is>
          <t>electricity, medium voltage</t>
        </is>
      </c>
      <c r="I958" t="inlineStr">
        <is>
          <t>electricity, medium voltage</t>
        </is>
      </c>
    </row>
    <row r="961">
      <c r="A961" t="inlineStr">
        <is>
          <t>Activity</t>
        </is>
      </c>
      <c r="B961" t="inlineStr">
        <is>
          <t>IGBT half-bridge module production, electrolysis motor drive, 1200 V, 300 A</t>
        </is>
      </c>
    </row>
    <row r="962">
      <c r="A962" t="inlineStr">
        <is>
          <t>location</t>
        </is>
      </c>
      <c r="B962" t="inlineStr">
        <is>
          <t>GLO</t>
        </is>
      </c>
    </row>
    <row r="963">
      <c r="A963" t="inlineStr">
        <is>
          <t>production amount</t>
        </is>
      </c>
      <c r="B963">
        <v>1</v>
      </c>
    </row>
    <row r="964">
      <c r="A964" t="inlineStr">
        <is>
          <t>reference product</t>
        </is>
      </c>
      <c r="B964" t="inlineStr">
        <is>
          <t>IGBT half-bridge module, electrolysis motor drive, 1200 V, 300 A</t>
        </is>
      </c>
    </row>
    <row r="965">
      <c r="A965" t="inlineStr">
        <is>
          <t>unit</t>
        </is>
      </c>
      <c r="B965" t="inlineStr">
        <is>
          <t>unit</t>
        </is>
      </c>
    </row>
    <row r="966">
      <c r="A966" t="inlineStr">
        <is>
          <t>source</t>
        </is>
      </c>
      <c r="B966"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967">
      <c r="A967" t="inlineStr">
        <is>
          <t>comment</t>
        </is>
      </c>
      <c r="B967" t="inlineStr">
        <is>
          <t>SILICON IGBT DIE FABRICATION BOUNDARY, 2026-10-19. The selected FF300R12KT4 silicon IGBT module previously bought 1 g raw electronic-grade silicon without wafer fabrication. Replace only that die feed with the native GLO market for wafer, fabricated, for integrated circuit at 0.001/(2330*270e-6) = 0.00158957240502 square meter per module. This purchases FEOL/BEOL chemistry, process gases, lithography, doping, cleanroom utilities, upstream raw wafer and native fabrication yields once. No second complete module or packaged IC is purchased. Preserve every other module input, the 340 g unit, all consumer quantities, bulk ownership, lifetimes and EOL. The 1 g die mass is the EXISTING geometry assumption, not a newly recovered manufacturer BOM; 270 micrometres matches the native electronic wafer thickness, not a claim about this thinned IGBT4 die. A historical generic silicon IC fab is a process proxy for a power IGBT, not an exact qualified IGBT recipe. Illustrative 100/270/400 um thickness sensitivity is reported; it is not a measured distribution. The published PELCA IGBT model (https://doi.org/10.3390/su18052663) confirms why raw-wafer, device-processing and cleanroom boundaries are needed; its different 750 V ultrathin design is not silently copied as this 1200 V IGBT4. Manufacturer identity: https://www.infineon.com/part/FF300R12KT4 . Unknown module composition, actual die dimensions and power-device fabrication remain design sensitivities; this corrects an omitted manufacturing boundary without inventing new metal fractions. Actual SiC devices remain separate. Existing supplemental workbook only; no runtime, native, mapping or primary/secondary-share changes.
PREVIOUS NOTES (retained as history; the correction above takes precedence):
SILICON IGBT MODULE IDENTITY CORRECTION, 2026-10-19. The selected FF300R12KT4 reference is an Infineon TRENCHSTOP IGBT4 silicon half-bridge with emitter-controlled antiparallel diodes, not a SiC MOSFET module. Manufacturer: https://www.infineon.com/part/FF300R12KT4 ; datasheet https://www.infineon.com/assets/row/public/documents/non-assigned/49/infineon-ff300r12kt4-datasheet-en.pdf . Correct the activity, reference product, production exchange and all purchases in this workbook to IGBT half-bridge module. Preserve the same selected part, 1200 V/300 A ratings, 340 g declared piece, every material and process quantity, purchase count, lifetime and end-of-life allocation. This repairs a misleading label introduced by the earlier nomenclature revision; it does not change the physical design or turn the silicon feed into a fabricated die. The separate die-fabrication, geometry, unknown-composition and industrial-duty limitations remain open. Real SiC TO-247 switches and the separate SiC module reference are unchanged. No native, runtime or YAML edits.
PREVIOUS NOTES (retained as history; the correction above takes precedence):
Nomenclature revision, 2026-10-19. Former activity name: Electrolyzer auxiliary drive 1200V300A half-bridge, module geometry reference. Former reference product: Electrolyzer auxiliary drive 1200V300A half-bridge, module geometry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Componentreference:InfineonIMW120R045M1 MCDMA00164188205April2021 andIMW65R048M1H MCDMA00540015111Dec2019,PG-TO247-3-41,6047.69/6047.25mg. Fullmgconstituentledgers={'1200V': {'SiC': 4.941, 'P': 1.192, 'steel': 3.972, 'Cu': 3967.074, 'Al': 4.257, 'carbon': 20.032, 'epoxy': 380.613, 'silica': 1602.58, 'Sn': 33.233, 'Ni': 29.065, 'Sb': 0.209, 'Ag': 0.523}, '650V': {'SiC': 2.646, 'P': 1.192, 'steel': 3.972, 'Cu': 3967.074, 'Al': 5.601, 'carbon': 20.046, 'epoxy': 380.868, 'silica': 1603.657, 'Sn': 32.692, 'Ni': 29.065, 'Sb': 0.126, 'Ag': 0.314}}. Ledgerrounding0.001/0.003mgnotarbitrarilyrenormalized. Source https://www.infineon.com/assets/row/public/documents/60/71/infineon-ma001641882-materialcontentsheet-en.pdf and https://www.infineon.com/assets/row/public/documents/24/71/infineon-ma005400151-materialcontentsheet-en.pdf . These3pinpackagesarematerialanalogues,notpin-compatibleclaimforTI4pinWolfspeedBOM. SiCpowderfeedisnotqualifiedepitaxy/waferfabrication;processyield/energy/purity remain gaps.1kWh/kgpackageassemblyreferenceadded,notfullICTchipproxy. FF300R12KT4 datasheet340g,1200V300Ahalfbridge,Cu baseplate,Al2O3isolation; https://www.infineon.com/assets/row/public/documents/60/49/infineon-ff300r12kt4-ds-en.pdf . ManufacturerfullMCDnotrecovered. ModulematerialinventoryisGEOMETRYENGINEERINGESTIMATE,notmanufacturerdeclaration. Assumedgrossbaseplate106.4x61.4x2.5mm,DBC35cm2with0.6mmCuand0.63mmAl2O3,25gCu terminals,45cm3PAhousing,25cm3siliconegel,1gSi,0.5gAlwire,4gSACsolder,10gsteel;geometry={'baseplate_length_m': 0.1064, 'baseplate_width_m': 0.0614, 'baseplate_thickness_m': 0.0025, 'DBC_area_m2': 0.0035, 'DBC_Cu_total_thickness_m': 0.0006, 'ceramic_thickness_m': 0.00063, 'Cu_density_kg_m3': 8960, 'alumina_density_kg_m3': 3900};knownmodulekg={'Cu': 0.190154304, 'alumina': 0.0085995, 'PA': 0.051300000000000005, 'silicone': 0.02425, 'Si': 0.001, 'Al': 0.0005, 'solder': 0.004, 'steel': 0.01};unresolvedmodulemass=0.050196196000000026kg. Exteriorfootprintusedasbaseplatearea isproxy;holes/recessesandrealplate thicknessunknown.Sensitivitybaseplate2-3mm,terminalCu15-35g,unresolvedcompositionnotzeroAu/Ni/Ag. FeedgradeSi/Al2O3/siliconesareproxies;diearea/doping/waferyieldunverified. Noextracompletemoduleinventoryon topofingredients.</t>
        </is>
      </c>
    </row>
    <row r="968">
      <c r="A968" t="inlineStr">
        <is>
          <t>Exchanges</t>
        </is>
      </c>
    </row>
    <row r="969">
      <c r="A969" t="inlineStr">
        <is>
          <t>name</t>
        </is>
      </c>
      <c r="B969" t="inlineStr">
        <is>
          <t>amount</t>
        </is>
      </c>
      <c r="C969" t="inlineStr">
        <is>
          <t>location</t>
        </is>
      </c>
      <c r="D969" t="inlineStr">
        <is>
          <t>unit</t>
        </is>
      </c>
      <c r="E969" t="inlineStr">
        <is>
          <t>categories</t>
        </is>
      </c>
      <c r="F969" t="inlineStr">
        <is>
          <t>type</t>
        </is>
      </c>
      <c r="G969" t="inlineStr">
        <is>
          <t>reference product</t>
        </is>
      </c>
      <c r="H969" t="inlineStr">
        <is>
          <t>comment</t>
        </is>
      </c>
      <c r="I969" t="inlineStr">
        <is>
          <t>product</t>
        </is>
      </c>
    </row>
    <row r="970">
      <c r="A970" t="inlineStr">
        <is>
          <t>IGBT half-bridge module production, electrolysis motor drive, 1200 V, 300 A</t>
        </is>
      </c>
      <c r="B970">
        <v>1</v>
      </c>
      <c r="C970" t="inlineStr">
        <is>
          <t>GLO</t>
        </is>
      </c>
      <c r="D970" t="inlineStr">
        <is>
          <t>unit</t>
        </is>
      </c>
      <c r="F970" t="inlineStr">
        <is>
          <t>production</t>
        </is>
      </c>
      <c r="G970" t="inlineStr">
        <is>
          <t>IGBT half-bridge module, electrolysis motor drive, 1200 V, 300 A</t>
        </is>
      </c>
      <c r="I970" t="inlineStr">
        <is>
          <t>IGBT half-bridge module, electrolysis motor drive, 1200 V, 300 A</t>
        </is>
      </c>
    </row>
    <row r="971">
      <c r="A971" t="inlineStr">
        <is>
          <t>market for copper, cathode</t>
        </is>
      </c>
      <c r="B971">
        <v>0.190154304</v>
      </c>
      <c r="C971" t="inlineStr">
        <is>
          <t>GLO</t>
        </is>
      </c>
      <c r="D971" t="inlineStr">
        <is>
          <t>kilogram</t>
        </is>
      </c>
      <c r="F971" t="inlineStr">
        <is>
          <t>technosphere</t>
        </is>
      </c>
      <c r="G971" t="inlineStr">
        <is>
          <t>copper, cathode</t>
        </is>
      </c>
      <c r="I971" t="inlineStr">
        <is>
          <t>copper, cathode</t>
        </is>
      </c>
    </row>
    <row r="972">
      <c r="A972" t="inlineStr">
        <is>
          <t>market for aluminium oxide, non-metallurgical</t>
        </is>
      </c>
      <c r="B972">
        <v>0.0085995</v>
      </c>
      <c r="C972" t="inlineStr">
        <is>
          <t>RoW</t>
        </is>
      </c>
      <c r="D972" t="inlineStr">
        <is>
          <t>kilogram</t>
        </is>
      </c>
      <c r="F972" t="inlineStr">
        <is>
          <t>technosphere</t>
        </is>
      </c>
      <c r="G972" t="inlineStr">
        <is>
          <t>aluminium oxide, non-metallurgical</t>
        </is>
      </c>
      <c r="I972" t="inlineStr">
        <is>
          <t>aluminium oxide, non-metallurgical</t>
        </is>
      </c>
    </row>
    <row r="973">
      <c r="A973" t="inlineStr">
        <is>
          <t>market for nylon 6-6</t>
        </is>
      </c>
      <c r="B973">
        <v>0.051300000000000005</v>
      </c>
      <c r="C973" t="inlineStr">
        <is>
          <t>RER</t>
        </is>
      </c>
      <c r="D973" t="inlineStr">
        <is>
          <t>kilogram</t>
        </is>
      </c>
      <c r="F973" t="inlineStr">
        <is>
          <t>technosphere</t>
        </is>
      </c>
      <c r="G973" t="inlineStr">
        <is>
          <t>nylon 6-6</t>
        </is>
      </c>
      <c r="I973" t="inlineStr">
        <is>
          <t>nylon 6-6</t>
        </is>
      </c>
    </row>
    <row r="974">
      <c r="A974" t="inlineStr">
        <is>
          <t>market for silicone product</t>
        </is>
      </c>
      <c r="B974">
        <v>0.02425</v>
      </c>
      <c r="C974" t="inlineStr">
        <is>
          <t>RER</t>
        </is>
      </c>
      <c r="D974" t="inlineStr">
        <is>
          <t>kilogram</t>
        </is>
      </c>
      <c r="F974" t="inlineStr">
        <is>
          <t>technosphere</t>
        </is>
      </c>
      <c r="G974" t="inlineStr">
        <is>
          <t>silicone product</t>
        </is>
      </c>
      <c r="I974" t="inlineStr">
        <is>
          <t>silicone product</t>
        </is>
      </c>
    </row>
    <row r="975">
      <c r="A975" t="inlineStr">
        <is>
          <t>market for wafer, fabricated, for integrated circuit</t>
        </is>
      </c>
      <c r="B975">
        <v>0.0015895724050230488</v>
      </c>
      <c r="C975" t="inlineStr">
        <is>
          <t>GLO</t>
        </is>
      </c>
      <c r="D975" t="inlineStr">
        <is>
          <t>square meter</t>
        </is>
      </c>
      <c r="F975" t="inlineStr">
        <is>
          <t>technosphere</t>
        </is>
      </c>
      <c r="G975" t="inlineStr">
        <is>
          <t>wafer, fabricated, for integrated circuit</t>
        </is>
      </c>
      <c r="H975" t="inlineStr">
        <is>
          <t>SILICON IGBT DIE FABRICATION BOUNDARY, 2026-10-19. The selected FF300R12KT4 silicon IGBT module previously bought 1 g raw electronic-grade silicon without wafer fabrication. Replace only that die feed with the native GLO market for wafer, fabricated, for integrated circuit at 0.001/(2330*270e-6) = 0.00158957240502 square meter per module. This purchases FEOL/BEOL chemistry, process gases, lithography, doping, cleanroom utilities, upstream raw wafer and native fabrication yields once. No second complete module or packaged IC is purchased. Preserve every other module input, the 340 g unit, all consumer quantities, bulk ownership, lifetimes and EOL. The 1 g die mass is the EXISTING geometry assumption, not a newly recovered manufacturer BOM; 270 micrometres matches the native electronic wafer thickness, not a claim about this thinned IGBT4 die. A historical generic silicon IC fab is a process proxy for a power IGBT, not an exact qualified IGBT recipe. Illustrative 100/270/400 um thickness sensitivity is reported; it is not a measured distribution. The published PELCA IGBT model (https://doi.org/10.3390/su18052663) confirms why raw-wafer, device-processing and cleanroom boundaries are needed; its different 750 V ultrathin design is not silently copied as this 1200 V IGBT4. Manufacturer identity: https://www.infineon.com/part/FF300R12KT4 . Unknown module composition, actual die dimensions and power-device fabrication remain design sensitivities; this corrects an omitted manufacturing boundary without inventing new metal fractions. Actual SiC devices remain separate. Existing supplemental workbook only; no runtime, native, mapping or primary/secondary-share changes.</t>
        </is>
      </c>
      <c r="I975" t="inlineStr">
        <is>
          <t>wafer, fabricated, for integrated circuit</t>
        </is>
      </c>
    </row>
    <row r="976">
      <c r="A976" t="inlineStr">
        <is>
          <t>market for aluminium, primary, ingot</t>
        </is>
      </c>
      <c r="B976">
        <v>0.0005</v>
      </c>
      <c r="C976" t="inlineStr">
        <is>
          <t>RoW</t>
        </is>
      </c>
      <c r="D976" t="inlineStr">
        <is>
          <t>kilogram</t>
        </is>
      </c>
      <c r="F976" t="inlineStr">
        <is>
          <t>technosphere</t>
        </is>
      </c>
      <c r="G976" t="inlineStr">
        <is>
          <t>aluminium, primary, ingot</t>
        </is>
      </c>
      <c r="I976" t="inlineStr">
        <is>
          <t>aluminium, primary, ingot</t>
        </is>
      </c>
    </row>
    <row r="977">
      <c r="A977" t="inlineStr">
        <is>
          <t>market for solder, bar, Sn95.5Ag3.9Cu0.6, for electronics industry</t>
        </is>
      </c>
      <c r="B977">
        <v>0.004</v>
      </c>
      <c r="C977" t="inlineStr">
        <is>
          <t>GLO</t>
        </is>
      </c>
      <c r="D977" t="inlineStr">
        <is>
          <t>kilogram</t>
        </is>
      </c>
      <c r="F977" t="inlineStr">
        <is>
          <t>technosphere</t>
        </is>
      </c>
      <c r="G977" t="inlineStr">
        <is>
          <t>solder, bar, Sn95.5Ag3.9Cu0.6, for electronics industry</t>
        </is>
      </c>
      <c r="I977" t="inlineStr">
        <is>
          <t>solder, bar, Sn95.5Ag3.9Cu0.6, for electronics industry</t>
        </is>
      </c>
    </row>
    <row r="978">
      <c r="A978" t="inlineStr">
        <is>
          <t>market for steel, low-alloyed</t>
        </is>
      </c>
      <c r="B978">
        <v>0.01</v>
      </c>
      <c r="C978" t="inlineStr">
        <is>
          <t>GLO</t>
        </is>
      </c>
      <c r="D978" t="inlineStr">
        <is>
          <t>kilogram</t>
        </is>
      </c>
      <c r="F978" t="inlineStr">
        <is>
          <t>technosphere</t>
        </is>
      </c>
      <c r="G978" t="inlineStr">
        <is>
          <t>steel, low-alloyed</t>
        </is>
      </c>
      <c r="I978" t="inlineStr">
        <is>
          <t>steel, low-alloyed</t>
        </is>
      </c>
    </row>
    <row r="979">
      <c r="A979" t="inlineStr">
        <is>
          <t>market group for electricity, medium voltage</t>
        </is>
      </c>
      <c r="B979">
        <v>0.34</v>
      </c>
      <c r="C979" t="inlineStr">
        <is>
          <t>GLO</t>
        </is>
      </c>
      <c r="D979" t="inlineStr">
        <is>
          <t>kilowatt hour</t>
        </is>
      </c>
      <c r="F979" t="inlineStr">
        <is>
          <t>technosphere</t>
        </is>
      </c>
      <c r="G979" t="inlineStr">
        <is>
          <t>electricity, medium voltage</t>
        </is>
      </c>
      <c r="I979" t="inlineStr">
        <is>
          <t>electricity, medium voltage</t>
        </is>
      </c>
    </row>
    <row r="982">
      <c r="A982" t="inlineStr">
        <is>
          <t>Activity</t>
        </is>
      </c>
      <c r="B982" t="inlineStr">
        <is>
          <t xml:space="preserve">motor drive production, industrial, 75 kW</t>
        </is>
      </c>
    </row>
    <row r="983">
      <c r="A983" t="inlineStr">
        <is>
          <t>location</t>
        </is>
      </c>
      <c r="B983" t="inlineStr">
        <is>
          <t>GLO</t>
        </is>
      </c>
    </row>
    <row r="984">
      <c r="A984" t="inlineStr">
        <is>
          <t>production amount</t>
        </is>
      </c>
      <c r="B984">
        <v>1</v>
      </c>
    </row>
    <row r="985">
      <c r="A985" t="inlineStr">
        <is>
          <t>reference product</t>
        </is>
      </c>
      <c r="B985" t="inlineStr">
        <is>
          <t xml:space="preserve">motor drive, industrial, 75 kW</t>
        </is>
      </c>
    </row>
    <row r="986">
      <c r="A986" t="inlineStr">
        <is>
          <t>unit</t>
        </is>
      </c>
      <c r="B986" t="inlineStr">
        <is>
          <t>unit</t>
        </is>
      </c>
    </row>
    <row r="987">
      <c r="A987" t="inlineStr">
        <is>
          <t>source</t>
        </is>
      </c>
      <c r="B987"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988">
      <c r="A988" t="inlineStr">
        <is>
          <t>comment</t>
        </is>
      </c>
      <c r="B988" t="inlineStr">
        <is>
          <t xml:space="preserve">Nomenclature revision, 2026-10-19. Former activity name: industrial motor drive, 75kW auxiliary reference. Former reference product: industrial motor drive, 75kW auxiliary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Componentreference:InfineonIMW120R045M1 MCDMA00164188205April2021 andIMW65R048M1H MCDMA00540015111Dec2019,PG-TO247-3-41,6047.69/6047.25mg. Fullmgconstituentledgers={'1200V': {'SiC': 4.941, 'P': 1.192, 'steel': 3.972, 'Cu': 3967.074, 'Al': 4.257, 'carbon': 20.032, 'epoxy': 380.613, 'silica': 1602.58, 'Sn': 33.233, 'Ni': 29.065, 'Sb': 0.209, 'Ag': 0.523}, '650V': {'SiC': 2.646, 'P': 1.192, 'steel': 3.972, 'Cu': 3967.074, 'Al': 5.601, 'carbon': 20.046, 'epoxy': 380.868, 'silica': 1603.657, 'Sn': 32.692, 'Ni': 29.065, 'Sb': 0.126, 'Ag': 0.314}}. Ledgerrounding0.001/0.003mgnotarbitrarilyrenormalized. Source https://www.infineon.com/assets/row/public/documents/60/71/infineon-ma001641882-materialcontentsheet-en.pdf and https://www.infineon.com/assets/row/public/documents/24/71/infineon-ma005400151-materialcontentsheet-en.pdf . These3pinpackagesarematerialanalogues,notpin-compatibleclaimforTI4pinWolfspeedBOM. SiCpowderfeedisnotqualifiedepitaxy/waferfabrication;processyield/energy/purity remain gaps.1kWh/kgpackageassemblyreferenceadded,notfullICTchipproxy. FF300R12KT4 datasheet340g,1200V300Ahalfbridge,Cu baseplate,Al2O3isolation; https://www.infineon.com/assets/row/public/documents/60/49/infineon-ff300r12kt4-ds-en.pdf . ManufacturerfullMCDnotrecovered. ModulematerialinventoryisGEOMETRYENGINEERINGESTIMATE,notmanufacturerdeclaration. Assumedgrossbaseplate106.4x61.4x2.5mm,DBC35cm2with0.6mmCuand0.63mmAl2O3,25gCu terminals,45cm3PAhousing,25cm3siliconegel,1gSi,0.5gAlwire,4gSACsolder,10gsteel;geometry={'baseplate_length_m': 0.1064, 'baseplate_width_m': 0.0614, 'baseplate_thickness_m': 0.0025, 'DBC_area_m2': 0.0035, 'DBC_Cu_total_thickness_m': 0.0006, 'ceramic_thickness_m': 0.00063, 'Cu_density_kg_m3': 8960, 'alumina_density_kg_m3': 3900};knownmodulekg={'Cu': 0.190154304, 'alumina': 0.0085995, 'PA': 0.051300000000000005, 'silicone': 0.02425, 'Si': 0.001, 'Al': 0.0005, 'solder': 0.004, 'steel': 0.01};unresolvedmodulemass=0.050196196000000026kg. Exteriorfootprintusedasbaseplatearea isproxy;holes/recessesandrealplate thicknessunknown.Sensitivitybaseplate2-3mm,terminalCu15-35g,unresolvedcompositionnotzeroAu/Ni/Ag. FeedgradeSi/Al2O3/siliconesareproxies;diearea/doping/waferyieldunverified. Noextracompletemoduleinventoryon topofingredients. Thisframe:installedmass=41.2016kg;EPDbulkledger={'steel': 21.069, 'Al': 6.74208, 'Cu': 3.37104, 'PC': 2.4814599999999998, 'ABS': 1.73234, 'electronics': 3.60514};unresolvedotherelectronics=0.11513999999999995kg;unresolvedtotaloutsidepackage=2.3156800000000035kg,pluscomponentmoduleunknownwhereapplicable. Packagingpaperusescorrugated-boxproxy,EPPusesPPresinwithoutverifiedfoamprocessing,SEBSusesgeneric syntheticrubberproxywithunvalidatedhydrogenation/grade,PCusesRoWproductionproxytoavoidunsupportedpre3.10regionalmarket.1kWh/driveon-siteassemblyallowanceassumed,notEPDmeasuredenergy.</t>
        </is>
      </c>
    </row>
    <row r="989">
      <c r="A989" t="inlineStr">
        <is>
          <t>Exchanges</t>
        </is>
      </c>
    </row>
    <row r="990">
      <c r="A990" t="inlineStr">
        <is>
          <t>name</t>
        </is>
      </c>
      <c r="B990" t="inlineStr">
        <is>
          <t>amount</t>
        </is>
      </c>
      <c r="C990" t="inlineStr">
        <is>
          <t>location</t>
        </is>
      </c>
      <c r="D990" t="inlineStr">
        <is>
          <t>unit</t>
        </is>
      </c>
      <c r="E990" t="inlineStr">
        <is>
          <t>categories</t>
        </is>
      </c>
      <c r="F990" t="inlineStr">
        <is>
          <t>type</t>
        </is>
      </c>
      <c r="G990" t="inlineStr">
        <is>
          <t>reference product</t>
        </is>
      </c>
      <c r="H990" t="inlineStr">
        <is>
          <t>comment</t>
        </is>
      </c>
      <c r="I990" t="inlineStr">
        <is>
          <t>product</t>
        </is>
      </c>
    </row>
    <row r="991">
      <c r="A991" t="inlineStr">
        <is>
          <t xml:space="preserve">motor drive production, industrial, 75 kW</t>
        </is>
      </c>
      <c r="B991">
        <v>1</v>
      </c>
      <c r="C991" t="inlineStr">
        <is>
          <t>GLO</t>
        </is>
      </c>
      <c r="D991" t="inlineStr">
        <is>
          <t>unit</t>
        </is>
      </c>
      <c r="F991" t="inlineStr">
        <is>
          <t>production</t>
        </is>
      </c>
      <c r="G991" t="inlineStr">
        <is>
          <t xml:space="preserve">motor drive, industrial, 75 kW</t>
        </is>
      </c>
      <c r="I991" t="inlineStr">
        <is>
          <t xml:space="preserve">motor drive, industrial, 75 kW</t>
        </is>
      </c>
    </row>
    <row r="992">
      <c r="A992" t="inlineStr">
        <is>
          <t>market for steel, low-alloyed</t>
        </is>
      </c>
      <c r="B992">
        <v>21.069</v>
      </c>
      <c r="C992" t="inlineStr">
        <is>
          <t>GLO</t>
        </is>
      </c>
      <c r="D992" t="inlineStr">
        <is>
          <t>kilogram</t>
        </is>
      </c>
      <c r="F992" t="inlineStr">
        <is>
          <t>technosphere</t>
        </is>
      </c>
      <c r="G992" t="inlineStr">
        <is>
          <t>steel, low-alloyed</t>
        </is>
      </c>
      <c r="I992" t="inlineStr">
        <is>
          <t>steel, low-alloyed</t>
        </is>
      </c>
    </row>
    <row r="993">
      <c r="A993" t="inlineStr">
        <is>
          <t>market for aluminium, wrought alloy</t>
        </is>
      </c>
      <c r="B993">
        <v>6.74208</v>
      </c>
      <c r="C993" t="inlineStr">
        <is>
          <t>GLO</t>
        </is>
      </c>
      <c r="D993" t="inlineStr">
        <is>
          <t>kilogram</t>
        </is>
      </c>
      <c r="F993" t="inlineStr">
        <is>
          <t>technosphere</t>
        </is>
      </c>
      <c r="G993" t="inlineStr">
        <is>
          <t>aluminium, wrought alloy</t>
        </is>
      </c>
      <c r="I993" t="inlineStr">
        <is>
          <t>aluminium, wrought alloy</t>
        </is>
      </c>
    </row>
    <row r="994">
      <c r="A994" t="inlineStr">
        <is>
          <t>market for copper, cathode</t>
        </is>
      </c>
      <c r="B994">
        <v>3.37104</v>
      </c>
      <c r="C994" t="inlineStr">
        <is>
          <t>GLO</t>
        </is>
      </c>
      <c r="D994" t="inlineStr">
        <is>
          <t>kilogram</t>
        </is>
      </c>
      <c r="F994" t="inlineStr">
        <is>
          <t>technosphere</t>
        </is>
      </c>
      <c r="G994" t="inlineStr">
        <is>
          <t>copper, cathode</t>
        </is>
      </c>
      <c r="I994" t="inlineStr">
        <is>
          <t>copper, cathode</t>
        </is>
      </c>
    </row>
    <row r="995">
      <c r="A995" t="inlineStr">
        <is>
          <t>polycarbonate production</t>
        </is>
      </c>
      <c r="B995">
        <v>2.4814599999999998</v>
      </c>
      <c r="C995" t="inlineStr">
        <is>
          <t>RoW</t>
        </is>
      </c>
      <c r="D995" t="inlineStr">
        <is>
          <t>kilogram</t>
        </is>
      </c>
      <c r="F995" t="inlineStr">
        <is>
          <t>technosphere</t>
        </is>
      </c>
      <c r="G995" t="inlineStr">
        <is>
          <t>polycarbonate</t>
        </is>
      </c>
      <c r="I995" t="inlineStr">
        <is>
          <t>polycarbonate</t>
        </is>
      </c>
    </row>
    <row r="996">
      <c r="A996" t="inlineStr">
        <is>
          <t>market for acrylonitrile-butadiene-styrene copolymer</t>
        </is>
      </c>
      <c r="B996">
        <v>1.73234</v>
      </c>
      <c r="C996" t="inlineStr">
        <is>
          <t>GLO</t>
        </is>
      </c>
      <c r="D996" t="inlineStr">
        <is>
          <t>kilogram</t>
        </is>
      </c>
      <c r="F996" t="inlineStr">
        <is>
          <t>technosphere</t>
        </is>
      </c>
      <c r="G996" t="inlineStr">
        <is>
          <t>acrylonitrile-butadiene-styrene copolymer</t>
        </is>
      </c>
      <c r="I996" t="inlineStr">
        <is>
          <t>acrylonitrile-butadiene-styrene copolymer</t>
        </is>
      </c>
    </row>
    <row r="997">
      <c r="A997" t="inlineStr">
        <is>
          <t>IGBT half-bridge module production, electrolysis motor drive, 1200 V, 300 A</t>
        </is>
      </c>
      <c r="B997">
        <v>6</v>
      </c>
      <c r="C997" t="inlineStr">
        <is>
          <t>GLO</t>
        </is>
      </c>
      <c r="D997" t="inlineStr">
        <is>
          <t>unit</t>
        </is>
      </c>
      <c r="F997" t="inlineStr">
        <is>
          <t>technosphere</t>
        </is>
      </c>
      <c r="G997" t="inlineStr">
        <is>
          <t>IGBT half-bridge module, electrolysis motor drive, 1200 V, 300 A</t>
        </is>
      </c>
      <c r="I997" t="inlineStr">
        <is>
          <t>IGBT half-bridge module, electrolysis motor drive, 1200 V, 300 A</t>
        </is>
      </c>
    </row>
    <row r="998">
      <c r="A998" t="inlineStr">
        <is>
          <t>market for printed wiring board, surface mounted, unspecified, Pb free</t>
        </is>
      </c>
      <c r="B998">
        <v>0.75</v>
      </c>
      <c r="C998" t="inlineStr">
        <is>
          <t>GLO</t>
        </is>
      </c>
      <c r="D998" t="inlineStr">
        <is>
          <t>kilogram</t>
        </is>
      </c>
      <c r="F998" t="inlineStr">
        <is>
          <t>technosphere</t>
        </is>
      </c>
      <c r="G998" t="inlineStr">
        <is>
          <t>printed wiring board, surface mounted, unspecified, Pb free</t>
        </is>
      </c>
      <c r="I998" t="inlineStr">
        <is>
          <t>printed wiring board, surface mounted, unspecified, Pb free</t>
        </is>
      </c>
    </row>
    <row r="999">
      <c r="A999" t="inlineStr">
        <is>
          <t>market for capacitor, film type, for through-hole mounting</t>
        </is>
      </c>
      <c r="B999">
        <v>0.65</v>
      </c>
      <c r="C999" t="inlineStr">
        <is>
          <t>GLO</t>
        </is>
      </c>
      <c r="D999" t="inlineStr">
        <is>
          <t>kilogram</t>
        </is>
      </c>
      <c r="F999" t="inlineStr">
        <is>
          <t>technosphere</t>
        </is>
      </c>
      <c r="G999" t="inlineStr">
        <is>
          <t>capacitor, film type, for through-hole mounting</t>
        </is>
      </c>
      <c r="I999" t="inlineStr">
        <is>
          <t>capacitor, film type, for through-hole mounting</t>
        </is>
      </c>
    </row>
    <row r="1000">
      <c r="A1000" t="inlineStr">
        <is>
          <t>market for fan, for power supply unit, desktop computer</t>
        </is>
      </c>
      <c r="B1000">
        <v>0.05</v>
      </c>
      <c r="C1000" t="inlineStr">
        <is>
          <t>GLO</t>
        </is>
      </c>
      <c r="D1000" t="inlineStr">
        <is>
          <t>kilogram</t>
        </is>
      </c>
      <c r="F1000" t="inlineStr">
        <is>
          <t>technosphere</t>
        </is>
      </c>
      <c r="G1000" t="inlineStr">
        <is>
          <t>fan, for power supply unit, desktop computer</t>
        </is>
      </c>
      <c r="I1000" t="inlineStr">
        <is>
          <t>fan, for power supply unit, desktop computer</t>
        </is>
      </c>
    </row>
    <row r="1001">
      <c r="A1001" t="inlineStr">
        <is>
          <t>market group for electricity, medium voltage</t>
        </is>
      </c>
      <c r="B1001">
        <v>1</v>
      </c>
      <c r="C1001" t="inlineStr">
        <is>
          <t>GLO</t>
        </is>
      </c>
      <c r="D1001" t="inlineStr">
        <is>
          <t>kilowatt hour</t>
        </is>
      </c>
      <c r="F1001" t="inlineStr">
        <is>
          <t>technosphere</t>
        </is>
      </c>
      <c r="G1001" t="inlineStr">
        <is>
          <t>electricity, medium voltage</t>
        </is>
      </c>
      <c r="I1001" t="inlineStr">
        <is>
          <t>electricity, medium voltage</t>
        </is>
      </c>
    </row>
    <row r="1002">
      <c r="A1002" t="inlineStr">
        <is>
          <t>market for sawnwood, board, softwood, raw, dried (u=10%)</t>
        </is>
      </c>
      <c r="B1002">
        <v>0.010019479999999999</v>
      </c>
      <c r="C1002" t="inlineStr">
        <is>
          <t>Europe without Switzerland</t>
        </is>
      </c>
      <c r="D1002" t="inlineStr">
        <is>
          <t>cubic meter</t>
        </is>
      </c>
      <c r="F1002" t="inlineStr">
        <is>
          <t>technosphere</t>
        </is>
      </c>
      <c r="G1002" t="inlineStr">
        <is>
          <t>sawnwood, board, softwood, raw, dried (u=10%)</t>
        </is>
      </c>
      <c r="I1002" t="inlineStr">
        <is>
          <t>sawnwood, board, softwood, raw, dried (u=10%)</t>
        </is>
      </c>
    </row>
    <row r="1003">
      <c r="A1003" t="inlineStr">
        <is>
          <t>market for waste wood, untreated</t>
        </is>
      </c>
      <c r="B1003">
        <v>-5.00974</v>
      </c>
      <c r="C1003" t="inlineStr">
        <is>
          <t>RoW</t>
        </is>
      </c>
      <c r="D1003" t="inlineStr">
        <is>
          <t>kilogram</t>
        </is>
      </c>
      <c r="F1003" t="inlineStr">
        <is>
          <t>technosphere</t>
        </is>
      </c>
      <c r="G1003" t="inlineStr">
        <is>
          <t>waste wood, untreated</t>
        </is>
      </c>
      <c r="I1003" t="inlineStr">
        <is>
          <t>waste wood, untreated</t>
        </is>
      </c>
    </row>
    <row r="1004">
      <c r="A1004" t="inlineStr">
        <is>
          <t>market for corrugated board box</t>
        </is>
      </c>
      <c r="B1004">
        <v>0.60866</v>
      </c>
      <c r="C1004" t="inlineStr">
        <is>
          <t>RER</t>
        </is>
      </c>
      <c r="D1004" t="inlineStr">
        <is>
          <t>kilogram</t>
        </is>
      </c>
      <c r="F1004" t="inlineStr">
        <is>
          <t>technosphere</t>
        </is>
      </c>
      <c r="G1004" t="inlineStr">
        <is>
          <t>corrugated board box</t>
        </is>
      </c>
      <c r="I1004" t="inlineStr">
        <is>
          <t>corrugated board box</t>
        </is>
      </c>
    </row>
    <row r="1005">
      <c r="A1005" t="inlineStr">
        <is>
          <t>market for waste paperboard</t>
        </is>
      </c>
      <c r="B1005">
        <v>-0.60866</v>
      </c>
      <c r="C1005" t="inlineStr">
        <is>
          <t>RoW</t>
        </is>
      </c>
      <c r="D1005" t="inlineStr">
        <is>
          <t>kilogram</t>
        </is>
      </c>
      <c r="F1005" t="inlineStr">
        <is>
          <t>technosphere</t>
        </is>
      </c>
      <c r="G1005" t="inlineStr">
        <is>
          <t>waste paperboard</t>
        </is>
      </c>
      <c r="I1005" t="inlineStr">
        <is>
          <t>waste paperboard</t>
        </is>
      </c>
    </row>
    <row r="1008">
      <c r="A1008" t="inlineStr">
        <is>
          <t>Activity</t>
        </is>
      </c>
      <c r="B1008" t="inlineStr">
        <is>
          <t xml:space="preserve">motor drive production, industrial, 15 kW</t>
        </is>
      </c>
    </row>
    <row r="1009">
      <c r="A1009" t="inlineStr">
        <is>
          <t>location</t>
        </is>
      </c>
      <c r="B1009" t="inlineStr">
        <is>
          <t>GLO</t>
        </is>
      </c>
    </row>
    <row r="1010">
      <c r="A1010" t="inlineStr">
        <is>
          <t>production amount</t>
        </is>
      </c>
      <c r="B1010">
        <v>1</v>
      </c>
    </row>
    <row r="1011">
      <c r="A1011" t="inlineStr">
        <is>
          <t>reference product</t>
        </is>
      </c>
      <c r="B1011" t="inlineStr">
        <is>
          <t xml:space="preserve">motor drive, industrial, 15 kW</t>
        </is>
      </c>
    </row>
    <row r="1012">
      <c r="A1012" t="inlineStr">
        <is>
          <t>unit</t>
        </is>
      </c>
      <c r="B1012" t="inlineStr">
        <is>
          <t>unit</t>
        </is>
      </c>
    </row>
    <row r="1013">
      <c r="A1013" t="inlineStr">
        <is>
          <t>source</t>
        </is>
      </c>
      <c r="B1013"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014">
      <c r="A1014" t="inlineStr">
        <is>
          <t>comment</t>
        </is>
      </c>
      <c r="B1014" t="inlineStr">
        <is>
          <t xml:space="preserve">Nomenclature revision, 2026-10-19. Former activity name: industrial motor drive, 15kW auxiliary reference. Former reference product: industrial motor drive, 15kW auxiliary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Componentreference:InfineonIMW120R045M1 MCDMA00164188205April2021 andIMW65R048M1H MCDMA00540015111Dec2019,PG-TO247-3-41,6047.69/6047.25mg. Fullmgconstituentledgers={'1200V': {'SiC': 4.941, 'P': 1.192, 'steel': 3.972, 'Cu': 3967.074, 'Al': 4.257, 'carbon': 20.032, 'epoxy': 380.613, 'silica': 1602.58, 'Sn': 33.233, 'Ni': 29.065, 'Sb': 0.209, 'Ag': 0.523}, '650V': {'SiC': 2.646, 'P': 1.192, 'steel': 3.972, 'Cu': 3967.074, 'Al': 5.601, 'carbon': 20.046, 'epoxy': 380.868, 'silica': 1603.657, 'Sn': 32.692, 'Ni': 29.065, 'Sb': 0.126, 'Ag': 0.314}}. Ledgerrounding0.001/0.003mgnotarbitrarilyrenormalized. Source https://www.infineon.com/assets/row/public/documents/60/71/infineon-ma001641882-materialcontentsheet-en.pdf and https://www.infineon.com/assets/row/public/documents/24/71/infineon-ma005400151-materialcontentsheet-en.pdf . These3pinpackagesarematerialanalogues,notpin-compatibleclaimforTI4pinWolfspeedBOM. SiCpowderfeedisnotqualifiedepitaxy/waferfabrication;processyield/energy/purity remain gaps.1kWh/kgpackageassemblyreferenceadded,notfullICTchipproxy. FF300R12KT4 datasheet340g,1200V300Ahalfbridge,Cu baseplate,Al2O3isolation; https://www.infineon.com/assets/row/public/documents/60/49/infineon-ff300r12kt4-ds-en.pdf . ManufacturerfullMCDnotrecovered. ModulematerialinventoryisGEOMETRYENGINEERINGESTIMATE,notmanufacturerdeclaration. Assumedgrossbaseplate106.4x61.4x2.5mm,DBC35cm2with0.6mmCuand0.63mmAl2O3,25gCu terminals,45cm3PAhousing,25cm3siliconegel,1gSi,0.5gAlwire,4gSACsolder,10gsteel;geometry={'baseplate_length_m': 0.1064, 'baseplate_width_m': 0.0614, 'baseplate_thickness_m': 0.0025, 'DBC_area_m2': 0.0035, 'DBC_Cu_total_thickness_m': 0.0006, 'ceramic_thickness_m': 0.00063, 'Cu_density_kg_m3': 8960, 'alumina_density_kg_m3': 3900};knownmodulekg={'Cu': 0.190154304, 'alumina': 0.0085995, 'PA': 0.051300000000000005, 'silicone': 0.02425, 'Si': 0.001, 'Al': 0.0005, 'solder': 0.004, 'steel': 0.01};unresolvedmodulemass=0.050196196000000026kg. Exteriorfootprintusedasbaseplatearea isproxy;holes/recessesandrealplate thicknessunknown.Sensitivitybaseplate2-3mm,terminalCu15-35g,unresolvedcompositionnotzeroAu/Ni/Ag. FeedgradeSi/Al2O3/siliconesareproxies;diearea/doping/waferyieldunverified. Noextracompletemoduleinventoryon topofingredients. Thisframe:installedmass=10.3292kg;EPDbulkledger={'steel': 2.3205, 'Al': 2.6299, 'PC': 2.2491, 'ABS': 0.6069, 'SEBS': 0.1071, 'electronics': 1.8683};unresolvedotherelectronics=0.14572770800000007kg;unresolvedtotaloutsidepackage=0.6931277079999998kg,pluscomponentmoduleunknownwhereapplicable. Packagingpaperusescorrugated-boxproxy,EPPusesPPresinwithoutverifiedfoamprocessing,SEBSusesgeneric syntheticrubberproxywithunvalidatedhydrogenation/grade,PCusesRoWproductionproxytoavoidunsupportedpre3.10regionalmarket.1kWh/driveon-siteassemblyallowanceassumed,notEPDmeasuredenergy.</t>
        </is>
      </c>
    </row>
    <row r="1015">
      <c r="A1015" t="inlineStr">
        <is>
          <t>Exchanges</t>
        </is>
      </c>
    </row>
    <row r="1016">
      <c r="A1016" t="inlineStr">
        <is>
          <t>name</t>
        </is>
      </c>
      <c r="B1016" t="inlineStr">
        <is>
          <t>amount</t>
        </is>
      </c>
      <c r="C1016" t="inlineStr">
        <is>
          <t>location</t>
        </is>
      </c>
      <c r="D1016" t="inlineStr">
        <is>
          <t>unit</t>
        </is>
      </c>
      <c r="E1016" t="inlineStr">
        <is>
          <t>categories</t>
        </is>
      </c>
      <c r="F1016" t="inlineStr">
        <is>
          <t>type</t>
        </is>
      </c>
      <c r="G1016" t="inlineStr">
        <is>
          <t>reference product</t>
        </is>
      </c>
      <c r="H1016" t="inlineStr">
        <is>
          <t>comment</t>
        </is>
      </c>
      <c r="I1016" t="inlineStr">
        <is>
          <t>product</t>
        </is>
      </c>
    </row>
    <row r="1017">
      <c r="A1017" t="inlineStr">
        <is>
          <t xml:space="preserve">motor drive production, industrial, 15 kW</t>
        </is>
      </c>
      <c r="B1017">
        <v>1</v>
      </c>
      <c r="C1017" t="inlineStr">
        <is>
          <t>GLO</t>
        </is>
      </c>
      <c r="D1017" t="inlineStr">
        <is>
          <t>unit</t>
        </is>
      </c>
      <c r="F1017" t="inlineStr">
        <is>
          <t>production</t>
        </is>
      </c>
      <c r="G1017" t="inlineStr">
        <is>
          <t xml:space="preserve">motor drive, industrial, 15 kW</t>
        </is>
      </c>
      <c r="I1017" t="inlineStr">
        <is>
          <t xml:space="preserve">motor drive, industrial, 15 kW</t>
        </is>
      </c>
    </row>
    <row r="1018">
      <c r="A1018" t="inlineStr">
        <is>
          <t>market for steel, low-alloyed</t>
        </is>
      </c>
      <c r="B1018">
        <v>2.3205</v>
      </c>
      <c r="C1018" t="inlineStr">
        <is>
          <t>GLO</t>
        </is>
      </c>
      <c r="D1018" t="inlineStr">
        <is>
          <t>kilogram</t>
        </is>
      </c>
      <c r="F1018" t="inlineStr">
        <is>
          <t>technosphere</t>
        </is>
      </c>
      <c r="G1018" t="inlineStr">
        <is>
          <t>steel, low-alloyed</t>
        </is>
      </c>
      <c r="I1018" t="inlineStr">
        <is>
          <t>steel, low-alloyed</t>
        </is>
      </c>
    </row>
    <row r="1019">
      <c r="A1019" t="inlineStr">
        <is>
          <t>market for aluminium, wrought alloy</t>
        </is>
      </c>
      <c r="B1019">
        <v>2.6299</v>
      </c>
      <c r="C1019" t="inlineStr">
        <is>
          <t>GLO</t>
        </is>
      </c>
      <c r="D1019" t="inlineStr">
        <is>
          <t>kilogram</t>
        </is>
      </c>
      <c r="F1019" t="inlineStr">
        <is>
          <t>technosphere</t>
        </is>
      </c>
      <c r="G1019" t="inlineStr">
        <is>
          <t>aluminium, wrought alloy</t>
        </is>
      </c>
      <c r="I1019" t="inlineStr">
        <is>
          <t>aluminium, wrought alloy</t>
        </is>
      </c>
    </row>
    <row r="1020">
      <c r="A1020" t="inlineStr">
        <is>
          <t>polycarbonate production</t>
        </is>
      </c>
      <c r="B1020">
        <v>2.2491</v>
      </c>
      <c r="C1020" t="inlineStr">
        <is>
          <t>RoW</t>
        </is>
      </c>
      <c r="D1020" t="inlineStr">
        <is>
          <t>kilogram</t>
        </is>
      </c>
      <c r="F1020" t="inlineStr">
        <is>
          <t>technosphere</t>
        </is>
      </c>
      <c r="G1020" t="inlineStr">
        <is>
          <t>polycarbonate</t>
        </is>
      </c>
      <c r="I1020" t="inlineStr">
        <is>
          <t>polycarbonate</t>
        </is>
      </c>
    </row>
    <row r="1021">
      <c r="A1021" t="inlineStr">
        <is>
          <t>market for acrylonitrile-butadiene-styrene copolymer</t>
        </is>
      </c>
      <c r="B1021">
        <v>0.6069</v>
      </c>
      <c r="C1021" t="inlineStr">
        <is>
          <t>GLO</t>
        </is>
      </c>
      <c r="D1021" t="inlineStr">
        <is>
          <t>kilogram</t>
        </is>
      </c>
      <c r="F1021" t="inlineStr">
        <is>
          <t>technosphere</t>
        </is>
      </c>
      <c r="G1021" t="inlineStr">
        <is>
          <t>acrylonitrile-butadiene-styrene copolymer</t>
        </is>
      </c>
      <c r="I1021" t="inlineStr">
        <is>
          <t>acrylonitrile-butadiene-styrene copolymer</t>
        </is>
      </c>
    </row>
    <row r="1022">
      <c r="A1022" t="inlineStr">
        <is>
          <t>market for synthetic rubber</t>
        </is>
      </c>
      <c r="B1022">
        <v>0.1071</v>
      </c>
      <c r="C1022" t="inlineStr">
        <is>
          <t>GLO</t>
        </is>
      </c>
      <c r="D1022" t="inlineStr">
        <is>
          <t>kilogram</t>
        </is>
      </c>
      <c r="F1022" t="inlineStr">
        <is>
          <t>technosphere</t>
        </is>
      </c>
      <c r="G1022" t="inlineStr">
        <is>
          <t>synthetic rubber</t>
        </is>
      </c>
      <c r="I1022" t="inlineStr">
        <is>
          <t>synthetic rubber</t>
        </is>
      </c>
    </row>
    <row r="1023">
      <c r="A1023" t="inlineStr">
        <is>
          <t xml:space="preserve">silicon carbide switch production, electrolysis motor drive, 1200 V, TO-247</t>
        </is>
      </c>
      <c r="B1023">
        <v>12</v>
      </c>
      <c r="C1023" t="inlineStr">
        <is>
          <t>GLO</t>
        </is>
      </c>
      <c r="D1023" t="inlineStr">
        <is>
          <t>unit</t>
        </is>
      </c>
      <c r="F1023" t="inlineStr">
        <is>
          <t>technosphere</t>
        </is>
      </c>
      <c r="G1023" t="inlineStr">
        <is>
          <t xml:space="preserve">silicon carbide switch, electrolysis motor drive, 1200 V, TO-247</t>
        </is>
      </c>
      <c r="I1023" t="inlineStr">
        <is>
          <t xml:space="preserve">silicon carbide switch, electrolysis motor drive, 1200 V, TO-247</t>
        </is>
      </c>
    </row>
    <row r="1024">
      <c r="A1024" t="inlineStr">
        <is>
          <t>market for printed wiring board, surface mounted, unspecified, Pb free</t>
        </is>
      </c>
      <c r="B1024">
        <v>1</v>
      </c>
      <c r="C1024" t="inlineStr">
        <is>
          <t>GLO</t>
        </is>
      </c>
      <c r="D1024" t="inlineStr">
        <is>
          <t>kilogram</t>
        </is>
      </c>
      <c r="F1024" t="inlineStr">
        <is>
          <t>technosphere</t>
        </is>
      </c>
      <c r="G1024" t="inlineStr">
        <is>
          <t>printed wiring board, surface mounted, unspecified, Pb free</t>
        </is>
      </c>
      <c r="I1024" t="inlineStr">
        <is>
          <t>printed wiring board, surface mounted, unspecified, Pb free</t>
        </is>
      </c>
    </row>
    <row r="1025">
      <c r="A1025" t="inlineStr">
        <is>
          <t>market for capacitor, film type, for through-hole mounting</t>
        </is>
      </c>
      <c r="B1025">
        <v>0.6</v>
      </c>
      <c r="C1025" t="inlineStr">
        <is>
          <t>GLO</t>
        </is>
      </c>
      <c r="D1025" t="inlineStr">
        <is>
          <t>kilogram</t>
        </is>
      </c>
      <c r="F1025" t="inlineStr">
        <is>
          <t>technosphere</t>
        </is>
      </c>
      <c r="G1025" t="inlineStr">
        <is>
          <t>capacitor, film type, for through-hole mounting</t>
        </is>
      </c>
      <c r="I1025" t="inlineStr">
        <is>
          <t>capacitor, film type, for through-hole mounting</t>
        </is>
      </c>
    </row>
    <row r="1026">
      <c r="A1026" t="inlineStr">
        <is>
          <t>market for fan, for power supply unit, desktop computer</t>
        </is>
      </c>
      <c r="B1026">
        <v>0.05</v>
      </c>
      <c r="C1026" t="inlineStr">
        <is>
          <t>GLO</t>
        </is>
      </c>
      <c r="D1026" t="inlineStr">
        <is>
          <t>kilogram</t>
        </is>
      </c>
      <c r="F1026" t="inlineStr">
        <is>
          <t>technosphere</t>
        </is>
      </c>
      <c r="G1026" t="inlineStr">
        <is>
          <t>fan, for power supply unit, desktop computer</t>
        </is>
      </c>
      <c r="I1026" t="inlineStr">
        <is>
          <t>fan, for power supply unit, desktop computer</t>
        </is>
      </c>
    </row>
    <row r="1027">
      <c r="A1027" t="inlineStr">
        <is>
          <t>market group for electricity, medium voltage</t>
        </is>
      </c>
      <c r="B1027">
        <v>1</v>
      </c>
      <c r="C1027" t="inlineStr">
        <is>
          <t>GLO</t>
        </is>
      </c>
      <c r="D1027" t="inlineStr">
        <is>
          <t>kilowatt hour</t>
        </is>
      </c>
      <c r="F1027" t="inlineStr">
        <is>
          <t>technosphere</t>
        </is>
      </c>
      <c r="G1027" t="inlineStr">
        <is>
          <t>electricity, medium voltage</t>
        </is>
      </c>
      <c r="I1027" t="inlineStr">
        <is>
          <t>electricity, medium voltage</t>
        </is>
      </c>
    </row>
    <row r="1028">
      <c r="A1028" t="inlineStr">
        <is>
          <t>market for corrugated board box</t>
        </is>
      </c>
      <c r="B1028">
        <v>1.3685</v>
      </c>
      <c r="C1028" t="inlineStr">
        <is>
          <t>RER</t>
        </is>
      </c>
      <c r="D1028" t="inlineStr">
        <is>
          <t>kilogram</t>
        </is>
      </c>
      <c r="F1028" t="inlineStr">
        <is>
          <t>technosphere</t>
        </is>
      </c>
      <c r="G1028" t="inlineStr">
        <is>
          <t>corrugated board box</t>
        </is>
      </c>
      <c r="I1028" t="inlineStr">
        <is>
          <t>corrugated board box</t>
        </is>
      </c>
    </row>
    <row r="1029">
      <c r="A1029" t="inlineStr">
        <is>
          <t>market for waste paperboard</t>
        </is>
      </c>
      <c r="B1029">
        <v>-1.3685</v>
      </c>
      <c r="C1029" t="inlineStr">
        <is>
          <t>RoW</t>
        </is>
      </c>
      <c r="D1029" t="inlineStr">
        <is>
          <t>kilogram</t>
        </is>
      </c>
      <c r="F1029" t="inlineStr">
        <is>
          <t>technosphere</t>
        </is>
      </c>
      <c r="G1029" t="inlineStr">
        <is>
          <t>waste paperboard</t>
        </is>
      </c>
      <c r="I1029" t="inlineStr">
        <is>
          <t>waste paperboard</t>
        </is>
      </c>
    </row>
    <row r="1030">
      <c r="A1030" t="inlineStr">
        <is>
          <t>market for corrugated board box</t>
        </is>
      </c>
      <c r="B1030">
        <v>0.2023</v>
      </c>
      <c r="C1030" t="inlineStr">
        <is>
          <t>RER</t>
        </is>
      </c>
      <c r="D1030" t="inlineStr">
        <is>
          <t>kilogram</t>
        </is>
      </c>
      <c r="F1030" t="inlineStr">
        <is>
          <t>technosphere</t>
        </is>
      </c>
      <c r="G1030" t="inlineStr">
        <is>
          <t>corrugated board box</t>
        </is>
      </c>
      <c r="I1030" t="inlineStr">
        <is>
          <t>corrugated board box</t>
        </is>
      </c>
    </row>
    <row r="1031">
      <c r="A1031" t="inlineStr">
        <is>
          <t>market for waste paperboard</t>
        </is>
      </c>
      <c r="B1031">
        <v>-0.2023</v>
      </c>
      <c r="C1031" t="inlineStr">
        <is>
          <t>RoW</t>
        </is>
      </c>
      <c r="D1031" t="inlineStr">
        <is>
          <t>kilogram</t>
        </is>
      </c>
      <c r="F1031" t="inlineStr">
        <is>
          <t>technosphere</t>
        </is>
      </c>
      <c r="G1031" t="inlineStr">
        <is>
          <t>waste paperboard</t>
        </is>
      </c>
      <c r="I1031" t="inlineStr">
        <is>
          <t>waste paperboard</t>
        </is>
      </c>
    </row>
    <row r="1034">
      <c r="A1034" t="inlineStr">
        <is>
          <t>Activity</t>
        </is>
      </c>
      <c r="B1034" t="inlineStr">
        <is>
          <t xml:space="preserve">motor drive production, industrial, 1.1 kW</t>
        </is>
      </c>
    </row>
    <row r="1035">
      <c r="A1035" t="inlineStr">
        <is>
          <t>location</t>
        </is>
      </c>
      <c r="B1035" t="inlineStr">
        <is>
          <t>GLO</t>
        </is>
      </c>
    </row>
    <row r="1036">
      <c r="A1036" t="inlineStr">
        <is>
          <t>production amount</t>
        </is>
      </c>
      <c r="B1036">
        <v>1</v>
      </c>
    </row>
    <row r="1037">
      <c r="A1037" t="inlineStr">
        <is>
          <t>reference product</t>
        </is>
      </c>
      <c r="B1037" t="inlineStr">
        <is>
          <t xml:space="preserve">motor drive, industrial, 1.1 kW</t>
        </is>
      </c>
    </row>
    <row r="1038">
      <c r="A1038" t="inlineStr">
        <is>
          <t>unit</t>
        </is>
      </c>
      <c r="B1038" t="inlineStr">
        <is>
          <t>unit</t>
        </is>
      </c>
    </row>
    <row r="1039">
      <c r="A1039" t="inlineStr">
        <is>
          <t>source</t>
        </is>
      </c>
      <c r="B1039"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040">
      <c r="A1040" t="inlineStr">
        <is>
          <t>comment</t>
        </is>
      </c>
      <c r="B1040" t="inlineStr">
        <is>
          <t xml:space="preserve">Nomenclature revision, 2026-10-19. Former activity name: industrial motor drive, 1.1kW auxiliary reference. Former reference product: industrial motor drive, 1.1kW auxiliary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Componentreference:InfineonIMW120R045M1 MCDMA00164188205April2021 andIMW65R048M1H MCDMA00540015111Dec2019,PG-TO247-3-41,6047.69/6047.25mg. Fullmgconstituentledgers={'1200V': {'SiC': 4.941, 'P': 1.192, 'steel': 3.972, 'Cu': 3967.074, 'Al': 4.257, 'carbon': 20.032, 'epoxy': 380.613, 'silica': 1602.58, 'Sn': 33.233, 'Ni': 29.065, 'Sb': 0.209, 'Ag': 0.523}, '650V': {'SiC': 2.646, 'P': 1.192, 'steel': 3.972, 'Cu': 3967.074, 'Al': 5.601, 'carbon': 20.046, 'epoxy': 380.868, 'silica': 1603.657, 'Sn': 32.692, 'Ni': 29.065, 'Sb': 0.126, 'Ag': 0.314}}. Ledgerrounding0.001/0.003mgnotarbitrarilyrenormalized. Source https://www.infineon.com/assets/row/public/documents/60/71/infineon-ma001641882-materialcontentsheet-en.pdf and https://www.infineon.com/assets/row/public/documents/24/71/infineon-ma005400151-materialcontentsheet-en.pdf . These3pinpackagesarematerialanalogues,notpin-compatibleclaimforTI4pinWolfspeedBOM. SiCpowderfeedisnotqualifiedepitaxy/waferfabrication;processyield/energy/purity remain gaps.1kWh/kgpackageassemblyreferenceadded,notfullICTchipproxy. FF300R12KT4 datasheet340g,1200V300Ahalfbridge,Cu baseplate,Al2O3isolation; https://www.infineon.com/assets/row/public/documents/60/49/infineon-ff300r12kt4-ds-en.pdf . ManufacturerfullMCDnotrecovered. ModulematerialinventoryisGEOMETRYENGINEERINGESTIMATE,notmanufacturerdeclaration. Assumedgrossbaseplate106.4x61.4x2.5mm,DBC35cm2with0.6mmCuand0.63mmAl2O3,25gCu terminals,45cm3PAhousing,25cm3siliconegel,1gSi,0.5gAlwire,4gSACsolder,10gsteel;geometry={'baseplate_length_m': 0.1064, 'baseplate_width_m': 0.0614, 'baseplate_thickness_m': 0.0025, 'DBC_area_m2': 0.0035, 'DBC_Cu_total_thickness_m': 0.0006, 'ceramic_thickness_m': 0.00063, 'Cu_density_kg_m3': 8960, 'alumina_density_kg_m3': 3900};knownmodulekg={'Cu': 0.190154304, 'alumina': 0.0085995, 'PA': 0.051300000000000005, 'silicone': 0.02425, 'Si': 0.001, 'Al': 0.0005, 'solder': 0.004, 'steel': 0.01};unresolvedmodulemass=0.050196196000000026kg. Exteriorfootprintusedasbaseplatearea isproxy;holes/recessesandrealplate thicknessunknown.Sensitivitybaseplate2-3mm,terminalCu15-35g,unresolvedcompositionnotzeroAu/Ni/Ag. FeedgradeSi/Al2O3/siliconesareproxies;diearea/doping/waferyieldunverified. Noextracompletemoduleinventoryon topofingredients. Thisframe:installedmass=7.586410000000001kg;EPDbulkledger={'steel': 1.4545700000000001, 'Al': 1.4284400000000002, 'Cu': 0.29614000000000007, 'PC': 1.9162000000000001, 'ABS': 0.7403500000000002, 'electronics': 1.3413400000000002};unresolvedotherelectronics=0.20877296400000028kg;unresolvedtotaloutsidepackage=0.6181429639999994kg,pluscomponentmoduleunknownwhereapplicable. Packagingpaperusescorrugated-boxproxy,EPPusesPPresinwithoutverifiedfoamprocessing,SEBSusesgeneric syntheticrubberproxywithunvalidatedhydrogenation/grade,PCusesRoWproductionproxytoavoidunsupportedpre3.10regionalmarket.1kWh/driveon-siteassemblyallowanceassumed,notEPDmeasuredenergy.</t>
        </is>
      </c>
    </row>
    <row r="1041">
      <c r="A1041" t="inlineStr">
        <is>
          <t>Exchanges</t>
        </is>
      </c>
    </row>
    <row r="1042">
      <c r="A1042" t="inlineStr">
        <is>
          <t>name</t>
        </is>
      </c>
      <c r="B1042" t="inlineStr">
        <is>
          <t>amount</t>
        </is>
      </c>
      <c r="C1042" t="inlineStr">
        <is>
          <t>location</t>
        </is>
      </c>
      <c r="D1042" t="inlineStr">
        <is>
          <t>unit</t>
        </is>
      </c>
      <c r="E1042" t="inlineStr">
        <is>
          <t>categories</t>
        </is>
      </c>
      <c r="F1042" t="inlineStr">
        <is>
          <t>type</t>
        </is>
      </c>
      <c r="G1042" t="inlineStr">
        <is>
          <t>reference product</t>
        </is>
      </c>
      <c r="H1042" t="inlineStr">
        <is>
          <t>comment</t>
        </is>
      </c>
      <c r="I1042" t="inlineStr">
        <is>
          <t>product</t>
        </is>
      </c>
    </row>
    <row r="1043">
      <c r="A1043" t="inlineStr">
        <is>
          <t xml:space="preserve">motor drive production, industrial, 1.1 kW</t>
        </is>
      </c>
      <c r="B1043">
        <v>1</v>
      </c>
      <c r="C1043" t="inlineStr">
        <is>
          <t>GLO</t>
        </is>
      </c>
      <c r="D1043" t="inlineStr">
        <is>
          <t>unit</t>
        </is>
      </c>
      <c r="F1043" t="inlineStr">
        <is>
          <t>production</t>
        </is>
      </c>
      <c r="G1043" t="inlineStr">
        <is>
          <t xml:space="preserve">motor drive, industrial, 1.1 kW</t>
        </is>
      </c>
      <c r="I1043" t="inlineStr">
        <is>
          <t xml:space="preserve">motor drive, industrial, 1.1 kW</t>
        </is>
      </c>
    </row>
    <row r="1044">
      <c r="A1044" t="inlineStr">
        <is>
          <t>market for steel, low-alloyed</t>
        </is>
      </c>
      <c r="B1044">
        <v>1.4545700000000001</v>
      </c>
      <c r="C1044" t="inlineStr">
        <is>
          <t>GLO</t>
        </is>
      </c>
      <c r="D1044" t="inlineStr">
        <is>
          <t>kilogram</t>
        </is>
      </c>
      <c r="F1044" t="inlineStr">
        <is>
          <t>technosphere</t>
        </is>
      </c>
      <c r="G1044" t="inlineStr">
        <is>
          <t>steel, low-alloyed</t>
        </is>
      </c>
      <c r="I1044" t="inlineStr">
        <is>
          <t>steel, low-alloyed</t>
        </is>
      </c>
    </row>
    <row r="1045">
      <c r="A1045" t="inlineStr">
        <is>
          <t>market for aluminium, wrought alloy</t>
        </is>
      </c>
      <c r="B1045">
        <v>1.4284400000000002</v>
      </c>
      <c r="C1045" t="inlineStr">
        <is>
          <t>GLO</t>
        </is>
      </c>
      <c r="D1045" t="inlineStr">
        <is>
          <t>kilogram</t>
        </is>
      </c>
      <c r="F1045" t="inlineStr">
        <is>
          <t>technosphere</t>
        </is>
      </c>
      <c r="G1045" t="inlineStr">
        <is>
          <t>aluminium, wrought alloy</t>
        </is>
      </c>
      <c r="I1045" t="inlineStr">
        <is>
          <t>aluminium, wrought alloy</t>
        </is>
      </c>
    </row>
    <row r="1046">
      <c r="A1046" t="inlineStr">
        <is>
          <t>market for copper, cathode</t>
        </is>
      </c>
      <c r="B1046">
        <v>0.29614000000000007</v>
      </c>
      <c r="C1046" t="inlineStr">
        <is>
          <t>GLO</t>
        </is>
      </c>
      <c r="D1046" t="inlineStr">
        <is>
          <t>kilogram</t>
        </is>
      </c>
      <c r="F1046" t="inlineStr">
        <is>
          <t>technosphere</t>
        </is>
      </c>
      <c r="G1046" t="inlineStr">
        <is>
          <t>copper, cathode</t>
        </is>
      </c>
      <c r="I1046" t="inlineStr">
        <is>
          <t>copper, cathode</t>
        </is>
      </c>
    </row>
    <row r="1047">
      <c r="A1047" t="inlineStr">
        <is>
          <t>polycarbonate production</t>
        </is>
      </c>
      <c r="B1047">
        <v>1.9162000000000001</v>
      </c>
      <c r="C1047" t="inlineStr">
        <is>
          <t>RoW</t>
        </is>
      </c>
      <c r="D1047" t="inlineStr">
        <is>
          <t>kilogram</t>
        </is>
      </c>
      <c r="F1047" t="inlineStr">
        <is>
          <t>technosphere</t>
        </is>
      </c>
      <c r="G1047" t="inlineStr">
        <is>
          <t>polycarbonate</t>
        </is>
      </c>
      <c r="I1047" t="inlineStr">
        <is>
          <t>polycarbonate</t>
        </is>
      </c>
    </row>
    <row r="1048">
      <c r="A1048" t="inlineStr">
        <is>
          <t>market for acrylonitrile-butadiene-styrene copolymer</t>
        </is>
      </c>
      <c r="B1048">
        <v>0.7403500000000002</v>
      </c>
      <c r="C1048" t="inlineStr">
        <is>
          <t>GLO</t>
        </is>
      </c>
      <c r="D1048" t="inlineStr">
        <is>
          <t>kilogram</t>
        </is>
      </c>
      <c r="F1048" t="inlineStr">
        <is>
          <t>technosphere</t>
        </is>
      </c>
      <c r="G1048" t="inlineStr">
        <is>
          <t>acrylonitrile-butadiene-styrene copolymer</t>
        </is>
      </c>
      <c r="I1048" t="inlineStr">
        <is>
          <t>acrylonitrile-butadiene-styrene copolymer</t>
        </is>
      </c>
    </row>
    <row r="1049">
      <c r="A1049" t="inlineStr">
        <is>
          <t xml:space="preserve">silicon carbide switch production, electrolysis motor drive, 650 V, TO-247</t>
        </is>
      </c>
      <c r="B1049">
        <v>12</v>
      </c>
      <c r="C1049" t="inlineStr">
        <is>
          <t>GLO</t>
        </is>
      </c>
      <c r="D1049" t="inlineStr">
        <is>
          <t>unit</t>
        </is>
      </c>
      <c r="F1049" t="inlineStr">
        <is>
          <t>technosphere</t>
        </is>
      </c>
      <c r="G1049" t="inlineStr">
        <is>
          <t xml:space="preserve">silicon carbide switch, electrolysis motor drive, 650 V, TO-247</t>
        </is>
      </c>
      <c r="I1049" t="inlineStr">
        <is>
          <t xml:space="preserve">silicon carbide switch, electrolysis motor drive, 650 V, TO-247</t>
        </is>
      </c>
    </row>
    <row r="1050">
      <c r="A1050" t="inlineStr">
        <is>
          <t>market for printed wiring board, surface mounted, unspecified, Pb free</t>
        </is>
      </c>
      <c r="B1050">
        <v>0.65</v>
      </c>
      <c r="C1050" t="inlineStr">
        <is>
          <t>GLO</t>
        </is>
      </c>
      <c r="D1050" t="inlineStr">
        <is>
          <t>kilogram</t>
        </is>
      </c>
      <c r="F1050" t="inlineStr">
        <is>
          <t>technosphere</t>
        </is>
      </c>
      <c r="G1050" t="inlineStr">
        <is>
          <t>printed wiring board, surface mounted, unspecified, Pb free</t>
        </is>
      </c>
      <c r="I1050" t="inlineStr">
        <is>
          <t>printed wiring board, surface mounted, unspecified, Pb free</t>
        </is>
      </c>
    </row>
    <row r="1051">
      <c r="A1051" t="inlineStr">
        <is>
          <t>market for capacitor, film type, for through-hole mounting</t>
        </is>
      </c>
      <c r="B1051">
        <v>0.35</v>
      </c>
      <c r="C1051" t="inlineStr">
        <is>
          <t>GLO</t>
        </is>
      </c>
      <c r="D1051" t="inlineStr">
        <is>
          <t>kilogram</t>
        </is>
      </c>
      <c r="F1051" t="inlineStr">
        <is>
          <t>technosphere</t>
        </is>
      </c>
      <c r="G1051" t="inlineStr">
        <is>
          <t>capacitor, film type, for through-hole mounting</t>
        </is>
      </c>
      <c r="I1051" t="inlineStr">
        <is>
          <t>capacitor, film type, for through-hole mounting</t>
        </is>
      </c>
    </row>
    <row r="1052">
      <c r="A1052" t="inlineStr">
        <is>
          <t>market for fan, for power supply unit, desktop computer</t>
        </is>
      </c>
      <c r="B1052">
        <v>0.06</v>
      </c>
      <c r="C1052" t="inlineStr">
        <is>
          <t>GLO</t>
        </is>
      </c>
      <c r="D1052" t="inlineStr">
        <is>
          <t>kilogram</t>
        </is>
      </c>
      <c r="F1052" t="inlineStr">
        <is>
          <t>technosphere</t>
        </is>
      </c>
      <c r="G1052" t="inlineStr">
        <is>
          <t>fan, for power supply unit, desktop computer</t>
        </is>
      </c>
      <c r="I1052" t="inlineStr">
        <is>
          <t>fan, for power supply unit, desktop computer</t>
        </is>
      </c>
    </row>
    <row r="1053">
      <c r="A1053" t="inlineStr">
        <is>
          <t>market group for electricity, medium voltage</t>
        </is>
      </c>
      <c r="B1053">
        <v>1</v>
      </c>
      <c r="C1053" t="inlineStr">
        <is>
          <t>GLO</t>
        </is>
      </c>
      <c r="D1053" t="inlineStr">
        <is>
          <t>kilowatt hour</t>
        </is>
      </c>
      <c r="F1053" t="inlineStr">
        <is>
          <t>technosphere</t>
        </is>
      </c>
      <c r="G1053" t="inlineStr">
        <is>
          <t>electricity, medium voltage</t>
        </is>
      </c>
      <c r="I1053" t="inlineStr">
        <is>
          <t>electricity, medium voltage</t>
        </is>
      </c>
    </row>
    <row r="1054">
      <c r="A1054" t="inlineStr">
        <is>
          <t>market for corrugated board box</t>
        </is>
      </c>
      <c r="B1054">
        <v>0.76648</v>
      </c>
      <c r="C1054" t="inlineStr">
        <is>
          <t>RER</t>
        </is>
      </c>
      <c r="D1054" t="inlineStr">
        <is>
          <t>kilogram</t>
        </is>
      </c>
      <c r="F1054" t="inlineStr">
        <is>
          <t>technosphere</t>
        </is>
      </c>
      <c r="G1054" t="inlineStr">
        <is>
          <t>corrugated board box</t>
        </is>
      </c>
      <c r="I1054" t="inlineStr">
        <is>
          <t>corrugated board box</t>
        </is>
      </c>
    </row>
    <row r="1055">
      <c r="A1055" t="inlineStr">
        <is>
          <t>market for waste paperboard</t>
        </is>
      </c>
      <c r="B1055">
        <v>-0.76648</v>
      </c>
      <c r="C1055" t="inlineStr">
        <is>
          <t>RoW</t>
        </is>
      </c>
      <c r="D1055" t="inlineStr">
        <is>
          <t>kilogram</t>
        </is>
      </c>
      <c r="F1055" t="inlineStr">
        <is>
          <t>technosphere</t>
        </is>
      </c>
      <c r="G1055" t="inlineStr">
        <is>
          <t>waste paperboard</t>
        </is>
      </c>
      <c r="I1055" t="inlineStr">
        <is>
          <t>waste paperboard</t>
        </is>
      </c>
    </row>
    <row r="1056">
      <c r="A1056" t="inlineStr">
        <is>
          <t>market for polypropylene, granulate</t>
        </is>
      </c>
      <c r="B1056">
        <v>0.35711000000000004</v>
      </c>
      <c r="C1056" t="inlineStr">
        <is>
          <t>GLO</t>
        </is>
      </c>
      <c r="D1056" t="inlineStr">
        <is>
          <t>kilogram</t>
        </is>
      </c>
      <c r="F1056" t="inlineStr">
        <is>
          <t>technosphere</t>
        </is>
      </c>
      <c r="G1056" t="inlineStr">
        <is>
          <t>polypropylene, granulate</t>
        </is>
      </c>
      <c r="I1056" t="inlineStr">
        <is>
          <t>polypropylene, granulate</t>
        </is>
      </c>
    </row>
    <row r="1057">
      <c r="A1057" t="inlineStr">
        <is>
          <t>market for waste plastic, mixture</t>
        </is>
      </c>
      <c r="B1057">
        <v>-0.35711000000000004</v>
      </c>
      <c r="C1057" t="inlineStr">
        <is>
          <t>RoW</t>
        </is>
      </c>
      <c r="D1057" t="inlineStr">
        <is>
          <t>kilogram</t>
        </is>
      </c>
      <c r="F1057" t="inlineStr">
        <is>
          <t>technosphere</t>
        </is>
      </c>
      <c r="G1057" t="inlineStr">
        <is>
          <t>waste plastic, mixture</t>
        </is>
      </c>
      <c r="I1057" t="inlineStr">
        <is>
          <t>waste plastic, mixture</t>
        </is>
      </c>
    </row>
    <row r="1060">
      <c r="A1060" t="inlineStr">
        <is>
          <t>Activity</t>
        </is>
      </c>
      <c r="B1060" t="inlineStr">
        <is>
          <t xml:space="preserve">motor drive assembly production, electrolysis, PEM</t>
        </is>
      </c>
    </row>
    <row r="1061">
      <c r="A1061" t="inlineStr">
        <is>
          <t>location</t>
        </is>
      </c>
      <c r="B1061" t="inlineStr">
        <is>
          <t>GLO</t>
        </is>
      </c>
    </row>
    <row r="1062">
      <c r="A1062" t="inlineStr">
        <is>
          <t>production amount</t>
        </is>
      </c>
      <c r="B1062">
        <v>1</v>
      </c>
    </row>
    <row r="1063">
      <c r="A1063" t="inlineStr">
        <is>
          <t>reference product</t>
        </is>
      </c>
      <c r="B1063" t="inlineStr">
        <is>
          <t xml:space="preserve">motor drive assembly, electrolysis, PEM</t>
        </is>
      </c>
    </row>
    <row r="1064">
      <c r="A1064" t="inlineStr">
        <is>
          <t>unit</t>
        </is>
      </c>
      <c r="B1064" t="inlineStr">
        <is>
          <t>unit</t>
        </is>
      </c>
    </row>
    <row r="1065">
      <c r="A1065" t="inlineStr">
        <is>
          <t>source</t>
        </is>
      </c>
      <c r="B1065"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066">
      <c r="A1066" t="inlineStr">
        <is>
          <t>comment</t>
        </is>
      </c>
      <c r="B1066" t="inlineStr">
        <is>
          <t xml:space="preserve">Nomenclature revision, 2026-10-19. Former activity name: electrolyzer auxiliary drive lifetime kit, PEM, reference. Former reference product: electrolyzer auxiliary drive lifetime kit, PEM,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067">
      <c r="A1067" t="inlineStr">
        <is>
          <t>Exchanges</t>
        </is>
      </c>
    </row>
    <row r="1068">
      <c r="A1068" t="inlineStr">
        <is>
          <t>name</t>
        </is>
      </c>
      <c r="B1068" t="inlineStr">
        <is>
          <t>amount</t>
        </is>
      </c>
      <c r="C1068" t="inlineStr">
        <is>
          <t>location</t>
        </is>
      </c>
      <c r="D1068" t="inlineStr">
        <is>
          <t>unit</t>
        </is>
      </c>
      <c r="E1068" t="inlineStr">
        <is>
          <t>categories</t>
        </is>
      </c>
      <c r="F1068" t="inlineStr">
        <is>
          <t>type</t>
        </is>
      </c>
      <c r="G1068" t="inlineStr">
        <is>
          <t>reference product</t>
        </is>
      </c>
      <c r="H1068" t="inlineStr">
        <is>
          <t>comment</t>
        </is>
      </c>
      <c r="I1068" t="inlineStr">
        <is>
          <t>product</t>
        </is>
      </c>
    </row>
    <row r="1069">
      <c r="A1069" t="inlineStr">
        <is>
          <t xml:space="preserve">motor drive assembly production, electrolysis, PEM</t>
        </is>
      </c>
      <c r="B1069">
        <v>1</v>
      </c>
      <c r="C1069" t="inlineStr">
        <is>
          <t>GLO</t>
        </is>
      </c>
      <c r="D1069" t="inlineStr">
        <is>
          <t>unit</t>
        </is>
      </c>
      <c r="F1069" t="inlineStr">
        <is>
          <t>production</t>
        </is>
      </c>
      <c r="G1069" t="inlineStr">
        <is>
          <t xml:space="preserve">motor drive assembly, electrolysis, PEM</t>
        </is>
      </c>
      <c r="I1069" t="inlineStr">
        <is>
          <t xml:space="preserve">motor drive assembly, electrolysis, PEM</t>
        </is>
      </c>
    </row>
    <row r="1070">
      <c r="A1070" t="inlineStr">
        <is>
          <t xml:space="preserve">motor drive production, industrial, 75 kW</t>
        </is>
      </c>
      <c r="B1070">
        <v>2</v>
      </c>
      <c r="C1070" t="inlineStr">
        <is>
          <t>GLO</t>
        </is>
      </c>
      <c r="D1070" t="inlineStr">
        <is>
          <t>unit</t>
        </is>
      </c>
      <c r="F1070" t="inlineStr">
        <is>
          <t>technosphere</t>
        </is>
      </c>
      <c r="G1070" t="inlineStr">
        <is>
          <t xml:space="preserve">motor drive, industrial, 75 kW</t>
        </is>
      </c>
      <c r="I1070" t="inlineStr">
        <is>
          <t xml:space="preserve">motor drive, industrial, 75 kW</t>
        </is>
      </c>
    </row>
    <row r="1073">
      <c r="A1073" t="inlineStr">
        <is>
          <t>Activity</t>
        </is>
      </c>
      <c r="B1073" t="inlineStr">
        <is>
          <t xml:space="preserve">treatment of used motor drive assembly, electrolysis, PEM</t>
        </is>
      </c>
    </row>
    <row r="1074">
      <c r="A1074" t="inlineStr">
        <is>
          <t>location</t>
        </is>
      </c>
      <c r="B1074" t="inlineStr">
        <is>
          <t>GLO</t>
        </is>
      </c>
    </row>
    <row r="1075">
      <c r="A1075" t="inlineStr">
        <is>
          <t>production amount</t>
        </is>
      </c>
      <c r="B1075">
        <v>1</v>
      </c>
    </row>
    <row r="1076">
      <c r="A1076" t="inlineStr">
        <is>
          <t>reference product</t>
        </is>
      </c>
      <c r="B1076" t="inlineStr">
        <is>
          <t xml:space="preserve">used motor drive assembly, electrolysis, PEM</t>
        </is>
      </c>
    </row>
    <row r="1077">
      <c r="A1077" t="inlineStr">
        <is>
          <t>unit</t>
        </is>
      </c>
      <c r="B1077" t="inlineStr">
        <is>
          <t>unit</t>
        </is>
      </c>
    </row>
    <row r="1078">
      <c r="A1078" t="inlineStr">
        <is>
          <t>source</t>
        </is>
      </c>
      <c r="B1078"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079">
      <c r="A1079" t="inlineStr">
        <is>
          <t>comment</t>
        </is>
      </c>
      <c r="B1079" t="inlineStr">
        <is>
          <t xml:space="preserve">Nomenclature revision, 2026-10-19. Former activity name: treatment of electrolyzer auxiliary drive lifetime kit, PEM, reference. Former reference product: treatment of electrolyzer auxiliary drive lifetime kit, PEM,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080">
      <c r="A1080" t="inlineStr">
        <is>
          <t>Exchanges</t>
        </is>
      </c>
    </row>
    <row r="1081">
      <c r="A1081" t="inlineStr">
        <is>
          <t>name</t>
        </is>
      </c>
      <c r="B1081" t="inlineStr">
        <is>
          <t>amount</t>
        </is>
      </c>
      <c r="C1081" t="inlineStr">
        <is>
          <t>location</t>
        </is>
      </c>
      <c r="D1081" t="inlineStr">
        <is>
          <t>unit</t>
        </is>
      </c>
      <c r="E1081" t="inlineStr">
        <is>
          <t>categories</t>
        </is>
      </c>
      <c r="F1081" t="inlineStr">
        <is>
          <t>type</t>
        </is>
      </c>
      <c r="G1081" t="inlineStr">
        <is>
          <t>reference product</t>
        </is>
      </c>
      <c r="H1081" t="inlineStr">
        <is>
          <t>comment</t>
        </is>
      </c>
      <c r="I1081" t="inlineStr">
        <is>
          <t>product</t>
        </is>
      </c>
    </row>
    <row r="1082">
      <c r="A1082" t="inlineStr">
        <is>
          <t xml:space="preserve">treatment of used motor drive assembly, electrolysis, PEM</t>
        </is>
      </c>
      <c r="B1082">
        <v>-1</v>
      </c>
      <c r="C1082" t="inlineStr">
        <is>
          <t>GLO</t>
        </is>
      </c>
      <c r="D1082" t="inlineStr">
        <is>
          <t>unit</t>
        </is>
      </c>
      <c r="F1082" t="inlineStr">
        <is>
          <t>production</t>
        </is>
      </c>
      <c r="G1082" t="inlineStr">
        <is>
          <t xml:space="preserve">used motor drive assembly, electrolysis, PEM</t>
        </is>
      </c>
      <c r="I1082" t="inlineStr">
        <is>
          <t xml:space="preserve">used motor drive assembly, electrolysis, PEM</t>
        </is>
      </c>
    </row>
    <row r="1083">
      <c r="A1083" t="inlineStr">
        <is>
          <t>market for waste electric and electronic equipment</t>
        </is>
      </c>
      <c r="B1083">
        <v>-82.4032</v>
      </c>
      <c r="C1083" t="inlineStr">
        <is>
          <t>GLO</t>
        </is>
      </c>
      <c r="D1083" t="inlineStr">
        <is>
          <t>kilogram</t>
        </is>
      </c>
      <c r="F1083" t="inlineStr">
        <is>
          <t>technosphere</t>
        </is>
      </c>
      <c r="G1083" t="inlineStr">
        <is>
          <t>waste electric and electronic equipment</t>
        </is>
      </c>
      <c r="I1083" t="inlineStr">
        <is>
          <t>waste electric and electronic equipment</t>
        </is>
      </c>
    </row>
    <row r="1086">
      <c r="A1086" t="inlineStr">
        <is>
          <t>Activity</t>
        </is>
      </c>
      <c r="B1086" t="inlineStr">
        <is>
          <t xml:space="preserve">treatment of used power conversion system and motor drives, electrolysis, PEM</t>
        </is>
      </c>
    </row>
    <row r="1087">
      <c r="A1087" t="inlineStr">
        <is>
          <t>location</t>
        </is>
      </c>
      <c r="B1087" t="inlineStr">
        <is>
          <t>GLO</t>
        </is>
      </c>
    </row>
    <row r="1088">
      <c r="A1088" t="inlineStr">
        <is>
          <t>production amount</t>
        </is>
      </c>
      <c r="B1088">
        <v>1</v>
      </c>
    </row>
    <row r="1089">
      <c r="A1089" t="inlineStr">
        <is>
          <t>reference product</t>
        </is>
      </c>
      <c r="B1089" t="inlineStr">
        <is>
          <t xml:space="preserve">used power conversion system and motor drives, electrolysis, PEM</t>
        </is>
      </c>
    </row>
    <row r="1090">
      <c r="A1090" t="inlineStr">
        <is>
          <t>unit</t>
        </is>
      </c>
      <c r="B1090" t="inlineStr">
        <is>
          <t>unit</t>
        </is>
      </c>
    </row>
    <row r="1091">
      <c r="A1091" t="inlineStr">
        <is>
          <t>source</t>
        </is>
      </c>
      <c r="B1091"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092">
      <c r="A1092" t="inlineStr">
        <is>
          <t>comment</t>
        </is>
      </c>
      <c r="B1092" t="inlineStr">
        <is>
          <t xml:space="preserve">Nomenclature revision, 2026-10-19. Former activity name: treatment of electrolyzer power conversion and auxiliary drives, PEM, reference. Former reference product: treatment of electrolyzer power conversion and auxiliary drives, PEM,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093">
      <c r="A1093" t="inlineStr">
        <is>
          <t>Exchanges</t>
        </is>
      </c>
    </row>
    <row r="1094">
      <c r="A1094" t="inlineStr">
        <is>
          <t>name</t>
        </is>
      </c>
      <c r="B1094" t="inlineStr">
        <is>
          <t>amount</t>
        </is>
      </c>
      <c r="C1094" t="inlineStr">
        <is>
          <t>location</t>
        </is>
      </c>
      <c r="D1094" t="inlineStr">
        <is>
          <t>unit</t>
        </is>
      </c>
      <c r="E1094" t="inlineStr">
        <is>
          <t>categories</t>
        </is>
      </c>
      <c r="F1094" t="inlineStr">
        <is>
          <t>type</t>
        </is>
      </c>
      <c r="G1094" t="inlineStr">
        <is>
          <t>reference product</t>
        </is>
      </c>
      <c r="H1094" t="inlineStr">
        <is>
          <t>comment</t>
        </is>
      </c>
      <c r="I1094" t="inlineStr">
        <is>
          <t>product</t>
        </is>
      </c>
    </row>
    <row r="1095">
      <c r="A1095" t="inlineStr">
        <is>
          <t xml:space="preserve">treatment of used power conversion system and motor drives, electrolysis, PEM</t>
        </is>
      </c>
      <c r="B1095">
        <v>-1</v>
      </c>
      <c r="C1095" t="inlineStr">
        <is>
          <t>GLO</t>
        </is>
      </c>
      <c r="D1095" t="inlineStr">
        <is>
          <t>unit</t>
        </is>
      </c>
      <c r="F1095" t="inlineStr">
        <is>
          <t>production</t>
        </is>
      </c>
      <c r="G1095" t="inlineStr">
        <is>
          <t xml:space="preserve">used power conversion system and motor drives, electrolysis, PEM</t>
        </is>
      </c>
      <c r="I1095" t="inlineStr">
        <is>
          <t xml:space="preserve">used power conversion system and motor drives, electrolysis, PEM</t>
        </is>
      </c>
    </row>
    <row r="1096">
      <c r="A1096" t="inlineStr">
        <is>
          <t xml:space="preserve">treatment of used power conversion system, electrolysis, 1 MW</t>
        </is>
      </c>
      <c r="B1096">
        <v>-1</v>
      </c>
      <c r="C1096" t="inlineStr">
        <is>
          <t>GLO</t>
        </is>
      </c>
      <c r="D1096" t="inlineStr">
        <is>
          <t>unit</t>
        </is>
      </c>
      <c r="F1096" t="inlineStr">
        <is>
          <t>technosphere</t>
        </is>
      </c>
      <c r="G1096" t="inlineStr">
        <is>
          <t xml:space="preserve">used power conversion system, electrolysis, 1 MW</t>
        </is>
      </c>
      <c r="I1096" t="inlineStr">
        <is>
          <t xml:space="preserve">used power conversion system, electrolysis, 1 MW</t>
        </is>
      </c>
    </row>
    <row r="1097">
      <c r="A1097" t="inlineStr">
        <is>
          <t xml:space="preserve">treatment of used motor drive assembly, electrolysis, PEM</t>
        </is>
      </c>
      <c r="B1097">
        <v>-1</v>
      </c>
      <c r="C1097" t="inlineStr">
        <is>
          <t>GLO</t>
        </is>
      </c>
      <c r="D1097" t="inlineStr">
        <is>
          <t>unit</t>
        </is>
      </c>
      <c r="F1097" t="inlineStr">
        <is>
          <t>technosphere</t>
        </is>
      </c>
      <c r="G1097" t="inlineStr">
        <is>
          <t xml:space="preserve">used motor drive assembly, electrolysis, PEM</t>
        </is>
      </c>
      <c r="I1097" t="inlineStr">
        <is>
          <t xml:space="preserve">used motor drive assembly, electrolysis, PEM</t>
        </is>
      </c>
    </row>
    <row r="1100">
      <c r="A1100" t="inlineStr">
        <is>
          <t>Activity</t>
        </is>
      </c>
      <c r="B1100" t="inlineStr">
        <is>
          <t xml:space="preserve">motor drive assembly production, electrolysis, AEC</t>
        </is>
      </c>
    </row>
    <row r="1101">
      <c r="A1101" t="inlineStr">
        <is>
          <t>location</t>
        </is>
      </c>
      <c r="B1101" t="inlineStr">
        <is>
          <t>GLO</t>
        </is>
      </c>
    </row>
    <row r="1102">
      <c r="A1102" t="inlineStr">
        <is>
          <t>production amount</t>
        </is>
      </c>
      <c r="B1102">
        <v>1</v>
      </c>
    </row>
    <row r="1103">
      <c r="A1103" t="inlineStr">
        <is>
          <t>reference product</t>
        </is>
      </c>
      <c r="B1103" t="inlineStr">
        <is>
          <t xml:space="preserve">motor drive assembly, electrolysis, AEC</t>
        </is>
      </c>
    </row>
    <row r="1104">
      <c r="A1104" t="inlineStr">
        <is>
          <t>unit</t>
        </is>
      </c>
      <c r="B1104" t="inlineStr">
        <is>
          <t>unit</t>
        </is>
      </c>
    </row>
    <row r="1105">
      <c r="A1105" t="inlineStr">
        <is>
          <t>source</t>
        </is>
      </c>
      <c r="B1105"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106">
      <c r="A1106" t="inlineStr">
        <is>
          <t>comment</t>
        </is>
      </c>
      <c r="B1106" t="inlineStr">
        <is>
          <t xml:space="preserve">Nomenclature revision, 2026-10-19. Former activity name: electrolyzer auxiliary drive lifetime kit, AEC, reference. Former reference product: electrolyzer auxiliary drive lifetime kit, AEC,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107">
      <c r="A1107" t="inlineStr">
        <is>
          <t>Exchanges</t>
        </is>
      </c>
    </row>
    <row r="1108">
      <c r="A1108" t="inlineStr">
        <is>
          <t>name</t>
        </is>
      </c>
      <c r="B1108" t="inlineStr">
        <is>
          <t>amount</t>
        </is>
      </c>
      <c r="C1108" t="inlineStr">
        <is>
          <t>location</t>
        </is>
      </c>
      <c r="D1108" t="inlineStr">
        <is>
          <t>unit</t>
        </is>
      </c>
      <c r="E1108" t="inlineStr">
        <is>
          <t>categories</t>
        </is>
      </c>
      <c r="F1108" t="inlineStr">
        <is>
          <t>type</t>
        </is>
      </c>
      <c r="G1108" t="inlineStr">
        <is>
          <t>reference product</t>
        </is>
      </c>
      <c r="H1108" t="inlineStr">
        <is>
          <t>comment</t>
        </is>
      </c>
      <c r="I1108" t="inlineStr">
        <is>
          <t>product</t>
        </is>
      </c>
    </row>
    <row r="1109">
      <c r="A1109" t="inlineStr">
        <is>
          <t xml:space="preserve">motor drive assembly production, electrolysis, AEC</t>
        </is>
      </c>
      <c r="B1109">
        <v>1</v>
      </c>
      <c r="C1109" t="inlineStr">
        <is>
          <t>GLO</t>
        </is>
      </c>
      <c r="D1109" t="inlineStr">
        <is>
          <t>unit</t>
        </is>
      </c>
      <c r="F1109" t="inlineStr">
        <is>
          <t>production</t>
        </is>
      </c>
      <c r="G1109" t="inlineStr">
        <is>
          <t xml:space="preserve">motor drive assembly, electrolysis, AEC</t>
        </is>
      </c>
      <c r="I1109" t="inlineStr">
        <is>
          <t xml:space="preserve">motor drive assembly, electrolysis, AEC</t>
        </is>
      </c>
    </row>
    <row r="1110">
      <c r="A1110" t="inlineStr">
        <is>
          <t xml:space="preserve">motor drive production, industrial, 75 kW</t>
        </is>
      </c>
      <c r="B1110">
        <v>2</v>
      </c>
      <c r="C1110" t="inlineStr">
        <is>
          <t>GLO</t>
        </is>
      </c>
      <c r="D1110" t="inlineStr">
        <is>
          <t>unit</t>
        </is>
      </c>
      <c r="F1110" t="inlineStr">
        <is>
          <t>technosphere</t>
        </is>
      </c>
      <c r="G1110" t="inlineStr">
        <is>
          <t xml:space="preserve">motor drive, industrial, 75 kW</t>
        </is>
      </c>
      <c r="I1110" t="inlineStr">
        <is>
          <t xml:space="preserve">motor drive, industrial, 75 kW</t>
        </is>
      </c>
    </row>
    <row r="1113">
      <c r="A1113" t="inlineStr">
        <is>
          <t>Activity</t>
        </is>
      </c>
      <c r="B1113" t="inlineStr">
        <is>
          <t xml:space="preserve">treatment of used motor drive assembly, electrolysis, AEC</t>
        </is>
      </c>
    </row>
    <row r="1114">
      <c r="A1114" t="inlineStr">
        <is>
          <t>location</t>
        </is>
      </c>
      <c r="B1114" t="inlineStr">
        <is>
          <t>GLO</t>
        </is>
      </c>
    </row>
    <row r="1115">
      <c r="A1115" t="inlineStr">
        <is>
          <t>production amount</t>
        </is>
      </c>
      <c r="B1115">
        <v>1</v>
      </c>
    </row>
    <row r="1116">
      <c r="A1116" t="inlineStr">
        <is>
          <t>reference product</t>
        </is>
      </c>
      <c r="B1116" t="inlineStr">
        <is>
          <t xml:space="preserve">used motor drive assembly, electrolysis, AEC</t>
        </is>
      </c>
    </row>
    <row r="1117">
      <c r="A1117" t="inlineStr">
        <is>
          <t>unit</t>
        </is>
      </c>
      <c r="B1117" t="inlineStr">
        <is>
          <t>unit</t>
        </is>
      </c>
    </row>
    <row r="1118">
      <c r="A1118" t="inlineStr">
        <is>
          <t>source</t>
        </is>
      </c>
      <c r="B1118"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119">
      <c r="A1119" t="inlineStr">
        <is>
          <t>comment</t>
        </is>
      </c>
      <c r="B1119" t="inlineStr">
        <is>
          <t xml:space="preserve">Nomenclature revision, 2026-10-19. Former activity name: treatment of electrolyzer auxiliary drive lifetime kit, AEC, reference. Former reference product: treatment of electrolyzer auxiliary drive lifetime kit, AEC,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120">
      <c r="A1120" t="inlineStr">
        <is>
          <t>Exchanges</t>
        </is>
      </c>
    </row>
    <row r="1121">
      <c r="A1121" t="inlineStr">
        <is>
          <t>name</t>
        </is>
      </c>
      <c r="B1121" t="inlineStr">
        <is>
          <t>amount</t>
        </is>
      </c>
      <c r="C1121" t="inlineStr">
        <is>
          <t>location</t>
        </is>
      </c>
      <c r="D1121" t="inlineStr">
        <is>
          <t>unit</t>
        </is>
      </c>
      <c r="E1121" t="inlineStr">
        <is>
          <t>categories</t>
        </is>
      </c>
      <c r="F1121" t="inlineStr">
        <is>
          <t>type</t>
        </is>
      </c>
      <c r="G1121" t="inlineStr">
        <is>
          <t>reference product</t>
        </is>
      </c>
      <c r="H1121" t="inlineStr">
        <is>
          <t>comment</t>
        </is>
      </c>
      <c r="I1121" t="inlineStr">
        <is>
          <t>product</t>
        </is>
      </c>
    </row>
    <row r="1122">
      <c r="A1122" t="inlineStr">
        <is>
          <t xml:space="preserve">treatment of used motor drive assembly, electrolysis, AEC</t>
        </is>
      </c>
      <c r="B1122">
        <v>-1</v>
      </c>
      <c r="C1122" t="inlineStr">
        <is>
          <t>GLO</t>
        </is>
      </c>
      <c r="D1122" t="inlineStr">
        <is>
          <t>unit</t>
        </is>
      </c>
      <c r="F1122" t="inlineStr">
        <is>
          <t>production</t>
        </is>
      </c>
      <c r="G1122" t="inlineStr">
        <is>
          <t xml:space="preserve">used motor drive assembly, electrolysis, AEC</t>
        </is>
      </c>
      <c r="I1122" t="inlineStr">
        <is>
          <t xml:space="preserve">used motor drive assembly, electrolysis, AEC</t>
        </is>
      </c>
    </row>
    <row r="1123">
      <c r="A1123" t="inlineStr">
        <is>
          <t>market for waste electric and electronic equipment</t>
        </is>
      </c>
      <c r="B1123">
        <v>-82.4032</v>
      </c>
      <c r="C1123" t="inlineStr">
        <is>
          <t>GLO</t>
        </is>
      </c>
      <c r="D1123" t="inlineStr">
        <is>
          <t>kilogram</t>
        </is>
      </c>
      <c r="F1123" t="inlineStr">
        <is>
          <t>technosphere</t>
        </is>
      </c>
      <c r="G1123" t="inlineStr">
        <is>
          <t>waste electric and electronic equipment</t>
        </is>
      </c>
      <c r="I1123" t="inlineStr">
        <is>
          <t>waste electric and electronic equipment</t>
        </is>
      </c>
    </row>
    <row r="1126">
      <c r="A1126" t="inlineStr">
        <is>
          <t>Activity</t>
        </is>
      </c>
      <c r="B1126" t="inlineStr">
        <is>
          <t xml:space="preserve">treatment of used power conversion system and motor drives, electrolysis, AEC</t>
        </is>
      </c>
    </row>
    <row r="1127">
      <c r="A1127" t="inlineStr">
        <is>
          <t>location</t>
        </is>
      </c>
      <c r="B1127" t="inlineStr">
        <is>
          <t>GLO</t>
        </is>
      </c>
    </row>
    <row r="1128">
      <c r="A1128" t="inlineStr">
        <is>
          <t>production amount</t>
        </is>
      </c>
      <c r="B1128">
        <v>1</v>
      </c>
    </row>
    <row r="1129">
      <c r="A1129" t="inlineStr">
        <is>
          <t>reference product</t>
        </is>
      </c>
      <c r="B1129" t="inlineStr">
        <is>
          <t xml:space="preserve">used power conversion system and motor drives, electrolysis, AEC</t>
        </is>
      </c>
    </row>
    <row r="1130">
      <c r="A1130" t="inlineStr">
        <is>
          <t>unit</t>
        </is>
      </c>
      <c r="B1130" t="inlineStr">
        <is>
          <t>unit</t>
        </is>
      </c>
    </row>
    <row r="1131">
      <c r="A1131" t="inlineStr">
        <is>
          <t>source</t>
        </is>
      </c>
      <c r="B1131"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132">
      <c r="A1132" t="inlineStr">
        <is>
          <t>comment</t>
        </is>
      </c>
      <c r="B1132" t="inlineStr">
        <is>
          <t xml:space="preserve">Nomenclature revision, 2026-10-19. Former activity name: treatment of electrolyzer power conversion and auxiliary drives, AEC, reference. Former reference product: treatment of electrolyzer power conversion and auxiliary drives, AEC,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133">
      <c r="A1133" t="inlineStr">
        <is>
          <t>Exchanges</t>
        </is>
      </c>
    </row>
    <row r="1134">
      <c r="A1134" t="inlineStr">
        <is>
          <t>name</t>
        </is>
      </c>
      <c r="B1134" t="inlineStr">
        <is>
          <t>amount</t>
        </is>
      </c>
      <c r="C1134" t="inlineStr">
        <is>
          <t>location</t>
        </is>
      </c>
      <c r="D1134" t="inlineStr">
        <is>
          <t>unit</t>
        </is>
      </c>
      <c r="E1134" t="inlineStr">
        <is>
          <t>categories</t>
        </is>
      </c>
      <c r="F1134" t="inlineStr">
        <is>
          <t>type</t>
        </is>
      </c>
      <c r="G1134" t="inlineStr">
        <is>
          <t>reference product</t>
        </is>
      </c>
      <c r="H1134" t="inlineStr">
        <is>
          <t>comment</t>
        </is>
      </c>
      <c r="I1134" t="inlineStr">
        <is>
          <t>product</t>
        </is>
      </c>
    </row>
    <row r="1135">
      <c r="A1135" t="inlineStr">
        <is>
          <t xml:space="preserve">treatment of used power conversion system and motor drives, electrolysis, AEC</t>
        </is>
      </c>
      <c r="B1135">
        <v>-1</v>
      </c>
      <c r="C1135" t="inlineStr">
        <is>
          <t>GLO</t>
        </is>
      </c>
      <c r="D1135" t="inlineStr">
        <is>
          <t>unit</t>
        </is>
      </c>
      <c r="F1135" t="inlineStr">
        <is>
          <t>production</t>
        </is>
      </c>
      <c r="G1135" t="inlineStr">
        <is>
          <t xml:space="preserve">used power conversion system and motor drives, electrolysis, AEC</t>
        </is>
      </c>
      <c r="I1135" t="inlineStr">
        <is>
          <t xml:space="preserve">used power conversion system and motor drives, electrolysis, AEC</t>
        </is>
      </c>
    </row>
    <row r="1136">
      <c r="A1136" t="inlineStr">
        <is>
          <t xml:space="preserve">treatment of used power conversion system, electrolysis, 1 MW</t>
        </is>
      </c>
      <c r="B1136">
        <v>-1</v>
      </c>
      <c r="C1136" t="inlineStr">
        <is>
          <t>GLO</t>
        </is>
      </c>
      <c r="D1136" t="inlineStr">
        <is>
          <t>unit</t>
        </is>
      </c>
      <c r="F1136" t="inlineStr">
        <is>
          <t>technosphere</t>
        </is>
      </c>
      <c r="G1136" t="inlineStr">
        <is>
          <t xml:space="preserve">used power conversion system, electrolysis, 1 MW</t>
        </is>
      </c>
      <c r="I1136" t="inlineStr">
        <is>
          <t xml:space="preserve">used power conversion system, electrolysis, 1 MW</t>
        </is>
      </c>
    </row>
    <row r="1137">
      <c r="A1137" t="inlineStr">
        <is>
          <t xml:space="preserve">treatment of used motor drive assembly, electrolysis, AEC</t>
        </is>
      </c>
      <c r="B1137">
        <v>-1</v>
      </c>
      <c r="C1137" t="inlineStr">
        <is>
          <t>GLO</t>
        </is>
      </c>
      <c r="D1137" t="inlineStr">
        <is>
          <t>unit</t>
        </is>
      </c>
      <c r="F1137" t="inlineStr">
        <is>
          <t>technosphere</t>
        </is>
      </c>
      <c r="G1137" t="inlineStr">
        <is>
          <t xml:space="preserve">used motor drive assembly, electrolysis, AEC</t>
        </is>
      </c>
      <c r="I1137" t="inlineStr">
        <is>
          <t xml:space="preserve">used motor drive assembly, electrolysis, AEC</t>
        </is>
      </c>
    </row>
    <row r="1140">
      <c r="A1140" t="inlineStr">
        <is>
          <t>Activity</t>
        </is>
      </c>
      <c r="B1140" t="inlineStr">
        <is>
          <t xml:space="preserve">motor drive assembly production, electrolysis, SOEC</t>
        </is>
      </c>
    </row>
    <row r="1141">
      <c r="A1141" t="inlineStr">
        <is>
          <t>location</t>
        </is>
      </c>
      <c r="B1141" t="inlineStr">
        <is>
          <t>GLO</t>
        </is>
      </c>
    </row>
    <row r="1142">
      <c r="A1142" t="inlineStr">
        <is>
          <t>production amount</t>
        </is>
      </c>
      <c r="B1142">
        <v>1</v>
      </c>
    </row>
    <row r="1143">
      <c r="A1143" t="inlineStr">
        <is>
          <t>reference product</t>
        </is>
      </c>
      <c r="B1143" t="inlineStr">
        <is>
          <t xml:space="preserve">motor drive assembly, electrolysis, SOEC</t>
        </is>
      </c>
    </row>
    <row r="1144">
      <c r="A1144" t="inlineStr">
        <is>
          <t>unit</t>
        </is>
      </c>
      <c r="B1144" t="inlineStr">
        <is>
          <t>unit</t>
        </is>
      </c>
    </row>
    <row r="1145">
      <c r="A1145" t="inlineStr">
        <is>
          <t>source</t>
        </is>
      </c>
      <c r="B1145"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146">
      <c r="A1146" t="inlineStr">
        <is>
          <t>comment</t>
        </is>
      </c>
      <c r="B1146" t="inlineStr">
        <is>
          <t xml:space="preserve">Nomenclature revision, 2026-10-19. Former activity name: electrolyzer auxiliary drive lifetime kit, SOEC, reference. Former reference product: electrolyzer auxiliary drive lifetime kit, SOEC,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147">
      <c r="A1147" t="inlineStr">
        <is>
          <t>Exchanges</t>
        </is>
      </c>
    </row>
    <row r="1148">
      <c r="A1148" t="inlineStr">
        <is>
          <t>name</t>
        </is>
      </c>
      <c r="B1148" t="inlineStr">
        <is>
          <t>amount</t>
        </is>
      </c>
      <c r="C1148" t="inlineStr">
        <is>
          <t>location</t>
        </is>
      </c>
      <c r="D1148" t="inlineStr">
        <is>
          <t>unit</t>
        </is>
      </c>
      <c r="E1148" t="inlineStr">
        <is>
          <t>categories</t>
        </is>
      </c>
      <c r="F1148" t="inlineStr">
        <is>
          <t>type</t>
        </is>
      </c>
      <c r="G1148" t="inlineStr">
        <is>
          <t>reference product</t>
        </is>
      </c>
      <c r="H1148" t="inlineStr">
        <is>
          <t>comment</t>
        </is>
      </c>
      <c r="I1148" t="inlineStr">
        <is>
          <t>product</t>
        </is>
      </c>
    </row>
    <row r="1149">
      <c r="A1149" t="inlineStr">
        <is>
          <t xml:space="preserve">motor drive assembly production, electrolysis, SOEC</t>
        </is>
      </c>
      <c r="B1149">
        <v>1</v>
      </c>
      <c r="C1149" t="inlineStr">
        <is>
          <t>GLO</t>
        </is>
      </c>
      <c r="D1149" t="inlineStr">
        <is>
          <t>unit</t>
        </is>
      </c>
      <c r="F1149" t="inlineStr">
        <is>
          <t>production</t>
        </is>
      </c>
      <c r="G1149" t="inlineStr">
        <is>
          <t xml:space="preserve">motor drive assembly, electrolysis, SOEC</t>
        </is>
      </c>
      <c r="I1149" t="inlineStr">
        <is>
          <t xml:space="preserve">motor drive assembly, electrolysis, SOEC</t>
        </is>
      </c>
    </row>
    <row r="1150">
      <c r="A1150" t="inlineStr">
        <is>
          <t xml:space="preserve">motor drive production, industrial, 15 kW</t>
        </is>
      </c>
      <c r="B1150">
        <v>10</v>
      </c>
      <c r="C1150" t="inlineStr">
        <is>
          <t>GLO</t>
        </is>
      </c>
      <c r="D1150" t="inlineStr">
        <is>
          <t>unit</t>
        </is>
      </c>
      <c r="F1150" t="inlineStr">
        <is>
          <t>technosphere</t>
        </is>
      </c>
      <c r="G1150" t="inlineStr">
        <is>
          <t xml:space="preserve">motor drive, industrial, 15 kW</t>
        </is>
      </c>
      <c r="I1150" t="inlineStr">
        <is>
          <t xml:space="preserve">motor drive, industrial, 15 kW</t>
        </is>
      </c>
    </row>
    <row r="1151">
      <c r="A1151" t="inlineStr">
        <is>
          <t xml:space="preserve">motor drive production, industrial, 1.1 kW</t>
        </is>
      </c>
      <c r="B1151">
        <v>2</v>
      </c>
      <c r="C1151" t="inlineStr">
        <is>
          <t>GLO</t>
        </is>
      </c>
      <c r="D1151" t="inlineStr">
        <is>
          <t>unit</t>
        </is>
      </c>
      <c r="F1151" t="inlineStr">
        <is>
          <t>technosphere</t>
        </is>
      </c>
      <c r="G1151" t="inlineStr">
        <is>
          <t xml:space="preserve">motor drive, industrial, 1.1 kW</t>
        </is>
      </c>
      <c r="I1151" t="inlineStr">
        <is>
          <t xml:space="preserve">motor drive, industrial, 1.1 kW</t>
        </is>
      </c>
    </row>
    <row r="1154">
      <c r="A1154" t="inlineStr">
        <is>
          <t>Activity</t>
        </is>
      </c>
      <c r="B1154" t="inlineStr">
        <is>
          <t xml:space="preserve">treatment of used motor drive assembly, electrolysis, SOEC</t>
        </is>
      </c>
    </row>
    <row r="1155">
      <c r="A1155" t="inlineStr">
        <is>
          <t>location</t>
        </is>
      </c>
      <c r="B1155" t="inlineStr">
        <is>
          <t>GLO</t>
        </is>
      </c>
    </row>
    <row r="1156">
      <c r="A1156" t="inlineStr">
        <is>
          <t>production amount</t>
        </is>
      </c>
      <c r="B1156">
        <v>1</v>
      </c>
    </row>
    <row r="1157">
      <c r="A1157" t="inlineStr">
        <is>
          <t>reference product</t>
        </is>
      </c>
      <c r="B1157" t="inlineStr">
        <is>
          <t xml:space="preserve">used motor drive assembly, electrolysis, SOEC</t>
        </is>
      </c>
    </row>
    <row r="1158">
      <c r="A1158" t="inlineStr">
        <is>
          <t>unit</t>
        </is>
      </c>
      <c r="B1158" t="inlineStr">
        <is>
          <t>unit</t>
        </is>
      </c>
    </row>
    <row r="1159">
      <c r="A1159" t="inlineStr">
        <is>
          <t>source</t>
        </is>
      </c>
      <c r="B1159"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160">
      <c r="A1160" t="inlineStr">
        <is>
          <t>comment</t>
        </is>
      </c>
      <c r="B1160" t="inlineStr">
        <is>
          <t xml:space="preserve">Nomenclature revision, 2026-10-19. Former activity name: treatment of electrolyzer auxiliary drive lifetime kit, SOEC, reference. Former reference product: treatment of electrolyzer auxiliary drive lifetime kit, SOEC,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161">
      <c r="A1161" t="inlineStr">
        <is>
          <t>Exchanges</t>
        </is>
      </c>
    </row>
    <row r="1162">
      <c r="A1162" t="inlineStr">
        <is>
          <t>name</t>
        </is>
      </c>
      <c r="B1162" t="inlineStr">
        <is>
          <t>amount</t>
        </is>
      </c>
      <c r="C1162" t="inlineStr">
        <is>
          <t>location</t>
        </is>
      </c>
      <c r="D1162" t="inlineStr">
        <is>
          <t>unit</t>
        </is>
      </c>
      <c r="E1162" t="inlineStr">
        <is>
          <t>categories</t>
        </is>
      </c>
      <c r="F1162" t="inlineStr">
        <is>
          <t>type</t>
        </is>
      </c>
      <c r="G1162" t="inlineStr">
        <is>
          <t>reference product</t>
        </is>
      </c>
      <c r="H1162" t="inlineStr">
        <is>
          <t>comment</t>
        </is>
      </c>
      <c r="I1162" t="inlineStr">
        <is>
          <t>product</t>
        </is>
      </c>
    </row>
    <row r="1163">
      <c r="A1163" t="inlineStr">
        <is>
          <t xml:space="preserve">treatment of used motor drive assembly, electrolysis, SOEC</t>
        </is>
      </c>
      <c r="B1163">
        <v>-1</v>
      </c>
      <c r="C1163" t="inlineStr">
        <is>
          <t>GLO</t>
        </is>
      </c>
      <c r="D1163" t="inlineStr">
        <is>
          <t>unit</t>
        </is>
      </c>
      <c r="F1163" t="inlineStr">
        <is>
          <t>production</t>
        </is>
      </c>
      <c r="G1163" t="inlineStr">
        <is>
          <t xml:space="preserve">used motor drive assembly, electrolysis, SOEC</t>
        </is>
      </c>
      <c r="I1163" t="inlineStr">
        <is>
          <t xml:space="preserve">used motor drive assembly, electrolysis, SOEC</t>
        </is>
      </c>
    </row>
    <row r="1164">
      <c r="A1164" t="inlineStr">
        <is>
          <t>market for waste electric and electronic equipment</t>
        </is>
      </c>
      <c r="B1164">
        <v>-118.46482</v>
      </c>
      <c r="C1164" t="inlineStr">
        <is>
          <t>GLO</t>
        </is>
      </c>
      <c r="D1164" t="inlineStr">
        <is>
          <t>kilogram</t>
        </is>
      </c>
      <c r="F1164" t="inlineStr">
        <is>
          <t>technosphere</t>
        </is>
      </c>
      <c r="G1164" t="inlineStr">
        <is>
          <t>waste electric and electronic equipment</t>
        </is>
      </c>
      <c r="I1164" t="inlineStr">
        <is>
          <t>waste electric and electronic equipment</t>
        </is>
      </c>
    </row>
    <row r="1167">
      <c r="A1167" t="inlineStr">
        <is>
          <t>Activity</t>
        </is>
      </c>
      <c r="B1167" t="inlineStr">
        <is>
          <t xml:space="preserve">treatment of used power conversion system and motor drives, electrolysis, SOEC</t>
        </is>
      </c>
    </row>
    <row r="1168">
      <c r="A1168" t="inlineStr">
        <is>
          <t>location</t>
        </is>
      </c>
      <c r="B1168" t="inlineStr">
        <is>
          <t>GLO</t>
        </is>
      </c>
    </row>
    <row r="1169">
      <c r="A1169" t="inlineStr">
        <is>
          <t>production amount</t>
        </is>
      </c>
      <c r="B1169">
        <v>1</v>
      </c>
    </row>
    <row r="1170">
      <c r="A1170" t="inlineStr">
        <is>
          <t>reference product</t>
        </is>
      </c>
      <c r="B1170" t="inlineStr">
        <is>
          <t xml:space="preserve">used power conversion system and motor drives, electrolysis, SOEC</t>
        </is>
      </c>
    </row>
    <row r="1171">
      <c r="A1171" t="inlineStr">
        <is>
          <t>unit</t>
        </is>
      </c>
      <c r="B1171" t="inlineStr">
        <is>
          <t>unit</t>
        </is>
      </c>
    </row>
    <row r="1172">
      <c r="A1172" t="inlineStr">
        <is>
          <t>source</t>
        </is>
      </c>
      <c r="B1172"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173">
      <c r="A1173" t="inlineStr">
        <is>
          <t>comment</t>
        </is>
      </c>
      <c r="B1173" t="inlineStr">
        <is>
          <t xml:space="preserve">Nomenclature revision, 2026-10-19. Former activity name: treatment of electrolyzer power conversion and auxiliary drives, SOEC, reference. Former reference product: treatment of electrolyzer power conversion and auxiliary drives, SOEC,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174">
      <c r="A1174" t="inlineStr">
        <is>
          <t>Exchanges</t>
        </is>
      </c>
    </row>
    <row r="1175">
      <c r="A1175" t="inlineStr">
        <is>
          <t>name</t>
        </is>
      </c>
      <c r="B1175" t="inlineStr">
        <is>
          <t>amount</t>
        </is>
      </c>
      <c r="C1175" t="inlineStr">
        <is>
          <t>location</t>
        </is>
      </c>
      <c r="D1175" t="inlineStr">
        <is>
          <t>unit</t>
        </is>
      </c>
      <c r="E1175" t="inlineStr">
        <is>
          <t>categories</t>
        </is>
      </c>
      <c r="F1175" t="inlineStr">
        <is>
          <t>type</t>
        </is>
      </c>
      <c r="G1175" t="inlineStr">
        <is>
          <t>reference product</t>
        </is>
      </c>
      <c r="H1175" t="inlineStr">
        <is>
          <t>comment</t>
        </is>
      </c>
      <c r="I1175" t="inlineStr">
        <is>
          <t>product</t>
        </is>
      </c>
    </row>
    <row r="1176">
      <c r="A1176" t="inlineStr">
        <is>
          <t xml:space="preserve">treatment of used power conversion system and motor drives, electrolysis, SOEC</t>
        </is>
      </c>
      <c r="B1176">
        <v>-1</v>
      </c>
      <c r="C1176" t="inlineStr">
        <is>
          <t>GLO</t>
        </is>
      </c>
      <c r="D1176" t="inlineStr">
        <is>
          <t>unit</t>
        </is>
      </c>
      <c r="F1176" t="inlineStr">
        <is>
          <t>production</t>
        </is>
      </c>
      <c r="G1176" t="inlineStr">
        <is>
          <t xml:space="preserve">used power conversion system and motor drives, electrolysis, SOEC</t>
        </is>
      </c>
      <c r="I1176" t="inlineStr">
        <is>
          <t xml:space="preserve">used power conversion system and motor drives, electrolysis, SOEC</t>
        </is>
      </c>
    </row>
    <row r="1177">
      <c r="A1177" t="inlineStr">
        <is>
          <t xml:space="preserve">treatment of used power conversion system, electrolysis, 1 MW</t>
        </is>
      </c>
      <c r="B1177">
        <v>-1</v>
      </c>
      <c r="C1177" t="inlineStr">
        <is>
          <t>GLO</t>
        </is>
      </c>
      <c r="D1177" t="inlineStr">
        <is>
          <t>unit</t>
        </is>
      </c>
      <c r="F1177" t="inlineStr">
        <is>
          <t>technosphere</t>
        </is>
      </c>
      <c r="G1177" t="inlineStr">
        <is>
          <t xml:space="preserve">used power conversion system, electrolysis, 1 MW</t>
        </is>
      </c>
      <c r="I1177" t="inlineStr">
        <is>
          <t xml:space="preserve">used power conversion system, electrolysis, 1 MW</t>
        </is>
      </c>
    </row>
    <row r="1178">
      <c r="A1178" t="inlineStr">
        <is>
          <t xml:space="preserve">treatment of used motor drive assembly, electrolysis, SOEC</t>
        </is>
      </c>
      <c r="B1178">
        <v>-1</v>
      </c>
      <c r="C1178" t="inlineStr">
        <is>
          <t>GLO</t>
        </is>
      </c>
      <c r="D1178" t="inlineStr">
        <is>
          <t>unit</t>
        </is>
      </c>
      <c r="F1178" t="inlineStr">
        <is>
          <t>technosphere</t>
        </is>
      </c>
      <c r="G1178" t="inlineStr">
        <is>
          <t xml:space="preserve">used motor drive assembly, electrolysis, SOEC</t>
        </is>
      </c>
      <c r="I1178" t="inlineStr">
        <is>
          <t xml:space="preserve">used motor drive assembly, electrolysis, SOEC</t>
        </is>
      </c>
    </row>
    <row r="1181">
      <c r="A1181" t="inlineStr">
        <is>
          <t>Activity</t>
        </is>
      </c>
      <c r="B1181" t="inlineStr">
        <is>
          <t xml:space="preserve">PTFE gasket production, polymerization and forming</t>
        </is>
      </c>
    </row>
    <row r="1182">
      <c r="A1182" t="inlineStr">
        <is>
          <t>location</t>
        </is>
      </c>
      <c r="B1182" t="inlineStr">
        <is>
          <t>GLO</t>
        </is>
      </c>
    </row>
    <row r="1183">
      <c r="A1183" t="inlineStr">
        <is>
          <t>production amount</t>
        </is>
      </c>
      <c r="B1183">
        <v>1</v>
      </c>
    </row>
    <row r="1184">
      <c r="A1184" t="inlineStr">
        <is>
          <t>reference product</t>
        </is>
      </c>
      <c r="B1184" t="inlineStr">
        <is>
          <t xml:space="preserve">PTFE gasket, polymerization and forming</t>
        </is>
      </c>
    </row>
    <row r="1185">
      <c r="A1185" t="inlineStr">
        <is>
          <t>unit</t>
        </is>
      </c>
      <c r="B1185" t="inlineStr">
        <is>
          <t>kilogram</t>
        </is>
      </c>
    </row>
    <row r="1186">
      <c r="A1186" t="inlineStr">
        <is>
          <t>source</t>
        </is>
      </c>
      <c r="B1186" t="inlineStr">
        <is>
          <t>Gerloff2021 DOI10.1016/j.est.2021.102759 andPtM DOI10.1021/acssuschemeng.1c02002 SI pS12 identify144.2kgTFEinputasgasket. FinishedPTFEproperties/polymerization:Hintzer et al.2014 Ullmann Fluoropolymers DOI10.1002/14356007.a11_393.pub2;ecoinvent3.12hasPTFEemulsionpolymerizationbut3.8-3.11lackafinishedprovider. Engineeringallowancesbelowuse3.12polymerizationenergy7.5MJ+0.5kWh/kgplus3MJ+0.2kWhforming,notacopyofwholebackgroundinventory.</t>
        </is>
      </c>
    </row>
    <row r="1187">
      <c r="A1187" t="inlineStr">
        <is>
          <t>comment</t>
        </is>
      </c>
      <c r="B1187" t="inlineStr">
        <is>
          <t xml:space="preserve">Nomenclature revision, 2026-10-19. Former activity name: PTFE gasket, polymerization and forming engineering reference. Former reference product: PTFE gasket, polymerization and forming engineering reference. Activity/product labels and supplier references only; coefficients, formulas, uncertainty, declared output and unit are unchanged. Original engineering assumptions, functional-unit basis and limitations remain below.
APPROVED FINISHED AEC PTFE GASKETS, issue100, 2026-10-18. Gerloff2021 DOI10.1016/j.est.2021.102759 andPtM DOI10.1021/acssuschemeng.1c02002 SI pS12 identify144.2kgTFEinputasgasket. FinishedPTFEproperties/polymerization:Hintzer et al.2014 Ullmann Fluoropolymers DOI10.1002/14356007.a11_393.pub2;ecoinvent3.12hasPTFEemulsionpolymerizationbut3.8-3.11lackafinishedprovider. Engineeringallowancesbelowuse3.12polymerizationenergy7.5MJ+0.5kWh/kgplus3MJ+0.2kWhforming,notacopyofwholebackgroundinventory. Replace144.2kgvolatileTFEmonomerby144.2kgfinishedPTFEgasketreference,maintainingallversionbehaviorwithoneworkbookprovider. nC2F4-&gt;(C2F4)n;100%chemicalconversionthen95%finishedsolidretention(includingforming/machiningreject). Perkgfinished1/0.95=1.0526315789473684kgTFE,solidPTFEreject=0.05263157894736836kg. Thisyieldisassumed,90-100%sensitivity;notmeasuredindustrialpolymerizationyield. Aggregatemanufacture10.5MJheat+0.7kWh/kgfinishedincludespolymerizationandformingonce(5-20MJ,.35-1.4kWhsensitivity). ExistingTFEsupplyupstreamburdensretainedonce. Initiator,emulsionwater/surfactant,polymerdrying,highpressureequipment,purification,PFAS/TFEfugitiveemissionsandactualgasketshapesareunresolved;solid-rejectreferenceisnotclaimofzeroindustrialairloss. No nativePTFEpurchaseontopofmonomer,nomassivegasgasketinterpretation. FinishedAECgasketEOL144.2kgoldplasticroutepreserved;fluoropolymer-specificHFabatementnotvalidatedbygenericroute. Stacklifetimesandmetalinputsunchanged.</t>
        </is>
      </c>
    </row>
    <row r="1188">
      <c r="A1188" t="inlineStr">
        <is>
          <t>Exchanges</t>
        </is>
      </c>
    </row>
    <row r="1189">
      <c r="A1189" t="inlineStr">
        <is>
          <t>name</t>
        </is>
      </c>
      <c r="B1189" t="inlineStr">
        <is>
          <t>amount</t>
        </is>
      </c>
      <c r="C1189" t="inlineStr">
        <is>
          <t>location</t>
        </is>
      </c>
      <c r="D1189" t="inlineStr">
        <is>
          <t>unit</t>
        </is>
      </c>
      <c r="E1189" t="inlineStr">
        <is>
          <t>categories</t>
        </is>
      </c>
      <c r="F1189" t="inlineStr">
        <is>
          <t>type</t>
        </is>
      </c>
      <c r="G1189" t="inlineStr">
        <is>
          <t>reference product</t>
        </is>
      </c>
      <c r="H1189" t="inlineStr">
        <is>
          <t>comment</t>
        </is>
      </c>
      <c r="I1189" t="inlineStr">
        <is>
          <t>product</t>
        </is>
      </c>
    </row>
    <row r="1190">
      <c r="A1190" t="inlineStr">
        <is>
          <t xml:space="preserve">PTFE gasket production, polymerization and forming</t>
        </is>
      </c>
      <c r="B1190">
        <v>1</v>
      </c>
      <c r="C1190" t="inlineStr">
        <is>
          <t>GLO</t>
        </is>
      </c>
      <c r="D1190" t="inlineStr">
        <is>
          <t>kilogram</t>
        </is>
      </c>
      <c r="F1190" t="inlineStr">
        <is>
          <t>production</t>
        </is>
      </c>
      <c r="G1190" t="inlineStr">
        <is>
          <t xml:space="preserve">PTFE gasket, polymerization and forming</t>
        </is>
      </c>
      <c r="I1190" t="inlineStr">
        <is>
          <t xml:space="preserve">PTFE gasket, polymerization and forming</t>
        </is>
      </c>
    </row>
    <row r="1191">
      <c r="A1191" t="inlineStr">
        <is>
          <t>market for tetrafluoroethylene</t>
        </is>
      </c>
      <c r="B1191">
        <v>1.0526315789473684</v>
      </c>
      <c r="C1191" t="inlineStr">
        <is>
          <t>GLO</t>
        </is>
      </c>
      <c r="D1191" t="inlineStr">
        <is>
          <t>kilogram</t>
        </is>
      </c>
      <c r="F1191" t="inlineStr">
        <is>
          <t>technosphere</t>
        </is>
      </c>
      <c r="G1191" t="inlineStr">
        <is>
          <t>tetrafluoroethylene</t>
        </is>
      </c>
      <c r="I1191" t="inlineStr">
        <is>
          <t>tetrafluoroethylene</t>
        </is>
      </c>
    </row>
    <row r="1192">
      <c r="A1192" t="inlineStr">
        <is>
          <t>market for heat, district or industrial, natural gas</t>
        </is>
      </c>
      <c r="B1192">
        <v>10.5</v>
      </c>
      <c r="C1192" t="inlineStr">
        <is>
          <t>RoW</t>
        </is>
      </c>
      <c r="D1192" t="inlineStr">
        <is>
          <t>megajoule</t>
        </is>
      </c>
      <c r="F1192" t="inlineStr">
        <is>
          <t>technosphere</t>
        </is>
      </c>
      <c r="G1192" t="inlineStr">
        <is>
          <t>heat, district or industrial, natural gas</t>
        </is>
      </c>
      <c r="I1192" t="inlineStr">
        <is>
          <t>heat, district or industrial, natural gas</t>
        </is>
      </c>
    </row>
    <row r="1193">
      <c r="A1193" t="inlineStr">
        <is>
          <t>market group for electricity, medium voltage</t>
        </is>
      </c>
      <c r="B1193">
        <v>0.7</v>
      </c>
      <c r="C1193" t="inlineStr">
        <is>
          <t>GLO</t>
        </is>
      </c>
      <c r="D1193" t="inlineStr">
        <is>
          <t>kilowatt hour</t>
        </is>
      </c>
      <c r="F1193" t="inlineStr">
        <is>
          <t>technosphere</t>
        </is>
      </c>
      <c r="G1193" t="inlineStr">
        <is>
          <t>electricity, medium voltage</t>
        </is>
      </c>
      <c r="I1193" t="inlineStr">
        <is>
          <t>electricity, medium voltage</t>
        </is>
      </c>
    </row>
    <row r="1194">
      <c r="A1194" t="inlineStr">
        <is>
          <t>market for waste plastic, mixture</t>
        </is>
      </c>
      <c r="B1194">
        <v>-0.05263157894736836</v>
      </c>
      <c r="C1194" t="inlineStr">
        <is>
          <t>RoW</t>
        </is>
      </c>
      <c r="D1194" t="inlineStr">
        <is>
          <t>kilogram</t>
        </is>
      </c>
      <c r="F1194" t="inlineStr">
        <is>
          <t>technosphere</t>
        </is>
      </c>
      <c r="G1194" t="inlineStr">
        <is>
          <t>waste plastic, mixture</t>
        </is>
      </c>
      <c r="I1194" t="inlineStr">
        <is>
          <t>waste plastic, mixture</t>
        </is>
      </c>
    </row>
    <row r="1197">
      <c r="A1197" t="inlineStr">
        <is>
          <t>Activity</t>
        </is>
      </c>
      <c r="B1197" t="inlineStr">
        <is>
          <t>silicon carbide wafer production, physical vapour transport</t>
        </is>
      </c>
    </row>
    <row r="1198">
      <c r="A1198" t="inlineStr">
        <is>
          <t>location</t>
        </is>
      </c>
      <c r="B1198" t="inlineStr">
        <is>
          <t>GLO</t>
        </is>
      </c>
    </row>
    <row r="1199">
      <c r="A1199" t="inlineStr">
        <is>
          <t>production amount</t>
        </is>
      </c>
      <c r="B1199">
        <v>1</v>
      </c>
    </row>
    <row r="1200">
      <c r="A1200" t="inlineStr">
        <is>
          <t>reference product</t>
        </is>
      </c>
      <c r="B1200" t="inlineStr">
        <is>
          <t>silicon carbide wafer</t>
        </is>
      </c>
    </row>
    <row r="1201">
      <c r="A1201" t="inlineStr">
        <is>
          <t>unit</t>
        </is>
      </c>
      <c r="B1201" t="inlineStr">
        <is>
          <t>kilogram</t>
        </is>
      </c>
    </row>
    <row r="1202">
      <c r="A1202" t="inlineStr">
        <is>
          <t>source</t>
        </is>
      </c>
      <c r="B1202" t="inlineStr">
        <is>
          <t>Arvidsson and Molander 2017, DOI10.1111/jiec.12526; Warren et al.2015, DOI10.1021/acs.est.5b01627. Published PVT substrate reference.</t>
        </is>
      </c>
    </row>
    <row r="1203">
      <c r="A1203" t="inlineStr">
        <is>
          <t>comment</t>
        </is>
      </c>
      <c r="B1203" t="inlineStr">
        <is>
          <t>SiC SUBSTRATE MANUFACTURE, 2026-10-19. Arvidsson and Molander (2017), DOI 10.1111/jiec.12526, section Silicon Carbide Wafer Production / Physical Vapor Transport, citing Warren et al. (2015), DOI 10.1021/acs.est.5b01627: PVT substrate electricity 4.0 kWh/cm2 for a 350 micrometre wafer, density 3210 kg/m3, net wafer-material yield 0.35 including poor crystal regions, slicing and polishing. Thus per kg finished wafer: electricity 35603.0262572 kWh and Acheson SiC powder 1/0.35 = 2.85714285714 kg. Source linearly scales growth electricity with thickness; this mass-normalized reference uses its 350 micrometre basis. Unused charge recirculates internally and is not purchased again; the net discarded 1/0.35-1 kg SiC goes once to generic inert-waste disposal, with no recovery credit. This waste fate is an explicit proxy for discarded crystal/kerf. The source omits measured argon and direct growth emissions; those are unresolved, not demonstrated zero. Global electricity is a geographic proxy. This restores SUBSTRATE production instead of buying industrial SiC powder as a finished semiconductor. It does NOT include device epitaxy, lithography, implantation, metallization, die yields or package assembly. Those remain separate open boundaries; do not interpret this as a complete SiC transistor LCI or a current vendor-specific process. Retain declared finished SiC die mass, package metals/resins, part counts, service life, operating losses and EOL. Do not purchase a complete packaged power device on top. Published reference is historical: test electricity 2/4/6 kWh/cm2 and wafer yield 0.35/0.50/0.70 as illustrative process sensitivities, not measured statistics. Source https://link.springer.com/article/10.1111/jiec.12526 (CC BY 4.0); full text https://publications.lib.chalmers.se/records/fulltext/253433/local_253433.pdf . Only existing supplemental workbooks change; no runtime, native, mapping or primary/secondary-share edits.</t>
        </is>
      </c>
    </row>
    <row r="1204">
      <c r="A1204" t="inlineStr">
        <is>
          <t>Exchanges</t>
        </is>
      </c>
    </row>
    <row r="1205">
      <c r="A1205" t="inlineStr">
        <is>
          <t>name</t>
        </is>
      </c>
      <c r="B1205" t="inlineStr">
        <is>
          <t>amount</t>
        </is>
      </c>
      <c r="C1205" t="inlineStr">
        <is>
          <t>location</t>
        </is>
      </c>
      <c r="D1205" t="inlineStr">
        <is>
          <t>unit</t>
        </is>
      </c>
      <c r="E1205" t="inlineStr">
        <is>
          <t>categories</t>
        </is>
      </c>
      <c r="F1205" t="inlineStr">
        <is>
          <t>type</t>
        </is>
      </c>
      <c r="G1205" t="inlineStr">
        <is>
          <t>reference product</t>
        </is>
      </c>
      <c r="H1205" t="inlineStr">
        <is>
          <t>comment</t>
        </is>
      </c>
    </row>
    <row r="1206">
      <c r="A1206" t="inlineStr">
        <is>
          <t>silicon carbide wafer production, physical vapour transport</t>
        </is>
      </c>
      <c r="B1206">
        <v>1</v>
      </c>
      <c r="C1206" t="inlineStr">
        <is>
          <t>GLO</t>
        </is>
      </c>
      <c r="D1206" t="inlineStr">
        <is>
          <t>kilogram</t>
        </is>
      </c>
      <c r="F1206" t="inlineStr">
        <is>
          <t>production</t>
        </is>
      </c>
      <c r="G1206" t="inlineStr">
        <is>
          <t>silicon carbide wafer</t>
        </is>
      </c>
    </row>
    <row r="1207">
      <c r="A1207" t="inlineStr">
        <is>
          <t>market for silicon carbide</t>
        </is>
      </c>
      <c r="B1207">
        <v>2.857142857142857</v>
      </c>
      <c r="C1207" t="inlineStr">
        <is>
          <t>GLO</t>
        </is>
      </c>
      <c r="D1207" t="inlineStr">
        <is>
          <t>kilogram</t>
        </is>
      </c>
      <c r="F1207" t="inlineStr">
        <is>
          <t>technosphere</t>
        </is>
      </c>
      <c r="G1207" t="inlineStr">
        <is>
          <t>silicon carbide</t>
        </is>
      </c>
      <c r="H1207" t="inlineStr">
        <is>
          <t>Net feed includes crystal, slicing and polishing losses once.</t>
        </is>
      </c>
    </row>
    <row r="1208">
      <c r="A1208" t="inlineStr">
        <is>
          <t>market group for electricity, medium voltage</t>
        </is>
      </c>
      <c r="B1208">
        <v>35603.02625723187</v>
      </c>
      <c r="C1208" t="inlineStr">
        <is>
          <t>GLO</t>
        </is>
      </c>
      <c r="D1208" t="inlineStr">
        <is>
          <t>kilowatt hour</t>
        </is>
      </c>
      <c r="F1208" t="inlineStr">
        <is>
          <t>technosphere</t>
        </is>
      </c>
      <c r="G1208" t="inlineStr">
        <is>
          <t>electricity, medium voltage</t>
        </is>
      </c>
      <c r="H1208" t="inlineStr">
        <is>
          <t>4 kWh/cm2 at 350 um and 3210 kg/m3.</t>
        </is>
      </c>
    </row>
    <row r="1209">
      <c r="A1209" t="inlineStr">
        <is>
          <t>market for inert waste, for final disposal</t>
        </is>
      </c>
      <c r="B1209">
        <v>-1.8571428571428572</v>
      </c>
      <c r="C1209" t="inlineStr">
        <is>
          <t>RoW</t>
        </is>
      </c>
      <c r="D1209" t="inlineStr">
        <is>
          <t>kilogram</t>
        </is>
      </c>
      <c r="F1209" t="inlineStr">
        <is>
          <t>technosphere</t>
        </is>
      </c>
      <c r="G1209" t="inlineStr">
        <is>
          <t>inert waste, for final disposal</t>
        </is>
      </c>
      <c r="H1209" t="inlineStr">
        <is>
          <t>Generic discarded-crystal/kerf fate; no recycling credit.</t>
        </is>
      </c>
    </row>
  </sheetData>
  <autoFilter ref="A1:T638" xr:uid="{00000000-0001-0000-0000-000000000000}"/>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07540C-5A98-C943-82C9-9BA357D77C9A}">
  <dimension ref="A1:F17"/>
  <sheetViews>
    <sheetView workbookViewId="0">
      <selection activeCell="D8" sqref="D8:E8"/>
    </sheetView>
  </sheetViews>
  <sheetFormatPr baseColWidth="10" defaultRowHeight="15" x14ac:dyDescent="0.2"/>
  <cols>
    <col min="1" max="1" width="23.83203125" bestFit="1" customWidth="1"/>
    <col min="2" max="3" width="9.1640625" bestFit="1" customWidth="1"/>
    <col min="4" max="4" width="7.1640625" bestFit="1" customWidth="1"/>
    <col min="5" max="5" width="13" customWidth="1"/>
    <col min="6" max="6" width="18.33203125" customWidth="1"/>
  </cols>
  <sheetData>
    <row r="1" spans="1:6" x14ac:dyDescent="0.2">
      <c r="A1" t="s">
        <v>434</v>
      </c>
    </row>
    <row r="2" spans="1:6" ht="16" thickBot="1" x14ac:dyDescent="0.25"/>
    <row r="3" spans="1:6" ht="16" thickBot="1" x14ac:dyDescent="0.25">
      <c r="A3" s="35"/>
      <c r="B3" s="36" t="s">
        <v>271</v>
      </c>
      <c r="C3" s="36" t="s">
        <v>393</v>
      </c>
      <c r="D3" s="36" t="s">
        <v>346</v>
      </c>
      <c r="E3" s="37" t="s">
        <v>347</v>
      </c>
      <c r="F3" s="36" t="s">
        <v>394</v>
      </c>
    </row>
    <row r="4" spans="1:6" ht="17" thickTop="1" thickBot="1" x14ac:dyDescent="0.25">
      <c r="A4" s="41" t="s">
        <v>427</v>
      </c>
      <c r="B4" s="39" t="s">
        <v>428</v>
      </c>
      <c r="C4" s="38" t="s">
        <v>430</v>
      </c>
      <c r="D4" s="56" t="s">
        <v>395</v>
      </c>
      <c r="E4" s="57"/>
      <c r="F4" s="39" t="s">
        <v>396</v>
      </c>
    </row>
    <row r="5" spans="1:6" ht="71" thickBot="1" x14ac:dyDescent="0.25">
      <c r="A5" s="46" t="s">
        <v>429</v>
      </c>
      <c r="B5" s="39">
        <v>7</v>
      </c>
      <c r="C5" s="38">
        <v>5.5</v>
      </c>
      <c r="D5" s="58">
        <v>2.5</v>
      </c>
      <c r="E5" s="59"/>
      <c r="F5" s="38" t="s">
        <v>397</v>
      </c>
    </row>
    <row r="6" spans="1:6" ht="29" thickBot="1" x14ac:dyDescent="0.25">
      <c r="A6" s="46" t="s">
        <v>398</v>
      </c>
      <c r="B6" s="49" t="s">
        <v>399</v>
      </c>
      <c r="C6" s="55"/>
      <c r="D6" s="55"/>
      <c r="E6" s="50"/>
      <c r="F6" s="40" t="s">
        <v>400</v>
      </c>
    </row>
    <row r="7" spans="1:6" ht="16" thickBot="1" x14ac:dyDescent="0.25">
      <c r="A7" s="46" t="s">
        <v>401</v>
      </c>
      <c r="B7" s="39">
        <v>27.5</v>
      </c>
      <c r="C7" s="38">
        <v>20</v>
      </c>
      <c r="D7" s="58">
        <v>20</v>
      </c>
      <c r="E7" s="59"/>
      <c r="F7" s="38" t="s">
        <v>396</v>
      </c>
    </row>
    <row r="8" spans="1:6" ht="43" thickBot="1" x14ac:dyDescent="0.25">
      <c r="A8" s="46" t="s">
        <v>402</v>
      </c>
      <c r="B8" s="39">
        <v>3</v>
      </c>
      <c r="C8" s="38">
        <v>3</v>
      </c>
      <c r="D8" s="58">
        <v>7</v>
      </c>
      <c r="E8" s="59"/>
      <c r="F8" s="38" t="s">
        <v>403</v>
      </c>
    </row>
    <row r="9" spans="1:6" ht="31" thickBot="1" x14ac:dyDescent="0.25">
      <c r="A9" s="46" t="s">
        <v>404</v>
      </c>
      <c r="B9" s="49" t="s">
        <v>431</v>
      </c>
      <c r="C9" s="55"/>
      <c r="D9" s="55"/>
      <c r="E9" s="50"/>
      <c r="F9" s="40" t="s">
        <v>405</v>
      </c>
    </row>
    <row r="10" spans="1:6" ht="71" thickBot="1" x14ac:dyDescent="0.25">
      <c r="A10" s="46" t="s">
        <v>406</v>
      </c>
      <c r="B10" s="39">
        <v>51.8</v>
      </c>
      <c r="C10" s="39">
        <v>54</v>
      </c>
      <c r="D10" s="39">
        <v>42.3</v>
      </c>
      <c r="E10" s="40">
        <v>39</v>
      </c>
      <c r="F10" s="38" t="s">
        <v>407</v>
      </c>
    </row>
    <row r="11" spans="1:6" ht="31" thickBot="1" x14ac:dyDescent="0.25">
      <c r="A11" s="46" t="s">
        <v>432</v>
      </c>
      <c r="B11" s="42">
        <v>0.64500000000000002</v>
      </c>
      <c r="C11" s="42">
        <v>0.61699999999999999</v>
      </c>
      <c r="D11" s="42">
        <v>0.78700000000000003</v>
      </c>
      <c r="E11" s="43">
        <v>0.85</v>
      </c>
      <c r="F11" s="38" t="s">
        <v>408</v>
      </c>
    </row>
    <row r="12" spans="1:6" ht="43" thickBot="1" x14ac:dyDescent="0.25">
      <c r="A12" s="46" t="s">
        <v>409</v>
      </c>
      <c r="B12" s="39"/>
      <c r="C12" s="44"/>
      <c r="D12" s="39"/>
      <c r="E12" s="40">
        <v>16</v>
      </c>
      <c r="F12" s="38" t="s">
        <v>433</v>
      </c>
    </row>
    <row r="13" spans="1:6" ht="17" thickBot="1" x14ac:dyDescent="0.25">
      <c r="A13" s="46" t="s">
        <v>411</v>
      </c>
      <c r="B13" s="39">
        <v>19.36</v>
      </c>
      <c r="C13" s="44">
        <v>18.52</v>
      </c>
      <c r="D13" s="49">
        <v>23.6</v>
      </c>
      <c r="E13" s="50"/>
      <c r="F13" s="38" t="s">
        <v>408</v>
      </c>
    </row>
    <row r="14" spans="1:6" ht="17" thickBot="1" x14ac:dyDescent="0.25">
      <c r="A14" s="46" t="s">
        <v>412</v>
      </c>
      <c r="B14" s="39">
        <v>3.7000000000000002E-3</v>
      </c>
      <c r="C14" s="45"/>
      <c r="D14" s="51"/>
      <c r="E14" s="52"/>
      <c r="F14" s="40" t="s">
        <v>413</v>
      </c>
    </row>
    <row r="15" spans="1:6" ht="16" thickBot="1" x14ac:dyDescent="0.25">
      <c r="A15" s="46" t="s">
        <v>414</v>
      </c>
      <c r="B15" s="39" t="s">
        <v>415</v>
      </c>
      <c r="C15" s="39" t="s">
        <v>416</v>
      </c>
      <c r="D15" s="49" t="s">
        <v>417</v>
      </c>
      <c r="E15" s="50"/>
      <c r="F15" s="38" t="s">
        <v>410</v>
      </c>
    </row>
    <row r="16" spans="1:6" ht="16" thickBot="1" x14ac:dyDescent="0.25">
      <c r="A16" s="46" t="s">
        <v>418</v>
      </c>
      <c r="B16" s="39" t="s">
        <v>419</v>
      </c>
      <c r="C16" s="39" t="s">
        <v>420</v>
      </c>
      <c r="D16" s="49" t="s">
        <v>421</v>
      </c>
      <c r="E16" s="50"/>
      <c r="F16" s="38" t="s">
        <v>396</v>
      </c>
    </row>
    <row r="17" spans="1:6" ht="113" thickBot="1" x14ac:dyDescent="0.25">
      <c r="A17" s="46" t="s">
        <v>422</v>
      </c>
      <c r="B17" s="39" t="s">
        <v>423</v>
      </c>
      <c r="C17" s="39" t="s">
        <v>424</v>
      </c>
      <c r="D17" s="53" t="s">
        <v>425</v>
      </c>
      <c r="E17" s="54"/>
      <c r="F17" s="40" t="s">
        <v>426</v>
      </c>
    </row>
  </sheetData>
  <mergeCells count="11">
    <mergeCell ref="B9:E9"/>
    <mergeCell ref="D4:E4"/>
    <mergeCell ref="D5:E5"/>
    <mergeCell ref="B6:E6"/>
    <mergeCell ref="D7:E7"/>
    <mergeCell ref="D8:E8"/>
    <mergeCell ref="D13:E13"/>
    <mergeCell ref="D14:E14"/>
    <mergeCell ref="D15:E15"/>
    <mergeCell ref="D16:E16"/>
    <mergeCell ref="D17:E17"/>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188E51-C45A-8344-B1B4-B0522AA36215}">
  <sheetPr filterMode="1"/>
  <dimension ref="A1:AG104"/>
  <sheetViews>
    <sheetView workbookViewId="0">
      <selection activeCell="P70" sqref="P70"/>
    </sheetView>
  </sheetViews>
  <sheetFormatPr baseColWidth="10" defaultRowHeight="15" x14ac:dyDescent="0.2"/>
  <cols>
    <col min="1" max="1" width="32.5" bestFit="1" customWidth="1"/>
    <col min="2" max="2" width="29.5" bestFit="1" customWidth="1"/>
    <col min="3" max="3" width="11" bestFit="1" customWidth="1"/>
    <col min="4" max="4" width="12.33203125" customWidth="1"/>
    <col min="5" max="5" width="8" customWidth="1"/>
    <col min="6" max="6" width="13" customWidth="1"/>
    <col min="7" max="7" width="12.33203125" customWidth="1"/>
    <col min="8" max="8" width="10" bestFit="1" customWidth="1"/>
    <col min="9" max="9" width="13.33203125" customWidth="1"/>
    <col min="10" max="10" width="9" bestFit="1" customWidth="1"/>
    <col min="11" max="11" width="9.5" bestFit="1" customWidth="1"/>
    <col min="12" max="12" width="13.83203125" customWidth="1"/>
    <col min="13" max="13" width="13" customWidth="1"/>
    <col min="14" max="15" width="13.83203125" customWidth="1"/>
    <col min="16" max="16" width="15" customWidth="1"/>
    <col min="17" max="17" width="10" bestFit="1" customWidth="1"/>
    <col min="18" max="18" width="10.6640625" bestFit="1" customWidth="1"/>
    <col min="20" max="21" width="9.1640625" bestFit="1" customWidth="1"/>
    <col min="22" max="22" width="14.6640625" customWidth="1"/>
    <col min="23" max="23" width="13.83203125" customWidth="1"/>
    <col min="24" max="24" width="14" customWidth="1"/>
    <col min="25" max="25" width="12.6640625" customWidth="1"/>
    <col min="27" max="28" width="9.6640625" bestFit="1" customWidth="1"/>
    <col min="31" max="31" width="9.5" bestFit="1" customWidth="1"/>
    <col min="32" max="33" width="9.6640625" bestFit="1" customWidth="1"/>
  </cols>
  <sheetData>
    <row r="1" spans="1:33" x14ac:dyDescent="0.2">
      <c r="A1" t="s">
        <v>434</v>
      </c>
    </row>
    <row r="3" spans="1:33" ht="68" x14ac:dyDescent="0.2">
      <c r="A3" s="30" t="s">
        <v>228</v>
      </c>
      <c r="B3" s="30" t="s">
        <v>229</v>
      </c>
      <c r="C3" s="30" t="s">
        <v>230</v>
      </c>
      <c r="D3" s="30" t="s">
        <v>231</v>
      </c>
      <c r="E3" s="30" t="s">
        <v>232</v>
      </c>
      <c r="F3" s="30" t="s">
        <v>233</v>
      </c>
      <c r="G3" s="30" t="s">
        <v>234</v>
      </c>
      <c r="H3" s="30" t="s">
        <v>235</v>
      </c>
      <c r="I3" s="30" t="s">
        <v>236</v>
      </c>
      <c r="J3" s="30" t="s">
        <v>237</v>
      </c>
      <c r="K3" s="30" t="s">
        <v>238</v>
      </c>
      <c r="L3" s="30" t="s">
        <v>239</v>
      </c>
      <c r="M3" s="30" t="s">
        <v>240</v>
      </c>
      <c r="N3" s="30" t="s">
        <v>241</v>
      </c>
      <c r="O3" s="30" t="s">
        <v>242</v>
      </c>
      <c r="P3" s="30" t="s">
        <v>243</v>
      </c>
      <c r="Q3" s="30" t="s">
        <v>244</v>
      </c>
      <c r="R3" s="30" t="s">
        <v>245</v>
      </c>
      <c r="S3" s="30" t="s">
        <v>246</v>
      </c>
      <c r="T3" s="30" t="s">
        <v>247</v>
      </c>
      <c r="U3" s="30" t="s">
        <v>248</v>
      </c>
      <c r="V3" s="30" t="s">
        <v>249</v>
      </c>
      <c r="W3" s="30" t="s">
        <v>250</v>
      </c>
      <c r="X3" s="30" t="s">
        <v>251</v>
      </c>
      <c r="Y3" s="30" t="s">
        <v>252</v>
      </c>
      <c r="Z3" s="30" t="s">
        <v>253</v>
      </c>
      <c r="AA3" s="30" t="s">
        <v>254</v>
      </c>
      <c r="AB3" s="30" t="s">
        <v>255</v>
      </c>
      <c r="AC3" s="30" t="s">
        <v>256</v>
      </c>
      <c r="AD3" s="30" t="s">
        <v>257</v>
      </c>
      <c r="AE3" s="30" t="s">
        <v>258</v>
      </c>
      <c r="AF3" s="30" t="s">
        <v>259</v>
      </c>
      <c r="AG3" s="30" t="s">
        <v>260</v>
      </c>
    </row>
    <row r="4" spans="1:33" x14ac:dyDescent="0.2">
      <c r="A4" t="s">
        <v>306</v>
      </c>
      <c r="B4" t="s">
        <v>330</v>
      </c>
      <c r="C4" t="s">
        <v>263</v>
      </c>
      <c r="D4">
        <v>40</v>
      </c>
      <c r="F4">
        <v>788</v>
      </c>
      <c r="H4" t="s">
        <v>272</v>
      </c>
      <c r="I4" s="31">
        <v>0.2512690355329949</v>
      </c>
      <c r="K4" t="s">
        <v>265</v>
      </c>
      <c r="M4">
        <v>-20</v>
      </c>
      <c r="N4">
        <v>40</v>
      </c>
      <c r="O4">
        <v>3.95</v>
      </c>
      <c r="P4" s="32">
        <f>((1000*O4)/0.08924)/1000</f>
        <v>44.262662483191392</v>
      </c>
      <c r="Q4" s="32"/>
      <c r="R4" s="33"/>
      <c r="T4">
        <v>75.900000000000006</v>
      </c>
      <c r="AA4">
        <v>4.8</v>
      </c>
      <c r="AB4">
        <v>30</v>
      </c>
      <c r="AC4">
        <v>17.96</v>
      </c>
      <c r="AD4">
        <v>199.5</v>
      </c>
      <c r="AE4" t="s">
        <v>265</v>
      </c>
    </row>
    <row r="5" spans="1:33" x14ac:dyDescent="0.2">
      <c r="A5" t="s">
        <v>306</v>
      </c>
      <c r="B5" t="s">
        <v>337</v>
      </c>
      <c r="C5" t="s">
        <v>263</v>
      </c>
      <c r="D5">
        <v>49</v>
      </c>
      <c r="F5">
        <v>988</v>
      </c>
      <c r="H5" t="s">
        <v>272</v>
      </c>
      <c r="I5" s="31">
        <v>0.20040485829959515</v>
      </c>
      <c r="K5" t="s">
        <v>265</v>
      </c>
      <c r="M5">
        <v>-20</v>
      </c>
      <c r="N5">
        <v>40</v>
      </c>
      <c r="O5">
        <v>3.95</v>
      </c>
      <c r="P5" s="32">
        <f>((1000*O5)/0.08924)/1000</f>
        <v>44.262662483191392</v>
      </c>
      <c r="Q5" s="32"/>
      <c r="R5" s="33"/>
      <c r="T5">
        <v>75.900000000000006</v>
      </c>
      <c r="AA5">
        <v>4.8</v>
      </c>
      <c r="AB5">
        <v>30</v>
      </c>
      <c r="AC5">
        <v>22.46</v>
      </c>
      <c r="AD5">
        <v>249.5</v>
      </c>
      <c r="AE5" t="s">
        <v>265</v>
      </c>
    </row>
    <row r="6" spans="1:33" hidden="1" x14ac:dyDescent="0.2">
      <c r="A6" t="s">
        <v>269</v>
      </c>
      <c r="B6" t="s">
        <v>270</v>
      </c>
      <c r="C6" t="s">
        <v>271</v>
      </c>
      <c r="F6">
        <v>2.4</v>
      </c>
      <c r="G6">
        <v>230</v>
      </c>
      <c r="H6" t="s">
        <v>272</v>
      </c>
      <c r="I6" s="31">
        <v>0.125</v>
      </c>
      <c r="J6">
        <v>3</v>
      </c>
      <c r="K6" t="s">
        <v>266</v>
      </c>
      <c r="M6">
        <v>5</v>
      </c>
      <c r="N6">
        <v>45</v>
      </c>
      <c r="O6">
        <v>4.8</v>
      </c>
      <c r="P6" s="32">
        <f>((1000*O6)/0.08924)/1000</f>
        <v>53.787539220080681</v>
      </c>
      <c r="Q6" s="32"/>
      <c r="R6" s="33"/>
      <c r="T6">
        <v>62.5</v>
      </c>
      <c r="V6">
        <v>20</v>
      </c>
      <c r="W6">
        <v>55</v>
      </c>
      <c r="X6">
        <v>20</v>
      </c>
      <c r="Y6">
        <v>30000</v>
      </c>
      <c r="AA6">
        <v>3</v>
      </c>
      <c r="AB6">
        <v>35</v>
      </c>
      <c r="AC6">
        <v>0.45</v>
      </c>
      <c r="AD6">
        <v>5</v>
      </c>
      <c r="AE6" t="s">
        <v>266</v>
      </c>
    </row>
    <row r="7" spans="1:33" hidden="1" x14ac:dyDescent="0.2">
      <c r="A7" t="s">
        <v>273</v>
      </c>
      <c r="B7" t="s">
        <v>274</v>
      </c>
      <c r="C7" t="s">
        <v>271</v>
      </c>
      <c r="F7">
        <v>3</v>
      </c>
      <c r="I7" s="31"/>
      <c r="R7" s="33"/>
      <c r="AB7">
        <v>1</v>
      </c>
      <c r="AC7">
        <v>0.04</v>
      </c>
      <c r="AD7">
        <v>0.4</v>
      </c>
      <c r="AE7" t="s">
        <v>266</v>
      </c>
    </row>
    <row r="8" spans="1:33" x14ac:dyDescent="0.2">
      <c r="A8" t="s">
        <v>306</v>
      </c>
      <c r="B8" t="s">
        <v>354</v>
      </c>
      <c r="C8" t="s">
        <v>263</v>
      </c>
      <c r="D8">
        <v>79</v>
      </c>
      <c r="F8">
        <v>1580</v>
      </c>
      <c r="H8" t="s">
        <v>272</v>
      </c>
      <c r="I8" s="31">
        <v>0.12531645569620253</v>
      </c>
      <c r="K8" t="s">
        <v>265</v>
      </c>
      <c r="M8">
        <v>-20</v>
      </c>
      <c r="N8">
        <v>40</v>
      </c>
      <c r="O8">
        <v>3.95</v>
      </c>
      <c r="P8" s="32">
        <f>((1000*O8)/0.08924)/1000</f>
        <v>44.262662483191392</v>
      </c>
      <c r="Q8" s="32"/>
      <c r="R8" s="33"/>
      <c r="T8">
        <v>75.900000000000006</v>
      </c>
      <c r="AA8">
        <v>4.8</v>
      </c>
      <c r="AB8">
        <v>30</v>
      </c>
      <c r="AC8">
        <v>35.92</v>
      </c>
      <c r="AD8">
        <v>399.1</v>
      </c>
      <c r="AE8" t="s">
        <v>265</v>
      </c>
    </row>
    <row r="9" spans="1:33" hidden="1" x14ac:dyDescent="0.2">
      <c r="A9" t="s">
        <v>273</v>
      </c>
      <c r="B9" t="s">
        <v>277</v>
      </c>
      <c r="C9" t="s">
        <v>271</v>
      </c>
      <c r="D9">
        <v>6</v>
      </c>
      <c r="F9">
        <v>9</v>
      </c>
      <c r="I9" s="31"/>
      <c r="R9" s="33"/>
      <c r="AB9">
        <v>2.5</v>
      </c>
      <c r="AC9">
        <v>0.14000000000000001</v>
      </c>
      <c r="AD9">
        <v>1.6</v>
      </c>
      <c r="AE9" t="s">
        <v>266</v>
      </c>
    </row>
    <row r="10" spans="1:33" hidden="1" x14ac:dyDescent="0.2">
      <c r="A10" t="s">
        <v>278</v>
      </c>
      <c r="B10" t="s">
        <v>279</v>
      </c>
      <c r="C10" t="s">
        <v>271</v>
      </c>
      <c r="D10">
        <v>1</v>
      </c>
      <c r="E10">
        <v>10</v>
      </c>
      <c r="F10">
        <v>10</v>
      </c>
      <c r="G10">
        <v>400</v>
      </c>
      <c r="H10" t="s">
        <v>280</v>
      </c>
      <c r="I10" s="31">
        <v>0.1</v>
      </c>
      <c r="J10">
        <v>3</v>
      </c>
      <c r="K10" t="s">
        <v>266</v>
      </c>
      <c r="L10">
        <v>8700</v>
      </c>
      <c r="M10">
        <v>5</v>
      </c>
      <c r="N10">
        <v>40</v>
      </c>
      <c r="O10">
        <v>4.8</v>
      </c>
      <c r="P10" s="32">
        <f t="shared" ref="P10:P16" si="0">((1000*O10)/0.08924)/1000</f>
        <v>53.787539220080681</v>
      </c>
      <c r="Q10" s="32"/>
      <c r="R10" s="33">
        <v>0.2</v>
      </c>
      <c r="T10">
        <v>62.5</v>
      </c>
      <c r="U10">
        <v>92.5</v>
      </c>
      <c r="V10">
        <v>20</v>
      </c>
      <c r="W10">
        <v>55</v>
      </c>
      <c r="X10">
        <v>2</v>
      </c>
      <c r="Y10">
        <v>35000</v>
      </c>
      <c r="Z10">
        <v>8760</v>
      </c>
      <c r="AA10">
        <v>3</v>
      </c>
      <c r="AB10">
        <v>35</v>
      </c>
      <c r="AC10">
        <v>0.18</v>
      </c>
      <c r="AD10">
        <v>2</v>
      </c>
      <c r="AE10" t="s">
        <v>266</v>
      </c>
      <c r="AF10">
        <v>5</v>
      </c>
      <c r="AG10">
        <v>35</v>
      </c>
    </row>
    <row r="11" spans="1:33" hidden="1" x14ac:dyDescent="0.2">
      <c r="A11" t="s">
        <v>278</v>
      </c>
      <c r="B11" t="s">
        <v>281</v>
      </c>
      <c r="C11" t="s">
        <v>271</v>
      </c>
      <c r="D11">
        <v>1</v>
      </c>
      <c r="E11">
        <v>10</v>
      </c>
      <c r="F11">
        <v>10</v>
      </c>
      <c r="G11">
        <v>400</v>
      </c>
      <c r="H11" t="s">
        <v>280</v>
      </c>
      <c r="I11" s="31">
        <v>0.1</v>
      </c>
      <c r="J11">
        <v>3</v>
      </c>
      <c r="K11" t="s">
        <v>266</v>
      </c>
      <c r="L11">
        <v>8700</v>
      </c>
      <c r="M11">
        <v>-25</v>
      </c>
      <c r="N11">
        <v>40</v>
      </c>
      <c r="O11">
        <v>4.8</v>
      </c>
      <c r="P11" s="32">
        <f t="shared" si="0"/>
        <v>53.787539220080681</v>
      </c>
      <c r="Q11" s="32"/>
      <c r="R11" s="33">
        <v>0.2</v>
      </c>
      <c r="T11">
        <v>62.5</v>
      </c>
      <c r="U11">
        <v>92.5</v>
      </c>
      <c r="V11">
        <v>20</v>
      </c>
      <c r="W11">
        <v>55</v>
      </c>
      <c r="X11">
        <v>2</v>
      </c>
      <c r="Y11">
        <v>35000</v>
      </c>
      <c r="Z11">
        <v>8760</v>
      </c>
      <c r="AA11">
        <v>3</v>
      </c>
      <c r="AB11">
        <v>35</v>
      </c>
      <c r="AC11">
        <v>0.18</v>
      </c>
      <c r="AD11">
        <v>2</v>
      </c>
      <c r="AE11" t="s">
        <v>266</v>
      </c>
      <c r="AF11">
        <v>5</v>
      </c>
      <c r="AG11">
        <v>35</v>
      </c>
    </row>
    <row r="12" spans="1:33" x14ac:dyDescent="0.2">
      <c r="A12" t="s">
        <v>306</v>
      </c>
      <c r="B12" t="s">
        <v>356</v>
      </c>
      <c r="C12" t="s">
        <v>263</v>
      </c>
      <c r="D12">
        <v>99</v>
      </c>
      <c r="F12">
        <v>1975</v>
      </c>
      <c r="H12" t="s">
        <v>272</v>
      </c>
      <c r="I12" s="31">
        <v>0.10025316455696202</v>
      </c>
      <c r="K12" t="s">
        <v>265</v>
      </c>
      <c r="M12">
        <v>-20</v>
      </c>
      <c r="N12">
        <v>40</v>
      </c>
      <c r="O12">
        <v>3.95</v>
      </c>
      <c r="P12" s="32">
        <f t="shared" si="0"/>
        <v>44.262662483191392</v>
      </c>
      <c r="Q12" s="32"/>
      <c r="R12" s="33"/>
      <c r="T12">
        <v>75.900000000000006</v>
      </c>
      <c r="AA12">
        <v>4.8</v>
      </c>
      <c r="AB12">
        <v>30</v>
      </c>
      <c r="AC12">
        <v>45</v>
      </c>
      <c r="AD12">
        <v>500</v>
      </c>
      <c r="AE12" t="s">
        <v>265</v>
      </c>
    </row>
    <row r="13" spans="1:33" x14ac:dyDescent="0.2">
      <c r="A13" t="s">
        <v>306</v>
      </c>
      <c r="B13" t="s">
        <v>373</v>
      </c>
      <c r="C13" t="s">
        <v>263</v>
      </c>
      <c r="D13">
        <v>215</v>
      </c>
      <c r="E13">
        <v>4300</v>
      </c>
      <c r="F13">
        <v>5375</v>
      </c>
      <c r="H13" t="s">
        <v>272</v>
      </c>
      <c r="I13" s="31"/>
      <c r="K13" t="s">
        <v>265</v>
      </c>
      <c r="M13">
        <v>5</v>
      </c>
      <c r="N13">
        <v>40</v>
      </c>
      <c r="O13">
        <v>4.3</v>
      </c>
      <c r="P13" s="32">
        <f t="shared" si="0"/>
        <v>48.184670551322277</v>
      </c>
      <c r="Q13" s="32"/>
      <c r="R13" s="33"/>
      <c r="T13">
        <v>69.8</v>
      </c>
      <c r="AA13">
        <v>4</v>
      </c>
      <c r="AB13">
        <v>30</v>
      </c>
      <c r="AC13">
        <v>90</v>
      </c>
      <c r="AD13">
        <v>1000</v>
      </c>
      <c r="AE13" t="s">
        <v>266</v>
      </c>
    </row>
    <row r="14" spans="1:33" x14ac:dyDescent="0.2">
      <c r="A14" t="s">
        <v>341</v>
      </c>
      <c r="B14" t="s">
        <v>342</v>
      </c>
      <c r="C14" t="s">
        <v>263</v>
      </c>
      <c r="D14">
        <v>50</v>
      </c>
      <c r="E14">
        <v>1000</v>
      </c>
      <c r="F14">
        <v>1000</v>
      </c>
      <c r="G14">
        <v>400</v>
      </c>
      <c r="H14" t="s">
        <v>280</v>
      </c>
      <c r="I14" s="31">
        <v>4.4999999999999998E-2</v>
      </c>
      <c r="J14">
        <v>30</v>
      </c>
      <c r="K14" t="s">
        <v>265</v>
      </c>
      <c r="L14">
        <v>8322</v>
      </c>
      <c r="M14">
        <v>-20</v>
      </c>
      <c r="N14">
        <v>40</v>
      </c>
      <c r="O14">
        <v>4.4000000000000004</v>
      </c>
      <c r="P14" s="32">
        <f t="shared" si="0"/>
        <v>49.305244285073961</v>
      </c>
      <c r="Q14" s="32"/>
      <c r="R14" s="33"/>
      <c r="S14">
        <v>60</v>
      </c>
      <c r="X14">
        <v>0.1</v>
      </c>
      <c r="AA14">
        <v>3.5</v>
      </c>
      <c r="AC14">
        <v>18</v>
      </c>
      <c r="AD14">
        <v>200</v>
      </c>
      <c r="AE14" t="s">
        <v>266</v>
      </c>
      <c r="AF14">
        <v>5</v>
      </c>
      <c r="AG14">
        <v>30</v>
      </c>
    </row>
    <row r="15" spans="1:33" hidden="1" x14ac:dyDescent="0.2">
      <c r="A15" t="s">
        <v>278</v>
      </c>
      <c r="B15" t="s">
        <v>285</v>
      </c>
      <c r="C15" t="s">
        <v>271</v>
      </c>
      <c r="D15">
        <v>1</v>
      </c>
      <c r="E15">
        <v>22</v>
      </c>
      <c r="F15">
        <v>22</v>
      </c>
      <c r="G15">
        <v>400</v>
      </c>
      <c r="H15" t="s">
        <v>280</v>
      </c>
      <c r="I15" s="31">
        <v>9.0909090909090912E-2</v>
      </c>
      <c r="J15">
        <v>3</v>
      </c>
      <c r="K15" t="s">
        <v>266</v>
      </c>
      <c r="L15">
        <v>8700</v>
      </c>
      <c r="M15">
        <v>5</v>
      </c>
      <c r="N15">
        <v>45</v>
      </c>
      <c r="O15">
        <v>4.8</v>
      </c>
      <c r="P15" s="32">
        <f t="shared" si="0"/>
        <v>53.787539220080681</v>
      </c>
      <c r="Q15" s="32"/>
      <c r="R15" s="33">
        <v>0.22727272727272727</v>
      </c>
      <c r="T15">
        <v>62.5</v>
      </c>
      <c r="U15">
        <v>92.5</v>
      </c>
      <c r="V15">
        <v>20</v>
      </c>
      <c r="W15">
        <v>55</v>
      </c>
      <c r="X15">
        <v>2</v>
      </c>
      <c r="Y15">
        <v>35000</v>
      </c>
      <c r="Z15">
        <v>8760</v>
      </c>
      <c r="AA15">
        <v>3</v>
      </c>
      <c r="AB15">
        <v>35</v>
      </c>
      <c r="AC15">
        <v>0.4</v>
      </c>
      <c r="AD15">
        <v>4.4000000000000004</v>
      </c>
      <c r="AE15" t="s">
        <v>266</v>
      </c>
      <c r="AF15">
        <v>5</v>
      </c>
      <c r="AG15">
        <v>35</v>
      </c>
    </row>
    <row r="16" spans="1:33" hidden="1" x14ac:dyDescent="0.2">
      <c r="A16" t="s">
        <v>278</v>
      </c>
      <c r="B16" t="s">
        <v>286</v>
      </c>
      <c r="C16" t="s">
        <v>271</v>
      </c>
      <c r="D16">
        <v>1</v>
      </c>
      <c r="E16">
        <v>22</v>
      </c>
      <c r="F16">
        <v>22</v>
      </c>
      <c r="G16">
        <v>400</v>
      </c>
      <c r="H16" t="s">
        <v>280</v>
      </c>
      <c r="I16" s="31">
        <v>9.0909090909090912E-2</v>
      </c>
      <c r="J16">
        <v>3</v>
      </c>
      <c r="K16" t="s">
        <v>266</v>
      </c>
      <c r="L16">
        <v>8700</v>
      </c>
      <c r="M16">
        <v>-25</v>
      </c>
      <c r="N16">
        <v>40</v>
      </c>
      <c r="O16">
        <v>4.8</v>
      </c>
      <c r="P16" s="32">
        <f t="shared" si="0"/>
        <v>53.787539220080681</v>
      </c>
      <c r="Q16" s="32"/>
      <c r="R16" s="33">
        <v>0.22727272727272727</v>
      </c>
      <c r="T16">
        <v>62.5</v>
      </c>
      <c r="U16">
        <v>92.5</v>
      </c>
      <c r="V16">
        <v>20</v>
      </c>
      <c r="W16">
        <v>55</v>
      </c>
      <c r="X16">
        <v>2</v>
      </c>
      <c r="Y16">
        <v>35000</v>
      </c>
      <c r="Z16">
        <v>8760</v>
      </c>
      <c r="AA16">
        <v>3</v>
      </c>
      <c r="AB16">
        <v>35</v>
      </c>
      <c r="AC16">
        <v>0.4</v>
      </c>
      <c r="AD16">
        <v>4.4000000000000004</v>
      </c>
      <c r="AE16" t="s">
        <v>266</v>
      </c>
      <c r="AF16">
        <v>5</v>
      </c>
      <c r="AG16">
        <v>35</v>
      </c>
    </row>
    <row r="17" spans="1:33" hidden="1" x14ac:dyDescent="0.2">
      <c r="A17" t="s">
        <v>273</v>
      </c>
      <c r="B17" t="s">
        <v>287</v>
      </c>
      <c r="C17" t="s">
        <v>271</v>
      </c>
      <c r="D17">
        <v>14</v>
      </c>
      <c r="F17">
        <v>26</v>
      </c>
      <c r="I17" s="31"/>
      <c r="R17" s="33"/>
      <c r="AB17">
        <v>2.5</v>
      </c>
      <c r="AC17">
        <v>0.4</v>
      </c>
      <c r="AD17">
        <v>4.4000000000000004</v>
      </c>
      <c r="AE17" t="s">
        <v>266</v>
      </c>
    </row>
    <row r="18" spans="1:33" x14ac:dyDescent="0.2">
      <c r="A18" t="s">
        <v>341</v>
      </c>
      <c r="B18" t="s">
        <v>371</v>
      </c>
      <c r="C18" t="s">
        <v>263</v>
      </c>
      <c r="D18">
        <v>250</v>
      </c>
      <c r="E18">
        <v>5000</v>
      </c>
      <c r="F18">
        <v>5000</v>
      </c>
      <c r="G18">
        <v>400</v>
      </c>
      <c r="H18" t="s">
        <v>280</v>
      </c>
      <c r="I18" s="31">
        <v>1.7999999999999999E-2</v>
      </c>
      <c r="J18">
        <v>30</v>
      </c>
      <c r="K18" t="s">
        <v>265</v>
      </c>
      <c r="L18">
        <v>8322</v>
      </c>
      <c r="M18">
        <v>-20</v>
      </c>
      <c r="N18">
        <v>40</v>
      </c>
      <c r="O18">
        <v>4.4000000000000004</v>
      </c>
      <c r="P18" s="32">
        <f t="shared" ref="P18:P25" si="1">((1000*O18)/0.08924)/1000</f>
        <v>49.305244285073961</v>
      </c>
      <c r="Q18" s="32"/>
      <c r="R18" s="33"/>
      <c r="S18">
        <v>60</v>
      </c>
      <c r="X18">
        <v>0.1</v>
      </c>
      <c r="AA18">
        <v>3.5</v>
      </c>
      <c r="AC18">
        <v>90</v>
      </c>
      <c r="AD18">
        <v>1</v>
      </c>
      <c r="AE18" t="s">
        <v>266</v>
      </c>
      <c r="AF18">
        <v>5</v>
      </c>
      <c r="AG18">
        <v>30</v>
      </c>
    </row>
    <row r="19" spans="1:33" x14ac:dyDescent="0.2">
      <c r="A19" t="s">
        <v>338</v>
      </c>
      <c r="B19" t="s">
        <v>339</v>
      </c>
      <c r="C19" t="s">
        <v>263</v>
      </c>
      <c r="F19">
        <v>1000</v>
      </c>
      <c r="G19">
        <v>400</v>
      </c>
      <c r="H19" t="s">
        <v>272</v>
      </c>
      <c r="I19" s="31"/>
      <c r="J19">
        <v>30</v>
      </c>
      <c r="M19">
        <v>-20</v>
      </c>
      <c r="N19">
        <v>40</v>
      </c>
      <c r="O19">
        <v>4.49</v>
      </c>
      <c r="P19" s="32">
        <f t="shared" si="1"/>
        <v>50.313760645450472</v>
      </c>
      <c r="Q19" s="32"/>
      <c r="R19" s="33"/>
      <c r="T19">
        <v>66.8</v>
      </c>
      <c r="Y19">
        <v>80000</v>
      </c>
      <c r="AA19">
        <v>5</v>
      </c>
      <c r="AB19">
        <v>40</v>
      </c>
      <c r="AC19">
        <v>18</v>
      </c>
      <c r="AD19">
        <v>200</v>
      </c>
    </row>
    <row r="20" spans="1:33" x14ac:dyDescent="0.2">
      <c r="A20" t="s">
        <v>357</v>
      </c>
      <c r="B20" t="s">
        <v>358</v>
      </c>
      <c r="C20" t="s">
        <v>263</v>
      </c>
      <c r="D20">
        <v>200</v>
      </c>
      <c r="E20">
        <v>2000</v>
      </c>
      <c r="F20">
        <v>2000</v>
      </c>
      <c r="G20">
        <v>400</v>
      </c>
      <c r="H20" t="s">
        <v>272</v>
      </c>
      <c r="I20" s="31">
        <v>0.15</v>
      </c>
      <c r="J20">
        <v>1</v>
      </c>
      <c r="K20" t="s">
        <v>265</v>
      </c>
      <c r="L20">
        <v>8600</v>
      </c>
      <c r="M20">
        <v>-20</v>
      </c>
      <c r="N20">
        <v>35</v>
      </c>
      <c r="O20">
        <v>4.5</v>
      </c>
      <c r="P20" s="32">
        <f t="shared" si="1"/>
        <v>50.425818018825638</v>
      </c>
      <c r="Q20" s="32"/>
      <c r="R20" s="33"/>
      <c r="T20">
        <v>66.7</v>
      </c>
      <c r="Y20">
        <v>80000</v>
      </c>
      <c r="AA20">
        <v>5</v>
      </c>
      <c r="AB20">
        <v>35</v>
      </c>
      <c r="AC20">
        <v>36</v>
      </c>
      <c r="AD20">
        <v>400</v>
      </c>
      <c r="AE20" t="s">
        <v>265</v>
      </c>
    </row>
    <row r="21" spans="1:33" x14ac:dyDescent="0.2">
      <c r="A21" t="s">
        <v>357</v>
      </c>
      <c r="B21" t="s">
        <v>367</v>
      </c>
      <c r="C21" t="s">
        <v>263</v>
      </c>
      <c r="D21">
        <v>300</v>
      </c>
      <c r="E21">
        <v>3000</v>
      </c>
      <c r="F21">
        <v>3000</v>
      </c>
      <c r="G21">
        <v>400</v>
      </c>
      <c r="H21" t="s">
        <v>272</v>
      </c>
      <c r="I21" s="31">
        <v>0.1</v>
      </c>
      <c r="J21">
        <v>1</v>
      </c>
      <c r="K21" t="s">
        <v>265</v>
      </c>
      <c r="L21">
        <v>8600</v>
      </c>
      <c r="M21">
        <v>-20</v>
      </c>
      <c r="N21">
        <v>35</v>
      </c>
      <c r="O21">
        <v>4.5</v>
      </c>
      <c r="P21" s="32">
        <f t="shared" si="1"/>
        <v>50.425818018825638</v>
      </c>
      <c r="Q21" s="32"/>
      <c r="R21" s="33"/>
      <c r="T21">
        <v>66.7</v>
      </c>
      <c r="Y21">
        <v>80000</v>
      </c>
      <c r="AA21">
        <v>5</v>
      </c>
      <c r="AB21">
        <v>35</v>
      </c>
      <c r="AC21">
        <v>54</v>
      </c>
      <c r="AD21">
        <v>600</v>
      </c>
      <c r="AE21" t="s">
        <v>265</v>
      </c>
    </row>
    <row r="22" spans="1:33" hidden="1" x14ac:dyDescent="0.2">
      <c r="A22" t="s">
        <v>278</v>
      </c>
      <c r="B22" t="s">
        <v>293</v>
      </c>
      <c r="C22" t="s">
        <v>271</v>
      </c>
      <c r="D22">
        <v>1</v>
      </c>
      <c r="E22">
        <v>43</v>
      </c>
      <c r="F22">
        <v>43</v>
      </c>
      <c r="G22">
        <v>400</v>
      </c>
      <c r="H22" t="s">
        <v>280</v>
      </c>
      <c r="I22" s="31">
        <v>9.3023255813953487E-2</v>
      </c>
      <c r="J22">
        <v>3</v>
      </c>
      <c r="K22" t="s">
        <v>266</v>
      </c>
      <c r="L22">
        <v>8700</v>
      </c>
      <c r="M22">
        <v>5</v>
      </c>
      <c r="N22">
        <v>45</v>
      </c>
      <c r="O22">
        <v>4.8</v>
      </c>
      <c r="P22" s="32">
        <f t="shared" si="1"/>
        <v>53.787539220080681</v>
      </c>
      <c r="Q22" s="32"/>
      <c r="R22" s="33">
        <v>0.2558139534883721</v>
      </c>
      <c r="T22">
        <v>62.5</v>
      </c>
      <c r="U22">
        <v>92.5</v>
      </c>
      <c r="V22">
        <v>20</v>
      </c>
      <c r="W22">
        <v>55</v>
      </c>
      <c r="X22">
        <v>2</v>
      </c>
      <c r="Y22">
        <v>35000</v>
      </c>
      <c r="Z22">
        <v>8760</v>
      </c>
      <c r="AA22">
        <v>3</v>
      </c>
      <c r="AB22">
        <v>35</v>
      </c>
      <c r="AC22">
        <v>0.8</v>
      </c>
      <c r="AD22">
        <v>8.9</v>
      </c>
      <c r="AE22" t="s">
        <v>266</v>
      </c>
      <c r="AF22">
        <v>5</v>
      </c>
      <c r="AG22">
        <v>35</v>
      </c>
    </row>
    <row r="23" spans="1:33" hidden="1" x14ac:dyDescent="0.2">
      <c r="A23" t="s">
        <v>278</v>
      </c>
      <c r="B23" t="s">
        <v>294</v>
      </c>
      <c r="C23" t="s">
        <v>271</v>
      </c>
      <c r="D23">
        <v>1</v>
      </c>
      <c r="E23">
        <v>43</v>
      </c>
      <c r="F23">
        <v>43</v>
      </c>
      <c r="G23">
        <v>400</v>
      </c>
      <c r="H23" t="s">
        <v>280</v>
      </c>
      <c r="I23" s="31">
        <v>9.3023255813953487E-2</v>
      </c>
      <c r="J23">
        <v>3</v>
      </c>
      <c r="K23" t="s">
        <v>266</v>
      </c>
      <c r="L23">
        <v>8700</v>
      </c>
      <c r="M23">
        <v>-25</v>
      </c>
      <c r="N23">
        <v>40</v>
      </c>
      <c r="O23">
        <v>4.8</v>
      </c>
      <c r="P23" s="32">
        <f t="shared" si="1"/>
        <v>53.787539220080681</v>
      </c>
      <c r="Q23" s="32"/>
      <c r="R23" s="33">
        <v>0.2558139534883721</v>
      </c>
      <c r="T23">
        <v>62.5</v>
      </c>
      <c r="U23">
        <v>92.5</v>
      </c>
      <c r="V23">
        <v>20</v>
      </c>
      <c r="W23">
        <v>55</v>
      </c>
      <c r="X23">
        <v>2</v>
      </c>
      <c r="Y23">
        <v>35000</v>
      </c>
      <c r="Z23">
        <v>8760</v>
      </c>
      <c r="AA23">
        <v>3</v>
      </c>
      <c r="AB23">
        <v>35</v>
      </c>
      <c r="AC23">
        <v>0.8</v>
      </c>
      <c r="AD23">
        <v>8.9</v>
      </c>
      <c r="AE23" t="s">
        <v>266</v>
      </c>
      <c r="AF23">
        <v>5</v>
      </c>
      <c r="AG23">
        <v>35</v>
      </c>
    </row>
    <row r="24" spans="1:33" hidden="1" x14ac:dyDescent="0.2">
      <c r="A24" t="s">
        <v>273</v>
      </c>
      <c r="B24" t="s">
        <v>295</v>
      </c>
      <c r="C24" t="s">
        <v>271</v>
      </c>
      <c r="F24">
        <v>50</v>
      </c>
      <c r="H24" t="s">
        <v>264</v>
      </c>
      <c r="I24" s="31"/>
      <c r="O24">
        <v>4.5</v>
      </c>
      <c r="P24" s="32">
        <f t="shared" si="1"/>
        <v>50.425818018825638</v>
      </c>
      <c r="Q24" s="32"/>
      <c r="R24" s="33"/>
      <c r="T24">
        <v>66.7</v>
      </c>
      <c r="AB24">
        <v>30</v>
      </c>
      <c r="AC24">
        <v>0.9</v>
      </c>
      <c r="AD24">
        <v>10</v>
      </c>
    </row>
    <row r="25" spans="1:33" x14ac:dyDescent="0.2">
      <c r="A25" t="s">
        <v>357</v>
      </c>
      <c r="B25" t="s">
        <v>368</v>
      </c>
      <c r="C25" t="s">
        <v>263</v>
      </c>
      <c r="D25">
        <v>400</v>
      </c>
      <c r="E25">
        <v>4000</v>
      </c>
      <c r="F25">
        <v>4000</v>
      </c>
      <c r="G25">
        <v>400</v>
      </c>
      <c r="H25" t="s">
        <v>272</v>
      </c>
      <c r="I25" s="31">
        <v>0.1</v>
      </c>
      <c r="J25">
        <v>1</v>
      </c>
      <c r="K25" t="s">
        <v>265</v>
      </c>
      <c r="L25">
        <v>8600</v>
      </c>
      <c r="M25">
        <v>-20</v>
      </c>
      <c r="N25">
        <v>35</v>
      </c>
      <c r="O25">
        <v>4.5</v>
      </c>
      <c r="P25" s="32">
        <f t="shared" si="1"/>
        <v>50.425818018825638</v>
      </c>
      <c r="Q25" s="32"/>
      <c r="R25" s="33"/>
      <c r="T25">
        <v>66.7</v>
      </c>
      <c r="Y25">
        <v>80000</v>
      </c>
      <c r="AA25">
        <v>5</v>
      </c>
      <c r="AB25">
        <v>35</v>
      </c>
      <c r="AC25">
        <v>72</v>
      </c>
      <c r="AD25">
        <v>800</v>
      </c>
      <c r="AE25" t="s">
        <v>265</v>
      </c>
    </row>
    <row r="26" spans="1:33" hidden="1" x14ac:dyDescent="0.2">
      <c r="A26" t="s">
        <v>273</v>
      </c>
      <c r="B26" t="s">
        <v>298</v>
      </c>
      <c r="C26" t="s">
        <v>271</v>
      </c>
      <c r="D26">
        <v>18</v>
      </c>
      <c r="F26">
        <v>60</v>
      </c>
      <c r="I26" s="31"/>
      <c r="R26" s="33"/>
      <c r="AB26">
        <v>8</v>
      </c>
      <c r="AC26">
        <v>0.9</v>
      </c>
      <c r="AD26">
        <v>10</v>
      </c>
      <c r="AE26" t="s">
        <v>266</v>
      </c>
    </row>
    <row r="27" spans="1:33" hidden="1" x14ac:dyDescent="0.2">
      <c r="A27" t="s">
        <v>278</v>
      </c>
      <c r="B27" t="s">
        <v>299</v>
      </c>
      <c r="C27" t="s">
        <v>271</v>
      </c>
      <c r="D27">
        <v>1</v>
      </c>
      <c r="E27">
        <v>86</v>
      </c>
      <c r="F27">
        <v>86</v>
      </c>
      <c r="G27">
        <v>400</v>
      </c>
      <c r="H27" t="s">
        <v>280</v>
      </c>
      <c r="I27" s="31">
        <v>9.3023255813953487E-2</v>
      </c>
      <c r="J27">
        <v>3</v>
      </c>
      <c r="K27" t="s">
        <v>266</v>
      </c>
      <c r="L27">
        <v>8700</v>
      </c>
      <c r="M27">
        <v>5</v>
      </c>
      <c r="N27">
        <v>45</v>
      </c>
      <c r="O27">
        <v>4.8</v>
      </c>
      <c r="P27" s="32">
        <f>((1000*O27)/0.08924)/1000</f>
        <v>53.787539220080681</v>
      </c>
      <c r="Q27" s="32"/>
      <c r="R27" s="33">
        <v>0.2558139534883721</v>
      </c>
      <c r="T27">
        <v>62.5</v>
      </c>
      <c r="U27">
        <v>92.5</v>
      </c>
      <c r="V27">
        <v>20</v>
      </c>
      <c r="W27">
        <v>55</v>
      </c>
      <c r="X27">
        <v>2</v>
      </c>
      <c r="Y27">
        <v>35000</v>
      </c>
      <c r="Z27">
        <v>8760</v>
      </c>
      <c r="AA27">
        <v>3</v>
      </c>
      <c r="AB27">
        <v>35</v>
      </c>
      <c r="AC27">
        <v>1.6</v>
      </c>
      <c r="AD27">
        <v>17.8</v>
      </c>
      <c r="AE27" t="s">
        <v>266</v>
      </c>
      <c r="AF27">
        <v>5</v>
      </c>
      <c r="AG27">
        <v>35</v>
      </c>
    </row>
    <row r="28" spans="1:33" hidden="1" x14ac:dyDescent="0.2">
      <c r="A28" t="s">
        <v>278</v>
      </c>
      <c r="B28" t="s">
        <v>300</v>
      </c>
      <c r="C28" t="s">
        <v>271</v>
      </c>
      <c r="D28">
        <v>1</v>
      </c>
      <c r="E28">
        <v>86</v>
      </c>
      <c r="F28">
        <v>86</v>
      </c>
      <c r="G28">
        <v>400</v>
      </c>
      <c r="H28" t="s">
        <v>280</v>
      </c>
      <c r="I28" s="31">
        <v>9.3023255813953487E-2</v>
      </c>
      <c r="J28">
        <v>3</v>
      </c>
      <c r="K28" t="s">
        <v>266</v>
      </c>
      <c r="L28">
        <v>8700</v>
      </c>
      <c r="M28">
        <v>-25</v>
      </c>
      <c r="N28">
        <v>40</v>
      </c>
      <c r="O28">
        <v>4.8</v>
      </c>
      <c r="P28" s="32">
        <f>((1000*O28)/0.08924)/1000</f>
        <v>53.787539220080681</v>
      </c>
      <c r="Q28" s="32"/>
      <c r="R28" s="33">
        <v>0.2558139534883721</v>
      </c>
      <c r="T28">
        <v>62.5</v>
      </c>
      <c r="U28">
        <v>92.5</v>
      </c>
      <c r="V28">
        <v>20</v>
      </c>
      <c r="W28">
        <v>55</v>
      </c>
      <c r="X28">
        <v>2</v>
      </c>
      <c r="Y28">
        <v>35000</v>
      </c>
      <c r="Z28">
        <v>8760</v>
      </c>
      <c r="AA28">
        <v>3</v>
      </c>
      <c r="AB28">
        <v>35</v>
      </c>
      <c r="AC28">
        <v>1.6</v>
      </c>
      <c r="AD28">
        <v>17.8</v>
      </c>
      <c r="AE28" t="s">
        <v>266</v>
      </c>
      <c r="AF28">
        <v>5</v>
      </c>
      <c r="AG28">
        <v>35</v>
      </c>
    </row>
    <row r="29" spans="1:33" hidden="1" x14ac:dyDescent="0.2">
      <c r="A29" t="s">
        <v>273</v>
      </c>
      <c r="B29" t="s">
        <v>301</v>
      </c>
      <c r="C29" t="s">
        <v>271</v>
      </c>
      <c r="F29">
        <v>100</v>
      </c>
      <c r="H29" t="s">
        <v>264</v>
      </c>
      <c r="I29" s="31"/>
      <c r="O29">
        <v>4.5</v>
      </c>
      <c r="P29" s="32">
        <f>((1000*O29)/0.08924)/1000</f>
        <v>50.425818018825638</v>
      </c>
      <c r="Q29" s="32"/>
      <c r="R29" s="33"/>
      <c r="T29">
        <v>66.7</v>
      </c>
      <c r="AB29">
        <v>30</v>
      </c>
      <c r="AC29">
        <v>1.8</v>
      </c>
      <c r="AD29">
        <v>20</v>
      </c>
    </row>
    <row r="30" spans="1:33" x14ac:dyDescent="0.2">
      <c r="A30" t="s">
        <v>357</v>
      </c>
      <c r="B30" t="s">
        <v>370</v>
      </c>
      <c r="C30" t="s">
        <v>263</v>
      </c>
      <c r="D30">
        <v>500</v>
      </c>
      <c r="E30">
        <v>5000</v>
      </c>
      <c r="F30">
        <v>5000</v>
      </c>
      <c r="G30">
        <v>400</v>
      </c>
      <c r="H30" t="s">
        <v>272</v>
      </c>
      <c r="I30" s="31">
        <v>0.08</v>
      </c>
      <c r="J30">
        <v>1</v>
      </c>
      <c r="K30" t="s">
        <v>265</v>
      </c>
      <c r="L30">
        <v>8600</v>
      </c>
      <c r="M30">
        <v>-20</v>
      </c>
      <c r="N30">
        <v>35</v>
      </c>
      <c r="O30">
        <v>4.5</v>
      </c>
      <c r="P30" s="32">
        <f>((1000*O30)/0.08924)/1000</f>
        <v>50.425818018825638</v>
      </c>
      <c r="Q30" s="32"/>
      <c r="R30" s="33"/>
      <c r="T30">
        <v>66.7</v>
      </c>
      <c r="Y30">
        <v>80000</v>
      </c>
      <c r="AA30">
        <v>5</v>
      </c>
      <c r="AB30">
        <v>35</v>
      </c>
      <c r="AC30">
        <v>90</v>
      </c>
      <c r="AD30">
        <v>1000</v>
      </c>
      <c r="AE30" t="s">
        <v>265</v>
      </c>
    </row>
    <row r="31" spans="1:33" x14ac:dyDescent="0.2">
      <c r="A31" t="s">
        <v>289</v>
      </c>
      <c r="B31" t="s">
        <v>305</v>
      </c>
      <c r="C31" t="s">
        <v>263</v>
      </c>
      <c r="D31">
        <v>10</v>
      </c>
      <c r="E31">
        <v>100</v>
      </c>
      <c r="F31">
        <v>110</v>
      </c>
      <c r="G31">
        <v>400</v>
      </c>
      <c r="H31" t="s">
        <v>272</v>
      </c>
      <c r="I31" s="31">
        <v>0.13636363636363635</v>
      </c>
      <c r="J31">
        <v>1</v>
      </c>
      <c r="K31" t="s">
        <v>265</v>
      </c>
      <c r="L31">
        <v>8410</v>
      </c>
      <c r="M31">
        <v>-20</v>
      </c>
      <c r="N31">
        <v>40</v>
      </c>
      <c r="O31">
        <v>4.67</v>
      </c>
      <c r="P31" s="32">
        <f>((1000*O31)/0.08924)/1000</f>
        <v>52.330793366203501</v>
      </c>
      <c r="Q31" s="32"/>
      <c r="R31" s="33"/>
      <c r="T31">
        <v>64.2</v>
      </c>
      <c r="V31">
        <v>5</v>
      </c>
      <c r="W31">
        <v>70</v>
      </c>
      <c r="X31">
        <v>1</v>
      </c>
      <c r="Y31">
        <v>80000</v>
      </c>
      <c r="AA31">
        <v>3.5</v>
      </c>
      <c r="AB31">
        <v>40</v>
      </c>
      <c r="AC31">
        <v>1.8</v>
      </c>
      <c r="AD31">
        <v>20</v>
      </c>
      <c r="AE31" t="s">
        <v>265</v>
      </c>
    </row>
    <row r="32" spans="1:33" x14ac:dyDescent="0.2">
      <c r="A32" t="s">
        <v>318</v>
      </c>
      <c r="B32" t="s">
        <v>340</v>
      </c>
      <c r="C32" t="s">
        <v>263</v>
      </c>
      <c r="F32">
        <v>1000</v>
      </c>
      <c r="G32">
        <v>400</v>
      </c>
      <c r="I32" s="31">
        <v>5.28E-2</v>
      </c>
      <c r="J32">
        <v>30</v>
      </c>
      <c r="M32">
        <v>-20</v>
      </c>
      <c r="N32">
        <v>40</v>
      </c>
      <c r="O32">
        <v>4.7</v>
      </c>
      <c r="P32">
        <v>53</v>
      </c>
      <c r="R32" s="33">
        <v>0.17</v>
      </c>
      <c r="S32">
        <v>57</v>
      </c>
      <c r="T32">
        <v>62.9</v>
      </c>
      <c r="U32">
        <v>90</v>
      </c>
      <c r="AA32">
        <v>5</v>
      </c>
      <c r="AB32">
        <v>30</v>
      </c>
      <c r="AD32">
        <v>200</v>
      </c>
    </row>
    <row r="33" spans="1:33" hidden="1" x14ac:dyDescent="0.2">
      <c r="A33" t="s">
        <v>306</v>
      </c>
      <c r="B33" t="s">
        <v>307</v>
      </c>
      <c r="C33" t="s">
        <v>271</v>
      </c>
      <c r="D33">
        <v>46</v>
      </c>
      <c r="F33">
        <v>115</v>
      </c>
      <c r="H33" t="s">
        <v>272</v>
      </c>
      <c r="I33" s="31">
        <v>0.46956521739130436</v>
      </c>
      <c r="K33" t="s">
        <v>265</v>
      </c>
      <c r="M33">
        <v>-20</v>
      </c>
      <c r="N33">
        <v>40</v>
      </c>
      <c r="O33">
        <v>4.9000000000000004</v>
      </c>
      <c r="P33" s="32">
        <f t="shared" ref="P33:P41" si="2">((1000*O33)/0.08924)/1000</f>
        <v>54.908112953832365</v>
      </c>
      <c r="Q33" s="32"/>
      <c r="R33" s="33"/>
      <c r="AA33">
        <v>4.8</v>
      </c>
      <c r="AB33">
        <v>10</v>
      </c>
      <c r="AC33">
        <v>0.88</v>
      </c>
      <c r="AD33">
        <v>9.6999999999999993</v>
      </c>
      <c r="AE33" t="s">
        <v>265</v>
      </c>
    </row>
    <row r="34" spans="1:33" x14ac:dyDescent="0.2">
      <c r="A34" t="s">
        <v>296</v>
      </c>
      <c r="B34" t="s">
        <v>297</v>
      </c>
      <c r="C34" t="s">
        <v>263</v>
      </c>
      <c r="D34">
        <v>10</v>
      </c>
      <c r="E34">
        <v>50</v>
      </c>
      <c r="F34">
        <v>60</v>
      </c>
      <c r="G34">
        <v>400</v>
      </c>
      <c r="H34" t="s">
        <v>280</v>
      </c>
      <c r="I34" s="31">
        <v>0.11666666666666667</v>
      </c>
      <c r="J34">
        <v>15</v>
      </c>
      <c r="K34" t="s">
        <v>265</v>
      </c>
      <c r="L34">
        <v>8650</v>
      </c>
      <c r="M34">
        <v>-40</v>
      </c>
      <c r="N34">
        <v>35</v>
      </c>
      <c r="O34">
        <v>4.8</v>
      </c>
      <c r="P34" s="32">
        <f t="shared" si="2"/>
        <v>53.787539220080681</v>
      </c>
      <c r="Q34" s="32"/>
      <c r="R34" s="33">
        <v>0.16666666666666666</v>
      </c>
      <c r="S34">
        <v>62</v>
      </c>
      <c r="T34">
        <v>62.5</v>
      </c>
      <c r="V34">
        <v>25</v>
      </c>
      <c r="W34">
        <v>75</v>
      </c>
      <c r="X34">
        <v>0.1</v>
      </c>
      <c r="Y34">
        <v>80000</v>
      </c>
      <c r="Z34">
        <v>8600</v>
      </c>
      <c r="AA34">
        <v>3.8</v>
      </c>
      <c r="AB34">
        <v>40</v>
      </c>
      <c r="AC34">
        <v>0.89</v>
      </c>
      <c r="AD34">
        <v>9.9</v>
      </c>
      <c r="AE34" t="s">
        <v>265</v>
      </c>
      <c r="AF34">
        <v>5</v>
      </c>
      <c r="AG34">
        <v>40</v>
      </c>
    </row>
    <row r="35" spans="1:33" x14ac:dyDescent="0.2">
      <c r="A35" t="s">
        <v>296</v>
      </c>
      <c r="B35" t="s">
        <v>308</v>
      </c>
      <c r="C35" t="s">
        <v>263</v>
      </c>
      <c r="D35">
        <v>20</v>
      </c>
      <c r="E35">
        <v>100</v>
      </c>
      <c r="F35">
        <v>120</v>
      </c>
      <c r="G35">
        <v>400</v>
      </c>
      <c r="H35" t="s">
        <v>280</v>
      </c>
      <c r="I35" s="31">
        <v>5.8333333333333334E-2</v>
      </c>
      <c r="J35">
        <v>15</v>
      </c>
      <c r="K35" t="s">
        <v>265</v>
      </c>
      <c r="L35">
        <v>8650</v>
      </c>
      <c r="M35">
        <v>-40</v>
      </c>
      <c r="N35">
        <v>35</v>
      </c>
      <c r="O35">
        <v>4.8</v>
      </c>
      <c r="P35" s="32">
        <f t="shared" si="2"/>
        <v>53.787539220080681</v>
      </c>
      <c r="Q35" s="32"/>
      <c r="R35" s="33">
        <v>0.16666666666666666</v>
      </c>
      <c r="S35">
        <v>62</v>
      </c>
      <c r="T35">
        <v>62.5</v>
      </c>
      <c r="V35">
        <v>25</v>
      </c>
      <c r="W35">
        <v>75</v>
      </c>
      <c r="X35">
        <v>0.1</v>
      </c>
      <c r="Y35">
        <v>80000</v>
      </c>
      <c r="Z35">
        <v>8600</v>
      </c>
      <c r="AA35">
        <v>3.8</v>
      </c>
      <c r="AB35">
        <v>40</v>
      </c>
      <c r="AC35">
        <v>1.78</v>
      </c>
      <c r="AD35">
        <v>19.8</v>
      </c>
      <c r="AE35" t="s">
        <v>265</v>
      </c>
      <c r="AF35">
        <v>5</v>
      </c>
      <c r="AG35">
        <v>40</v>
      </c>
    </row>
    <row r="36" spans="1:33" hidden="1" x14ac:dyDescent="0.2">
      <c r="A36" t="s">
        <v>306</v>
      </c>
      <c r="B36" t="s">
        <v>310</v>
      </c>
      <c r="C36" t="s">
        <v>271</v>
      </c>
      <c r="D36">
        <v>62</v>
      </c>
      <c r="F36">
        <v>155</v>
      </c>
      <c r="H36" t="s">
        <v>272</v>
      </c>
      <c r="I36" s="31">
        <v>0.34838709677419355</v>
      </c>
      <c r="K36" t="s">
        <v>265</v>
      </c>
      <c r="M36">
        <v>-20</v>
      </c>
      <c r="N36">
        <v>40</v>
      </c>
      <c r="O36">
        <v>4.9000000000000004</v>
      </c>
      <c r="P36" s="32">
        <f t="shared" si="2"/>
        <v>54.908112953832365</v>
      </c>
      <c r="Q36" s="32"/>
      <c r="R36" s="33"/>
      <c r="AA36">
        <v>4.8</v>
      </c>
      <c r="AB36">
        <v>10</v>
      </c>
      <c r="AC36">
        <v>1.33</v>
      </c>
      <c r="AD36">
        <v>14.8</v>
      </c>
      <c r="AE36" t="s">
        <v>265</v>
      </c>
    </row>
    <row r="37" spans="1:33" hidden="1" x14ac:dyDescent="0.2">
      <c r="A37" t="s">
        <v>278</v>
      </c>
      <c r="B37" t="s">
        <v>311</v>
      </c>
      <c r="C37" t="s">
        <v>271</v>
      </c>
      <c r="D37">
        <v>1</v>
      </c>
      <c r="E37">
        <v>173</v>
      </c>
      <c r="F37">
        <v>173</v>
      </c>
      <c r="G37">
        <v>400</v>
      </c>
      <c r="H37" t="s">
        <v>280</v>
      </c>
      <c r="I37" s="31">
        <v>9.2485549132947972E-2</v>
      </c>
      <c r="J37">
        <v>3</v>
      </c>
      <c r="K37" t="s">
        <v>266</v>
      </c>
      <c r="L37">
        <v>8700</v>
      </c>
      <c r="M37">
        <v>5</v>
      </c>
      <c r="N37">
        <v>45</v>
      </c>
      <c r="O37">
        <v>4.8</v>
      </c>
      <c r="P37" s="32">
        <f t="shared" si="2"/>
        <v>53.787539220080681</v>
      </c>
      <c r="Q37" s="32"/>
      <c r="R37" s="33">
        <v>0.24855491329479767</v>
      </c>
      <c r="T37">
        <v>62.5</v>
      </c>
      <c r="U37">
        <v>92.5</v>
      </c>
      <c r="V37">
        <v>20</v>
      </c>
      <c r="W37">
        <v>55</v>
      </c>
      <c r="X37">
        <v>2</v>
      </c>
      <c r="Y37">
        <v>35000</v>
      </c>
      <c r="Z37">
        <v>8760</v>
      </c>
      <c r="AA37">
        <v>3</v>
      </c>
      <c r="AB37">
        <v>35</v>
      </c>
      <c r="AC37">
        <v>3.2</v>
      </c>
      <c r="AD37">
        <v>35.6</v>
      </c>
      <c r="AE37" t="s">
        <v>266</v>
      </c>
      <c r="AF37">
        <v>5</v>
      </c>
      <c r="AG37">
        <v>35</v>
      </c>
    </row>
    <row r="38" spans="1:33" hidden="1" x14ac:dyDescent="0.2">
      <c r="A38" t="s">
        <v>278</v>
      </c>
      <c r="B38" t="s">
        <v>312</v>
      </c>
      <c r="C38" t="s">
        <v>271</v>
      </c>
      <c r="D38">
        <v>1</v>
      </c>
      <c r="E38">
        <v>173</v>
      </c>
      <c r="F38">
        <v>173</v>
      </c>
      <c r="G38">
        <v>400</v>
      </c>
      <c r="H38" t="s">
        <v>280</v>
      </c>
      <c r="I38" s="31">
        <v>9.2485549132947972E-2</v>
      </c>
      <c r="J38">
        <v>3</v>
      </c>
      <c r="K38" t="s">
        <v>266</v>
      </c>
      <c r="L38">
        <v>8700</v>
      </c>
      <c r="M38">
        <v>-25</v>
      </c>
      <c r="N38">
        <v>40</v>
      </c>
      <c r="O38">
        <v>4.8</v>
      </c>
      <c r="P38" s="32">
        <f t="shared" si="2"/>
        <v>53.787539220080681</v>
      </c>
      <c r="Q38" s="32"/>
      <c r="R38" s="33">
        <v>0.24855491329479767</v>
      </c>
      <c r="T38">
        <v>62.5</v>
      </c>
      <c r="U38">
        <v>92.5</v>
      </c>
      <c r="V38">
        <v>20</v>
      </c>
      <c r="W38">
        <v>55</v>
      </c>
      <c r="X38">
        <v>2</v>
      </c>
      <c r="Y38">
        <v>35000</v>
      </c>
      <c r="Z38">
        <v>8760</v>
      </c>
      <c r="AA38">
        <v>3</v>
      </c>
      <c r="AB38">
        <v>35</v>
      </c>
      <c r="AC38">
        <v>3.2</v>
      </c>
      <c r="AD38">
        <v>35.6</v>
      </c>
      <c r="AE38" t="s">
        <v>266</v>
      </c>
      <c r="AF38">
        <v>5</v>
      </c>
      <c r="AG38">
        <v>35</v>
      </c>
    </row>
    <row r="39" spans="1:33" x14ac:dyDescent="0.2">
      <c r="A39" t="s">
        <v>296</v>
      </c>
      <c r="B39" t="s">
        <v>313</v>
      </c>
      <c r="C39" t="s">
        <v>263</v>
      </c>
      <c r="D39">
        <v>30</v>
      </c>
      <c r="E39">
        <v>150</v>
      </c>
      <c r="F39">
        <v>180</v>
      </c>
      <c r="G39">
        <v>400</v>
      </c>
      <c r="H39" t="s">
        <v>280</v>
      </c>
      <c r="I39" s="31">
        <v>0.15555555555555556</v>
      </c>
      <c r="J39">
        <v>15</v>
      </c>
      <c r="K39" t="s">
        <v>265</v>
      </c>
      <c r="L39">
        <v>8650</v>
      </c>
      <c r="M39">
        <v>-40</v>
      </c>
      <c r="N39">
        <v>35</v>
      </c>
      <c r="O39">
        <v>4.8</v>
      </c>
      <c r="P39" s="32">
        <f t="shared" si="2"/>
        <v>53.787539220080681</v>
      </c>
      <c r="Q39" s="32"/>
      <c r="R39" s="33">
        <v>0.16666666666666666</v>
      </c>
      <c r="S39">
        <v>62</v>
      </c>
      <c r="T39">
        <v>62.5</v>
      </c>
      <c r="V39">
        <v>25</v>
      </c>
      <c r="W39">
        <v>75</v>
      </c>
      <c r="X39">
        <v>0.1</v>
      </c>
      <c r="Y39">
        <v>80000</v>
      </c>
      <c r="Z39">
        <v>8600</v>
      </c>
      <c r="AA39">
        <v>3.8</v>
      </c>
      <c r="AB39">
        <v>40</v>
      </c>
      <c r="AC39">
        <v>2.67</v>
      </c>
      <c r="AD39">
        <v>29.7</v>
      </c>
      <c r="AE39" t="s">
        <v>265</v>
      </c>
      <c r="AF39">
        <v>5</v>
      </c>
      <c r="AG39">
        <v>40</v>
      </c>
    </row>
    <row r="40" spans="1:33" x14ac:dyDescent="0.2">
      <c r="A40" t="s">
        <v>296</v>
      </c>
      <c r="B40" t="s">
        <v>315</v>
      </c>
      <c r="C40" t="s">
        <v>263</v>
      </c>
      <c r="D40">
        <v>20</v>
      </c>
      <c r="E40">
        <v>200</v>
      </c>
      <c r="F40">
        <v>240</v>
      </c>
      <c r="G40">
        <v>400</v>
      </c>
      <c r="H40" t="s">
        <v>280</v>
      </c>
      <c r="I40" s="31">
        <v>5.8333333333333334E-2</v>
      </c>
      <c r="J40">
        <v>15</v>
      </c>
      <c r="K40" t="s">
        <v>266</v>
      </c>
      <c r="L40">
        <v>8650</v>
      </c>
      <c r="M40">
        <v>-40</v>
      </c>
      <c r="N40">
        <v>35</v>
      </c>
      <c r="O40">
        <v>4.8</v>
      </c>
      <c r="P40" s="32">
        <f t="shared" si="2"/>
        <v>53.787539220080681</v>
      </c>
      <c r="Q40" s="32"/>
      <c r="R40" s="33">
        <v>0.16666666666666666</v>
      </c>
      <c r="S40">
        <v>62</v>
      </c>
      <c r="T40">
        <v>62.5</v>
      </c>
      <c r="V40">
        <v>25</v>
      </c>
      <c r="W40">
        <v>75</v>
      </c>
      <c r="X40">
        <v>0.1</v>
      </c>
      <c r="Y40">
        <v>80000</v>
      </c>
      <c r="Z40">
        <v>8600</v>
      </c>
      <c r="AA40">
        <v>3.8</v>
      </c>
      <c r="AB40">
        <v>40</v>
      </c>
      <c r="AC40">
        <v>3.56</v>
      </c>
      <c r="AD40">
        <v>39.6</v>
      </c>
      <c r="AE40" t="s">
        <v>265</v>
      </c>
      <c r="AF40">
        <v>5</v>
      </c>
      <c r="AG40">
        <v>40</v>
      </c>
    </row>
    <row r="41" spans="1:33" x14ac:dyDescent="0.2">
      <c r="A41" t="s">
        <v>296</v>
      </c>
      <c r="B41" t="s">
        <v>320</v>
      </c>
      <c r="C41" t="s">
        <v>263</v>
      </c>
      <c r="D41">
        <v>30</v>
      </c>
      <c r="E41">
        <v>300</v>
      </c>
      <c r="F41">
        <v>360</v>
      </c>
      <c r="G41">
        <v>400</v>
      </c>
      <c r="H41" t="s">
        <v>280</v>
      </c>
      <c r="I41" s="31">
        <v>3.888888888888889E-2</v>
      </c>
      <c r="J41">
        <v>15</v>
      </c>
      <c r="K41" t="s">
        <v>265</v>
      </c>
      <c r="L41">
        <v>8650</v>
      </c>
      <c r="M41">
        <v>-40</v>
      </c>
      <c r="N41">
        <v>35</v>
      </c>
      <c r="O41">
        <v>4.8</v>
      </c>
      <c r="P41" s="32">
        <f t="shared" si="2"/>
        <v>53.787539220080681</v>
      </c>
      <c r="Q41" s="32"/>
      <c r="R41" s="33">
        <v>0.16666666666666666</v>
      </c>
      <c r="S41">
        <v>62</v>
      </c>
      <c r="T41">
        <v>62.5</v>
      </c>
      <c r="V41">
        <v>25</v>
      </c>
      <c r="W41">
        <v>75</v>
      </c>
      <c r="X41">
        <v>0.1</v>
      </c>
      <c r="Y41">
        <v>80000</v>
      </c>
      <c r="Z41">
        <v>8600</v>
      </c>
      <c r="AA41">
        <v>3.8</v>
      </c>
      <c r="AB41">
        <v>40</v>
      </c>
      <c r="AC41">
        <v>5.34</v>
      </c>
      <c r="AD41">
        <v>59.3</v>
      </c>
      <c r="AE41" t="s">
        <v>265</v>
      </c>
      <c r="AF41">
        <v>5</v>
      </c>
      <c r="AG41">
        <v>40</v>
      </c>
    </row>
    <row r="42" spans="1:33" hidden="1" x14ac:dyDescent="0.2">
      <c r="A42" t="s">
        <v>316</v>
      </c>
      <c r="B42" t="s">
        <v>317</v>
      </c>
      <c r="C42" t="s">
        <v>271</v>
      </c>
      <c r="D42">
        <v>110</v>
      </c>
      <c r="F42">
        <v>275</v>
      </c>
      <c r="H42" t="s">
        <v>272</v>
      </c>
      <c r="I42" s="31">
        <v>0.19636363636363635</v>
      </c>
      <c r="K42" t="s">
        <v>265</v>
      </c>
      <c r="M42">
        <v>-20</v>
      </c>
      <c r="N42">
        <v>40</v>
      </c>
      <c r="R42" s="33"/>
      <c r="AA42">
        <v>4.8</v>
      </c>
      <c r="AB42">
        <v>10</v>
      </c>
      <c r="AC42">
        <v>2.67</v>
      </c>
      <c r="AD42">
        <v>29.6</v>
      </c>
      <c r="AE42" t="s">
        <v>265</v>
      </c>
    </row>
    <row r="43" spans="1:33" x14ac:dyDescent="0.2">
      <c r="A43" t="s">
        <v>296</v>
      </c>
      <c r="B43" t="s">
        <v>324</v>
      </c>
      <c r="C43" t="s">
        <v>263</v>
      </c>
      <c r="D43">
        <v>45</v>
      </c>
      <c r="E43">
        <v>450</v>
      </c>
      <c r="F43">
        <v>540</v>
      </c>
      <c r="G43">
        <v>400</v>
      </c>
      <c r="H43" t="s">
        <v>280</v>
      </c>
      <c r="I43" s="31">
        <v>2.5925925925925925E-2</v>
      </c>
      <c r="J43">
        <v>15</v>
      </c>
      <c r="K43" t="s">
        <v>265</v>
      </c>
      <c r="L43">
        <v>8650</v>
      </c>
      <c r="M43">
        <v>-40</v>
      </c>
      <c r="N43">
        <v>35</v>
      </c>
      <c r="O43">
        <v>4.8</v>
      </c>
      <c r="P43" s="32">
        <f t="shared" ref="P43:P49" si="3">((1000*O43)/0.08924)/1000</f>
        <v>53.787539220080681</v>
      </c>
      <c r="Q43" s="32"/>
      <c r="R43" s="33">
        <v>0.16666666666666666</v>
      </c>
      <c r="S43">
        <v>62</v>
      </c>
      <c r="T43">
        <v>62.5</v>
      </c>
      <c r="V43">
        <v>25</v>
      </c>
      <c r="W43">
        <v>75</v>
      </c>
      <c r="X43">
        <v>0.1</v>
      </c>
      <c r="Y43">
        <v>80000</v>
      </c>
      <c r="Z43">
        <v>8600</v>
      </c>
      <c r="AA43">
        <v>3.8</v>
      </c>
      <c r="AB43">
        <v>40</v>
      </c>
      <c r="AC43">
        <v>8.01</v>
      </c>
      <c r="AD43">
        <v>89</v>
      </c>
      <c r="AE43" t="s">
        <v>265</v>
      </c>
      <c r="AF43">
        <v>5</v>
      </c>
      <c r="AG43">
        <v>40</v>
      </c>
    </row>
    <row r="44" spans="1:33" x14ac:dyDescent="0.2">
      <c r="A44" t="s">
        <v>296</v>
      </c>
      <c r="B44" t="s">
        <v>329</v>
      </c>
      <c r="C44" t="s">
        <v>263</v>
      </c>
      <c r="D44">
        <v>60</v>
      </c>
      <c r="E44">
        <v>600</v>
      </c>
      <c r="F44">
        <v>720</v>
      </c>
      <c r="G44">
        <v>400</v>
      </c>
      <c r="H44" t="s">
        <v>280</v>
      </c>
      <c r="I44" s="31">
        <v>1.9444444444444445E-2</v>
      </c>
      <c r="J44">
        <v>15</v>
      </c>
      <c r="K44" t="s">
        <v>265</v>
      </c>
      <c r="L44">
        <v>8650</v>
      </c>
      <c r="M44">
        <v>-40</v>
      </c>
      <c r="N44">
        <v>35</v>
      </c>
      <c r="O44">
        <v>4.8</v>
      </c>
      <c r="P44" s="32">
        <f t="shared" si="3"/>
        <v>53.787539220080681</v>
      </c>
      <c r="Q44" s="32"/>
      <c r="R44" s="33">
        <v>0.16666666666666666</v>
      </c>
      <c r="S44">
        <v>62</v>
      </c>
      <c r="T44">
        <v>62.5</v>
      </c>
      <c r="V44">
        <v>25</v>
      </c>
      <c r="W44">
        <v>75</v>
      </c>
      <c r="X44">
        <v>0.1</v>
      </c>
      <c r="Y44">
        <v>80000</v>
      </c>
      <c r="Z44">
        <v>8600</v>
      </c>
      <c r="AA44">
        <v>3.8</v>
      </c>
      <c r="AB44">
        <v>40</v>
      </c>
      <c r="AC44">
        <v>10.68</v>
      </c>
      <c r="AD44">
        <v>118.7</v>
      </c>
      <c r="AE44" t="s">
        <v>265</v>
      </c>
      <c r="AF44">
        <v>5</v>
      </c>
      <c r="AG44">
        <v>40</v>
      </c>
    </row>
    <row r="45" spans="1:33" x14ac:dyDescent="0.2">
      <c r="A45" t="s">
        <v>296</v>
      </c>
      <c r="B45" t="s">
        <v>332</v>
      </c>
      <c r="C45" t="s">
        <v>263</v>
      </c>
      <c r="D45">
        <v>200</v>
      </c>
      <c r="E45">
        <v>750</v>
      </c>
      <c r="F45">
        <v>900</v>
      </c>
      <c r="G45">
        <v>400</v>
      </c>
      <c r="H45" t="s">
        <v>280</v>
      </c>
      <c r="I45" s="31">
        <v>3.111111111111111E-2</v>
      </c>
      <c r="J45">
        <v>15</v>
      </c>
      <c r="K45" t="s">
        <v>265</v>
      </c>
      <c r="L45">
        <v>8650</v>
      </c>
      <c r="M45">
        <v>-40</v>
      </c>
      <c r="N45">
        <v>35</v>
      </c>
      <c r="O45">
        <v>4.8</v>
      </c>
      <c r="P45" s="32">
        <f t="shared" si="3"/>
        <v>53.787539220080681</v>
      </c>
      <c r="Q45" s="32"/>
      <c r="R45" s="33">
        <v>0.16666666666666666</v>
      </c>
      <c r="S45">
        <v>62</v>
      </c>
      <c r="T45">
        <v>62.5</v>
      </c>
      <c r="V45">
        <v>25</v>
      </c>
      <c r="W45">
        <v>75</v>
      </c>
      <c r="X45">
        <v>0.1</v>
      </c>
      <c r="Y45">
        <v>80000</v>
      </c>
      <c r="Z45">
        <v>8600</v>
      </c>
      <c r="AA45">
        <v>3.8</v>
      </c>
      <c r="AB45">
        <v>40</v>
      </c>
      <c r="AC45">
        <v>13.35</v>
      </c>
      <c r="AD45">
        <v>148.30000000000001</v>
      </c>
      <c r="AE45" t="s">
        <v>265</v>
      </c>
      <c r="AF45">
        <v>5</v>
      </c>
      <c r="AG45">
        <v>40</v>
      </c>
    </row>
    <row r="46" spans="1:33" hidden="1" x14ac:dyDescent="0.2">
      <c r="A46" t="s">
        <v>273</v>
      </c>
      <c r="B46" t="s">
        <v>322</v>
      </c>
      <c r="C46" t="s">
        <v>271</v>
      </c>
      <c r="F46">
        <v>500</v>
      </c>
      <c r="H46" t="s">
        <v>264</v>
      </c>
      <c r="I46" s="31"/>
      <c r="O46">
        <v>4.5</v>
      </c>
      <c r="P46" s="32">
        <f t="shared" si="3"/>
        <v>50.425818018825638</v>
      </c>
      <c r="Q46" s="32"/>
      <c r="R46" s="33"/>
      <c r="T46">
        <v>66.7</v>
      </c>
      <c r="AB46">
        <v>30</v>
      </c>
      <c r="AC46">
        <v>9</v>
      </c>
      <c r="AD46">
        <v>100</v>
      </c>
    </row>
    <row r="47" spans="1:33" hidden="1" x14ac:dyDescent="0.2">
      <c r="A47" t="s">
        <v>278</v>
      </c>
      <c r="B47" t="s">
        <v>323</v>
      </c>
      <c r="C47" t="s">
        <v>271</v>
      </c>
      <c r="D47">
        <v>15</v>
      </c>
      <c r="E47">
        <v>504</v>
      </c>
      <c r="F47">
        <v>504</v>
      </c>
      <c r="G47">
        <v>400</v>
      </c>
      <c r="H47" t="s">
        <v>272</v>
      </c>
      <c r="I47" s="31"/>
      <c r="K47" t="s">
        <v>265</v>
      </c>
      <c r="M47">
        <v>-15</v>
      </c>
      <c r="N47">
        <v>45</v>
      </c>
      <c r="O47">
        <v>4.8</v>
      </c>
      <c r="P47" s="32">
        <f t="shared" si="3"/>
        <v>53.787539220080681</v>
      </c>
      <c r="Q47" s="32"/>
      <c r="R47" s="33">
        <v>0.32738095238095238</v>
      </c>
      <c r="T47">
        <v>62.5</v>
      </c>
      <c r="V47">
        <v>20</v>
      </c>
      <c r="W47">
        <v>55</v>
      </c>
      <c r="X47">
        <v>5</v>
      </c>
      <c r="Y47">
        <v>35000</v>
      </c>
      <c r="AA47">
        <v>3</v>
      </c>
      <c r="AB47">
        <v>35</v>
      </c>
      <c r="AC47">
        <v>9.3000000000000007</v>
      </c>
      <c r="AD47">
        <v>103.3</v>
      </c>
      <c r="AE47" t="s">
        <v>266</v>
      </c>
      <c r="AF47">
        <v>5</v>
      </c>
      <c r="AG47">
        <v>35</v>
      </c>
    </row>
    <row r="48" spans="1:33" x14ac:dyDescent="0.2">
      <c r="A48" t="s">
        <v>296</v>
      </c>
      <c r="B48" t="s">
        <v>350</v>
      </c>
      <c r="C48" t="s">
        <v>263</v>
      </c>
      <c r="D48">
        <v>200</v>
      </c>
      <c r="E48">
        <v>1000</v>
      </c>
      <c r="F48">
        <v>1200</v>
      </c>
      <c r="G48">
        <v>400</v>
      </c>
      <c r="H48" t="s">
        <v>280</v>
      </c>
      <c r="I48" s="31">
        <v>2.3333333333333334E-2</v>
      </c>
      <c r="J48">
        <v>15</v>
      </c>
      <c r="K48" t="s">
        <v>265</v>
      </c>
      <c r="L48">
        <v>8650</v>
      </c>
      <c r="M48">
        <v>-40</v>
      </c>
      <c r="N48">
        <v>35</v>
      </c>
      <c r="O48">
        <v>4.8</v>
      </c>
      <c r="P48" s="32">
        <f t="shared" si="3"/>
        <v>53.787539220080681</v>
      </c>
      <c r="Q48" s="32"/>
      <c r="R48" s="33">
        <v>0.16666666666666666</v>
      </c>
      <c r="S48">
        <v>62</v>
      </c>
      <c r="T48">
        <v>62.5</v>
      </c>
      <c r="V48">
        <v>25</v>
      </c>
      <c r="W48">
        <v>75</v>
      </c>
      <c r="X48">
        <v>0.1</v>
      </c>
      <c r="Y48">
        <v>80000</v>
      </c>
      <c r="Z48">
        <v>8600</v>
      </c>
      <c r="AA48">
        <v>3.8</v>
      </c>
      <c r="AB48">
        <v>40</v>
      </c>
      <c r="AC48">
        <v>17.8</v>
      </c>
      <c r="AD48">
        <v>197.8</v>
      </c>
      <c r="AE48" t="s">
        <v>265</v>
      </c>
      <c r="AF48">
        <v>5</v>
      </c>
      <c r="AG48">
        <v>40</v>
      </c>
    </row>
    <row r="49" spans="1:33" hidden="1" x14ac:dyDescent="0.2">
      <c r="A49" t="s">
        <v>306</v>
      </c>
      <c r="B49" t="s">
        <v>325</v>
      </c>
      <c r="C49" t="s">
        <v>271</v>
      </c>
      <c r="D49">
        <v>220</v>
      </c>
      <c r="F49">
        <v>550</v>
      </c>
      <c r="H49" t="s">
        <v>272</v>
      </c>
      <c r="I49" s="31">
        <v>0.16181818181818181</v>
      </c>
      <c r="K49" t="s">
        <v>265</v>
      </c>
      <c r="M49">
        <v>-20</v>
      </c>
      <c r="N49">
        <v>40</v>
      </c>
      <c r="O49">
        <v>5.2</v>
      </c>
      <c r="P49" s="32">
        <f t="shared" si="3"/>
        <v>58.269834155087402</v>
      </c>
      <c r="Q49" s="32"/>
      <c r="R49" s="33"/>
      <c r="AA49">
        <v>4.8</v>
      </c>
      <c r="AB49">
        <v>10</v>
      </c>
      <c r="AC49">
        <v>5.42</v>
      </c>
      <c r="AD49">
        <v>60.2</v>
      </c>
      <c r="AE49" t="s">
        <v>265</v>
      </c>
    </row>
    <row r="50" spans="1:33" hidden="1" x14ac:dyDescent="0.2">
      <c r="A50" t="s">
        <v>316</v>
      </c>
      <c r="B50" t="s">
        <v>326</v>
      </c>
      <c r="C50" t="s">
        <v>271</v>
      </c>
      <c r="D50">
        <v>270</v>
      </c>
      <c r="F50">
        <v>675</v>
      </c>
      <c r="H50" t="s">
        <v>272</v>
      </c>
      <c r="I50" s="31">
        <v>0.13185185185185186</v>
      </c>
      <c r="K50" t="s">
        <v>265</v>
      </c>
      <c r="M50">
        <v>-20</v>
      </c>
      <c r="N50">
        <v>40</v>
      </c>
      <c r="R50" s="33"/>
      <c r="AA50">
        <v>4.8</v>
      </c>
      <c r="AB50">
        <v>10</v>
      </c>
      <c r="AC50">
        <v>6.67</v>
      </c>
      <c r="AD50">
        <v>74.099999999999994</v>
      </c>
      <c r="AE50" t="s">
        <v>265</v>
      </c>
    </row>
    <row r="51" spans="1:33" x14ac:dyDescent="0.2">
      <c r="A51" t="s">
        <v>296</v>
      </c>
      <c r="B51" t="s">
        <v>355</v>
      </c>
      <c r="C51" t="s">
        <v>263</v>
      </c>
      <c r="D51">
        <v>200</v>
      </c>
      <c r="E51">
        <v>1500</v>
      </c>
      <c r="F51">
        <v>1800</v>
      </c>
      <c r="G51">
        <v>400</v>
      </c>
      <c r="H51" t="s">
        <v>280</v>
      </c>
      <c r="I51" s="31">
        <v>1.5555555555555555E-2</v>
      </c>
      <c r="J51">
        <v>15</v>
      </c>
      <c r="K51" t="s">
        <v>265</v>
      </c>
      <c r="L51">
        <v>8650</v>
      </c>
      <c r="M51">
        <v>-40</v>
      </c>
      <c r="N51">
        <v>35</v>
      </c>
      <c r="O51">
        <v>4.8</v>
      </c>
      <c r="P51" s="32">
        <f>((1000*O51)/0.08924)/1000</f>
        <v>53.787539220080681</v>
      </c>
      <c r="Q51" s="32"/>
      <c r="R51" s="33">
        <v>0.16666666666666666</v>
      </c>
      <c r="S51">
        <v>62</v>
      </c>
      <c r="T51">
        <v>62.5</v>
      </c>
      <c r="V51">
        <v>25</v>
      </c>
      <c r="W51">
        <v>75</v>
      </c>
      <c r="X51">
        <v>0.1</v>
      </c>
      <c r="Y51">
        <v>80000</v>
      </c>
      <c r="Z51">
        <v>8600</v>
      </c>
      <c r="AA51">
        <v>3.8</v>
      </c>
      <c r="AB51">
        <v>40</v>
      </c>
      <c r="AC51">
        <v>26.7</v>
      </c>
      <c r="AD51">
        <v>296.7</v>
      </c>
      <c r="AE51" t="s">
        <v>265</v>
      </c>
      <c r="AF51">
        <v>5</v>
      </c>
      <c r="AG51">
        <v>40</v>
      </c>
    </row>
    <row r="52" spans="1:33" x14ac:dyDescent="0.2">
      <c r="A52" t="s">
        <v>296</v>
      </c>
      <c r="B52" t="s">
        <v>362</v>
      </c>
      <c r="C52" t="s">
        <v>263</v>
      </c>
      <c r="D52">
        <v>200</v>
      </c>
      <c r="E52">
        <v>2000</v>
      </c>
      <c r="F52">
        <v>2400</v>
      </c>
      <c r="G52">
        <v>400</v>
      </c>
      <c r="H52" t="s">
        <v>280</v>
      </c>
      <c r="I52" s="31">
        <v>1.1666666666666667E-2</v>
      </c>
      <c r="J52">
        <v>15</v>
      </c>
      <c r="K52" t="s">
        <v>265</v>
      </c>
      <c r="L52">
        <v>8650</v>
      </c>
      <c r="M52">
        <v>-40</v>
      </c>
      <c r="N52">
        <v>35</v>
      </c>
      <c r="O52">
        <v>4.8</v>
      </c>
      <c r="P52" s="32">
        <f>((1000*O52)/0.08924)/1000</f>
        <v>53.787539220080681</v>
      </c>
      <c r="Q52" s="32"/>
      <c r="R52" s="33">
        <v>0.16666666666666666</v>
      </c>
      <c r="S52">
        <v>62</v>
      </c>
      <c r="T52">
        <v>62.5</v>
      </c>
      <c r="V52">
        <v>25</v>
      </c>
      <c r="W52">
        <v>75</v>
      </c>
      <c r="X52">
        <v>0.1</v>
      </c>
      <c r="Y52">
        <v>80000</v>
      </c>
      <c r="Z52">
        <v>8600</v>
      </c>
      <c r="AA52">
        <v>3.8</v>
      </c>
      <c r="AB52">
        <v>40</v>
      </c>
      <c r="AC52">
        <v>35.6</v>
      </c>
      <c r="AD52">
        <v>395.6</v>
      </c>
      <c r="AE52" t="s">
        <v>265</v>
      </c>
      <c r="AF52">
        <v>5</v>
      </c>
      <c r="AG52">
        <v>40</v>
      </c>
    </row>
    <row r="53" spans="1:33" x14ac:dyDescent="0.2">
      <c r="A53" t="s">
        <v>341</v>
      </c>
      <c r="B53" t="s">
        <v>377</v>
      </c>
      <c r="C53" t="s">
        <v>263</v>
      </c>
      <c r="D53">
        <v>500</v>
      </c>
      <c r="E53">
        <v>10000</v>
      </c>
      <c r="F53">
        <v>10000</v>
      </c>
      <c r="G53">
        <v>400</v>
      </c>
      <c r="H53" t="s">
        <v>280</v>
      </c>
      <c r="I53" s="31">
        <v>1.7999999999999999E-2</v>
      </c>
      <c r="J53">
        <v>30</v>
      </c>
      <c r="K53" t="s">
        <v>265</v>
      </c>
      <c r="L53">
        <v>8322</v>
      </c>
      <c r="M53">
        <v>-20</v>
      </c>
      <c r="N53">
        <v>40</v>
      </c>
      <c r="O53">
        <v>4.8</v>
      </c>
      <c r="P53" s="32">
        <f>((1000*O53)/0.08924)/1000</f>
        <v>53.787539220080681</v>
      </c>
      <c r="Q53" s="32"/>
      <c r="R53" s="33"/>
      <c r="S53">
        <v>60</v>
      </c>
      <c r="X53">
        <v>0.1</v>
      </c>
      <c r="AA53">
        <v>3.5</v>
      </c>
      <c r="AC53">
        <v>180</v>
      </c>
      <c r="AD53">
        <v>2</v>
      </c>
      <c r="AE53" t="s">
        <v>266</v>
      </c>
      <c r="AF53">
        <v>5</v>
      </c>
      <c r="AG53">
        <v>30</v>
      </c>
    </row>
    <row r="54" spans="1:33" hidden="1" x14ac:dyDescent="0.2">
      <c r="A54" t="s">
        <v>316</v>
      </c>
      <c r="B54" t="s">
        <v>331</v>
      </c>
      <c r="C54" t="s">
        <v>271</v>
      </c>
      <c r="D54">
        <v>320</v>
      </c>
      <c r="F54">
        <v>800</v>
      </c>
      <c r="H54" t="s">
        <v>272</v>
      </c>
      <c r="I54" s="31">
        <v>0.11125</v>
      </c>
      <c r="K54" t="s">
        <v>265</v>
      </c>
      <c r="M54">
        <v>-20</v>
      </c>
      <c r="N54">
        <v>40</v>
      </c>
      <c r="R54" s="33"/>
      <c r="AA54">
        <v>4.8</v>
      </c>
      <c r="AB54">
        <v>10</v>
      </c>
      <c r="AC54">
        <v>8.9600000000000009</v>
      </c>
      <c r="AD54">
        <v>99.5</v>
      </c>
      <c r="AE54" t="s">
        <v>265</v>
      </c>
    </row>
    <row r="55" spans="1:33" x14ac:dyDescent="0.2">
      <c r="A55" t="s">
        <v>341</v>
      </c>
      <c r="B55" t="s">
        <v>381</v>
      </c>
      <c r="C55" t="s">
        <v>263</v>
      </c>
      <c r="D55">
        <v>750</v>
      </c>
      <c r="E55">
        <v>15000</v>
      </c>
      <c r="F55">
        <v>15000</v>
      </c>
      <c r="G55">
        <v>400</v>
      </c>
      <c r="H55" t="s">
        <v>280</v>
      </c>
      <c r="I55" s="31">
        <v>1.7999999999999999E-2</v>
      </c>
      <c r="J55">
        <v>30</v>
      </c>
      <c r="K55" t="s">
        <v>265</v>
      </c>
      <c r="L55">
        <v>8322</v>
      </c>
      <c r="M55">
        <v>-20</v>
      </c>
      <c r="N55">
        <v>40</v>
      </c>
      <c r="O55">
        <v>4.8</v>
      </c>
      <c r="P55" s="32">
        <f t="shared" ref="P55:P63" si="4">((1000*O55)/0.08924)/1000</f>
        <v>53.787539220080681</v>
      </c>
      <c r="Q55" s="32"/>
      <c r="R55" s="33"/>
      <c r="S55">
        <v>60</v>
      </c>
      <c r="X55">
        <v>0.1</v>
      </c>
      <c r="AA55">
        <v>3.5</v>
      </c>
      <c r="AC55">
        <v>270</v>
      </c>
      <c r="AD55">
        <v>3</v>
      </c>
      <c r="AE55" t="s">
        <v>266</v>
      </c>
      <c r="AF55">
        <v>5</v>
      </c>
      <c r="AG55">
        <v>30</v>
      </c>
    </row>
    <row r="56" spans="1:33" hidden="1" x14ac:dyDescent="0.2">
      <c r="A56" t="s">
        <v>273</v>
      </c>
      <c r="B56" t="s">
        <v>333</v>
      </c>
      <c r="C56" t="s">
        <v>271</v>
      </c>
      <c r="F56">
        <v>1000</v>
      </c>
      <c r="H56" t="s">
        <v>264</v>
      </c>
      <c r="I56" s="31"/>
      <c r="O56">
        <v>4.5</v>
      </c>
      <c r="P56" s="32">
        <f t="shared" si="4"/>
        <v>50.425818018825638</v>
      </c>
      <c r="Q56" s="32"/>
      <c r="R56" s="33"/>
      <c r="T56">
        <v>66.7</v>
      </c>
      <c r="AB56">
        <v>30</v>
      </c>
      <c r="AC56">
        <v>18</v>
      </c>
      <c r="AD56">
        <v>200</v>
      </c>
    </row>
    <row r="57" spans="1:33" hidden="1" x14ac:dyDescent="0.2">
      <c r="A57" t="s">
        <v>334</v>
      </c>
      <c r="B57" t="s">
        <v>335</v>
      </c>
      <c r="C57" t="s">
        <v>271</v>
      </c>
      <c r="D57">
        <v>300</v>
      </c>
      <c r="E57">
        <v>800</v>
      </c>
      <c r="F57">
        <v>1000</v>
      </c>
      <c r="G57">
        <v>10</v>
      </c>
      <c r="H57" t="s">
        <v>272</v>
      </c>
      <c r="I57" s="31">
        <v>7.0000000000000007E-2</v>
      </c>
      <c r="J57">
        <v>20</v>
      </c>
      <c r="K57" t="s">
        <v>266</v>
      </c>
      <c r="L57">
        <v>8568</v>
      </c>
      <c r="M57">
        <v>-20</v>
      </c>
      <c r="N57">
        <v>45</v>
      </c>
      <c r="O57">
        <v>4.8</v>
      </c>
      <c r="P57" s="32">
        <f t="shared" si="4"/>
        <v>53.787539220080681</v>
      </c>
      <c r="Q57" s="32"/>
      <c r="R57" s="33">
        <v>0.33</v>
      </c>
      <c r="S57">
        <v>80</v>
      </c>
      <c r="T57">
        <v>62.5</v>
      </c>
      <c r="U57">
        <v>95.5</v>
      </c>
      <c r="V57">
        <v>40</v>
      </c>
      <c r="W57">
        <v>90</v>
      </c>
      <c r="X57">
        <v>5</v>
      </c>
      <c r="Y57">
        <v>70000</v>
      </c>
      <c r="Z57">
        <v>70000</v>
      </c>
      <c r="AA57">
        <v>2.7</v>
      </c>
      <c r="AB57">
        <v>1</v>
      </c>
      <c r="AC57">
        <v>16.82</v>
      </c>
      <c r="AD57">
        <v>186.9</v>
      </c>
      <c r="AE57" t="s">
        <v>266</v>
      </c>
      <c r="AF57">
        <v>5</v>
      </c>
      <c r="AG57">
        <v>750</v>
      </c>
    </row>
    <row r="58" spans="1:33" hidden="1" x14ac:dyDescent="0.2">
      <c r="A58" t="s">
        <v>278</v>
      </c>
      <c r="B58" t="s">
        <v>336</v>
      </c>
      <c r="C58" t="s">
        <v>271</v>
      </c>
      <c r="D58">
        <v>30</v>
      </c>
      <c r="E58">
        <v>1008</v>
      </c>
      <c r="F58">
        <v>1008</v>
      </c>
      <c r="G58">
        <v>400</v>
      </c>
      <c r="H58" t="s">
        <v>272</v>
      </c>
      <c r="I58" s="31"/>
      <c r="K58" t="s">
        <v>265</v>
      </c>
      <c r="M58">
        <v>-15</v>
      </c>
      <c r="N58">
        <v>45</v>
      </c>
      <c r="O58">
        <v>4.8</v>
      </c>
      <c r="P58" s="32">
        <f t="shared" si="4"/>
        <v>53.787539220080681</v>
      </c>
      <c r="Q58" s="32"/>
      <c r="R58" s="33">
        <v>0.32738095238095238</v>
      </c>
      <c r="T58">
        <v>62.5</v>
      </c>
      <c r="V58">
        <v>20</v>
      </c>
      <c r="W58">
        <v>55</v>
      </c>
      <c r="X58">
        <v>5</v>
      </c>
      <c r="Y58">
        <v>35000</v>
      </c>
      <c r="AA58">
        <v>3</v>
      </c>
      <c r="AB58">
        <v>35</v>
      </c>
      <c r="AC58">
        <v>18.7</v>
      </c>
      <c r="AD58">
        <v>207.8</v>
      </c>
      <c r="AE58" t="s">
        <v>266</v>
      </c>
      <c r="AF58">
        <v>5</v>
      </c>
      <c r="AG58">
        <v>35</v>
      </c>
    </row>
    <row r="59" spans="1:33" x14ac:dyDescent="0.2">
      <c r="A59" t="s">
        <v>341</v>
      </c>
      <c r="B59" t="s">
        <v>384</v>
      </c>
      <c r="C59" t="s">
        <v>263</v>
      </c>
      <c r="D59">
        <v>1000</v>
      </c>
      <c r="E59">
        <v>20000</v>
      </c>
      <c r="F59">
        <v>20000</v>
      </c>
      <c r="G59">
        <v>400</v>
      </c>
      <c r="H59" t="s">
        <v>280</v>
      </c>
      <c r="I59" s="31">
        <v>1.7999999999999999E-2</v>
      </c>
      <c r="J59">
        <v>30</v>
      </c>
      <c r="K59" t="s">
        <v>265</v>
      </c>
      <c r="L59">
        <v>8322</v>
      </c>
      <c r="M59">
        <v>-20</v>
      </c>
      <c r="N59">
        <v>40</v>
      </c>
      <c r="O59">
        <v>4.8</v>
      </c>
      <c r="P59" s="32">
        <f t="shared" si="4"/>
        <v>53.787539220080681</v>
      </c>
      <c r="Q59" s="32"/>
      <c r="R59" s="33"/>
      <c r="S59">
        <v>60</v>
      </c>
      <c r="X59">
        <v>0.1</v>
      </c>
      <c r="AA59">
        <v>3.5</v>
      </c>
      <c r="AC59">
        <v>360</v>
      </c>
      <c r="AD59">
        <v>4</v>
      </c>
      <c r="AE59" t="s">
        <v>266</v>
      </c>
      <c r="AF59">
        <v>5</v>
      </c>
      <c r="AG59">
        <v>30</v>
      </c>
    </row>
    <row r="60" spans="1:33" x14ac:dyDescent="0.2">
      <c r="A60" t="s">
        <v>261</v>
      </c>
      <c r="B60" t="s">
        <v>309</v>
      </c>
      <c r="C60" t="s">
        <v>263</v>
      </c>
      <c r="D60">
        <v>21</v>
      </c>
      <c r="E60">
        <v>100</v>
      </c>
      <c r="F60">
        <v>120</v>
      </c>
      <c r="G60">
        <v>300</v>
      </c>
      <c r="H60" t="s">
        <v>264</v>
      </c>
      <c r="I60" s="31"/>
      <c r="J60">
        <v>10</v>
      </c>
      <c r="K60" t="s">
        <v>265</v>
      </c>
      <c r="O60">
        <v>4.83</v>
      </c>
      <c r="P60" s="32">
        <f t="shared" si="4"/>
        <v>54.123711340206185</v>
      </c>
      <c r="Q60" s="32"/>
      <c r="R60" s="33"/>
      <c r="T60">
        <v>62.1</v>
      </c>
      <c r="V60">
        <v>5</v>
      </c>
      <c r="W60">
        <v>80</v>
      </c>
      <c r="X60">
        <v>0.1</v>
      </c>
      <c r="Y60">
        <v>80000</v>
      </c>
      <c r="AA60">
        <v>5.5</v>
      </c>
      <c r="AB60">
        <v>40</v>
      </c>
      <c r="AC60">
        <v>1.9</v>
      </c>
      <c r="AD60">
        <v>21.1</v>
      </c>
      <c r="AE60" t="s">
        <v>266</v>
      </c>
    </row>
    <row r="61" spans="1:33" x14ac:dyDescent="0.2">
      <c r="A61" t="s">
        <v>261</v>
      </c>
      <c r="B61" t="s">
        <v>262</v>
      </c>
      <c r="C61" t="s">
        <v>263</v>
      </c>
      <c r="D61">
        <v>300</v>
      </c>
      <c r="E61">
        <v>1500</v>
      </c>
      <c r="F61">
        <v>1800</v>
      </c>
      <c r="G61">
        <v>616</v>
      </c>
      <c r="H61" t="s">
        <v>264</v>
      </c>
      <c r="I61" s="31"/>
      <c r="J61">
        <v>10</v>
      </c>
      <c r="K61" t="s">
        <v>265</v>
      </c>
      <c r="O61">
        <v>4.8499999999999996</v>
      </c>
      <c r="P61" s="32">
        <f t="shared" si="4"/>
        <v>54.347826086956523</v>
      </c>
      <c r="Q61" s="32"/>
      <c r="R61" s="33"/>
      <c r="T61">
        <v>61.9</v>
      </c>
      <c r="V61">
        <v>5</v>
      </c>
      <c r="W61">
        <v>80</v>
      </c>
      <c r="X61">
        <v>0.1</v>
      </c>
      <c r="Y61">
        <v>80000</v>
      </c>
      <c r="AA61">
        <v>5.5</v>
      </c>
      <c r="AB61">
        <v>40</v>
      </c>
      <c r="AC61">
        <v>27.8</v>
      </c>
      <c r="AD61">
        <v>308.89999999999998</v>
      </c>
      <c r="AE61" t="s">
        <v>266</v>
      </c>
    </row>
    <row r="62" spans="1:33" x14ac:dyDescent="0.2">
      <c r="A62" t="s">
        <v>289</v>
      </c>
      <c r="B62" t="s">
        <v>348</v>
      </c>
      <c r="C62" t="s">
        <v>263</v>
      </c>
      <c r="D62">
        <v>100</v>
      </c>
      <c r="E62">
        <v>1000</v>
      </c>
      <c r="F62">
        <v>1100</v>
      </c>
      <c r="G62">
        <v>400</v>
      </c>
      <c r="H62" t="s">
        <v>272</v>
      </c>
      <c r="I62" s="31">
        <v>2.7272727272727271E-2</v>
      </c>
      <c r="J62">
        <v>3</v>
      </c>
      <c r="K62" t="s">
        <v>265</v>
      </c>
      <c r="L62">
        <v>8410</v>
      </c>
      <c r="M62">
        <v>-15</v>
      </c>
      <c r="N62">
        <v>40</v>
      </c>
      <c r="O62">
        <v>4.87</v>
      </c>
      <c r="P62" s="32">
        <f t="shared" si="4"/>
        <v>54.571940833706861</v>
      </c>
      <c r="Q62" s="32"/>
      <c r="R62" s="33"/>
      <c r="T62">
        <v>61.6</v>
      </c>
      <c r="V62">
        <v>5</v>
      </c>
      <c r="W62">
        <v>70</v>
      </c>
      <c r="X62">
        <v>1</v>
      </c>
      <c r="Y62">
        <v>80000</v>
      </c>
      <c r="AA62">
        <v>3.5</v>
      </c>
      <c r="AB62">
        <v>40</v>
      </c>
      <c r="AC62">
        <v>18</v>
      </c>
      <c r="AD62">
        <v>200</v>
      </c>
      <c r="AE62" t="s">
        <v>265</v>
      </c>
    </row>
    <row r="63" spans="1:33" hidden="1" x14ac:dyDescent="0.2">
      <c r="A63" t="s">
        <v>269</v>
      </c>
      <c r="B63" t="s">
        <v>343</v>
      </c>
      <c r="C63" t="s">
        <v>271</v>
      </c>
      <c r="D63">
        <v>30</v>
      </c>
      <c r="E63">
        <v>1008</v>
      </c>
      <c r="F63">
        <v>1058</v>
      </c>
      <c r="G63">
        <v>400</v>
      </c>
      <c r="H63" t="s">
        <v>272</v>
      </c>
      <c r="I63" s="31">
        <v>2.8071833648393194E-2</v>
      </c>
      <c r="J63">
        <v>3</v>
      </c>
      <c r="K63" t="s">
        <v>266</v>
      </c>
      <c r="M63">
        <v>5</v>
      </c>
      <c r="N63">
        <v>45</v>
      </c>
      <c r="O63">
        <v>4.8</v>
      </c>
      <c r="P63" s="32">
        <f t="shared" si="4"/>
        <v>53.787539220080681</v>
      </c>
      <c r="Q63" s="32"/>
      <c r="R63" s="33"/>
      <c r="T63">
        <v>62.5</v>
      </c>
      <c r="V63">
        <v>20</v>
      </c>
      <c r="W63">
        <v>55</v>
      </c>
      <c r="X63">
        <v>20</v>
      </c>
      <c r="Y63">
        <v>35000</v>
      </c>
      <c r="AA63">
        <v>3</v>
      </c>
      <c r="AB63">
        <v>35</v>
      </c>
      <c r="AC63">
        <v>18.75</v>
      </c>
      <c r="AD63">
        <v>208.3</v>
      </c>
      <c r="AE63" t="s">
        <v>266</v>
      </c>
    </row>
    <row r="64" spans="1:33" hidden="1" x14ac:dyDescent="0.2">
      <c r="A64" t="s">
        <v>344</v>
      </c>
      <c r="B64" t="s">
        <v>345</v>
      </c>
      <c r="C64" t="s">
        <v>346</v>
      </c>
      <c r="F64">
        <v>1100</v>
      </c>
      <c r="G64">
        <v>480</v>
      </c>
      <c r="H64" t="s">
        <v>272</v>
      </c>
      <c r="I64" s="31">
        <v>4.2237818181818189E-2</v>
      </c>
      <c r="P64">
        <v>43.8</v>
      </c>
      <c r="R64" s="33"/>
      <c r="T64" s="34">
        <f>(120/(P64*3.6))*100</f>
        <v>76.103500761035008</v>
      </c>
      <c r="AB64">
        <v>1.4</v>
      </c>
      <c r="AC64">
        <f>600/24</f>
        <v>25</v>
      </c>
    </row>
    <row r="65" spans="1:33" hidden="1" x14ac:dyDescent="0.2">
      <c r="A65" t="s">
        <v>344</v>
      </c>
      <c r="B65" t="s">
        <v>345</v>
      </c>
      <c r="C65" t="s">
        <v>347</v>
      </c>
      <c r="F65">
        <v>1100</v>
      </c>
      <c r="G65">
        <v>480</v>
      </c>
      <c r="H65" t="s">
        <v>272</v>
      </c>
      <c r="I65" s="31">
        <v>4.2237818181818189E-2</v>
      </c>
      <c r="P65">
        <v>39.4</v>
      </c>
      <c r="Q65">
        <f>(P64-P65)*3.6</f>
        <v>15.839999999999995</v>
      </c>
      <c r="R65" s="33"/>
      <c r="T65" s="34">
        <f>(120/(P65*3.6))*100</f>
        <v>84.602368866328263</v>
      </c>
      <c r="AB65">
        <v>1.4</v>
      </c>
      <c r="AC65">
        <f>600/24</f>
        <v>25</v>
      </c>
    </row>
    <row r="66" spans="1:33" x14ac:dyDescent="0.2">
      <c r="A66" t="s">
        <v>289</v>
      </c>
      <c r="B66" t="s">
        <v>290</v>
      </c>
      <c r="C66" t="s">
        <v>263</v>
      </c>
      <c r="D66">
        <v>3</v>
      </c>
      <c r="E66">
        <v>25</v>
      </c>
      <c r="F66">
        <v>28</v>
      </c>
      <c r="G66">
        <v>400</v>
      </c>
      <c r="H66" t="s">
        <v>272</v>
      </c>
      <c r="I66" s="31">
        <v>0.5357142857142857</v>
      </c>
      <c r="J66">
        <v>1</v>
      </c>
      <c r="K66" t="s">
        <v>265</v>
      </c>
      <c r="L66">
        <v>8410</v>
      </c>
      <c r="M66">
        <v>-20</v>
      </c>
      <c r="N66">
        <v>40</v>
      </c>
      <c r="O66">
        <v>4.9000000000000004</v>
      </c>
      <c r="P66" s="32">
        <f t="shared" ref="P66:P71" si="5">((1000*O66)/0.08924)/1000</f>
        <v>54.908112953832365</v>
      </c>
      <c r="Q66" s="32"/>
      <c r="R66" s="33"/>
      <c r="T66">
        <v>61.2</v>
      </c>
      <c r="V66">
        <v>20</v>
      </c>
      <c r="W66">
        <v>80</v>
      </c>
      <c r="X66">
        <v>1</v>
      </c>
      <c r="Y66">
        <v>50000</v>
      </c>
      <c r="AA66">
        <v>3.5</v>
      </c>
      <c r="AB66">
        <v>100</v>
      </c>
      <c r="AC66">
        <v>0.45</v>
      </c>
      <c r="AD66">
        <v>5</v>
      </c>
      <c r="AE66" t="s">
        <v>265</v>
      </c>
    </row>
    <row r="67" spans="1:33" x14ac:dyDescent="0.2">
      <c r="A67" t="s">
        <v>267</v>
      </c>
      <c r="B67" t="s">
        <v>268</v>
      </c>
      <c r="C67" t="s">
        <v>263</v>
      </c>
      <c r="F67">
        <v>2</v>
      </c>
      <c r="I67" s="31"/>
      <c r="O67">
        <v>5</v>
      </c>
      <c r="P67" s="32">
        <f t="shared" si="5"/>
        <v>56.028686687584042</v>
      </c>
      <c r="Q67" s="32"/>
      <c r="R67" s="33"/>
      <c r="T67">
        <v>60</v>
      </c>
      <c r="V67">
        <v>20</v>
      </c>
      <c r="W67">
        <v>80</v>
      </c>
      <c r="X67">
        <v>0.1</v>
      </c>
      <c r="Y67">
        <v>40000</v>
      </c>
      <c r="AB67">
        <v>40</v>
      </c>
      <c r="AC67">
        <v>0.05</v>
      </c>
      <c r="AD67">
        <v>0.6</v>
      </c>
    </row>
    <row r="68" spans="1:33" x14ac:dyDescent="0.2">
      <c r="A68" t="s">
        <v>267</v>
      </c>
      <c r="B68" t="s">
        <v>282</v>
      </c>
      <c r="C68" t="s">
        <v>263</v>
      </c>
      <c r="F68">
        <v>13</v>
      </c>
      <c r="I68" s="31"/>
      <c r="O68">
        <v>5</v>
      </c>
      <c r="P68" s="32">
        <f t="shared" si="5"/>
        <v>56.028686687584042</v>
      </c>
      <c r="Q68" s="32"/>
      <c r="R68" s="33"/>
      <c r="T68">
        <v>60</v>
      </c>
      <c r="V68">
        <v>20</v>
      </c>
      <c r="W68">
        <v>80</v>
      </c>
      <c r="X68">
        <v>0.1</v>
      </c>
      <c r="Y68">
        <v>40000</v>
      </c>
      <c r="AB68">
        <v>40</v>
      </c>
      <c r="AC68">
        <v>0.23</v>
      </c>
      <c r="AD68">
        <v>2.5</v>
      </c>
    </row>
    <row r="69" spans="1:33" x14ac:dyDescent="0.2">
      <c r="A69" t="s">
        <v>267</v>
      </c>
      <c r="B69" t="s">
        <v>292</v>
      </c>
      <c r="C69" t="s">
        <v>263</v>
      </c>
      <c r="F69">
        <v>35</v>
      </c>
      <c r="I69" s="31"/>
      <c r="O69">
        <v>5</v>
      </c>
      <c r="P69" s="32">
        <f t="shared" si="5"/>
        <v>56.028686687584042</v>
      </c>
      <c r="Q69" s="32"/>
      <c r="R69" s="33"/>
      <c r="T69">
        <v>60</v>
      </c>
      <c r="V69">
        <v>20</v>
      </c>
      <c r="W69">
        <v>80</v>
      </c>
      <c r="X69">
        <v>0.1</v>
      </c>
      <c r="Y69">
        <v>40000</v>
      </c>
      <c r="AB69">
        <v>40</v>
      </c>
      <c r="AC69">
        <v>0.63</v>
      </c>
      <c r="AD69">
        <v>6.9</v>
      </c>
    </row>
    <row r="70" spans="1:33" x14ac:dyDescent="0.2">
      <c r="A70" t="s">
        <v>267</v>
      </c>
      <c r="B70" t="s">
        <v>302</v>
      </c>
      <c r="C70" t="s">
        <v>263</v>
      </c>
      <c r="F70">
        <v>100</v>
      </c>
      <c r="I70" s="31"/>
      <c r="O70">
        <v>5</v>
      </c>
      <c r="P70" s="32">
        <f t="shared" si="5"/>
        <v>56.028686687584042</v>
      </c>
      <c r="Q70" s="32"/>
      <c r="R70" s="33"/>
      <c r="T70">
        <v>60</v>
      </c>
      <c r="V70">
        <v>20</v>
      </c>
      <c r="W70">
        <v>80</v>
      </c>
      <c r="X70">
        <v>0.1</v>
      </c>
      <c r="Y70">
        <v>40000</v>
      </c>
      <c r="AB70">
        <v>40</v>
      </c>
      <c r="AC70">
        <v>1.79</v>
      </c>
      <c r="AD70">
        <v>19.899999999999999</v>
      </c>
    </row>
    <row r="71" spans="1:33" hidden="1" x14ac:dyDescent="0.2">
      <c r="A71" t="s">
        <v>289</v>
      </c>
      <c r="B71" t="s">
        <v>353</v>
      </c>
      <c r="C71" t="s">
        <v>271</v>
      </c>
      <c r="D71">
        <v>300</v>
      </c>
      <c r="E71">
        <v>1200</v>
      </c>
      <c r="F71">
        <v>1500</v>
      </c>
      <c r="G71">
        <v>10</v>
      </c>
      <c r="H71" t="s">
        <v>272</v>
      </c>
      <c r="I71" s="31">
        <v>7.0000000000000007E-2</v>
      </c>
      <c r="J71">
        <v>5</v>
      </c>
      <c r="K71" t="s">
        <v>266</v>
      </c>
      <c r="L71">
        <v>8410</v>
      </c>
      <c r="M71">
        <v>-20</v>
      </c>
      <c r="N71">
        <v>45</v>
      </c>
      <c r="O71">
        <v>4.5</v>
      </c>
      <c r="P71" s="32">
        <f t="shared" si="5"/>
        <v>50.425818018825638</v>
      </c>
      <c r="Q71" s="32"/>
      <c r="R71" s="33">
        <v>0.33</v>
      </c>
      <c r="S71">
        <v>80</v>
      </c>
      <c r="T71">
        <v>66.7</v>
      </c>
      <c r="U71">
        <v>99.7</v>
      </c>
      <c r="V71">
        <v>40</v>
      </c>
      <c r="W71">
        <v>90</v>
      </c>
      <c r="X71">
        <v>5</v>
      </c>
      <c r="Y71">
        <v>80000</v>
      </c>
      <c r="Z71">
        <v>80000</v>
      </c>
      <c r="AA71">
        <v>3</v>
      </c>
      <c r="AB71">
        <v>30</v>
      </c>
      <c r="AC71">
        <v>25.23</v>
      </c>
      <c r="AD71">
        <v>280.3</v>
      </c>
      <c r="AE71" t="s">
        <v>266</v>
      </c>
      <c r="AF71">
        <v>5</v>
      </c>
      <c r="AG71">
        <v>750</v>
      </c>
    </row>
    <row r="72" spans="1:33" x14ac:dyDescent="0.2">
      <c r="A72" t="s">
        <v>275</v>
      </c>
      <c r="B72" t="s">
        <v>276</v>
      </c>
      <c r="C72" t="s">
        <v>263</v>
      </c>
      <c r="D72">
        <v>1</v>
      </c>
      <c r="E72">
        <v>6</v>
      </c>
      <c r="F72">
        <v>7</v>
      </c>
      <c r="G72">
        <v>400</v>
      </c>
      <c r="H72" t="s">
        <v>272</v>
      </c>
      <c r="I72" s="31">
        <v>0.42857142857142855</v>
      </c>
      <c r="J72">
        <v>40</v>
      </c>
      <c r="K72" t="s">
        <v>265</v>
      </c>
      <c r="L72">
        <v>8500</v>
      </c>
      <c r="M72">
        <v>5</v>
      </c>
      <c r="N72">
        <v>35</v>
      </c>
      <c r="R72" s="33"/>
      <c r="V72">
        <v>20</v>
      </c>
      <c r="W72">
        <v>65</v>
      </c>
      <c r="X72">
        <v>0.1</v>
      </c>
      <c r="Y72">
        <v>35000</v>
      </c>
      <c r="AA72">
        <v>3</v>
      </c>
      <c r="AB72">
        <v>20</v>
      </c>
      <c r="AC72">
        <v>0.1</v>
      </c>
      <c r="AD72">
        <v>1.1000000000000001</v>
      </c>
      <c r="AE72" t="s">
        <v>266</v>
      </c>
    </row>
    <row r="73" spans="1:33" x14ac:dyDescent="0.2">
      <c r="A73" t="s">
        <v>275</v>
      </c>
      <c r="B73" t="s">
        <v>283</v>
      </c>
      <c r="C73" t="s">
        <v>263</v>
      </c>
      <c r="D73">
        <v>1</v>
      </c>
      <c r="E73">
        <v>11</v>
      </c>
      <c r="F73">
        <v>14</v>
      </c>
      <c r="G73">
        <v>400</v>
      </c>
      <c r="H73" t="s">
        <v>272</v>
      </c>
      <c r="I73" s="31">
        <v>0.21428571428571427</v>
      </c>
      <c r="J73">
        <v>40</v>
      </c>
      <c r="K73" t="s">
        <v>265</v>
      </c>
      <c r="L73">
        <v>8500</v>
      </c>
      <c r="M73">
        <v>5</v>
      </c>
      <c r="N73">
        <v>35</v>
      </c>
      <c r="R73" s="33"/>
      <c r="V73">
        <v>20</v>
      </c>
      <c r="W73">
        <v>65</v>
      </c>
      <c r="X73">
        <v>0.1</v>
      </c>
      <c r="Y73">
        <v>35000</v>
      </c>
      <c r="AA73">
        <v>3</v>
      </c>
      <c r="AB73">
        <v>20</v>
      </c>
      <c r="AC73">
        <v>0.2</v>
      </c>
      <c r="AD73">
        <v>2.2000000000000002</v>
      </c>
      <c r="AE73" t="s">
        <v>266</v>
      </c>
    </row>
    <row r="74" spans="1:33" x14ac:dyDescent="0.2">
      <c r="A74" t="s">
        <v>275</v>
      </c>
      <c r="B74" t="s">
        <v>284</v>
      </c>
      <c r="C74" t="s">
        <v>263</v>
      </c>
      <c r="D74">
        <v>1</v>
      </c>
      <c r="E74">
        <v>17</v>
      </c>
      <c r="F74">
        <v>20</v>
      </c>
      <c r="G74">
        <v>400</v>
      </c>
      <c r="H74" t="s">
        <v>272</v>
      </c>
      <c r="I74" s="31">
        <v>0.15</v>
      </c>
      <c r="J74">
        <v>40</v>
      </c>
      <c r="K74" t="s">
        <v>265</v>
      </c>
      <c r="L74">
        <v>8500</v>
      </c>
      <c r="M74">
        <v>5</v>
      </c>
      <c r="N74">
        <v>35</v>
      </c>
      <c r="R74" s="33"/>
      <c r="V74">
        <v>20</v>
      </c>
      <c r="W74">
        <v>65</v>
      </c>
      <c r="X74">
        <v>0.1</v>
      </c>
      <c r="Y74">
        <v>35000</v>
      </c>
      <c r="AA74">
        <v>3</v>
      </c>
      <c r="AB74">
        <v>20</v>
      </c>
      <c r="AC74">
        <v>0.3</v>
      </c>
      <c r="AD74">
        <v>3.3</v>
      </c>
      <c r="AE74" t="s">
        <v>266</v>
      </c>
    </row>
    <row r="75" spans="1:33" x14ac:dyDescent="0.2">
      <c r="A75" t="s">
        <v>275</v>
      </c>
      <c r="B75" t="s">
        <v>288</v>
      </c>
      <c r="C75" t="s">
        <v>263</v>
      </c>
      <c r="D75">
        <v>1</v>
      </c>
      <c r="E75">
        <v>22</v>
      </c>
      <c r="F75">
        <v>27</v>
      </c>
      <c r="G75">
        <v>400</v>
      </c>
      <c r="H75" t="s">
        <v>272</v>
      </c>
      <c r="I75" s="31">
        <v>0.1111111111111111</v>
      </c>
      <c r="J75">
        <v>40</v>
      </c>
      <c r="K75" t="s">
        <v>265</v>
      </c>
      <c r="L75">
        <v>8500</v>
      </c>
      <c r="M75">
        <v>5</v>
      </c>
      <c r="N75">
        <v>35</v>
      </c>
      <c r="R75" s="33"/>
      <c r="V75">
        <v>20</v>
      </c>
      <c r="W75">
        <v>65</v>
      </c>
      <c r="X75">
        <v>0.1</v>
      </c>
      <c r="Y75">
        <v>35000</v>
      </c>
      <c r="AA75">
        <v>3</v>
      </c>
      <c r="AB75">
        <v>20</v>
      </c>
      <c r="AC75">
        <v>0.4</v>
      </c>
      <c r="AD75">
        <v>4.4000000000000004</v>
      </c>
      <c r="AE75" t="s">
        <v>266</v>
      </c>
    </row>
    <row r="76" spans="1:33" hidden="1" x14ac:dyDescent="0.2">
      <c r="A76" t="s">
        <v>273</v>
      </c>
      <c r="B76" t="s">
        <v>359</v>
      </c>
      <c r="C76" t="s">
        <v>271</v>
      </c>
      <c r="F76">
        <v>2000</v>
      </c>
      <c r="H76" t="s">
        <v>264</v>
      </c>
      <c r="I76" s="31"/>
      <c r="O76">
        <v>4.5</v>
      </c>
      <c r="P76" s="32">
        <f>((1000*O76)/0.08924)/1000</f>
        <v>50.425818018825638</v>
      </c>
      <c r="Q76" s="32"/>
      <c r="R76" s="33"/>
      <c r="T76">
        <v>66.7</v>
      </c>
      <c r="AB76">
        <v>30</v>
      </c>
      <c r="AC76">
        <v>36</v>
      </c>
      <c r="AD76">
        <v>400</v>
      </c>
    </row>
    <row r="77" spans="1:33" hidden="1" x14ac:dyDescent="0.2">
      <c r="A77" t="s">
        <v>334</v>
      </c>
      <c r="B77" t="s">
        <v>360</v>
      </c>
      <c r="C77" t="s">
        <v>271</v>
      </c>
      <c r="D77">
        <v>300</v>
      </c>
      <c r="E77">
        <v>1600</v>
      </c>
      <c r="F77">
        <v>2000</v>
      </c>
      <c r="G77">
        <v>10</v>
      </c>
      <c r="H77" t="s">
        <v>272</v>
      </c>
      <c r="I77" s="31">
        <v>5.2499999999999998E-2</v>
      </c>
      <c r="J77">
        <v>20</v>
      </c>
      <c r="K77" t="s">
        <v>266</v>
      </c>
      <c r="L77">
        <v>8568</v>
      </c>
      <c r="M77">
        <v>-20</v>
      </c>
      <c r="N77">
        <v>45</v>
      </c>
      <c r="O77">
        <v>4.8</v>
      </c>
      <c r="P77" s="32">
        <f>((1000*O77)/0.08924)/1000</f>
        <v>53.787539220080681</v>
      </c>
      <c r="Q77" s="32"/>
      <c r="R77" s="33">
        <v>0.33</v>
      </c>
      <c r="S77">
        <v>80</v>
      </c>
      <c r="T77">
        <v>62.5</v>
      </c>
      <c r="U77">
        <v>95.5</v>
      </c>
      <c r="V77">
        <v>40</v>
      </c>
      <c r="W77">
        <v>90</v>
      </c>
      <c r="X77">
        <v>5</v>
      </c>
      <c r="Y77">
        <v>70000</v>
      </c>
      <c r="Z77">
        <v>70000</v>
      </c>
      <c r="AA77">
        <v>2.7</v>
      </c>
      <c r="AB77">
        <v>1</v>
      </c>
      <c r="AC77">
        <v>33.64</v>
      </c>
      <c r="AD77">
        <v>373.8</v>
      </c>
      <c r="AE77" t="s">
        <v>266</v>
      </c>
      <c r="AF77">
        <v>5</v>
      </c>
      <c r="AG77">
        <v>750</v>
      </c>
    </row>
    <row r="78" spans="1:33" x14ac:dyDescent="0.2">
      <c r="A78" t="s">
        <v>275</v>
      </c>
      <c r="B78" t="s">
        <v>291</v>
      </c>
      <c r="C78" t="s">
        <v>263</v>
      </c>
      <c r="D78">
        <v>1</v>
      </c>
      <c r="E78">
        <v>27</v>
      </c>
      <c r="F78">
        <v>33</v>
      </c>
      <c r="G78">
        <v>400</v>
      </c>
      <c r="H78" t="s">
        <v>272</v>
      </c>
      <c r="I78" s="31">
        <v>9.0909090909090912E-2</v>
      </c>
      <c r="J78">
        <v>40</v>
      </c>
      <c r="K78" t="s">
        <v>265</v>
      </c>
      <c r="L78">
        <v>8500</v>
      </c>
      <c r="M78">
        <v>5</v>
      </c>
      <c r="N78">
        <v>35</v>
      </c>
      <c r="R78" s="33"/>
      <c r="V78">
        <v>20</v>
      </c>
      <c r="W78">
        <v>65</v>
      </c>
      <c r="X78">
        <v>0.1</v>
      </c>
      <c r="Y78">
        <v>35000</v>
      </c>
      <c r="AA78">
        <v>3</v>
      </c>
      <c r="AB78">
        <v>20</v>
      </c>
      <c r="AC78">
        <v>0.5</v>
      </c>
      <c r="AD78">
        <v>5.6</v>
      </c>
      <c r="AE78" t="s">
        <v>266</v>
      </c>
    </row>
    <row r="79" spans="1:33" x14ac:dyDescent="0.2">
      <c r="A79" t="s">
        <v>303</v>
      </c>
      <c r="B79" t="s">
        <v>304</v>
      </c>
      <c r="C79" t="s">
        <v>263</v>
      </c>
      <c r="D79">
        <v>12</v>
      </c>
      <c r="E79">
        <v>100</v>
      </c>
      <c r="F79">
        <v>105</v>
      </c>
      <c r="G79">
        <v>400</v>
      </c>
      <c r="H79" t="s">
        <v>272</v>
      </c>
      <c r="I79" s="31">
        <v>6.6666666666666666E-2</v>
      </c>
      <c r="J79">
        <v>40</v>
      </c>
      <c r="K79" t="s">
        <v>266</v>
      </c>
      <c r="L79">
        <v>8600</v>
      </c>
      <c r="M79">
        <v>5</v>
      </c>
      <c r="N79">
        <v>45</v>
      </c>
      <c r="R79" s="33"/>
      <c r="AB79">
        <v>30</v>
      </c>
      <c r="AC79">
        <v>1.75</v>
      </c>
      <c r="AD79">
        <v>19.399999999999999</v>
      </c>
      <c r="AE79" t="s">
        <v>266</v>
      </c>
    </row>
    <row r="80" spans="1:33" hidden="1" x14ac:dyDescent="0.2">
      <c r="A80" t="s">
        <v>363</v>
      </c>
      <c r="B80" t="s">
        <v>364</v>
      </c>
      <c r="C80" t="s">
        <v>347</v>
      </c>
      <c r="D80">
        <v>135</v>
      </c>
      <c r="F80">
        <v>2475</v>
      </c>
      <c r="H80" t="s">
        <v>272</v>
      </c>
      <c r="I80" s="31">
        <v>0.12121212121212122</v>
      </c>
      <c r="M80">
        <v>-20</v>
      </c>
      <c r="N80">
        <v>40</v>
      </c>
      <c r="O80">
        <v>3.6</v>
      </c>
      <c r="P80" s="32">
        <f>((1000*O80)/0.08924)/1000</f>
        <v>40.340654415060513</v>
      </c>
      <c r="Q80" s="32">
        <v>16</v>
      </c>
      <c r="R80" s="33"/>
      <c r="T80" s="34">
        <f>(120/(P80*3.6))*100</f>
        <v>82.629629629629633</v>
      </c>
      <c r="AB80">
        <v>4.5</v>
      </c>
      <c r="AC80">
        <v>67.5</v>
      </c>
      <c r="AD80">
        <v>750</v>
      </c>
    </row>
    <row r="81" spans="1:33" x14ac:dyDescent="0.2">
      <c r="A81" t="s">
        <v>303</v>
      </c>
      <c r="B81" t="s">
        <v>314</v>
      </c>
      <c r="C81" t="s">
        <v>263</v>
      </c>
      <c r="D81">
        <v>24</v>
      </c>
      <c r="E81">
        <v>200</v>
      </c>
      <c r="F81">
        <v>210</v>
      </c>
      <c r="G81">
        <v>400</v>
      </c>
      <c r="H81" t="s">
        <v>272</v>
      </c>
      <c r="I81" s="31">
        <v>6.6666666666666666E-2</v>
      </c>
      <c r="J81">
        <v>40</v>
      </c>
      <c r="K81" t="s">
        <v>266</v>
      </c>
      <c r="L81">
        <v>8600</v>
      </c>
      <c r="M81">
        <v>5</v>
      </c>
      <c r="N81">
        <v>45</v>
      </c>
      <c r="R81" s="33"/>
      <c r="AB81">
        <v>30</v>
      </c>
      <c r="AC81">
        <v>3.5</v>
      </c>
      <c r="AD81">
        <v>38.9</v>
      </c>
      <c r="AE81" t="s">
        <v>266</v>
      </c>
    </row>
    <row r="82" spans="1:33" hidden="1" x14ac:dyDescent="0.2">
      <c r="A82" t="s">
        <v>334</v>
      </c>
      <c r="B82" t="s">
        <v>366</v>
      </c>
      <c r="C82" t="s">
        <v>271</v>
      </c>
      <c r="D82">
        <v>300</v>
      </c>
      <c r="E82">
        <v>2400</v>
      </c>
      <c r="F82">
        <v>3000</v>
      </c>
      <c r="G82">
        <v>10</v>
      </c>
      <c r="H82" t="s">
        <v>272</v>
      </c>
      <c r="I82" s="31">
        <v>3.5000000000000003E-2</v>
      </c>
      <c r="J82">
        <v>5</v>
      </c>
      <c r="K82" t="s">
        <v>266</v>
      </c>
      <c r="L82">
        <v>8568</v>
      </c>
      <c r="M82">
        <v>-20</v>
      </c>
      <c r="N82">
        <v>45</v>
      </c>
      <c r="O82">
        <v>4.5</v>
      </c>
      <c r="P82" s="32">
        <f>((1000*O82)/0.08924)/1000</f>
        <v>50.425818018825638</v>
      </c>
      <c r="Q82" s="32"/>
      <c r="R82" s="33">
        <v>0.33</v>
      </c>
      <c r="S82">
        <v>80</v>
      </c>
      <c r="T82">
        <v>66.7</v>
      </c>
      <c r="U82">
        <v>99.7</v>
      </c>
      <c r="V82">
        <v>40</v>
      </c>
      <c r="W82">
        <v>90</v>
      </c>
      <c r="X82">
        <v>5</v>
      </c>
      <c r="Y82">
        <v>80000</v>
      </c>
      <c r="Z82">
        <v>80000</v>
      </c>
      <c r="AA82">
        <v>3</v>
      </c>
      <c r="AB82">
        <v>30</v>
      </c>
      <c r="AC82">
        <v>50.46</v>
      </c>
      <c r="AD82">
        <v>560.70000000000005</v>
      </c>
      <c r="AE82" t="s">
        <v>266</v>
      </c>
      <c r="AF82">
        <v>5</v>
      </c>
      <c r="AG82">
        <v>750</v>
      </c>
    </row>
    <row r="83" spans="1:33" x14ac:dyDescent="0.2">
      <c r="A83" t="s">
        <v>318</v>
      </c>
      <c r="B83" t="s">
        <v>319</v>
      </c>
      <c r="C83" t="s">
        <v>263</v>
      </c>
      <c r="D83">
        <v>40</v>
      </c>
      <c r="E83">
        <v>225</v>
      </c>
      <c r="F83">
        <v>330</v>
      </c>
      <c r="G83">
        <v>400</v>
      </c>
      <c r="H83" t="s">
        <v>272</v>
      </c>
      <c r="I83" s="31">
        <v>4.2424242424242427E-2</v>
      </c>
      <c r="J83">
        <v>30</v>
      </c>
      <c r="K83" t="s">
        <v>265</v>
      </c>
      <c r="L83">
        <v>8322</v>
      </c>
      <c r="M83">
        <v>-15</v>
      </c>
      <c r="N83">
        <v>30</v>
      </c>
      <c r="R83" s="33"/>
      <c r="X83">
        <v>0.1</v>
      </c>
      <c r="AA83">
        <v>5</v>
      </c>
      <c r="AB83">
        <v>30</v>
      </c>
      <c r="AC83">
        <v>4.2300000000000004</v>
      </c>
      <c r="AD83">
        <v>47</v>
      </c>
      <c r="AE83" t="s">
        <v>265</v>
      </c>
    </row>
    <row r="84" spans="1:33" x14ac:dyDescent="0.2">
      <c r="A84" t="s">
        <v>303</v>
      </c>
      <c r="B84" t="s">
        <v>321</v>
      </c>
      <c r="C84" t="s">
        <v>263</v>
      </c>
      <c r="D84">
        <v>48</v>
      </c>
      <c r="E84">
        <v>400</v>
      </c>
      <c r="F84">
        <v>420</v>
      </c>
      <c r="G84">
        <v>400</v>
      </c>
      <c r="H84" t="s">
        <v>272</v>
      </c>
      <c r="I84" s="31">
        <v>6.4285714285714279E-2</v>
      </c>
      <c r="J84">
        <v>40</v>
      </c>
      <c r="K84" t="s">
        <v>266</v>
      </c>
      <c r="L84">
        <v>8600</v>
      </c>
      <c r="M84">
        <v>5</v>
      </c>
      <c r="N84">
        <v>45</v>
      </c>
      <c r="R84" s="33"/>
      <c r="AB84">
        <v>30</v>
      </c>
      <c r="AC84">
        <v>7</v>
      </c>
      <c r="AD84">
        <v>77.8</v>
      </c>
      <c r="AE84" t="s">
        <v>266</v>
      </c>
    </row>
    <row r="85" spans="1:33" hidden="1" x14ac:dyDescent="0.2">
      <c r="A85" t="s">
        <v>273</v>
      </c>
      <c r="B85" t="s">
        <v>369</v>
      </c>
      <c r="C85" t="s">
        <v>271</v>
      </c>
      <c r="F85">
        <v>4000</v>
      </c>
      <c r="H85" t="s">
        <v>264</v>
      </c>
      <c r="I85" s="31"/>
      <c r="O85">
        <v>4.5</v>
      </c>
      <c r="P85" s="32">
        <f>((1000*O85)/0.08924)/1000</f>
        <v>50.425818018825638</v>
      </c>
      <c r="Q85" s="32"/>
      <c r="R85" s="33"/>
      <c r="T85">
        <v>66.7</v>
      </c>
      <c r="AB85">
        <v>30</v>
      </c>
      <c r="AC85">
        <v>72</v>
      </c>
      <c r="AD85">
        <v>800</v>
      </c>
    </row>
    <row r="86" spans="1:33" x14ac:dyDescent="0.2">
      <c r="A86" t="s">
        <v>327</v>
      </c>
      <c r="B86" t="s">
        <v>328</v>
      </c>
      <c r="C86" t="s">
        <v>263</v>
      </c>
      <c r="F86">
        <v>700</v>
      </c>
      <c r="G86">
        <v>400</v>
      </c>
      <c r="H86" t="s">
        <v>272</v>
      </c>
      <c r="I86" s="31"/>
      <c r="J86">
        <v>1</v>
      </c>
      <c r="K86" t="s">
        <v>265</v>
      </c>
      <c r="R86" s="33"/>
      <c r="AA86">
        <v>5</v>
      </c>
      <c r="AB86">
        <v>20</v>
      </c>
      <c r="AC86">
        <v>11</v>
      </c>
      <c r="AD86">
        <v>122.2</v>
      </c>
      <c r="AE86" t="s">
        <v>265</v>
      </c>
    </row>
    <row r="87" spans="1:33" x14ac:dyDescent="0.2">
      <c r="A87" t="s">
        <v>303</v>
      </c>
      <c r="B87" t="s">
        <v>349</v>
      </c>
      <c r="C87" t="s">
        <v>263</v>
      </c>
      <c r="D87">
        <v>131</v>
      </c>
      <c r="E87">
        <v>1100</v>
      </c>
      <c r="F87">
        <v>1155</v>
      </c>
      <c r="G87">
        <v>400</v>
      </c>
      <c r="H87" t="s">
        <v>272</v>
      </c>
      <c r="I87" s="31">
        <v>4.7619047619047616E-2</v>
      </c>
      <c r="J87">
        <v>40</v>
      </c>
      <c r="K87" t="s">
        <v>266</v>
      </c>
      <c r="L87">
        <v>8600</v>
      </c>
      <c r="M87">
        <v>-20</v>
      </c>
      <c r="N87">
        <v>40</v>
      </c>
      <c r="R87" s="33"/>
      <c r="AB87">
        <v>30</v>
      </c>
      <c r="AC87">
        <v>20</v>
      </c>
      <c r="AD87">
        <v>222.2</v>
      </c>
      <c r="AE87" t="s">
        <v>266</v>
      </c>
    </row>
    <row r="88" spans="1:33" x14ac:dyDescent="0.2">
      <c r="A88" t="s">
        <v>327</v>
      </c>
      <c r="B88" t="s">
        <v>351</v>
      </c>
      <c r="C88" t="s">
        <v>263</v>
      </c>
      <c r="F88">
        <v>1390</v>
      </c>
      <c r="G88">
        <v>11000</v>
      </c>
      <c r="H88" t="s">
        <v>272</v>
      </c>
      <c r="I88" s="31"/>
      <c r="K88" t="s">
        <v>265</v>
      </c>
      <c r="R88" s="33"/>
      <c r="AA88">
        <v>5</v>
      </c>
      <c r="AB88">
        <v>20</v>
      </c>
      <c r="AC88">
        <v>22</v>
      </c>
      <c r="AD88">
        <v>244.4</v>
      </c>
      <c r="AE88" t="s">
        <v>265</v>
      </c>
    </row>
    <row r="89" spans="1:33" x14ac:dyDescent="0.2">
      <c r="A89" t="s">
        <v>318</v>
      </c>
      <c r="B89" t="s">
        <v>352</v>
      </c>
      <c r="C89" t="s">
        <v>263</v>
      </c>
      <c r="D89">
        <v>200</v>
      </c>
      <c r="E89">
        <v>1000</v>
      </c>
      <c r="F89">
        <v>1400</v>
      </c>
      <c r="G89">
        <v>568</v>
      </c>
      <c r="H89" t="s">
        <v>272</v>
      </c>
      <c r="I89" s="31">
        <v>0.02</v>
      </c>
      <c r="J89">
        <v>30</v>
      </c>
      <c r="K89" t="s">
        <v>265</v>
      </c>
      <c r="L89">
        <v>8322</v>
      </c>
      <c r="M89">
        <v>-20</v>
      </c>
      <c r="N89">
        <v>40</v>
      </c>
      <c r="R89" s="33"/>
      <c r="X89">
        <v>0.1</v>
      </c>
      <c r="AA89">
        <v>5</v>
      </c>
      <c r="AB89">
        <v>30</v>
      </c>
      <c r="AC89">
        <v>18.899999999999999</v>
      </c>
      <c r="AD89">
        <v>210</v>
      </c>
      <c r="AE89" t="s">
        <v>265</v>
      </c>
    </row>
    <row r="90" spans="1:33" hidden="1" x14ac:dyDescent="0.2">
      <c r="A90" t="s">
        <v>374</v>
      </c>
      <c r="B90" t="s">
        <v>375</v>
      </c>
      <c r="C90" t="s">
        <v>347</v>
      </c>
      <c r="F90">
        <v>10000</v>
      </c>
      <c r="G90">
        <v>800</v>
      </c>
      <c r="H90" t="s">
        <v>264</v>
      </c>
      <c r="I90" s="31">
        <v>0</v>
      </c>
      <c r="M90">
        <v>-20</v>
      </c>
      <c r="N90">
        <v>45</v>
      </c>
      <c r="P90">
        <v>38.700000000000003</v>
      </c>
      <c r="Q90">
        <f>4.7*3.6</f>
        <v>16.920000000000002</v>
      </c>
      <c r="R90" s="33"/>
      <c r="T90" s="34">
        <f>(120/(P90*3.6))*100</f>
        <v>86.132644272179135</v>
      </c>
      <c r="Y90">
        <f>8760*5</f>
        <v>43800</v>
      </c>
      <c r="AB90">
        <v>1.004</v>
      </c>
      <c r="AC90">
        <v>259</v>
      </c>
    </row>
    <row r="91" spans="1:33" hidden="1" x14ac:dyDescent="0.2">
      <c r="A91" t="s">
        <v>374</v>
      </c>
      <c r="B91" t="s">
        <v>376</v>
      </c>
      <c r="C91" t="s">
        <v>346</v>
      </c>
      <c r="F91">
        <v>10000</v>
      </c>
      <c r="G91">
        <v>800</v>
      </c>
      <c r="H91" t="s">
        <v>264</v>
      </c>
      <c r="I91" s="31">
        <v>0</v>
      </c>
      <c r="M91">
        <v>-20</v>
      </c>
      <c r="N91">
        <v>45</v>
      </c>
      <c r="P91">
        <v>48.8</v>
      </c>
      <c r="R91" s="33"/>
      <c r="T91" s="34">
        <f>(120/(P91*3.6))*100</f>
        <v>68.30601092896174</v>
      </c>
      <c r="AB91">
        <v>1.004</v>
      </c>
      <c r="AC91">
        <v>259</v>
      </c>
    </row>
    <row r="92" spans="1:33" x14ac:dyDescent="0.2">
      <c r="A92" t="s">
        <v>327</v>
      </c>
      <c r="B92" t="s">
        <v>361</v>
      </c>
      <c r="C92" t="s">
        <v>263</v>
      </c>
      <c r="F92">
        <v>2350</v>
      </c>
      <c r="G92">
        <v>11000</v>
      </c>
      <c r="H92" t="s">
        <v>272</v>
      </c>
      <c r="I92" s="31"/>
      <c r="K92" t="s">
        <v>265</v>
      </c>
      <c r="R92" s="33"/>
      <c r="AA92">
        <v>5</v>
      </c>
      <c r="AB92">
        <v>20</v>
      </c>
      <c r="AC92">
        <v>36</v>
      </c>
      <c r="AD92">
        <v>400</v>
      </c>
      <c r="AE92" t="s">
        <v>265</v>
      </c>
    </row>
    <row r="93" spans="1:33" x14ac:dyDescent="0.2">
      <c r="A93" t="s">
        <v>341</v>
      </c>
      <c r="B93" t="s">
        <v>365</v>
      </c>
      <c r="C93" t="s">
        <v>263</v>
      </c>
      <c r="D93">
        <v>125</v>
      </c>
      <c r="E93">
        <v>2500</v>
      </c>
      <c r="F93">
        <v>2500</v>
      </c>
      <c r="G93">
        <v>400</v>
      </c>
      <c r="H93" t="s">
        <v>280</v>
      </c>
      <c r="I93" s="31">
        <v>2.4E-2</v>
      </c>
      <c r="J93">
        <v>30</v>
      </c>
      <c r="K93" t="s">
        <v>265</v>
      </c>
      <c r="L93">
        <v>8322</v>
      </c>
      <c r="M93">
        <v>-20</v>
      </c>
      <c r="N93">
        <v>40</v>
      </c>
      <c r="R93" s="33"/>
      <c r="S93">
        <v>60</v>
      </c>
      <c r="X93">
        <v>0.1</v>
      </c>
      <c r="AA93">
        <v>3.5</v>
      </c>
      <c r="AC93">
        <v>45</v>
      </c>
      <c r="AD93">
        <v>500</v>
      </c>
      <c r="AE93" t="s">
        <v>266</v>
      </c>
      <c r="AF93">
        <v>5</v>
      </c>
      <c r="AG93">
        <v>30</v>
      </c>
    </row>
    <row r="94" spans="1:33" hidden="1" x14ac:dyDescent="0.2">
      <c r="A94" t="s">
        <v>379</v>
      </c>
      <c r="B94" t="s">
        <v>380</v>
      </c>
      <c r="C94" t="s">
        <v>271</v>
      </c>
      <c r="D94">
        <v>4192</v>
      </c>
      <c r="F94">
        <v>10481</v>
      </c>
      <c r="H94" t="s">
        <v>272</v>
      </c>
      <c r="I94" s="31">
        <v>4.2934834462360461E-2</v>
      </c>
      <c r="M94">
        <v>5</v>
      </c>
      <c r="N94">
        <v>40</v>
      </c>
      <c r="O94">
        <v>4.7</v>
      </c>
      <c r="P94" s="32">
        <f>((1000*O94)/0.08924)/1000</f>
        <v>52.666965486328998</v>
      </c>
      <c r="Q94" s="32"/>
      <c r="R94" s="33"/>
      <c r="T94">
        <v>63.8</v>
      </c>
      <c r="W94">
        <v>85</v>
      </c>
      <c r="Y94">
        <v>90000</v>
      </c>
      <c r="AA94">
        <v>2.6</v>
      </c>
      <c r="AB94">
        <v>30</v>
      </c>
      <c r="AC94">
        <v>200.7</v>
      </c>
      <c r="AD94">
        <v>2230</v>
      </c>
    </row>
    <row r="95" spans="1:33" x14ac:dyDescent="0.2">
      <c r="A95" t="s">
        <v>338</v>
      </c>
      <c r="B95" t="s">
        <v>372</v>
      </c>
      <c r="C95" t="s">
        <v>263</v>
      </c>
      <c r="F95">
        <v>5000</v>
      </c>
      <c r="H95" t="s">
        <v>272</v>
      </c>
      <c r="I95" s="31">
        <v>2.4E-2</v>
      </c>
      <c r="J95">
        <v>30</v>
      </c>
      <c r="M95">
        <v>-20</v>
      </c>
      <c r="N95">
        <v>40</v>
      </c>
      <c r="R95" s="33"/>
      <c r="AA95">
        <v>5</v>
      </c>
      <c r="AB95">
        <v>40</v>
      </c>
      <c r="AC95">
        <v>90</v>
      </c>
      <c r="AD95">
        <v>1000</v>
      </c>
    </row>
    <row r="96" spans="1:33" hidden="1" x14ac:dyDescent="0.2">
      <c r="A96" t="s">
        <v>382</v>
      </c>
      <c r="B96" t="s">
        <v>383</v>
      </c>
      <c r="C96" t="s">
        <v>271</v>
      </c>
      <c r="D96">
        <v>1800</v>
      </c>
      <c r="F96">
        <v>18000</v>
      </c>
      <c r="H96" t="s">
        <v>264</v>
      </c>
      <c r="I96" s="31">
        <v>0</v>
      </c>
      <c r="O96">
        <v>4.5</v>
      </c>
      <c r="P96" s="32">
        <f>((1000*O96)/0.08924)/1000</f>
        <v>50.425818018825638</v>
      </c>
      <c r="Q96" s="32"/>
      <c r="R96" s="33"/>
      <c r="T96">
        <v>66.7</v>
      </c>
      <c r="W96">
        <v>90</v>
      </c>
      <c r="AA96">
        <v>3</v>
      </c>
      <c r="AB96">
        <v>0</v>
      </c>
      <c r="AC96">
        <v>360</v>
      </c>
      <c r="AD96">
        <v>4000</v>
      </c>
      <c r="AE96" t="s">
        <v>266</v>
      </c>
    </row>
    <row r="97" spans="1:33" x14ac:dyDescent="0.2">
      <c r="A97" t="s">
        <v>327</v>
      </c>
      <c r="B97" t="s">
        <v>378</v>
      </c>
      <c r="C97" t="s">
        <v>263</v>
      </c>
      <c r="F97">
        <v>10070</v>
      </c>
      <c r="G97">
        <v>11000</v>
      </c>
      <c r="H97" t="s">
        <v>272</v>
      </c>
      <c r="I97" s="31"/>
      <c r="K97" t="s">
        <v>266</v>
      </c>
      <c r="R97" s="33"/>
      <c r="AA97">
        <v>5</v>
      </c>
      <c r="AB97">
        <v>20</v>
      </c>
      <c r="AC97">
        <v>168.75</v>
      </c>
      <c r="AD97">
        <v>1875</v>
      </c>
      <c r="AE97" t="s">
        <v>266</v>
      </c>
    </row>
    <row r="98" spans="1:33" x14ac:dyDescent="0.2">
      <c r="A98" t="s">
        <v>341</v>
      </c>
      <c r="B98" t="s">
        <v>385</v>
      </c>
      <c r="C98" t="s">
        <v>263</v>
      </c>
      <c r="G98">
        <v>400</v>
      </c>
      <c r="H98" t="s">
        <v>280</v>
      </c>
      <c r="I98" s="31"/>
      <c r="J98">
        <v>30</v>
      </c>
      <c r="K98" t="s">
        <v>265</v>
      </c>
      <c r="L98">
        <v>8322</v>
      </c>
      <c r="M98">
        <v>-20</v>
      </c>
      <c r="N98">
        <v>40</v>
      </c>
      <c r="R98" s="33"/>
      <c r="S98">
        <v>60</v>
      </c>
      <c r="X98">
        <v>0.1</v>
      </c>
      <c r="AA98">
        <v>3.5</v>
      </c>
      <c r="AE98" t="s">
        <v>266</v>
      </c>
      <c r="AF98">
        <v>5</v>
      </c>
      <c r="AG98">
        <v>30</v>
      </c>
    </row>
    <row r="99" spans="1:33" x14ac:dyDescent="0.2">
      <c r="A99" t="s">
        <v>338</v>
      </c>
      <c r="B99" t="s">
        <v>386</v>
      </c>
      <c r="C99" t="s">
        <v>263</v>
      </c>
      <c r="G99">
        <v>64</v>
      </c>
      <c r="I99" s="31"/>
      <c r="R99" s="33"/>
      <c r="V99">
        <v>5</v>
      </c>
      <c r="W99">
        <v>70</v>
      </c>
      <c r="Y99">
        <v>80000</v>
      </c>
      <c r="AC99">
        <v>4.5</v>
      </c>
      <c r="AD99">
        <v>50</v>
      </c>
    </row>
    <row r="100" spans="1:33" x14ac:dyDescent="0.2">
      <c r="A100" t="s">
        <v>338</v>
      </c>
      <c r="B100" t="s">
        <v>387</v>
      </c>
      <c r="C100" t="s">
        <v>263</v>
      </c>
      <c r="G100">
        <v>260</v>
      </c>
      <c r="I100" s="31"/>
      <c r="R100" s="33"/>
      <c r="V100">
        <v>5</v>
      </c>
      <c r="W100">
        <v>70</v>
      </c>
      <c r="Y100">
        <v>80000</v>
      </c>
      <c r="AC100">
        <v>18</v>
      </c>
      <c r="AD100">
        <v>200</v>
      </c>
    </row>
    <row r="101" spans="1:33" x14ac:dyDescent="0.2">
      <c r="A101" t="s">
        <v>338</v>
      </c>
      <c r="B101" t="s">
        <v>388</v>
      </c>
      <c r="C101" t="s">
        <v>263</v>
      </c>
      <c r="G101">
        <v>54</v>
      </c>
      <c r="I101" s="31"/>
      <c r="M101">
        <v>5</v>
      </c>
      <c r="N101">
        <v>70</v>
      </c>
      <c r="R101" s="33"/>
      <c r="Y101">
        <v>80000</v>
      </c>
      <c r="AC101">
        <v>0.9</v>
      </c>
      <c r="AD101">
        <v>10</v>
      </c>
    </row>
    <row r="102" spans="1:33" x14ac:dyDescent="0.2">
      <c r="A102" t="s">
        <v>338</v>
      </c>
      <c r="B102" t="s">
        <v>389</v>
      </c>
      <c r="C102" t="s">
        <v>263</v>
      </c>
      <c r="G102">
        <v>163</v>
      </c>
      <c r="I102" s="31"/>
      <c r="M102">
        <v>5</v>
      </c>
      <c r="N102">
        <v>70</v>
      </c>
      <c r="R102" s="33"/>
      <c r="Y102">
        <v>80000</v>
      </c>
      <c r="AC102">
        <v>2.7</v>
      </c>
      <c r="AD102">
        <v>30</v>
      </c>
    </row>
    <row r="103" spans="1:33" x14ac:dyDescent="0.2">
      <c r="A103" t="s">
        <v>390</v>
      </c>
      <c r="B103" t="s">
        <v>391</v>
      </c>
      <c r="C103" t="s">
        <v>263</v>
      </c>
      <c r="I103" s="31"/>
      <c r="J103">
        <v>10</v>
      </c>
      <c r="R103" s="33"/>
      <c r="AA103">
        <v>5</v>
      </c>
      <c r="AC103">
        <v>100</v>
      </c>
      <c r="AD103">
        <v>1111</v>
      </c>
    </row>
    <row r="104" spans="1:33" x14ac:dyDescent="0.2">
      <c r="A104" t="s">
        <v>390</v>
      </c>
      <c r="B104" t="s">
        <v>392</v>
      </c>
      <c r="C104" t="s">
        <v>263</v>
      </c>
      <c r="I104" s="31"/>
      <c r="J104">
        <v>10</v>
      </c>
      <c r="R104" s="33"/>
      <c r="AA104">
        <v>5</v>
      </c>
      <c r="AC104">
        <v>2000</v>
      </c>
      <c r="AD104">
        <v>22222</v>
      </c>
    </row>
  </sheetData>
  <autoFilter ref="A3:AG104" xr:uid="{69188E51-C45A-8344-B1B4-B0522AA36215}">
    <filterColumn colId="2">
      <filters>
        <filter val="PEM"/>
      </filters>
    </filterColumn>
    <sortState xmlns:xlrd2="http://schemas.microsoft.com/office/spreadsheetml/2017/richdata2" ref="A4:AG104">
      <sortCondition ref="P3:P104"/>
    </sortState>
  </autoFilter>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lci</vt:lpstr>
      <vt:lpstr>Final specifications</vt:lpstr>
      <vt:lpstr>Manufacturers' data</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Terlouw Tom Mike</dc:creator>
  <cp:lastModifiedBy>Romain Sacchi</cp:lastModifiedBy>
  <dcterms:created xsi:type="dcterms:W3CDTF">2020-12-17T11:52:00Z</dcterms:created>
  <dcterms:modified xsi:type="dcterms:W3CDTF">2025-09-26T09:12:41Z</dcterms:modified>
</cp:coreProperties>
</file>