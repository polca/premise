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0921"/>
  <workbookPr/>
  <mc:AlternateContent xmlns:mc="http://schemas.openxmlformats.org/markup-compatibility/2006">
    <mc:Choice Requires="x15">
      <x15ac:absPath xmlns:x15ac="http://schemas.microsoft.com/office/spreadsheetml/2010/11/ac" url="/Users/romain/Github/premise/premise/data/additional_inventories/"/>
    </mc:Choice>
  </mc:AlternateContent>
  <xr:revisionPtr revIDLastSave="0" documentId="13_ncr:1_{C12A5CB0-B7AA-E548-96E6-B277AF67FADC}" xr6:coauthVersionLast="47" xr6:coauthVersionMax="47" xr10:uidLastSave="{00000000-0000-0000-0000-000000000000}"/>
  <bookViews>
    <workbookView xWindow="4440" yWindow="760" windowWidth="25800" windowHeight="18880" xr2:uid="{00000000-000D-0000-FFFF-FFFF00000000}"/>
  </bookViews>
  <sheets>
    <sheet name="lci" sheetId="1" r:id="rId1"/>
    <sheet name="Final specifications" sheetId="3" r:id="rId2"/>
    <sheet name="Manufacturers' data" sheetId="2" r:id="rId3"/>
  </sheets>
  <definedNames>
    <definedName name="_xlnm._FilterDatabase" localSheetId="0" hidden="1">lci!$A$1:$T$638</definedName>
    <definedName name="_xlnm._FilterDatabase" localSheetId="2" hidden="1">'Manufacturers'' data'!$A$3:$AG$104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R141" i="1" l="1"/>
  <c r="J141" i="1"/>
  <c r="B141" i="1"/>
  <c r="R140" i="1"/>
  <c r="B140" i="1"/>
  <c r="J140" i="1" s="1"/>
  <c r="R139" i="1"/>
  <c r="J139" i="1"/>
  <c r="B139" i="1"/>
  <c r="J136" i="1"/>
  <c r="S134" i="1"/>
  <c r="T133" i="1"/>
  <c r="S135" i="1" s="1"/>
  <c r="S133" i="1"/>
  <c r="T135" i="1" s="1"/>
  <c r="B133" i="1"/>
  <c r="J133" i="1" s="1"/>
  <c r="T132" i="1"/>
  <c r="S132" i="1"/>
  <c r="T134" i="1" s="1"/>
  <c r="B132" i="1"/>
  <c r="J132" i="1" s="1"/>
  <c r="D131" i="1"/>
  <c r="C131" i="1"/>
  <c r="A131" i="1"/>
  <c r="R61" i="1"/>
  <c r="B61" i="1"/>
  <c r="J61" i="1" s="1"/>
  <c r="R60" i="1"/>
  <c r="B60" i="1"/>
  <c r="J60" i="1" s="1"/>
  <c r="R59" i="1"/>
  <c r="B59" i="1"/>
  <c r="J59" i="1" s="1"/>
  <c r="J56" i="1"/>
  <c r="T54" i="1"/>
  <c r="T53" i="1"/>
  <c r="S55" i="1" s="1"/>
  <c r="S53" i="1"/>
  <c r="T55" i="1" s="1"/>
  <c r="B53" i="1"/>
  <c r="J53" i="1" s="1"/>
  <c r="T52" i="1"/>
  <c r="S54" i="1" s="1"/>
  <c r="S52" i="1"/>
  <c r="B52" i="1"/>
  <c r="B54" i="1" s="1"/>
  <c r="J54" i="1" s="1"/>
  <c r="D51" i="1"/>
  <c r="C51" i="1"/>
  <c r="A51" i="1"/>
  <c r="B499" i="1"/>
  <c r="B330" i="1"/>
  <c r="B329" i="1"/>
  <c r="T630" i="1"/>
  <c r="S630" i="1"/>
  <c r="B630" i="1"/>
  <c r="J630" i="1" s="1"/>
  <c r="T625" i="1"/>
  <c r="S625" i="1"/>
  <c r="B625" i="1"/>
  <c r="J625" i="1" s="1"/>
  <c r="G624" i="1"/>
  <c r="D624" i="1"/>
  <c r="C624" i="1"/>
  <c r="A624" i="1"/>
  <c r="S610" i="1"/>
  <c r="T610" i="1"/>
  <c r="B610" i="1"/>
  <c r="B611" i="1" s="1"/>
  <c r="B614" i="1" s="1"/>
  <c r="J610" i="1"/>
  <c r="T605" i="1"/>
  <c r="S605" i="1"/>
  <c r="J605" i="1"/>
  <c r="G604" i="1"/>
  <c r="A604" i="1"/>
  <c r="D604" i="1"/>
  <c r="C604" i="1"/>
  <c r="R161" i="1"/>
  <c r="B161" i="1"/>
  <c r="J161" i="1" s="1"/>
  <c r="R160" i="1"/>
  <c r="B160" i="1"/>
  <c r="J160" i="1" s="1"/>
  <c r="R159" i="1"/>
  <c r="B159" i="1"/>
  <c r="J159" i="1" s="1"/>
  <c r="J156" i="1"/>
  <c r="T153" i="1"/>
  <c r="S155" i="1" s="1"/>
  <c r="S153" i="1"/>
  <c r="T155" i="1" s="1"/>
  <c r="B153" i="1"/>
  <c r="B155" i="1" s="1"/>
  <c r="J155" i="1" s="1"/>
  <c r="T152" i="1"/>
  <c r="S154" i="1" s="1"/>
  <c r="S152" i="1"/>
  <c r="T154" i="1" s="1"/>
  <c r="B152" i="1"/>
  <c r="B154" i="1" s="1"/>
  <c r="J154" i="1" s="1"/>
  <c r="D151" i="1"/>
  <c r="C151" i="1"/>
  <c r="A151" i="1"/>
  <c r="R121" i="1"/>
  <c r="B121" i="1"/>
  <c r="J121" i="1" s="1"/>
  <c r="R120" i="1"/>
  <c r="B120" i="1"/>
  <c r="J120" i="1" s="1"/>
  <c r="R119" i="1"/>
  <c r="B119" i="1"/>
  <c r="J119" i="1" s="1"/>
  <c r="J116" i="1"/>
  <c r="T113" i="1"/>
  <c r="S115" i="1" s="1"/>
  <c r="S113" i="1"/>
  <c r="T115" i="1" s="1"/>
  <c r="B113" i="1"/>
  <c r="J113" i="1" s="1"/>
  <c r="T112" i="1"/>
  <c r="S114" i="1" s="1"/>
  <c r="S112" i="1"/>
  <c r="T114" i="1" s="1"/>
  <c r="B112" i="1"/>
  <c r="B114" i="1" s="1"/>
  <c r="J114" i="1" s="1"/>
  <c r="D111" i="1"/>
  <c r="C111" i="1"/>
  <c r="A111" i="1"/>
  <c r="R101" i="1"/>
  <c r="B101" i="1"/>
  <c r="J101" i="1" s="1"/>
  <c r="R100" i="1"/>
  <c r="B100" i="1"/>
  <c r="J100" i="1" s="1"/>
  <c r="R99" i="1"/>
  <c r="B99" i="1"/>
  <c r="J99" i="1" s="1"/>
  <c r="J96" i="1"/>
  <c r="T93" i="1"/>
  <c r="S95" i="1" s="1"/>
  <c r="S93" i="1"/>
  <c r="T95" i="1" s="1"/>
  <c r="B93" i="1"/>
  <c r="J93" i="1" s="1"/>
  <c r="T92" i="1"/>
  <c r="S94" i="1" s="1"/>
  <c r="S92" i="1"/>
  <c r="T94" i="1" s="1"/>
  <c r="B92" i="1"/>
  <c r="B94" i="1" s="1"/>
  <c r="J94" i="1" s="1"/>
  <c r="D91" i="1"/>
  <c r="C91" i="1"/>
  <c r="A91" i="1"/>
  <c r="A71" i="1"/>
  <c r="A31" i="1"/>
  <c r="R81" i="1"/>
  <c r="B81" i="1"/>
  <c r="J81" i="1" s="1"/>
  <c r="R80" i="1"/>
  <c r="B80" i="1"/>
  <c r="J80" i="1" s="1"/>
  <c r="R79" i="1"/>
  <c r="B79" i="1"/>
  <c r="J79" i="1" s="1"/>
  <c r="J76" i="1"/>
  <c r="T73" i="1"/>
  <c r="S75" i="1" s="1"/>
  <c r="S73" i="1"/>
  <c r="T75" i="1" s="1"/>
  <c r="B73" i="1"/>
  <c r="J73" i="1" s="1"/>
  <c r="T72" i="1"/>
  <c r="S74" i="1" s="1"/>
  <c r="S72" i="1"/>
  <c r="T74" i="1" s="1"/>
  <c r="B72" i="1"/>
  <c r="B74" i="1" s="1"/>
  <c r="J74" i="1" s="1"/>
  <c r="D71" i="1"/>
  <c r="C71" i="1"/>
  <c r="R41" i="1"/>
  <c r="B41" i="1"/>
  <c r="J41" i="1" s="1"/>
  <c r="R40" i="1"/>
  <c r="B40" i="1"/>
  <c r="J40" i="1" s="1"/>
  <c r="R39" i="1"/>
  <c r="B39" i="1"/>
  <c r="J39" i="1" s="1"/>
  <c r="J36" i="1"/>
  <c r="T33" i="1"/>
  <c r="S35" i="1" s="1"/>
  <c r="S33" i="1"/>
  <c r="T35" i="1" s="1"/>
  <c r="B33" i="1"/>
  <c r="J33" i="1" s="1"/>
  <c r="T32" i="1"/>
  <c r="S34" i="1" s="1"/>
  <c r="S32" i="1"/>
  <c r="T34" i="1" s="1"/>
  <c r="B32" i="1"/>
  <c r="B34" i="1" s="1"/>
  <c r="J34" i="1" s="1"/>
  <c r="D31" i="1"/>
  <c r="C31" i="1"/>
  <c r="T452" i="1"/>
  <c r="S454" i="1" s="1"/>
  <c r="S452" i="1"/>
  <c r="T454" i="1" s="1"/>
  <c r="T453" i="1"/>
  <c r="S455" i="1" s="1"/>
  <c r="S453" i="1"/>
  <c r="T455" i="1" s="1"/>
  <c r="B135" i="1" l="1"/>
  <c r="J135" i="1" s="1"/>
  <c r="J52" i="1"/>
  <c r="B134" i="1"/>
  <c r="J134" i="1" s="1"/>
  <c r="B612" i="1"/>
  <c r="B631" i="1"/>
  <c r="B632" i="1"/>
  <c r="B633" i="1"/>
  <c r="B55" i="1"/>
  <c r="J55" i="1" s="1"/>
  <c r="B613" i="1"/>
  <c r="J152" i="1"/>
  <c r="B95" i="1"/>
  <c r="J95" i="1" s="1"/>
  <c r="J153" i="1"/>
  <c r="J112" i="1"/>
  <c r="B115" i="1"/>
  <c r="J115" i="1" s="1"/>
  <c r="J92" i="1"/>
  <c r="J72" i="1"/>
  <c r="B75" i="1"/>
  <c r="J75" i="1" s="1"/>
  <c r="B35" i="1"/>
  <c r="J35" i="1" s="1"/>
  <c r="J32" i="1"/>
  <c r="T292" i="1"/>
  <c r="S294" i="1" s="1"/>
  <c r="S292" i="1"/>
  <c r="T294" i="1" s="1"/>
  <c r="S291" i="1"/>
  <c r="T293" i="1" s="1"/>
  <c r="T291" i="1"/>
  <c r="S293" i="1" s="1"/>
  <c r="B291" i="1"/>
  <c r="J291" i="1" s="1"/>
  <c r="T13" i="1"/>
  <c r="S15" i="1" s="1"/>
  <c r="S13" i="1"/>
  <c r="T15" i="1" s="1"/>
  <c r="S12" i="1"/>
  <c r="T14" i="1" s="1"/>
  <c r="T12" i="1"/>
  <c r="S14" i="1" s="1"/>
  <c r="J435" i="1"/>
  <c r="J295" i="1"/>
  <c r="J16" i="1"/>
  <c r="B178" i="1"/>
  <c r="C168" i="1" s="1"/>
  <c r="R462" i="1"/>
  <c r="B462" i="1"/>
  <c r="J462" i="1" s="1"/>
  <c r="R461" i="1"/>
  <c r="B461" i="1"/>
  <c r="J461" i="1" s="1"/>
  <c r="R460" i="1"/>
  <c r="B460" i="1"/>
  <c r="J460" i="1" s="1"/>
  <c r="R441" i="1"/>
  <c r="B441" i="1"/>
  <c r="J441" i="1" s="1"/>
  <c r="R440" i="1"/>
  <c r="B440" i="1"/>
  <c r="J440" i="1" s="1"/>
  <c r="R439" i="1"/>
  <c r="B439" i="1"/>
  <c r="J439" i="1" s="1"/>
  <c r="R301" i="1"/>
  <c r="B301" i="1"/>
  <c r="J301" i="1" s="1"/>
  <c r="R300" i="1"/>
  <c r="B300" i="1"/>
  <c r="J300" i="1" s="1"/>
  <c r="R299" i="1"/>
  <c r="B299" i="1"/>
  <c r="J299" i="1" s="1"/>
  <c r="R21" i="1"/>
  <c r="B21" i="1"/>
  <c r="J21" i="1" s="1"/>
  <c r="R20" i="1"/>
  <c r="B20" i="1"/>
  <c r="J20" i="1" s="1"/>
  <c r="R19" i="1"/>
  <c r="B19" i="1"/>
  <c r="J19" i="1" s="1"/>
  <c r="J178" i="1" l="1"/>
  <c r="B431" i="1"/>
  <c r="B12" i="1"/>
  <c r="J12" i="1" s="1"/>
  <c r="B453" i="1"/>
  <c r="B452" i="1"/>
  <c r="D451" i="1"/>
  <c r="C451" i="1"/>
  <c r="P59" i="2"/>
  <c r="P96" i="2"/>
  <c r="P55" i="2"/>
  <c r="P94" i="2"/>
  <c r="P53" i="2"/>
  <c r="T91" i="2"/>
  <c r="Y90" i="2"/>
  <c r="T90" i="2"/>
  <c r="Q90" i="2"/>
  <c r="P13" i="2"/>
  <c r="P18" i="2"/>
  <c r="P30" i="2"/>
  <c r="P85" i="2"/>
  <c r="P25" i="2"/>
  <c r="P21" i="2"/>
  <c r="P82" i="2"/>
  <c r="P80" i="2"/>
  <c r="T80" i="2" s="1"/>
  <c r="P52" i="2"/>
  <c r="P77" i="2"/>
  <c r="P76" i="2"/>
  <c r="P20" i="2"/>
  <c r="P12" i="2"/>
  <c r="P51" i="2"/>
  <c r="P8" i="2"/>
  <c r="P71" i="2"/>
  <c r="P48" i="2"/>
  <c r="P62" i="2"/>
  <c r="AC65" i="2"/>
  <c r="T65" i="2"/>
  <c r="Q65" i="2"/>
  <c r="AC64" i="2"/>
  <c r="T64" i="2"/>
  <c r="P63" i="2"/>
  <c r="P14" i="2"/>
  <c r="P19" i="2"/>
  <c r="P5" i="2"/>
  <c r="P58" i="2"/>
  <c r="P57" i="2"/>
  <c r="P56" i="2"/>
  <c r="P45" i="2"/>
  <c r="P4" i="2"/>
  <c r="P44" i="2"/>
  <c r="P49" i="2"/>
  <c r="P43" i="2"/>
  <c r="P47" i="2"/>
  <c r="P46" i="2"/>
  <c r="P41" i="2"/>
  <c r="P40" i="2"/>
  <c r="P39" i="2"/>
  <c r="P38" i="2"/>
  <c r="P37" i="2"/>
  <c r="P36" i="2"/>
  <c r="P60" i="2"/>
  <c r="P35" i="2"/>
  <c r="P33" i="2"/>
  <c r="P31" i="2"/>
  <c r="P70" i="2"/>
  <c r="P29" i="2"/>
  <c r="P28" i="2"/>
  <c r="P27" i="2"/>
  <c r="P34" i="2"/>
  <c r="P24" i="2"/>
  <c r="P23" i="2"/>
  <c r="P22" i="2"/>
  <c r="P69" i="2"/>
  <c r="P66" i="2"/>
  <c r="P16" i="2"/>
  <c r="P15" i="2"/>
  <c r="P68" i="2"/>
  <c r="P11" i="2"/>
  <c r="P10" i="2"/>
  <c r="P6" i="2"/>
  <c r="P67" i="2"/>
  <c r="P61" i="2"/>
  <c r="B432" i="1"/>
  <c r="B434" i="1" s="1"/>
  <c r="B292" i="1"/>
  <c r="J292" i="1" s="1"/>
  <c r="B13" i="1"/>
  <c r="J13" i="1" s="1"/>
  <c r="G583" i="1"/>
  <c r="D583" i="1"/>
  <c r="A583" i="1"/>
  <c r="G498" i="1"/>
  <c r="D498" i="1"/>
  <c r="A498" i="1"/>
  <c r="G409" i="1"/>
  <c r="D409" i="1"/>
  <c r="A409" i="1"/>
  <c r="G328" i="1"/>
  <c r="D328" i="1"/>
  <c r="A328" i="1"/>
  <c r="B269" i="1"/>
  <c r="G268" i="1"/>
  <c r="D268" i="1"/>
  <c r="A268" i="1"/>
  <c r="B200" i="1"/>
  <c r="B199" i="1"/>
  <c r="B198" i="1"/>
  <c r="B197" i="1"/>
  <c r="B196" i="1"/>
  <c r="G195" i="1"/>
  <c r="D195" i="1"/>
  <c r="A195" i="1"/>
  <c r="B455" i="1" l="1"/>
  <c r="J455" i="1" s="1"/>
  <c r="J453" i="1"/>
  <c r="B454" i="1"/>
  <c r="J454" i="1" s="1"/>
  <c r="J452" i="1"/>
  <c r="B433" i="1"/>
  <c r="B293" i="1"/>
  <c r="J293" i="1" s="1"/>
  <c r="B551" i="1"/>
  <c r="B550" i="1"/>
  <c r="B549" i="1"/>
  <c r="B548" i="1"/>
  <c r="B547" i="1"/>
  <c r="B546" i="1"/>
  <c r="B545" i="1"/>
  <c r="B544" i="1"/>
  <c r="B543" i="1"/>
  <c r="B542" i="1"/>
  <c r="B541" i="1"/>
  <c r="B540" i="1"/>
  <c r="B539" i="1"/>
  <c r="B536" i="1"/>
  <c r="B535" i="1"/>
  <c r="B526" i="1"/>
  <c r="B525" i="1"/>
  <c r="B524" i="1"/>
  <c r="B523" i="1"/>
  <c r="B522" i="1"/>
  <c r="B521" i="1"/>
  <c r="B520" i="1"/>
  <c r="B519" i="1"/>
  <c r="B518" i="1"/>
  <c r="B517" i="1"/>
  <c r="B516" i="1"/>
  <c r="B515" i="1"/>
  <c r="B514" i="1"/>
  <c r="G509" i="1"/>
  <c r="A509" i="1"/>
  <c r="B482" i="1"/>
  <c r="B481" i="1"/>
  <c r="G472" i="1"/>
  <c r="D472" i="1"/>
  <c r="A472" i="1"/>
  <c r="A432" i="1"/>
  <c r="A431" i="1"/>
  <c r="D430" i="1"/>
  <c r="C430" i="1"/>
  <c r="G340" i="1"/>
  <c r="A340" i="1"/>
  <c r="G311" i="1"/>
  <c r="D311" i="1"/>
  <c r="A311" i="1"/>
  <c r="A292" i="1"/>
  <c r="A291" i="1"/>
  <c r="D290" i="1"/>
  <c r="C290" i="1"/>
  <c r="G210" i="1"/>
  <c r="A210" i="1"/>
  <c r="G171" i="1"/>
  <c r="D171" i="1"/>
  <c r="A171" i="1"/>
  <c r="A13" i="1"/>
  <c r="A12" i="1"/>
  <c r="D11" i="1"/>
  <c r="C11" i="1"/>
  <c r="B294" i="1" l="1"/>
  <c r="J294" i="1" s="1"/>
  <c r="B15" i="1"/>
  <c r="J15" i="1" s="1"/>
  <c r="B14" i="1"/>
  <c r="J14" i="1" s="1"/>
</calcChain>
</file>

<file path=xl/sharedStrings.xml><?xml version="1.0" encoding="utf-8"?>
<sst xmlns="http://schemas.openxmlformats.org/spreadsheetml/2006/main" count="3520" uniqueCount="556">
  <si>
    <t>Database</t>
  </si>
  <si>
    <t>Activity</t>
  </si>
  <si>
    <t>location</t>
  </si>
  <si>
    <t>production amount</t>
  </si>
  <si>
    <t>reference product</t>
  </si>
  <si>
    <t>type</t>
  </si>
  <si>
    <t>unit</t>
  </si>
  <si>
    <t>Exchanges</t>
  </si>
  <si>
    <t>name</t>
  </si>
  <si>
    <t>amount</t>
  </si>
  <si>
    <t>categories</t>
  </si>
  <si>
    <t>comment</t>
  </si>
  <si>
    <t>technosphere</t>
  </si>
  <si>
    <t>kilogram</t>
  </si>
  <si>
    <t>biosphere</t>
  </si>
  <si>
    <t>steel, chromium steel 18/8, hot rolled</t>
  </si>
  <si>
    <t>production</t>
  </si>
  <si>
    <t>GLO</t>
  </si>
  <si>
    <t>market for aluminium, wrought alloy</t>
  </si>
  <si>
    <t>aluminium, wrought alloy</t>
  </si>
  <si>
    <t>market for steel, chromium steel 18/8, hot rolled</t>
  </si>
  <si>
    <t>market for tetrafluoroethylene</t>
  </si>
  <si>
    <t>tetrafluoroethylene</t>
  </si>
  <si>
    <t>market for platinum</t>
  </si>
  <si>
    <t>platinum</t>
  </si>
  <si>
    <t>market for steel, low-alloyed</t>
  </si>
  <si>
    <t>steel, low-alloyed</t>
  </si>
  <si>
    <t>market for polypropylene, granulate</t>
  </si>
  <si>
    <t>polypropylene, granulate</t>
  </si>
  <si>
    <t>electronics, for control units</t>
  </si>
  <si>
    <t>market for electronics, for control units</t>
  </si>
  <si>
    <t>cubic meter</t>
  </si>
  <si>
    <t>h2_pem</t>
  </si>
  <si>
    <t>market group for electricity, low voltage</t>
  </si>
  <si>
    <t>RER</t>
  </si>
  <si>
    <t>kilowatt hour</t>
  </si>
  <si>
    <t>electricity, low voltage</t>
  </si>
  <si>
    <t>Europe without Switzerland</t>
  </si>
  <si>
    <t>Oxygen</t>
  </si>
  <si>
    <t>air</t>
  </si>
  <si>
    <t>reinforcing steel</t>
  </si>
  <si>
    <t>sheet rolling, aluminium</t>
  </si>
  <si>
    <t>sheet rolling, steel</t>
  </si>
  <si>
    <t>tube insulation, elastomere</t>
  </si>
  <si>
    <t>wire drawing, copper</t>
  </si>
  <si>
    <t>CH</t>
  </si>
  <si>
    <t>negative</t>
  </si>
  <si>
    <t>electrolyzer, 1MWe, PEM, Stack</t>
  </si>
  <si>
    <t>electrolyzer, 1MWe, PEM, Balance of Plant</t>
  </si>
  <si>
    <t>BoP, 20 years lifetime.</t>
  </si>
  <si>
    <t>market for electricity, low voltage</t>
  </si>
  <si>
    <t>market for heat, from steam, in chemical industry</t>
  </si>
  <si>
    <t>megajoule</t>
  </si>
  <si>
    <t>heat, from steam, in chemical industry</t>
  </si>
  <si>
    <t xml:space="preserve">A perfect reaction of H2O results in 1 kg H2 and 8 kg O2, and needs 9 kg H2O, however, considering some losses we assume 14 kg H2O (Simoes et al., 2021). </t>
  </si>
  <si>
    <t>electrolyzer production, 1MWe, PEM, Stack</t>
  </si>
  <si>
    <t>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per single stack, @ 8000 hours/year. Iridium mining process is NOT from ecoinvent. Produced amount of H2 over 20 years: 2964315.35 kg. According to a study called IndWEDe, it is assumed that the stacks are replaced 3 times during the 20 years lifespan, based on the 2030’s scenario for 1 MW systems which predicts a lifetime of 50,000 h or more for the stacks of the different water electrolysis technologies. In comparison to AEC electrolyzers, PEMEC electrolyzers are less mature. Furthermore, the PEMEC technology is commercially available and operates with a similar system efficiency as the AEC technology. However, the current density and the gas purity are higher with values in between 0.6–2.0 A/cm2 and &gt; 99.99%, respectively. Besides this, the operating pressure (below 200 bar) is significantly higher in comparison to AEC systems, while the operating temperature (50 °C to 80 °C) and the system energy (4.2–6.6 kWh/m3H2) are similar to AEC systems. The PEMEC BoP and stack components data stem from Bareiß et al. and correspond to a 1 MW system. Moreover, some further BoP components like water purifier &amp; feed tank, buffer tank, and heat exchanger have been added, derived from a 300 kW AEC system, under the assumption that the components are also suitable for a PEMEC system. The values have been scaled up from 300 kW to 1 MW. Values have already been multiplied by 3 to reflect 2 stack replacements over 20 years of use.</t>
  </si>
  <si>
    <t>end plate</t>
  </si>
  <si>
    <t>market for sheet rolling, aluminium</t>
  </si>
  <si>
    <t>market for titanium</t>
  </si>
  <si>
    <t>titanium</t>
  </si>
  <si>
    <t>bipolar plate</t>
  </si>
  <si>
    <t>membrane polymer</t>
  </si>
  <si>
    <t>market for carbon black</t>
  </si>
  <si>
    <t>carbon black</t>
  </si>
  <si>
    <t>electrocatalyst anode</t>
  </si>
  <si>
    <t>iridium</t>
  </si>
  <si>
    <t>electrocatalyst cathode</t>
  </si>
  <si>
    <t>market for copper, cathode</t>
  </si>
  <si>
    <t>copper, cathode</t>
  </si>
  <si>
    <t>current collector</t>
  </si>
  <si>
    <t>market for sheet rolling, copper</t>
  </si>
  <si>
    <t>sheet rolling, copper</t>
  </si>
  <si>
    <t>market for sheet rolling, chromium steel</t>
  </si>
  <si>
    <t>sheet rolling, chromium steel</t>
  </si>
  <si>
    <t>bolts and screws</t>
  </si>
  <si>
    <t>market for synthetic rubber</t>
  </si>
  <si>
    <t>synthetic rubber</t>
  </si>
  <si>
    <t>gasket</t>
  </si>
  <si>
    <t>assembly energy</t>
  </si>
  <si>
    <t>electrolyzer production, 1MWe, PEM, Balance of Plant</t>
  </si>
  <si>
    <t>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per single stack, @ 8000 hours/year. Iridium mining process is NOT from ecoinvent. Produced amount of H2 over 20 years: 2964315.35 kg. According to a study called IndWEDe, it is assumed that the stacks are replaced 3 times during the 20 years lifespan, based on the 2030’s scenario for 1 MW systems which predicts a lifetime of 50,000 h or more for the stacks of the different water electrolysis technologies. In comparison to AEC electrolyzers, PEMEC electrolyzers are less mature. Furthermore, the PEMEC technology is commercially available and operates with a similar system efficiency as the AEC technology. However, the current density and the gas purity are higher with values in between 0.6-2.0 A/cm2 and &gt; 99.99%, respectively. Besides this, the operating pressure (below 200 bar) is significantly higher in comparison to AEC systems, while the operating temperature (50 °C to 80 °C) and the system energy (4.2-6.6 kWh/m3H2) are similar to AEC systems. The PEMEC BoP and stack components data stem from Bareiß et al. and correspond to a 1 MW system. Moreover, some further BoP components like water purifier &amp; feed tank, buffer tank, and heat exchanger have been added, derived from a 300 kW AEC system, under the assumption that the components are also suitable for a PEMEC system. The values have been scaled up from 300 kW to 1 MW.</t>
  </si>
  <si>
    <t>power electronics (rectifier, voltage adaption)</t>
  </si>
  <si>
    <t>market for reinforcing steel</t>
  </si>
  <si>
    <t>market for sheet rolling, steel</t>
  </si>
  <si>
    <t>market for tube insulation, elastomere</t>
  </si>
  <si>
    <t>market for wire drawing, copper</t>
  </si>
  <si>
    <t>control panels/electronics</t>
  </si>
  <si>
    <t>tubing and pump</t>
  </si>
  <si>
    <t>steel construction element</t>
  </si>
  <si>
    <t>Purification (De-Oxo) &amp; water treatment</t>
  </si>
  <si>
    <t>water-gas separator</t>
  </si>
  <si>
    <t>valve</t>
  </si>
  <si>
    <t>market for injection moulding</t>
  </si>
  <si>
    <t>injection moulding</t>
  </si>
  <si>
    <t>market for lubricating oil</t>
  </si>
  <si>
    <t>lubricating oil</t>
  </si>
  <si>
    <t>back-pressure regulator</t>
  </si>
  <si>
    <t>market for zeolite, powder</t>
  </si>
  <si>
    <t>zeolite, powder</t>
  </si>
  <si>
    <t>ion exchanger</t>
  </si>
  <si>
    <t>heat exchanger</t>
  </si>
  <si>
    <t>market for extrusion, plastic pipes</t>
  </si>
  <si>
    <t>extrusion, plastic pipes</t>
  </si>
  <si>
    <t>water purifier and feed tank</t>
  </si>
  <si>
    <t>market for polyethylene, low density, granulate</t>
  </si>
  <si>
    <t>polyethylene, low density, granulate</t>
  </si>
  <si>
    <t>frequency converter, diaphragm compressor</t>
  </si>
  <si>
    <t>market for cast iron</t>
  </si>
  <si>
    <t>cast iron</t>
  </si>
  <si>
    <t>diaphragm for diaphragm compressor</t>
  </si>
  <si>
    <t>market for ethylene glycol</t>
  </si>
  <si>
    <t>ethylene glycol</t>
  </si>
  <si>
    <t>container with pipes and fittings for compressor</t>
  </si>
  <si>
    <t>buffer tank</t>
  </si>
  <si>
    <t>market for welding, arc, steel</t>
  </si>
  <si>
    <t>meter</t>
  </si>
  <si>
    <t>welding, arc, steel</t>
  </si>
  <si>
    <t>container</t>
  </si>
  <si>
    <t>market for concrete, normal strength</t>
  </si>
  <si>
    <t>concrete, normal strength</t>
  </si>
  <si>
    <t>foundation concrete</t>
  </si>
  <si>
    <t>hydrogen, gaseous, 30 bar</t>
  </si>
  <si>
    <t>electrolyzer, 1MWe, AEC, Stack</t>
  </si>
  <si>
    <t>electrolyzer, 1MWe, AEC, Balance of Plant</t>
  </si>
  <si>
    <t>market for potassium hydroxide</t>
  </si>
  <si>
    <t>potassium hydroxide</t>
  </si>
  <si>
    <t>KOH input</t>
  </si>
  <si>
    <t>electrolyzer production, 1MWe, AEC, Stack</t>
  </si>
  <si>
    <t>1 MWe Alkaline electrolyzer based on Niklas Gerloff, Comparative Life-Cycle-Assessment analysis of three major water electrolysis technologies while applying various energy scenarios for a greener hydrogen production, Journal of Energy Storage, Volume 43, 2021, https://doi.org/10.1016/j.est.2021.102759. Single stack lifetime of 7-8 years @ 8000 hours/year, hence 3 replacements over 20 years. Produced amount of H2 over 20 years: 3085961.12 kg. The technology is available for large plant sizes and operates with a stack efficiency of up to 67 % (based on the lower heating value (LHV) of the generated H2). The operating temperature is in between 60–80 °C, and the current density is around 0.2–0.4 A/cm2. Moreover, the system energy –including the stack and periphery energy– is in the range of 4.4–6.6 kWh/m3H2, while the gas purity is higher than 99.5%, and the operating pressure is below 30 bar. While the LCI data of the BoP components either originate from Zhang et al., based on a 300-kW system and, therefore, scaled-up to 1 MW by a factor of 0.7, the LCI data of the other BoP components originate from manufacturer offers or have been estimated by own calculations using additional information by the producers.  Values have already been multiplied by 3 to reflect 2 stack replacements over 20 years of use.</t>
  </si>
  <si>
    <t>anode and cathode with frame</t>
  </si>
  <si>
    <t>market for nickel, class 1</t>
  </si>
  <si>
    <t>nickel, class 1</t>
  </si>
  <si>
    <t>market for polysulfone</t>
  </si>
  <si>
    <t>polysulfone</t>
  </si>
  <si>
    <t>diaphragm, zirfon</t>
  </si>
  <si>
    <t>market for zirconium oxide</t>
  </si>
  <si>
    <t>zirconium oxide</t>
  </si>
  <si>
    <t>electrolyzer production, 1MWe, AEC, Balance of Plant</t>
  </si>
  <si>
    <t>1 MWe Alkaline electrolyzer based on Niklas Gerloff, Comparative Life-Cycle-Assessment analysis of three major water electrolysis technologies while applying various energy scenarios for a greener hydrogen production, Journal of Energy Storage, Volume 43, 2021, https://doi.org/10.1016/j.est.2021.102759. Single stack lifetime of 7-8 years @ 8000 hours/year, hence 3 replacements over 20 years. Produced amount of H2 over 20 years: 3085961.12 kg. The technology is available for large plant sizes and operates with a stack efficiency of up to 67 % (based on the lower heating value (LHV) of the generated H2). The operating temperature is in between 60–80 °C, and the current density is around 0.2–0.4 A/cm2. Moreover, the system energy –including the stack and periphery energy– is in the range of 4.4–6.6 kWh/m3H2, while the gas purity is higher than 99.5%, and the operating pressure is below 30 bar. While the LCI data of the BoP components either originate from Zhang et al., based on a 300-kW system and, therefore, scaled-up to 1 MW by a factor of 0.7, the LCI data of the other BoP components originate from manufacturer offers or have been estimated by own calculations using additional information by the producers.</t>
  </si>
  <si>
    <t>market for glass fibre</t>
  </si>
  <si>
    <t>glass fibre</t>
  </si>
  <si>
    <t>hydrogen dryer and de-oxidizer</t>
  </si>
  <si>
    <t>tubing and cables</t>
  </si>
  <si>
    <t>water cooling plant for electrolyzer</t>
  </si>
  <si>
    <t>pumps and coolers</t>
  </si>
  <si>
    <t>gas separator</t>
  </si>
  <si>
    <t>steel tank for KOH</t>
  </si>
  <si>
    <t>alkali-resistant rotary pump</t>
  </si>
  <si>
    <t>storage tank</t>
  </si>
  <si>
    <t>electrolyzer, 1MWe, SOEC, Stack</t>
  </si>
  <si>
    <t>electrolyzer, 1MWe, SOEC, Balance of Plant</t>
  </si>
  <si>
    <t>5.24 kWh heat needed/kg H2</t>
  </si>
  <si>
    <t>electrolyzer production, 1MWe, SOEC, Stack</t>
  </si>
  <si>
    <t>air electrode</t>
  </si>
  <si>
    <t>market for praseodymium oxide</t>
  </si>
  <si>
    <t>praseodymium oxide</t>
  </si>
  <si>
    <t>screen printing</t>
  </si>
  <si>
    <t>blocking layer</t>
  </si>
  <si>
    <t>market for samarium-europium-gadolinium oxide</t>
  </si>
  <si>
    <t>samarium-europium-gadolinium oxide</t>
  </si>
  <si>
    <t>market for cerium oxide</t>
  </si>
  <si>
    <t>cerium oxide</t>
  </si>
  <si>
    <t>market for lanthanum oxide</t>
  </si>
  <si>
    <t>lanthanum oxide</t>
  </si>
  <si>
    <t>electrolyte - to check</t>
  </si>
  <si>
    <t>market for strontium carbonate</t>
  </si>
  <si>
    <t>strontium carbonate</t>
  </si>
  <si>
    <t>market for aluminium oxide, metallurgical</t>
  </si>
  <si>
    <t>IAI Area, EU27 &amp; EFTA</t>
  </si>
  <si>
    <t>aluminium oxide, metallurgical</t>
  </si>
  <si>
    <t>electrolyte + H2 electrode</t>
  </si>
  <si>
    <t>market for boric oxide</t>
  </si>
  <si>
    <t>boric oxide</t>
  </si>
  <si>
    <t>market for barium oxide</t>
  </si>
  <si>
    <t>barium oxide</t>
  </si>
  <si>
    <t>market for silicone product</t>
  </si>
  <si>
    <t>silicone product</t>
  </si>
  <si>
    <t>firing of cell</t>
  </si>
  <si>
    <t>electrolyzer production, 1MWe, SOEC, Balance of Plant</t>
  </si>
  <si>
    <t>1 MWe Solid Oxide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Produced amount of H2 over 20 years: 3779894.18 kg.</t>
  </si>
  <si>
    <t>heat exchangers</t>
  </si>
  <si>
    <t>frequency converters</t>
  </si>
  <si>
    <t>diaphragm compressor</t>
  </si>
  <si>
    <t>container with pipes and fittings for diaphragm compressor</t>
  </si>
  <si>
    <t>power electronics (rectifier, voltage adaptation)</t>
  </si>
  <si>
    <t>control electronics</t>
  </si>
  <si>
    <t>mixer</t>
  </si>
  <si>
    <t>splitter</t>
  </si>
  <si>
    <t>flange</t>
  </si>
  <si>
    <t>vessel</t>
  </si>
  <si>
    <t>market for acrylonitrile-butadiene-styrene copolymer</t>
  </si>
  <si>
    <t>acrylonitrile-butadiene-styrene copolymer</t>
  </si>
  <si>
    <t>control panel</t>
  </si>
  <si>
    <t>skid component</t>
  </si>
  <si>
    <t>separator</t>
  </si>
  <si>
    <t>water pump</t>
  </si>
  <si>
    <t>frequency converter -water pump</t>
  </si>
  <si>
    <t xml:space="preserve"> reinforcing steel</t>
  </si>
  <si>
    <t>tubing</t>
  </si>
  <si>
    <t>water purifier &amp; feed tank</t>
  </si>
  <si>
    <t>market for steel, low-alloyed, hot rolled</t>
  </si>
  <si>
    <t>steel, low-alloyed, hot rolled</t>
  </si>
  <si>
    <t>foundation</t>
  </si>
  <si>
    <t>market for scrap steel</t>
  </si>
  <si>
    <t>scrap steel</t>
  </si>
  <si>
    <t>market for scrap aluminium</t>
  </si>
  <si>
    <t>scrap aluminium</t>
  </si>
  <si>
    <t>market for scrap copper</t>
  </si>
  <si>
    <t>scrap copper</t>
  </si>
  <si>
    <t>market for waste plastic, mixture</t>
  </si>
  <si>
    <t>waste plastic, mixture</t>
  </si>
  <si>
    <t>DE</t>
  </si>
  <si>
    <t>market for waste rubber, unspecified</t>
  </si>
  <si>
    <t>waste rubber, unspecified</t>
  </si>
  <si>
    <t>Stack EoL</t>
  </si>
  <si>
    <t>waste reinforcement steel</t>
  </si>
  <si>
    <t>RoW</t>
  </si>
  <si>
    <t>treatment of scrap printed wiring boards, shredding and separation</t>
  </si>
  <si>
    <t>treatment of used cable</t>
  </si>
  <si>
    <t>used cable</t>
  </si>
  <si>
    <t>treatment of waste polyethylene/polypropylene product, collection for final disposal</t>
  </si>
  <si>
    <t>waste bulk iron, excluding reinforcement</t>
  </si>
  <si>
    <t>waste concrete, not reinforced</t>
  </si>
  <si>
    <t>treatment of waste zeolite, inert material landfill</t>
  </si>
  <si>
    <t>BoP EoL</t>
  </si>
  <si>
    <t>market for waste plastic, industrial electronics</t>
  </si>
  <si>
    <t>waste plastic, industrial electronics</t>
  </si>
  <si>
    <t>Manufacturer</t>
  </si>
  <si>
    <t>Model</t>
  </si>
  <si>
    <t>Electrolysis type</t>
  </si>
  <si>
    <t>Minimum power consumption [kW]</t>
  </si>
  <si>
    <t>Rated power [kW]</t>
  </si>
  <si>
    <t>Maximum power consumption [kW]</t>
  </si>
  <si>
    <t>Voltage consumption [V]</t>
  </si>
  <si>
    <t>Type of current [V]</t>
  </si>
  <si>
    <t>Space requirement [m²/kW]</t>
  </si>
  <si>
    <t>Start-up dynamics [s]</t>
  </si>
  <si>
    <t>Water treatment [s]</t>
  </si>
  <si>
    <t>Max. system availability [hours/year]</t>
  </si>
  <si>
    <t>Min. ambient temperature [°C]</t>
  </si>
  <si>
    <t>Max. Ambient temperature [°C]</t>
  </si>
  <si>
    <t>Spec. electricity demand [kWh/Nm³H2]</t>
  </si>
  <si>
    <t>Spec. electricity demand [kWh/kgH2]</t>
  </si>
  <si>
    <t>Spec. Heat demand [MJ/kgH2]</t>
  </si>
  <si>
    <t>Useful heat output [kW/kW]</t>
  </si>
  <si>
    <t>Temperature of useful heat [°C]</t>
  </si>
  <si>
    <t>Electrical efficiency [%, LHV]</t>
  </si>
  <si>
    <t>Total efficiency [%]</t>
  </si>
  <si>
    <t>Minimum stack temperature [°C]</t>
  </si>
  <si>
    <t>Maximum stack temperature [°C]</t>
  </si>
  <si>
    <t>Required water quality [µS/cm]</t>
  </si>
  <si>
    <t>Stack life [h]</t>
  </si>
  <si>
    <t>Maintenance interval [h]</t>
  </si>
  <si>
    <t>H2 quality</t>
  </si>
  <si>
    <t>H2 pressure level [bar]</t>
  </si>
  <si>
    <t>H2 quantity [kg/h]</t>
  </si>
  <si>
    <t>H2 quantity [Nm³/h]</t>
  </si>
  <si>
    <t>Gas treatment</t>
  </si>
  <si>
    <t>H2 quality after treatment</t>
  </si>
  <si>
    <t>Maximum H2 pressure level [bar]</t>
  </si>
  <si>
    <t>Hoeller Electrolyzer_x000D_GmbH</t>
  </si>
  <si>
    <t>Prometheus L_x000D_Stack</t>
  </si>
  <si>
    <t>PEM</t>
  </si>
  <si>
    <t>DC</t>
  </si>
  <si>
    <t>Yes</t>
  </si>
  <si>
    <t>Optional</t>
  </si>
  <si>
    <t>HIAT gGmbH</t>
  </si>
  <si>
    <t>PURIFIER</t>
  </si>
  <si>
    <t>Enapter</t>
  </si>
  <si>
    <t>EL 2.1</t>
  </si>
  <si>
    <t>AEC</t>
  </si>
  <si>
    <t>AC</t>
  </si>
  <si>
    <t>McPhy Energy S.A.</t>
  </si>
  <si>
    <t>Piel Baby</t>
  </si>
  <si>
    <t>ostermeier H2ydrogen_x000D_Solutions GmbH</t>
  </si>
  <si>
    <t>EO.05</t>
  </si>
  <si>
    <t>Piel P</t>
  </si>
  <si>
    <t>H2 Core Systems GmbH</t>
  </si>
  <si>
    <t>HydroCab_x000D_Indoor 2.0_x000D_Nm3/h</t>
  </si>
  <si>
    <t>AC/_x000D_DC</t>
  </si>
  <si>
    <t>HydroCab_x000D_Outdoor 2.0_x000D_Nm3/h</t>
  </si>
  <si>
    <t>CUSTOMIZER</t>
  </si>
  <si>
    <t>EO.10</t>
  </si>
  <si>
    <t>EO.15</t>
  </si>
  <si>
    <t>HydroCab_x000D_Indoor 4.5_x000D_Nm3/h</t>
  </si>
  <si>
    <t>HydroCab_x000D_Outdoor 4.5_x000D_Nm3/h</t>
  </si>
  <si>
    <t>Piel M</t>
  </si>
  <si>
    <t>EO.20</t>
  </si>
  <si>
    <t>AVX/KUMATEC Hydrogen_x000D_GmbH &amp; Co. KG</t>
  </si>
  <si>
    <t>PEM-100-25</t>
  </si>
  <si>
    <t>EO.25</t>
  </si>
  <si>
    <t>SUPPLIER</t>
  </si>
  <si>
    <t>HydroCab_x000D_Indoor 9.0_x000D_Nm3/h</t>
  </si>
  <si>
    <t>HydroCab_x000D_Outdoor 9.0_x000D_Nm3/h</t>
  </si>
  <si>
    <t>McLyzer 10-30</t>
  </si>
  <si>
    <t>Kyros Hydrogen_x000D_Solutions GmbH</t>
  </si>
  <si>
    <t>Kyros_x000D_Electrolyzer 50</t>
  </si>
  <si>
    <t>Piel H</t>
  </si>
  <si>
    <t>HydroCab_x000D_Indoor 18.0_x000D_Nm3/h</t>
  </si>
  <si>
    <t>HydroCab_x000D_Outdoor 18.0_x000D_Nm3/h</t>
  </si>
  <si>
    <t>McLyzer 20-30</t>
  </si>
  <si>
    <t>STORAGER</t>
  </si>
  <si>
    <t>iph Hähn Gmbh</t>
  </si>
  <si>
    <t>EL20</t>
  </si>
  <si>
    <t>PEM-40-100</t>
  </si>
  <si>
    <t>Hydrogenics_x000D_(Cummins Inc.)*</t>
  </si>
  <si>
    <t>HySTAT 10</t>
  </si>
  <si>
    <t>Kyros_x000D_Electrolyzer 100</t>
  </si>
  <si>
    <t>Prometheus S_x000D_Stack</t>
  </si>
  <si>
    <t>HySTAT 15</t>
  </si>
  <si>
    <t>HydroCab_x000D_Indoor 36.0_x000D_Nm3/h</t>
  </si>
  <si>
    <t>HydroCab_x000D_Outdoor 36.0_x000D_Nm3/h</t>
  </si>
  <si>
    <t>Kyros_x000D_Electrolyzer 150</t>
  </si>
  <si>
    <t>EL40</t>
  </si>
  <si>
    <t>Kyros_x000D_Electrolyzer 200</t>
  </si>
  <si>
    <t>Hydrogenics</t>
  </si>
  <si>
    <t>HySTAT 30</t>
  </si>
  <si>
    <t>H-TEC SYSTEMS GmbH</t>
  </si>
  <si>
    <t>ME100/350</t>
  </si>
  <si>
    <t>Kyros_x000D_Electrolyzer 300</t>
  </si>
  <si>
    <t>EL80</t>
  </si>
  <si>
    <t>McLyzer 100-30</t>
  </si>
  <si>
    <t>Multicore MC_x000D_225/450</t>
  </si>
  <si>
    <t>Kyros_x000D_Electrolyzer 450</t>
  </si>
  <si>
    <t>HySTAT 60</t>
  </si>
  <si>
    <t>HySTAT 70</t>
  </si>
  <si>
    <t>ITMPower</t>
  </si>
  <si>
    <t>HGAS1SP</t>
  </si>
  <si>
    <t>Kyros_x000D_Electrolyzer 600</t>
  </si>
  <si>
    <t>HyLyzer 200</t>
  </si>
  <si>
    <t>HySTAT 100</t>
  </si>
  <si>
    <t>Kyros_x000D_Electrolyzer 750</t>
  </si>
  <si>
    <t>McLyzer 200-30</t>
  </si>
  <si>
    <t>Ecoclean GmbH</t>
  </si>
  <si>
    <t>EcoLyzer P200</t>
  </si>
  <si>
    <t>Multicore_x000D_MC450</t>
  </si>
  <si>
    <t>HyLyzer 250</t>
  </si>
  <si>
    <t>PlugPower Inc.</t>
  </si>
  <si>
    <t>1MW_x000D_ELECTROLYZER</t>
  </si>
  <si>
    <t>ME450</t>
  </si>
  <si>
    <t>elogen</t>
  </si>
  <si>
    <t>E200</t>
  </si>
  <si>
    <t>AEM Multicore</t>
  </si>
  <si>
    <t>Fuel Cell Energy</t>
  </si>
  <si>
    <t>Solid Oxide Electrolyzer</t>
  </si>
  <si>
    <t>SOEC</t>
  </si>
  <si>
    <t>SOEC + steam</t>
  </si>
  <si>
    <t>PEM-40-1000</t>
  </si>
  <si>
    <t>EL220</t>
  </si>
  <si>
    <t>Kyros_x000D_Electrolyzer 1000</t>
  </si>
  <si>
    <t>HGAS2SP</t>
  </si>
  <si>
    <t>ME450/1400</t>
  </si>
  <si>
    <t>EcoLyzer A300</t>
  </si>
  <si>
    <t>HyLyzer 400</t>
  </si>
  <si>
    <t>Kyros_x000D_Electrolyzer 1500</t>
  </si>
  <si>
    <t>HyLyzer 500</t>
  </si>
  <si>
    <t>green-H2-systems</t>
  </si>
  <si>
    <t>green_x000D_Electrolyzer_x000D_gEL400</t>
  </si>
  <si>
    <t>McLyzer 400-30</t>
  </si>
  <si>
    <t>EcoLyzer P400</t>
  </si>
  <si>
    <t>HGAS3SP</t>
  </si>
  <si>
    <t>Kyros_x000D_Electrolyzer 2000</t>
  </si>
  <si>
    <t>Sunfire GmbH</t>
  </si>
  <si>
    <t>Sunfire-HyLink_x000D_SOEC</t>
  </si>
  <si>
    <t>E500</t>
  </si>
  <si>
    <t>EcoLyzer A600</t>
  </si>
  <si>
    <t>green_x000D_Electrolyzer_x000D_gEL600</t>
  </si>
  <si>
    <t>green_x000D_Electrolyzer_x000D_gEL800</t>
  </si>
  <si>
    <t>McLyzer 800-30</t>
  </si>
  <si>
    <t>green_x000D_Electrolyzer_x000D_gEL1000</t>
  </si>
  <si>
    <t>E1000</t>
  </si>
  <si>
    <t>5MW_x000D_ELECTROLYZER</t>
  </si>
  <si>
    <t>HyLyzer 1000</t>
  </si>
  <si>
    <t>Bloom</t>
  </si>
  <si>
    <t>Electrolyzer + steam</t>
  </si>
  <si>
    <t>Electrolyzer</t>
  </si>
  <si>
    <t>E2000</t>
  </si>
  <si>
    <t>HGASXMW</t>
  </si>
  <si>
    <t>Sunfire GmbH*</t>
  </si>
  <si>
    <t>Sunfire-HyLink_x000D_Alkaline</t>
  </si>
  <si>
    <t>E3000</t>
  </si>
  <si>
    <t>thyssenkrupp Uhde_x000D_Chlorine Engineers*</t>
  </si>
  <si>
    <t>20 MW module</t>
  </si>
  <si>
    <t>E4000</t>
  </si>
  <si>
    <t>Indoor</t>
  </si>
  <si>
    <t>ALLAGASH ELECTROLYZER STACK 50</t>
  </si>
  <si>
    <t>ALLAGASH ELECTROLYZER STACK 200</t>
  </si>
  <si>
    <t>MERRIMACK ELECTROLYZER STACK 10</t>
  </si>
  <si>
    <t>MERRIMACK ELECTROLYZER STACK 30</t>
  </si>
  <si>
    <t>Siemens Energy</t>
  </si>
  <si>
    <t>Silyzer 300 Minimalbeispiel</t>
  </si>
  <si>
    <t>Silyzer 300 Maximalbeispiel</t>
  </si>
  <si>
    <t>PEMC</t>
  </si>
  <si>
    <t>Source</t>
  </si>
  <si>
    <t>20’000</t>
  </si>
  <si>
    <t>IndWEDe</t>
  </si>
  <si>
    <r>
      <t xml:space="preserve">IndWEDe, </t>
    </r>
    <r>
      <rPr>
        <sz val="10"/>
        <color rgb="FF000000"/>
        <rFont val="Arial"/>
        <family val="2"/>
      </rPr>
      <t>based on the lower estimate of 8,000 hours per year, from manufacturers’ data.</t>
    </r>
  </si>
  <si>
    <t>Balance of Plant lifetime [years]</t>
  </si>
  <si>
    <t>Same as system.</t>
  </si>
  <si>
    <t>From row below.</t>
  </si>
  <si>
    <t>System lifetime [years]</t>
  </si>
  <si>
    <t>Stack replacement over system’s lifetime, excluding initial unit [unit]</t>
  </si>
  <si>
    <t>Calculated.</t>
  </si>
  <si>
    <r>
      <t>Water demand [kg water/kg H</t>
    </r>
    <r>
      <rPr>
        <b/>
        <vertAlign val="subscript"/>
        <sz val="10"/>
        <color theme="1"/>
        <rFont val="Arial"/>
        <family val="2"/>
      </rPr>
      <t>2</t>
    </r>
    <r>
      <rPr>
        <b/>
        <sz val="10"/>
        <color theme="1"/>
        <rFont val="Arial"/>
        <family val="2"/>
      </rPr>
      <t>]</t>
    </r>
  </si>
  <si>
    <t>(Simoes et al. 2021)</t>
  </si>
  <si>
    <r>
      <t>Electricity demand [kWh/kg H</t>
    </r>
    <r>
      <rPr>
        <b/>
        <vertAlign val="subscript"/>
        <sz val="10"/>
        <color theme="1"/>
        <rFont val="Arial"/>
        <family val="2"/>
      </rPr>
      <t>2</t>
    </r>
    <r>
      <rPr>
        <b/>
        <sz val="10"/>
        <color theme="1"/>
        <rFont val="Arial"/>
        <family val="2"/>
      </rPr>
      <t>]</t>
    </r>
  </si>
  <si>
    <t>IndWEDe for all cases, except SOEC + steam, which is based on manufacturers’ data.</t>
  </si>
  <si>
    <t>From row above.</t>
  </si>
  <si>
    <r>
      <t>Steam demand [kWh/kg H</t>
    </r>
    <r>
      <rPr>
        <b/>
        <vertAlign val="subscript"/>
        <sz val="10"/>
        <color theme="1"/>
        <rFont val="Arial"/>
        <family val="2"/>
      </rPr>
      <t>2</t>
    </r>
    <r>
      <rPr>
        <b/>
        <sz val="10"/>
        <color theme="1"/>
        <rFont val="Arial"/>
        <family val="2"/>
      </rPr>
      <t>]</t>
    </r>
  </si>
  <si>
    <t>Manufacturers’ data.</t>
  </si>
  <si>
    <r>
      <t>Productivity [kg H</t>
    </r>
    <r>
      <rPr>
        <b/>
        <vertAlign val="subscript"/>
        <sz val="10"/>
        <color theme="1"/>
        <rFont val="Arial"/>
        <family val="2"/>
      </rPr>
      <t>2</t>
    </r>
    <r>
      <rPr>
        <b/>
        <sz val="10"/>
        <color theme="1"/>
        <rFont val="Arial"/>
        <family val="2"/>
      </rPr>
      <t>/hour]</t>
    </r>
  </si>
  <si>
    <r>
      <t>KOH [kg/kg H</t>
    </r>
    <r>
      <rPr>
        <b/>
        <vertAlign val="subscript"/>
        <sz val="10"/>
        <color theme="1"/>
        <rFont val="Arial"/>
        <family val="2"/>
      </rPr>
      <t>2</t>
    </r>
    <r>
      <rPr>
        <b/>
        <sz val="10"/>
        <color theme="1"/>
        <rFont val="Arial"/>
        <family val="2"/>
      </rPr>
      <t>]</t>
    </r>
  </si>
  <si>
    <t>(Gerloff 2021a)</t>
  </si>
  <si>
    <t>Operating temperature [°C]</t>
  </si>
  <si>
    <t>60-80</t>
  </si>
  <si>
    <t>50-80</t>
  </si>
  <si>
    <t>650-1000</t>
  </si>
  <si>
    <t>Operating pressure [bar]</t>
  </si>
  <si>
    <t>~20</t>
  </si>
  <si>
    <t>~30</t>
  </si>
  <si>
    <t>~1</t>
  </si>
  <si>
    <r>
      <t>Produced amount over system’s lifetime years [kg H</t>
    </r>
    <r>
      <rPr>
        <b/>
        <vertAlign val="subscript"/>
        <sz val="10"/>
        <color theme="1"/>
        <rFont val="Arial"/>
        <family val="2"/>
      </rPr>
      <t>2</t>
    </r>
    <r>
      <rPr>
        <b/>
        <sz val="10"/>
        <color theme="1"/>
        <rFont val="Arial"/>
        <family val="2"/>
      </rPr>
      <t>]</t>
    </r>
  </si>
  <si>
    <t>4,259,200</t>
  </si>
  <si>
    <t>2,963,200</t>
  </si>
  <si>
    <t>3,776,000</t>
  </si>
  <si>
    <t>Calculated based on the system’s lifetime (fourth row), and 8,000 hours stack operation per year (from manufacturers’ data) and hourly productivity.</t>
  </si>
  <si>
    <t>Stack lifetime [hours]</t>
  </si>
  <si>
    <t xml:space="preserve">55’000 </t>
  </si>
  <si>
    <t>Stack lifetime [years]</t>
  </si>
  <si>
    <t>45’000</t>
  </si>
  <si>
    <t>8.9, corrected to 14 to represent “real world” operation.</t>
  </si>
  <si>
    <r>
      <t xml:space="preserve">Electrical Efficiency </t>
    </r>
    <r>
      <rPr>
        <b/>
        <sz val="10"/>
        <color rgb="FF000000"/>
        <rFont val="Arial"/>
        <family val="2"/>
      </rPr>
      <t>[%, based on H</t>
    </r>
    <r>
      <rPr>
        <b/>
        <vertAlign val="subscript"/>
        <sz val="10"/>
        <color rgb="FF000000"/>
        <rFont val="Arial"/>
        <family val="2"/>
      </rPr>
      <t>2</t>
    </r>
    <r>
      <rPr>
        <b/>
        <sz val="10"/>
        <color rgb="FF000000"/>
        <rFont val="Arial"/>
        <family val="2"/>
      </rPr>
      <t xml:space="preserve"> LHV]</t>
    </r>
  </si>
  <si>
    <t>Manufacturers’ data, also matching with (Gerloff 2021a).</t>
  </si>
  <si>
    <t>skip</t>
  </si>
  <si>
    <t>1 kg H2 produced using a PEM electrolyzer. Original source: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Further refined (with respect to stack and system lifetime and water use, notably) from data from manufacturer's specifications (see tab "Manufacturers' data") and IndWEDe project report (https://www.now-gmbh.de/wp-content/uploads/2020/09/181127_bro_a4_indwede-studie_kurzfassung_de_v03.pdf). For further secifications (e.g., efficiency, lifetime, etc.), see tab "Final specifications".</t>
  </si>
  <si>
    <t>1 kg H2 produced using a AEC electrolyzer. Original source: 1 MW AEC electrolyzer based on Niklas Gerloff, Comparative Life-Cycle-Assessment analysis of three major water electrolysis technologies while applying various energy scenarios for a greener hydrogen production, Journal of Energy Storage, Volume 43, 2021, https://doi.org/10.1016/j.est.2021.102759.
Further refined (with respect to stack and system lifetime and water use, notably) from data from manufacturer's specifications (see tab "Manufacturers' data") and IndWEDe project report (https://www.now-gmbh.de/wp-content/uploads/2020/09/181127_bro_a4_indwede-studie_kurzfassung_de_v03.pdf). For further secifications (e.g., efficiency, lifetime, etc.), see tab "Final specifications".</t>
  </si>
  <si>
    <t>1 kg H2 produced using a SOEC electrolyzer. Original source: 1 MW SOEC electrolyzer based on Niklas Gerloff, Comparative Life-Cycle-Assessment analysis of three major water electrolysis technologies while applying various energy scenarios for a greener hydrogen production, Journal of Energy Storage, Volume 43, 2021, https://doi.org/10.1016/j.est.2021.102759.
Further refined (with respect to stack and system lifetime and water use, notably) from data from manufacturer's specifications (see tab "Manufacturers' data") and IndWEDe project report (https://www.now-gmbh.de/wp-content/uploads/2020/09/181127_bro_a4_indwede-studie_kurzfassung_de_v03.pdf). For further secifications (e.g., efficiency, lifetime, etc.), see tab "Final specifications".</t>
  </si>
  <si>
    <t>hydrogen production, gaseous, 30 bar, from PEM electrolysis, from grid electricity</t>
  </si>
  <si>
    <t>hydrogen production, gaseous, 20 bar, from AEC electrolysis, from grid electricity</t>
  </si>
  <si>
    <t>hydrogen, gaseous, 20 bar</t>
  </si>
  <si>
    <t>hydrogen production, gaseous, 1 bar, from SOEC electrolysis, from grid electricity</t>
  </si>
  <si>
    <t>hydrogen, gaseous, 1 bar</t>
  </si>
  <si>
    <t>Stack, 2.5 years lifetime.</t>
  </si>
  <si>
    <t>Electricity consumption with 85% eff if steam input, otherwise, 78.7%.</t>
  </si>
  <si>
    <t>hydrogen production, gaseous, 1 bar, from SOEC electrolysis, with steam input, from grid electricity</t>
  </si>
  <si>
    <t>5.24 kWh heat needed/kg H2. Can also be excess heat.</t>
  </si>
  <si>
    <t>waste zeolite</t>
  </si>
  <si>
    <t>market for waste concrete, not reinforced</t>
  </si>
  <si>
    <t>treatment of waste reinforcement steel, sorting plant</t>
  </si>
  <si>
    <t>used printed wiring boards</t>
  </si>
  <si>
    <t>treatment of waste bulk iron, excluding reinforcement, sorting plant</t>
  </si>
  <si>
    <t>waste polyethylene/polypropylene product</t>
  </si>
  <si>
    <t>square meter-year</t>
  </si>
  <si>
    <t>natural resource::land</t>
  </si>
  <si>
    <t xml:space="preserve">1 MWe Solid Oxide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Produced amount of H2 over 20 years: 3779894.18 kg. Amounts of lanthanum oxide and strontium carbonate are unsure. </t>
  </si>
  <si>
    <t>Occupation, industrial area</t>
  </si>
  <si>
    <t>Electrolyser land footprint: (0.09 [m2/kW]*1000[kW/MW])/(2963200[kg H2 per lifetime]/20[years])</t>
  </si>
  <si>
    <t>Transformation, from industrial area</t>
  </si>
  <si>
    <t>square meter</t>
  </si>
  <si>
    <t>Electrolyser land transformation: (0.09 [m2/kW]*1000 [kW/MW])/2963200 [kg H2]</t>
  </si>
  <si>
    <t>Transformation, to industrial area</t>
  </si>
  <si>
    <t>Electrolyser land footprint: (0.12 [m2/kW]*1000[kW/MW])/(4259200[kg H2 per lifetime]/27.5[years])</t>
  </si>
  <si>
    <t>Electrolyser land transformation: (0.12 [m2/kW]*1000 [kW/MW])/4259200 [kg H2]</t>
  </si>
  <si>
    <t>Electrolyser land footprint: (0.02 [m2/kW]*1000[kW/MW])/(3776000[kg H2 per lifetime]/20[years])</t>
  </si>
  <si>
    <t>Electrolyser land transformation: (0.02 [m2/kW]*1000 [kW/MW])/3776000 [kg H2]</t>
  </si>
  <si>
    <t>uncertainty type</t>
  </si>
  <si>
    <t>loc</t>
  </si>
  <si>
    <t>u1</t>
  </si>
  <si>
    <t>u2</t>
  </si>
  <si>
    <t>u3</t>
  </si>
  <si>
    <t>u4</t>
  </si>
  <si>
    <t>u5</t>
  </si>
  <si>
    <t>u6</t>
  </si>
  <si>
    <t>ub</t>
  </si>
  <si>
    <t>scale</t>
  </si>
  <si>
    <t>minimum</t>
  </si>
  <si>
    <t>maximum</t>
  </si>
  <si>
    <t>electrocatalyst cathode. 0.75kg Pt/MWe.</t>
  </si>
  <si>
    <t>platinum group metal, extraction and refinery operations</t>
  </si>
  <si>
    <t>ZA</t>
  </si>
  <si>
    <t>Electricity consumption with 61.7% eff. Min-max from IndWEDe report.</t>
  </si>
  <si>
    <t>Electricity consumption with 64.5% eff. Min-ax from IndWEDe report.</t>
  </si>
  <si>
    <t>Electricity consumption with 85% eff if steam input, otherwise, 78.7%. Min-max from IndWEDe report.</t>
  </si>
  <si>
    <t>Stack, 5.5 years lifetime. Min-max: 15-25 years system lifetime, from the IndWEDe report.</t>
  </si>
  <si>
    <t>BoP, 20 years lifetime. Min-max: 15-25 years system lifetime, from the IndWEDe report.</t>
  </si>
  <si>
    <t>Stack, 7 years lifetime. Min-max: 22.5-32.5 years system lifetime, from the IndWEDe report.</t>
  </si>
  <si>
    <t>BoP, 27.5 years lifetime. Min-max: 22.5-32.5 years system lifetime, from the IndWEDe report.</t>
  </si>
  <si>
    <t>Stack, 2.5 years lifetime, replaced 7 times over 20 years. Min-max: 15-25 years.</t>
  </si>
  <si>
    <t>electricity production, photovoltaic, 570kWp open ground installation, multi-Si</t>
  </si>
  <si>
    <t>ES</t>
  </si>
  <si>
    <t>Electricity consumption with 61.7% eff. Min-max from IndWEDe report. Uses large-scale installation in Spain.</t>
  </si>
  <si>
    <t>electricity production, wind, &gt;3MW turbine, onshore</t>
  </si>
  <si>
    <t>DK</t>
  </si>
  <si>
    <t>electricity, high voltage</t>
  </si>
  <si>
    <t>Electricity consumption with 61.7% eff. Min-max from IndWEDe report. Uses onshore installation in Denmark.</t>
  </si>
  <si>
    <t>hydrogen production, gaseous, 30 bar, from PEM electrolysis, from onshore wind electricity</t>
  </si>
  <si>
    <t>hydrogen production, gaseous, 30 bar, from PEM electrolysis, from offshore wind electricity</t>
  </si>
  <si>
    <t>electricity production, wind, 1-3MW turbine, offshore</t>
  </si>
  <si>
    <t>Electricity consumption with 61.7% eff. Min-max from IndWEDe report. Uses offshore installation in Denmark.</t>
  </si>
  <si>
    <t>hydrogen production, gaseous, 30 bar, from PEM electrolysis, from geothermal electricity</t>
  </si>
  <si>
    <t>electricity production, deep geothermal</t>
  </si>
  <si>
    <t>hydrogen production, gaseous, 30 bar, from PEM electrolysis, from concentrated solar electricity</t>
  </si>
  <si>
    <t>electricity production, solar tower power plant, 20 MW</t>
  </si>
  <si>
    <t>treatment of electrolyzer stack, 1MWe, PEM</t>
  </si>
  <si>
    <t>used electrolyzer stack, 1MWe, PEM</t>
  </si>
  <si>
    <t>treatment of electrolyzer balance of plant, 1MWe, PEM</t>
  </si>
  <si>
    <t>used electrolyzer balance of plant, 1MWe, PEM</t>
  </si>
  <si>
    <t>treatment of electrolyzer stack, 1MWe, AEC</t>
  </si>
  <si>
    <t>used electrolyzer stack, 1MWe, AEC</t>
  </si>
  <si>
    <t>treatment of electrolyzer balance of plant, 1MWe, AEC</t>
  </si>
  <si>
    <t>used electrolyzer balance of plant, 1MWe, AEC</t>
  </si>
  <si>
    <t>treatment of electrolyzer stack, 1MWe, SOEC</t>
  </si>
  <si>
    <t>used electrolyzer stack, 1MWe, SOEC</t>
  </si>
  <si>
    <t>treatment of electrolyzer balance of plant, 1MWe, SOEC</t>
  </si>
  <si>
    <t>used electrolyzer balance of plant, 1MWe, SOEC</t>
  </si>
  <si>
    <t>deionized water production, via reverse osmosis, from brackish water</t>
  </si>
  <si>
    <t>water, deionized</t>
  </si>
  <si>
    <t>market for sulfuric acid</t>
  </si>
  <si>
    <t>sulfuric acid</t>
  </si>
  <si>
    <t>market for sodium hydroxide, without water, in 50% solution state</t>
  </si>
  <si>
    <t>sodium hydroxide, without water, in 50% solution state</t>
  </si>
  <si>
    <t>market for chlorine, liquid</t>
  </si>
  <si>
    <t>chlorine, liquid</t>
  </si>
  <si>
    <t>acrylic dispersion, with water, in 58% solution state</t>
  </si>
  <si>
    <t>Water, river</t>
  </si>
  <si>
    <t>natural resource::in water</t>
  </si>
  <si>
    <t>Low salinity of 1-15 g/L. Recovery ratio of 70%.</t>
  </si>
  <si>
    <t>deionized water production, via reverse osmosis, from sea water</t>
  </si>
  <si>
    <t>Depends on salinity. 1.4-1.7 kWh/m3 of brackish water, with miximum posisble values up to 2.5 kWh.</t>
  </si>
  <si>
    <t>3.6-5.7 kWh/m3 of sea water.</t>
  </si>
  <si>
    <t>1 kg of demineralized and deionized water, from sea water. Adapted from inventories from the following report: LIFE CYCLE ASSESSMENT OF HYDROGEN PRODUCTION PATHWAYS IN CANADA, Giovanna Gonzales-Calienes et al., 2022. https://publications.gc.ca/collections/collection_2022/cnrc-nrc/NR16-399-2022-eng.pdf, but electricity conusmption has been adapted to represent the treatment of high salinity water, based on ﻿Hausmann, J. N., Schlögl, R., Menezes, P. W., &amp; Driess, M. (2021). Is direct seawater splitting economically meaningful? Energy and Environmental Science, 14(7), 3679–3685. https://doi.org/10.1039/d0ee03659e.</t>
  </si>
  <si>
    <t>Water, salt, ocean</t>
  </si>
  <si>
    <t>Recovery rate of 40% for seawater.</t>
  </si>
  <si>
    <t>Water</t>
  </si>
  <si>
    <t>water</t>
  </si>
  <si>
    <t>Brine release</t>
  </si>
  <si>
    <t>market for acrylic dispersion, with water, in 58% solution</t>
  </si>
  <si>
    <t>Chlorine</t>
  </si>
  <si>
    <t>5.2 mg Chlorine (as Cl2)/liter brine.</t>
  </si>
  <si>
    <t>Sodium hydroxide</t>
  </si>
  <si>
    <t>1.7 mg Sodium hydroxide (as NaOH)/liter brine.</t>
  </si>
  <si>
    <t>Sulfuric acid</t>
  </si>
  <si>
    <t>31 mg Sulfuric acid (as H2SO4)/liter brine.</t>
  </si>
  <si>
    <t>1 kg of demineralized and deionized water. Inventories from the following report: Life Cycle Assessment of Hydrogen production pathways in Canada, Giovanna Gonzales-Calienes et al., 2022. 
https://publications.gc.ca/collections/collection_2022/cnrc-nrc/NR16-399-2022-eng.pdf
Description from the report: "The reverse osmosis process was used since it is one of the most common desalination technologies. The energy requirement is highly dependent on the water quality (such as salinity) of the available source since it mainly comes from the use of high-pressure pumps. The quality of feed water is location-dependent for the real plant. In our study, the plant is assumed to be near a river or lake for easy access to fresh water and brine discharge, and hence the water is assumed to be brackish water (salinity of 1-15 g/L), and a brackish water RO (BWRO) rather than the seawater RO is considered.
The recovery ratio of the water (flow rate ratio of generated clean water to the brackish feed water) by BWRO can range from 50% to 90%, depending on the different configurations adopted (Pan et al., 2020).
The average water recovery ratio of 70% was assumed. The energy consumption to produce a unit of deionized water generally can vary from 0.8-2.5 kWh/m3 based on the review of BWRO plants (Pan et al., 2020). A specific energy requirement of 1.55 kWh/m3 is assumed for the RO in this AE plant, which is an average value of 1.4-1.7 kWh/m3 from a RO process with treatment capacity of 360 m3/day (Pan et al., 2020)."
Note: we could not represent the emissions of dissolved salts (~33g/L) and antiscalant (~7mg/L) to water.</t>
  </si>
  <si>
    <t>hydrogen production, gaseous, 30 bar, from PEM electrolysis, from open ground solar photovoltaic electricity</t>
  </si>
  <si>
    <t>hydrogen production, gaseous, 30 bar, from PEM electrolysis, from rooftop solar photovoltaic electricity</t>
  </si>
  <si>
    <t>electricity production, photovoltaic, at 280 kWp flat-roof, single-Si</t>
  </si>
  <si>
    <t>Electricity consumption with 61.7% eff. Min-max from IndWEDe report. Uses large-scale rooftop installation in Switzerland.</t>
  </si>
  <si>
    <t>1 kg H2 produced using a PEM electrolyzer. Original source: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Further refined (with respect to stack and system lifetime and water use, notably) from data from manufacturer's specifications (see tab "Manufacturers' data") and IndWEDe project report (https://www.now-gmbh.de/wp-content/uploads/2020/09/181127_bro_a4_indwede-studie_kurzfassung_de_v03.pdf). For further secifications (e.g., efficiency, lifetime, etc.), see tab "Final specifications". Adapted to a use case in Switzerland, where the electricity is provided by a large rooftop PV installation.</t>
  </si>
  <si>
    <t>hydrogen production, gaseous, 30 bar, from PEM electrolysis, from hydropower electricity</t>
  </si>
  <si>
    <t>electricity production, hydro, reservoir, alpine region</t>
  </si>
  <si>
    <t>1 kg H2 produced using a PEM electrolyzer. Original source: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Further refined (with respect to stack and system lifetime and water use, notably) from data from manufacturer's specifications (see tab "Manufacturers' data") and IndWEDe project report (https://www.now-gmbh.de/wp-content/uploads/2020/09/181127_bro_a4_indwede-studie_kurzfassung_de_v03.pdf). For further secifications (e.g., efficiency, lifetime, etc.), see tab "Final specifications". Adapted to a use case in Denmark, where the electricity is provided by a 1-3 MW onshore wind turbine.</t>
  </si>
  <si>
    <t>1 kg H2 produced using a PEM electrolyzer. Original source: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Further refined (with respect to stack and system lifetime and water use, notably) from data from manufacturer's specifications (see tab "Manufacturers' data") and IndWEDe project report (https://www.now-gmbh.de/wp-content/uploads/2020/09/181127_bro_a4_indwede-studie_kurzfassung_de_v03.pdf). For further secifications (e.g., efficiency, lifetime, etc.), see tab "Final specifications". Adapted to a use case in Denmark, where the electricity is provided by a 1-3 MW offshore wind turbine.</t>
  </si>
  <si>
    <t>1 kg H2 produced using a PEM electrolyzer. Original source: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Further refined (with respect to stack and system lifetime and water use, notably) from data from manufacturer's specifications (see tab "Manufacturers' data") and IndWEDe project report (https://www.now-gmbh.de/wp-content/uploads/2020/09/181127_bro_a4_indwede-studie_kurzfassung_de_v03.pdf). For further secifications (e.g., efficiency, lifetime, etc.), see tab "Final specifications". Adapted to a use case in Germany, where the electricity is provided by a geothermal well.</t>
  </si>
  <si>
    <t>1 kg H2 produced using a PEM electrolyzer. Original source: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Further refined (with respect to stack and system lifetime and water use, notably) from data from manufacturer's specifications (see tab "Manufacturers' data") and IndWEDe project report (https://www.now-gmbh.de/wp-content/uploads/2020/09/181127_bro_a4_indwede-studie_kurzfassung_de_v03.pdf). For further secifications (e.g., efficiency, lifetime, etc.), see tab "Final specifications". Adapted to a use case in Switzerland, where the electricity is provided by an Alpine reservoir-type hydropower dam.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</si>
</sst>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0"/>
    <numFmt numFmtId="165" formatCode="0.0"/>
    <numFmt numFmtId="166" formatCode="0.000"/>
  </numFmts>
  <fonts count="15" x14ac:knownFonts="1">
    <font>
      <sz val="11"/>
      <color theme="1"/>
      <name val="Calibri"/>
      <family val="2"/>
      <scheme val="minor"/>
    </font>
    <font>
      <sz val="11"/>
      <color theme="1"/>
      <name val="Calibri"/>
      <family val="2"/>
      <scheme val="minor"/>
    </font>
    <font>
      <b/>
      <sz val="11"/>
      <color theme="1"/>
      <name val="Calibri"/>
      <family val="2"/>
      <scheme val="minor"/>
    </font>
    <font>
      <sz val="10"/>
      <color theme="1"/>
      <name val="Arial"/>
      <family val="2"/>
    </font>
    <font>
      <sz val="11"/>
      <color rgb="FF9C5700"/>
      <name val="Calibri"/>
      <family val="2"/>
      <scheme val="minor"/>
    </font>
    <font>
      <b/>
      <sz val="12"/>
      <color theme="1"/>
      <name val="Calibri"/>
      <family val="2"/>
      <scheme val="minor"/>
    </font>
    <font>
      <b/>
      <sz val="12"/>
      <name val="Calibri (Body)"/>
    </font>
    <font>
      <sz val="12"/>
      <name val="Calibri (Body)"/>
    </font>
    <font>
      <sz val="12"/>
      <name val="Calibri"/>
      <family val="2"/>
      <scheme val="minor"/>
    </font>
    <font>
      <sz val="11"/>
      <color theme="1"/>
      <name val="Arial"/>
      <family val="2"/>
    </font>
    <font>
      <b/>
      <sz val="10"/>
      <color theme="1"/>
      <name val="Arial"/>
      <family val="2"/>
    </font>
    <font>
      <sz val="10"/>
      <color rgb="FF000000"/>
      <name val="Arial"/>
      <family val="2"/>
    </font>
    <font>
      <b/>
      <vertAlign val="subscript"/>
      <sz val="10"/>
      <color theme="1"/>
      <name val="Arial"/>
      <family val="2"/>
    </font>
    <font>
      <b/>
      <sz val="10"/>
      <color rgb="FF000000"/>
      <name val="Arial"/>
      <family val="2"/>
    </font>
    <font>
      <b/>
      <vertAlign val="subscript"/>
      <sz val="10"/>
      <color rgb="FF000000"/>
      <name val="Arial"/>
      <family val="2"/>
    </font>
  </fonts>
  <fills count="3">
    <fill>
      <patternFill patternType="none"/>
    </fill>
    <fill>
      <patternFill patternType="gray125"/>
    </fill>
    <fill>
      <patternFill patternType="solid">
        <fgColor rgb="FFFFEB9C"/>
      </patternFill>
    </fill>
  </fills>
  <borders count="11">
    <border>
      <left/>
      <right/>
      <top/>
      <bottom/>
      <diagonal/>
    </border>
    <border>
      <left/>
      <right style="thin">
        <color indexed="64"/>
      </right>
      <top/>
      <bottom/>
      <diagonal/>
    </border>
    <border>
      <left style="medium">
        <color rgb="FF999999"/>
      </left>
      <right style="medium">
        <color rgb="FF999999"/>
      </right>
      <top style="medium">
        <color rgb="FF999999"/>
      </top>
      <bottom style="thick">
        <color rgb="FF666666"/>
      </bottom>
      <diagonal/>
    </border>
    <border>
      <left/>
      <right style="medium">
        <color rgb="FF999999"/>
      </right>
      <top style="medium">
        <color rgb="FF999999"/>
      </top>
      <bottom style="thick">
        <color rgb="FF666666"/>
      </bottom>
      <diagonal/>
    </border>
    <border>
      <left style="medium">
        <color rgb="FF999999"/>
      </left>
      <right style="medium">
        <color rgb="FF999999"/>
      </right>
      <top/>
      <bottom style="medium">
        <color rgb="FF999999"/>
      </bottom>
      <diagonal/>
    </border>
    <border>
      <left/>
      <right style="medium">
        <color rgb="FF999999"/>
      </right>
      <top/>
      <bottom style="medium">
        <color rgb="FF999999"/>
      </bottom>
      <diagonal/>
    </border>
    <border>
      <left style="medium">
        <color rgb="FF999999"/>
      </left>
      <right/>
      <top style="thick">
        <color rgb="FF666666"/>
      </top>
      <bottom style="medium">
        <color rgb="FF999999"/>
      </bottom>
      <diagonal/>
    </border>
    <border>
      <left/>
      <right style="medium">
        <color rgb="FF999999"/>
      </right>
      <top style="thick">
        <color rgb="FF666666"/>
      </top>
      <bottom style="medium">
        <color rgb="FF999999"/>
      </bottom>
      <diagonal/>
    </border>
    <border>
      <left style="medium">
        <color rgb="FF999999"/>
      </left>
      <right/>
      <top style="medium">
        <color rgb="FF999999"/>
      </top>
      <bottom style="medium">
        <color rgb="FF999999"/>
      </bottom>
      <diagonal/>
    </border>
    <border>
      <left/>
      <right style="medium">
        <color rgb="FF999999"/>
      </right>
      <top style="medium">
        <color rgb="FF999999"/>
      </top>
      <bottom style="medium">
        <color rgb="FF999999"/>
      </bottom>
      <diagonal/>
    </border>
    <border>
      <left/>
      <right/>
      <top style="medium">
        <color rgb="FF999999"/>
      </top>
      <bottom style="medium">
        <color rgb="FF999999"/>
      </bottom>
      <diagonal/>
    </border>
  </borders>
  <cellStyleXfs count="6">
    <xf numFmtId="0" fontId="0" fillId="0" borderId="0"/>
    <xf numFmtId="0" fontId="1" fillId="0" borderId="0"/>
    <xf numFmtId="0" fontId="1" fillId="0" borderId="0"/>
    <xf numFmtId="0" fontId="3" fillId="0" borderId="0"/>
    <xf numFmtId="0" fontId="4" fillId="2" borderId="0" applyNumberFormat="0" applyBorder="0" applyAlignment="0" applyProtection="0"/>
    <xf numFmtId="9" fontId="1" fillId="0" borderId="0" applyFont="0" applyFill="0" applyBorder="0" applyAlignment="0" applyProtection="0"/>
  </cellStyleXfs>
  <cellXfs count="60">
    <xf numFmtId="0" fontId="0" fillId="0" borderId="0" xfId="0"/>
    <xf numFmtId="0" fontId="2" fillId="0" borderId="0" xfId="1" applyFont="1"/>
    <xf numFmtId="0" fontId="1" fillId="0" borderId="0" xfId="1"/>
    <xf numFmtId="0" fontId="1" fillId="0" borderId="0" xfId="0" applyFont="1"/>
    <xf numFmtId="11" fontId="0" fillId="0" borderId="0" xfId="0" applyNumberFormat="1"/>
    <xf numFmtId="0" fontId="1" fillId="0" borderId="1" xfId="1" applyBorder="1"/>
    <xf numFmtId="11" fontId="2" fillId="0" borderId="0" xfId="1" applyNumberFormat="1" applyFont="1"/>
    <xf numFmtId="0" fontId="5" fillId="0" borderId="0" xfId="0" applyFont="1"/>
    <xf numFmtId="0" fontId="6" fillId="0" borderId="0" xfId="1" applyFont="1"/>
    <xf numFmtId="11" fontId="6" fillId="0" borderId="0" xfId="0" applyNumberFormat="1" applyFont="1"/>
    <xf numFmtId="0" fontId="7" fillId="0" borderId="0" xfId="2" applyFont="1"/>
    <xf numFmtId="0" fontId="7" fillId="0" borderId="0" xfId="0" applyFont="1"/>
    <xf numFmtId="2" fontId="7" fillId="0" borderId="0" xfId="0" applyNumberFormat="1" applyFont="1"/>
    <xf numFmtId="0" fontId="7" fillId="0" borderId="0" xfId="1" applyFont="1"/>
    <xf numFmtId="11" fontId="7" fillId="0" borderId="0" xfId="1" applyNumberFormat="1" applyFont="1" applyAlignment="1">
      <alignment horizontal="left"/>
    </xf>
    <xf numFmtId="11" fontId="7" fillId="0" borderId="0" xfId="4" applyNumberFormat="1" applyFont="1" applyFill="1"/>
    <xf numFmtId="11" fontId="7" fillId="0" borderId="0" xfId="0" applyNumberFormat="1" applyFont="1"/>
    <xf numFmtId="0" fontId="6" fillId="0" borderId="0" xfId="0" applyFont="1"/>
    <xf numFmtId="2" fontId="5" fillId="0" borderId="0" xfId="0" applyNumberFormat="1" applyFont="1"/>
    <xf numFmtId="2" fontId="0" fillId="0" borderId="0" xfId="0" applyNumberFormat="1"/>
    <xf numFmtId="0" fontId="8" fillId="0" borderId="0" xfId="0" applyFont="1"/>
    <xf numFmtId="0" fontId="7" fillId="0" borderId="0" xfId="4" applyFont="1" applyFill="1"/>
    <xf numFmtId="0" fontId="7" fillId="0" borderId="0" xfId="4" applyFont="1" applyFill="1" applyBorder="1"/>
    <xf numFmtId="0" fontId="6" fillId="0" borderId="0" xfId="2" applyFont="1"/>
    <xf numFmtId="2" fontId="7" fillId="0" borderId="0" xfId="1" applyNumberFormat="1" applyFont="1" applyAlignment="1">
      <alignment wrapText="1"/>
    </xf>
    <xf numFmtId="2" fontId="7" fillId="0" borderId="0" xfId="2" quotePrefix="1" applyNumberFormat="1" applyFont="1"/>
    <xf numFmtId="2" fontId="7" fillId="0" borderId="0" xfId="2" applyNumberFormat="1" applyFont="1"/>
    <xf numFmtId="0" fontId="7" fillId="0" borderId="1" xfId="2" applyFont="1" applyBorder="1"/>
    <xf numFmtId="0" fontId="7" fillId="0" borderId="0" xfId="0" applyFont="1" applyAlignment="1">
      <alignment horizontal="left" vertical="center"/>
    </xf>
    <xf numFmtId="11" fontId="7" fillId="0" borderId="0" xfId="2" applyNumberFormat="1" applyFont="1"/>
    <xf numFmtId="0" fontId="5" fillId="0" borderId="0" xfId="0" applyFont="1" applyAlignment="1">
      <alignment horizontal="left" vertical="center" wrapText="1"/>
    </xf>
    <xf numFmtId="164" fontId="0" fillId="0" borderId="0" xfId="0" applyNumberFormat="1"/>
    <xf numFmtId="165" fontId="0" fillId="0" borderId="0" xfId="0" applyNumberFormat="1"/>
    <xf numFmtId="166" fontId="0" fillId="0" borderId="0" xfId="0" applyNumberFormat="1"/>
    <xf numFmtId="2" fontId="0" fillId="0" borderId="0" xfId="5" applyNumberFormat="1" applyFont="1"/>
    <xf numFmtId="0" fontId="9" fillId="0" borderId="2" xfId="0" applyFont="1" applyBorder="1" applyAlignment="1">
      <alignment vertical="top"/>
    </xf>
    <xf numFmtId="0" fontId="10" fillId="0" borderId="3" xfId="0" applyFont="1" applyBorder="1" applyAlignment="1">
      <alignment vertical="center"/>
    </xf>
    <xf numFmtId="0" fontId="10" fillId="0" borderId="3" xfId="0" applyFont="1" applyBorder="1" applyAlignment="1">
      <alignment vertical="center" wrapText="1"/>
    </xf>
    <xf numFmtId="0" fontId="3" fillId="0" borderId="5" xfId="0" applyFont="1" applyBorder="1" applyAlignment="1">
      <alignment vertical="center" wrapText="1"/>
    </xf>
    <xf numFmtId="0" fontId="3" fillId="0" borderId="5" xfId="0" applyFont="1" applyBorder="1" applyAlignment="1">
      <alignment vertical="center"/>
    </xf>
    <xf numFmtId="0" fontId="11" fillId="0" borderId="5" xfId="0" applyFont="1" applyBorder="1" applyAlignment="1">
      <alignment vertical="center" wrapText="1"/>
    </xf>
    <xf numFmtId="0" fontId="10" fillId="0" borderId="4" xfId="0" applyFont="1" applyBorder="1" applyAlignment="1">
      <alignment vertical="center"/>
    </xf>
    <xf numFmtId="10" fontId="3" fillId="0" borderId="5" xfId="0" applyNumberFormat="1" applyFont="1" applyBorder="1" applyAlignment="1">
      <alignment vertical="center"/>
    </xf>
    <xf numFmtId="9" fontId="11" fillId="0" borderId="5" xfId="0" applyNumberFormat="1" applyFont="1" applyBorder="1" applyAlignment="1">
      <alignment vertical="center" wrapText="1"/>
    </xf>
    <xf numFmtId="0" fontId="11" fillId="0" borderId="5" xfId="0" applyFont="1" applyBorder="1" applyAlignment="1">
      <alignment vertical="center"/>
    </xf>
    <xf numFmtId="0" fontId="9" fillId="0" borderId="5" xfId="0" applyFont="1" applyBorder="1" applyAlignment="1">
      <alignment vertical="center"/>
    </xf>
    <xf numFmtId="0" fontId="10" fillId="0" borderId="4" xfId="0" applyFont="1" applyBorder="1" applyAlignment="1">
      <alignment vertical="center" wrapText="1"/>
    </xf>
    <xf numFmtId="0" fontId="7" fillId="0" borderId="0" xfId="4" applyFont="1" applyFill="1" applyAlignment="1"/>
    <xf numFmtId="11" fontId="7" fillId="0" borderId="0" xfId="4" applyNumberFormat="1" applyFont="1" applyFill="1" applyAlignment="1"/>
    <xf numFmtId="0" fontId="3" fillId="0" borderId="8" xfId="0" applyFont="1" applyBorder="1" applyAlignment="1">
      <alignment vertical="center"/>
    </xf>
    <xf numFmtId="0" fontId="3" fillId="0" borderId="9" xfId="0" applyFont="1" applyBorder="1" applyAlignment="1">
      <alignment vertical="center"/>
    </xf>
    <xf numFmtId="0" fontId="9" fillId="0" borderId="8" xfId="0" applyFont="1" applyBorder="1" applyAlignment="1">
      <alignment vertical="center"/>
    </xf>
    <xf numFmtId="0" fontId="9" fillId="0" borderId="9" xfId="0" applyFont="1" applyBorder="1" applyAlignment="1">
      <alignment vertical="center"/>
    </xf>
    <xf numFmtId="0" fontId="11" fillId="0" borderId="8" xfId="0" applyFont="1" applyBorder="1" applyAlignment="1">
      <alignment vertical="center"/>
    </xf>
    <xf numFmtId="0" fontId="11" fillId="0" borderId="9" xfId="0" applyFont="1" applyBorder="1" applyAlignment="1">
      <alignment vertical="center"/>
    </xf>
    <xf numFmtId="0" fontId="3" fillId="0" borderId="10" xfId="0" applyFont="1" applyBorder="1" applyAlignment="1">
      <alignment vertical="center"/>
    </xf>
    <xf numFmtId="0" fontId="3" fillId="0" borderId="6" xfId="0" applyFont="1" applyBorder="1" applyAlignment="1">
      <alignment vertical="center" wrapText="1"/>
    </xf>
    <xf numFmtId="0" fontId="3" fillId="0" borderId="7" xfId="0" applyFont="1" applyBorder="1" applyAlignment="1">
      <alignment vertical="center" wrapText="1"/>
    </xf>
    <xf numFmtId="0" fontId="3" fillId="0" borderId="8" xfId="0" applyFont="1" applyBorder="1" applyAlignment="1">
      <alignment vertical="center" wrapText="1"/>
    </xf>
    <xf numFmtId="0" fontId="3" fillId="0" borderId="9" xfId="0" applyFont="1" applyBorder="1" applyAlignment="1">
      <alignment vertical="center" wrapText="1"/>
    </xf>
  </cellXfs>
  <cellStyles count="6">
    <cellStyle name="Neutral" xfId="4" builtinId="28"/>
    <cellStyle name="Normal" xfId="0" builtinId="0"/>
    <cellStyle name="Normal 11 3" xfId="1" xr:uid="{00000000-0005-0000-0000-000002000000}"/>
    <cellStyle name="Normal 2" xfId="2" xr:uid="{00000000-0005-0000-0000-000003000000}"/>
    <cellStyle name="Normal 3" xfId="3" xr:uid="{00000000-0005-0000-0000-000004000000}"/>
    <cellStyle name="Percent" xfId="5"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1394"/>
  <sheetViews>
    <sheetView tabSelected="1" topLeftCell="A102" zoomScaleNormal="100" workbookViewId="0">
      <selection activeCell="B123" sqref="B123"/>
    </sheetView>
  </sheetViews>
  <sheetFormatPr baseColWidth="10" defaultColWidth="8.83203125" defaultRowHeight="15" x14ac:dyDescent="0.2"/>
  <cols>
    <col min="1" max="1" width="55.1640625" customWidth="1"/>
    <col min="2" max="2" width="40.83203125" style="4" customWidth="1"/>
    <col min="3" max="3" width="17.1640625" customWidth="1"/>
    <col min="4" max="4" width="24.33203125" bestFit="1" customWidth="1"/>
    <col min="5" max="5" width="26.5" customWidth="1"/>
    <col min="6" max="6" width="14.83203125" bestFit="1" customWidth="1"/>
    <col min="7" max="7" width="33.5" bestFit="1" customWidth="1"/>
    <col min="8" max="8" width="15.5" customWidth="1"/>
    <col min="9" max="9" width="20.6640625" customWidth="1"/>
    <col min="10" max="10" width="8.6640625" customWidth="1"/>
    <col min="19" max="20" width="12.83203125" bestFit="1" customWidth="1"/>
  </cols>
  <sheetData>
    <row r="1" spans="1:21" x14ac:dyDescent="0.2">
      <c r="A1" s="1" t="s">
        <v>0</v>
      </c>
      <c r="B1" s="6" t="s">
        <v>32</v>
      </c>
      <c r="C1" s="2"/>
      <c r="D1" s="2"/>
      <c r="E1" s="2"/>
      <c r="F1" s="2"/>
      <c r="G1" s="2"/>
      <c r="H1" s="2"/>
      <c r="I1" s="5"/>
      <c r="K1" s="3"/>
    </row>
    <row r="2" spans="1:21" x14ac:dyDescent="0.2">
      <c r="A2" s="1"/>
      <c r="B2" s="6"/>
      <c r="C2" s="2"/>
      <c r="D2" s="2"/>
      <c r="E2" s="2"/>
      <c r="F2" s="2"/>
      <c r="G2" s="2"/>
      <c r="H2" s="2"/>
      <c r="I2" s="5"/>
      <c r="K2" s="3"/>
    </row>
    <row r="3" spans="1:21" s="11" customFormat="1" ht="16" x14ac:dyDescent="0.2">
      <c r="A3" s="8" t="s">
        <v>1</v>
      </c>
      <c r="B3" s="9" t="s">
        <v>438</v>
      </c>
      <c r="C3" s="10"/>
      <c r="K3" s="12"/>
      <c r="L3" s="12"/>
      <c r="M3" s="12"/>
      <c r="N3" s="12"/>
      <c r="O3" s="12"/>
      <c r="P3" s="12"/>
    </row>
    <row r="4" spans="1:21" s="11" customFormat="1" ht="16" x14ac:dyDescent="0.2">
      <c r="A4" s="13" t="s">
        <v>3</v>
      </c>
      <c r="B4" s="14">
        <v>1</v>
      </c>
      <c r="K4" s="12"/>
      <c r="L4" s="12"/>
      <c r="M4" s="12"/>
      <c r="N4" s="12"/>
      <c r="O4" s="12"/>
      <c r="P4" s="12"/>
    </row>
    <row r="5" spans="1:21" s="11" customFormat="1" ht="16" x14ac:dyDescent="0.2">
      <c r="A5" s="13" t="s">
        <v>11</v>
      </c>
      <c r="B5" s="14" t="s">
        <v>435</v>
      </c>
      <c r="K5" s="12"/>
      <c r="L5" s="12"/>
      <c r="M5" s="12"/>
      <c r="N5" s="12"/>
      <c r="O5" s="12"/>
      <c r="P5" s="12"/>
    </row>
    <row r="6" spans="1:21" s="11" customFormat="1" ht="16" x14ac:dyDescent="0.2">
      <c r="A6" s="13" t="s">
        <v>4</v>
      </c>
      <c r="B6" s="15" t="s">
        <v>122</v>
      </c>
      <c r="K6" s="12"/>
      <c r="L6" s="12"/>
      <c r="M6" s="12"/>
      <c r="N6" s="12"/>
      <c r="O6" s="12"/>
      <c r="P6" s="12"/>
    </row>
    <row r="7" spans="1:21" s="11" customFormat="1" ht="16" x14ac:dyDescent="0.2">
      <c r="A7" s="13" t="s">
        <v>2</v>
      </c>
      <c r="B7" s="14" t="s">
        <v>34</v>
      </c>
      <c r="K7" s="12"/>
      <c r="L7" s="12"/>
      <c r="M7" s="12"/>
      <c r="N7" s="12"/>
      <c r="O7" s="12"/>
      <c r="P7" s="12"/>
    </row>
    <row r="8" spans="1:21" s="11" customFormat="1" ht="16" x14ac:dyDescent="0.2">
      <c r="A8" s="13" t="s">
        <v>6</v>
      </c>
      <c r="B8" s="16" t="s">
        <v>13</v>
      </c>
      <c r="H8" s="17"/>
      <c r="I8" s="17"/>
      <c r="J8" s="17"/>
      <c r="K8" s="12"/>
      <c r="L8" s="12"/>
      <c r="M8" s="12"/>
      <c r="N8" s="12"/>
      <c r="O8" s="12"/>
      <c r="P8" s="12"/>
    </row>
    <row r="9" spans="1:21" s="11" customFormat="1" ht="16" x14ac:dyDescent="0.2">
      <c r="A9" s="17" t="s">
        <v>7</v>
      </c>
      <c r="B9" s="9"/>
      <c r="C9" s="17"/>
      <c r="D9" s="17"/>
      <c r="E9" s="17"/>
      <c r="F9" s="17"/>
      <c r="G9" s="17"/>
      <c r="H9" s="10"/>
      <c r="I9" s="10"/>
      <c r="J9" s="10"/>
      <c r="K9" s="12"/>
      <c r="L9" s="12"/>
      <c r="M9" s="12"/>
      <c r="N9" s="12"/>
      <c r="O9" s="12"/>
      <c r="P9" s="12"/>
    </row>
    <row r="10" spans="1:21" s="11" customFormat="1" ht="16" x14ac:dyDescent="0.2">
      <c r="A10" s="17" t="s">
        <v>8</v>
      </c>
      <c r="B10" s="17" t="s">
        <v>9</v>
      </c>
      <c r="C10" s="17" t="s">
        <v>2</v>
      </c>
      <c r="D10" s="17" t="s">
        <v>6</v>
      </c>
      <c r="E10" s="17" t="s">
        <v>10</v>
      </c>
      <c r="F10" s="17" t="s">
        <v>5</v>
      </c>
      <c r="G10" s="17" t="s">
        <v>4</v>
      </c>
      <c r="H10" s="17" t="s">
        <v>11</v>
      </c>
      <c r="I10" s="17" t="s">
        <v>466</v>
      </c>
      <c r="J10" s="7" t="s">
        <v>467</v>
      </c>
      <c r="K10" s="18" t="s">
        <v>468</v>
      </c>
      <c r="L10" s="18" t="s">
        <v>469</v>
      </c>
      <c r="M10" s="18" t="s">
        <v>470</v>
      </c>
      <c r="N10" s="18" t="s">
        <v>471</v>
      </c>
      <c r="O10" s="18" t="s">
        <v>472</v>
      </c>
      <c r="P10" s="18" t="s">
        <v>473</v>
      </c>
      <c r="Q10" s="7" t="s">
        <v>474</v>
      </c>
      <c r="R10" s="7" t="s">
        <v>475</v>
      </c>
      <c r="S10" s="17" t="s">
        <v>476</v>
      </c>
      <c r="T10" s="7" t="s">
        <v>477</v>
      </c>
      <c r="U10" s="17" t="s">
        <v>46</v>
      </c>
    </row>
    <row r="11" spans="1:21" s="11" customFormat="1" ht="16" x14ac:dyDescent="0.2">
      <c r="A11" s="16" t="s">
        <v>438</v>
      </c>
      <c r="B11" s="16">
        <v>1</v>
      </c>
      <c r="C11" s="11" t="str">
        <f>B7</f>
        <v>RER</v>
      </c>
      <c r="D11" s="11" t="str">
        <f>B8</f>
        <v>kilogram</v>
      </c>
      <c r="E11" s="10"/>
      <c r="F11" s="11" t="s">
        <v>16</v>
      </c>
      <c r="G11" s="11" t="s">
        <v>122</v>
      </c>
      <c r="H11" s="10"/>
      <c r="I11" s="10">
        <v>0</v>
      </c>
      <c r="K11" s="12"/>
      <c r="L11" s="12"/>
      <c r="M11" s="12"/>
      <c r="N11" s="12"/>
      <c r="O11" s="12"/>
      <c r="P11" s="12"/>
      <c r="T11"/>
    </row>
    <row r="12" spans="1:21" s="11" customFormat="1" ht="16" x14ac:dyDescent="0.2">
      <c r="A12" s="16" t="str">
        <f>B163</f>
        <v>electrolyzer production, 1MWe, PEM, Stack</v>
      </c>
      <c r="B12" s="11">
        <f>(1/2963200)*4</f>
        <v>1.3498920086393089E-6</v>
      </c>
      <c r="C12" s="11" t="s">
        <v>34</v>
      </c>
      <c r="D12" s="11" t="s">
        <v>6</v>
      </c>
      <c r="F12" s="11" t="s">
        <v>12</v>
      </c>
      <c r="G12" s="11" t="s">
        <v>47</v>
      </c>
      <c r="H12" s="11" t="s">
        <v>484</v>
      </c>
      <c r="I12" s="11">
        <v>5</v>
      </c>
      <c r="J12">
        <f>B12</f>
        <v>1.3498920086393089E-6</v>
      </c>
      <c r="K12" s="19"/>
      <c r="L12" s="19"/>
      <c r="M12" s="19"/>
      <c r="N12" s="19"/>
      <c r="O12" s="19"/>
      <c r="P12" s="19"/>
      <c r="Q12"/>
      <c r="R12"/>
      <c r="S12" s="11">
        <f>(1/(25*8000*18.52))*4</f>
        <v>1.0799136069114471E-6</v>
      </c>
      <c r="T12" s="11">
        <f>(1/(15*8000*18.52))*4</f>
        <v>1.7998560115190784E-6</v>
      </c>
    </row>
    <row r="13" spans="1:21" s="11" customFormat="1" ht="16" x14ac:dyDescent="0.2">
      <c r="A13" s="16" t="str">
        <f>B202</f>
        <v>electrolyzer production, 1MWe, PEM, Balance of Plant</v>
      </c>
      <c r="B13" s="11">
        <f>1/2963200</f>
        <v>3.3747300215982723E-7</v>
      </c>
      <c r="C13" s="11" t="s">
        <v>34</v>
      </c>
      <c r="D13" s="11" t="s">
        <v>6</v>
      </c>
      <c r="F13" s="11" t="s">
        <v>12</v>
      </c>
      <c r="G13" s="11" t="s">
        <v>48</v>
      </c>
      <c r="H13" s="11" t="s">
        <v>485</v>
      </c>
      <c r="I13" s="11">
        <v>5</v>
      </c>
      <c r="J13">
        <f>B13</f>
        <v>3.3747300215982723E-7</v>
      </c>
      <c r="K13" s="19"/>
      <c r="L13" s="19"/>
      <c r="M13" s="19"/>
      <c r="N13" s="19"/>
      <c r="O13" s="19"/>
      <c r="P13" s="19"/>
      <c r="Q13"/>
      <c r="R13"/>
      <c r="S13" s="11">
        <f>(1/(25*8000*18.52))</f>
        <v>2.6997840172786177E-7</v>
      </c>
      <c r="T13" s="11">
        <f>(1/(15*8000*18.52))</f>
        <v>4.4996400287976961E-7</v>
      </c>
    </row>
    <row r="14" spans="1:21" s="11" customFormat="1" ht="16" x14ac:dyDescent="0.2">
      <c r="A14" s="16" t="s">
        <v>504</v>
      </c>
      <c r="B14" s="11">
        <f>B12*-1</f>
        <v>-1.3498920086393089E-6</v>
      </c>
      <c r="C14" s="11" t="s">
        <v>34</v>
      </c>
      <c r="D14" s="11" t="s">
        <v>6</v>
      </c>
      <c r="F14" s="11" t="s">
        <v>12</v>
      </c>
      <c r="G14" s="11" t="s">
        <v>505</v>
      </c>
      <c r="H14" s="11" t="s">
        <v>215</v>
      </c>
      <c r="I14" s="11">
        <v>5</v>
      </c>
      <c r="J14">
        <f>B14</f>
        <v>-1.3498920086393089E-6</v>
      </c>
      <c r="K14" s="19"/>
      <c r="L14" s="19"/>
      <c r="M14" s="19"/>
      <c r="N14" s="19"/>
      <c r="O14" s="19"/>
      <c r="P14" s="19"/>
      <c r="Q14"/>
      <c r="R14"/>
      <c r="S14" s="11">
        <f>-1*T12</f>
        <v>-1.7998560115190784E-6</v>
      </c>
      <c r="T14" s="11">
        <f>-1*S12</f>
        <v>-1.0799136069114471E-6</v>
      </c>
      <c r="U14" s="11" t="b">
        <v>1</v>
      </c>
    </row>
    <row r="15" spans="1:21" s="11" customFormat="1" ht="16" x14ac:dyDescent="0.2">
      <c r="A15" s="16" t="s">
        <v>506</v>
      </c>
      <c r="B15" s="11">
        <f>-1*B13</f>
        <v>-3.3747300215982723E-7</v>
      </c>
      <c r="C15" s="11" t="s">
        <v>34</v>
      </c>
      <c r="D15" s="11" t="s">
        <v>6</v>
      </c>
      <c r="F15" s="11" t="s">
        <v>12</v>
      </c>
      <c r="G15" s="11" t="s">
        <v>507</v>
      </c>
      <c r="H15" s="11" t="s">
        <v>225</v>
      </c>
      <c r="I15" s="11">
        <v>5</v>
      </c>
      <c r="J15">
        <f>B15</f>
        <v>-3.3747300215982723E-7</v>
      </c>
      <c r="K15" s="19"/>
      <c r="L15" s="19"/>
      <c r="M15" s="19"/>
      <c r="N15" s="19"/>
      <c r="O15" s="19"/>
      <c r="P15" s="19"/>
      <c r="Q15"/>
      <c r="R15"/>
      <c r="S15" s="11">
        <f>-1*T13</f>
        <v>-4.4996400287976961E-7</v>
      </c>
      <c r="T15" s="11">
        <f>-1*S13</f>
        <v>-2.6997840172786177E-7</v>
      </c>
      <c r="U15" s="11" t="b">
        <v>1</v>
      </c>
    </row>
    <row r="16" spans="1:21" s="11" customFormat="1" ht="16" x14ac:dyDescent="0.2">
      <c r="A16" s="13" t="s">
        <v>33</v>
      </c>
      <c r="B16" s="16">
        <v>54</v>
      </c>
      <c r="C16" s="11" t="s">
        <v>34</v>
      </c>
      <c r="D16" s="11" t="s">
        <v>35</v>
      </c>
      <c r="E16" s="10"/>
      <c r="F16" s="11" t="s">
        <v>12</v>
      </c>
      <c r="G16" s="11" t="s">
        <v>36</v>
      </c>
      <c r="H16" s="10" t="s">
        <v>481</v>
      </c>
      <c r="I16" s="11">
        <v>5</v>
      </c>
      <c r="J16" s="4">
        <f>B16</f>
        <v>54</v>
      </c>
      <c r="K16" s="19"/>
      <c r="L16" s="19"/>
      <c r="M16" s="19"/>
      <c r="N16" s="19"/>
      <c r="O16" s="19"/>
      <c r="P16" s="19"/>
      <c r="Q16"/>
      <c r="R16"/>
      <c r="S16" s="11">
        <v>52.9</v>
      </c>
      <c r="T16" s="11">
        <v>55.1</v>
      </c>
    </row>
    <row r="17" spans="1:21" s="11" customFormat="1" ht="16" x14ac:dyDescent="0.2">
      <c r="A17" s="13" t="s">
        <v>516</v>
      </c>
      <c r="B17" s="16">
        <v>14</v>
      </c>
      <c r="C17" s="11" t="s">
        <v>34</v>
      </c>
      <c r="D17" s="11" t="s">
        <v>13</v>
      </c>
      <c r="F17" s="11" t="s">
        <v>12</v>
      </c>
      <c r="G17" s="11" t="s">
        <v>517</v>
      </c>
      <c r="H17" s="20" t="s">
        <v>54</v>
      </c>
      <c r="I17" s="11">
        <v>0</v>
      </c>
      <c r="J17"/>
      <c r="K17" s="19"/>
      <c r="L17" s="19"/>
      <c r="M17" s="19"/>
      <c r="N17" s="19"/>
      <c r="O17" s="19"/>
      <c r="P17" s="19"/>
      <c r="Q17"/>
      <c r="R17"/>
    </row>
    <row r="18" spans="1:21" s="11" customFormat="1" ht="16" x14ac:dyDescent="0.2">
      <c r="A18" s="21" t="s">
        <v>38</v>
      </c>
      <c r="B18" s="15">
        <v>8</v>
      </c>
      <c r="C18" s="21"/>
      <c r="D18" s="21" t="s">
        <v>13</v>
      </c>
      <c r="E18" s="21" t="s">
        <v>39</v>
      </c>
      <c r="F18" s="21" t="s">
        <v>14</v>
      </c>
      <c r="G18" s="21"/>
      <c r="H18" s="22"/>
      <c r="I18" s="11">
        <v>0</v>
      </c>
      <c r="J18"/>
      <c r="K18" s="19"/>
      <c r="L18" s="19"/>
      <c r="M18" s="19"/>
      <c r="N18" s="19"/>
      <c r="O18" s="19"/>
      <c r="P18" s="19"/>
      <c r="Q18" s="19"/>
      <c r="R18"/>
    </row>
    <row r="19" spans="1:21" s="11" customFormat="1" ht="16" x14ac:dyDescent="0.2">
      <c r="A19" s="47" t="s">
        <v>456</v>
      </c>
      <c r="B19" s="48">
        <f>(0.09*1000)/(2963200/20)</f>
        <v>6.0745140388768898E-4</v>
      </c>
      <c r="C19" s="47"/>
      <c r="D19" s="47" t="s">
        <v>453</v>
      </c>
      <c r="E19" s="47" t="s">
        <v>454</v>
      </c>
      <c r="F19" s="47" t="s">
        <v>14</v>
      </c>
      <c r="H19" s="47" t="s">
        <v>457</v>
      </c>
      <c r="I19" s="11">
        <v>2</v>
      </c>
      <c r="J19">
        <f t="shared" ref="J19:J21" si="0">LN(B19)</f>
        <v>-7.4062383795497411</v>
      </c>
      <c r="K19" s="19">
        <v>1.05</v>
      </c>
      <c r="L19" s="19">
        <v>1.1000000000000001</v>
      </c>
      <c r="M19" s="19">
        <v>1</v>
      </c>
      <c r="N19" s="19">
        <v>1.02</v>
      </c>
      <c r="O19" s="19">
        <v>1.2</v>
      </c>
      <c r="P19" s="19">
        <v>1.2</v>
      </c>
      <c r="Q19" s="19">
        <v>1.5</v>
      </c>
      <c r="R19">
        <f t="shared" ref="R19:R21" si="1">LN(SQRT(EXP(
SQRT(
+POWER(LN(K19),2)
+POWER(LN(L19),2)
+POWER(LN(M19),2)
+POWER(LN(N19),2)
+POWER(LN(O19),2)
+POWER(LN(P19),2)
+POWER(LN(Q19),2)
)
)))</f>
        <v>0.24634371748562628</v>
      </c>
    </row>
    <row r="20" spans="1:21" s="11" customFormat="1" ht="16" x14ac:dyDescent="0.2">
      <c r="A20" s="47" t="s">
        <v>458</v>
      </c>
      <c r="B20" s="48">
        <f>(0.09*1000)/2963200</f>
        <v>3.0372570194384448E-5</v>
      </c>
      <c r="C20" s="47"/>
      <c r="D20" s="47" t="s">
        <v>459</v>
      </c>
      <c r="E20" s="47" t="s">
        <v>454</v>
      </c>
      <c r="F20" s="47" t="s">
        <v>14</v>
      </c>
      <c r="H20" s="47" t="s">
        <v>460</v>
      </c>
      <c r="I20" s="11">
        <v>2</v>
      </c>
      <c r="J20">
        <f t="shared" si="0"/>
        <v>-10.401970653103731</v>
      </c>
      <c r="K20" s="19">
        <v>1.05</v>
      </c>
      <c r="L20" s="19">
        <v>1.1000000000000001</v>
      </c>
      <c r="M20" s="19">
        <v>1</v>
      </c>
      <c r="N20" s="19">
        <v>1.02</v>
      </c>
      <c r="O20" s="19">
        <v>1.2</v>
      </c>
      <c r="P20" s="19">
        <v>1.2</v>
      </c>
      <c r="Q20" s="19">
        <v>1.5</v>
      </c>
      <c r="R20">
        <f t="shared" si="1"/>
        <v>0.24634371748562628</v>
      </c>
    </row>
    <row r="21" spans="1:21" s="11" customFormat="1" ht="16" x14ac:dyDescent="0.2">
      <c r="A21" s="47" t="s">
        <v>461</v>
      </c>
      <c r="B21" s="48">
        <f>(0.09*1000)/2963200</f>
        <v>3.0372570194384448E-5</v>
      </c>
      <c r="C21" s="47"/>
      <c r="D21" s="47" t="s">
        <v>459</v>
      </c>
      <c r="E21" s="47" t="s">
        <v>454</v>
      </c>
      <c r="F21" s="47" t="s">
        <v>14</v>
      </c>
      <c r="H21" s="47" t="s">
        <v>460</v>
      </c>
      <c r="I21" s="11">
        <v>2</v>
      </c>
      <c r="J21">
        <f t="shared" si="0"/>
        <v>-10.401970653103731</v>
      </c>
      <c r="K21" s="19">
        <v>1.05</v>
      </c>
      <c r="L21" s="19">
        <v>1.1000000000000001</v>
      </c>
      <c r="M21" s="19">
        <v>1</v>
      </c>
      <c r="N21" s="19">
        <v>1.02</v>
      </c>
      <c r="O21" s="19">
        <v>1.2</v>
      </c>
      <c r="P21" s="19">
        <v>1.2</v>
      </c>
      <c r="Q21" s="19">
        <v>1.5</v>
      </c>
      <c r="R21">
        <f t="shared" si="1"/>
        <v>0.24634371748562628</v>
      </c>
    </row>
    <row r="22" spans="1:21" s="11" customFormat="1" ht="16" x14ac:dyDescent="0.2">
      <c r="K22" s="12"/>
      <c r="L22" s="12"/>
      <c r="M22" s="12"/>
      <c r="N22" s="12"/>
      <c r="O22" s="12"/>
      <c r="P22" s="12"/>
    </row>
    <row r="23" spans="1:21" s="11" customFormat="1" ht="16" x14ac:dyDescent="0.2">
      <c r="A23" s="8" t="s">
        <v>1</v>
      </c>
      <c r="B23" s="9" t="s">
        <v>545</v>
      </c>
      <c r="C23" s="10"/>
      <c r="K23" s="12"/>
      <c r="L23" s="12"/>
      <c r="M23" s="12"/>
      <c r="N23" s="12"/>
      <c r="O23" s="12"/>
      <c r="P23" s="12"/>
    </row>
    <row r="24" spans="1:21" s="11" customFormat="1" ht="16" x14ac:dyDescent="0.2">
      <c r="A24" s="13" t="s">
        <v>3</v>
      </c>
      <c r="B24" s="14">
        <v>1</v>
      </c>
      <c r="K24" s="12"/>
      <c r="L24" s="12"/>
      <c r="M24" s="12"/>
      <c r="N24" s="12"/>
      <c r="O24" s="12"/>
      <c r="P24" s="12"/>
    </row>
    <row r="25" spans="1:21" s="11" customFormat="1" ht="16" x14ac:dyDescent="0.2">
      <c r="A25" s="13" t="s">
        <v>11</v>
      </c>
      <c r="B25" s="14" t="s">
        <v>435</v>
      </c>
      <c r="K25" s="12"/>
      <c r="L25" s="12"/>
      <c r="M25" s="12"/>
      <c r="N25" s="12"/>
      <c r="O25" s="12"/>
      <c r="P25" s="12"/>
    </row>
    <row r="26" spans="1:21" s="11" customFormat="1" ht="16" x14ac:dyDescent="0.2">
      <c r="A26" s="13" t="s">
        <v>4</v>
      </c>
      <c r="B26" s="15" t="s">
        <v>122</v>
      </c>
      <c r="K26" s="12"/>
      <c r="L26" s="12"/>
      <c r="M26" s="12"/>
      <c r="N26" s="12"/>
      <c r="O26" s="12"/>
      <c r="P26" s="12"/>
    </row>
    <row r="27" spans="1:21" s="11" customFormat="1" ht="16" x14ac:dyDescent="0.2">
      <c r="A27" s="13" t="s">
        <v>2</v>
      </c>
      <c r="B27" s="14" t="s">
        <v>34</v>
      </c>
      <c r="K27" s="12"/>
      <c r="L27" s="12"/>
      <c r="M27" s="12"/>
      <c r="N27" s="12"/>
      <c r="O27" s="12"/>
      <c r="P27" s="12"/>
    </row>
    <row r="28" spans="1:21" s="11" customFormat="1" ht="16" x14ac:dyDescent="0.2">
      <c r="A28" s="13" t="s">
        <v>6</v>
      </c>
      <c r="B28" s="16" t="s">
        <v>13</v>
      </c>
      <c r="H28" s="17"/>
      <c r="I28" s="17"/>
      <c r="J28" s="17"/>
      <c r="K28" s="12"/>
      <c r="L28" s="12"/>
      <c r="M28" s="12"/>
      <c r="N28" s="12"/>
      <c r="O28" s="12"/>
      <c r="P28" s="12"/>
    </row>
    <row r="29" spans="1:21" s="11" customFormat="1" ht="16" x14ac:dyDescent="0.2">
      <c r="A29" s="17" t="s">
        <v>7</v>
      </c>
      <c r="B29" s="9"/>
      <c r="C29" s="17"/>
      <c r="D29" s="17"/>
      <c r="E29" s="17"/>
      <c r="F29" s="17"/>
      <c r="G29" s="17"/>
      <c r="H29" s="10"/>
      <c r="I29" s="10"/>
      <c r="J29" s="10"/>
      <c r="K29" s="12"/>
      <c r="L29" s="12"/>
      <c r="M29" s="12"/>
      <c r="N29" s="12"/>
      <c r="O29" s="12"/>
      <c r="P29" s="12"/>
    </row>
    <row r="30" spans="1:21" s="11" customFormat="1" ht="16" x14ac:dyDescent="0.2">
      <c r="A30" s="17" t="s">
        <v>8</v>
      </c>
      <c r="B30" s="17" t="s">
        <v>9</v>
      </c>
      <c r="C30" s="17" t="s">
        <v>2</v>
      </c>
      <c r="D30" s="17" t="s">
        <v>6</v>
      </c>
      <c r="E30" s="17" t="s">
        <v>10</v>
      </c>
      <c r="F30" s="17" t="s">
        <v>5</v>
      </c>
      <c r="G30" s="17" t="s">
        <v>4</v>
      </c>
      <c r="H30" s="17" t="s">
        <v>11</v>
      </c>
      <c r="I30" s="17" t="s">
        <v>466</v>
      </c>
      <c r="J30" s="7" t="s">
        <v>467</v>
      </c>
      <c r="K30" s="18" t="s">
        <v>468</v>
      </c>
      <c r="L30" s="18" t="s">
        <v>469</v>
      </c>
      <c r="M30" s="18" t="s">
        <v>470</v>
      </c>
      <c r="N30" s="18" t="s">
        <v>471</v>
      </c>
      <c r="O30" s="18" t="s">
        <v>472</v>
      </c>
      <c r="P30" s="18" t="s">
        <v>473</v>
      </c>
      <c r="Q30" s="7" t="s">
        <v>474</v>
      </c>
      <c r="R30" s="7" t="s">
        <v>475</v>
      </c>
      <c r="S30" s="17" t="s">
        <v>476</v>
      </c>
      <c r="T30" s="7" t="s">
        <v>477</v>
      </c>
      <c r="U30" s="17" t="s">
        <v>46</v>
      </c>
    </row>
    <row r="31" spans="1:21" s="11" customFormat="1" ht="16" x14ac:dyDescent="0.2">
      <c r="A31" s="16" t="str">
        <f>B23</f>
        <v>hydrogen production, gaseous, 30 bar, from PEM electrolysis, from open ground solar photovoltaic electricity</v>
      </c>
      <c r="B31" s="16">
        <v>1</v>
      </c>
      <c r="C31" s="11" t="str">
        <f>B27</f>
        <v>RER</v>
      </c>
      <c r="D31" s="11" t="str">
        <f>B28</f>
        <v>kilogram</v>
      </c>
      <c r="E31" s="10"/>
      <c r="F31" s="11" t="s">
        <v>16</v>
      </c>
      <c r="G31" s="11" t="s">
        <v>122</v>
      </c>
      <c r="H31" s="10"/>
      <c r="I31" s="10">
        <v>0</v>
      </c>
      <c r="K31" s="12"/>
      <c r="L31" s="12"/>
      <c r="M31" s="12"/>
      <c r="N31" s="12"/>
      <c r="O31" s="12"/>
      <c r="P31" s="12"/>
      <c r="T31"/>
    </row>
    <row r="32" spans="1:21" s="11" customFormat="1" ht="16" x14ac:dyDescent="0.2">
      <c r="A32" s="16" t="s">
        <v>55</v>
      </c>
      <c r="B32" s="11">
        <f>(1/2963200)*4</f>
        <v>1.3498920086393089E-6</v>
      </c>
      <c r="C32" s="11" t="s">
        <v>34</v>
      </c>
      <c r="D32" s="11" t="s">
        <v>6</v>
      </c>
      <c r="F32" s="11" t="s">
        <v>12</v>
      </c>
      <c r="G32" s="11" t="s">
        <v>47</v>
      </c>
      <c r="H32" s="11" t="s">
        <v>484</v>
      </c>
      <c r="I32" s="11">
        <v>5</v>
      </c>
      <c r="J32">
        <f>B32</f>
        <v>1.3498920086393089E-6</v>
      </c>
      <c r="K32" s="19"/>
      <c r="L32" s="19"/>
      <c r="M32" s="19"/>
      <c r="N32" s="19"/>
      <c r="O32" s="19"/>
      <c r="P32" s="19"/>
      <c r="Q32"/>
      <c r="R32"/>
      <c r="S32" s="11">
        <f>(1/(25*8000*18.52))*4</f>
        <v>1.0799136069114471E-6</v>
      </c>
      <c r="T32" s="11">
        <f>(1/(15*8000*18.52))*4</f>
        <v>1.7998560115190784E-6</v>
      </c>
    </row>
    <row r="33" spans="1:21" s="11" customFormat="1" ht="16" x14ac:dyDescent="0.2">
      <c r="A33" s="16" t="s">
        <v>80</v>
      </c>
      <c r="B33" s="11">
        <f>1/2963200</f>
        <v>3.3747300215982723E-7</v>
      </c>
      <c r="C33" s="11" t="s">
        <v>34</v>
      </c>
      <c r="D33" s="11" t="s">
        <v>6</v>
      </c>
      <c r="F33" s="11" t="s">
        <v>12</v>
      </c>
      <c r="G33" s="11" t="s">
        <v>48</v>
      </c>
      <c r="H33" s="11" t="s">
        <v>485</v>
      </c>
      <c r="I33" s="11">
        <v>5</v>
      </c>
      <c r="J33">
        <f>B33</f>
        <v>3.3747300215982723E-7</v>
      </c>
      <c r="K33" s="19"/>
      <c r="L33" s="19"/>
      <c r="M33" s="19"/>
      <c r="N33" s="19"/>
      <c r="O33" s="19"/>
      <c r="P33" s="19"/>
      <c r="Q33"/>
      <c r="R33"/>
      <c r="S33" s="11">
        <f>(1/(25*8000*18.52))</f>
        <v>2.6997840172786177E-7</v>
      </c>
      <c r="T33" s="11">
        <f>(1/(15*8000*18.52))</f>
        <v>4.4996400287976961E-7</v>
      </c>
    </row>
    <row r="34" spans="1:21" s="11" customFormat="1" ht="16" x14ac:dyDescent="0.2">
      <c r="A34" s="16" t="s">
        <v>504</v>
      </c>
      <c r="B34" s="11">
        <f>B32*-1</f>
        <v>-1.3498920086393089E-6</v>
      </c>
      <c r="C34" s="11" t="s">
        <v>34</v>
      </c>
      <c r="D34" s="11" t="s">
        <v>6</v>
      </c>
      <c r="F34" s="11" t="s">
        <v>12</v>
      </c>
      <c r="G34" s="11" t="s">
        <v>505</v>
      </c>
      <c r="H34" s="11" t="s">
        <v>215</v>
      </c>
      <c r="I34" s="11">
        <v>5</v>
      </c>
      <c r="J34">
        <f>B34</f>
        <v>-1.3498920086393089E-6</v>
      </c>
      <c r="K34" s="19"/>
      <c r="L34" s="19"/>
      <c r="M34" s="19"/>
      <c r="N34" s="19"/>
      <c r="O34" s="19"/>
      <c r="P34" s="19"/>
      <c r="Q34"/>
      <c r="R34"/>
      <c r="S34" s="11">
        <f>-1*T32</f>
        <v>-1.7998560115190784E-6</v>
      </c>
      <c r="T34" s="11">
        <f>-1*S32</f>
        <v>-1.0799136069114471E-6</v>
      </c>
      <c r="U34" s="11" t="b">
        <v>1</v>
      </c>
    </row>
    <row r="35" spans="1:21" s="11" customFormat="1" ht="16" x14ac:dyDescent="0.2">
      <c r="A35" s="16" t="s">
        <v>506</v>
      </c>
      <c r="B35" s="11">
        <f>-1*B33</f>
        <v>-3.3747300215982723E-7</v>
      </c>
      <c r="C35" s="11" t="s">
        <v>34</v>
      </c>
      <c r="D35" s="11" t="s">
        <v>6</v>
      </c>
      <c r="F35" s="11" t="s">
        <v>12</v>
      </c>
      <c r="G35" s="11" t="s">
        <v>507</v>
      </c>
      <c r="H35" s="11" t="s">
        <v>225</v>
      </c>
      <c r="I35" s="11">
        <v>5</v>
      </c>
      <c r="J35">
        <f>B35</f>
        <v>-3.3747300215982723E-7</v>
      </c>
      <c r="K35" s="19"/>
      <c r="L35" s="19"/>
      <c r="M35" s="19"/>
      <c r="N35" s="19"/>
      <c r="O35" s="19"/>
      <c r="P35" s="19"/>
      <c r="Q35"/>
      <c r="R35"/>
      <c r="S35" s="11">
        <f>-1*T33</f>
        <v>-4.4996400287976961E-7</v>
      </c>
      <c r="T35" s="11">
        <f>-1*S33</f>
        <v>-2.6997840172786177E-7</v>
      </c>
      <c r="U35" s="11" t="b">
        <v>1</v>
      </c>
    </row>
    <row r="36" spans="1:21" s="11" customFormat="1" ht="16" x14ac:dyDescent="0.2">
      <c r="A36" s="13" t="s">
        <v>489</v>
      </c>
      <c r="B36" s="16">
        <v>54</v>
      </c>
      <c r="C36" s="11" t="s">
        <v>490</v>
      </c>
      <c r="D36" s="11" t="s">
        <v>35</v>
      </c>
      <c r="E36" s="10"/>
      <c r="F36" s="11" t="s">
        <v>12</v>
      </c>
      <c r="G36" s="11" t="s">
        <v>36</v>
      </c>
      <c r="H36" s="10" t="s">
        <v>491</v>
      </c>
      <c r="I36" s="11">
        <v>5</v>
      </c>
      <c r="J36" s="4">
        <f>B36</f>
        <v>54</v>
      </c>
      <c r="K36" s="19"/>
      <c r="L36" s="19"/>
      <c r="M36" s="19"/>
      <c r="N36" s="19"/>
      <c r="O36" s="19"/>
      <c r="P36" s="19"/>
      <c r="Q36"/>
      <c r="R36"/>
      <c r="S36" s="11">
        <v>52.9</v>
      </c>
      <c r="T36" s="11">
        <v>55.1</v>
      </c>
    </row>
    <row r="37" spans="1:21" s="11" customFormat="1" ht="16" x14ac:dyDescent="0.2">
      <c r="A37" s="13" t="s">
        <v>516</v>
      </c>
      <c r="B37" s="16">
        <v>14</v>
      </c>
      <c r="C37" s="11" t="s">
        <v>34</v>
      </c>
      <c r="D37" s="11" t="s">
        <v>13</v>
      </c>
      <c r="F37" s="11" t="s">
        <v>12</v>
      </c>
      <c r="G37" s="11" t="s">
        <v>517</v>
      </c>
      <c r="H37" s="20" t="s">
        <v>54</v>
      </c>
      <c r="I37" s="11">
        <v>0</v>
      </c>
      <c r="J37"/>
      <c r="K37" s="19"/>
      <c r="L37" s="19"/>
      <c r="M37" s="19"/>
      <c r="N37" s="19"/>
      <c r="O37" s="19"/>
      <c r="P37" s="19"/>
      <c r="Q37"/>
      <c r="R37"/>
    </row>
    <row r="38" spans="1:21" s="11" customFormat="1" ht="16" x14ac:dyDescent="0.2">
      <c r="A38" s="21" t="s">
        <v>38</v>
      </c>
      <c r="B38" s="15">
        <v>8</v>
      </c>
      <c r="C38" s="21"/>
      <c r="D38" s="21" t="s">
        <v>13</v>
      </c>
      <c r="E38" s="21" t="s">
        <v>39</v>
      </c>
      <c r="F38" s="21" t="s">
        <v>14</v>
      </c>
      <c r="G38" s="21"/>
      <c r="H38" s="22"/>
      <c r="I38" s="11">
        <v>0</v>
      </c>
      <c r="J38"/>
      <c r="K38" s="19"/>
      <c r="L38" s="19"/>
      <c r="M38" s="19"/>
      <c r="N38" s="19"/>
      <c r="O38" s="19"/>
      <c r="P38" s="19"/>
      <c r="Q38" s="19"/>
      <c r="R38"/>
    </row>
    <row r="39" spans="1:21" s="11" customFormat="1" ht="16" x14ac:dyDescent="0.2">
      <c r="A39" s="47" t="s">
        <v>456</v>
      </c>
      <c r="B39" s="48">
        <f>(0.09*1000)/(2963200/20)</f>
        <v>6.0745140388768898E-4</v>
      </c>
      <c r="C39" s="47"/>
      <c r="D39" s="47" t="s">
        <v>453</v>
      </c>
      <c r="E39" s="47" t="s">
        <v>454</v>
      </c>
      <c r="F39" s="47" t="s">
        <v>14</v>
      </c>
      <c r="H39" s="47" t="s">
        <v>457</v>
      </c>
      <c r="I39" s="11">
        <v>2</v>
      </c>
      <c r="J39">
        <f t="shared" ref="J39:J41" si="2">LN(B39)</f>
        <v>-7.4062383795497411</v>
      </c>
      <c r="K39" s="19">
        <v>1.05</v>
      </c>
      <c r="L39" s="19">
        <v>1.1000000000000001</v>
      </c>
      <c r="M39" s="19">
        <v>1</v>
      </c>
      <c r="N39" s="19">
        <v>1.02</v>
      </c>
      <c r="O39" s="19">
        <v>1.2</v>
      </c>
      <c r="P39" s="19">
        <v>1.2</v>
      </c>
      <c r="Q39" s="19">
        <v>1.5</v>
      </c>
      <c r="R39">
        <f t="shared" ref="R39:R41" si="3">LN(SQRT(EXP(
SQRT(
+POWER(LN(K39),2)
+POWER(LN(L39),2)
+POWER(LN(M39),2)
+POWER(LN(N39),2)
+POWER(LN(O39),2)
+POWER(LN(P39),2)
+POWER(LN(Q39),2)
)
)))</f>
        <v>0.24634371748562628</v>
      </c>
    </row>
    <row r="40" spans="1:21" s="11" customFormat="1" ht="16" x14ac:dyDescent="0.2">
      <c r="A40" s="47" t="s">
        <v>458</v>
      </c>
      <c r="B40" s="48">
        <f>(0.09*1000)/2963200</f>
        <v>3.0372570194384448E-5</v>
      </c>
      <c r="C40" s="47"/>
      <c r="D40" s="47" t="s">
        <v>459</v>
      </c>
      <c r="E40" s="47" t="s">
        <v>454</v>
      </c>
      <c r="F40" s="47" t="s">
        <v>14</v>
      </c>
      <c r="H40" s="47" t="s">
        <v>460</v>
      </c>
      <c r="I40" s="11">
        <v>2</v>
      </c>
      <c r="J40">
        <f t="shared" si="2"/>
        <v>-10.401970653103731</v>
      </c>
      <c r="K40" s="19">
        <v>1.05</v>
      </c>
      <c r="L40" s="19">
        <v>1.1000000000000001</v>
      </c>
      <c r="M40" s="19">
        <v>1</v>
      </c>
      <c r="N40" s="19">
        <v>1.02</v>
      </c>
      <c r="O40" s="19">
        <v>1.2</v>
      </c>
      <c r="P40" s="19">
        <v>1.2</v>
      </c>
      <c r="Q40" s="19">
        <v>1.5</v>
      </c>
      <c r="R40">
        <f t="shared" si="3"/>
        <v>0.24634371748562628</v>
      </c>
    </row>
    <row r="41" spans="1:21" s="11" customFormat="1" ht="16" x14ac:dyDescent="0.2">
      <c r="A41" s="47" t="s">
        <v>461</v>
      </c>
      <c r="B41" s="48">
        <f>(0.09*1000)/2963200</f>
        <v>3.0372570194384448E-5</v>
      </c>
      <c r="C41" s="47"/>
      <c r="D41" s="47" t="s">
        <v>459</v>
      </c>
      <c r="E41" s="47" t="s">
        <v>454</v>
      </c>
      <c r="F41" s="47" t="s">
        <v>14</v>
      </c>
      <c r="H41" s="47" t="s">
        <v>460</v>
      </c>
      <c r="I41" s="11">
        <v>2</v>
      </c>
      <c r="J41">
        <f t="shared" si="2"/>
        <v>-10.401970653103731</v>
      </c>
      <c r="K41" s="19">
        <v>1.05</v>
      </c>
      <c r="L41" s="19">
        <v>1.1000000000000001</v>
      </c>
      <c r="M41" s="19">
        <v>1</v>
      </c>
      <c r="N41" s="19">
        <v>1.02</v>
      </c>
      <c r="O41" s="19">
        <v>1.2</v>
      </c>
      <c r="P41" s="19">
        <v>1.2</v>
      </c>
      <c r="Q41" s="19">
        <v>1.5</v>
      </c>
      <c r="R41">
        <f t="shared" si="3"/>
        <v>0.24634371748562628</v>
      </c>
    </row>
    <row r="42" spans="1:21" s="11" customFormat="1" ht="16" x14ac:dyDescent="0.2">
      <c r="K42" s="12"/>
      <c r="L42" s="12"/>
      <c r="M42" s="12"/>
      <c r="N42" s="12"/>
      <c r="O42" s="12"/>
      <c r="P42" s="12"/>
    </row>
    <row r="43" spans="1:21" s="11" customFormat="1" ht="16" x14ac:dyDescent="0.2">
      <c r="A43" s="8" t="s">
        <v>1</v>
      </c>
      <c r="B43" s="9" t="s">
        <v>546</v>
      </c>
      <c r="C43" s="10"/>
      <c r="K43" s="12"/>
      <c r="L43" s="12"/>
      <c r="M43" s="12"/>
      <c r="N43" s="12"/>
      <c r="O43" s="12"/>
      <c r="P43" s="12"/>
    </row>
    <row r="44" spans="1:21" s="11" customFormat="1" ht="16" x14ac:dyDescent="0.2">
      <c r="A44" s="13" t="s">
        <v>3</v>
      </c>
      <c r="B44" s="14">
        <v>1</v>
      </c>
      <c r="K44" s="12"/>
      <c r="L44" s="12"/>
      <c r="M44" s="12"/>
      <c r="N44" s="12"/>
      <c r="O44" s="12"/>
      <c r="P44" s="12"/>
    </row>
    <row r="45" spans="1:21" s="11" customFormat="1" ht="16" x14ac:dyDescent="0.2">
      <c r="A45" s="13" t="s">
        <v>11</v>
      </c>
      <c r="B45" s="14" t="s">
        <v>549</v>
      </c>
      <c r="K45" s="12"/>
      <c r="L45" s="12"/>
      <c r="M45" s="12"/>
      <c r="N45" s="12"/>
      <c r="O45" s="12"/>
      <c r="P45" s="12"/>
    </row>
    <row r="46" spans="1:21" s="11" customFormat="1" ht="16" x14ac:dyDescent="0.2">
      <c r="A46" s="13" t="s">
        <v>4</v>
      </c>
      <c r="B46" s="15" t="s">
        <v>122</v>
      </c>
      <c r="K46" s="12"/>
      <c r="L46" s="12"/>
      <c r="M46" s="12"/>
      <c r="N46" s="12"/>
      <c r="O46" s="12"/>
      <c r="P46" s="12"/>
    </row>
    <row r="47" spans="1:21" s="11" customFormat="1" ht="16" x14ac:dyDescent="0.2">
      <c r="A47" s="13" t="s">
        <v>2</v>
      </c>
      <c r="B47" s="14" t="s">
        <v>34</v>
      </c>
      <c r="K47" s="12"/>
      <c r="L47" s="12"/>
      <c r="M47" s="12"/>
      <c r="N47" s="12"/>
      <c r="O47" s="12"/>
      <c r="P47" s="12"/>
    </row>
    <row r="48" spans="1:21" s="11" customFormat="1" ht="16" x14ac:dyDescent="0.2">
      <c r="A48" s="13" t="s">
        <v>6</v>
      </c>
      <c r="B48" s="16" t="s">
        <v>13</v>
      </c>
      <c r="H48" s="17"/>
      <c r="I48" s="17"/>
      <c r="J48" s="17"/>
      <c r="K48" s="12"/>
      <c r="L48" s="12"/>
      <c r="M48" s="12"/>
      <c r="N48" s="12"/>
      <c r="O48" s="12"/>
      <c r="P48" s="12"/>
    </row>
    <row r="49" spans="1:21" s="11" customFormat="1" ht="16" x14ac:dyDescent="0.2">
      <c r="A49" s="17" t="s">
        <v>7</v>
      </c>
      <c r="B49" s="9"/>
      <c r="C49" s="17"/>
      <c r="D49" s="17"/>
      <c r="E49" s="17"/>
      <c r="F49" s="17"/>
      <c r="G49" s="17"/>
      <c r="H49" s="10"/>
      <c r="I49" s="10"/>
      <c r="J49" s="10"/>
      <c r="K49" s="12"/>
      <c r="L49" s="12"/>
      <c r="M49" s="12"/>
      <c r="N49" s="12"/>
      <c r="O49" s="12"/>
      <c r="P49" s="12"/>
    </row>
    <row r="50" spans="1:21" s="11" customFormat="1" ht="16" x14ac:dyDescent="0.2">
      <c r="A50" s="17" t="s">
        <v>8</v>
      </c>
      <c r="B50" s="17" t="s">
        <v>9</v>
      </c>
      <c r="C50" s="17" t="s">
        <v>2</v>
      </c>
      <c r="D50" s="17" t="s">
        <v>6</v>
      </c>
      <c r="E50" s="17" t="s">
        <v>10</v>
      </c>
      <c r="F50" s="17" t="s">
        <v>5</v>
      </c>
      <c r="G50" s="17" t="s">
        <v>4</v>
      </c>
      <c r="H50" s="17" t="s">
        <v>11</v>
      </c>
      <c r="I50" s="17" t="s">
        <v>466</v>
      </c>
      <c r="J50" s="7" t="s">
        <v>467</v>
      </c>
      <c r="K50" s="18" t="s">
        <v>468</v>
      </c>
      <c r="L50" s="18" t="s">
        <v>469</v>
      </c>
      <c r="M50" s="18" t="s">
        <v>470</v>
      </c>
      <c r="N50" s="18" t="s">
        <v>471</v>
      </c>
      <c r="O50" s="18" t="s">
        <v>472</v>
      </c>
      <c r="P50" s="18" t="s">
        <v>473</v>
      </c>
      <c r="Q50" s="7" t="s">
        <v>474</v>
      </c>
      <c r="R50" s="7" t="s">
        <v>475</v>
      </c>
      <c r="S50" s="17" t="s">
        <v>476</v>
      </c>
      <c r="T50" s="7" t="s">
        <v>477</v>
      </c>
      <c r="U50" s="17" t="s">
        <v>46</v>
      </c>
    </row>
    <row r="51" spans="1:21" s="11" customFormat="1" ht="16" x14ac:dyDescent="0.2">
      <c r="A51" s="16" t="str">
        <f>B43</f>
        <v>hydrogen production, gaseous, 30 bar, from PEM electrolysis, from rooftop solar photovoltaic electricity</v>
      </c>
      <c r="B51" s="16">
        <v>1</v>
      </c>
      <c r="C51" s="11" t="str">
        <f>B47</f>
        <v>RER</v>
      </c>
      <c r="D51" s="11" t="str">
        <f>B48</f>
        <v>kilogram</v>
      </c>
      <c r="E51" s="10"/>
      <c r="F51" s="11" t="s">
        <v>16</v>
      </c>
      <c r="G51" s="11" t="s">
        <v>122</v>
      </c>
      <c r="H51" s="10"/>
      <c r="I51" s="10">
        <v>0</v>
      </c>
      <c r="K51" s="12"/>
      <c r="L51" s="12"/>
      <c r="M51" s="12"/>
      <c r="N51" s="12"/>
      <c r="O51" s="12"/>
      <c r="P51" s="12"/>
      <c r="T51"/>
    </row>
    <row r="52" spans="1:21" s="11" customFormat="1" ht="16" x14ac:dyDescent="0.2">
      <c r="A52" s="16" t="s">
        <v>55</v>
      </c>
      <c r="B52" s="11">
        <f>(1/2963200)*4</f>
        <v>1.3498920086393089E-6</v>
      </c>
      <c r="C52" s="11" t="s">
        <v>34</v>
      </c>
      <c r="D52" s="11" t="s">
        <v>6</v>
      </c>
      <c r="F52" s="11" t="s">
        <v>12</v>
      </c>
      <c r="G52" s="11" t="s">
        <v>47</v>
      </c>
      <c r="H52" s="11" t="s">
        <v>484</v>
      </c>
      <c r="I52" s="11">
        <v>5</v>
      </c>
      <c r="J52">
        <f>B52</f>
        <v>1.3498920086393089E-6</v>
      </c>
      <c r="K52" s="19"/>
      <c r="L52" s="19"/>
      <c r="M52" s="19"/>
      <c r="N52" s="19"/>
      <c r="O52" s="19"/>
      <c r="P52" s="19"/>
      <c r="Q52"/>
      <c r="R52"/>
      <c r="S52" s="11">
        <f>(1/(25*8000*18.52))*4</f>
        <v>1.0799136069114471E-6</v>
      </c>
      <c r="T52" s="11">
        <f>(1/(15*8000*18.52))*4</f>
        <v>1.7998560115190784E-6</v>
      </c>
    </row>
    <row r="53" spans="1:21" s="11" customFormat="1" ht="16" x14ac:dyDescent="0.2">
      <c r="A53" s="16" t="s">
        <v>80</v>
      </c>
      <c r="B53" s="11">
        <f>1/2963200</f>
        <v>3.3747300215982723E-7</v>
      </c>
      <c r="C53" s="11" t="s">
        <v>34</v>
      </c>
      <c r="D53" s="11" t="s">
        <v>6</v>
      </c>
      <c r="F53" s="11" t="s">
        <v>12</v>
      </c>
      <c r="G53" s="11" t="s">
        <v>48</v>
      </c>
      <c r="H53" s="11" t="s">
        <v>485</v>
      </c>
      <c r="I53" s="11">
        <v>5</v>
      </c>
      <c r="J53">
        <f>B53</f>
        <v>3.3747300215982723E-7</v>
      </c>
      <c r="K53" s="19"/>
      <c r="L53" s="19"/>
      <c r="M53" s="19"/>
      <c r="N53" s="19"/>
      <c r="O53" s="19"/>
      <c r="P53" s="19"/>
      <c r="Q53"/>
      <c r="R53"/>
      <c r="S53" s="11">
        <f>(1/(25*8000*18.52))</f>
        <v>2.6997840172786177E-7</v>
      </c>
      <c r="T53" s="11">
        <f>(1/(15*8000*18.52))</f>
        <v>4.4996400287976961E-7</v>
      </c>
    </row>
    <row r="54" spans="1:21" s="11" customFormat="1" ht="16" x14ac:dyDescent="0.2">
      <c r="A54" s="16" t="s">
        <v>504</v>
      </c>
      <c r="B54" s="11">
        <f>B52*-1</f>
        <v>-1.3498920086393089E-6</v>
      </c>
      <c r="C54" s="11" t="s">
        <v>34</v>
      </c>
      <c r="D54" s="11" t="s">
        <v>6</v>
      </c>
      <c r="F54" s="11" t="s">
        <v>12</v>
      </c>
      <c r="G54" s="11" t="s">
        <v>505</v>
      </c>
      <c r="H54" s="11" t="s">
        <v>215</v>
      </c>
      <c r="I54" s="11">
        <v>5</v>
      </c>
      <c r="J54">
        <f>B54</f>
        <v>-1.3498920086393089E-6</v>
      </c>
      <c r="K54" s="19"/>
      <c r="L54" s="19"/>
      <c r="M54" s="19"/>
      <c r="N54" s="19"/>
      <c r="O54" s="19"/>
      <c r="P54" s="19"/>
      <c r="Q54"/>
      <c r="R54"/>
      <c r="S54" s="11">
        <f>-1*T52</f>
        <v>-1.7998560115190784E-6</v>
      </c>
      <c r="T54" s="11">
        <f>-1*S52</f>
        <v>-1.0799136069114471E-6</v>
      </c>
      <c r="U54" s="11" t="b">
        <v>1</v>
      </c>
    </row>
    <row r="55" spans="1:21" s="11" customFormat="1" ht="16" x14ac:dyDescent="0.2">
      <c r="A55" s="16" t="s">
        <v>506</v>
      </c>
      <c r="B55" s="11">
        <f>-1*B53</f>
        <v>-3.3747300215982723E-7</v>
      </c>
      <c r="C55" s="11" t="s">
        <v>34</v>
      </c>
      <c r="D55" s="11" t="s">
        <v>6</v>
      </c>
      <c r="F55" s="11" t="s">
        <v>12</v>
      </c>
      <c r="G55" s="11" t="s">
        <v>507</v>
      </c>
      <c r="H55" s="11" t="s">
        <v>225</v>
      </c>
      <c r="I55" s="11">
        <v>5</v>
      </c>
      <c r="J55">
        <f>B55</f>
        <v>-3.3747300215982723E-7</v>
      </c>
      <c r="K55" s="19"/>
      <c r="L55" s="19"/>
      <c r="M55" s="19"/>
      <c r="N55" s="19"/>
      <c r="O55" s="19"/>
      <c r="P55" s="19"/>
      <c r="Q55"/>
      <c r="R55"/>
      <c r="S55" s="11">
        <f>-1*T53</f>
        <v>-4.4996400287976961E-7</v>
      </c>
      <c r="T55" s="11">
        <f>-1*S53</f>
        <v>-2.6997840172786177E-7</v>
      </c>
      <c r="U55" s="11" t="b">
        <v>1</v>
      </c>
    </row>
    <row r="56" spans="1:21" s="11" customFormat="1" ht="16" x14ac:dyDescent="0.2">
      <c r="A56" s="13" t="s">
        <v>547</v>
      </c>
      <c r="B56" s="16">
        <v>54</v>
      </c>
      <c r="C56" s="11" t="s">
        <v>45</v>
      </c>
      <c r="D56" s="11" t="s">
        <v>35</v>
      </c>
      <c r="E56" s="10"/>
      <c r="F56" s="11" t="s">
        <v>12</v>
      </c>
      <c r="G56" s="13" t="s">
        <v>547</v>
      </c>
      <c r="H56" s="10" t="s">
        <v>548</v>
      </c>
      <c r="I56" s="11">
        <v>5</v>
      </c>
      <c r="J56" s="4">
        <f>B56</f>
        <v>54</v>
      </c>
      <c r="K56" s="19"/>
      <c r="L56" s="19"/>
      <c r="M56" s="19"/>
      <c r="N56" s="19"/>
      <c r="O56" s="19"/>
      <c r="P56" s="19"/>
      <c r="Q56"/>
      <c r="R56"/>
      <c r="S56" s="11">
        <v>52.9</v>
      </c>
      <c r="T56" s="11">
        <v>55.1</v>
      </c>
    </row>
    <row r="57" spans="1:21" s="11" customFormat="1" ht="16" x14ac:dyDescent="0.2">
      <c r="A57" s="13" t="s">
        <v>516</v>
      </c>
      <c r="B57" s="16">
        <v>14</v>
      </c>
      <c r="C57" s="11" t="s">
        <v>34</v>
      </c>
      <c r="D57" s="11" t="s">
        <v>13</v>
      </c>
      <c r="F57" s="11" t="s">
        <v>12</v>
      </c>
      <c r="G57" s="11" t="s">
        <v>517</v>
      </c>
      <c r="H57" s="20" t="s">
        <v>54</v>
      </c>
      <c r="I57" s="11">
        <v>0</v>
      </c>
      <c r="J57"/>
      <c r="K57" s="19"/>
      <c r="L57" s="19"/>
      <c r="M57" s="19"/>
      <c r="N57" s="19"/>
      <c r="O57" s="19"/>
      <c r="P57" s="19"/>
      <c r="Q57"/>
      <c r="R57"/>
    </row>
    <row r="58" spans="1:21" s="11" customFormat="1" ht="16" x14ac:dyDescent="0.2">
      <c r="A58" s="21" t="s">
        <v>38</v>
      </c>
      <c r="B58" s="15">
        <v>8</v>
      </c>
      <c r="C58" s="21"/>
      <c r="D58" s="21" t="s">
        <v>13</v>
      </c>
      <c r="E58" s="21" t="s">
        <v>39</v>
      </c>
      <c r="F58" s="21" t="s">
        <v>14</v>
      </c>
      <c r="G58" s="21"/>
      <c r="H58" s="22"/>
      <c r="I58" s="11">
        <v>0</v>
      </c>
      <c r="J58"/>
      <c r="K58" s="19"/>
      <c r="L58" s="19"/>
      <c r="M58" s="19"/>
      <c r="N58" s="19"/>
      <c r="O58" s="19"/>
      <c r="P58" s="19"/>
      <c r="Q58" s="19"/>
      <c r="R58"/>
    </row>
    <row r="59" spans="1:21" s="11" customFormat="1" ht="16" x14ac:dyDescent="0.2">
      <c r="A59" s="47" t="s">
        <v>456</v>
      </c>
      <c r="B59" s="48">
        <f>(0.09*1000)/(2963200/20)</f>
        <v>6.0745140388768898E-4</v>
      </c>
      <c r="C59" s="47"/>
      <c r="D59" s="47" t="s">
        <v>453</v>
      </c>
      <c r="E59" s="47" t="s">
        <v>454</v>
      </c>
      <c r="F59" s="47" t="s">
        <v>14</v>
      </c>
      <c r="H59" s="47" t="s">
        <v>457</v>
      </c>
      <c r="I59" s="11">
        <v>2</v>
      </c>
      <c r="J59">
        <f t="shared" ref="J59:J61" si="4">LN(B59)</f>
        <v>-7.4062383795497411</v>
      </c>
      <c r="K59" s="19">
        <v>1.05</v>
      </c>
      <c r="L59" s="19">
        <v>1.1000000000000001</v>
      </c>
      <c r="M59" s="19">
        <v>1</v>
      </c>
      <c r="N59" s="19">
        <v>1.02</v>
      </c>
      <c r="O59" s="19">
        <v>1.2</v>
      </c>
      <c r="P59" s="19">
        <v>1.2</v>
      </c>
      <c r="Q59" s="19">
        <v>1.5</v>
      </c>
      <c r="R59">
        <f t="shared" ref="R59:R61" si="5">LN(SQRT(EXP(
SQRT(
+POWER(LN(K59),2)
+POWER(LN(L59),2)
+POWER(LN(M59),2)
+POWER(LN(N59),2)
+POWER(LN(O59),2)
+POWER(LN(P59),2)
+POWER(LN(Q59),2)
)
)))</f>
        <v>0.24634371748562628</v>
      </c>
    </row>
    <row r="60" spans="1:21" s="11" customFormat="1" ht="16" x14ac:dyDescent="0.2">
      <c r="A60" s="47" t="s">
        <v>458</v>
      </c>
      <c r="B60" s="48">
        <f>(0.09*1000)/2963200</f>
        <v>3.0372570194384448E-5</v>
      </c>
      <c r="C60" s="47"/>
      <c r="D60" s="47" t="s">
        <v>459</v>
      </c>
      <c r="E60" s="47" t="s">
        <v>454</v>
      </c>
      <c r="F60" s="47" t="s">
        <v>14</v>
      </c>
      <c r="H60" s="47" t="s">
        <v>460</v>
      </c>
      <c r="I60" s="11">
        <v>2</v>
      </c>
      <c r="J60">
        <f t="shared" si="4"/>
        <v>-10.401970653103731</v>
      </c>
      <c r="K60" s="19">
        <v>1.05</v>
      </c>
      <c r="L60" s="19">
        <v>1.1000000000000001</v>
      </c>
      <c r="M60" s="19">
        <v>1</v>
      </c>
      <c r="N60" s="19">
        <v>1.02</v>
      </c>
      <c r="O60" s="19">
        <v>1.2</v>
      </c>
      <c r="P60" s="19">
        <v>1.2</v>
      </c>
      <c r="Q60" s="19">
        <v>1.5</v>
      </c>
      <c r="R60">
        <f t="shared" si="5"/>
        <v>0.24634371748562628</v>
      </c>
    </row>
    <row r="61" spans="1:21" s="11" customFormat="1" ht="16" x14ac:dyDescent="0.2">
      <c r="A61" s="47" t="s">
        <v>461</v>
      </c>
      <c r="B61" s="48">
        <f>(0.09*1000)/2963200</f>
        <v>3.0372570194384448E-5</v>
      </c>
      <c r="C61" s="47"/>
      <c r="D61" s="47" t="s">
        <v>459</v>
      </c>
      <c r="E61" s="47" t="s">
        <v>454</v>
      </c>
      <c r="F61" s="47" t="s">
        <v>14</v>
      </c>
      <c r="H61" s="47" t="s">
        <v>460</v>
      </c>
      <c r="I61" s="11">
        <v>2</v>
      </c>
      <c r="J61">
        <f t="shared" si="4"/>
        <v>-10.401970653103731</v>
      </c>
      <c r="K61" s="19">
        <v>1.05</v>
      </c>
      <c r="L61" s="19">
        <v>1.1000000000000001</v>
      </c>
      <c r="M61" s="19">
        <v>1</v>
      </c>
      <c r="N61" s="19">
        <v>1.02</v>
      </c>
      <c r="O61" s="19">
        <v>1.2</v>
      </c>
      <c r="P61" s="19">
        <v>1.2</v>
      </c>
      <c r="Q61" s="19">
        <v>1.5</v>
      </c>
      <c r="R61">
        <f t="shared" si="5"/>
        <v>0.24634371748562628</v>
      </c>
    </row>
    <row r="62" spans="1:21" s="11" customFormat="1" ht="16" x14ac:dyDescent="0.2">
      <c r="K62" s="12"/>
      <c r="L62" s="12"/>
      <c r="M62" s="12"/>
      <c r="N62" s="12"/>
      <c r="O62" s="12"/>
      <c r="P62" s="12"/>
    </row>
    <row r="63" spans="1:21" s="11" customFormat="1" ht="16" x14ac:dyDescent="0.2">
      <c r="A63" s="8" t="s">
        <v>1</v>
      </c>
      <c r="B63" s="9" t="s">
        <v>496</v>
      </c>
      <c r="C63" s="10"/>
      <c r="K63" s="12"/>
      <c r="L63" s="12"/>
      <c r="M63" s="12"/>
      <c r="N63" s="12"/>
      <c r="O63" s="12"/>
      <c r="P63" s="12"/>
    </row>
    <row r="64" spans="1:21" s="11" customFormat="1" ht="16" x14ac:dyDescent="0.2">
      <c r="A64" s="13" t="s">
        <v>3</v>
      </c>
      <c r="B64" s="14">
        <v>1</v>
      </c>
      <c r="K64" s="12"/>
      <c r="L64" s="12"/>
      <c r="M64" s="12"/>
      <c r="N64" s="12"/>
      <c r="O64" s="12"/>
      <c r="P64" s="12"/>
    </row>
    <row r="65" spans="1:21" s="11" customFormat="1" ht="16" x14ac:dyDescent="0.2">
      <c r="A65" s="13" t="s">
        <v>11</v>
      </c>
      <c r="B65" s="14" t="s">
        <v>552</v>
      </c>
      <c r="K65" s="12"/>
      <c r="L65" s="12"/>
      <c r="M65" s="12"/>
      <c r="N65" s="12"/>
      <c r="O65" s="12"/>
      <c r="P65" s="12"/>
    </row>
    <row r="66" spans="1:21" s="11" customFormat="1" ht="16" x14ac:dyDescent="0.2">
      <c r="A66" s="13" t="s">
        <v>4</v>
      </c>
      <c r="B66" s="15" t="s">
        <v>122</v>
      </c>
      <c r="K66" s="12"/>
      <c r="L66" s="12"/>
      <c r="M66" s="12"/>
      <c r="N66" s="12"/>
      <c r="O66" s="12"/>
      <c r="P66" s="12"/>
    </row>
    <row r="67" spans="1:21" s="11" customFormat="1" ht="16" x14ac:dyDescent="0.2">
      <c r="A67" s="13" t="s">
        <v>2</v>
      </c>
      <c r="B67" s="14" t="s">
        <v>34</v>
      </c>
      <c r="K67" s="12"/>
      <c r="L67" s="12"/>
      <c r="M67" s="12"/>
      <c r="N67" s="12"/>
      <c r="O67" s="12"/>
      <c r="P67" s="12"/>
    </row>
    <row r="68" spans="1:21" s="11" customFormat="1" ht="16" x14ac:dyDescent="0.2">
      <c r="A68" s="13" t="s">
        <v>6</v>
      </c>
      <c r="B68" s="16" t="s">
        <v>13</v>
      </c>
      <c r="H68" s="17"/>
      <c r="I68" s="17"/>
      <c r="J68" s="17"/>
      <c r="K68" s="12"/>
      <c r="L68" s="12"/>
      <c r="M68" s="12"/>
      <c r="N68" s="12"/>
      <c r="O68" s="12"/>
      <c r="P68" s="12"/>
    </row>
    <row r="69" spans="1:21" s="11" customFormat="1" ht="16" x14ac:dyDescent="0.2">
      <c r="A69" s="17" t="s">
        <v>7</v>
      </c>
      <c r="B69" s="9"/>
      <c r="C69" s="17"/>
      <c r="D69" s="17"/>
      <c r="E69" s="17"/>
      <c r="F69" s="17"/>
      <c r="G69" s="17"/>
      <c r="H69" s="10"/>
      <c r="I69" s="10"/>
      <c r="J69" s="10"/>
      <c r="K69" s="12"/>
      <c r="L69" s="12"/>
      <c r="M69" s="12"/>
      <c r="N69" s="12"/>
      <c r="O69" s="12"/>
      <c r="P69" s="12"/>
    </row>
    <row r="70" spans="1:21" s="11" customFormat="1" ht="16" x14ac:dyDescent="0.2">
      <c r="A70" s="17" t="s">
        <v>8</v>
      </c>
      <c r="B70" s="17" t="s">
        <v>9</v>
      </c>
      <c r="C70" s="17" t="s">
        <v>2</v>
      </c>
      <c r="D70" s="17" t="s">
        <v>6</v>
      </c>
      <c r="E70" s="17" t="s">
        <v>10</v>
      </c>
      <c r="F70" s="17" t="s">
        <v>5</v>
      </c>
      <c r="G70" s="17" t="s">
        <v>4</v>
      </c>
      <c r="H70" s="17" t="s">
        <v>11</v>
      </c>
      <c r="I70" s="17" t="s">
        <v>466</v>
      </c>
      <c r="J70" s="7" t="s">
        <v>467</v>
      </c>
      <c r="K70" s="18" t="s">
        <v>468</v>
      </c>
      <c r="L70" s="18" t="s">
        <v>469</v>
      </c>
      <c r="M70" s="18" t="s">
        <v>470</v>
      </c>
      <c r="N70" s="18" t="s">
        <v>471</v>
      </c>
      <c r="O70" s="18" t="s">
        <v>472</v>
      </c>
      <c r="P70" s="18" t="s">
        <v>473</v>
      </c>
      <c r="Q70" s="7" t="s">
        <v>474</v>
      </c>
      <c r="R70" s="7" t="s">
        <v>475</v>
      </c>
      <c r="S70" s="17" t="s">
        <v>476</v>
      </c>
      <c r="T70" s="7" t="s">
        <v>477</v>
      </c>
      <c r="U70" s="17" t="s">
        <v>46</v>
      </c>
    </row>
    <row r="71" spans="1:21" s="11" customFormat="1" ht="16" x14ac:dyDescent="0.2">
      <c r="A71" s="16" t="str">
        <f>B63</f>
        <v>hydrogen production, gaseous, 30 bar, from PEM electrolysis, from onshore wind electricity</v>
      </c>
      <c r="B71" s="16">
        <v>1</v>
      </c>
      <c r="C71" s="11" t="str">
        <f>B67</f>
        <v>RER</v>
      </c>
      <c r="D71" s="11" t="str">
        <f>B68</f>
        <v>kilogram</v>
      </c>
      <c r="E71" s="10"/>
      <c r="F71" s="11" t="s">
        <v>16</v>
      </c>
      <c r="G71" s="11" t="s">
        <v>122</v>
      </c>
      <c r="H71" s="10"/>
      <c r="I71" s="10">
        <v>0</v>
      </c>
      <c r="K71" s="12"/>
      <c r="L71" s="12"/>
      <c r="M71" s="12"/>
      <c r="N71" s="12"/>
      <c r="O71" s="12"/>
      <c r="P71" s="12"/>
      <c r="T71"/>
    </row>
    <row r="72" spans="1:21" s="11" customFormat="1" ht="16" x14ac:dyDescent="0.2">
      <c r="A72" s="16" t="s">
        <v>55</v>
      </c>
      <c r="B72" s="11">
        <f>(1/2963200)*4</f>
        <v>1.3498920086393089E-6</v>
      </c>
      <c r="C72" s="11" t="s">
        <v>34</v>
      </c>
      <c r="D72" s="11" t="s">
        <v>6</v>
      </c>
      <c r="F72" s="11" t="s">
        <v>12</v>
      </c>
      <c r="G72" s="11" t="s">
        <v>47</v>
      </c>
      <c r="H72" s="11" t="s">
        <v>484</v>
      </c>
      <c r="I72" s="11">
        <v>5</v>
      </c>
      <c r="J72">
        <f>B72</f>
        <v>1.3498920086393089E-6</v>
      </c>
      <c r="K72" s="19"/>
      <c r="L72" s="19"/>
      <c r="M72" s="19"/>
      <c r="N72" s="19"/>
      <c r="O72" s="19"/>
      <c r="P72" s="19"/>
      <c r="Q72"/>
      <c r="R72"/>
      <c r="S72" s="11">
        <f>(1/(25*8000*18.52))*4</f>
        <v>1.0799136069114471E-6</v>
      </c>
      <c r="T72" s="11">
        <f>(1/(15*8000*18.52))*4</f>
        <v>1.7998560115190784E-6</v>
      </c>
    </row>
    <row r="73" spans="1:21" s="11" customFormat="1" ht="16" x14ac:dyDescent="0.2">
      <c r="A73" s="16" t="s">
        <v>80</v>
      </c>
      <c r="B73" s="11">
        <f>1/2963200</f>
        <v>3.3747300215982723E-7</v>
      </c>
      <c r="C73" s="11" t="s">
        <v>34</v>
      </c>
      <c r="D73" s="11" t="s">
        <v>6</v>
      </c>
      <c r="F73" s="11" t="s">
        <v>12</v>
      </c>
      <c r="G73" s="11" t="s">
        <v>48</v>
      </c>
      <c r="H73" s="11" t="s">
        <v>485</v>
      </c>
      <c r="I73" s="11">
        <v>5</v>
      </c>
      <c r="J73">
        <f>B73</f>
        <v>3.3747300215982723E-7</v>
      </c>
      <c r="K73" s="19"/>
      <c r="L73" s="19"/>
      <c r="M73" s="19"/>
      <c r="N73" s="19"/>
      <c r="O73" s="19"/>
      <c r="P73" s="19"/>
      <c r="Q73"/>
      <c r="R73"/>
      <c r="S73" s="11">
        <f>(1/(25*8000*18.52))</f>
        <v>2.6997840172786177E-7</v>
      </c>
      <c r="T73" s="11">
        <f>(1/(15*8000*18.52))</f>
        <v>4.4996400287976961E-7</v>
      </c>
    </row>
    <row r="74" spans="1:21" s="11" customFormat="1" ht="16" x14ac:dyDescent="0.2">
      <c r="A74" s="16" t="s">
        <v>504</v>
      </c>
      <c r="B74" s="11">
        <f>B72*-1</f>
        <v>-1.3498920086393089E-6</v>
      </c>
      <c r="C74" s="11" t="s">
        <v>34</v>
      </c>
      <c r="D74" s="11" t="s">
        <v>6</v>
      </c>
      <c r="F74" s="11" t="s">
        <v>12</v>
      </c>
      <c r="G74" s="11" t="s">
        <v>505</v>
      </c>
      <c r="H74" s="11" t="s">
        <v>215</v>
      </c>
      <c r="I74" s="11">
        <v>5</v>
      </c>
      <c r="J74">
        <f>B74</f>
        <v>-1.3498920086393089E-6</v>
      </c>
      <c r="K74" s="19"/>
      <c r="L74" s="19"/>
      <c r="M74" s="19"/>
      <c r="N74" s="19"/>
      <c r="O74" s="19"/>
      <c r="P74" s="19"/>
      <c r="Q74"/>
      <c r="R74"/>
      <c r="S74" s="11">
        <f>-1*T72</f>
        <v>-1.7998560115190784E-6</v>
      </c>
      <c r="T74" s="11">
        <f>-1*S72</f>
        <v>-1.0799136069114471E-6</v>
      </c>
      <c r="U74" s="11" t="b">
        <v>1</v>
      </c>
    </row>
    <row r="75" spans="1:21" s="11" customFormat="1" ht="16" x14ac:dyDescent="0.2">
      <c r="A75" s="16" t="s">
        <v>506</v>
      </c>
      <c r="B75" s="11">
        <f>-1*B73</f>
        <v>-3.3747300215982723E-7</v>
      </c>
      <c r="C75" s="11" t="s">
        <v>34</v>
      </c>
      <c r="D75" s="11" t="s">
        <v>6</v>
      </c>
      <c r="F75" s="11" t="s">
        <v>12</v>
      </c>
      <c r="G75" s="11" t="s">
        <v>507</v>
      </c>
      <c r="H75" s="11" t="s">
        <v>225</v>
      </c>
      <c r="I75" s="11">
        <v>5</v>
      </c>
      <c r="J75">
        <f>B75</f>
        <v>-3.3747300215982723E-7</v>
      </c>
      <c r="K75" s="19"/>
      <c r="L75" s="19"/>
      <c r="M75" s="19"/>
      <c r="N75" s="19"/>
      <c r="O75" s="19"/>
      <c r="P75" s="19"/>
      <c r="Q75"/>
      <c r="R75"/>
      <c r="S75" s="11">
        <f>-1*T73</f>
        <v>-4.4996400287976961E-7</v>
      </c>
      <c r="T75" s="11">
        <f>-1*S73</f>
        <v>-2.6997840172786177E-7</v>
      </c>
      <c r="U75" s="11" t="b">
        <v>1</v>
      </c>
    </row>
    <row r="76" spans="1:21" s="11" customFormat="1" ht="16" x14ac:dyDescent="0.2">
      <c r="A76" s="13" t="s">
        <v>492</v>
      </c>
      <c r="B76" s="16">
        <v>54</v>
      </c>
      <c r="C76" s="11" t="s">
        <v>493</v>
      </c>
      <c r="D76" s="11" t="s">
        <v>35</v>
      </c>
      <c r="E76" s="10"/>
      <c r="F76" s="11" t="s">
        <v>12</v>
      </c>
      <c r="G76" s="11" t="s">
        <v>494</v>
      </c>
      <c r="H76" s="10" t="s">
        <v>495</v>
      </c>
      <c r="I76" s="11">
        <v>5</v>
      </c>
      <c r="J76" s="4">
        <f>B76</f>
        <v>54</v>
      </c>
      <c r="K76" s="19"/>
      <c r="L76" s="19"/>
      <c r="M76" s="19"/>
      <c r="N76" s="19"/>
      <c r="O76" s="19"/>
      <c r="P76" s="19"/>
      <c r="Q76"/>
      <c r="R76"/>
      <c r="S76" s="11">
        <v>52.9</v>
      </c>
      <c r="T76" s="11">
        <v>55.1</v>
      </c>
    </row>
    <row r="77" spans="1:21" s="11" customFormat="1" ht="16" x14ac:dyDescent="0.2">
      <c r="A77" s="13" t="s">
        <v>516</v>
      </c>
      <c r="B77" s="16">
        <v>14</v>
      </c>
      <c r="C77" s="11" t="s">
        <v>34</v>
      </c>
      <c r="D77" s="11" t="s">
        <v>13</v>
      </c>
      <c r="F77" s="11" t="s">
        <v>12</v>
      </c>
      <c r="G77" s="11" t="s">
        <v>517</v>
      </c>
      <c r="H77" s="20" t="s">
        <v>54</v>
      </c>
      <c r="I77" s="11">
        <v>0</v>
      </c>
      <c r="J77"/>
      <c r="K77" s="19"/>
      <c r="L77" s="19"/>
      <c r="M77" s="19"/>
      <c r="N77" s="19"/>
      <c r="O77" s="19"/>
      <c r="P77" s="19"/>
      <c r="Q77"/>
      <c r="R77"/>
    </row>
    <row r="78" spans="1:21" s="11" customFormat="1" ht="16" x14ac:dyDescent="0.2">
      <c r="A78" s="21" t="s">
        <v>38</v>
      </c>
      <c r="B78" s="15">
        <v>8</v>
      </c>
      <c r="C78" s="21"/>
      <c r="D78" s="21" t="s">
        <v>13</v>
      </c>
      <c r="E78" s="21" t="s">
        <v>39</v>
      </c>
      <c r="F78" s="21" t="s">
        <v>14</v>
      </c>
      <c r="G78" s="21"/>
      <c r="H78" s="22"/>
      <c r="I78" s="11">
        <v>0</v>
      </c>
      <c r="J78"/>
      <c r="K78" s="19"/>
      <c r="L78" s="19"/>
      <c r="M78" s="19"/>
      <c r="N78" s="19"/>
      <c r="O78" s="19"/>
      <c r="P78" s="19"/>
      <c r="Q78" s="19"/>
      <c r="R78"/>
    </row>
    <row r="79" spans="1:21" s="11" customFormat="1" ht="16" x14ac:dyDescent="0.2">
      <c r="A79" s="47" t="s">
        <v>456</v>
      </c>
      <c r="B79" s="48">
        <f>(0.09*1000)/(2963200/20)</f>
        <v>6.0745140388768898E-4</v>
      </c>
      <c r="C79" s="47"/>
      <c r="D79" s="47" t="s">
        <v>453</v>
      </c>
      <c r="E79" s="47" t="s">
        <v>454</v>
      </c>
      <c r="F79" s="47" t="s">
        <v>14</v>
      </c>
      <c r="H79" s="47" t="s">
        <v>457</v>
      </c>
      <c r="I79" s="11">
        <v>2</v>
      </c>
      <c r="J79">
        <f t="shared" ref="J79:J81" si="6">LN(B79)</f>
        <v>-7.4062383795497411</v>
      </c>
      <c r="K79" s="19">
        <v>1.05</v>
      </c>
      <c r="L79" s="19">
        <v>1.1000000000000001</v>
      </c>
      <c r="M79" s="19">
        <v>1</v>
      </c>
      <c r="N79" s="19">
        <v>1.02</v>
      </c>
      <c r="O79" s="19">
        <v>1.2</v>
      </c>
      <c r="P79" s="19">
        <v>1.2</v>
      </c>
      <c r="Q79" s="19">
        <v>1.5</v>
      </c>
      <c r="R79">
        <f t="shared" ref="R79:R81" si="7">LN(SQRT(EXP(
SQRT(
+POWER(LN(K79),2)
+POWER(LN(L79),2)
+POWER(LN(M79),2)
+POWER(LN(N79),2)
+POWER(LN(O79),2)
+POWER(LN(P79),2)
+POWER(LN(Q79),2)
)
)))</f>
        <v>0.24634371748562628</v>
      </c>
    </row>
    <row r="80" spans="1:21" s="11" customFormat="1" ht="16" x14ac:dyDescent="0.2">
      <c r="A80" s="47" t="s">
        <v>458</v>
      </c>
      <c r="B80" s="48">
        <f>(0.09*1000)/2963200</f>
        <v>3.0372570194384448E-5</v>
      </c>
      <c r="C80" s="47"/>
      <c r="D80" s="47" t="s">
        <v>459</v>
      </c>
      <c r="E80" s="47" t="s">
        <v>454</v>
      </c>
      <c r="F80" s="47" t="s">
        <v>14</v>
      </c>
      <c r="H80" s="47" t="s">
        <v>460</v>
      </c>
      <c r="I80" s="11">
        <v>2</v>
      </c>
      <c r="J80">
        <f t="shared" si="6"/>
        <v>-10.401970653103731</v>
      </c>
      <c r="K80" s="19">
        <v>1.05</v>
      </c>
      <c r="L80" s="19">
        <v>1.1000000000000001</v>
      </c>
      <c r="M80" s="19">
        <v>1</v>
      </c>
      <c r="N80" s="19">
        <v>1.02</v>
      </c>
      <c r="O80" s="19">
        <v>1.2</v>
      </c>
      <c r="P80" s="19">
        <v>1.2</v>
      </c>
      <c r="Q80" s="19">
        <v>1.5</v>
      </c>
      <c r="R80">
        <f t="shared" si="7"/>
        <v>0.24634371748562628</v>
      </c>
    </row>
    <row r="81" spans="1:21" s="11" customFormat="1" ht="16" x14ac:dyDescent="0.2">
      <c r="A81" s="47" t="s">
        <v>461</v>
      </c>
      <c r="B81" s="48">
        <f>(0.09*1000)/2963200</f>
        <v>3.0372570194384448E-5</v>
      </c>
      <c r="C81" s="47"/>
      <c r="D81" s="47" t="s">
        <v>459</v>
      </c>
      <c r="E81" s="47" t="s">
        <v>454</v>
      </c>
      <c r="F81" s="47" t="s">
        <v>14</v>
      </c>
      <c r="H81" s="47" t="s">
        <v>460</v>
      </c>
      <c r="I81" s="11">
        <v>2</v>
      </c>
      <c r="J81">
        <f t="shared" si="6"/>
        <v>-10.401970653103731</v>
      </c>
      <c r="K81" s="19">
        <v>1.05</v>
      </c>
      <c r="L81" s="19">
        <v>1.1000000000000001</v>
      </c>
      <c r="M81" s="19">
        <v>1</v>
      </c>
      <c r="N81" s="19">
        <v>1.02</v>
      </c>
      <c r="O81" s="19">
        <v>1.2</v>
      </c>
      <c r="P81" s="19">
        <v>1.2</v>
      </c>
      <c r="Q81" s="19">
        <v>1.5</v>
      </c>
      <c r="R81">
        <f t="shared" si="7"/>
        <v>0.24634371748562628</v>
      </c>
    </row>
    <row r="82" spans="1:21" s="11" customFormat="1" ht="16" x14ac:dyDescent="0.2">
      <c r="K82" s="12"/>
      <c r="L82" s="12"/>
      <c r="M82" s="12"/>
      <c r="N82" s="12"/>
      <c r="O82" s="12"/>
      <c r="P82" s="12"/>
    </row>
    <row r="83" spans="1:21" s="11" customFormat="1" ht="16" x14ac:dyDescent="0.2">
      <c r="A83" s="8" t="s">
        <v>1</v>
      </c>
      <c r="B83" s="9" t="s">
        <v>497</v>
      </c>
      <c r="C83" s="10"/>
      <c r="K83" s="12"/>
      <c r="L83" s="12"/>
      <c r="M83" s="12"/>
      <c r="N83" s="12"/>
      <c r="O83" s="12"/>
      <c r="P83" s="12"/>
    </row>
    <row r="84" spans="1:21" s="11" customFormat="1" ht="16" x14ac:dyDescent="0.2">
      <c r="A84" s="13" t="s">
        <v>3</v>
      </c>
      <c r="B84" s="14">
        <v>1</v>
      </c>
      <c r="K84" s="12"/>
      <c r="L84" s="12"/>
      <c r="M84" s="12"/>
      <c r="N84" s="12"/>
      <c r="O84" s="12"/>
      <c r="P84" s="12"/>
    </row>
    <row r="85" spans="1:21" s="11" customFormat="1" ht="16" x14ac:dyDescent="0.2">
      <c r="A85" s="13" t="s">
        <v>11</v>
      </c>
      <c r="B85" s="14" t="s">
        <v>553</v>
      </c>
      <c r="K85" s="12"/>
      <c r="L85" s="12"/>
      <c r="M85" s="12"/>
      <c r="N85" s="12"/>
      <c r="O85" s="12"/>
      <c r="P85" s="12"/>
    </row>
    <row r="86" spans="1:21" s="11" customFormat="1" ht="16" x14ac:dyDescent="0.2">
      <c r="A86" s="13" t="s">
        <v>4</v>
      </c>
      <c r="B86" s="15" t="s">
        <v>122</v>
      </c>
      <c r="K86" s="12"/>
      <c r="L86" s="12"/>
      <c r="M86" s="12"/>
      <c r="N86" s="12"/>
      <c r="O86" s="12"/>
      <c r="P86" s="12"/>
    </row>
    <row r="87" spans="1:21" s="11" customFormat="1" ht="16" x14ac:dyDescent="0.2">
      <c r="A87" s="13" t="s">
        <v>2</v>
      </c>
      <c r="B87" s="14" t="s">
        <v>34</v>
      </c>
      <c r="K87" s="12"/>
      <c r="L87" s="12"/>
      <c r="M87" s="12"/>
      <c r="N87" s="12"/>
      <c r="O87" s="12"/>
      <c r="P87" s="12"/>
    </row>
    <row r="88" spans="1:21" s="11" customFormat="1" ht="16" x14ac:dyDescent="0.2">
      <c r="A88" s="13" t="s">
        <v>6</v>
      </c>
      <c r="B88" s="16" t="s">
        <v>13</v>
      </c>
      <c r="H88" s="17"/>
      <c r="I88" s="17"/>
      <c r="J88" s="17"/>
      <c r="K88" s="12"/>
      <c r="L88" s="12"/>
      <c r="M88" s="12"/>
      <c r="N88" s="12"/>
      <c r="O88" s="12"/>
      <c r="P88" s="12"/>
    </row>
    <row r="89" spans="1:21" s="11" customFormat="1" ht="16" x14ac:dyDescent="0.2">
      <c r="A89" s="17" t="s">
        <v>7</v>
      </c>
      <c r="B89" s="9"/>
      <c r="C89" s="17"/>
      <c r="D89" s="17"/>
      <c r="E89" s="17"/>
      <c r="F89" s="17"/>
      <c r="G89" s="17"/>
      <c r="H89" s="10"/>
      <c r="I89" s="10"/>
      <c r="J89" s="10"/>
      <c r="K89" s="12"/>
      <c r="L89" s="12"/>
      <c r="M89" s="12"/>
      <c r="N89" s="12"/>
      <c r="O89" s="12"/>
      <c r="P89" s="12"/>
    </row>
    <row r="90" spans="1:21" s="11" customFormat="1" ht="16" x14ac:dyDescent="0.2">
      <c r="A90" s="17" t="s">
        <v>8</v>
      </c>
      <c r="B90" s="17" t="s">
        <v>9</v>
      </c>
      <c r="C90" s="17" t="s">
        <v>2</v>
      </c>
      <c r="D90" s="17" t="s">
        <v>6</v>
      </c>
      <c r="E90" s="17" t="s">
        <v>10</v>
      </c>
      <c r="F90" s="17" t="s">
        <v>5</v>
      </c>
      <c r="G90" s="17" t="s">
        <v>4</v>
      </c>
      <c r="H90" s="17" t="s">
        <v>11</v>
      </c>
      <c r="I90" s="17" t="s">
        <v>466</v>
      </c>
      <c r="J90" s="7" t="s">
        <v>467</v>
      </c>
      <c r="K90" s="18" t="s">
        <v>468</v>
      </c>
      <c r="L90" s="18" t="s">
        <v>469</v>
      </c>
      <c r="M90" s="18" t="s">
        <v>470</v>
      </c>
      <c r="N90" s="18" t="s">
        <v>471</v>
      </c>
      <c r="O90" s="18" t="s">
        <v>472</v>
      </c>
      <c r="P90" s="18" t="s">
        <v>473</v>
      </c>
      <c r="Q90" s="7" t="s">
        <v>474</v>
      </c>
      <c r="R90" s="7" t="s">
        <v>475</v>
      </c>
      <c r="S90" s="17" t="s">
        <v>476</v>
      </c>
      <c r="T90" s="7" t="s">
        <v>477</v>
      </c>
      <c r="U90" s="17" t="s">
        <v>46</v>
      </c>
    </row>
    <row r="91" spans="1:21" s="11" customFormat="1" ht="16" x14ac:dyDescent="0.2">
      <c r="A91" s="16" t="str">
        <f>B83</f>
        <v>hydrogen production, gaseous, 30 bar, from PEM electrolysis, from offshore wind electricity</v>
      </c>
      <c r="B91" s="16">
        <v>1</v>
      </c>
      <c r="C91" s="11" t="str">
        <f>B87</f>
        <v>RER</v>
      </c>
      <c r="D91" s="11" t="str">
        <f>B88</f>
        <v>kilogram</v>
      </c>
      <c r="E91" s="10"/>
      <c r="F91" s="11" t="s">
        <v>16</v>
      </c>
      <c r="G91" s="11" t="s">
        <v>122</v>
      </c>
      <c r="H91" s="10"/>
      <c r="I91" s="10">
        <v>0</v>
      </c>
      <c r="K91" s="12"/>
      <c r="L91" s="12"/>
      <c r="M91" s="12"/>
      <c r="N91" s="12"/>
      <c r="O91" s="12"/>
      <c r="P91" s="12"/>
      <c r="T91"/>
    </row>
    <row r="92" spans="1:21" s="11" customFormat="1" ht="16" x14ac:dyDescent="0.2">
      <c r="A92" s="16" t="s">
        <v>55</v>
      </c>
      <c r="B92" s="11">
        <f>(1/2963200)*4</f>
        <v>1.3498920086393089E-6</v>
      </c>
      <c r="C92" s="11" t="s">
        <v>34</v>
      </c>
      <c r="D92" s="11" t="s">
        <v>6</v>
      </c>
      <c r="F92" s="11" t="s">
        <v>12</v>
      </c>
      <c r="G92" s="11" t="s">
        <v>47</v>
      </c>
      <c r="H92" s="11" t="s">
        <v>484</v>
      </c>
      <c r="I92" s="11">
        <v>5</v>
      </c>
      <c r="J92">
        <f>B92</f>
        <v>1.3498920086393089E-6</v>
      </c>
      <c r="K92" s="19"/>
      <c r="L92" s="19"/>
      <c r="M92" s="19"/>
      <c r="N92" s="19"/>
      <c r="O92" s="19"/>
      <c r="P92" s="19"/>
      <c r="Q92"/>
      <c r="R92"/>
      <c r="S92" s="11">
        <f>(1/(25*8000*18.52))*4</f>
        <v>1.0799136069114471E-6</v>
      </c>
      <c r="T92" s="11">
        <f>(1/(15*8000*18.52))*4</f>
        <v>1.7998560115190784E-6</v>
      </c>
    </row>
    <row r="93" spans="1:21" s="11" customFormat="1" ht="16" x14ac:dyDescent="0.2">
      <c r="A93" s="16" t="s">
        <v>80</v>
      </c>
      <c r="B93" s="11">
        <f>1/2963200</f>
        <v>3.3747300215982723E-7</v>
      </c>
      <c r="C93" s="11" t="s">
        <v>34</v>
      </c>
      <c r="D93" s="11" t="s">
        <v>6</v>
      </c>
      <c r="F93" s="11" t="s">
        <v>12</v>
      </c>
      <c r="G93" s="11" t="s">
        <v>48</v>
      </c>
      <c r="H93" s="11" t="s">
        <v>485</v>
      </c>
      <c r="I93" s="11">
        <v>5</v>
      </c>
      <c r="J93">
        <f>B93</f>
        <v>3.3747300215982723E-7</v>
      </c>
      <c r="K93" s="19"/>
      <c r="L93" s="19"/>
      <c r="M93" s="19"/>
      <c r="N93" s="19"/>
      <c r="O93" s="19"/>
      <c r="P93" s="19"/>
      <c r="Q93"/>
      <c r="R93"/>
      <c r="S93" s="11">
        <f>(1/(25*8000*18.52))</f>
        <v>2.6997840172786177E-7</v>
      </c>
      <c r="T93" s="11">
        <f>(1/(15*8000*18.52))</f>
        <v>4.4996400287976961E-7</v>
      </c>
    </row>
    <row r="94" spans="1:21" s="11" customFormat="1" ht="16" x14ac:dyDescent="0.2">
      <c r="A94" s="16" t="s">
        <v>504</v>
      </c>
      <c r="B94" s="11">
        <f>B92*-1</f>
        <v>-1.3498920086393089E-6</v>
      </c>
      <c r="C94" s="11" t="s">
        <v>34</v>
      </c>
      <c r="D94" s="11" t="s">
        <v>6</v>
      </c>
      <c r="F94" s="11" t="s">
        <v>12</v>
      </c>
      <c r="G94" s="11" t="s">
        <v>505</v>
      </c>
      <c r="H94" s="11" t="s">
        <v>215</v>
      </c>
      <c r="I94" s="11">
        <v>5</v>
      </c>
      <c r="J94">
        <f>B94</f>
        <v>-1.3498920086393089E-6</v>
      </c>
      <c r="K94" s="19"/>
      <c r="L94" s="19"/>
      <c r="M94" s="19"/>
      <c r="N94" s="19"/>
      <c r="O94" s="19"/>
      <c r="P94" s="19"/>
      <c r="Q94"/>
      <c r="R94"/>
      <c r="S94" s="11">
        <f>-1*T92</f>
        <v>-1.7998560115190784E-6</v>
      </c>
      <c r="T94" s="11">
        <f>-1*S92</f>
        <v>-1.0799136069114471E-6</v>
      </c>
      <c r="U94" s="11" t="b">
        <v>1</v>
      </c>
    </row>
    <row r="95" spans="1:21" s="11" customFormat="1" ht="16" x14ac:dyDescent="0.2">
      <c r="A95" s="16" t="s">
        <v>506</v>
      </c>
      <c r="B95" s="11">
        <f>-1*B93</f>
        <v>-3.3747300215982723E-7</v>
      </c>
      <c r="C95" s="11" t="s">
        <v>34</v>
      </c>
      <c r="D95" s="11" t="s">
        <v>6</v>
      </c>
      <c r="F95" s="11" t="s">
        <v>12</v>
      </c>
      <c r="G95" s="11" t="s">
        <v>507</v>
      </c>
      <c r="H95" s="11" t="s">
        <v>225</v>
      </c>
      <c r="I95" s="11">
        <v>5</v>
      </c>
      <c r="J95">
        <f>B95</f>
        <v>-3.3747300215982723E-7</v>
      </c>
      <c r="K95" s="19"/>
      <c r="L95" s="19"/>
      <c r="M95" s="19"/>
      <c r="N95" s="19"/>
      <c r="O95" s="19"/>
      <c r="P95" s="19"/>
      <c r="Q95"/>
      <c r="R95"/>
      <c r="S95" s="11">
        <f>-1*T93</f>
        <v>-4.4996400287976961E-7</v>
      </c>
      <c r="T95" s="11">
        <f>-1*S93</f>
        <v>-2.6997840172786177E-7</v>
      </c>
      <c r="U95" s="11" t="b">
        <v>1</v>
      </c>
    </row>
    <row r="96" spans="1:21" s="11" customFormat="1" ht="16" x14ac:dyDescent="0.2">
      <c r="A96" s="13" t="s">
        <v>498</v>
      </c>
      <c r="B96" s="16">
        <v>54</v>
      </c>
      <c r="C96" s="11" t="s">
        <v>493</v>
      </c>
      <c r="D96" s="11" t="s">
        <v>35</v>
      </c>
      <c r="E96" s="10"/>
      <c r="F96" s="11" t="s">
        <v>12</v>
      </c>
      <c r="G96" s="11" t="s">
        <v>494</v>
      </c>
      <c r="H96" s="10" t="s">
        <v>499</v>
      </c>
      <c r="I96" s="11">
        <v>5</v>
      </c>
      <c r="J96" s="4">
        <f>B96</f>
        <v>54</v>
      </c>
      <c r="K96" s="19"/>
      <c r="L96" s="19"/>
      <c r="M96" s="19"/>
      <c r="N96" s="19"/>
      <c r="O96" s="19"/>
      <c r="P96" s="19"/>
      <c r="Q96"/>
      <c r="R96"/>
      <c r="S96" s="11">
        <v>52.9</v>
      </c>
      <c r="T96" s="11">
        <v>55.1</v>
      </c>
    </row>
    <row r="97" spans="1:21" s="11" customFormat="1" ht="16" x14ac:dyDescent="0.2">
      <c r="A97" s="13" t="s">
        <v>516</v>
      </c>
      <c r="B97" s="16">
        <v>14</v>
      </c>
      <c r="C97" s="11" t="s">
        <v>34</v>
      </c>
      <c r="D97" s="11" t="s">
        <v>13</v>
      </c>
      <c r="F97" s="11" t="s">
        <v>12</v>
      </c>
      <c r="G97" s="11" t="s">
        <v>517</v>
      </c>
      <c r="H97" s="20" t="s">
        <v>54</v>
      </c>
      <c r="I97" s="11">
        <v>0</v>
      </c>
      <c r="J97"/>
      <c r="K97" s="19"/>
      <c r="L97" s="19"/>
      <c r="M97" s="19"/>
      <c r="N97" s="19"/>
      <c r="O97" s="19"/>
      <c r="P97" s="19"/>
      <c r="Q97"/>
      <c r="R97"/>
    </row>
    <row r="98" spans="1:21" s="11" customFormat="1" ht="16" x14ac:dyDescent="0.2">
      <c r="A98" s="21" t="s">
        <v>38</v>
      </c>
      <c r="B98" s="15">
        <v>8</v>
      </c>
      <c r="C98" s="21"/>
      <c r="D98" s="21" t="s">
        <v>13</v>
      </c>
      <c r="E98" s="21" t="s">
        <v>39</v>
      </c>
      <c r="F98" s="21" t="s">
        <v>14</v>
      </c>
      <c r="G98" s="21"/>
      <c r="H98" s="22"/>
      <c r="I98" s="11">
        <v>0</v>
      </c>
      <c r="J98"/>
      <c r="K98" s="19"/>
      <c r="L98" s="19"/>
      <c r="M98" s="19"/>
      <c r="N98" s="19"/>
      <c r="O98" s="19"/>
      <c r="P98" s="19"/>
      <c r="Q98" s="19"/>
      <c r="R98"/>
    </row>
    <row r="99" spans="1:21" s="11" customFormat="1" ht="16" x14ac:dyDescent="0.2">
      <c r="A99" s="47" t="s">
        <v>456</v>
      </c>
      <c r="B99" s="48">
        <f>(0.09*1000)/(2963200/20)</f>
        <v>6.0745140388768898E-4</v>
      </c>
      <c r="C99" s="47"/>
      <c r="D99" s="47" t="s">
        <v>453</v>
      </c>
      <c r="E99" s="47" t="s">
        <v>454</v>
      </c>
      <c r="F99" s="47" t="s">
        <v>14</v>
      </c>
      <c r="H99" s="47" t="s">
        <v>457</v>
      </c>
      <c r="I99" s="11">
        <v>2</v>
      </c>
      <c r="J99">
        <f t="shared" ref="J99:J101" si="8">LN(B99)</f>
        <v>-7.4062383795497411</v>
      </c>
      <c r="K99" s="19">
        <v>1.05</v>
      </c>
      <c r="L99" s="19">
        <v>1.1000000000000001</v>
      </c>
      <c r="M99" s="19">
        <v>1</v>
      </c>
      <c r="N99" s="19">
        <v>1.02</v>
      </c>
      <c r="O99" s="19">
        <v>1.2</v>
      </c>
      <c r="P99" s="19">
        <v>1.2</v>
      </c>
      <c r="Q99" s="19">
        <v>1.5</v>
      </c>
      <c r="R99">
        <f t="shared" ref="R99:R101" si="9">LN(SQRT(EXP(
SQRT(
+POWER(LN(K99),2)
+POWER(LN(L99),2)
+POWER(LN(M99),2)
+POWER(LN(N99),2)
+POWER(LN(O99),2)
+POWER(LN(P99),2)
+POWER(LN(Q99),2)
)
)))</f>
        <v>0.24634371748562628</v>
      </c>
    </row>
    <row r="100" spans="1:21" s="11" customFormat="1" ht="16" x14ac:dyDescent="0.2">
      <c r="A100" s="47" t="s">
        <v>458</v>
      </c>
      <c r="B100" s="48">
        <f>(0.09*1000)/2963200</f>
        <v>3.0372570194384448E-5</v>
      </c>
      <c r="C100" s="47"/>
      <c r="D100" s="47" t="s">
        <v>459</v>
      </c>
      <c r="E100" s="47" t="s">
        <v>454</v>
      </c>
      <c r="F100" s="47" t="s">
        <v>14</v>
      </c>
      <c r="H100" s="47" t="s">
        <v>460</v>
      </c>
      <c r="I100" s="11">
        <v>2</v>
      </c>
      <c r="J100">
        <f t="shared" si="8"/>
        <v>-10.401970653103731</v>
      </c>
      <c r="K100" s="19">
        <v>1.05</v>
      </c>
      <c r="L100" s="19">
        <v>1.1000000000000001</v>
      </c>
      <c r="M100" s="19">
        <v>1</v>
      </c>
      <c r="N100" s="19">
        <v>1.02</v>
      </c>
      <c r="O100" s="19">
        <v>1.2</v>
      </c>
      <c r="P100" s="19">
        <v>1.2</v>
      </c>
      <c r="Q100" s="19">
        <v>1.5</v>
      </c>
      <c r="R100">
        <f t="shared" si="9"/>
        <v>0.24634371748562628</v>
      </c>
    </row>
    <row r="101" spans="1:21" s="11" customFormat="1" ht="16" x14ac:dyDescent="0.2">
      <c r="A101" s="47" t="s">
        <v>461</v>
      </c>
      <c r="B101" s="48">
        <f>(0.09*1000)/2963200</f>
        <v>3.0372570194384448E-5</v>
      </c>
      <c r="C101" s="47"/>
      <c r="D101" s="47" t="s">
        <v>459</v>
      </c>
      <c r="E101" s="47" t="s">
        <v>454</v>
      </c>
      <c r="F101" s="47" t="s">
        <v>14</v>
      </c>
      <c r="H101" s="47" t="s">
        <v>460</v>
      </c>
      <c r="I101" s="11">
        <v>2</v>
      </c>
      <c r="J101">
        <f t="shared" si="8"/>
        <v>-10.401970653103731</v>
      </c>
      <c r="K101" s="19">
        <v>1.05</v>
      </c>
      <c r="L101" s="19">
        <v>1.1000000000000001</v>
      </c>
      <c r="M101" s="19">
        <v>1</v>
      </c>
      <c r="N101" s="19">
        <v>1.02</v>
      </c>
      <c r="O101" s="19">
        <v>1.2</v>
      </c>
      <c r="P101" s="19">
        <v>1.2</v>
      </c>
      <c r="Q101" s="19">
        <v>1.5</v>
      </c>
      <c r="R101">
        <f t="shared" si="9"/>
        <v>0.24634371748562628</v>
      </c>
    </row>
    <row r="102" spans="1:21" s="11" customFormat="1" ht="16" x14ac:dyDescent="0.2">
      <c r="K102" s="12"/>
      <c r="L102" s="12"/>
      <c r="M102" s="12"/>
      <c r="N102" s="12"/>
      <c r="O102" s="12"/>
      <c r="P102" s="12"/>
    </row>
    <row r="103" spans="1:21" s="11" customFormat="1" ht="16" x14ac:dyDescent="0.2">
      <c r="A103" s="8" t="s">
        <v>1</v>
      </c>
      <c r="B103" s="9" t="s">
        <v>500</v>
      </c>
      <c r="C103" s="10"/>
      <c r="K103" s="12"/>
      <c r="L103" s="12"/>
      <c r="M103" s="12"/>
      <c r="N103" s="12"/>
      <c r="O103" s="12"/>
      <c r="P103" s="12"/>
    </row>
    <row r="104" spans="1:21" s="11" customFormat="1" ht="16" x14ac:dyDescent="0.2">
      <c r="A104" s="13" t="s">
        <v>3</v>
      </c>
      <c r="B104" s="14">
        <v>1</v>
      </c>
      <c r="K104" s="12"/>
      <c r="L104" s="12"/>
      <c r="M104" s="12"/>
      <c r="N104" s="12"/>
      <c r="O104" s="12"/>
      <c r="P104" s="12"/>
    </row>
    <row r="105" spans="1:21" s="11" customFormat="1" ht="16" x14ac:dyDescent="0.2">
      <c r="A105" s="13" t="s">
        <v>11</v>
      </c>
      <c r="B105" s="14" t="s">
        <v>554</v>
      </c>
      <c r="K105" s="12"/>
      <c r="L105" s="12"/>
      <c r="M105" s="12"/>
      <c r="N105" s="12"/>
      <c r="O105" s="12"/>
      <c r="P105" s="12"/>
    </row>
    <row r="106" spans="1:21" s="11" customFormat="1" ht="16" x14ac:dyDescent="0.2">
      <c r="A106" s="13" t="s">
        <v>4</v>
      </c>
      <c r="B106" s="15" t="s">
        <v>122</v>
      </c>
      <c r="K106" s="12"/>
      <c r="L106" s="12"/>
      <c r="M106" s="12"/>
      <c r="N106" s="12"/>
      <c r="O106" s="12"/>
      <c r="P106" s="12"/>
    </row>
    <row r="107" spans="1:21" s="11" customFormat="1" ht="16" x14ac:dyDescent="0.2">
      <c r="A107" s="13" t="s">
        <v>2</v>
      </c>
      <c r="B107" s="14" t="s">
        <v>34</v>
      </c>
      <c r="K107" s="12"/>
      <c r="L107" s="12"/>
      <c r="M107" s="12"/>
      <c r="N107" s="12"/>
      <c r="O107" s="12"/>
      <c r="P107" s="12"/>
    </row>
    <row r="108" spans="1:21" s="11" customFormat="1" ht="16" x14ac:dyDescent="0.2">
      <c r="A108" s="13" t="s">
        <v>6</v>
      </c>
      <c r="B108" s="16" t="s">
        <v>13</v>
      </c>
      <c r="H108" s="17"/>
      <c r="I108" s="17"/>
      <c r="J108" s="17"/>
      <c r="K108" s="12"/>
      <c r="L108" s="12"/>
      <c r="M108" s="12"/>
      <c r="N108" s="12"/>
      <c r="O108" s="12"/>
      <c r="P108" s="12"/>
    </row>
    <row r="109" spans="1:21" s="11" customFormat="1" ht="16" x14ac:dyDescent="0.2">
      <c r="A109" s="17" t="s">
        <v>7</v>
      </c>
      <c r="B109" s="9"/>
      <c r="C109" s="17"/>
      <c r="D109" s="17"/>
      <c r="E109" s="17"/>
      <c r="F109" s="17"/>
      <c r="G109" s="17"/>
      <c r="H109" s="10"/>
      <c r="I109" s="10"/>
      <c r="J109" s="10"/>
      <c r="K109" s="12"/>
      <c r="L109" s="12"/>
      <c r="M109" s="12"/>
      <c r="N109" s="12"/>
      <c r="O109" s="12"/>
      <c r="P109" s="12"/>
    </row>
    <row r="110" spans="1:21" s="11" customFormat="1" ht="16" x14ac:dyDescent="0.2">
      <c r="A110" s="17" t="s">
        <v>8</v>
      </c>
      <c r="B110" s="17" t="s">
        <v>9</v>
      </c>
      <c r="C110" s="17" t="s">
        <v>2</v>
      </c>
      <c r="D110" s="17" t="s">
        <v>6</v>
      </c>
      <c r="E110" s="17" t="s">
        <v>10</v>
      </c>
      <c r="F110" s="17" t="s">
        <v>5</v>
      </c>
      <c r="G110" s="17" t="s">
        <v>4</v>
      </c>
      <c r="H110" s="17" t="s">
        <v>11</v>
      </c>
      <c r="I110" s="17" t="s">
        <v>466</v>
      </c>
      <c r="J110" s="7" t="s">
        <v>467</v>
      </c>
      <c r="K110" s="18" t="s">
        <v>468</v>
      </c>
      <c r="L110" s="18" t="s">
        <v>469</v>
      </c>
      <c r="M110" s="18" t="s">
        <v>470</v>
      </c>
      <c r="N110" s="18" t="s">
        <v>471</v>
      </c>
      <c r="O110" s="18" t="s">
        <v>472</v>
      </c>
      <c r="P110" s="18" t="s">
        <v>473</v>
      </c>
      <c r="Q110" s="7" t="s">
        <v>474</v>
      </c>
      <c r="R110" s="7" t="s">
        <v>475</v>
      </c>
      <c r="S110" s="17" t="s">
        <v>476</v>
      </c>
      <c r="T110" s="7" t="s">
        <v>477</v>
      </c>
      <c r="U110" s="17" t="s">
        <v>46</v>
      </c>
    </row>
    <row r="111" spans="1:21" s="11" customFormat="1" ht="16" x14ac:dyDescent="0.2">
      <c r="A111" s="16" t="str">
        <f>B103</f>
        <v>hydrogen production, gaseous, 30 bar, from PEM electrolysis, from geothermal electricity</v>
      </c>
      <c r="B111" s="16">
        <v>1</v>
      </c>
      <c r="C111" s="11" t="str">
        <f>B107</f>
        <v>RER</v>
      </c>
      <c r="D111" s="11" t="str">
        <f>B108</f>
        <v>kilogram</v>
      </c>
      <c r="E111" s="10"/>
      <c r="F111" s="11" t="s">
        <v>16</v>
      </c>
      <c r="G111" s="11" t="s">
        <v>122</v>
      </c>
      <c r="H111" s="10"/>
      <c r="I111" s="10">
        <v>0</v>
      </c>
      <c r="K111" s="12"/>
      <c r="L111" s="12"/>
      <c r="M111" s="12"/>
      <c r="N111" s="12"/>
      <c r="O111" s="12"/>
      <c r="P111" s="12"/>
      <c r="T111"/>
    </row>
    <row r="112" spans="1:21" s="11" customFormat="1" ht="16" x14ac:dyDescent="0.2">
      <c r="A112" s="16" t="s">
        <v>55</v>
      </c>
      <c r="B112" s="11">
        <f>(1/2963200)*4</f>
        <v>1.3498920086393089E-6</v>
      </c>
      <c r="C112" s="11" t="s">
        <v>34</v>
      </c>
      <c r="D112" s="11" t="s">
        <v>6</v>
      </c>
      <c r="F112" s="11" t="s">
        <v>12</v>
      </c>
      <c r="G112" s="11" t="s">
        <v>47</v>
      </c>
      <c r="H112" s="11" t="s">
        <v>484</v>
      </c>
      <c r="I112" s="11">
        <v>5</v>
      </c>
      <c r="J112">
        <f>B112</f>
        <v>1.3498920086393089E-6</v>
      </c>
      <c r="K112" s="19"/>
      <c r="L112" s="19"/>
      <c r="M112" s="19"/>
      <c r="N112" s="19"/>
      <c r="O112" s="19"/>
      <c r="P112" s="19"/>
      <c r="Q112"/>
      <c r="R112"/>
      <c r="S112" s="11">
        <f>(1/(25*8000*18.52))*4</f>
        <v>1.0799136069114471E-6</v>
      </c>
      <c r="T112" s="11">
        <f>(1/(15*8000*18.52))*4</f>
        <v>1.7998560115190784E-6</v>
      </c>
    </row>
    <row r="113" spans="1:21" s="11" customFormat="1" ht="16" x14ac:dyDescent="0.2">
      <c r="A113" s="16" t="s">
        <v>80</v>
      </c>
      <c r="B113" s="11">
        <f>1/2963200</f>
        <v>3.3747300215982723E-7</v>
      </c>
      <c r="C113" s="11" t="s">
        <v>34</v>
      </c>
      <c r="D113" s="11" t="s">
        <v>6</v>
      </c>
      <c r="F113" s="11" t="s">
        <v>12</v>
      </c>
      <c r="G113" s="11" t="s">
        <v>48</v>
      </c>
      <c r="H113" s="11" t="s">
        <v>485</v>
      </c>
      <c r="I113" s="11">
        <v>5</v>
      </c>
      <c r="J113">
        <f>B113</f>
        <v>3.3747300215982723E-7</v>
      </c>
      <c r="K113" s="19"/>
      <c r="L113" s="19"/>
      <c r="M113" s="19"/>
      <c r="N113" s="19"/>
      <c r="O113" s="19"/>
      <c r="P113" s="19"/>
      <c r="Q113"/>
      <c r="R113"/>
      <c r="S113" s="11">
        <f>(1/(25*8000*18.52))</f>
        <v>2.6997840172786177E-7</v>
      </c>
      <c r="T113" s="11">
        <f>(1/(15*8000*18.52))</f>
        <v>4.4996400287976961E-7</v>
      </c>
    </row>
    <row r="114" spans="1:21" s="11" customFormat="1" ht="16" x14ac:dyDescent="0.2">
      <c r="A114" s="16" t="s">
        <v>504</v>
      </c>
      <c r="B114" s="11">
        <f>B112*-1</f>
        <v>-1.3498920086393089E-6</v>
      </c>
      <c r="C114" s="11" t="s">
        <v>34</v>
      </c>
      <c r="D114" s="11" t="s">
        <v>6</v>
      </c>
      <c r="F114" s="11" t="s">
        <v>12</v>
      </c>
      <c r="G114" s="11" t="s">
        <v>505</v>
      </c>
      <c r="H114" s="11" t="s">
        <v>215</v>
      </c>
      <c r="I114" s="11">
        <v>5</v>
      </c>
      <c r="J114">
        <f>B114</f>
        <v>-1.3498920086393089E-6</v>
      </c>
      <c r="K114" s="19"/>
      <c r="L114" s="19"/>
      <c r="M114" s="19"/>
      <c r="N114" s="19"/>
      <c r="O114" s="19"/>
      <c r="P114" s="19"/>
      <c r="Q114"/>
      <c r="R114"/>
      <c r="S114" s="11">
        <f>-1*T112</f>
        <v>-1.7998560115190784E-6</v>
      </c>
      <c r="T114" s="11">
        <f>-1*S112</f>
        <v>-1.0799136069114471E-6</v>
      </c>
      <c r="U114" s="11" t="b">
        <v>1</v>
      </c>
    </row>
    <row r="115" spans="1:21" s="11" customFormat="1" ht="16" x14ac:dyDescent="0.2">
      <c r="A115" s="16" t="s">
        <v>506</v>
      </c>
      <c r="B115" s="11">
        <f>-1*B113</f>
        <v>-3.3747300215982723E-7</v>
      </c>
      <c r="C115" s="11" t="s">
        <v>34</v>
      </c>
      <c r="D115" s="11" t="s">
        <v>6</v>
      </c>
      <c r="F115" s="11" t="s">
        <v>12</v>
      </c>
      <c r="G115" s="11" t="s">
        <v>507</v>
      </c>
      <c r="H115" s="11" t="s">
        <v>225</v>
      </c>
      <c r="I115" s="11">
        <v>5</v>
      </c>
      <c r="J115">
        <f>B115</f>
        <v>-3.3747300215982723E-7</v>
      </c>
      <c r="K115" s="19"/>
      <c r="L115" s="19"/>
      <c r="M115" s="19"/>
      <c r="N115" s="19"/>
      <c r="O115" s="19"/>
      <c r="P115" s="19"/>
      <c r="Q115"/>
      <c r="R115"/>
      <c r="S115" s="11">
        <f>-1*T113</f>
        <v>-4.4996400287976961E-7</v>
      </c>
      <c r="T115" s="11">
        <f>-1*S113</f>
        <v>-2.6997840172786177E-7</v>
      </c>
      <c r="U115" s="11" t="b">
        <v>1</v>
      </c>
    </row>
    <row r="116" spans="1:21" s="11" customFormat="1" ht="16" x14ac:dyDescent="0.2">
      <c r="A116" s="13" t="s">
        <v>501</v>
      </c>
      <c r="B116" s="16">
        <v>54</v>
      </c>
      <c r="C116" s="11" t="s">
        <v>212</v>
      </c>
      <c r="D116" s="11" t="s">
        <v>35</v>
      </c>
      <c r="E116" s="10"/>
      <c r="F116" s="11" t="s">
        <v>12</v>
      </c>
      <c r="G116" s="11" t="s">
        <v>494</v>
      </c>
      <c r="H116" s="10" t="s">
        <v>499</v>
      </c>
      <c r="I116" s="11">
        <v>5</v>
      </c>
      <c r="J116" s="4">
        <f>B116</f>
        <v>54</v>
      </c>
      <c r="K116" s="19"/>
      <c r="L116" s="19"/>
      <c r="M116" s="19"/>
      <c r="N116" s="19"/>
      <c r="O116" s="19"/>
      <c r="P116" s="19"/>
      <c r="Q116"/>
      <c r="R116"/>
      <c r="S116" s="11">
        <v>52.9</v>
      </c>
      <c r="T116" s="11">
        <v>55.1</v>
      </c>
    </row>
    <row r="117" spans="1:21" s="11" customFormat="1" ht="16" x14ac:dyDescent="0.2">
      <c r="A117" s="13" t="s">
        <v>516</v>
      </c>
      <c r="B117" s="16">
        <v>14</v>
      </c>
      <c r="C117" s="11" t="s">
        <v>34</v>
      </c>
      <c r="D117" s="11" t="s">
        <v>13</v>
      </c>
      <c r="F117" s="11" t="s">
        <v>12</v>
      </c>
      <c r="G117" s="11" t="s">
        <v>517</v>
      </c>
      <c r="H117" s="20" t="s">
        <v>54</v>
      </c>
      <c r="I117" s="11">
        <v>0</v>
      </c>
      <c r="J117"/>
      <c r="K117" s="19"/>
      <c r="L117" s="19"/>
      <c r="M117" s="19"/>
      <c r="N117" s="19"/>
      <c r="O117" s="19"/>
      <c r="P117" s="19"/>
      <c r="Q117"/>
      <c r="R117"/>
    </row>
    <row r="118" spans="1:21" s="11" customFormat="1" ht="16" x14ac:dyDescent="0.2">
      <c r="A118" s="21" t="s">
        <v>38</v>
      </c>
      <c r="B118" s="15">
        <v>8</v>
      </c>
      <c r="C118" s="21"/>
      <c r="D118" s="21" t="s">
        <v>13</v>
      </c>
      <c r="E118" s="21" t="s">
        <v>39</v>
      </c>
      <c r="F118" s="21" t="s">
        <v>14</v>
      </c>
      <c r="G118" s="21"/>
      <c r="H118" s="22"/>
      <c r="I118" s="11">
        <v>0</v>
      </c>
      <c r="J118"/>
      <c r="K118" s="19"/>
      <c r="L118" s="19"/>
      <c r="M118" s="19"/>
      <c r="N118" s="19"/>
      <c r="O118" s="19"/>
      <c r="P118" s="19"/>
      <c r="Q118" s="19"/>
      <c r="R118"/>
    </row>
    <row r="119" spans="1:21" s="11" customFormat="1" ht="16" x14ac:dyDescent="0.2">
      <c r="A119" s="47" t="s">
        <v>456</v>
      </c>
      <c r="B119" s="48">
        <f>(0.09*1000)/(2963200/20)</f>
        <v>6.0745140388768898E-4</v>
      </c>
      <c r="C119" s="47"/>
      <c r="D119" s="47" t="s">
        <v>453</v>
      </c>
      <c r="E119" s="47" t="s">
        <v>454</v>
      </c>
      <c r="F119" s="47" t="s">
        <v>14</v>
      </c>
      <c r="H119" s="47" t="s">
        <v>457</v>
      </c>
      <c r="I119" s="11">
        <v>2</v>
      </c>
      <c r="J119">
        <f t="shared" ref="J119:J121" si="10">LN(B119)</f>
        <v>-7.4062383795497411</v>
      </c>
      <c r="K119" s="19">
        <v>1.05</v>
      </c>
      <c r="L119" s="19">
        <v>1.1000000000000001</v>
      </c>
      <c r="M119" s="19">
        <v>1</v>
      </c>
      <c r="N119" s="19">
        <v>1.02</v>
      </c>
      <c r="O119" s="19">
        <v>1.2</v>
      </c>
      <c r="P119" s="19">
        <v>1.2</v>
      </c>
      <c r="Q119" s="19">
        <v>1.5</v>
      </c>
      <c r="R119">
        <f t="shared" ref="R119:R121" si="11">LN(SQRT(EXP(
SQRT(
+POWER(LN(K119),2)
+POWER(LN(L119),2)
+POWER(LN(M119),2)
+POWER(LN(N119),2)
+POWER(LN(O119),2)
+POWER(LN(P119),2)
+POWER(LN(Q119),2)
)
)))</f>
        <v>0.24634371748562628</v>
      </c>
    </row>
    <row r="120" spans="1:21" s="11" customFormat="1" ht="16" x14ac:dyDescent="0.2">
      <c r="A120" s="47" t="s">
        <v>458</v>
      </c>
      <c r="B120" s="48">
        <f>(0.09*1000)/2963200</f>
        <v>3.0372570194384448E-5</v>
      </c>
      <c r="C120" s="47"/>
      <c r="D120" s="47" t="s">
        <v>459</v>
      </c>
      <c r="E120" s="47" t="s">
        <v>454</v>
      </c>
      <c r="F120" s="47" t="s">
        <v>14</v>
      </c>
      <c r="H120" s="47" t="s">
        <v>460</v>
      </c>
      <c r="I120" s="11">
        <v>2</v>
      </c>
      <c r="J120">
        <f t="shared" si="10"/>
        <v>-10.401970653103731</v>
      </c>
      <c r="K120" s="19">
        <v>1.05</v>
      </c>
      <c r="L120" s="19">
        <v>1.1000000000000001</v>
      </c>
      <c r="M120" s="19">
        <v>1</v>
      </c>
      <c r="N120" s="19">
        <v>1.02</v>
      </c>
      <c r="O120" s="19">
        <v>1.2</v>
      </c>
      <c r="P120" s="19">
        <v>1.2</v>
      </c>
      <c r="Q120" s="19">
        <v>1.5</v>
      </c>
      <c r="R120">
        <f t="shared" si="11"/>
        <v>0.24634371748562628</v>
      </c>
    </row>
    <row r="121" spans="1:21" s="11" customFormat="1" ht="16" x14ac:dyDescent="0.2">
      <c r="A121" s="47" t="s">
        <v>461</v>
      </c>
      <c r="B121" s="48">
        <f>(0.09*1000)/2963200</f>
        <v>3.0372570194384448E-5</v>
      </c>
      <c r="C121" s="47"/>
      <c r="D121" s="47" t="s">
        <v>459</v>
      </c>
      <c r="E121" s="47" t="s">
        <v>454</v>
      </c>
      <c r="F121" s="47" t="s">
        <v>14</v>
      </c>
      <c r="H121" s="47" t="s">
        <v>460</v>
      </c>
      <c r="I121" s="11">
        <v>2</v>
      </c>
      <c r="J121">
        <f t="shared" si="10"/>
        <v>-10.401970653103731</v>
      </c>
      <c r="K121" s="19">
        <v>1.05</v>
      </c>
      <c r="L121" s="19">
        <v>1.1000000000000001</v>
      </c>
      <c r="M121" s="19">
        <v>1</v>
      </c>
      <c r="N121" s="19">
        <v>1.02</v>
      </c>
      <c r="O121" s="19">
        <v>1.2</v>
      </c>
      <c r="P121" s="19">
        <v>1.2</v>
      </c>
      <c r="Q121" s="19">
        <v>1.5</v>
      </c>
      <c r="R121">
        <f t="shared" si="11"/>
        <v>0.24634371748562628</v>
      </c>
    </row>
    <row r="122" spans="1:21" s="11" customFormat="1" ht="16" x14ac:dyDescent="0.2">
      <c r="K122" s="12"/>
      <c r="L122" s="12"/>
      <c r="M122" s="12"/>
      <c r="N122" s="12"/>
      <c r="O122" s="12"/>
      <c r="P122" s="12"/>
    </row>
    <row r="123" spans="1:21" s="11" customFormat="1" ht="16" x14ac:dyDescent="0.2">
      <c r="A123" s="8" t="s">
        <v>1</v>
      </c>
      <c r="B123" s="9" t="s">
        <v>550</v>
      </c>
      <c r="C123" s="10"/>
      <c r="K123" s="12"/>
      <c r="L123" s="12"/>
      <c r="M123" s="12"/>
      <c r="N123" s="12"/>
      <c r="O123" s="12"/>
      <c r="P123" s="12"/>
    </row>
    <row r="124" spans="1:21" s="11" customFormat="1" ht="16" x14ac:dyDescent="0.2">
      <c r="A124" s="13" t="s">
        <v>3</v>
      </c>
      <c r="B124" s="14">
        <v>1</v>
      </c>
      <c r="K124" s="12"/>
      <c r="L124" s="12"/>
      <c r="M124" s="12"/>
      <c r="N124" s="12"/>
      <c r="O124" s="12"/>
      <c r="P124" s="12"/>
    </row>
    <row r="125" spans="1:21" s="11" customFormat="1" ht="16" x14ac:dyDescent="0.2">
      <c r="A125" s="13" t="s">
        <v>11</v>
      </c>
      <c r="B125" s="14" t="s">
        <v>555</v>
      </c>
      <c r="K125" s="12"/>
      <c r="L125" s="12"/>
      <c r="M125" s="12"/>
      <c r="N125" s="12"/>
      <c r="O125" s="12"/>
      <c r="P125" s="12"/>
    </row>
    <row r="126" spans="1:21" s="11" customFormat="1" ht="16" x14ac:dyDescent="0.2">
      <c r="A126" s="13" t="s">
        <v>4</v>
      </c>
      <c r="B126" s="15" t="s">
        <v>122</v>
      </c>
      <c r="K126" s="12"/>
      <c r="L126" s="12"/>
      <c r="M126" s="12"/>
      <c r="N126" s="12"/>
      <c r="O126" s="12"/>
      <c r="P126" s="12"/>
    </row>
    <row r="127" spans="1:21" s="11" customFormat="1" ht="16" x14ac:dyDescent="0.2">
      <c r="A127" s="13" t="s">
        <v>2</v>
      </c>
      <c r="B127" s="14" t="s">
        <v>34</v>
      </c>
      <c r="K127" s="12"/>
      <c r="L127" s="12"/>
      <c r="M127" s="12"/>
      <c r="N127" s="12"/>
      <c r="O127" s="12"/>
      <c r="P127" s="12"/>
    </row>
    <row r="128" spans="1:21" s="11" customFormat="1" ht="16" x14ac:dyDescent="0.2">
      <c r="A128" s="13" t="s">
        <v>6</v>
      </c>
      <c r="B128" s="16" t="s">
        <v>13</v>
      </c>
      <c r="H128" s="17"/>
      <c r="I128" s="17"/>
      <c r="J128" s="17"/>
      <c r="K128" s="12"/>
      <c r="L128" s="12"/>
      <c r="M128" s="12"/>
      <c r="N128" s="12"/>
      <c r="O128" s="12"/>
      <c r="P128" s="12"/>
    </row>
    <row r="129" spans="1:21" s="11" customFormat="1" ht="16" x14ac:dyDescent="0.2">
      <c r="A129" s="17" t="s">
        <v>7</v>
      </c>
      <c r="B129" s="9"/>
      <c r="C129" s="17"/>
      <c r="D129" s="17"/>
      <c r="E129" s="17"/>
      <c r="F129" s="17"/>
      <c r="G129" s="17"/>
      <c r="H129" s="10"/>
      <c r="I129" s="10"/>
      <c r="J129" s="10"/>
      <c r="K129" s="12"/>
      <c r="L129" s="12"/>
      <c r="M129" s="12"/>
      <c r="N129" s="12"/>
      <c r="O129" s="12"/>
      <c r="P129" s="12"/>
    </row>
    <row r="130" spans="1:21" s="11" customFormat="1" ht="16" x14ac:dyDescent="0.2">
      <c r="A130" s="17" t="s">
        <v>8</v>
      </c>
      <c r="B130" s="17" t="s">
        <v>9</v>
      </c>
      <c r="C130" s="17" t="s">
        <v>2</v>
      </c>
      <c r="D130" s="17" t="s">
        <v>6</v>
      </c>
      <c r="E130" s="17" t="s">
        <v>10</v>
      </c>
      <c r="F130" s="17" t="s">
        <v>5</v>
      </c>
      <c r="G130" s="17" t="s">
        <v>4</v>
      </c>
      <c r="H130" s="17" t="s">
        <v>11</v>
      </c>
      <c r="I130" s="17" t="s">
        <v>466</v>
      </c>
      <c r="J130" s="7" t="s">
        <v>467</v>
      </c>
      <c r="K130" s="18" t="s">
        <v>468</v>
      </c>
      <c r="L130" s="18" t="s">
        <v>469</v>
      </c>
      <c r="M130" s="18" t="s">
        <v>470</v>
      </c>
      <c r="N130" s="18" t="s">
        <v>471</v>
      </c>
      <c r="O130" s="18" t="s">
        <v>472</v>
      </c>
      <c r="P130" s="18" t="s">
        <v>473</v>
      </c>
      <c r="Q130" s="7" t="s">
        <v>474</v>
      </c>
      <c r="R130" s="7" t="s">
        <v>475</v>
      </c>
      <c r="S130" s="17" t="s">
        <v>476</v>
      </c>
      <c r="T130" s="7" t="s">
        <v>477</v>
      </c>
      <c r="U130" s="17" t="s">
        <v>46</v>
      </c>
    </row>
    <row r="131" spans="1:21" s="11" customFormat="1" ht="16" x14ac:dyDescent="0.2">
      <c r="A131" s="16" t="str">
        <f>B123</f>
        <v>hydrogen production, gaseous, 30 bar, from PEM electrolysis, from hydropower electricity</v>
      </c>
      <c r="B131" s="16">
        <v>1</v>
      </c>
      <c r="C131" s="11" t="str">
        <f>B127</f>
        <v>RER</v>
      </c>
      <c r="D131" s="11" t="str">
        <f>B128</f>
        <v>kilogram</v>
      </c>
      <c r="E131" s="10"/>
      <c r="F131" s="11" t="s">
        <v>16</v>
      </c>
      <c r="G131" s="11" t="s">
        <v>122</v>
      </c>
      <c r="H131" s="10"/>
      <c r="I131" s="10">
        <v>0</v>
      </c>
      <c r="K131" s="12"/>
      <c r="L131" s="12"/>
      <c r="M131" s="12"/>
      <c r="N131" s="12"/>
      <c r="O131" s="12"/>
      <c r="P131" s="12"/>
      <c r="T131"/>
    </row>
    <row r="132" spans="1:21" s="11" customFormat="1" ht="16" x14ac:dyDescent="0.2">
      <c r="A132" s="16" t="s">
        <v>55</v>
      </c>
      <c r="B132" s="11">
        <f>(1/2963200)*4</f>
        <v>1.3498920086393089E-6</v>
      </c>
      <c r="C132" s="11" t="s">
        <v>34</v>
      </c>
      <c r="D132" s="11" t="s">
        <v>6</v>
      </c>
      <c r="F132" s="11" t="s">
        <v>12</v>
      </c>
      <c r="G132" s="11" t="s">
        <v>47</v>
      </c>
      <c r="H132" s="11" t="s">
        <v>484</v>
      </c>
      <c r="I132" s="11">
        <v>5</v>
      </c>
      <c r="J132">
        <f>B132</f>
        <v>1.3498920086393089E-6</v>
      </c>
      <c r="K132" s="19"/>
      <c r="L132" s="19"/>
      <c r="M132" s="19"/>
      <c r="N132" s="19"/>
      <c r="O132" s="19"/>
      <c r="P132" s="19"/>
      <c r="Q132"/>
      <c r="R132"/>
      <c r="S132" s="11">
        <f>(1/(25*8000*18.52))*4</f>
        <v>1.0799136069114471E-6</v>
      </c>
      <c r="T132" s="11">
        <f>(1/(15*8000*18.52))*4</f>
        <v>1.7998560115190784E-6</v>
      </c>
    </row>
    <row r="133" spans="1:21" s="11" customFormat="1" ht="16" x14ac:dyDescent="0.2">
      <c r="A133" s="16" t="s">
        <v>80</v>
      </c>
      <c r="B133" s="11">
        <f>1/2963200</f>
        <v>3.3747300215982723E-7</v>
      </c>
      <c r="C133" s="11" t="s">
        <v>34</v>
      </c>
      <c r="D133" s="11" t="s">
        <v>6</v>
      </c>
      <c r="F133" s="11" t="s">
        <v>12</v>
      </c>
      <c r="G133" s="11" t="s">
        <v>48</v>
      </c>
      <c r="H133" s="11" t="s">
        <v>485</v>
      </c>
      <c r="I133" s="11">
        <v>5</v>
      </c>
      <c r="J133">
        <f>B133</f>
        <v>3.3747300215982723E-7</v>
      </c>
      <c r="K133" s="19"/>
      <c r="L133" s="19"/>
      <c r="M133" s="19"/>
      <c r="N133" s="19"/>
      <c r="O133" s="19"/>
      <c r="P133" s="19"/>
      <c r="Q133"/>
      <c r="R133"/>
      <c r="S133" s="11">
        <f>(1/(25*8000*18.52))</f>
        <v>2.6997840172786177E-7</v>
      </c>
      <c r="T133" s="11">
        <f>(1/(15*8000*18.52))</f>
        <v>4.4996400287976961E-7</v>
      </c>
    </row>
    <row r="134" spans="1:21" s="11" customFormat="1" ht="16" x14ac:dyDescent="0.2">
      <c r="A134" s="16" t="s">
        <v>504</v>
      </c>
      <c r="B134" s="11">
        <f>B132*-1</f>
        <v>-1.3498920086393089E-6</v>
      </c>
      <c r="C134" s="11" t="s">
        <v>34</v>
      </c>
      <c r="D134" s="11" t="s">
        <v>6</v>
      </c>
      <c r="F134" s="11" t="s">
        <v>12</v>
      </c>
      <c r="G134" s="11" t="s">
        <v>505</v>
      </c>
      <c r="H134" s="11" t="s">
        <v>215</v>
      </c>
      <c r="I134" s="11">
        <v>5</v>
      </c>
      <c r="J134">
        <f>B134</f>
        <v>-1.3498920086393089E-6</v>
      </c>
      <c r="K134" s="19"/>
      <c r="L134" s="19"/>
      <c r="M134" s="19"/>
      <c r="N134" s="19"/>
      <c r="O134" s="19"/>
      <c r="P134" s="19"/>
      <c r="Q134"/>
      <c r="R134"/>
      <c r="S134" s="11">
        <f>-1*T132</f>
        <v>-1.7998560115190784E-6</v>
      </c>
      <c r="T134" s="11">
        <f>-1*S132</f>
        <v>-1.0799136069114471E-6</v>
      </c>
      <c r="U134" s="11" t="b">
        <v>1</v>
      </c>
    </row>
    <row r="135" spans="1:21" s="11" customFormat="1" ht="16" x14ac:dyDescent="0.2">
      <c r="A135" s="16" t="s">
        <v>506</v>
      </c>
      <c r="B135" s="11">
        <f>-1*B133</f>
        <v>-3.3747300215982723E-7</v>
      </c>
      <c r="C135" s="11" t="s">
        <v>34</v>
      </c>
      <c r="D135" s="11" t="s">
        <v>6</v>
      </c>
      <c r="F135" s="11" t="s">
        <v>12</v>
      </c>
      <c r="G135" s="11" t="s">
        <v>507</v>
      </c>
      <c r="H135" s="11" t="s">
        <v>225</v>
      </c>
      <c r="I135" s="11">
        <v>5</v>
      </c>
      <c r="J135">
        <f>B135</f>
        <v>-3.3747300215982723E-7</v>
      </c>
      <c r="K135" s="19"/>
      <c r="L135" s="19"/>
      <c r="M135" s="19"/>
      <c r="N135" s="19"/>
      <c r="O135" s="19"/>
      <c r="P135" s="19"/>
      <c r="Q135"/>
      <c r="R135"/>
      <c r="S135" s="11">
        <f>-1*T133</f>
        <v>-4.4996400287976961E-7</v>
      </c>
      <c r="T135" s="11">
        <f>-1*S133</f>
        <v>-2.6997840172786177E-7</v>
      </c>
      <c r="U135" s="11" t="b">
        <v>1</v>
      </c>
    </row>
    <row r="136" spans="1:21" s="11" customFormat="1" ht="16" x14ac:dyDescent="0.2">
      <c r="A136" s="13" t="s">
        <v>551</v>
      </c>
      <c r="B136" s="16">
        <v>54</v>
      </c>
      <c r="C136" s="11" t="s">
        <v>45</v>
      </c>
      <c r="D136" s="11" t="s">
        <v>35</v>
      </c>
      <c r="E136" s="10"/>
      <c r="F136" s="11" t="s">
        <v>12</v>
      </c>
      <c r="G136" s="11" t="s">
        <v>494</v>
      </c>
      <c r="H136" s="10" t="s">
        <v>499</v>
      </c>
      <c r="I136" s="11">
        <v>5</v>
      </c>
      <c r="J136" s="4">
        <f>B136</f>
        <v>54</v>
      </c>
      <c r="K136" s="19"/>
      <c r="L136" s="19"/>
      <c r="M136" s="19"/>
      <c r="N136" s="19"/>
      <c r="O136" s="19"/>
      <c r="P136" s="19"/>
      <c r="Q136"/>
      <c r="R136"/>
      <c r="S136" s="11">
        <v>52.9</v>
      </c>
      <c r="T136" s="11">
        <v>55.1</v>
      </c>
    </row>
    <row r="137" spans="1:21" s="11" customFormat="1" ht="16" x14ac:dyDescent="0.2">
      <c r="A137" s="13" t="s">
        <v>516</v>
      </c>
      <c r="B137" s="16">
        <v>14</v>
      </c>
      <c r="C137" s="11" t="s">
        <v>34</v>
      </c>
      <c r="D137" s="11" t="s">
        <v>13</v>
      </c>
      <c r="F137" s="11" t="s">
        <v>12</v>
      </c>
      <c r="G137" s="11" t="s">
        <v>517</v>
      </c>
      <c r="H137" s="20" t="s">
        <v>54</v>
      </c>
      <c r="I137" s="11">
        <v>0</v>
      </c>
      <c r="J137"/>
      <c r="K137" s="19"/>
      <c r="L137" s="19"/>
      <c r="M137" s="19"/>
      <c r="N137" s="19"/>
      <c r="O137" s="19"/>
      <c r="P137" s="19"/>
      <c r="Q137"/>
      <c r="R137"/>
    </row>
    <row r="138" spans="1:21" s="11" customFormat="1" ht="16" x14ac:dyDescent="0.2">
      <c r="A138" s="21" t="s">
        <v>38</v>
      </c>
      <c r="B138" s="15">
        <v>8</v>
      </c>
      <c r="C138" s="21"/>
      <c r="D138" s="21" t="s">
        <v>13</v>
      </c>
      <c r="E138" s="21" t="s">
        <v>39</v>
      </c>
      <c r="F138" s="21" t="s">
        <v>14</v>
      </c>
      <c r="G138" s="21"/>
      <c r="H138" s="22"/>
      <c r="I138" s="11">
        <v>0</v>
      </c>
      <c r="J138"/>
      <c r="K138" s="19"/>
      <c r="L138" s="19"/>
      <c r="M138" s="19"/>
      <c r="N138" s="19"/>
      <c r="O138" s="19"/>
      <c r="P138" s="19"/>
      <c r="Q138" s="19"/>
      <c r="R138"/>
    </row>
    <row r="139" spans="1:21" s="11" customFormat="1" ht="16" x14ac:dyDescent="0.2">
      <c r="A139" s="47" t="s">
        <v>456</v>
      </c>
      <c r="B139" s="48">
        <f>(0.09*1000)/(2963200/20)</f>
        <v>6.0745140388768898E-4</v>
      </c>
      <c r="C139" s="47"/>
      <c r="D139" s="47" t="s">
        <v>453</v>
      </c>
      <c r="E139" s="47" t="s">
        <v>454</v>
      </c>
      <c r="F139" s="47" t="s">
        <v>14</v>
      </c>
      <c r="H139" s="47" t="s">
        <v>457</v>
      </c>
      <c r="I139" s="11">
        <v>2</v>
      </c>
      <c r="J139">
        <f t="shared" ref="J139:J141" si="12">LN(B139)</f>
        <v>-7.4062383795497411</v>
      </c>
      <c r="K139" s="19">
        <v>1.05</v>
      </c>
      <c r="L139" s="19">
        <v>1.1000000000000001</v>
      </c>
      <c r="M139" s="19">
        <v>1</v>
      </c>
      <c r="N139" s="19">
        <v>1.02</v>
      </c>
      <c r="O139" s="19">
        <v>1.2</v>
      </c>
      <c r="P139" s="19">
        <v>1.2</v>
      </c>
      <c r="Q139" s="19">
        <v>1.5</v>
      </c>
      <c r="R139">
        <f t="shared" ref="R139:R141" si="13">LN(SQRT(EXP(
SQRT(
+POWER(LN(K139),2)
+POWER(LN(L139),2)
+POWER(LN(M139),2)
+POWER(LN(N139),2)
+POWER(LN(O139),2)
+POWER(LN(P139),2)
+POWER(LN(Q139),2)
)
)))</f>
        <v>0.24634371748562628</v>
      </c>
    </row>
    <row r="140" spans="1:21" s="11" customFormat="1" ht="16" x14ac:dyDescent="0.2">
      <c r="A140" s="47" t="s">
        <v>458</v>
      </c>
      <c r="B140" s="48">
        <f>(0.09*1000)/2963200</f>
        <v>3.0372570194384448E-5</v>
      </c>
      <c r="C140" s="47"/>
      <c r="D140" s="47" t="s">
        <v>459</v>
      </c>
      <c r="E140" s="47" t="s">
        <v>454</v>
      </c>
      <c r="F140" s="47" t="s">
        <v>14</v>
      </c>
      <c r="H140" s="47" t="s">
        <v>460</v>
      </c>
      <c r="I140" s="11">
        <v>2</v>
      </c>
      <c r="J140">
        <f t="shared" si="12"/>
        <v>-10.401970653103731</v>
      </c>
      <c r="K140" s="19">
        <v>1.05</v>
      </c>
      <c r="L140" s="19">
        <v>1.1000000000000001</v>
      </c>
      <c r="M140" s="19">
        <v>1</v>
      </c>
      <c r="N140" s="19">
        <v>1.02</v>
      </c>
      <c r="O140" s="19">
        <v>1.2</v>
      </c>
      <c r="P140" s="19">
        <v>1.2</v>
      </c>
      <c r="Q140" s="19">
        <v>1.5</v>
      </c>
      <c r="R140">
        <f t="shared" si="13"/>
        <v>0.24634371748562628</v>
      </c>
    </row>
    <row r="141" spans="1:21" s="11" customFormat="1" ht="16" x14ac:dyDescent="0.2">
      <c r="A141" s="47" t="s">
        <v>461</v>
      </c>
      <c r="B141" s="48">
        <f>(0.09*1000)/2963200</f>
        <v>3.0372570194384448E-5</v>
      </c>
      <c r="C141" s="47"/>
      <c r="D141" s="47" t="s">
        <v>459</v>
      </c>
      <c r="E141" s="47" t="s">
        <v>454</v>
      </c>
      <c r="F141" s="47" t="s">
        <v>14</v>
      </c>
      <c r="H141" s="47" t="s">
        <v>460</v>
      </c>
      <c r="I141" s="11">
        <v>2</v>
      </c>
      <c r="J141">
        <f t="shared" si="12"/>
        <v>-10.401970653103731</v>
      </c>
      <c r="K141" s="19">
        <v>1.05</v>
      </c>
      <c r="L141" s="19">
        <v>1.1000000000000001</v>
      </c>
      <c r="M141" s="19">
        <v>1</v>
      </c>
      <c r="N141" s="19">
        <v>1.02</v>
      </c>
      <c r="O141" s="19">
        <v>1.2</v>
      </c>
      <c r="P141" s="19">
        <v>1.2</v>
      </c>
      <c r="Q141" s="19">
        <v>1.5</v>
      </c>
      <c r="R141">
        <f t="shared" si="13"/>
        <v>0.24634371748562628</v>
      </c>
    </row>
    <row r="142" spans="1:21" s="11" customFormat="1" ht="16" x14ac:dyDescent="0.2">
      <c r="K142" s="12"/>
      <c r="L142" s="12"/>
      <c r="M142" s="12"/>
      <c r="N142" s="12"/>
      <c r="O142" s="12"/>
      <c r="P142" s="12"/>
    </row>
    <row r="143" spans="1:21" s="11" customFormat="1" ht="16" x14ac:dyDescent="0.2">
      <c r="A143" s="8" t="s">
        <v>1</v>
      </c>
      <c r="B143" s="9" t="s">
        <v>502</v>
      </c>
      <c r="C143" s="10"/>
      <c r="K143" s="12"/>
      <c r="L143" s="12"/>
      <c r="M143" s="12"/>
      <c r="N143" s="12"/>
      <c r="O143" s="12"/>
      <c r="P143" s="12"/>
    </row>
    <row r="144" spans="1:21" s="11" customFormat="1" ht="16" x14ac:dyDescent="0.2">
      <c r="A144" s="13" t="s">
        <v>3</v>
      </c>
      <c r="B144" s="14">
        <v>1</v>
      </c>
      <c r="K144" s="12"/>
      <c r="L144" s="12"/>
      <c r="M144" s="12"/>
      <c r="N144" s="12"/>
      <c r="O144" s="12"/>
      <c r="P144" s="12"/>
    </row>
    <row r="145" spans="1:21" s="11" customFormat="1" ht="16" x14ac:dyDescent="0.2">
      <c r="A145" s="13" t="s">
        <v>11</v>
      </c>
      <c r="B145" s="14" t="s">
        <v>435</v>
      </c>
      <c r="K145" s="12"/>
      <c r="L145" s="12"/>
      <c r="M145" s="12"/>
      <c r="N145" s="12"/>
      <c r="O145" s="12"/>
      <c r="P145" s="12"/>
    </row>
    <row r="146" spans="1:21" s="11" customFormat="1" ht="16" x14ac:dyDescent="0.2">
      <c r="A146" s="13" t="s">
        <v>4</v>
      </c>
      <c r="B146" s="15" t="s">
        <v>122</v>
      </c>
      <c r="K146" s="12"/>
      <c r="L146" s="12"/>
      <c r="M146" s="12"/>
      <c r="N146" s="12"/>
      <c r="O146" s="12"/>
      <c r="P146" s="12"/>
    </row>
    <row r="147" spans="1:21" s="11" customFormat="1" ht="16" x14ac:dyDescent="0.2">
      <c r="A147" s="13" t="s">
        <v>2</v>
      </c>
      <c r="B147" s="14" t="s">
        <v>34</v>
      </c>
      <c r="K147" s="12"/>
      <c r="L147" s="12"/>
      <c r="M147" s="12"/>
      <c r="N147" s="12"/>
      <c r="O147" s="12"/>
      <c r="P147" s="12"/>
    </row>
    <row r="148" spans="1:21" s="11" customFormat="1" ht="16" x14ac:dyDescent="0.2">
      <c r="A148" s="13" t="s">
        <v>6</v>
      </c>
      <c r="B148" s="16" t="s">
        <v>13</v>
      </c>
      <c r="H148" s="17"/>
      <c r="I148" s="17"/>
      <c r="J148" s="17"/>
      <c r="K148" s="12"/>
      <c r="L148" s="12"/>
      <c r="M148" s="12"/>
      <c r="N148" s="12"/>
      <c r="O148" s="12"/>
      <c r="P148" s="12"/>
    </row>
    <row r="149" spans="1:21" s="11" customFormat="1" ht="16" x14ac:dyDescent="0.2">
      <c r="A149" s="17" t="s">
        <v>7</v>
      </c>
      <c r="B149" s="9"/>
      <c r="C149" s="17"/>
      <c r="D149" s="17"/>
      <c r="E149" s="17"/>
      <c r="F149" s="17"/>
      <c r="G149" s="17"/>
      <c r="H149" s="10"/>
      <c r="I149" s="10"/>
      <c r="J149" s="10"/>
      <c r="K149" s="12"/>
      <c r="L149" s="12"/>
      <c r="M149" s="12"/>
      <c r="N149" s="12"/>
      <c r="O149" s="12"/>
      <c r="P149" s="12"/>
    </row>
    <row r="150" spans="1:21" s="11" customFormat="1" ht="16" x14ac:dyDescent="0.2">
      <c r="A150" s="17" t="s">
        <v>8</v>
      </c>
      <c r="B150" s="17" t="s">
        <v>9</v>
      </c>
      <c r="C150" s="17" t="s">
        <v>2</v>
      </c>
      <c r="D150" s="17" t="s">
        <v>6</v>
      </c>
      <c r="E150" s="17" t="s">
        <v>10</v>
      </c>
      <c r="F150" s="17" t="s">
        <v>5</v>
      </c>
      <c r="G150" s="17" t="s">
        <v>4</v>
      </c>
      <c r="H150" s="17" t="s">
        <v>11</v>
      </c>
      <c r="I150" s="17" t="s">
        <v>466</v>
      </c>
      <c r="J150" s="7" t="s">
        <v>467</v>
      </c>
      <c r="K150" s="18" t="s">
        <v>468</v>
      </c>
      <c r="L150" s="18" t="s">
        <v>469</v>
      </c>
      <c r="M150" s="18" t="s">
        <v>470</v>
      </c>
      <c r="N150" s="18" t="s">
        <v>471</v>
      </c>
      <c r="O150" s="18" t="s">
        <v>472</v>
      </c>
      <c r="P150" s="18" t="s">
        <v>473</v>
      </c>
      <c r="Q150" s="7" t="s">
        <v>474</v>
      </c>
      <c r="R150" s="7" t="s">
        <v>475</v>
      </c>
      <c r="S150" s="17" t="s">
        <v>476</v>
      </c>
      <c r="T150" s="7" t="s">
        <v>477</v>
      </c>
      <c r="U150" s="17" t="s">
        <v>46</v>
      </c>
    </row>
    <row r="151" spans="1:21" s="11" customFormat="1" ht="16" x14ac:dyDescent="0.2">
      <c r="A151" s="16" t="str">
        <f>B143</f>
        <v>hydrogen production, gaseous, 30 bar, from PEM electrolysis, from concentrated solar electricity</v>
      </c>
      <c r="B151" s="16">
        <v>1</v>
      </c>
      <c r="C151" s="11" t="str">
        <f>B147</f>
        <v>RER</v>
      </c>
      <c r="D151" s="11" t="str">
        <f>B148</f>
        <v>kilogram</v>
      </c>
      <c r="E151" s="10"/>
      <c r="F151" s="11" t="s">
        <v>16</v>
      </c>
      <c r="G151" s="11" t="s">
        <v>122</v>
      </c>
      <c r="H151" s="10"/>
      <c r="I151" s="10">
        <v>0</v>
      </c>
      <c r="K151" s="12"/>
      <c r="L151" s="12"/>
      <c r="M151" s="12"/>
      <c r="N151" s="12"/>
      <c r="O151" s="12"/>
      <c r="P151" s="12"/>
      <c r="T151"/>
    </row>
    <row r="152" spans="1:21" s="11" customFormat="1" ht="16" x14ac:dyDescent="0.2">
      <c r="A152" s="16" t="s">
        <v>55</v>
      </c>
      <c r="B152" s="11">
        <f>(1/2963200)*4</f>
        <v>1.3498920086393089E-6</v>
      </c>
      <c r="C152" s="11" t="s">
        <v>34</v>
      </c>
      <c r="D152" s="11" t="s">
        <v>6</v>
      </c>
      <c r="F152" s="11" t="s">
        <v>12</v>
      </c>
      <c r="G152" s="11" t="s">
        <v>47</v>
      </c>
      <c r="H152" s="11" t="s">
        <v>484</v>
      </c>
      <c r="I152" s="11">
        <v>5</v>
      </c>
      <c r="J152">
        <f>B152</f>
        <v>1.3498920086393089E-6</v>
      </c>
      <c r="K152" s="19"/>
      <c r="L152" s="19"/>
      <c r="M152" s="19"/>
      <c r="N152" s="19"/>
      <c r="O152" s="19"/>
      <c r="P152" s="19"/>
      <c r="Q152"/>
      <c r="R152"/>
      <c r="S152" s="11">
        <f>(1/(25*8000*18.52))*4</f>
        <v>1.0799136069114471E-6</v>
      </c>
      <c r="T152" s="11">
        <f>(1/(15*8000*18.52))*4</f>
        <v>1.7998560115190784E-6</v>
      </c>
    </row>
    <row r="153" spans="1:21" s="11" customFormat="1" ht="16" x14ac:dyDescent="0.2">
      <c r="A153" s="16" t="s">
        <v>80</v>
      </c>
      <c r="B153" s="11">
        <f>1/2963200</f>
        <v>3.3747300215982723E-7</v>
      </c>
      <c r="C153" s="11" t="s">
        <v>34</v>
      </c>
      <c r="D153" s="11" t="s">
        <v>6</v>
      </c>
      <c r="F153" s="11" t="s">
        <v>12</v>
      </c>
      <c r="G153" s="11" t="s">
        <v>48</v>
      </c>
      <c r="H153" s="11" t="s">
        <v>485</v>
      </c>
      <c r="I153" s="11">
        <v>5</v>
      </c>
      <c r="J153">
        <f>B153</f>
        <v>3.3747300215982723E-7</v>
      </c>
      <c r="K153" s="19"/>
      <c r="L153" s="19"/>
      <c r="M153" s="19"/>
      <c r="N153" s="19"/>
      <c r="O153" s="19"/>
      <c r="P153" s="19"/>
      <c r="Q153"/>
      <c r="R153"/>
      <c r="S153" s="11">
        <f>(1/(25*8000*18.52))</f>
        <v>2.6997840172786177E-7</v>
      </c>
      <c r="T153" s="11">
        <f>(1/(15*8000*18.52))</f>
        <v>4.4996400287976961E-7</v>
      </c>
    </row>
    <row r="154" spans="1:21" s="11" customFormat="1" ht="16" x14ac:dyDescent="0.2">
      <c r="A154" s="16" t="s">
        <v>504</v>
      </c>
      <c r="B154" s="11">
        <f>B152*-1</f>
        <v>-1.3498920086393089E-6</v>
      </c>
      <c r="C154" s="11" t="s">
        <v>34</v>
      </c>
      <c r="D154" s="11" t="s">
        <v>6</v>
      </c>
      <c r="F154" s="11" t="s">
        <v>12</v>
      </c>
      <c r="G154" s="11" t="s">
        <v>505</v>
      </c>
      <c r="H154" s="11" t="s">
        <v>215</v>
      </c>
      <c r="I154" s="11">
        <v>5</v>
      </c>
      <c r="J154">
        <f>B154</f>
        <v>-1.3498920086393089E-6</v>
      </c>
      <c r="K154" s="19"/>
      <c r="L154" s="19"/>
      <c r="M154" s="19"/>
      <c r="N154" s="19"/>
      <c r="O154" s="19"/>
      <c r="P154" s="19"/>
      <c r="Q154"/>
      <c r="R154"/>
      <c r="S154" s="11">
        <f>-1*T152</f>
        <v>-1.7998560115190784E-6</v>
      </c>
      <c r="T154" s="11">
        <f>-1*S152</f>
        <v>-1.0799136069114471E-6</v>
      </c>
      <c r="U154" s="11" t="b">
        <v>1</v>
      </c>
    </row>
    <row r="155" spans="1:21" s="11" customFormat="1" ht="16" x14ac:dyDescent="0.2">
      <c r="A155" s="16" t="s">
        <v>506</v>
      </c>
      <c r="B155" s="11">
        <f>-1*B153</f>
        <v>-3.3747300215982723E-7</v>
      </c>
      <c r="C155" s="11" t="s">
        <v>34</v>
      </c>
      <c r="D155" s="11" t="s">
        <v>6</v>
      </c>
      <c r="F155" s="11" t="s">
        <v>12</v>
      </c>
      <c r="G155" s="11" t="s">
        <v>507</v>
      </c>
      <c r="H155" s="11" t="s">
        <v>225</v>
      </c>
      <c r="I155" s="11">
        <v>5</v>
      </c>
      <c r="J155">
        <f>B155</f>
        <v>-3.3747300215982723E-7</v>
      </c>
      <c r="K155" s="19"/>
      <c r="L155" s="19"/>
      <c r="M155" s="19"/>
      <c r="N155" s="19"/>
      <c r="O155" s="19"/>
      <c r="P155" s="19"/>
      <c r="Q155"/>
      <c r="R155"/>
      <c r="S155" s="11">
        <f>-1*T153</f>
        <v>-4.4996400287976961E-7</v>
      </c>
      <c r="T155" s="11">
        <f>-1*S153</f>
        <v>-2.6997840172786177E-7</v>
      </c>
      <c r="U155" s="11" t="b">
        <v>1</v>
      </c>
    </row>
    <row r="156" spans="1:21" s="11" customFormat="1" ht="16" x14ac:dyDescent="0.2">
      <c r="A156" s="13" t="s">
        <v>503</v>
      </c>
      <c r="B156" s="16">
        <v>54</v>
      </c>
      <c r="C156" s="11" t="s">
        <v>490</v>
      </c>
      <c r="D156" s="11" t="s">
        <v>35</v>
      </c>
      <c r="E156" s="10"/>
      <c r="F156" s="11" t="s">
        <v>12</v>
      </c>
      <c r="G156" s="11" t="s">
        <v>494</v>
      </c>
      <c r="H156" s="10" t="s">
        <v>499</v>
      </c>
      <c r="I156" s="11">
        <v>5</v>
      </c>
      <c r="J156" s="4">
        <f>B156</f>
        <v>54</v>
      </c>
      <c r="K156" s="19"/>
      <c r="L156" s="19"/>
      <c r="M156" s="19"/>
      <c r="N156" s="19"/>
      <c r="O156" s="19"/>
      <c r="P156" s="19"/>
      <c r="Q156"/>
      <c r="R156"/>
      <c r="S156" s="11">
        <v>52.9</v>
      </c>
      <c r="T156" s="11">
        <v>55.1</v>
      </c>
    </row>
    <row r="157" spans="1:21" s="11" customFormat="1" ht="16" x14ac:dyDescent="0.2">
      <c r="A157" s="13" t="s">
        <v>516</v>
      </c>
      <c r="B157" s="16">
        <v>14</v>
      </c>
      <c r="C157" s="11" t="s">
        <v>34</v>
      </c>
      <c r="D157" s="11" t="s">
        <v>13</v>
      </c>
      <c r="F157" s="11" t="s">
        <v>12</v>
      </c>
      <c r="G157" s="11" t="s">
        <v>517</v>
      </c>
      <c r="H157" s="20" t="s">
        <v>54</v>
      </c>
      <c r="I157" s="11">
        <v>0</v>
      </c>
      <c r="J157"/>
      <c r="K157" s="19"/>
      <c r="L157" s="19"/>
      <c r="M157" s="19"/>
      <c r="N157" s="19"/>
      <c r="O157" s="19"/>
      <c r="P157" s="19"/>
      <c r="Q157"/>
      <c r="R157"/>
    </row>
    <row r="158" spans="1:21" s="11" customFormat="1" ht="16" x14ac:dyDescent="0.2">
      <c r="A158" s="21" t="s">
        <v>38</v>
      </c>
      <c r="B158" s="15">
        <v>8</v>
      </c>
      <c r="C158" s="21"/>
      <c r="D158" s="21" t="s">
        <v>13</v>
      </c>
      <c r="E158" s="21" t="s">
        <v>39</v>
      </c>
      <c r="F158" s="21" t="s">
        <v>14</v>
      </c>
      <c r="G158" s="21"/>
      <c r="H158" s="22"/>
      <c r="I158" s="11">
        <v>0</v>
      </c>
      <c r="J158"/>
      <c r="K158" s="19"/>
      <c r="L158" s="19"/>
      <c r="M158" s="19"/>
      <c r="N158" s="19"/>
      <c r="O158" s="19"/>
      <c r="P158" s="19"/>
      <c r="Q158" s="19"/>
      <c r="R158"/>
    </row>
    <row r="159" spans="1:21" s="11" customFormat="1" ht="16" x14ac:dyDescent="0.2">
      <c r="A159" s="47" t="s">
        <v>456</v>
      </c>
      <c r="B159" s="48">
        <f>(0.09*1000)/(2963200/20)</f>
        <v>6.0745140388768898E-4</v>
      </c>
      <c r="C159" s="47"/>
      <c r="D159" s="47" t="s">
        <v>453</v>
      </c>
      <c r="E159" s="47" t="s">
        <v>454</v>
      </c>
      <c r="F159" s="47" t="s">
        <v>14</v>
      </c>
      <c r="H159" s="47" t="s">
        <v>457</v>
      </c>
      <c r="I159" s="11">
        <v>2</v>
      </c>
      <c r="J159">
        <f t="shared" ref="J159:J161" si="14">LN(B159)</f>
        <v>-7.4062383795497411</v>
      </c>
      <c r="K159" s="19">
        <v>1.05</v>
      </c>
      <c r="L159" s="19">
        <v>1.1000000000000001</v>
      </c>
      <c r="M159" s="19">
        <v>1</v>
      </c>
      <c r="N159" s="19">
        <v>1.02</v>
      </c>
      <c r="O159" s="19">
        <v>1.2</v>
      </c>
      <c r="P159" s="19">
        <v>1.2</v>
      </c>
      <c r="Q159" s="19">
        <v>1.5</v>
      </c>
      <c r="R159">
        <f t="shared" ref="R159:R161" si="15">LN(SQRT(EXP(
SQRT(
+POWER(LN(K159),2)
+POWER(LN(L159),2)
+POWER(LN(M159),2)
+POWER(LN(N159),2)
+POWER(LN(O159),2)
+POWER(LN(P159),2)
+POWER(LN(Q159),2)
)
)))</f>
        <v>0.24634371748562628</v>
      </c>
    </row>
    <row r="160" spans="1:21" s="11" customFormat="1" ht="16" x14ac:dyDescent="0.2">
      <c r="A160" s="47" t="s">
        <v>458</v>
      </c>
      <c r="B160" s="48">
        <f>(0.09*1000)/2963200</f>
        <v>3.0372570194384448E-5</v>
      </c>
      <c r="C160" s="47"/>
      <c r="D160" s="47" t="s">
        <v>459</v>
      </c>
      <c r="E160" s="47" t="s">
        <v>454</v>
      </c>
      <c r="F160" s="47" t="s">
        <v>14</v>
      </c>
      <c r="H160" s="47" t="s">
        <v>460</v>
      </c>
      <c r="I160" s="11">
        <v>2</v>
      </c>
      <c r="J160">
        <f t="shared" si="14"/>
        <v>-10.401970653103731</v>
      </c>
      <c r="K160" s="19">
        <v>1.05</v>
      </c>
      <c r="L160" s="19">
        <v>1.1000000000000001</v>
      </c>
      <c r="M160" s="19">
        <v>1</v>
      </c>
      <c r="N160" s="19">
        <v>1.02</v>
      </c>
      <c r="O160" s="19">
        <v>1.2</v>
      </c>
      <c r="P160" s="19">
        <v>1.2</v>
      </c>
      <c r="Q160" s="19">
        <v>1.5</v>
      </c>
      <c r="R160">
        <f t="shared" si="15"/>
        <v>0.24634371748562628</v>
      </c>
    </row>
    <row r="161" spans="1:20" s="11" customFormat="1" ht="16" x14ac:dyDescent="0.2">
      <c r="A161" s="47" t="s">
        <v>461</v>
      </c>
      <c r="B161" s="48">
        <f>(0.09*1000)/2963200</f>
        <v>3.0372570194384448E-5</v>
      </c>
      <c r="C161" s="47"/>
      <c r="D161" s="47" t="s">
        <v>459</v>
      </c>
      <c r="E161" s="47" t="s">
        <v>454</v>
      </c>
      <c r="F161" s="47" t="s">
        <v>14</v>
      </c>
      <c r="H161" s="47" t="s">
        <v>460</v>
      </c>
      <c r="I161" s="11">
        <v>2</v>
      </c>
      <c r="J161">
        <f t="shared" si="14"/>
        <v>-10.401970653103731</v>
      </c>
      <c r="K161" s="19">
        <v>1.05</v>
      </c>
      <c r="L161" s="19">
        <v>1.1000000000000001</v>
      </c>
      <c r="M161" s="19">
        <v>1</v>
      </c>
      <c r="N161" s="19">
        <v>1.02</v>
      </c>
      <c r="O161" s="19">
        <v>1.2</v>
      </c>
      <c r="P161" s="19">
        <v>1.2</v>
      </c>
      <c r="Q161" s="19">
        <v>1.5</v>
      </c>
      <c r="R161">
        <f t="shared" si="15"/>
        <v>0.24634371748562628</v>
      </c>
    </row>
    <row r="162" spans="1:20" s="11" customFormat="1" ht="16" x14ac:dyDescent="0.2">
      <c r="K162" s="12"/>
      <c r="L162" s="12"/>
      <c r="M162" s="12"/>
      <c r="N162" s="12"/>
      <c r="O162" s="12"/>
      <c r="P162" s="12"/>
    </row>
    <row r="163" spans="1:20" s="11" customFormat="1" ht="16" x14ac:dyDescent="0.2">
      <c r="A163" s="8" t="s">
        <v>1</v>
      </c>
      <c r="B163" s="9" t="s">
        <v>55</v>
      </c>
      <c r="K163" s="12"/>
      <c r="L163" s="12"/>
      <c r="M163" s="12"/>
      <c r="N163" s="12"/>
      <c r="O163" s="12"/>
      <c r="P163" s="12"/>
    </row>
    <row r="164" spans="1:20" s="11" customFormat="1" ht="16" x14ac:dyDescent="0.2">
      <c r="A164" s="13" t="s">
        <v>3</v>
      </c>
      <c r="B164" s="14">
        <v>1</v>
      </c>
      <c r="K164" s="12"/>
      <c r="L164" s="12"/>
      <c r="M164" s="12"/>
      <c r="N164" s="12"/>
      <c r="O164" s="12"/>
      <c r="P164" s="12"/>
    </row>
    <row r="165" spans="1:20" s="11" customFormat="1" ht="16" x14ac:dyDescent="0.2">
      <c r="A165" s="13" t="s">
        <v>11</v>
      </c>
      <c r="B165" s="14" t="inlineStr">
        <is>
          <t>APPROVED FINISHED PFSA MEMBRANE REFERENCE, issue90, 2026-10-18. Weber et al.2018 DOI10.1021/acs.est.8b02073 SISec1.2.1/TableS2 describesTFE+SO3-&gt;FDA,HFPoxidationwithNaOCl-&gt;HFPO,FDA+2HFPOadduct,Na2CO3pyrolysistoPSEPVE,polymerization90%yieldand39.31MJ/kgformingheat. Harzer2021PhD https://mediatum.ub.tum.de/doc/1634530/1634530.pdf synthesisfigurecorroboratesPSEPVE/alkalihydrolysis/acidconversion. ElectrolyzermembraneEW1100reference:Mechanical Characterization of Electrolyzer Membranes and Components Under Compression,2024 DOI10.1149/1945-7111/ad7a26. Theseareseparatechemistry/referenceproperties,not a measuredcompleteNafionfactory. Replace16kgTFEmonomerby16kgfinishedunreinforceddryacid-formPFSAperexisting1MWePEMstack. PreserveapprovedPt/Ir/coatingreferencesandlifetimepurchases. UseexplicitbalancednetengineeringchemistrywithEW1100g/molSO3H;n=6.557783744855004TFEbackboneunitsperC7F13O5SHacid-sidechainunit. FDA=C2F4O3SfromTFE+SO3;HFPO=C3F6OfromHFP+NaOCl,HFPfromTFEat1:1mass(rearrangementreference). FDA+2HFPO+Na2CO3-&gt;PSEPVE(C7F14O4S)+2NaF+2CO2;PSEPVE+backboneTFE+2NaOH+HCl-&gt;acidPFSA+NaF+NaCl+H2O. ThisNaOH/HClworkupis anexplicitbalancedengineeringvariant,not a claim ofHarzerKOH/HNO3industrialreagentchoice. Allupstreamintermediateconversionsassumed100%,overallfinishedpolymerretention90%asWeberreference. No2nd90%factoronprecursorinputs. Knownnetingredientsperkgfinished={'TFE': 1.0666093025141414, 'SO3': 0.08086565656565657, 'NaOCl': 0.15038135208080808, 'Na2CO3': 0.10705811975757576, 'NaOH': 0.0808015541010101, 'HCl': 0.03682626262626263};byproducts/reject={'NaCl': 0.17709020993939395, 'NaF': 0.1272368861909091, 'water': 0.018196969696969698, 'CO2': 0.08890707070707071, 'reject_PFSA': 0.11111111111111116}. BuyactualTFE,SO3,NaOCl,Na2CO3,NaOH,HCl,directlyatnetchainfeed;doNOTalsoaddcompleteWebermembranes orunsupportedHFP-&gt;hexafluoroethaneproxy. SaltoutputsNaCl/NaFandstoichiometricwatergotooneaqueouseffluentwith10kgprocesswater/kgfinished (explicitengineeringdilution,1-100kgsensitivity),1000kg/m3densityproxy. Fluoride-specificabatement/isolationanddissolvedsaltfateareunresolved;genericwastewaterisNOTvalidatedNaFdisposal. Polymerrejectgoestoexistingplasticincinerationwithoutcredit;stoichiometricCO2emittedonce.39.31MJ/kgWeberheat isoneaggregateon-sitechemicalsynthesis/filmformingallowance,notaddedagainateachmodeledintermediate;1kWh/kgsiteelectricityassumed. Existingnativeupstreamfeedproductionburdensremainseparate. TestEW1000-1200,finishedretention80-100%,heat20-80MJ/kg,andnonidealintermediateyields;thebalancednetrecipeis a stoichiometricengineeringreferencewithyield,NOTmeasuredindustrialgrosschemicalconsumption. Actualco-monomerpurification,catalysts,solventcirculation,intermediatescrap,PFASemissions,membranewatercontent,reinforcementandlong-termperformancearecoveragegaps. Finished16kgmasskept,notinferredfromfilmthicknessorcellarea. No native/runtime/YAMLorprimary-secondarysharechanges.
PREVIOUS NOTES (retained as history; the correction above takes precedence):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per single stack, @ 8000 hours/year. Iridium mining process is NOT from ecoinvent. Produced amount of H2 over 20 years: 2964315.35 kg. According to a study called IndWEDe, it is assumed that the stacks are replaced 3 times during the 20 years lifespan, based on the 2030’s scenario for 1 MW systems which predicts a lifetime of 50,000 h or more for the stacks of the different water electrolysis technologies. In comparison to AEC electrolyzers, PEMEC electrolyzers are less mature. Furthermore, the PEMEC technology is commercially available and operates with a similar system efficiency as the AEC technology. However, the current density and the gas purity are higher with values in between 0.6–2.0 A/cm2 and &gt; 99.99%, respectively. Besides this, the operating pressure (below 200 bar) is significantly higher in comparison to AEC systems, while the operating temperature (50 °C to 80 °C) and the system energy (4.2–6.6 kWh/m3H2) are similar to AEC systems. The PEMEC BoP and stack components data stem from Bareiß et al. and correspond to a 1 MW system. Moreover, some further BoP components like water purifier &amp; feed tank, buffer tank, and heat exchanger have been added, derived from a 300 kW AEC system, under the assumption that the components are also suitable for a PEMEC system. The values have been scaled up from 300 kW to 1 MW. Values have already been multiplied by 3 to reflect 2 stack replacements over 20 years of use.</t>
        </is>
      </c>
      <c r="K165" s="12"/>
      <c r="L165" s="12"/>
      <c r="M165" s="12"/>
      <c r="N165" s="12"/>
      <c r="O165" s="12"/>
      <c r="P165" s="12"/>
    </row>
    <row r="166" spans="1:20" s="11" customFormat="1" ht="16" x14ac:dyDescent="0.2">
      <c r="A166" s="13" t="s">
        <v>4</v>
      </c>
      <c r="B166" s="16" t="s">
        <v>47</v>
      </c>
      <c r="K166" s="12"/>
      <c r="L166" s="12"/>
      <c r="M166" s="12"/>
      <c r="N166" s="12"/>
      <c r="O166" s="12"/>
      <c r="P166" s="12"/>
    </row>
    <row r="167" spans="1:20" s="11" customFormat="1" ht="16" x14ac:dyDescent="0.2">
      <c r="A167" s="13" t="s">
        <v>2</v>
      </c>
      <c r="B167" s="14" t="s">
        <v>34</v>
      </c>
      <c r="K167" s="12"/>
      <c r="L167" s="12"/>
      <c r="M167" s="12"/>
      <c r="N167" s="12"/>
      <c r="O167" s="12"/>
      <c r="P167" s="12"/>
    </row>
    <row r="168" spans="1:20" s="11" customFormat="1" ht="16" x14ac:dyDescent="0.2">
      <c r="A168" s="13" t="s">
        <v>6</v>
      </c>
      <c r="B168" s="16" t="s">
        <v>6</v>
      </c>
      <c r="C168" s="11">
        <f>B178/1000</f>
        <v>7.5000000000000002E-4</v>
      </c>
      <c r="K168" s="12"/>
      <c r="L168" s="12"/>
      <c r="M168" s="12"/>
      <c r="N168" s="12"/>
      <c r="O168" s="12"/>
      <c r="P168" s="12"/>
    </row>
    <row r="169" spans="1:20" s="11" customFormat="1" ht="16" x14ac:dyDescent="0.2">
      <c r="A169" s="17" t="s">
        <v>7</v>
      </c>
      <c r="B169" s="9"/>
      <c r="C169" s="17"/>
      <c r="D169" s="17"/>
      <c r="E169" s="17"/>
      <c r="F169" s="17"/>
      <c r="G169" s="17"/>
      <c r="H169" s="17"/>
      <c r="I169" s="17"/>
      <c r="J169" s="17"/>
      <c r="K169" s="12"/>
      <c r="L169" s="12"/>
      <c r="M169" s="12"/>
      <c r="N169" s="12"/>
      <c r="O169" s="12"/>
      <c r="P169" s="12"/>
    </row>
    <row r="170" spans="1:20" s="11" customFormat="1" ht="16" x14ac:dyDescent="0.2">
      <c r="A170" s="17" t="s">
        <v>8</v>
      </c>
      <c r="B170" s="9" t="s">
        <v>9</v>
      </c>
      <c r="C170" s="17" t="s">
        <v>2</v>
      </c>
      <c r="D170" s="17" t="s">
        <v>6</v>
      </c>
      <c r="E170" s="23" t="s">
        <v>10</v>
      </c>
      <c r="F170" s="17" t="s">
        <v>5</v>
      </c>
      <c r="G170" s="17" t="s">
        <v>4</v>
      </c>
      <c r="H170" s="23" t="s">
        <v>11</v>
      </c>
      <c r="I170" s="17" t="s">
        <v>466</v>
      </c>
      <c r="J170" s="7" t="s">
        <v>467</v>
      </c>
      <c r="K170" s="18" t="s">
        <v>476</v>
      </c>
      <c r="L170" s="18" t="s">
        <v>477</v>
      </c>
      <c r="M170" s="18"/>
      <c r="N170" s="18"/>
      <c r="O170" s="18"/>
      <c r="P170" s="18"/>
      <c r="Q170" s="7"/>
      <c r="R170" s="7"/>
      <c r="S170" s="17"/>
      <c r="T170" s="7"/>
    </row>
    <row r="171" spans="1:20" s="11" customFormat="1" ht="16" x14ac:dyDescent="0.2">
      <c r="A171" s="16" t="str">
        <f>B163</f>
        <v>electrolyzer production, 1MWe, PEM, Stack</v>
      </c>
      <c r="B171" s="12">
        <v>1</v>
      </c>
      <c r="C171" s="11" t="s">
        <v>34</v>
      </c>
      <c r="D171" s="11" t="str">
        <f>B168</f>
        <v>unit</v>
      </c>
      <c r="F171" s="11" t="s">
        <v>16</v>
      </c>
      <c r="G171" s="11" t="str">
        <f>B166</f>
        <v>electrolyzer, 1MWe, PEM, Stack</v>
      </c>
      <c r="I171" s="11">
        <v>0</v>
      </c>
      <c r="K171" s="12"/>
      <c r="L171" s="12"/>
      <c r="M171" s="12"/>
      <c r="N171" s="12"/>
      <c r="O171" s="12"/>
      <c r="P171" s="12"/>
    </row>
    <row r="172" spans="1:20" s="11" customFormat="1" ht="16" x14ac:dyDescent="0.2">
      <c r="A172" s="11" t="s">
        <v>18</v>
      </c>
      <c r="B172" s="12">
        <v>27</v>
      </c>
      <c r="C172" s="11" t="s">
        <v>17</v>
      </c>
      <c r="D172" s="11" t="s">
        <v>13</v>
      </c>
      <c r="F172" s="11" t="s">
        <v>12</v>
      </c>
      <c r="G172" s="11" t="s">
        <v>19</v>
      </c>
      <c r="H172" s="11" t="s">
        <v>57</v>
      </c>
      <c r="I172" s="11">
        <v>0</v>
      </c>
      <c r="J172"/>
      <c r="K172" s="19"/>
      <c r="L172" s="19"/>
      <c r="M172" s="19"/>
      <c r="N172" s="19"/>
      <c r="O172" s="19"/>
      <c r="P172" s="19"/>
      <c r="Q172"/>
      <c r="R172"/>
    </row>
    <row r="173" spans="1:20" s="11" customFormat="1" ht="16" x14ac:dyDescent="0.2">
      <c r="A173" s="11" t="s">
        <v>58</v>
      </c>
      <c r="B173" s="12">
        <v>27</v>
      </c>
      <c r="C173" s="11" t="s">
        <v>17</v>
      </c>
      <c r="D173" s="11" t="s">
        <v>13</v>
      </c>
      <c r="F173" s="11" t="s">
        <v>12</v>
      </c>
      <c r="G173" s="11" t="s">
        <v>41</v>
      </c>
      <c r="H173" s="11" t="s">
        <v>57</v>
      </c>
      <c r="I173" s="11">
        <v>0</v>
      </c>
      <c r="J173"/>
      <c r="K173" s="19"/>
      <c r="L173" s="19"/>
      <c r="M173" s="19"/>
      <c r="N173" s="19"/>
      <c r="O173" s="19"/>
      <c r="P173" s="19"/>
      <c r="Q173"/>
      <c r="R173"/>
    </row>
    <row r="174" spans="1:20" s="11" customFormat="1" ht="16" x14ac:dyDescent="0.2">
      <c r="A174" s="11" t="s">
        <v>59</v>
      </c>
      <c r="B174" s="12">
        <v>528</v>
      </c>
      <c r="C174" s="11" t="s">
        <v>17</v>
      </c>
      <c r="D174" s="11" t="s">
        <v>13</v>
      </c>
      <c r="F174" s="11" t="s">
        <v>12</v>
      </c>
      <c r="G174" s="11" t="s">
        <v>60</v>
      </c>
      <c r="H174" s="11" t="s">
        <v>61</v>
      </c>
      <c r="I174" s="11">
        <v>0</v>
      </c>
      <c r="J174"/>
      <c r="K174" s="19"/>
      <c r="L174" s="19"/>
      <c r="M174" s="19"/>
      <c r="N174" s="19"/>
      <c r="O174" s="19"/>
      <c r="P174" s="19"/>
      <c r="Q174"/>
      <c r="R174"/>
    </row>
    <row r="175" spans="1:20" s="11" customFormat="1" ht="16" x14ac:dyDescent="0.2">
      <c r="A175" s="11" t="inlineStr">
        <is>
          <t xml:space="preserve">PFSA membrane production, electrolysis, EW1100</t>
        </is>
      </c>
      <c r="B175" s="12">
        <v>16</v>
      </c>
      <c r="C175" s="11" t="inlineStr">
        <is>
          <t>GLO</t>
        </is>
      </c>
      <c r="D175" s="11" t="s">
        <v>13</v>
      </c>
      <c r="F175" s="11" t="s">
        <v>12</v>
      </c>
      <c r="G175" s="11" t="inlineStr">
        <is>
          <t xml:space="preserve">PFSA membrane, electrolysis, EW1100</t>
        </is>
      </c>
      <c r="H175" s="11" t="inlineStr">
        <is>
          <t>APPROVED FINISHED PFSA MEMBRANE REFERENCE, issue90, 2026-10-18. Weber et al.2018 DOI10.1021/acs.est.8b02073 SISec1.2.1/TableS2 describesTFE+SO3-&gt;FDA,HFPoxidationwithNaOCl-&gt;HFPO,FDA+2HFPOadduct,Na2CO3pyrolysistoPSEPVE,polymerization90%yieldand39.31MJ/kgformingheat. Harzer2021PhD https://mediatum.ub.tum.de/doc/1634530/1634530.pdf synthesisfigurecorroboratesPSEPVE/alkalihydrolysis/acidconversion. ElectrolyzermembraneEW1100reference:Mechanical Characterization of Electrolyzer Membranes and Components Under Compression,2024 DOI10.1149/1945-7111/ad7a26. Theseareseparatechemistry/referenceproperties,not a measuredcompleteNafionfactory. Replace16kgTFEmonomerby16kgfinishedunreinforceddryacid-formPFSAperexisting1MWePEMstack. PreserveapprovedPt/Ir/coatingreferencesandlifetimepurchases. UseexplicitbalancednetengineeringchemistrywithEW1100g/molSO3H;n=6.557783744855004TFEbackboneunitsperC7F13O5SHacid-sidechainunit. FDA=C2F4O3SfromTFE+SO3;HFPO=C3F6OfromHFP+NaOCl,HFPfromTFEat1:1mass(rearrangementreference). FDA+2HFPO+Na2CO3-&gt;PSEPVE(C7F14O4S)+2NaF+2CO2;PSEPVE+backboneTFE+2NaOH+HCl-&gt;acidPFSA+NaF+NaCl+H2O. ThisNaOH/HClworkupis anexplicitbalancedengineeringvariant,not a claim ofHarzerKOH/HNO3industrialreagentchoice. Allupstreamintermediateconversionsassumed100%,overallfinishedpolymerretention90%asWeberreference. No2nd90%factoronprecursorinputs. Knownnetingredientsperkgfinished={'TFE': 1.0666093025141414, 'SO3': 0.08086565656565657, 'NaOCl': 0.15038135208080808, 'Na2CO3': 0.10705811975757576, 'NaOH': 0.0808015541010101, 'HCl': 0.03682626262626263};byproducts/reject={'NaCl': 0.17709020993939395, 'NaF': 0.1272368861909091, 'water': 0.018196969696969698, 'CO2': 0.08890707070707071, 'reject_PFSA': 0.11111111111111116}. BuyactualTFE,SO3,NaOCl,Na2CO3,NaOH,HCl,directlyatnetchainfeed;doNOTalsoaddcompleteWebermembranes orunsupportedHFP-&gt;hexafluoroethaneproxy. SaltoutputsNaCl/NaFandstoichiometricwatergotooneaqueouseffluentwith10kgprocesswater/kgfinished (explicitengineeringdilution,1-100kgsensitivity),1000kg/m3densityproxy. Fluoride-specificabatement/isolationanddissolvedsaltfateareunresolved;genericwastewaterisNOTvalidatedNaFdisposal. Polymerrejectgoestoexistingplasticincinerationwithoutcredit;stoichiometricCO2emittedonce.39.31MJ/kgWeberheat isoneaggregateon-sitechemicalsynthesis/filmformingallowance,notaddedagainateachmodeledintermediate;1kWh/kgsiteelectricityassumed. Existingnativeupstreamfeedproductionburdensremainseparate. TestEW1000-1200,finishedretention80-100%,heat20-80MJ/kg,andnonidealintermediateyields;thebalancednetrecipeis a stoichiometricengineeringreferencewithyield,NOTmeasuredindustrialgrosschemicalconsumption. Actualco-monomerpurification,catalysts,solventcirculation,intermediatescrap,PFASemissions,membranewatercontent,reinforcementandlong-termperformancearecoveragegaps. Finished16kgmasskept,notinferredfromfilmthicknessorcellarea. No native/runtime/YAMLorprimary-secondarysharechanges.</t>
        </is>
      </c>
      <c r="I175" s="11">
        <v>0</v>
      </c>
      <c r="J175"/>
      <c r="K175" s="19"/>
      <c r="L175" s="19"/>
      <c r="M175" s="19"/>
      <c r="N175" s="19"/>
      <c r="O175" s="19"/>
      <c r="P175" s="19"/>
      <c r="Q175"/>
      <c r="R175"/>
    </row>
    <row r="176" spans="1:20" s="11" customFormat="1" ht="16" x14ac:dyDescent="0.2">
      <c r="A176" s="11" t="s">
        <v>63</v>
      </c>
      <c r="B176" s="12">
        <v>4.5</v>
      </c>
      <c r="C176" s="11" t="s">
        <v>17</v>
      </c>
      <c r="D176" s="11" t="s">
        <v>13</v>
      </c>
      <c r="F176" s="11" t="s">
        <v>12</v>
      </c>
      <c r="G176" s="11" t="s">
        <v>64</v>
      </c>
      <c r="H176" s="11" t="s">
        <v>65</v>
      </c>
      <c r="I176" s="11">
        <v>0</v>
      </c>
      <c r="J176"/>
      <c r="K176" s="19"/>
      <c r="L176" s="19"/>
      <c r="M176" s="19"/>
      <c r="N176" s="19"/>
      <c r="O176" s="19"/>
      <c r="P176" s="19"/>
      <c r="Q176"/>
      <c r="R176"/>
    </row>
    <row r="177" spans="1:18" s="11" customFormat="1" ht="16" x14ac:dyDescent="0.2">
      <c r="A177" s="11" t="s">
        <v>479</v>
      </c>
      <c r="B177" s="12">
        <v>0.8</v>
      </c>
      <c r="C177" s="11" t="s">
        <v>480</v>
      </c>
      <c r="D177" s="11" t="s">
        <v>13</v>
      </c>
      <c r="F177" s="11" t="s">
        <v>12</v>
      </c>
      <c r="G177" s="11" t="s">
        <v>66</v>
      </c>
      <c r="H177" s="11" t="s">
        <v>65</v>
      </c>
      <c r="I177" s="11">
        <v>0</v>
      </c>
      <c r="J177"/>
      <c r="K177" s="19"/>
      <c r="L177" s="19"/>
      <c r="M177" s="19"/>
      <c r="N177" s="19"/>
      <c r="O177" s="19"/>
      <c r="P177" s="19"/>
      <c r="Q177"/>
      <c r="R177"/>
    </row>
    <row r="178" spans="1:18" s="11" customFormat="1" ht="16" x14ac:dyDescent="0.2">
      <c r="A178" s="11" t="s">
        <v>23</v>
      </c>
      <c r="B178" s="12">
        <f>0.75/1000*1000</f>
        <v>0.75</v>
      </c>
      <c r="C178" s="11" t="s">
        <v>17</v>
      </c>
      <c r="D178" s="11" t="s">
        <v>13</v>
      </c>
      <c r="E178" s="10"/>
      <c r="F178" s="11" t="s">
        <v>12</v>
      </c>
      <c r="G178" s="11" t="s">
        <v>24</v>
      </c>
      <c r="H178" s="10" t="s">
        <v>478</v>
      </c>
      <c r="I178" s="11">
        <v>5</v>
      </c>
      <c r="J178" s="19">
        <f>B178</f>
        <v>0.75</v>
      </c>
      <c r="K178" s="19">
        <v>0.5</v>
      </c>
      <c r="L178" s="19">
        <v>1</v>
      </c>
      <c r="M178" s="19"/>
      <c r="N178" s="19"/>
      <c r="O178" s="19"/>
      <c r="P178" s="19"/>
      <c r="Q178"/>
      <c r="R178"/>
    </row>
    <row r="179" spans="1:18" s="11" customFormat="1" ht="16" x14ac:dyDescent="0.2">
      <c r="A179" s="11" t="s">
        <v>63</v>
      </c>
      <c r="B179" s="12">
        <v>4.5</v>
      </c>
      <c r="C179" s="11" t="s">
        <v>17</v>
      </c>
      <c r="D179" s="11" t="s">
        <v>13</v>
      </c>
      <c r="F179" s="11" t="s">
        <v>12</v>
      </c>
      <c r="G179" s="11" t="s">
        <v>64</v>
      </c>
      <c r="H179" s="10" t="s">
        <v>67</v>
      </c>
      <c r="I179" s="11">
        <v>0</v>
      </c>
      <c r="J179"/>
      <c r="K179" s="19"/>
      <c r="L179" s="19"/>
      <c r="M179" s="19"/>
      <c r="N179" s="19"/>
      <c r="O179" s="19"/>
      <c r="P179" s="19"/>
      <c r="Q179"/>
      <c r="R179"/>
    </row>
    <row r="180" spans="1:18" s="11" customFormat="1" ht="16" x14ac:dyDescent="0.2">
      <c r="A180" s="11" t="s">
        <v>68</v>
      </c>
      <c r="B180" s="12">
        <v>4.5</v>
      </c>
      <c r="C180" s="11" t="s">
        <v>17</v>
      </c>
      <c r="D180" s="11" t="s">
        <v>13</v>
      </c>
      <c r="F180" s="11" t="s">
        <v>12</v>
      </c>
      <c r="G180" s="11" t="s">
        <v>69</v>
      </c>
      <c r="H180" s="11" t="s">
        <v>70</v>
      </c>
      <c r="I180" s="11">
        <v>0</v>
      </c>
      <c r="J180"/>
      <c r="K180" s="19"/>
      <c r="L180" s="19"/>
      <c r="M180" s="19"/>
      <c r="N180" s="19"/>
      <c r="O180" s="19"/>
      <c r="P180" s="19"/>
      <c r="Q180"/>
      <c r="R180"/>
    </row>
    <row r="181" spans="1:18" s="11" customFormat="1" ht="16" x14ac:dyDescent="0.2">
      <c r="A181" s="11" t="s">
        <v>71</v>
      </c>
      <c r="B181" s="12">
        <v>4.5</v>
      </c>
      <c r="C181" s="11" t="s">
        <v>17</v>
      </c>
      <c r="D181" s="11" t="s">
        <v>13</v>
      </c>
      <c r="F181" s="11" t="s">
        <v>12</v>
      </c>
      <c r="G181" s="11" t="s">
        <v>72</v>
      </c>
      <c r="H181" s="11" t="s">
        <v>70</v>
      </c>
      <c r="I181" s="11">
        <v>0</v>
      </c>
      <c r="J181"/>
      <c r="K181" s="19"/>
      <c r="L181" s="19"/>
      <c r="M181" s="19"/>
      <c r="N181" s="19"/>
      <c r="O181" s="19"/>
      <c r="P181" s="19"/>
      <c r="Q181"/>
      <c r="R181"/>
    </row>
    <row r="182" spans="1:18" s="11" customFormat="1" ht="16" x14ac:dyDescent="0.2">
      <c r="A182" s="11" t="s">
        <v>73</v>
      </c>
      <c r="B182" s="12">
        <v>100</v>
      </c>
      <c r="C182" s="11" t="s">
        <v>17</v>
      </c>
      <c r="D182" s="11" t="s">
        <v>13</v>
      </c>
      <c r="F182" s="11" t="s">
        <v>12</v>
      </c>
      <c r="G182" s="11" t="s">
        <v>74</v>
      </c>
      <c r="H182" s="11" t="s">
        <v>75</v>
      </c>
      <c r="I182" s="11">
        <v>0</v>
      </c>
      <c r="J182"/>
      <c r="K182" s="19"/>
      <c r="L182" s="19"/>
      <c r="M182" s="19"/>
      <c r="N182" s="19"/>
      <c r="O182" s="19"/>
      <c r="P182" s="19"/>
      <c r="Q182"/>
      <c r="R182"/>
    </row>
    <row r="183" spans="1:18" s="11" customFormat="1" ht="16" x14ac:dyDescent="0.2">
      <c r="A183" s="11" t="s">
        <v>20</v>
      </c>
      <c r="B183" s="12">
        <v>100</v>
      </c>
      <c r="C183" s="11" t="s">
        <v>17</v>
      </c>
      <c r="D183" s="11" t="s">
        <v>13</v>
      </c>
      <c r="F183" s="11" t="s">
        <v>12</v>
      </c>
      <c r="G183" s="11" t="s">
        <v>15</v>
      </c>
      <c r="H183" s="11" t="s">
        <v>75</v>
      </c>
      <c r="I183" s="11">
        <v>0</v>
      </c>
      <c r="J183"/>
      <c r="K183" s="19"/>
      <c r="L183" s="19"/>
      <c r="M183" s="19"/>
      <c r="N183" s="19"/>
      <c r="O183" s="19"/>
      <c r="P183" s="19"/>
      <c r="Q183"/>
      <c r="R183"/>
    </row>
    <row r="184" spans="1:18" s="11" customFormat="1" ht="16" x14ac:dyDescent="0.2">
      <c r="A184" s="11" t="s">
        <v>76</v>
      </c>
      <c r="B184" s="12">
        <v>4.8</v>
      </c>
      <c r="C184" s="11" t="s">
        <v>17</v>
      </c>
      <c r="D184" s="11" t="s">
        <v>13</v>
      </c>
      <c r="F184" s="11" t="s">
        <v>12</v>
      </c>
      <c r="G184" s="11" t="s">
        <v>77</v>
      </c>
      <c r="H184" s="11" t="s">
        <v>78</v>
      </c>
      <c r="I184" s="11">
        <v>0</v>
      </c>
      <c r="J184"/>
      <c r="K184" s="19"/>
      <c r="L184" s="19"/>
      <c r="M184" s="19"/>
      <c r="N184" s="19"/>
      <c r="O184" s="19"/>
      <c r="P184" s="19"/>
      <c r="Q184"/>
      <c r="R184"/>
    </row>
    <row r="185" spans="1:18" s="11" customFormat="1" ht="16" x14ac:dyDescent="0.2">
      <c r="A185" s="11" t="s">
        <v>33</v>
      </c>
      <c r="B185" s="12">
        <v>103890.7681</v>
      </c>
      <c r="C185" s="11" t="s">
        <v>17</v>
      </c>
      <c r="D185" s="11" t="s">
        <v>35</v>
      </c>
      <c r="E185" s="10"/>
      <c r="F185" s="11" t="s">
        <v>12</v>
      </c>
      <c r="G185" s="10" t="s">
        <v>36</v>
      </c>
      <c r="H185" s="11" t="s">
        <v>79</v>
      </c>
      <c r="I185" s="11">
        <v>0</v>
      </c>
      <c r="J185"/>
      <c r="K185" s="19"/>
      <c r="L185" s="19"/>
      <c r="M185" s="19"/>
      <c r="N185" s="19"/>
      <c r="O185" s="19"/>
      <c r="P185" s="19"/>
      <c r="Q185"/>
      <c r="R185"/>
    </row>
    <row r="186" spans="1:18" s="11" customFormat="1" ht="16" x14ac:dyDescent="0.2">
      <c r="B186" s="16"/>
      <c r="K186" s="12"/>
      <c r="L186" s="12"/>
      <c r="M186" s="12"/>
      <c r="N186" s="12"/>
      <c r="O186" s="12"/>
      <c r="P186" s="12"/>
    </row>
    <row r="187" spans="1:18" s="11" customFormat="1" ht="16" x14ac:dyDescent="0.2">
      <c r="A187" s="8" t="s">
        <v>1</v>
      </c>
      <c r="B187" s="9" t="s">
        <v>504</v>
      </c>
      <c r="K187" s="12"/>
      <c r="L187" s="12"/>
      <c r="M187" s="12"/>
      <c r="N187" s="12"/>
      <c r="O187" s="12"/>
      <c r="P187" s="12"/>
    </row>
    <row r="188" spans="1:18" s="11" customFormat="1" ht="16" x14ac:dyDescent="0.2">
      <c r="A188" s="13" t="s">
        <v>3</v>
      </c>
      <c r="B188" s="14">
        <v>1</v>
      </c>
      <c r="K188" s="12"/>
      <c r="L188" s="12"/>
      <c r="M188" s="12"/>
      <c r="N188" s="12"/>
      <c r="O188" s="12"/>
      <c r="P188" s="12"/>
    </row>
    <row r="189" spans="1:18" s="11" customFormat="1" ht="16" x14ac:dyDescent="0.2">
      <c r="A189" s="13" t="s">
        <v>11</v>
      </c>
      <c r="B189" s="14" t="s">
        <v>56</v>
      </c>
      <c r="K189" s="12"/>
      <c r="L189" s="12"/>
      <c r="M189" s="12"/>
      <c r="N189" s="12"/>
      <c r="O189" s="12"/>
      <c r="P189" s="12"/>
    </row>
    <row r="190" spans="1:18" s="11" customFormat="1" ht="16" x14ac:dyDescent="0.2">
      <c r="A190" s="13" t="s">
        <v>4</v>
      </c>
      <c r="B190" s="16" t="s">
        <v>505</v>
      </c>
      <c r="K190" s="12"/>
      <c r="L190" s="12"/>
      <c r="M190" s="12"/>
      <c r="N190" s="12"/>
      <c r="O190" s="12"/>
      <c r="P190" s="12"/>
    </row>
    <row r="191" spans="1:18" s="11" customFormat="1" ht="16" x14ac:dyDescent="0.2">
      <c r="A191" s="13" t="s">
        <v>2</v>
      </c>
      <c r="B191" s="14" t="s">
        <v>34</v>
      </c>
      <c r="K191" s="12"/>
      <c r="L191" s="12"/>
      <c r="M191" s="12"/>
      <c r="N191" s="12"/>
      <c r="O191" s="12"/>
      <c r="P191" s="12"/>
    </row>
    <row r="192" spans="1:18" s="11" customFormat="1" ht="16" x14ac:dyDescent="0.2">
      <c r="A192" s="13" t="s">
        <v>6</v>
      </c>
      <c r="B192" s="16" t="s">
        <v>6</v>
      </c>
      <c r="K192" s="12"/>
      <c r="L192" s="12"/>
      <c r="M192" s="12"/>
      <c r="N192" s="12"/>
      <c r="O192" s="12"/>
      <c r="P192" s="12"/>
    </row>
    <row r="193" spans="1:20" s="11" customFormat="1" ht="16" x14ac:dyDescent="0.2">
      <c r="A193" s="17" t="s">
        <v>7</v>
      </c>
      <c r="B193" s="9"/>
      <c r="C193" s="17"/>
      <c r="D193" s="17"/>
      <c r="E193" s="17"/>
      <c r="F193" s="17"/>
      <c r="G193" s="17"/>
      <c r="H193" s="17"/>
      <c r="I193" s="17"/>
      <c r="J193" s="17"/>
      <c r="K193" s="12"/>
      <c r="L193" s="12"/>
      <c r="M193" s="12"/>
      <c r="N193" s="12"/>
      <c r="O193" s="12"/>
      <c r="P193" s="12"/>
    </row>
    <row r="194" spans="1:20" s="11" customFormat="1" ht="16" x14ac:dyDescent="0.2">
      <c r="A194" s="17" t="s">
        <v>8</v>
      </c>
      <c r="B194" s="9" t="s">
        <v>9</v>
      </c>
      <c r="C194" s="17" t="s">
        <v>2</v>
      </c>
      <c r="D194" s="17" t="s">
        <v>6</v>
      </c>
      <c r="E194" s="23" t="s">
        <v>10</v>
      </c>
      <c r="F194" s="17" t="s">
        <v>5</v>
      </c>
      <c r="G194" s="17" t="s">
        <v>4</v>
      </c>
      <c r="H194" s="23" t="s">
        <v>11</v>
      </c>
      <c r="I194" s="17"/>
      <c r="J194" s="7"/>
      <c r="K194" s="18"/>
      <c r="L194" s="18"/>
      <c r="M194" s="18"/>
      <c r="N194" s="18"/>
      <c r="O194" s="18"/>
      <c r="P194" s="18"/>
      <c r="Q194" s="7"/>
      <c r="R194" s="7"/>
      <c r="S194" s="17"/>
      <c r="T194" s="7"/>
    </row>
    <row r="195" spans="1:20" s="11" customFormat="1" ht="16" x14ac:dyDescent="0.2">
      <c r="A195" s="16" t="str">
        <f>B187</f>
        <v>treatment of electrolyzer stack, 1MWe, PEM</v>
      </c>
      <c r="B195" s="12">
        <v>-1</v>
      </c>
      <c r="C195" s="11" t="s">
        <v>34</v>
      </c>
      <c r="D195" s="11" t="str">
        <f>B192</f>
        <v>unit</v>
      </c>
      <c r="F195" s="11" t="s">
        <v>16</v>
      </c>
      <c r="G195" s="11" t="str">
        <f>B190</f>
        <v>used electrolyzer stack, 1MWe, PEM</v>
      </c>
      <c r="K195" s="12"/>
      <c r="L195" s="12"/>
      <c r="M195" s="12"/>
      <c r="N195" s="12"/>
      <c r="O195" s="12"/>
      <c r="P195" s="12"/>
    </row>
    <row r="196" spans="1:20" s="11" customFormat="1" ht="16" x14ac:dyDescent="0.2">
      <c r="A196" s="16" t="s">
        <v>204</v>
      </c>
      <c r="B196" s="11">
        <f>-1*B182</f>
        <v>-100</v>
      </c>
      <c r="C196" s="11" t="s">
        <v>37</v>
      </c>
      <c r="D196" s="11" t="s">
        <v>13</v>
      </c>
      <c r="F196" s="11" t="s">
        <v>12</v>
      </c>
      <c r="G196" s="11" t="s">
        <v>205</v>
      </c>
      <c r="J196"/>
      <c r="K196" s="19"/>
      <c r="L196" s="19"/>
      <c r="M196" s="19"/>
      <c r="N196" s="19"/>
      <c r="O196" s="19"/>
      <c r="P196" s="19"/>
      <c r="Q196"/>
      <c r="R196"/>
    </row>
    <row r="197" spans="1:20" s="11" customFormat="1" ht="16" x14ac:dyDescent="0.2">
      <c r="A197" s="11" t="s">
        <v>206</v>
      </c>
      <c r="B197" s="11">
        <f>-1*B172</f>
        <v>-27</v>
      </c>
      <c r="C197" s="11" t="s">
        <v>37</v>
      </c>
      <c r="D197" s="11" t="s">
        <v>13</v>
      </c>
      <c r="F197" s="11" t="s">
        <v>12</v>
      </c>
      <c r="G197" s="11" t="s">
        <v>207</v>
      </c>
      <c r="J197"/>
      <c r="K197" s="19"/>
      <c r="L197" s="19"/>
      <c r="M197" s="19"/>
      <c r="N197" s="19"/>
      <c r="O197" s="19"/>
      <c r="P197" s="19"/>
      <c r="Q197"/>
      <c r="R197"/>
    </row>
    <row r="198" spans="1:20" s="11" customFormat="1" ht="16" x14ac:dyDescent="0.2">
      <c r="A198" s="11" t="s">
        <v>208</v>
      </c>
      <c r="B198" s="11">
        <f>-1*B180</f>
        <v>-4.5</v>
      </c>
      <c r="C198" s="11" t="s">
        <v>37</v>
      </c>
      <c r="D198" s="11" t="s">
        <v>13</v>
      </c>
      <c r="F198" s="11" t="s">
        <v>12</v>
      </c>
      <c r="G198" s="11" t="s">
        <v>209</v>
      </c>
      <c r="J198"/>
      <c r="K198" s="19"/>
      <c r="L198" s="19"/>
      <c r="M198" s="19"/>
      <c r="N198" s="19"/>
      <c r="O198" s="19"/>
      <c r="P198" s="19"/>
      <c r="Q198"/>
      <c r="R198"/>
    </row>
    <row r="199" spans="1:20" s="11" customFormat="1" ht="16" x14ac:dyDescent="0.2">
      <c r="A199" s="11" t="s">
        <v>210</v>
      </c>
      <c r="B199" s="11">
        <f>-1*B175</f>
        <v>-16</v>
      </c>
      <c r="C199" s="11" t="s">
        <v>212</v>
      </c>
      <c r="D199" s="11" t="s">
        <v>13</v>
      </c>
      <c r="F199" s="11" t="s">
        <v>12</v>
      </c>
      <c r="G199" s="11" t="s">
        <v>211</v>
      </c>
      <c r="J199"/>
      <c r="K199" s="19"/>
      <c r="L199" s="19"/>
      <c r="M199" s="19"/>
      <c r="N199" s="19"/>
      <c r="O199" s="19"/>
      <c r="P199" s="19"/>
      <c r="Q199"/>
      <c r="R199"/>
    </row>
    <row r="200" spans="1:20" s="11" customFormat="1" ht="16" x14ac:dyDescent="0.2">
      <c r="A200" s="11" t="s">
        <v>213</v>
      </c>
      <c r="B200" s="11">
        <f>-1*B184</f>
        <v>-4.8</v>
      </c>
      <c r="C200" s="11" t="s">
        <v>37</v>
      </c>
      <c r="D200" s="11" t="s">
        <v>13</v>
      </c>
      <c r="F200" s="11" t="s">
        <v>12</v>
      </c>
      <c r="G200" s="11" t="s">
        <v>214</v>
      </c>
      <c r="J200"/>
      <c r="K200" s="19"/>
      <c r="L200" s="19"/>
      <c r="M200" s="19"/>
      <c r="N200" s="19"/>
      <c r="O200" s="19"/>
      <c r="P200" s="19"/>
      <c r="Q200"/>
      <c r="R200"/>
    </row>
    <row r="201" spans="1:20" s="11" customFormat="1" ht="16" x14ac:dyDescent="0.2">
      <c r="B201" s="16"/>
      <c r="K201" s="12"/>
      <c r="L201" s="12"/>
      <c r="M201" s="12"/>
      <c r="N201" s="12"/>
      <c r="O201" s="12"/>
      <c r="P201" s="12"/>
    </row>
    <row r="202" spans="1:20" s="11" customFormat="1" ht="16" x14ac:dyDescent="0.2">
      <c r="A202" s="8" t="s">
        <v>1</v>
      </c>
      <c r="B202" s="9" t="s">
        <v>80</v>
      </c>
      <c r="K202" s="24"/>
      <c r="L202" s="25"/>
      <c r="M202" s="12"/>
      <c r="N202" s="12"/>
      <c r="O202" s="12"/>
      <c r="P202" s="12"/>
    </row>
    <row r="203" spans="1:20" s="11" customFormat="1" ht="16" x14ac:dyDescent="0.2">
      <c r="A203" s="13" t="s">
        <v>3</v>
      </c>
      <c r="B203" s="14">
        <v>1</v>
      </c>
      <c r="K203" s="26"/>
      <c r="L203" s="25"/>
      <c r="M203" s="12"/>
      <c r="N203" s="12"/>
      <c r="O203" s="12"/>
      <c r="P203" s="12"/>
    </row>
    <row r="204" spans="1:20" s="11" customFormat="1" ht="16" x14ac:dyDescent="0.2">
      <c r="A204" s="13" t="s">
        <v>11</v>
      </c>
      <c r="B204" s="14"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
PREVIOUS NOTES (retained as history; the correction above takes precedence):
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
PREVIOUS NOTES (retained as history; the correction above takes precedence):
APPROVED ELECTROLYZER CONTROL-ASSEMBLY COVERAGE CLARIFICATION, issue92, 2026-10-18. Bareiss et al.2019 DOI10.1016/j.apenergy.2019.01.001 Sec3.2.2 states100kgGROSScontrolelectronicsper1MW;Gerloff2021componentmapping;ecoinventindustrial electronicsproductionforcontrolunits documents46%steelhousing32%plastics14%mountedboards8%cables. CriticalauditofactualsupplierconfirmsitALREADYincludessteelhousing,plastics,circuitboardsandcables.The100kginputisNOT100kgofbarecircuitboards,andthemasswasnotshownwrong. Retaintheexistingmarketforelectronicsforcontrolunitsat100kgineachPEM/AEC/SOECBoP;documentitsactualassemblyboundaryinsteadofinventingametalreductionoraddinganothercabinet. Ecoinvent3.9RER/RoWrecipesper100kgassemblyinclude46kgsteelfeed+rolling,32.193kgHDPEgrossfeed+32kginjectionmoulding,14kgmountedPCB(7kgPbcontainingand7kgPbfree,halfsurface/halfthroughhole),3.2kgribboncable+12.3mcomputerconnectorcable+111mnetworkcable,andoriginalboardfacility. Source8%nominalcablemassmustNOTbesummedwithmetresaskg;completecableproviderssupplyCu/plastics. NoadditionalPCB,connector,preciousmetalorsteelenclosureon topofcompleteexistingassembly. Thedescriptive32%plasticsisnominal;retainactual32.193kggrossfeed,notblanketnormalization. Retainnativecurrent-versionrecipesandmarkets,dynamicallyresolvedbypremise. Validationofalocal3.9recipecopyrevealed3.12GLO-HDPE migrationwouldalterregionalplasticsourcingrelative tocurrentnativecontrolunits;thatcopywasrejectedandNOnewlocalcontrolprovidersareintroduced. Thusalloriginalamounts,provideridentities,regionalshares,freight,facilityandutilitiesremainunchangedacrossversions,notjustthedeclaredtotalmass. ExistingBoPassemblyelectricityalreadycoversfinalassembly;doNOTaddanextraassembly-energyallowance. Genericindustrialcontrolarchitectureis a legacyestimatedassembly,notmanufacturercertifiedelectrolyzerpanel;actualI/Ocounts,HMI,safetyPLC,boardmetallizationandtraceAu/Pd/Ta remainreference-designgaps. Thisitemcorrectstheinterpretationanddocumentscoverage;itdoesNOTclaimanumericalmetalcorrectionorfullqualifiedcontrolsystemdesign. Item93scopesconverterinternalgate/controlboardsseparatelyfromthisplant-levelcabinet;existingcontrolsareincludedonce. ExistingmatchingEOL14kgboards/32kgindustrialplastic/8kgcablesretained;thisdoesnotvalidateotherBoPwastecoefficients. Lifetimesandserviceallocationunchanged. Onlyactivity/exchangecommentsmodified;no native/globalmarket,runtime,YAMLorprimary-secondarysharechanges.
PREVIOUS NOTES (retained as history; the correction above takes precedence):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per single stack, @ 8000 hours/year. Iridium mining process is NOT from ecoinvent. Produced amount of H2 over 20 years: 2964315.35 kg. According to a study called IndWEDe, it is assumed that the stacks are replaced 3 times during the 20 years lifespan, based on the 2030’s scenario for 1 MW systems which predicts a lifetime of 50,000 h or more for the stacks of the different water electrolysis technologies. In comparison to AEC electrolyzers, PEMEC electrolyzers are less mature. Furthermore, the PEMEC technology is commercially available and operates with a similar system efficiency as the AEC technology. However, the current density and the gas purity are higher with values in between 0.6-2.0 A/cm2 and &gt; 99.99%, respectively. Besides this, the operating pressure (below 200 bar) is significantly higher in comparison to AEC systems, while the operating temperature (50 °C to 80 °C) and the system energy (4.2-6.6 kWh/m3H2) are similar to AEC systems. The PEMEC BoP and stack components data stem from Bareiß et al. and correspond to a 1 MW system. Moreover, some further BoP components like water purifier &amp; feed tank, buffer tank, and heat exchanger have been added, derived from a 300 kW AEC system, under the assumption that the components are also suitable for a PEMEC system. The values have been scaled up from 300 kW to 1 MW.</t>
        </is>
      </c>
      <c r="K204" s="12"/>
      <c r="L204" s="25"/>
      <c r="M204" s="12"/>
      <c r="N204" s="12"/>
      <c r="O204" s="12"/>
      <c r="P204" s="12"/>
    </row>
    <row r="205" spans="1:20" s="11" customFormat="1" ht="16" x14ac:dyDescent="0.2">
      <c r="A205" s="13" t="s">
        <v>4</v>
      </c>
      <c r="B205" s="16" t="s">
        <v>48</v>
      </c>
      <c r="K205" s="12"/>
      <c r="L205" s="12"/>
      <c r="M205" s="12"/>
      <c r="N205" s="12"/>
      <c r="O205" s="12"/>
      <c r="P205" s="12"/>
    </row>
    <row r="206" spans="1:20" s="11" customFormat="1" ht="16.25" customHeight="1" x14ac:dyDescent="0.2">
      <c r="A206" s="13" t="s">
        <v>2</v>
      </c>
      <c r="B206" s="14" t="s">
        <v>34</v>
      </c>
      <c r="K206" s="12"/>
      <c r="L206" s="12"/>
      <c r="M206" s="12"/>
      <c r="N206" s="12"/>
      <c r="O206" s="12"/>
      <c r="P206" s="12"/>
    </row>
    <row r="207" spans="1:20" s="11" customFormat="1" ht="16" x14ac:dyDescent="0.2">
      <c r="A207" s="13" t="s">
        <v>6</v>
      </c>
      <c r="B207" s="16" t="s">
        <v>6</v>
      </c>
      <c r="H207" s="17"/>
      <c r="I207" s="17"/>
      <c r="K207" s="12"/>
      <c r="L207" s="12"/>
      <c r="M207" s="12"/>
      <c r="N207" s="12"/>
      <c r="O207" s="12"/>
      <c r="P207" s="12"/>
    </row>
    <row r="208" spans="1:20" s="11" customFormat="1" ht="16" x14ac:dyDescent="0.2">
      <c r="A208" s="17" t="s">
        <v>7</v>
      </c>
      <c r="B208" s="9"/>
      <c r="C208" s="17"/>
      <c r="D208" s="17"/>
      <c r="E208" s="17"/>
      <c r="F208" s="17"/>
      <c r="G208" s="17"/>
      <c r="H208" s="10"/>
      <c r="I208" s="10"/>
      <c r="K208" s="12"/>
      <c r="L208" s="12"/>
      <c r="M208" s="12"/>
      <c r="N208" s="12"/>
      <c r="O208" s="12"/>
      <c r="P208" s="12"/>
    </row>
    <row r="209" spans="1:20" s="11" customFormat="1" ht="16" x14ac:dyDescent="0.2">
      <c r="A209" s="17" t="s">
        <v>8</v>
      </c>
      <c r="B209" s="9" t="s">
        <v>9</v>
      </c>
      <c r="C209" s="17" t="s">
        <v>2</v>
      </c>
      <c r="D209" s="17" t="s">
        <v>6</v>
      </c>
      <c r="E209" s="23" t="s">
        <v>10</v>
      </c>
      <c r="F209" s="17" t="s">
        <v>5</v>
      </c>
      <c r="G209" s="17" t="s">
        <v>4</v>
      </c>
      <c r="H209" s="23" t="s">
        <v>11</v>
      </c>
      <c r="I209" s="17"/>
      <c r="J209" s="7"/>
      <c r="K209" s="18"/>
      <c r="L209" s="18"/>
      <c r="M209" s="18"/>
      <c r="N209" s="18"/>
      <c r="O209" s="18"/>
      <c r="P209" s="18"/>
      <c r="Q209" s="7"/>
      <c r="R209" s="7"/>
      <c r="S209" s="17"/>
      <c r="T209" s="7"/>
    </row>
    <row r="210" spans="1:20" s="11" customFormat="1" ht="16" x14ac:dyDescent="0.2">
      <c r="A210" s="16" t="str">
        <f>B202</f>
        <v>electrolyzer production, 1MWe, PEM, Balance of Plant</v>
      </c>
      <c r="B210" s="16">
        <v>1</v>
      </c>
      <c r="C210" s="11" t="s">
        <v>34</v>
      </c>
      <c r="D210" s="11" t="s">
        <v>6</v>
      </c>
      <c r="F210" s="11" t="s">
        <v>16</v>
      </c>
      <c r="G210" s="16" t="str">
        <f>B205</f>
        <v>electrolyzer, 1MWe, PEM, Balance of Plant</v>
      </c>
      <c r="H210" s="10"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I210" s="10"/>
      <c r="K210" s="12"/>
      <c r="L210" s="12"/>
      <c r="M210" s="12"/>
      <c r="N210" s="12"/>
      <c r="O210" s="12"/>
      <c r="P210" s="26"/>
    </row>
    <row r="211" spans="1:20" s="11" customFormat="1" ht="16" x14ac:dyDescent="0.2">
      <c r="A211" s="11" t="inlineStr">
        <is>
          <t xml:space="preserve">power conversion system production, electrolysis, transformer and rectifier, 1 MW</t>
        </is>
      </c>
      <c r="B211" s="16">
        <v>1</v>
      </c>
      <c r="C211" s="11" t="inlineStr">
        <is>
          <t>GLO</t>
        </is>
      </c>
      <c r="D211" s="11" t="inlineStr">
        <is>
          <t>unit</t>
        </is>
      </c>
      <c r="F211" s="11" t="s">
        <v>12</v>
      </c>
      <c r="G211" s="11" t="inlineStr">
        <is>
          <t xml:space="preserve">power conversion system, electrolysis, transformer and rectifier, 1 MW</t>
        </is>
      </c>
      <c r="H211" s="27" t="inlineStr">
        <is>
          <t>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t>
        </is>
      </c>
      <c r="J211"/>
      <c r="K211" s="19"/>
      <c r="L211" s="19"/>
      <c r="M211" s="19"/>
      <c r="N211" s="19"/>
      <c r="O211" s="19"/>
      <c r="P211" s="19"/>
      <c r="Q211"/>
      <c r="R211"/>
    </row>
    <row r="212" spans="1:20" s="11" customFormat="1" ht="16" x14ac:dyDescent="0.2">
      <c r="A212" s="11"/>
      <c r="B212" s="16"/>
      <c r="C212" s="11"/>
      <c r="D212" s="11"/>
      <c r="F212" s="11"/>
      <c r="G212" s="11"/>
      <c r="H212" s="27"/>
      <c r="J212"/>
      <c r="K212" s="19"/>
      <c r="L212" s="19"/>
      <c r="M212" s="19"/>
      <c r="N212" s="19"/>
      <c r="O212" s="19"/>
      <c r="P212" s="19"/>
      <c r="Q212"/>
      <c r="R212"/>
    </row>
    <row r="213" spans="1:20" s="11" customFormat="1" ht="16" x14ac:dyDescent="0.2">
      <c r="A213" s="11"/>
      <c r="B213" s="16"/>
      <c r="C213" s="11"/>
      <c r="D213" s="11"/>
      <c r="F213" s="11"/>
      <c r="G213" s="11"/>
      <c r="H213" s="27"/>
      <c r="J213"/>
      <c r="K213" s="19"/>
      <c r="L213" s="19"/>
      <c r="M213" s="19"/>
      <c r="N213" s="19"/>
      <c r="O213" s="19"/>
      <c r="P213" s="19"/>
      <c r="Q213"/>
      <c r="R213"/>
    </row>
    <row r="214" spans="1:20" s="11" customFormat="1" ht="16" x14ac:dyDescent="0.2">
      <c r="A214" s="11"/>
      <c r="B214" s="16"/>
      <c r="C214" s="11"/>
      <c r="D214" s="11"/>
      <c r="F214" s="11"/>
      <c r="G214" s="11"/>
      <c r="H214" s="27"/>
      <c r="J214"/>
      <c r="K214" s="19"/>
      <c r="L214" s="19"/>
      <c r="M214" s="19"/>
      <c r="N214" s="19"/>
      <c r="O214" s="19"/>
      <c r="P214" s="19"/>
      <c r="Q214"/>
      <c r="R214"/>
    </row>
    <row r="215" spans="1:20" s="11" customFormat="1" ht="16" x14ac:dyDescent="0.2">
      <c r="A215" s="11"/>
      <c r="B215" s="16"/>
      <c r="C215" s="11"/>
      <c r="D215" s="11"/>
      <c r="F215" s="11"/>
      <c r="G215" s="11"/>
      <c r="H215" s="27"/>
      <c r="J215"/>
      <c r="K215" s="19"/>
      <c r="L215" s="19"/>
      <c r="M215" s="19"/>
      <c r="N215" s="19"/>
      <c r="O215" s="19"/>
      <c r="P215" s="19"/>
      <c r="Q215"/>
      <c r="R215"/>
    </row>
    <row r="216" spans="1:20" s="11" customFormat="1" ht="16" x14ac:dyDescent="0.2">
      <c r="A216" s="11"/>
      <c r="B216" s="16"/>
      <c r="C216" s="11"/>
      <c r="D216" s="11"/>
      <c r="F216" s="11"/>
      <c r="G216" s="11"/>
      <c r="H216" s="27"/>
      <c r="J216"/>
      <c r="K216" s="19"/>
      <c r="L216" s="19"/>
      <c r="M216" s="19"/>
      <c r="N216" s="19"/>
      <c r="O216" s="19"/>
      <c r="P216" s="19"/>
      <c r="Q216"/>
      <c r="R216"/>
    </row>
    <row r="217" spans="1:20" s="11" customFormat="1" ht="16" x14ac:dyDescent="0.2">
      <c r="A217" s="11"/>
      <c r="B217" s="16"/>
      <c r="C217" s="11"/>
      <c r="D217" s="11"/>
      <c r="F217" s="11"/>
      <c r="G217" s="11"/>
      <c r="H217" s="27"/>
      <c r="J217"/>
      <c r="K217" s="19"/>
      <c r="L217" s="19"/>
      <c r="M217" s="19"/>
      <c r="N217" s="19"/>
      <c r="O217" s="19"/>
      <c r="P217" s="19"/>
      <c r="Q217"/>
      <c r="R217"/>
    </row>
    <row r="218" spans="1:20" s="11" customFormat="1" ht="16" x14ac:dyDescent="0.2">
      <c r="A218" s="11" t="s">
        <v>30</v>
      </c>
      <c r="B218" s="16">
        <v>100</v>
      </c>
      <c r="C218" s="11" t="s">
        <v>17</v>
      </c>
      <c r="D218" s="11" t="s">
        <v>13</v>
      </c>
      <c r="F218" s="11" t="s">
        <v>12</v>
      </c>
      <c r="G218" s="11" t="s">
        <v>29</v>
      </c>
      <c r="H218" s="10" t="inlineStr">
        <is>
          <t>APPROVED ELECTROLYZER CONTROL-ASSEMBLY COVERAGE CLARIFICATION, issue92, 2026-10-18. Bareiss et al.2019 DOI10.1016/j.apenergy.2019.01.001 Sec3.2.2 states100kgGROSScontrolelectronicsper1MW;Gerloff2021componentmapping;ecoinventindustrial electronicsproductionforcontrolunits documents46%steelhousing32%plastics14%mountedboards8%cables. CriticalauditofactualsupplierconfirmsitALREADYincludessteelhousing,plastics,circuitboardsandcables.The100kginputisNOT100kgofbarecircuitboards,andthemasswasnotshownwrong. Retaintheexistingmarketforelectronicsforcontrolunitsat100kgineachPEM/AEC/SOECBoP;documentitsactualassemblyboundaryinsteadofinventingametalreductionoraddinganothercabinet. Ecoinvent3.9RER/RoWrecipesper100kgassemblyinclude46kgsteelfeed+rolling,32.193kgHDPEgrossfeed+32kginjectionmoulding,14kgmountedPCB(7kgPbcontainingand7kgPbfree,halfsurface/halfthroughhole),3.2kgribboncable+12.3mcomputerconnectorcable+111mnetworkcable,andoriginalboardfacility. Source8%nominalcablemassmustNOTbesummedwithmetresaskg;completecableproviderssupplyCu/plastics. NoadditionalPCB,connector,preciousmetalorsteelenclosureon topofcompleteexistingassembly. Thedescriptive32%plasticsisnominal;retainactual32.193kggrossfeed,notblanketnormalization. Retainnativecurrent-versionrecipesandmarkets,dynamicallyresolvedbypremise. Validationofalocal3.9recipecopyrevealed3.12GLO-HDPE migrationwouldalterregionalplasticsourcingrelative tocurrentnativecontrolunits;thatcopywasrejectedandNOnewlocalcontrolprovidersareintroduced. Thusalloriginalamounts,provideridentities,regionalshares,freight,facilityandutilitiesremainunchangedacrossversions,notjustthedeclaredtotalmass. ExistingBoPassemblyelectricityalreadycoversfinalassembly;doNOTaddanextraassembly-energyallowance. Genericindustrialcontrolarchitectureis a legacyestimatedassembly,notmanufacturercertifiedelectrolyzerpanel;actualI/Ocounts,HMI,safetyPLC,boardmetallizationandtraceAu/Pd/Ta remainreference-designgaps. Thisitemcorrectstheinterpretationanddocumentscoverage;itdoesNOTclaimanumericalmetalcorrectionorfullqualifiedcontrolsystemdesign. Item93scopesconverterinternalgate/controlboardsseparatelyfromthisplant-levelcabinet;existingcontrolsareincludedonce. ExistingmatchingEOL14kgboards/32kgindustrialplastic/8kgcablesretained;thisdoesnotvalidateotherBoPwastecoefficients. Lifetimesandserviceallocationunchanged. Onlyactivity/exchangecommentsmodified;no native/globalmarket,runtime,YAMLorprimary-secondarysharechanges.</t>
        </is>
      </c>
      <c r="J218"/>
      <c r="K218" s="19"/>
      <c r="L218" s="19"/>
      <c r="M218" s="19"/>
      <c r="N218" s="19"/>
      <c r="O218" s="19"/>
      <c r="P218" s="19"/>
      <c r="Q218"/>
      <c r="R218"/>
    </row>
    <row r="219" spans="1:20" s="11" customFormat="1" ht="16" x14ac:dyDescent="0.2">
      <c r="A219" s="11" t="s">
        <v>25</v>
      </c>
      <c r="B219" s="16">
        <v>900</v>
      </c>
      <c r="C219" s="11" t="s">
        <v>17</v>
      </c>
      <c r="D219" s="11" t="s">
        <v>13</v>
      </c>
      <c r="F219" s="11" t="s">
        <v>12</v>
      </c>
      <c r="G219" s="11" t="s">
        <v>26</v>
      </c>
      <c r="H219" s="10" t="s">
        <v>88</v>
      </c>
      <c r="J219"/>
      <c r="K219" s="19"/>
      <c r="L219" s="19"/>
      <c r="M219" s="19"/>
      <c r="N219" s="19"/>
      <c r="O219" s="19"/>
      <c r="P219" s="19"/>
      <c r="Q219"/>
      <c r="R219"/>
    </row>
    <row r="220" spans="1:20" s="11" customFormat="1" ht="16" x14ac:dyDescent="0.2">
      <c r="A220" s="11" t="s">
        <v>84</v>
      </c>
      <c r="B220" s="16">
        <v>900</v>
      </c>
      <c r="C220" s="11" t="s">
        <v>17</v>
      </c>
      <c r="D220" s="11" t="s">
        <v>13</v>
      </c>
      <c r="F220" s="11" t="s">
        <v>12</v>
      </c>
      <c r="G220" s="11" t="s">
        <v>42</v>
      </c>
      <c r="H220" s="10" t="s">
        <v>88</v>
      </c>
      <c r="J220"/>
      <c r="K220" s="19"/>
      <c r="L220" s="19"/>
      <c r="M220" s="19"/>
      <c r="N220" s="19"/>
      <c r="O220" s="19"/>
      <c r="P220" s="19"/>
      <c r="Q220"/>
      <c r="R220"/>
    </row>
    <row r="221" spans="1:20" s="11" customFormat="1" ht="16" x14ac:dyDescent="0.2">
      <c r="A221" s="11" t="s">
        <v>73</v>
      </c>
      <c r="B221" s="16">
        <v>750</v>
      </c>
      <c r="C221" s="11" t="s">
        <v>17</v>
      </c>
      <c r="D221" s="11" t="s">
        <v>13</v>
      </c>
      <c r="F221" s="11" t="s">
        <v>12</v>
      </c>
      <c r="G221" s="11" t="s">
        <v>74</v>
      </c>
      <c r="H221" s="10" t="s">
        <v>89</v>
      </c>
      <c r="J221"/>
      <c r="K221" s="19"/>
      <c r="L221" s="19"/>
      <c r="M221" s="19"/>
      <c r="N221" s="19"/>
      <c r="O221" s="19"/>
      <c r="P221" s="19"/>
      <c r="Q221"/>
      <c r="R221"/>
    </row>
    <row r="222" spans="1:20" s="11" customFormat="1" ht="16" x14ac:dyDescent="0.2">
      <c r="A222" s="11" t="s">
        <v>20</v>
      </c>
      <c r="B222" s="16">
        <v>750</v>
      </c>
      <c r="C222" s="11" t="s">
        <v>17</v>
      </c>
      <c r="D222" s="11" t="s">
        <v>13</v>
      </c>
      <c r="F222" s="11" t="s">
        <v>12</v>
      </c>
      <c r="G222" s="11" t="s">
        <v>15</v>
      </c>
      <c r="H222" s="10" t="s">
        <v>89</v>
      </c>
      <c r="J222"/>
      <c r="K222" s="19"/>
      <c r="L222" s="19"/>
      <c r="M222" s="19"/>
      <c r="N222" s="19"/>
      <c r="O222" s="19"/>
      <c r="P222" s="19"/>
      <c r="Q222"/>
      <c r="R222"/>
    </row>
    <row r="223" spans="1:20" s="11" customFormat="1" ht="16" x14ac:dyDescent="0.2">
      <c r="A223" s="11" t="s">
        <v>18</v>
      </c>
      <c r="B223" s="16">
        <v>100</v>
      </c>
      <c r="C223" s="11" t="s">
        <v>17</v>
      </c>
      <c r="D223" s="11" t="s">
        <v>13</v>
      </c>
      <c r="F223" s="11" t="s">
        <v>12</v>
      </c>
      <c r="G223" s="11" t="s">
        <v>19</v>
      </c>
      <c r="H223" s="10" t="s">
        <v>90</v>
      </c>
      <c r="J223"/>
      <c r="K223" s="19"/>
      <c r="L223" s="19"/>
      <c r="M223" s="19"/>
      <c r="N223" s="19"/>
      <c r="O223" s="19"/>
      <c r="P223" s="19"/>
      <c r="Q223"/>
      <c r="R223"/>
    </row>
    <row r="224" spans="1:20" s="11" customFormat="1" ht="16" x14ac:dyDescent="0.2">
      <c r="A224" s="11" t="s">
        <v>58</v>
      </c>
      <c r="B224" s="16">
        <v>100</v>
      </c>
      <c r="C224" s="11" t="s">
        <v>17</v>
      </c>
      <c r="D224" s="11" t="s">
        <v>13</v>
      </c>
      <c r="F224" s="11" t="s">
        <v>12</v>
      </c>
      <c r="G224" s="11" t="s">
        <v>41</v>
      </c>
      <c r="H224" s="10" t="s">
        <v>90</v>
      </c>
      <c r="J224"/>
      <c r="K224" s="19"/>
      <c r="L224" s="19"/>
      <c r="M224" s="19"/>
      <c r="N224" s="19"/>
      <c r="O224" s="19"/>
      <c r="P224" s="19"/>
      <c r="Q224"/>
      <c r="R224"/>
    </row>
    <row r="225" spans="1:18" s="11" customFormat="1" ht="16" x14ac:dyDescent="0.2">
      <c r="A225" s="11" t="s">
        <v>68</v>
      </c>
      <c r="B225" s="16">
        <v>100</v>
      </c>
      <c r="C225" s="11" t="s">
        <v>17</v>
      </c>
      <c r="D225" s="11" t="s">
        <v>13</v>
      </c>
      <c r="F225" s="11" t="s">
        <v>12</v>
      </c>
      <c r="G225" s="11" t="s">
        <v>69</v>
      </c>
      <c r="H225" s="10" t="s">
        <v>91</v>
      </c>
      <c r="J225"/>
      <c r="K225" s="19"/>
      <c r="L225" s="19"/>
      <c r="M225" s="19"/>
      <c r="N225" s="19"/>
      <c r="O225" s="19"/>
      <c r="P225" s="19"/>
      <c r="Q225"/>
      <c r="R225"/>
    </row>
    <row r="226" spans="1:18" s="11" customFormat="1" ht="16" x14ac:dyDescent="0.2">
      <c r="A226" s="11" t="s">
        <v>71</v>
      </c>
      <c r="B226" s="16">
        <v>100</v>
      </c>
      <c r="C226" s="11" t="s">
        <v>17</v>
      </c>
      <c r="D226" s="11" t="s">
        <v>13</v>
      </c>
      <c r="F226" s="11" t="s">
        <v>12</v>
      </c>
      <c r="G226" s="11" t="s">
        <v>72</v>
      </c>
      <c r="H226" s="10" t="s">
        <v>91</v>
      </c>
      <c r="J226"/>
      <c r="K226" s="19"/>
      <c r="L226" s="19"/>
      <c r="M226" s="19"/>
      <c r="N226" s="19"/>
      <c r="O226" s="19"/>
      <c r="P226" s="19"/>
      <c r="Q226"/>
      <c r="R226"/>
    </row>
    <row r="227" spans="1:18" s="11" customFormat="1" ht="16" x14ac:dyDescent="0.2">
      <c r="A227" s="11" t="s">
        <v>27</v>
      </c>
      <c r="B227" s="16">
        <v>300</v>
      </c>
      <c r="C227" s="11" t="s">
        <v>17</v>
      </c>
      <c r="D227" s="11" t="s">
        <v>13</v>
      </c>
      <c r="F227" s="11" t="s">
        <v>12</v>
      </c>
      <c r="G227" s="11" t="s">
        <v>28</v>
      </c>
      <c r="H227" s="10" t="s">
        <v>92</v>
      </c>
      <c r="J227"/>
      <c r="K227" s="19"/>
      <c r="L227" s="19"/>
      <c r="M227" s="19"/>
      <c r="N227" s="19"/>
      <c r="O227" s="19"/>
      <c r="P227" s="19"/>
      <c r="Q227"/>
      <c r="R227"/>
    </row>
    <row r="228" spans="1:18" s="11" customFormat="1" ht="16" x14ac:dyDescent="0.2">
      <c r="A228" s="11" t="s">
        <v>93</v>
      </c>
      <c r="B228" s="16">
        <v>300</v>
      </c>
      <c r="C228" s="11" t="s">
        <v>17</v>
      </c>
      <c r="D228" s="11" t="s">
        <v>13</v>
      </c>
      <c r="F228" s="11" t="s">
        <v>12</v>
      </c>
      <c r="G228" s="11" t="s">
        <v>94</v>
      </c>
      <c r="H228" s="10" t="s">
        <v>92</v>
      </c>
      <c r="J228"/>
      <c r="K228" s="19"/>
      <c r="L228" s="19"/>
      <c r="M228" s="19"/>
      <c r="N228" s="19"/>
      <c r="O228" s="19"/>
      <c r="P228" s="19"/>
      <c r="Q228"/>
      <c r="R228"/>
    </row>
    <row r="229" spans="1:18" s="11" customFormat="1" ht="16" x14ac:dyDescent="0.2">
      <c r="A229" s="11" t="s">
        <v>95</v>
      </c>
      <c r="B229" s="16">
        <v>100</v>
      </c>
      <c r="C229" s="11" t="s">
        <v>34</v>
      </c>
      <c r="D229" s="11" t="s">
        <v>13</v>
      </c>
      <c r="F229" s="11" t="s">
        <v>12</v>
      </c>
      <c r="G229" s="11" t="s">
        <v>96</v>
      </c>
      <c r="H229" s="10" t="s">
        <v>97</v>
      </c>
      <c r="J229"/>
      <c r="K229" s="19"/>
      <c r="L229" s="19"/>
      <c r="M229" s="19"/>
      <c r="N229" s="19"/>
      <c r="O229" s="19"/>
      <c r="P229" s="19"/>
      <c r="Q229"/>
      <c r="R229"/>
    </row>
    <row r="230" spans="1:18" s="11" customFormat="1" ht="16" x14ac:dyDescent="0.2">
      <c r="A230" s="11" t="s">
        <v>98</v>
      </c>
      <c r="B230" s="16">
        <v>100</v>
      </c>
      <c r="C230" s="11" t="s">
        <v>17</v>
      </c>
      <c r="D230" s="11" t="s">
        <v>13</v>
      </c>
      <c r="F230" s="11" t="s">
        <v>12</v>
      </c>
      <c r="G230" s="11" t="s">
        <v>99</v>
      </c>
      <c r="H230" s="10" t="s">
        <v>100</v>
      </c>
      <c r="J230"/>
      <c r="K230" s="19"/>
      <c r="L230" s="19"/>
      <c r="M230" s="19"/>
      <c r="N230" s="19"/>
      <c r="O230" s="19"/>
      <c r="P230" s="19"/>
      <c r="Q230"/>
      <c r="R230"/>
    </row>
    <row r="231" spans="1:18" s="11" customFormat="1" ht="16" x14ac:dyDescent="0.2">
      <c r="A231" s="11" t="s">
        <v>73</v>
      </c>
      <c r="B231" s="16">
        <v>1161</v>
      </c>
      <c r="C231" s="11" t="s">
        <v>17</v>
      </c>
      <c r="D231" s="11" t="s">
        <v>13</v>
      </c>
      <c r="F231" s="11" t="s">
        <v>12</v>
      </c>
      <c r="G231" s="11" t="s">
        <v>74</v>
      </c>
      <c r="H231" s="10" t="s">
        <v>101</v>
      </c>
      <c r="J231"/>
      <c r="K231" s="19"/>
      <c r="L231" s="19"/>
      <c r="M231" s="19"/>
      <c r="N231" s="19"/>
      <c r="O231" s="19"/>
      <c r="P231" s="19"/>
      <c r="Q231"/>
      <c r="R231"/>
    </row>
    <row r="232" spans="1:18" s="11" customFormat="1" ht="16" x14ac:dyDescent="0.2">
      <c r="A232" s="11" t="s">
        <v>20</v>
      </c>
      <c r="B232" s="16">
        <v>1161</v>
      </c>
      <c r="C232" s="11" t="s">
        <v>17</v>
      </c>
      <c r="D232" s="11" t="s">
        <v>13</v>
      </c>
      <c r="F232" s="11" t="s">
        <v>12</v>
      </c>
      <c r="G232" s="11" t="s">
        <v>15</v>
      </c>
      <c r="H232" s="10" t="s">
        <v>101</v>
      </c>
      <c r="J232"/>
      <c r="K232" s="19"/>
      <c r="L232" s="19"/>
      <c r="M232" s="19"/>
      <c r="N232" s="19"/>
      <c r="O232" s="19"/>
      <c r="P232" s="19"/>
      <c r="Q232"/>
      <c r="R232"/>
    </row>
    <row r="233" spans="1:18" s="11" customFormat="1" ht="16" x14ac:dyDescent="0.2">
      <c r="A233" s="11" t="s">
        <v>102</v>
      </c>
      <c r="B233" s="16">
        <v>464.6</v>
      </c>
      <c r="C233" s="11" t="s">
        <v>17</v>
      </c>
      <c r="D233" s="11" t="s">
        <v>13</v>
      </c>
      <c r="F233" s="11" t="s">
        <v>12</v>
      </c>
      <c r="G233" s="11" t="s">
        <v>103</v>
      </c>
      <c r="H233" s="10" t="s">
        <v>104</v>
      </c>
      <c r="J233"/>
      <c r="K233" s="19"/>
      <c r="L233" s="19"/>
      <c r="M233" s="19"/>
      <c r="N233" s="19"/>
      <c r="O233" s="19"/>
      <c r="P233" s="19"/>
      <c r="Q233"/>
      <c r="R233"/>
    </row>
    <row r="234" spans="1:18" s="11" customFormat="1" ht="16" x14ac:dyDescent="0.2">
      <c r="A234" s="11" t="s">
        <v>105</v>
      </c>
      <c r="B234" s="16">
        <v>464.6</v>
      </c>
      <c r="C234" s="11" t="s">
        <v>17</v>
      </c>
      <c r="D234" s="11" t="s">
        <v>13</v>
      </c>
      <c r="F234" s="11" t="s">
        <v>12</v>
      </c>
      <c r="G234" s="11" t="s">
        <v>106</v>
      </c>
      <c r="H234" s="10" t="s">
        <v>104</v>
      </c>
      <c r="J234"/>
      <c r="K234" s="19"/>
      <c r="L234" s="19"/>
      <c r="M234" s="19"/>
      <c r="N234" s="19"/>
      <c r="O234" s="19"/>
      <c r="P234" s="19"/>
      <c r="Q234"/>
      <c r="R234"/>
    </row>
    <row r="235" spans="1:18" s="11" customFormat="1" ht="16" x14ac:dyDescent="0.2">
      <c r="A235" s="11" t="s">
        <v>83</v>
      </c>
      <c r="B235" s="16">
        <v>232.3</v>
      </c>
      <c r="C235" s="11" t="s">
        <v>17</v>
      </c>
      <c r="D235" s="11" t="s">
        <v>13</v>
      </c>
      <c r="F235" s="11" t="s">
        <v>12</v>
      </c>
      <c r="G235" s="11" t="s">
        <v>40</v>
      </c>
      <c r="H235" s="10" t="s">
        <v>104</v>
      </c>
      <c r="J235"/>
      <c r="K235" s="19"/>
      <c r="L235" s="19"/>
      <c r="M235" s="19"/>
      <c r="N235" s="19"/>
      <c r="O235" s="19"/>
      <c r="P235" s="19"/>
      <c r="Q235"/>
      <c r="R235"/>
    </row>
    <row r="236" spans="1:18" s="11" customFormat="1" ht="16" x14ac:dyDescent="0.2">
      <c r="A236" s="11" t="s">
        <v>84</v>
      </c>
      <c r="B236" s="16">
        <v>232.3</v>
      </c>
      <c r="C236" s="11" t="s">
        <v>17</v>
      </c>
      <c r="D236" s="11" t="s">
        <v>13</v>
      </c>
      <c r="F236" s="11" t="s">
        <v>12</v>
      </c>
      <c r="G236" s="11" t="s">
        <v>42</v>
      </c>
      <c r="H236" s="10" t="s">
        <v>104</v>
      </c>
      <c r="J236"/>
      <c r="K236" s="19"/>
      <c r="L236" s="19"/>
      <c r="M236" s="19"/>
      <c r="N236" s="19"/>
      <c r="O236" s="19"/>
      <c r="P236" s="19"/>
      <c r="Q236"/>
      <c r="R236"/>
    </row>
    <row r="237" spans="1:18" s="11" customFormat="1" ht="16" x14ac:dyDescent="0.2">
      <c r="A237" s="11" t="inlineStr">
        <is>
          <t xml:space="preserve">motor drive assembly production, electrolysis, PEM</t>
        </is>
      </c>
      <c r="B237" s="16">
        <v>1</v>
      </c>
      <c r="C237" s="11" t="inlineStr">
        <is>
          <t>GLO</t>
        </is>
      </c>
      <c r="D237" s="11" t="inlineStr">
        <is>
          <t>unit</t>
        </is>
      </c>
      <c r="F237" s="11" t="inlineStr">
        <is>
          <t>technosphere</t>
        </is>
      </c>
      <c r="G237" s="11" t="inlineStr">
        <is>
          <t xml:space="preserve">motor drive assembly, electrolysis, PEM</t>
        </is>
      </c>
      <c r="H237" s="10"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J237"/>
      <c r="K237" s="19"/>
      <c r="L237" s="19"/>
      <c r="M237" s="19"/>
      <c r="N237" s="19"/>
      <c r="O237" s="19"/>
      <c r="P237" s="19"/>
      <c r="Q237"/>
      <c r="R237"/>
    </row>
    <row r="238" spans="1:18" s="11" customFormat="1" ht="16" x14ac:dyDescent="0.2">
      <c r="A238" s="11"/>
      <c r="B238" s="16"/>
      <c r="C238" s="11"/>
      <c r="D238" s="11"/>
      <c r="F238" s="11"/>
      <c r="G238" s="11"/>
      <c r="H238" s="10"/>
      <c r="J238"/>
      <c r="K238" s="19"/>
      <c r="L238" s="19"/>
      <c r="M238" s="19"/>
      <c r="N238" s="19"/>
      <c r="O238" s="19"/>
      <c r="P238" s="19"/>
      <c r="Q238"/>
      <c r="R238"/>
    </row>
    <row r="239" spans="1:18" s="11" customFormat="1" ht="16" x14ac:dyDescent="0.2">
      <c r="A239" s="11"/>
      <c r="B239" s="16"/>
      <c r="C239" s="11"/>
      <c r="D239" s="11"/>
      <c r="F239" s="11"/>
      <c r="G239" s="11"/>
      <c r="H239" s="10"/>
      <c r="J239"/>
      <c r="K239" s="19"/>
      <c r="L239" s="19"/>
      <c r="M239" s="19"/>
      <c r="N239" s="19"/>
      <c r="O239" s="19"/>
      <c r="P239" s="19"/>
      <c r="Q239"/>
      <c r="R239"/>
    </row>
    <row r="240" spans="1:18" s="11" customFormat="1" ht="16" x14ac:dyDescent="0.2">
      <c r="A240" s="11"/>
      <c r="B240" s="16"/>
      <c r="C240" s="11"/>
      <c r="D240" s="11"/>
      <c r="F240" s="11"/>
      <c r="G240" s="11"/>
      <c r="H240" s="10"/>
      <c r="J240"/>
      <c r="K240" s="19"/>
      <c r="L240" s="19"/>
      <c r="M240" s="19"/>
      <c r="N240" s="19"/>
      <c r="O240" s="19"/>
      <c r="P240" s="19"/>
      <c r="Q240"/>
      <c r="R240"/>
    </row>
    <row r="241" spans="1:18" s="11" customFormat="1" ht="16" x14ac:dyDescent="0.2">
      <c r="A241" s="11"/>
      <c r="B241" s="16"/>
      <c r="C241" s="11"/>
      <c r="D241" s="11"/>
      <c r="F241" s="11"/>
      <c r="G241" s="11"/>
      <c r="H241" s="10"/>
      <c r="J241"/>
      <c r="K241" s="19"/>
      <c r="L241" s="19"/>
      <c r="M241" s="19"/>
      <c r="N241" s="19"/>
      <c r="O241" s="19"/>
      <c r="P241" s="19"/>
      <c r="Q241"/>
      <c r="R241"/>
    </row>
    <row r="242" spans="1:18" s="11" customFormat="1" ht="16" x14ac:dyDescent="0.2">
      <c r="A242" s="11" t="s">
        <v>108</v>
      </c>
      <c r="B242" s="16">
        <v>600</v>
      </c>
      <c r="C242" s="11" t="s">
        <v>17</v>
      </c>
      <c r="D242" s="11" t="s">
        <v>13</v>
      </c>
      <c r="F242" s="11" t="s">
        <v>12</v>
      </c>
      <c r="G242" s="11" t="s">
        <v>109</v>
      </c>
      <c r="H242" s="10" t="s">
        <v>110</v>
      </c>
      <c r="J242"/>
      <c r="K242" s="19"/>
      <c r="L242" s="19"/>
      <c r="M242" s="19"/>
      <c r="N242" s="19"/>
      <c r="O242" s="19"/>
      <c r="P242" s="19"/>
      <c r="Q242"/>
      <c r="R242"/>
    </row>
    <row r="243" spans="1:18" s="11" customFormat="1" ht="16" x14ac:dyDescent="0.2">
      <c r="A243" s="11" t="s">
        <v>111</v>
      </c>
      <c r="B243" s="16">
        <v>7</v>
      </c>
      <c r="C243" s="11" t="s">
        <v>17</v>
      </c>
      <c r="D243" s="11" t="s">
        <v>13</v>
      </c>
      <c r="F243" s="11" t="s">
        <v>12</v>
      </c>
      <c r="G243" s="11" t="s">
        <v>112</v>
      </c>
      <c r="H243" s="10" t="s">
        <v>110</v>
      </c>
      <c r="J243"/>
      <c r="K243" s="19"/>
      <c r="L243" s="19"/>
      <c r="M243" s="19"/>
      <c r="N243" s="19"/>
      <c r="O243" s="19"/>
      <c r="P243" s="19"/>
      <c r="Q243"/>
      <c r="R243"/>
    </row>
    <row r="244" spans="1:18" s="11" customFormat="1" ht="16" x14ac:dyDescent="0.2">
      <c r="A244" s="11" t="s">
        <v>83</v>
      </c>
      <c r="B244" s="16">
        <v>1300</v>
      </c>
      <c r="C244" s="11" t="s">
        <v>17</v>
      </c>
      <c r="D244" s="11" t="s">
        <v>13</v>
      </c>
      <c r="F244" s="11" t="s">
        <v>12</v>
      </c>
      <c r="G244" s="11" t="s">
        <v>40</v>
      </c>
      <c r="H244" s="10" t="s">
        <v>110</v>
      </c>
      <c r="J244"/>
      <c r="K244" s="19"/>
      <c r="L244" s="19"/>
      <c r="M244" s="19"/>
      <c r="N244" s="19"/>
      <c r="O244" s="19"/>
      <c r="P244" s="19"/>
      <c r="Q244"/>
      <c r="R244"/>
    </row>
    <row r="245" spans="1:18" s="11" customFormat="1" ht="16" x14ac:dyDescent="0.2">
      <c r="A245" s="11" t="s">
        <v>73</v>
      </c>
      <c r="B245" s="16">
        <v>405</v>
      </c>
      <c r="C245" s="11" t="s">
        <v>17</v>
      </c>
      <c r="D245" s="11" t="s">
        <v>13</v>
      </c>
      <c r="F245" s="11" t="s">
        <v>12</v>
      </c>
      <c r="G245" s="11" t="s">
        <v>74</v>
      </c>
      <c r="H245" s="10" t="s">
        <v>110</v>
      </c>
      <c r="J245"/>
      <c r="K245" s="19"/>
      <c r="L245" s="19"/>
      <c r="M245" s="19"/>
      <c r="N245" s="19"/>
      <c r="O245" s="19"/>
      <c r="P245" s="19"/>
      <c r="Q245"/>
      <c r="R245"/>
    </row>
    <row r="246" spans="1:18" s="11" customFormat="1" ht="16" x14ac:dyDescent="0.2">
      <c r="A246" s="11" t="s">
        <v>84</v>
      </c>
      <c r="B246" s="16">
        <v>400</v>
      </c>
      <c r="C246" s="11" t="s">
        <v>17</v>
      </c>
      <c r="D246" s="11" t="s">
        <v>13</v>
      </c>
      <c r="F246" s="11" t="s">
        <v>12</v>
      </c>
      <c r="G246" s="11" t="s">
        <v>42</v>
      </c>
      <c r="H246" s="10" t="s">
        <v>110</v>
      </c>
      <c r="J246"/>
      <c r="K246" s="19"/>
      <c r="L246" s="19"/>
      <c r="M246" s="19"/>
      <c r="N246" s="19"/>
      <c r="O246" s="19"/>
      <c r="P246" s="19"/>
      <c r="Q246"/>
      <c r="R246"/>
    </row>
    <row r="247" spans="1:18" s="11" customFormat="1" ht="16" x14ac:dyDescent="0.2">
      <c r="A247" s="11" t="s">
        <v>20</v>
      </c>
      <c r="B247" s="16">
        <v>405</v>
      </c>
      <c r="C247" s="11" t="s">
        <v>17</v>
      </c>
      <c r="D247" s="11" t="s">
        <v>13</v>
      </c>
      <c r="F247" s="11" t="s">
        <v>12</v>
      </c>
      <c r="G247" s="11" t="s">
        <v>15</v>
      </c>
      <c r="H247" s="10" t="s">
        <v>110</v>
      </c>
      <c r="J247"/>
      <c r="K247" s="19"/>
      <c r="L247" s="19"/>
      <c r="M247" s="19"/>
      <c r="N247" s="19"/>
      <c r="O247" s="19"/>
      <c r="P247" s="19"/>
      <c r="Q247"/>
      <c r="R247"/>
    </row>
    <row r="248" spans="1:18" s="11" customFormat="1" ht="16" x14ac:dyDescent="0.2">
      <c r="A248" s="11" t="s">
        <v>83</v>
      </c>
      <c r="B248" s="16">
        <v>1000</v>
      </c>
      <c r="C248" s="11" t="s">
        <v>17</v>
      </c>
      <c r="D248" s="11" t="s">
        <v>13</v>
      </c>
      <c r="F248" s="11" t="s">
        <v>12</v>
      </c>
      <c r="G248" s="11" t="s">
        <v>40</v>
      </c>
      <c r="H248" s="10" t="s">
        <v>113</v>
      </c>
      <c r="J248"/>
      <c r="K248" s="19"/>
      <c r="L248" s="19"/>
      <c r="M248" s="19"/>
      <c r="N248" s="19"/>
      <c r="O248" s="19"/>
      <c r="P248" s="19"/>
      <c r="Q248"/>
      <c r="R248"/>
    </row>
    <row r="249" spans="1:18" s="11" customFormat="1" ht="16" x14ac:dyDescent="0.2">
      <c r="A249" s="11" t="s">
        <v>73</v>
      </c>
      <c r="B249" s="16">
        <v>1500</v>
      </c>
      <c r="C249" s="11" t="s">
        <v>17</v>
      </c>
      <c r="D249" s="11" t="s">
        <v>13</v>
      </c>
      <c r="F249" s="11" t="s">
        <v>12</v>
      </c>
      <c r="G249" s="11" t="s">
        <v>74</v>
      </c>
      <c r="H249" s="10" t="s">
        <v>113</v>
      </c>
      <c r="J249"/>
      <c r="K249" s="19"/>
      <c r="L249" s="19"/>
      <c r="M249" s="19"/>
      <c r="N249" s="19"/>
      <c r="O249" s="19"/>
      <c r="P249" s="19"/>
      <c r="Q249"/>
      <c r="R249"/>
    </row>
    <row r="250" spans="1:18" s="11" customFormat="1" ht="16" x14ac:dyDescent="0.2">
      <c r="A250" s="11" t="s">
        <v>84</v>
      </c>
      <c r="B250" s="16">
        <v>1000</v>
      </c>
      <c r="C250" s="11" t="s">
        <v>17</v>
      </c>
      <c r="D250" s="11" t="s">
        <v>13</v>
      </c>
      <c r="F250" s="11" t="s">
        <v>12</v>
      </c>
      <c r="G250" s="11" t="s">
        <v>42</v>
      </c>
      <c r="H250" s="10" t="s">
        <v>113</v>
      </c>
      <c r="J250"/>
      <c r="K250" s="19"/>
      <c r="L250" s="19"/>
      <c r="M250" s="19"/>
      <c r="N250" s="19"/>
      <c r="O250" s="19"/>
      <c r="P250" s="19"/>
      <c r="Q250"/>
      <c r="R250"/>
    </row>
    <row r="251" spans="1:18" s="11" customFormat="1" ht="16" x14ac:dyDescent="0.2">
      <c r="A251" s="11" t="s">
        <v>20</v>
      </c>
      <c r="B251" s="16">
        <v>1500</v>
      </c>
      <c r="C251" s="11" t="s">
        <v>17</v>
      </c>
      <c r="D251" s="11" t="s">
        <v>13</v>
      </c>
      <c r="F251" s="11" t="s">
        <v>12</v>
      </c>
      <c r="G251" s="11" t="s">
        <v>15</v>
      </c>
      <c r="H251" s="10" t="s">
        <v>113</v>
      </c>
      <c r="J251"/>
      <c r="K251" s="19"/>
      <c r="L251" s="19"/>
      <c r="M251" s="19"/>
      <c r="N251" s="19"/>
      <c r="O251" s="19"/>
      <c r="P251" s="19"/>
      <c r="Q251"/>
      <c r="R251"/>
    </row>
    <row r="252" spans="1:18" s="11" customFormat="1" ht="16" x14ac:dyDescent="0.2">
      <c r="A252" s="11" t="s">
        <v>73</v>
      </c>
      <c r="B252" s="16">
        <v>511</v>
      </c>
      <c r="C252" s="11" t="s">
        <v>17</v>
      </c>
      <c r="D252" s="11" t="s">
        <v>13</v>
      </c>
      <c r="F252" s="11" t="s">
        <v>12</v>
      </c>
      <c r="G252" s="11" t="s">
        <v>74</v>
      </c>
      <c r="H252" s="10" t="s">
        <v>114</v>
      </c>
      <c r="J252"/>
      <c r="K252" s="19"/>
      <c r="L252" s="19"/>
      <c r="M252" s="19"/>
      <c r="N252" s="19"/>
      <c r="O252" s="19"/>
      <c r="P252" s="19"/>
      <c r="Q252"/>
      <c r="R252"/>
    </row>
    <row r="253" spans="1:18" s="11" customFormat="1" ht="16" x14ac:dyDescent="0.2">
      <c r="A253" s="11" t="s">
        <v>20</v>
      </c>
      <c r="B253" s="16">
        <v>511</v>
      </c>
      <c r="C253" s="11" t="s">
        <v>17</v>
      </c>
      <c r="D253" s="11" t="s">
        <v>13</v>
      </c>
      <c r="F253" s="11" t="s">
        <v>12</v>
      </c>
      <c r="G253" s="11" t="s">
        <v>15</v>
      </c>
      <c r="H253" s="10" t="s">
        <v>114</v>
      </c>
      <c r="J253"/>
      <c r="K253" s="19"/>
      <c r="L253" s="19"/>
      <c r="M253" s="19"/>
      <c r="N253" s="19"/>
      <c r="O253" s="19"/>
      <c r="P253" s="19"/>
      <c r="Q253"/>
      <c r="R253"/>
    </row>
    <row r="254" spans="1:18" s="11" customFormat="1" ht="16" x14ac:dyDescent="0.2">
      <c r="A254" s="11" t="s">
        <v>115</v>
      </c>
      <c r="B254" s="16">
        <v>29</v>
      </c>
      <c r="C254" s="11" t="s">
        <v>17</v>
      </c>
      <c r="D254" s="11" t="s">
        <v>116</v>
      </c>
      <c r="F254" s="11" t="s">
        <v>12</v>
      </c>
      <c r="G254" s="11" t="s">
        <v>117</v>
      </c>
      <c r="H254" s="10" t="s">
        <v>114</v>
      </c>
      <c r="J254"/>
      <c r="K254" s="19"/>
      <c r="L254" s="19"/>
      <c r="M254" s="19"/>
      <c r="N254" s="19"/>
      <c r="O254" s="19"/>
      <c r="P254" s="19"/>
      <c r="Q254"/>
      <c r="R254"/>
    </row>
    <row r="255" spans="1:18" s="11" customFormat="1" ht="16" x14ac:dyDescent="0.2">
      <c r="A255" s="11" t="s">
        <v>84</v>
      </c>
      <c r="B255" s="16">
        <v>2250</v>
      </c>
      <c r="C255" s="11" t="s">
        <v>17</v>
      </c>
      <c r="D255" s="11" t="s">
        <v>13</v>
      </c>
      <c r="F255" s="11" t="s">
        <v>12</v>
      </c>
      <c r="G255" s="11" t="s">
        <v>42</v>
      </c>
      <c r="H255" s="10" t="s">
        <v>118</v>
      </c>
      <c r="J255"/>
      <c r="K255" s="19"/>
      <c r="L255" s="19"/>
      <c r="M255" s="19"/>
      <c r="N255" s="19"/>
      <c r="O255" s="19"/>
      <c r="P255" s="19"/>
      <c r="Q255"/>
      <c r="R255"/>
    </row>
    <row r="256" spans="1:18" s="11" customFormat="1" ht="15.5" customHeight="1" x14ac:dyDescent="0.2">
      <c r="A256" s="28" t="s">
        <v>25</v>
      </c>
      <c r="B256" s="29">
        <v>2250</v>
      </c>
      <c r="C256" s="11" t="s">
        <v>17</v>
      </c>
      <c r="D256" s="11" t="s">
        <v>13</v>
      </c>
      <c r="F256" s="11" t="s">
        <v>12</v>
      </c>
      <c r="G256" s="10" t="s">
        <v>26</v>
      </c>
      <c r="H256" s="10" t="s">
        <v>118</v>
      </c>
      <c r="J256"/>
      <c r="K256" s="19"/>
      <c r="L256" s="19"/>
      <c r="M256" s="19"/>
      <c r="N256" s="19"/>
      <c r="O256" s="19"/>
      <c r="P256" s="19"/>
      <c r="Q256"/>
      <c r="R256"/>
    </row>
    <row r="257" spans="1:20" s="11" customFormat="1" ht="16" x14ac:dyDescent="0.2">
      <c r="A257" s="11" t="s">
        <v>119</v>
      </c>
      <c r="B257" s="29">
        <v>2.2999999999999998</v>
      </c>
      <c r="C257" s="11" t="s">
        <v>45</v>
      </c>
      <c r="D257" s="10" t="s">
        <v>31</v>
      </c>
      <c r="F257" s="11" t="s">
        <v>12</v>
      </c>
      <c r="G257" s="10" t="s">
        <v>120</v>
      </c>
      <c r="H257" s="10" t="s">
        <v>121</v>
      </c>
      <c r="J257"/>
      <c r="K257" s="19"/>
      <c r="L257" s="19"/>
      <c r="M257" s="19"/>
      <c r="N257" s="19"/>
      <c r="O257" s="19"/>
      <c r="P257" s="19"/>
      <c r="Q257"/>
      <c r="R257"/>
    </row>
    <row r="258" spans="1:20" s="11" customFormat="1" ht="16" x14ac:dyDescent="0.2">
      <c r="A258" s="11" t="s">
        <v>33</v>
      </c>
      <c r="B258" s="16">
        <v>50000</v>
      </c>
      <c r="C258" s="11" t="s">
        <v>17</v>
      </c>
      <c r="D258" s="11" t="s">
        <v>35</v>
      </c>
      <c r="F258" s="11" t="s">
        <v>12</v>
      </c>
      <c r="G258" s="10" t="s">
        <v>36</v>
      </c>
      <c r="H258" s="11" t="s">
        <v>79</v>
      </c>
      <c r="J258"/>
      <c r="K258" s="19"/>
      <c r="L258" s="19"/>
      <c r="M258" s="19"/>
      <c r="N258" s="19"/>
      <c r="O258" s="19"/>
      <c r="P258" s="19"/>
      <c r="Q258"/>
      <c r="R258"/>
    </row>
    <row r="259" spans="1:20" s="11" customFormat="1" ht="16" x14ac:dyDescent="0.2">
      <c r="B259" s="16"/>
      <c r="K259" s="12"/>
      <c r="L259" s="12"/>
      <c r="M259" s="12"/>
      <c r="N259" s="12"/>
      <c r="O259" s="12"/>
      <c r="P259" s="12"/>
    </row>
    <row r="260" spans="1:20" s="11" customFormat="1" ht="16" x14ac:dyDescent="0.2">
      <c r="A260" s="8" t="s">
        <v>1</v>
      </c>
      <c r="B260" s="9" t="s">
        <v>506</v>
      </c>
      <c r="K260" s="12"/>
      <c r="L260" s="12"/>
      <c r="M260" s="12"/>
      <c r="N260" s="12"/>
      <c r="O260" s="12"/>
      <c r="P260" s="12"/>
    </row>
    <row r="261" spans="1:20" s="11" customFormat="1" ht="16" x14ac:dyDescent="0.2">
      <c r="A261" s="13" t="s">
        <v>3</v>
      </c>
      <c r="B261" s="14">
        <v>1</v>
      </c>
      <c r="K261" s="12"/>
      <c r="L261" s="12"/>
      <c r="M261" s="12"/>
      <c r="N261" s="12"/>
      <c r="O261" s="12"/>
      <c r="P261" s="12"/>
    </row>
    <row r="262" spans="1:20" s="11" customFormat="1" ht="16" x14ac:dyDescent="0.2">
      <c r="A262" s="13" t="s">
        <v>11</v>
      </c>
      <c r="B262" s="14"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
PREVIOUS NOTES (retained as history; the correction above takes precedence):
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
PREVIOUS NOTES (retained as history; the correction above takes precedence):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per single stack, @ 8000 hours/year. Iridium mining process is NOT from ecoinvent. Produced amount of H2 over 20 years: 2964315.35 kg. According to a study called IndWEDe, it is assumed that the stacks are replaced 3 times during the 20 years lifespan, based on the 2030’s scenario for 1 MW systems which predicts a lifetime of 50,000 h or more for the stacks of the different water electrolysis technologies. In comparison to AEC electrolyzers, PEMEC electrolyzers are less mature. Furthermore, the PEMEC technology is commercially available and operates with a similar system efficiency as the AEC technology. However, the current density and the gas purity are higher with values in between 0.6–2.0 A/cm2 and &gt; 99.99%, respectively. Besides this, the operating pressure (below 200 bar) is significantly higher in comparison to AEC systems, while the operating temperature (50 °C to 80 °C) and the system energy (4.2–6.6 kWh/m3H2) are similar to AEC systems. The PEMEC BoP and stack components data stem from Bareiß et al. and correspond to a 1 MW system. Moreover, some further BoP components like water purifier &amp; feed tank, buffer tank, and heat exchanger have been added, derived from a 300 kW AEC system, under the assumption that the components are also suitable for a PEMEC system. The values have been scaled up from 300 kW to 1 MW. Values have already been multiplied by 3 to reflect 2 stack replacements over 20 years of use.</t>
        </is>
      </c>
      <c r="K262" s="12"/>
      <c r="L262" s="12"/>
      <c r="M262" s="12"/>
      <c r="N262" s="12"/>
      <c r="O262" s="12"/>
      <c r="P262" s="12"/>
    </row>
    <row r="263" spans="1:20" s="11" customFormat="1" ht="16" x14ac:dyDescent="0.2">
      <c r="A263" s="13" t="s">
        <v>4</v>
      </c>
      <c r="B263" s="16" t="s">
        <v>507</v>
      </c>
      <c r="K263" s="12"/>
      <c r="L263" s="12"/>
      <c r="M263" s="12"/>
      <c r="N263" s="12"/>
      <c r="O263" s="12"/>
      <c r="P263" s="12"/>
    </row>
    <row r="264" spans="1:20" s="11" customFormat="1" ht="16" x14ac:dyDescent="0.2">
      <c r="A264" s="13" t="s">
        <v>2</v>
      </c>
      <c r="B264" s="14" t="s">
        <v>34</v>
      </c>
      <c r="K264" s="12"/>
      <c r="L264" s="12"/>
      <c r="M264" s="12"/>
      <c r="N264" s="12"/>
      <c r="O264" s="12"/>
      <c r="P264" s="12"/>
    </row>
    <row r="265" spans="1:20" s="11" customFormat="1" ht="16" x14ac:dyDescent="0.2">
      <c r="A265" s="13" t="s">
        <v>6</v>
      </c>
      <c r="B265" s="16" t="s">
        <v>6</v>
      </c>
      <c r="K265" s="12"/>
      <c r="L265" s="12"/>
      <c r="M265" s="12"/>
      <c r="N265" s="12"/>
      <c r="O265" s="12"/>
      <c r="P265" s="12"/>
    </row>
    <row r="266" spans="1:20" s="11" customFormat="1" ht="16" x14ac:dyDescent="0.2">
      <c r="A266" s="17" t="s">
        <v>7</v>
      </c>
      <c r="B266" s="9"/>
      <c r="C266" s="17"/>
      <c r="D266" s="17"/>
      <c r="E266" s="17"/>
      <c r="F266" s="17"/>
      <c r="G266" s="17"/>
      <c r="H266" s="17"/>
      <c r="I266" s="17"/>
      <c r="J266" s="17"/>
      <c r="K266" s="12"/>
      <c r="L266" s="12"/>
      <c r="M266" s="12"/>
      <c r="N266" s="12"/>
      <c r="O266" s="12"/>
      <c r="P266" s="12"/>
    </row>
    <row r="267" spans="1:20" s="11" customFormat="1" ht="16" x14ac:dyDescent="0.2">
      <c r="A267" s="17" t="s">
        <v>8</v>
      </c>
      <c r="B267" s="9" t="s">
        <v>9</v>
      </c>
      <c r="C267" s="17" t="s">
        <v>2</v>
      </c>
      <c r="D267" s="17" t="s">
        <v>6</v>
      </c>
      <c r="E267" s="23" t="s">
        <v>10</v>
      </c>
      <c r="F267" s="17" t="s">
        <v>5</v>
      </c>
      <c r="G267" s="17" t="s">
        <v>4</v>
      </c>
      <c r="H267" s="23" t="s">
        <v>11</v>
      </c>
      <c r="I267" s="17"/>
      <c r="J267" s="7"/>
      <c r="K267" s="18"/>
      <c r="L267" s="18"/>
      <c r="M267" s="18"/>
      <c r="N267" s="18"/>
      <c r="O267" s="18"/>
      <c r="P267" s="18"/>
      <c r="Q267" s="7"/>
      <c r="R267" s="7"/>
      <c r="S267" s="17"/>
      <c r="T267" s="7"/>
    </row>
    <row r="268" spans="1:20" s="11" customFormat="1" ht="16" x14ac:dyDescent="0.2">
      <c r="A268" s="16" t="str">
        <f>B260</f>
        <v>treatment of electrolyzer balance of plant, 1MWe, PEM</v>
      </c>
      <c r="B268" s="12">
        <v>-1</v>
      </c>
      <c r="C268" s="11" t="s">
        <v>34</v>
      </c>
      <c r="D268" s="11" t="str">
        <f>B265</f>
        <v>unit</v>
      </c>
      <c r="F268" s="11" t="s">
        <v>16</v>
      </c>
      <c r="G268" s="11" t="str">
        <f>B263</f>
        <v>used electrolyzer balance of plant, 1MWe, PEM</v>
      </c>
      <c r="H268"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K268" s="12"/>
      <c r="L268" s="12"/>
      <c r="M268" s="12"/>
      <c r="N268" s="12"/>
      <c r="O268" s="12"/>
      <c r="P268" s="12"/>
    </row>
    <row r="269" spans="1:20" s="11" customFormat="1" ht="16" x14ac:dyDescent="0.2">
      <c r="A269" s="16" t="s">
        <v>204</v>
      </c>
      <c r="B269" s="11">
        <f>7523*-1</f>
        <v>-7523</v>
      </c>
      <c r="C269" s="11" t="s">
        <v>37</v>
      </c>
      <c r="D269" s="11" t="s">
        <v>13</v>
      </c>
      <c r="F269" s="11" t="s">
        <v>12</v>
      </c>
      <c r="G269" s="11" t="s">
        <v>205</v>
      </c>
      <c r="J269"/>
      <c r="K269" s="19"/>
      <c r="L269" s="19"/>
      <c r="M269" s="19"/>
      <c r="N269" s="19"/>
      <c r="O269" s="19"/>
      <c r="P269" s="19"/>
      <c r="Q269"/>
      <c r="R269"/>
    </row>
    <row r="270" spans="1:20" s="11" customFormat="1" ht="16" x14ac:dyDescent="0.2">
      <c r="A270" s="16" t="s">
        <v>449</v>
      </c>
      <c r="B270" s="11">
        <v>-2532</v>
      </c>
      <c r="C270" s="11" t="s">
        <v>217</v>
      </c>
      <c r="D270" s="11" t="s">
        <v>13</v>
      </c>
      <c r="F270" s="11" t="s">
        <v>12</v>
      </c>
      <c r="G270" s="16" t="s">
        <v>216</v>
      </c>
      <c r="H270"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J270"/>
      <c r="K270" s="19"/>
      <c r="L270" s="19"/>
      <c r="M270" s="19"/>
      <c r="N270" s="19"/>
      <c r="O270" s="19"/>
      <c r="P270" s="19"/>
      <c r="Q270"/>
      <c r="R270"/>
    </row>
    <row r="271" spans="1:20" s="11" customFormat="1" ht="16" x14ac:dyDescent="0.2">
      <c r="A271" s="11" t="s">
        <v>206</v>
      </c>
      <c r="B271" s="11">
        <v>-100</v>
      </c>
      <c r="C271" s="11" t="s">
        <v>37</v>
      </c>
      <c r="D271" s="11" t="s">
        <v>13</v>
      </c>
      <c r="F271" s="11" t="s">
        <v>12</v>
      </c>
      <c r="G271" s="11" t="s">
        <v>207</v>
      </c>
      <c r="H271"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J271"/>
      <c r="K271" s="19"/>
      <c r="L271" s="19"/>
      <c r="M271" s="19"/>
      <c r="N271" s="19"/>
      <c r="O271" s="19"/>
      <c r="P271" s="19"/>
      <c r="Q271"/>
      <c r="R271"/>
    </row>
    <row r="272" spans="1:20" s="11" customFormat="1" ht="16" x14ac:dyDescent="0.2">
      <c r="A272" s="11" t="s">
        <v>226</v>
      </c>
      <c r="B272" s="11">
        <v>-32</v>
      </c>
      <c r="C272" s="11" t="s">
        <v>217</v>
      </c>
      <c r="D272" s="11" t="s">
        <v>13</v>
      </c>
      <c r="F272" s="11" t="s">
        <v>12</v>
      </c>
      <c r="G272" s="11" t="s">
        <v>227</v>
      </c>
      <c r="J272"/>
      <c r="K272" s="19"/>
      <c r="L272" s="19"/>
      <c r="M272" s="19"/>
      <c r="N272" s="19"/>
      <c r="O272" s="19"/>
      <c r="P272" s="19"/>
      <c r="Q272"/>
      <c r="R272"/>
    </row>
    <row r="273" spans="1:18" s="11" customFormat="1" ht="16" x14ac:dyDescent="0.2">
      <c r="A273" s="11" t="s">
        <v>218</v>
      </c>
      <c r="B273" s="11">
        <v>-14</v>
      </c>
      <c r="C273" s="11" t="s">
        <v>217</v>
      </c>
      <c r="D273" s="11" t="s">
        <v>13</v>
      </c>
      <c r="F273" s="11" t="s">
        <v>12</v>
      </c>
      <c r="G273" s="11" t="s">
        <v>450</v>
      </c>
      <c r="J273"/>
      <c r="K273" s="19"/>
      <c r="L273" s="19"/>
      <c r="M273" s="19"/>
      <c r="N273" s="19"/>
      <c r="O273" s="19"/>
      <c r="P273" s="19"/>
      <c r="Q273"/>
      <c r="R273"/>
    </row>
    <row r="274" spans="1:18" s="11" customFormat="1" ht="16" x14ac:dyDescent="0.2">
      <c r="A274" s="11" t="s">
        <v>219</v>
      </c>
      <c r="B274" s="11">
        <v>-8</v>
      </c>
      <c r="C274" s="11" t="s">
        <v>17</v>
      </c>
      <c r="D274" s="11" t="s">
        <v>13</v>
      </c>
      <c r="F274" s="11" t="s">
        <v>12</v>
      </c>
      <c r="G274" s="11" t="s">
        <v>220</v>
      </c>
      <c r="J274"/>
      <c r="K274" s="19"/>
      <c r="L274" s="19"/>
      <c r="M274" s="19"/>
      <c r="N274" s="19"/>
      <c r="O274" s="19"/>
      <c r="P274" s="19"/>
      <c r="Q274"/>
      <c r="R274"/>
    </row>
    <row r="275" spans="1:18" s="11" customFormat="1" ht="16" x14ac:dyDescent="0.2">
      <c r="A275" s="11" t="s">
        <v>221</v>
      </c>
      <c r="B275" s="11">
        <v>-764.6</v>
      </c>
      <c r="C275" s="11" t="s">
        <v>37</v>
      </c>
      <c r="D275" s="11" t="s">
        <v>13</v>
      </c>
      <c r="F275" s="11" t="s">
        <v>12</v>
      </c>
      <c r="G275" s="11" t="s">
        <v>452</v>
      </c>
      <c r="J275"/>
      <c r="K275" s="19"/>
      <c r="L275" s="19"/>
      <c r="M275" s="19"/>
      <c r="N275" s="19"/>
      <c r="O275" s="19"/>
      <c r="P275" s="19"/>
      <c r="Q275"/>
      <c r="R275"/>
    </row>
    <row r="276" spans="1:18" s="11" customFormat="1" ht="16" x14ac:dyDescent="0.2">
      <c r="A276" s="11" t="s">
        <v>451</v>
      </c>
      <c r="B276" s="11">
        <v>-600</v>
      </c>
      <c r="C276" s="11" t="s">
        <v>37</v>
      </c>
      <c r="D276" s="11" t="s">
        <v>13</v>
      </c>
      <c r="F276" s="11" t="s">
        <v>12</v>
      </c>
      <c r="G276" s="11" t="s">
        <v>222</v>
      </c>
      <c r="J276"/>
      <c r="K276" s="19"/>
      <c r="L276" s="19"/>
      <c r="M276" s="19"/>
      <c r="N276" s="19"/>
      <c r="O276" s="19"/>
      <c r="P276" s="19"/>
      <c r="Q276"/>
      <c r="R276"/>
    </row>
    <row r="277" spans="1:18" s="11" customFormat="1" ht="16" x14ac:dyDescent="0.2">
      <c r="A277" s="11" t="s">
        <v>208</v>
      </c>
      <c r="B277" s="11">
        <v>-100</v>
      </c>
      <c r="C277" s="11" t="s">
        <v>37</v>
      </c>
      <c r="D277" s="11" t="s">
        <v>13</v>
      </c>
      <c r="F277" s="11" t="s">
        <v>12</v>
      </c>
      <c r="G277" s="11" t="s">
        <v>209</v>
      </c>
      <c r="H277"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J277"/>
      <c r="K277" s="19"/>
      <c r="L277" s="19"/>
      <c r="M277" s="19"/>
      <c r="N277" s="19"/>
      <c r="O277" s="19"/>
      <c r="P277" s="19"/>
      <c r="Q277"/>
      <c r="R277"/>
    </row>
    <row r="278" spans="1:18" s="11" customFormat="1" ht="16" x14ac:dyDescent="0.2">
      <c r="A278" s="11" t="s">
        <v>210</v>
      </c>
      <c r="B278" s="11">
        <v>-32</v>
      </c>
      <c r="C278" s="11" t="s">
        <v>212</v>
      </c>
      <c r="D278" s="11" t="s">
        <v>13</v>
      </c>
      <c r="F278" s="11" t="s">
        <v>12</v>
      </c>
      <c r="G278" s="11" t="s">
        <v>211</v>
      </c>
      <c r="H278"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J278"/>
      <c r="K278" s="19"/>
      <c r="L278" s="19"/>
      <c r="M278" s="19"/>
      <c r="N278" s="19"/>
      <c r="O278" s="19"/>
      <c r="P278" s="19"/>
      <c r="Q278"/>
      <c r="R278"/>
    </row>
    <row r="279" spans="1:18" s="11" customFormat="1" ht="16" x14ac:dyDescent="0.2">
      <c r="A279" s="11" t="s">
        <v>448</v>
      </c>
      <c r="B279" s="11">
        <v>-5600</v>
      </c>
      <c r="C279" s="11" t="s">
        <v>37</v>
      </c>
      <c r="D279" s="11" t="s">
        <v>13</v>
      </c>
      <c r="F279" s="11" t="s">
        <v>12</v>
      </c>
      <c r="G279" s="11" t="s">
        <v>223</v>
      </c>
      <c r="J279"/>
      <c r="K279" s="19"/>
      <c r="L279" s="19"/>
      <c r="M279" s="19"/>
      <c r="N279" s="19"/>
      <c r="O279" s="19"/>
      <c r="P279" s="19"/>
      <c r="Q279"/>
      <c r="R279"/>
    </row>
    <row r="280" spans="1:18" s="11" customFormat="1" ht="16" x14ac:dyDescent="0.2">
      <c r="A280" s="11" t="s">
        <v>224</v>
      </c>
      <c r="B280" s="11">
        <v>-100</v>
      </c>
      <c r="C280" s="11" t="s">
        <v>217</v>
      </c>
      <c r="D280" s="11" t="s">
        <v>13</v>
      </c>
      <c r="F280" s="11" t="s">
        <v>12</v>
      </c>
      <c r="G280" s="11" t="s">
        <v>447</v>
      </c>
      <c r="J280"/>
      <c r="K280" s="19"/>
      <c r="L280" s="19"/>
      <c r="M280" s="19"/>
      <c r="N280" s="19"/>
      <c r="O280" s="19"/>
      <c r="P280" s="19"/>
      <c r="Q280"/>
      <c r="R280"/>
    </row>
    <row r="281" spans="1:18" s="11" customFormat="1" ht="16" x14ac:dyDescent="0.2">
      <c r="A281" t="inlineStr">
        <is>
          <t xml:space="preserve">treatment of used power conversion system and motor drives, electrolysis, PEM</t>
        </is>
      </c>
      <c r="B281" s="16">
        <v>-1</v>
      </c>
      <c r="C281" t="inlineStr">
        <is>
          <t>GLO</t>
        </is>
      </c>
      <c r="D281" t="inlineStr">
        <is>
          <t>unit</t>
        </is>
      </c>
      <c r="F281" t="inlineStr">
        <is>
          <t>technosphere</t>
        </is>
      </c>
      <c r="G281" t="inlineStr">
        <is>
          <t xml:space="preserve">used power conversion system and motor drives, electrolysis, PEM</t>
        </is>
      </c>
      <c r="H281"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K281" s="12"/>
      <c r="L281" s="12"/>
      <c r="M281" s="12"/>
      <c r="N281" s="12"/>
      <c r="O281" s="12"/>
      <c r="P281" s="12"/>
    </row>
    <row r="282" spans="1:18" s="11" customFormat="1" ht="16" x14ac:dyDescent="0.2">
      <c r="A282" s="8" t="s">
        <v>1</v>
      </c>
      <c r="B282" s="9" t="s">
        <v>439</v>
      </c>
      <c r="C282" s="10"/>
      <c r="K282" s="12"/>
      <c r="L282" s="12"/>
      <c r="M282" s="12"/>
      <c r="N282" s="12"/>
      <c r="O282" s="12"/>
      <c r="P282" s="12"/>
    </row>
    <row r="283" spans="1:18" s="11" customFormat="1" ht="16" x14ac:dyDescent="0.2">
      <c r="A283" s="13" t="s">
        <v>3</v>
      </c>
      <c r="B283" s="14">
        <v>1</v>
      </c>
      <c r="K283" s="12"/>
      <c r="L283" s="12"/>
      <c r="M283" s="12"/>
      <c r="N283" s="12"/>
      <c r="O283" s="12"/>
      <c r="P283" s="12"/>
    </row>
    <row r="284" spans="1:18" s="11" customFormat="1" ht="16" x14ac:dyDescent="0.2">
      <c r="A284" s="13" t="s">
        <v>11</v>
      </c>
      <c r="B284" s="14" t="s">
        <v>436</v>
      </c>
      <c r="K284" s="12"/>
      <c r="L284" s="12"/>
      <c r="M284" s="12"/>
      <c r="N284" s="12"/>
      <c r="O284" s="12"/>
      <c r="P284" s="12"/>
    </row>
    <row r="285" spans="1:18" s="11" customFormat="1" ht="16" x14ac:dyDescent="0.2">
      <c r="A285" s="13" t="s">
        <v>4</v>
      </c>
      <c r="B285" s="15" t="s">
        <v>440</v>
      </c>
      <c r="K285" s="12"/>
      <c r="L285" s="12"/>
      <c r="M285" s="12"/>
      <c r="N285" s="12"/>
      <c r="O285" s="12"/>
      <c r="P285" s="12"/>
    </row>
    <row r="286" spans="1:18" s="11" customFormat="1" ht="16" x14ac:dyDescent="0.2">
      <c r="A286" s="13" t="s">
        <v>2</v>
      </c>
      <c r="B286" s="14" t="s">
        <v>45</v>
      </c>
      <c r="K286" s="12"/>
      <c r="L286" s="12"/>
      <c r="M286" s="12"/>
      <c r="N286" s="12"/>
      <c r="O286" s="12"/>
      <c r="P286" s="12"/>
    </row>
    <row r="287" spans="1:18" s="11" customFormat="1" ht="16" x14ac:dyDescent="0.2">
      <c r="A287" s="13" t="s">
        <v>6</v>
      </c>
      <c r="B287" s="16" t="s">
        <v>13</v>
      </c>
      <c r="H287" s="17"/>
      <c r="I287" s="17"/>
      <c r="J287" s="17"/>
      <c r="K287" s="12"/>
      <c r="L287" s="12"/>
      <c r="M287" s="12"/>
      <c r="N287" s="12"/>
      <c r="O287" s="12"/>
      <c r="P287" s="12"/>
    </row>
    <row r="288" spans="1:18" s="11" customFormat="1" ht="16" x14ac:dyDescent="0.2">
      <c r="A288" s="17" t="s">
        <v>7</v>
      </c>
      <c r="B288" s="9"/>
      <c r="C288" s="17"/>
      <c r="D288" s="17"/>
      <c r="E288" s="17"/>
      <c r="F288" s="17"/>
      <c r="G288" s="17"/>
      <c r="H288" s="10"/>
      <c r="I288" s="10"/>
      <c r="J288" s="10"/>
      <c r="K288" s="12"/>
      <c r="L288" s="12"/>
      <c r="M288" s="12"/>
      <c r="N288" s="12"/>
      <c r="O288" s="12"/>
      <c r="P288" s="12"/>
    </row>
    <row r="289" spans="1:21" s="11" customFormat="1" ht="16" x14ac:dyDescent="0.2">
      <c r="A289" s="17" t="s">
        <v>8</v>
      </c>
      <c r="B289" s="9" t="s">
        <v>9</v>
      </c>
      <c r="C289" s="17" t="s">
        <v>2</v>
      </c>
      <c r="D289" s="17" t="s">
        <v>6</v>
      </c>
      <c r="E289" s="17" t="s">
        <v>10</v>
      </c>
      <c r="F289" s="17" t="s">
        <v>5</v>
      </c>
      <c r="G289" s="17" t="s">
        <v>4</v>
      </c>
      <c r="H289" s="23" t="s">
        <v>11</v>
      </c>
      <c r="I289" s="17" t="s">
        <v>466</v>
      </c>
      <c r="J289" s="7" t="s">
        <v>467</v>
      </c>
      <c r="K289" s="18" t="s">
        <v>468</v>
      </c>
      <c r="L289" s="18" t="s">
        <v>469</v>
      </c>
      <c r="M289" s="18" t="s">
        <v>470</v>
      </c>
      <c r="N289" s="18" t="s">
        <v>471</v>
      </c>
      <c r="O289" s="18" t="s">
        <v>472</v>
      </c>
      <c r="P289" s="18" t="s">
        <v>473</v>
      </c>
      <c r="Q289" s="7" t="s">
        <v>474</v>
      </c>
      <c r="R289" s="7" t="s">
        <v>475</v>
      </c>
      <c r="S289" s="17" t="s">
        <v>476</v>
      </c>
      <c r="T289" s="7" t="s">
        <v>477</v>
      </c>
      <c r="U289" s="17" t="s">
        <v>46</v>
      </c>
    </row>
    <row r="290" spans="1:21" s="11" customFormat="1" ht="16" x14ac:dyDescent="0.2">
      <c r="A290" s="16" t="s">
        <v>439</v>
      </c>
      <c r="B290" s="16">
        <v>1</v>
      </c>
      <c r="C290" s="11" t="str">
        <f>B286</f>
        <v>CH</v>
      </c>
      <c r="D290" s="11" t="str">
        <f>B287</f>
        <v>kilogram</v>
      </c>
      <c r="E290" s="10"/>
      <c r="F290" s="11" t="s">
        <v>16</v>
      </c>
      <c r="G290" s="11" t="s">
        <v>440</v>
      </c>
      <c r="H290" s="10"/>
      <c r="I290" s="10"/>
      <c r="K290" s="12"/>
      <c r="L290" s="12"/>
      <c r="M290" s="12"/>
      <c r="N290" s="12"/>
      <c r="O290" s="12"/>
      <c r="P290" s="12"/>
      <c r="T290"/>
    </row>
    <row r="291" spans="1:21" s="11" customFormat="1" ht="16" x14ac:dyDescent="0.2">
      <c r="A291" s="16" t="str">
        <f>B303</f>
        <v>electrolyzer production, 1MWe, AEC, Stack</v>
      </c>
      <c r="B291" s="16">
        <f>(1/4259200)*4</f>
        <v>9.3914350112697222E-7</v>
      </c>
      <c r="C291" s="11" t="s">
        <v>34</v>
      </c>
      <c r="D291" s="11" t="s">
        <v>6</v>
      </c>
      <c r="F291" s="11" t="s">
        <v>12</v>
      </c>
      <c r="G291" s="11" t="s">
        <v>123</v>
      </c>
      <c r="H291" s="11" t="s">
        <v>486</v>
      </c>
      <c r="I291" s="11">
        <v>5</v>
      </c>
      <c r="J291" s="4">
        <f>B291</f>
        <v>9.3914350112697222E-7</v>
      </c>
      <c r="K291" s="19"/>
      <c r="L291" s="19"/>
      <c r="M291" s="19"/>
      <c r="N291" s="19"/>
      <c r="O291" s="19"/>
      <c r="P291" s="19"/>
      <c r="Q291"/>
      <c r="R291"/>
      <c r="S291" s="11">
        <f>(1/(32.5*8000*19.36))*4</f>
        <v>7.9465988556897644E-7</v>
      </c>
      <c r="T291" s="11">
        <f>(1/(22.5*8000*19.36))*4</f>
        <v>1.1478420569329661E-6</v>
      </c>
    </row>
    <row r="292" spans="1:21" s="11" customFormat="1" ht="16" x14ac:dyDescent="0.2">
      <c r="A292" s="16" t="str">
        <f>B332</f>
        <v>electrolyzer production, 1MWe, AEC, Balance of Plant</v>
      </c>
      <c r="B292" s="16">
        <f>1/4259200</f>
        <v>2.3478587528174306E-7</v>
      </c>
      <c r="C292" s="11" t="s">
        <v>34</v>
      </c>
      <c r="D292" s="11" t="s">
        <v>6</v>
      </c>
      <c r="F292" s="11" t="s">
        <v>12</v>
      </c>
      <c r="G292" s="11" t="s">
        <v>124</v>
      </c>
      <c r="H292" s="11" t="s">
        <v>487</v>
      </c>
      <c r="I292" s="11">
        <v>5</v>
      </c>
      <c r="J292" s="4">
        <f>B292</f>
        <v>2.3478587528174306E-7</v>
      </c>
      <c r="K292" s="19"/>
      <c r="L292" s="19"/>
      <c r="M292" s="19"/>
      <c r="N292" s="19"/>
      <c r="O292" s="19"/>
      <c r="P292" s="19"/>
      <c r="Q292"/>
      <c r="R292"/>
      <c r="S292" s="11">
        <f>(1/(32.5*8000*19.36))</f>
        <v>1.9866497139224411E-7</v>
      </c>
      <c r="T292" s="11">
        <f>(1/(22.5*8000*19.36))</f>
        <v>2.8696051423324152E-7</v>
      </c>
    </row>
    <row r="293" spans="1:21" s="11" customFormat="1" ht="16" x14ac:dyDescent="0.2">
      <c r="A293" s="16" t="s">
        <v>508</v>
      </c>
      <c r="B293" s="16">
        <f>-1*B291</f>
        <v>-9.3914350112697222E-7</v>
      </c>
      <c r="C293" s="11" t="s">
        <v>34</v>
      </c>
      <c r="D293" s="11" t="s">
        <v>6</v>
      </c>
      <c r="F293" s="11" t="s">
        <v>12</v>
      </c>
      <c r="G293" s="11" t="s">
        <v>509</v>
      </c>
      <c r="H293" s="11" t="s">
        <v>215</v>
      </c>
      <c r="I293" s="11">
        <v>5</v>
      </c>
      <c r="J293" s="4">
        <f>B293</f>
        <v>-9.3914350112697222E-7</v>
      </c>
      <c r="K293" s="19"/>
      <c r="L293" s="19"/>
      <c r="M293" s="19"/>
      <c r="N293" s="19"/>
      <c r="O293" s="19"/>
      <c r="P293" s="19"/>
      <c r="Q293"/>
      <c r="R293"/>
      <c r="S293" s="11">
        <f>-1*T291</f>
        <v>-1.1478420569329661E-6</v>
      </c>
      <c r="T293" s="11">
        <f>-1*S291</f>
        <v>-7.9465988556897644E-7</v>
      </c>
      <c r="U293" s="11" t="b">
        <v>1</v>
      </c>
    </row>
    <row r="294" spans="1:21" s="11" customFormat="1" ht="16" x14ac:dyDescent="0.2">
      <c r="A294" s="16" t="s">
        <v>510</v>
      </c>
      <c r="B294" s="16">
        <f>-1*B292</f>
        <v>-2.3478587528174306E-7</v>
      </c>
      <c r="C294" s="11" t="s">
        <v>34</v>
      </c>
      <c r="D294" s="11" t="s">
        <v>6</v>
      </c>
      <c r="F294" s="11" t="s">
        <v>12</v>
      </c>
      <c r="G294" s="11" t="s">
        <v>511</v>
      </c>
      <c r="H294" s="11" t="s">
        <v>225</v>
      </c>
      <c r="I294" s="11">
        <v>5</v>
      </c>
      <c r="J294" s="4">
        <f>B294</f>
        <v>-2.3478587528174306E-7</v>
      </c>
      <c r="K294" s="19"/>
      <c r="L294" s="19"/>
      <c r="M294" s="19"/>
      <c r="N294" s="19"/>
      <c r="O294" s="19"/>
      <c r="P294" s="19"/>
      <c r="Q294"/>
      <c r="R294"/>
      <c r="S294" s="11">
        <f>-1*T292</f>
        <v>-2.8696051423324152E-7</v>
      </c>
      <c r="T294" s="11">
        <f>-1*S292</f>
        <v>-1.9866497139224411E-7</v>
      </c>
      <c r="U294" s="11" t="b">
        <v>1</v>
      </c>
    </row>
    <row r="295" spans="1:21" s="11" customFormat="1" ht="16" x14ac:dyDescent="0.2">
      <c r="A295" s="13" t="s">
        <v>50</v>
      </c>
      <c r="B295" s="16">
        <v>51.8</v>
      </c>
      <c r="C295" s="11" t="s">
        <v>45</v>
      </c>
      <c r="D295" s="11" t="s">
        <v>35</v>
      </c>
      <c r="E295" s="10"/>
      <c r="F295" s="11" t="s">
        <v>12</v>
      </c>
      <c r="G295" s="11" t="s">
        <v>36</v>
      </c>
      <c r="H295" s="10" t="s">
        <v>482</v>
      </c>
      <c r="I295" s="11">
        <v>5</v>
      </c>
      <c r="J295" s="4">
        <f>B295</f>
        <v>51.8</v>
      </c>
      <c r="K295" s="19"/>
      <c r="L295" s="19"/>
      <c r="M295" s="19"/>
      <c r="N295" s="19"/>
      <c r="O295" s="19"/>
      <c r="P295" s="19"/>
      <c r="Q295"/>
      <c r="R295"/>
      <c r="S295" s="11">
        <v>48.7</v>
      </c>
      <c r="T295" s="11">
        <v>54.9</v>
      </c>
    </row>
    <row r="296" spans="1:21" s="11" customFormat="1" ht="16" x14ac:dyDescent="0.2">
      <c r="A296" s="13" t="s">
        <v>125</v>
      </c>
      <c r="B296" s="16">
        <v>3.7000000000000002E-3</v>
      </c>
      <c r="C296" s="11" t="s">
        <v>17</v>
      </c>
      <c r="D296" s="11" t="s">
        <v>13</v>
      </c>
      <c r="E296" s="10"/>
      <c r="F296" s="11" t="s">
        <v>12</v>
      </c>
      <c r="G296" s="13" t="s">
        <v>126</v>
      </c>
      <c r="H296" s="10" t="s">
        <v>127</v>
      </c>
      <c r="J296"/>
      <c r="K296" s="19"/>
      <c r="L296" s="19"/>
      <c r="M296" s="19"/>
      <c r="N296" s="19"/>
      <c r="O296" s="19"/>
      <c r="P296" s="19"/>
      <c r="Q296"/>
      <c r="R296"/>
    </row>
    <row r="297" spans="1:21" s="11" customFormat="1" ht="16" x14ac:dyDescent="0.2">
      <c r="A297" s="13" t="s">
        <v>516</v>
      </c>
      <c r="B297" s="16">
        <v>14</v>
      </c>
      <c r="C297" s="11" t="s">
        <v>34</v>
      </c>
      <c r="D297" s="11" t="s">
        <v>13</v>
      </c>
      <c r="F297" s="11" t="s">
        <v>12</v>
      </c>
      <c r="G297" s="11" t="s">
        <v>517</v>
      </c>
      <c r="H297" s="20" t="s">
        <v>54</v>
      </c>
      <c r="J297"/>
      <c r="K297" s="19"/>
      <c r="L297" s="19"/>
      <c r="M297" s="19"/>
      <c r="N297" s="19"/>
      <c r="O297" s="19"/>
      <c r="P297" s="19"/>
      <c r="Q297"/>
      <c r="R297"/>
    </row>
    <row r="298" spans="1:21" s="11" customFormat="1" ht="16" x14ac:dyDescent="0.2">
      <c r="A298" s="21" t="s">
        <v>38</v>
      </c>
      <c r="B298" s="15">
        <v>8</v>
      </c>
      <c r="C298" s="21"/>
      <c r="D298" s="21" t="s">
        <v>13</v>
      </c>
      <c r="E298" s="21" t="s">
        <v>39</v>
      </c>
      <c r="F298" s="21" t="s">
        <v>14</v>
      </c>
      <c r="G298" s="21"/>
      <c r="H298" s="22"/>
      <c r="J298"/>
      <c r="K298" s="19"/>
      <c r="L298" s="19"/>
      <c r="M298" s="19"/>
      <c r="N298" s="19"/>
      <c r="O298" s="19"/>
      <c r="P298" s="19"/>
      <c r="Q298" s="19"/>
      <c r="R298"/>
    </row>
    <row r="299" spans="1:21" s="11" customFormat="1" ht="16" x14ac:dyDescent="0.2">
      <c r="A299" s="47" t="s">
        <v>456</v>
      </c>
      <c r="B299" s="48">
        <f>(0.12*1000)/(4259200/27.5)</f>
        <v>7.7479338842975209E-4</v>
      </c>
      <c r="C299" s="47"/>
      <c r="D299" s="47" t="s">
        <v>453</v>
      </c>
      <c r="E299" s="47" t="s">
        <v>454</v>
      </c>
      <c r="F299" s="47" t="s">
        <v>14</v>
      </c>
      <c r="H299" s="47" t="s">
        <v>462</v>
      </c>
      <c r="I299" s="11">
        <v>2</v>
      </c>
      <c r="J299">
        <f t="shared" ref="J299:J301" si="16">LN(B299)</f>
        <v>-7.1629141597283583</v>
      </c>
      <c r="K299" s="19">
        <v>1.05</v>
      </c>
      <c r="L299" s="19">
        <v>1.1000000000000001</v>
      </c>
      <c r="M299" s="19">
        <v>1</v>
      </c>
      <c r="N299" s="19">
        <v>1.02</v>
      </c>
      <c r="O299" s="19">
        <v>1.2</v>
      </c>
      <c r="P299" s="19">
        <v>1.2</v>
      </c>
      <c r="Q299" s="19">
        <v>1.5</v>
      </c>
      <c r="R299">
        <f t="shared" ref="R299:R301" si="17">LN(SQRT(EXP(
SQRT(
+POWER(LN(K299),2)
+POWER(LN(L299),2)
+POWER(LN(M299),2)
+POWER(LN(N299),2)
+POWER(LN(O299),2)
+POWER(LN(P299),2)
+POWER(LN(Q299),2)
)
)))</f>
        <v>0.24634371748562628</v>
      </c>
    </row>
    <row r="300" spans="1:21" s="11" customFormat="1" ht="16" x14ac:dyDescent="0.2">
      <c r="A300" s="47" t="s">
        <v>458</v>
      </c>
      <c r="B300" s="48">
        <f>(0.12*1000)/4259200</f>
        <v>2.8174305033809167E-5</v>
      </c>
      <c r="C300" s="47"/>
      <c r="D300" s="47" t="s">
        <v>459</v>
      </c>
      <c r="E300" s="47" t="s">
        <v>454</v>
      </c>
      <c r="F300" s="47" t="s">
        <v>14</v>
      </c>
      <c r="H300" s="47" t="s">
        <v>463</v>
      </c>
      <c r="I300" s="11">
        <v>2</v>
      </c>
      <c r="J300">
        <f t="shared" si="16"/>
        <v>-10.477100164400884</v>
      </c>
      <c r="K300" s="19">
        <v>1.05</v>
      </c>
      <c r="L300" s="19">
        <v>1.1000000000000001</v>
      </c>
      <c r="M300" s="19">
        <v>1</v>
      </c>
      <c r="N300" s="19">
        <v>1.02</v>
      </c>
      <c r="O300" s="19">
        <v>1.2</v>
      </c>
      <c r="P300" s="19">
        <v>1.2</v>
      </c>
      <c r="Q300" s="19">
        <v>1.5</v>
      </c>
      <c r="R300">
        <f t="shared" si="17"/>
        <v>0.24634371748562628</v>
      </c>
    </row>
    <row r="301" spans="1:21" s="11" customFormat="1" ht="16" x14ac:dyDescent="0.2">
      <c r="A301" s="47" t="s">
        <v>461</v>
      </c>
      <c r="B301" s="48">
        <f>(0.12*1000)/4259200</f>
        <v>2.8174305033809167E-5</v>
      </c>
      <c r="C301" s="47"/>
      <c r="D301" s="47" t="s">
        <v>459</v>
      </c>
      <c r="E301" s="47" t="s">
        <v>454</v>
      </c>
      <c r="F301" s="47" t="s">
        <v>14</v>
      </c>
      <c r="H301" s="47" t="s">
        <v>463</v>
      </c>
      <c r="I301" s="11">
        <v>2</v>
      </c>
      <c r="J301">
        <f t="shared" si="16"/>
        <v>-10.477100164400884</v>
      </c>
      <c r="K301" s="19">
        <v>1.05</v>
      </c>
      <c r="L301" s="19">
        <v>1.1000000000000001</v>
      </c>
      <c r="M301" s="19">
        <v>1</v>
      </c>
      <c r="N301" s="19">
        <v>1.02</v>
      </c>
      <c r="O301" s="19">
        <v>1.2</v>
      </c>
      <c r="P301" s="19">
        <v>1.2</v>
      </c>
      <c r="Q301" s="19">
        <v>1.5</v>
      </c>
      <c r="R301">
        <f t="shared" si="17"/>
        <v>0.24634371748562628</v>
      </c>
    </row>
    <row r="302" spans="1:21" s="11" customFormat="1" ht="16" x14ac:dyDescent="0.2">
      <c r="B302" s="16"/>
      <c r="K302" s="12"/>
      <c r="L302" s="12"/>
      <c r="M302" s="12"/>
      <c r="N302" s="12"/>
      <c r="O302" s="12"/>
      <c r="P302" s="12"/>
    </row>
    <row r="303" spans="1:21" s="11" customFormat="1" ht="16" x14ac:dyDescent="0.2">
      <c r="A303" s="8" t="s">
        <v>1</v>
      </c>
      <c r="B303" s="9" t="s">
        <v>128</v>
      </c>
      <c r="K303" s="12"/>
      <c r="L303" s="12"/>
      <c r="M303" s="12"/>
      <c r="N303" s="12"/>
      <c r="O303" s="12"/>
      <c r="P303" s="12"/>
    </row>
    <row r="304" spans="1:21" s="11" customFormat="1" ht="16" x14ac:dyDescent="0.2">
      <c r="A304" s="13" t="s">
        <v>3</v>
      </c>
      <c r="B304" s="14">
        <v>1</v>
      </c>
      <c r="K304" s="12"/>
      <c r="L304" s="12"/>
      <c r="M304" s="12"/>
      <c r="N304" s="12"/>
      <c r="O304" s="12"/>
      <c r="P304" s="12"/>
    </row>
    <row r="305" spans="1:20" s="11" customFormat="1" ht="16" x14ac:dyDescent="0.2">
      <c r="A305" s="13" t="s">
        <v>11</v>
      </c>
      <c r="B305" s="14" t="inlineStr">
        <is>
          <t>APPROVED FINISHED AEC PTFE GASKETS, issue100, 2026-10-18. Gerloff2021 DOI10.1016/j.est.2021.102759 andPtM DOI10.1021/acssuschemeng.1c02002 SI pS12 identify144.2kgTFEinputasgasket. FinishedPTFEproperties/polymerization:Hintzer et al.2014 Ullmann Fluoropolymers DOI10.1002/14356007.a11_393.pub2;ecoinvent3.12hasPTFEemulsionpolymerizationbut3.8-3.11lackafinishedprovider. Engineeringallowancesbelowuse3.12polymerizationenergy7.5MJ+0.5kWh/kgplus3MJ+0.2kWhforming,notacopyofwholebackgroundinventory. Replace144.2kgvolatileTFEmonomerby144.2kgfinishedPTFEgasketreference,maintainingallversionbehaviorwithoneworkbookprovider. nC2F4-&gt;(C2F4)n;100%chemicalconversionthen95%finishedsolidretention(includingforming/machiningreject). Perkgfinished1/0.95=1.0526315789473684kgTFE,solidPTFEreject=0.05263157894736836kg. Thisyieldisassumed,90-100%sensitivity;notmeasuredindustrialpolymerizationyield. Aggregatemanufacture10.5MJheat+0.7kWh/kgfinishedincludespolymerizationandformingonce(5-20MJ,.35-1.4kWhsensitivity). ExistingTFEsupplyupstreamburdensretainedonce. Initiator,emulsionwater/surfactant,polymerdrying,highpressureequipment,purification,PFAS/TFEfugitiveemissionsandactualgasketshapesareunresolved;solid-rejectreferenceisnotclaimofzeroindustrialairloss. No nativePTFEpurchaseontopofmonomer,nomassivegasgasketinterpretation. FinishedAECgasketEOL144.2kgoldplasticroutepreserved;fluoropolymer-specificHFabatementnotvalidatedbygenericroute. Stacklifetimesandmetalinputsunchanged.
PREVIOUS NOTES (retained as history; the correction above takes precedence):
APPROVED REINFORCED AEC DIAPHRAGM REFERENCE, issue96, 2026-10-18. Gerloff2021 DOI10.1016/j.est.2021.102759 Sec2.2.1 explicitly assumed40%PSU/60%ZrO2 fromAgfa;not a transcriptionerror. Rodriguez et al.2019 DOI10.3390/membranes9100129 reports85wt%ZrO2/15wt%PSU and500+/-50umthickness,1+/-0.2g/cm3weightdensity; microscopy showsmesh. Lee2020 DOI10.1016/j.memsci.2020.118541 uses purchasedPPSmesh; patent KR20190135273A describes200ummesh. Geometry below is engineering,not manufacturerclothspecification. Replace48.8kgPSU+73kgZrO2 with121.8kgfinisheddryZirfon-typeengineeringmembrane,notcertifiedAgfaUTP500recipe. Preserveoldtotaldrymass asreferenceassumption;actualoldwet/drybasisunknown. Selected500umfinishedthickness,0.5kg/m2dryarealmass implies243.6m2/MW at121.8kg. SupportwovenPPS100umfilaments/200umpitch/twodirections/1.05crimp,rho1350kg/m3 gives0.11133018966158831kgPPS/m2 and0.22266037932317662fractionofdrymembrane. Theseclothgeometryvaluesareexplicitassumptions,notmeasuredPVFmesh. Remainingcoating0.7773396206768234massfractionuses85/15ZrO2/PSU. Finishedfractions={'PPS': 0.22266037932317662, 'ZrO2': 0.6607386775752998, 'PSU': 0.1166009431015235};usingZrO2rho5680,PSU1240andPPS1350,computedporosity=0.6247061350887926consistentwith45-65%referenceinterval. Do notmistake85/15coatingforwholemembrane. Sensitivitysupport10-30wt%,coatingZr75-85wt%,arealmass0.4-0.6kg/m2,thickness450-550um;notallcombinationsarephysicallycompatible. Coating95%retention,mesh100%,1kWh/kgforming/dryingallowance;freshNMP0.2kg/kgretainedcoating assumes4kgcirculationand95%recovery,solventmakeupalltosolventwaste.10kgprocesswater/kgfinishedandgenericWWT;salinity,coagulationkinetics,soluteemissions,membranegasbarrieranddurabilityqualificationgaps remain. Sourcegross121.8kgisnotindependentlyverifiedfor2026plant. MatchedfinishedEOLroutesneworganicPPS/PSUfractiontogenericplasticincinerationandZrO2togenericinertdisposal;old193kgmixedplasticwasteincluded144.2gasket+48.8PSU,replaceonly48.8PSUshare,leavegasketuntilissue100. No phantommetalrecoverycredit;otherstackmetals,lifetime,energy unchanged.
PREVIOUS NOTES (retained as history; the correction above takes precedence):
1 MWe Alkaline electrolyzer based on Niklas Gerloff, Comparative Life-Cycle-Assessment analysis of three major water electrolysis technologies while applying various energy scenarios for a greener hydrogen production, Journal of Energy Storage, Volume 43, 2021, https://doi.org/10.1016/j.est.2021.102759. Single stack lifetime of 7-8 years @ 8000 hours/year, hence 3 replacements over 20 years. Produced amount of H2 over 20 years: 3085961.12 kg. The technology is available for large plant sizes and operates with a stack efficiency of up to 67 % (based on the lower heating value (LHV) of the generated H2). The operating temperature is in between 60–80 °C, and the current density is around 0.2–0.4 A/cm2. Moreover, the system energy –including the stack and periphery energy– is in the range of 4.4–6.6 kWh/m3H2, while the gas purity is higher than 99.5%, and the operating pressure is below 30 bar. While the LCI data of the BoP components either originate from Zhang et al., based on a 300-kW system and, therefore, scaled-up to 1 MW by a factor of 0.7, the LCI data of the other BoP components originate from manufacturer offers or have been estimated by own calculations using additional information by the producers.  Values have already been multiplied by 3 to reflect 2 stack replacements over 20 years of use.</t>
        </is>
      </c>
      <c r="K305" s="12"/>
      <c r="L305" s="12"/>
      <c r="M305" s="12"/>
      <c r="N305" s="12"/>
      <c r="O305" s="12"/>
      <c r="P305" s="12"/>
    </row>
    <row r="306" spans="1:20" s="11" customFormat="1" ht="16" x14ac:dyDescent="0.2">
      <c r="A306" s="13" t="s">
        <v>4</v>
      </c>
      <c r="B306" s="16" t="s">
        <v>123</v>
      </c>
      <c r="K306" s="12"/>
      <c r="L306" s="12"/>
      <c r="M306" s="12"/>
      <c r="N306" s="12"/>
      <c r="O306" s="12"/>
      <c r="P306" s="12"/>
    </row>
    <row r="307" spans="1:20" s="11" customFormat="1" ht="16" x14ac:dyDescent="0.2">
      <c r="A307" s="13" t="s">
        <v>2</v>
      </c>
      <c r="B307" s="14" t="s">
        <v>34</v>
      </c>
      <c r="K307" s="12"/>
      <c r="L307" s="12"/>
      <c r="M307" s="12"/>
      <c r="N307" s="12"/>
      <c r="O307" s="12"/>
      <c r="P307" s="12"/>
    </row>
    <row r="308" spans="1:20" s="11" customFormat="1" ht="16" x14ac:dyDescent="0.2">
      <c r="A308" s="13" t="s">
        <v>6</v>
      </c>
      <c r="B308" s="16" t="s">
        <v>6</v>
      </c>
      <c r="K308" s="12"/>
      <c r="L308" s="12"/>
      <c r="M308" s="12"/>
      <c r="N308" s="12"/>
      <c r="O308" s="12"/>
      <c r="P308" s="12"/>
    </row>
    <row r="309" spans="1:20" s="11" customFormat="1" ht="16" x14ac:dyDescent="0.2">
      <c r="A309" s="17" t="s">
        <v>7</v>
      </c>
      <c r="B309" s="9"/>
      <c r="C309" s="17"/>
      <c r="D309" s="17"/>
      <c r="E309" s="17"/>
      <c r="F309" s="17"/>
      <c r="G309" s="17"/>
      <c r="H309" s="17"/>
      <c r="I309" s="17"/>
      <c r="J309" s="17"/>
      <c r="K309" s="12"/>
      <c r="L309" s="12"/>
      <c r="M309" s="12"/>
      <c r="N309" s="12"/>
      <c r="O309" s="12"/>
      <c r="P309" s="12"/>
    </row>
    <row r="310" spans="1:20" s="11" customFormat="1" ht="16" x14ac:dyDescent="0.2">
      <c r="A310" s="17" t="s">
        <v>8</v>
      </c>
      <c r="B310" s="9" t="s">
        <v>9</v>
      </c>
      <c r="C310" s="17" t="s">
        <v>2</v>
      </c>
      <c r="D310" s="17" t="s">
        <v>6</v>
      </c>
      <c r="E310" s="23" t="s">
        <v>10</v>
      </c>
      <c r="F310" s="17" t="s">
        <v>5</v>
      </c>
      <c r="G310" s="17" t="s">
        <v>4</v>
      </c>
      <c r="H310" s="23" t="s">
        <v>11</v>
      </c>
      <c r="I310" s="17"/>
      <c r="J310" s="7"/>
      <c r="K310" s="18"/>
      <c r="L310" s="18"/>
      <c r="M310" s="18"/>
      <c r="N310" s="18"/>
      <c r="O310" s="18"/>
      <c r="P310" s="18"/>
      <c r="Q310" s="7"/>
      <c r="R310" s="7"/>
      <c r="S310" s="17"/>
      <c r="T310" s="7"/>
    </row>
    <row r="311" spans="1:20" s="11" customFormat="1" ht="16" x14ac:dyDescent="0.2">
      <c r="A311" s="16" t="str">
        <f>B303</f>
        <v>electrolyzer production, 1MWe, AEC, Stack</v>
      </c>
      <c r="B311" s="16">
        <v>1</v>
      </c>
      <c r="C311" s="11" t="s">
        <v>34</v>
      </c>
      <c r="D311" s="11" t="str">
        <f>B308</f>
        <v>unit</v>
      </c>
      <c r="F311" s="11" t="s">
        <v>16</v>
      </c>
      <c r="G311" s="11" t="str">
        <f>B306</f>
        <v>electrolyzer, 1MWe, AEC, Stack</v>
      </c>
      <c r="H311" t="inlineStr">
        <is>
          <t>APPROVED FINISHED AEC PTFE GASKETS, issue100, 2026-10-18. Gerloff2021 DOI10.1016/j.est.2021.102759 andPtM DOI10.1021/acssuschemeng.1c02002 SI pS12 identify144.2kgTFEinputasgasket. FinishedPTFEproperties/polymerization:Hintzer et al.2014 Ullmann Fluoropolymers DOI10.1002/14356007.a11_393.pub2;ecoinvent3.12hasPTFEemulsionpolymerizationbut3.8-3.11lackafinishedprovider. Engineeringallowancesbelowuse3.12polymerizationenergy7.5MJ+0.5kWh/kgplus3MJ+0.2kWhforming,notacopyofwholebackgroundinventory. Replace144.2kgvolatileTFEmonomerby144.2kgfinishedPTFEgasketreference,maintainingallversionbehaviorwithoneworkbookprovider. nC2F4-&gt;(C2F4)n;100%chemicalconversionthen95%finishedsolidretention(includingforming/machiningreject). Perkgfinished1/0.95=1.0526315789473684kgTFE,solidPTFEreject=0.05263157894736836kg. Thisyieldisassumed,90-100%sensitivity;notmeasuredindustrialpolymerizationyield. Aggregatemanufacture10.5MJheat+0.7kWh/kgfinishedincludespolymerizationandformingonce(5-20MJ,.35-1.4kWhsensitivity). ExistingTFEsupplyupstreamburdensretainedonce. Initiator,emulsionwater/surfactant,polymerdrying,highpressureequipment,purification,PFAS/TFEfugitiveemissionsandactualgasketshapesareunresolved;solid-rejectreferenceisnotclaimofzeroindustrialairloss. No nativePTFEpurchaseontopofmonomer,nomassivegasgasketinterpretation. FinishedAECgasketEOL144.2kgoldplasticroutepreserved;fluoropolymer-specificHFabatementnotvalidatedbygenericroute. Stacklifetimesandmetalinputsunchanged.</t>
        </is>
      </c>
      <c r="K311" s="12"/>
      <c r="L311" s="12"/>
      <c r="M311" s="12"/>
      <c r="N311" s="12"/>
      <c r="O311" s="12"/>
      <c r="P311" s="12"/>
    </row>
    <row r="312" spans="1:20" s="11" customFormat="1" ht="16" x14ac:dyDescent="0.2">
      <c r="A312" s="11" t="inlineStr">
        <is>
          <t xml:space="preserve">PTFE gasket production, polymerization and forming</t>
        </is>
      </c>
      <c r="B312" s="12">
        <v>144.19999999999999</v>
      </c>
      <c r="C312" s="11" t="inlineStr">
        <is>
          <t>GLO</t>
        </is>
      </c>
      <c r="D312" s="11" t="s">
        <v>13</v>
      </c>
      <c r="F312" s="11" t="s">
        <v>12</v>
      </c>
      <c r="G312" s="11" t="inlineStr">
        <is>
          <t xml:space="preserve">PTFE gasket, polymerization and forming</t>
        </is>
      </c>
      <c r="H312" s="11" t="inlineStr">
        <is>
          <t>APPROVED FINISHED AEC PTFE GASKETS, issue100, 2026-10-18. Gerloff2021 DOI10.1016/j.est.2021.102759 andPtM DOI10.1021/acssuschemeng.1c02002 SI pS12 identify144.2kgTFEinputasgasket. FinishedPTFEproperties/polymerization:Hintzer et al.2014 Ullmann Fluoropolymers DOI10.1002/14356007.a11_393.pub2;ecoinvent3.12hasPTFEemulsionpolymerizationbut3.8-3.11lackafinishedprovider. Engineeringallowancesbelowuse3.12polymerizationenergy7.5MJ+0.5kWh/kgplus3MJ+0.2kWhforming,notacopyofwholebackgroundinventory. Replace144.2kgvolatileTFEmonomerby144.2kgfinishedPTFEgasketreference,maintainingallversionbehaviorwithoneworkbookprovider. nC2F4-&gt;(C2F4)n;100%chemicalconversionthen95%finishedsolidretention(includingforming/machiningreject). Perkgfinished1/0.95=1.0526315789473684kgTFE,solidPTFEreject=0.05263157894736836kg. Thisyieldisassumed,90-100%sensitivity;notmeasuredindustrialpolymerizationyield. Aggregatemanufacture10.5MJheat+0.7kWh/kgfinishedincludespolymerizationandformingonce(5-20MJ,.35-1.4kWhsensitivity). ExistingTFEsupplyupstreamburdensretainedonce. Initiator,emulsionwater/surfactant,polymerdrying,highpressureequipment,purification,PFAS/TFEfugitiveemissionsandactualgasketshapesareunresolved;solid-rejectreferenceisnotclaimofzeroindustrialairloss. No nativePTFEpurchaseontopofmonomer,nomassivegasgasketinterpretation. FinishedAECgasketEOL144.2kgoldplasticroutepreserved;fluoropolymer-specificHFabatementnotvalidatedbygenericroute. Stacklifetimesandmetalinputsunchanged.</t>
        </is>
      </c>
      <c r="J312"/>
      <c r="K312" s="19"/>
      <c r="L312" s="19"/>
      <c r="M312" s="19"/>
      <c r="N312" s="19"/>
      <c r="O312" s="19"/>
      <c r="P312" s="19"/>
      <c r="Q312"/>
      <c r="R312"/>
    </row>
    <row r="313" spans="1:20" s="11" customFormat="1" ht="16" x14ac:dyDescent="0.2">
      <c r="A313" s="11" t="s">
        <v>73</v>
      </c>
      <c r="B313" s="12">
        <v>20194.400000000001</v>
      </c>
      <c r="C313" s="11" t="s">
        <v>17</v>
      </c>
      <c r="D313" s="11" t="s">
        <v>13</v>
      </c>
      <c r="F313" s="11" t="s">
        <v>12</v>
      </c>
      <c r="G313" s="11" t="s">
        <v>74</v>
      </c>
      <c r="H313" s="11" t="s">
        <v>130</v>
      </c>
      <c r="J313"/>
      <c r="K313" s="19"/>
      <c r="L313" s="19"/>
      <c r="M313" s="19"/>
      <c r="N313" s="19"/>
      <c r="O313" s="19"/>
      <c r="P313" s="19"/>
      <c r="Q313"/>
      <c r="R313"/>
    </row>
    <row r="314" spans="1:20" s="11" customFormat="1" ht="16" x14ac:dyDescent="0.2">
      <c r="A314" s="11" t="s">
        <v>20</v>
      </c>
      <c r="B314" s="12">
        <v>20194.400000000001</v>
      </c>
      <c r="C314" s="11" t="s">
        <v>17</v>
      </c>
      <c r="D314" s="11" t="s">
        <v>13</v>
      </c>
      <c r="F314" s="11" t="s">
        <v>12</v>
      </c>
      <c r="G314" s="11" t="s">
        <v>15</v>
      </c>
      <c r="H314" s="11" t="s">
        <v>130</v>
      </c>
      <c r="J314"/>
      <c r="K314" s="19"/>
      <c r="L314" s="19"/>
      <c r="M314" s="19"/>
      <c r="N314" s="19"/>
      <c r="O314" s="19"/>
      <c r="P314" s="19"/>
      <c r="Q314"/>
      <c r="R314"/>
    </row>
    <row r="315" spans="1:20" s="11" customFormat="1" ht="16" x14ac:dyDescent="0.2">
      <c r="A315" s="11" t="s">
        <v>131</v>
      </c>
      <c r="B315" s="12">
        <v>2884.9</v>
      </c>
      <c r="C315" s="11" t="s">
        <v>17</v>
      </c>
      <c r="D315" s="11" t="s">
        <v>13</v>
      </c>
      <c r="F315" s="11" t="s">
        <v>12</v>
      </c>
      <c r="G315" s="11" t="s">
        <v>132</v>
      </c>
      <c r="H315" s="11" t="s">
        <v>130</v>
      </c>
      <c r="J315"/>
      <c r="K315" s="19"/>
      <c r="L315" s="19"/>
      <c r="M315" s="19"/>
      <c r="N315" s="19"/>
      <c r="O315" s="19"/>
      <c r="P315" s="19"/>
      <c r="Q315"/>
      <c r="R315"/>
    </row>
    <row r="316" spans="1:20" s="11" customFormat="1" ht="16" x14ac:dyDescent="0.2">
      <c r="A316" s="11" t="inlineStr">
        <is>
          <t xml:space="preserve">diaphragm production, alkaline electrolysis, zirconia-polysulfone with PPS mesh</t>
        </is>
      </c>
      <c r="B316" s="12">
        <v>121.8</v>
      </c>
      <c r="C316" s="11" t="inlineStr">
        <is>
          <t>GLO</t>
        </is>
      </c>
      <c r="D316" s="11" t="s">
        <v>13</v>
      </c>
      <c r="E316" s="10"/>
      <c r="F316" s="11" t="s">
        <v>12</v>
      </c>
      <c r="G316" s="10" t="inlineStr">
        <is>
          <t xml:space="preserve">diaphragm, alkaline electrolysis, zirconia-polysulfone with PPS mesh</t>
        </is>
      </c>
      <c r="H316" s="11" t="inlineStr">
        <is>
          <t>APPROVED REINFORCED AEC DIAPHRAGM REFERENCE, issue96, 2026-10-18. Gerloff2021 DOI10.1016/j.est.2021.102759 Sec2.2.1 explicitly assumed40%PSU/60%ZrO2 fromAgfa;not a transcriptionerror. Rodriguez et al.2019 DOI10.3390/membranes9100129 reports85wt%ZrO2/15wt%PSU and500+/-50umthickness,1+/-0.2g/cm3weightdensity; microscopy showsmesh. Lee2020 DOI10.1016/j.memsci.2020.118541 uses purchasedPPSmesh; patent KR20190135273A describes200ummesh. Geometry below is engineering,not manufacturerclothspecification. Replace48.8kgPSU+73kgZrO2 with121.8kgfinisheddryZirfon-typeengineeringmembrane,notcertifiedAgfaUTP500recipe. Preserveoldtotaldrymass asreferenceassumption;actualoldwet/drybasisunknown. Selected500umfinishedthickness,0.5kg/m2dryarealmass implies243.6m2/MW at121.8kg. SupportwovenPPS100umfilaments/200umpitch/twodirections/1.05crimp,rho1350kg/m3 gives0.11133018966158831kgPPS/m2 and0.22266037932317662fractionofdrymembrane. Theseclothgeometryvaluesareexplicitassumptions,notmeasuredPVFmesh. Remainingcoating0.7773396206768234massfractionuses85/15ZrO2/PSU. Finishedfractions={'PPS': 0.22266037932317662, 'ZrO2': 0.6607386775752998, 'PSU': 0.1166009431015235};usingZrO2rho5680,PSU1240andPPS1350,computedporosity=0.6247061350887926consistentwith45-65%referenceinterval. Do notmistake85/15coatingforwholemembrane. Sensitivitysupport10-30wt%,coatingZr75-85wt%,arealmass0.4-0.6kg/m2,thickness450-550um;notallcombinationsarephysicallycompatible. Coating95%retention,mesh100%,1kWh/kgforming/dryingallowance;freshNMP0.2kg/kgretainedcoating assumes4kgcirculationand95%recovery,solventmakeupalltosolventwaste.10kgprocesswater/kgfinishedandgenericWWT;salinity,coagulationkinetics,soluteemissions,membranegasbarrieranddurabilityqualificationgaps remain. Sourcegross121.8kgisnotindependentlyverifiedfor2026plant. MatchedfinishedEOLroutesneworganicPPS/PSUfractiontogenericplasticincinerationandZrO2togenericinertdisposal;old193kgmixedplasticwasteincluded144.2gasket+48.8PSU,replaceonly48.8PSUshare,leavegasketuntilissue100. No phantommetalrecoverycredit;otherstackmetals,lifetime,energy unchanged.</t>
        </is>
      </c>
      <c r="J316"/>
      <c r="K316" s="19"/>
      <c r="L316" s="19"/>
      <c r="M316" s="19"/>
      <c r="N316" s="19"/>
      <c r="O316" s="19"/>
      <c r="P316" s="19"/>
      <c r="Q316"/>
      <c r="R316"/>
    </row>
    <row r="317" spans="1:20" s="11" customFormat="1" ht="16" x14ac:dyDescent="0.2">
      <c r="A317" s="11"/>
      <c r="B317" s="12"/>
      <c r="C317" s="11"/>
      <c r="D317" s="11"/>
      <c r="E317" s="10"/>
      <c r="F317" s="11"/>
      <c r="G317" s="10"/>
      <c r="H317" s="11"/>
      <c r="J317"/>
      <c r="K317" s="19"/>
      <c r="L317" s="19"/>
      <c r="M317" s="19"/>
      <c r="N317" s="19"/>
      <c r="O317" s="19"/>
      <c r="P317" s="19"/>
      <c r="Q317"/>
      <c r="R317"/>
    </row>
    <row r="318" spans="1:20" s="11" customFormat="1" ht="16" x14ac:dyDescent="0.2">
      <c r="A318" s="11" t="s">
        <v>33</v>
      </c>
      <c r="B318" s="12">
        <v>95553.31568</v>
      </c>
      <c r="C318" s="11" t="s">
        <v>17</v>
      </c>
      <c r="D318" s="11" t="s">
        <v>35</v>
      </c>
      <c r="E318" s="10"/>
      <c r="F318" s="11" t="s">
        <v>12</v>
      </c>
      <c r="G318" s="10" t="s">
        <v>36</v>
      </c>
      <c r="H318" s="11" t="s">
        <v>79</v>
      </c>
      <c r="J318"/>
      <c r="K318" s="19"/>
      <c r="L318" s="19"/>
      <c r="M318" s="19"/>
      <c r="N318" s="19"/>
      <c r="O318" s="19"/>
      <c r="P318" s="19"/>
      <c r="Q318"/>
      <c r="R318"/>
    </row>
    <row r="319" spans="1:20" s="11" customFormat="1" ht="16" x14ac:dyDescent="0.2">
      <c r="B319" s="16"/>
      <c r="F319" s="10"/>
      <c r="G319" s="10"/>
      <c r="K319" s="12"/>
      <c r="L319" s="12"/>
      <c r="M319" s="12"/>
      <c r="N319" s="12"/>
      <c r="O319" s="12"/>
      <c r="P319" s="12"/>
    </row>
    <row r="320" spans="1:20" s="11" customFormat="1" ht="16" x14ac:dyDescent="0.2">
      <c r="A320" s="8" t="s">
        <v>1</v>
      </c>
      <c r="B320" s="9" t="s">
        <v>508</v>
      </c>
      <c r="K320" s="12"/>
      <c r="L320" s="12"/>
      <c r="M320" s="12"/>
      <c r="N320" s="12"/>
      <c r="O320" s="12"/>
      <c r="P320" s="12"/>
    </row>
    <row r="321" spans="1:20" s="11" customFormat="1" ht="16" x14ac:dyDescent="0.2">
      <c r="A321" s="13" t="s">
        <v>3</v>
      </c>
      <c r="B321" s="14">
        <v>1</v>
      </c>
      <c r="K321" s="12"/>
      <c r="L321" s="12"/>
      <c r="M321" s="12"/>
      <c r="N321" s="12"/>
      <c r="O321" s="12"/>
      <c r="P321" s="12"/>
    </row>
    <row r="322" spans="1:20" s="11" customFormat="1" ht="16" x14ac:dyDescent="0.2">
      <c r="A322" s="13" t="s">
        <v>11</v>
      </c>
      <c r="B322" s="14" t="inlineStr">
        <is>
          <t>APPROVED REINFORCED AEC DIAPHRAGM REFERENCE, issue96, 2026-10-18. Gerloff2021 DOI10.1016/j.est.2021.102759 Sec2.2.1 explicitly assumed40%PSU/60%ZrO2 fromAgfa;not a transcriptionerror. Rodriguez et al.2019 DOI10.3390/membranes9100129 reports85wt%ZrO2/15wt%PSU and500+/-50umthickness,1+/-0.2g/cm3weightdensity; microscopy showsmesh. Lee2020 DOI10.1016/j.memsci.2020.118541 uses purchasedPPSmesh; patent KR20190135273A describes200ummesh. Geometry below is engineering,not manufacturerclothspecification. Replace48.8kgPSU+73kgZrO2 with121.8kgfinisheddryZirfon-typeengineeringmembrane,notcertifiedAgfaUTP500recipe. Preserveoldtotaldrymass asreferenceassumption;actualoldwet/drybasisunknown. Selected500umfinishedthickness,0.5kg/m2dryarealmass implies243.6m2/MW at121.8kg. SupportwovenPPS100umfilaments/200umpitch/twodirections/1.05crimp,rho1350kg/m3 gives0.11133018966158831kgPPS/m2 and0.22266037932317662fractionofdrymembrane. Theseclothgeometryvaluesareexplicitassumptions,notmeasuredPVFmesh. Remainingcoating0.7773396206768234massfractionuses85/15ZrO2/PSU. Finishedfractions={'PPS': 0.22266037932317662, 'ZrO2': 0.6607386775752998, 'PSU': 0.1166009431015235};usingZrO2rho5680,PSU1240andPPS1350,computedporosity=0.6247061350887926consistentwith45-65%referenceinterval. Do notmistake85/15coatingforwholemembrane. Sensitivitysupport10-30wt%,coatingZr75-85wt%,arealmass0.4-0.6kg/m2,thickness450-550um;notallcombinationsarephysicallycompatible. Coating95%retention,mesh100%,1kWh/kgforming/dryingallowance;freshNMP0.2kg/kgretainedcoating assumes4kgcirculationand95%recovery,solventmakeupalltosolventwaste.10kgprocesswater/kgfinishedandgenericWWT;salinity,coagulationkinetics,soluteemissions,membranegasbarrieranddurabilityqualificationgaps remain. Sourcegross121.8kgisnotindependentlyverifiedfor2026plant. MatchedfinishedEOLroutesneworganicPPS/PSUfractiontogenericplasticincinerationandZrO2togenericinertdisposal;old193kgmixedplasticwasteincluded144.2gasket+48.8PSU,replaceonly48.8PSUshare,leavegasketuntilissue100. No phantommetalrecoverycredit;otherstackmetals,lifetime,energy unchanged.
PREVIOUS NOTES (retained as history; the correction above takes precedence):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per single stack, @ 8000 hours/year. Iridium mining process is NOT from ecoinvent. Produced amount of H2 over 20 years: 2964315.35 kg. According to a study called IndWEDe, it is assumed that the stacks are replaced 3 times during the 20 years lifespan, based on the 2030’s scenario for 1 MW systems which predicts a lifetime of 50,000 h or more for the stacks of the different water electrolysis technologies. In comparison to AEC electrolyzers, PEMEC electrolyzers are less mature. Furthermore, the PEMEC technology is commercially available and operates with a similar system efficiency as the AEC technology. However, the current density and the gas purity are higher with values in between 0.6–2.0 A/cm2 and &gt; 99.99%, respectively. Besides this, the operating pressure (below 200 bar) is significantly higher in comparison to AEC systems, while the operating temperature (50 °C to 80 °C) and the system energy (4.2–6.6 kWh/m3H2) are similar to AEC systems. The PEMEC BoP and stack components data stem from Bareiß et al. and correspond to a 1 MW system. Moreover, some further BoP components like water purifier &amp; feed tank, buffer tank, and heat exchanger have been added, derived from a 300 kW AEC system, under the assumption that the components are also suitable for a PEMEC system. The values have been scaled up from 300 kW to 1 MW. Values have already been multiplied by 3 to reflect 2 stack replacements over 20 years of use.</t>
        </is>
      </c>
      <c r="K322" s="12"/>
      <c r="L322" s="12"/>
      <c r="M322" s="12"/>
      <c r="N322" s="12"/>
      <c r="O322" s="12"/>
      <c r="P322" s="12"/>
    </row>
    <row r="323" spans="1:20" s="11" customFormat="1" ht="16" x14ac:dyDescent="0.2">
      <c r="A323" s="13" t="s">
        <v>4</v>
      </c>
      <c r="B323" s="16" t="s">
        <v>509</v>
      </c>
      <c r="K323" s="12"/>
      <c r="L323" s="12"/>
      <c r="M323" s="12"/>
      <c r="N323" s="12"/>
      <c r="O323" s="12"/>
      <c r="P323" s="12"/>
    </row>
    <row r="324" spans="1:20" s="11" customFormat="1" ht="16" x14ac:dyDescent="0.2">
      <c r="A324" s="13" t="s">
        <v>2</v>
      </c>
      <c r="B324" s="14" t="s">
        <v>34</v>
      </c>
      <c r="K324" s="12"/>
      <c r="L324" s="12"/>
      <c r="M324" s="12"/>
      <c r="N324" s="12"/>
      <c r="O324" s="12"/>
      <c r="P324" s="12"/>
    </row>
    <row r="325" spans="1:20" s="11" customFormat="1" ht="16" x14ac:dyDescent="0.2">
      <c r="A325" s="13" t="s">
        <v>6</v>
      </c>
      <c r="B325" s="16" t="s">
        <v>6</v>
      </c>
      <c r="K325" s="12"/>
      <c r="L325" s="12"/>
      <c r="M325" s="12"/>
      <c r="N325" s="12"/>
      <c r="O325" s="12"/>
      <c r="P325" s="12"/>
    </row>
    <row r="326" spans="1:20" s="11" customFormat="1" ht="16" x14ac:dyDescent="0.2">
      <c r="A326" s="17" t="s">
        <v>7</v>
      </c>
      <c r="B326" s="9"/>
      <c r="C326" s="17"/>
      <c r="D326" s="17"/>
      <c r="E326" s="17"/>
      <c r="F326" s="17"/>
      <c r="G326" s="17"/>
      <c r="H326" s="17"/>
      <c r="I326" s="17"/>
      <c r="J326" s="17"/>
      <c r="K326" s="12"/>
      <c r="L326" s="12"/>
      <c r="M326" s="12"/>
      <c r="N326" s="12"/>
      <c r="O326" s="12"/>
      <c r="P326" s="12"/>
    </row>
    <row r="327" spans="1:20" s="11" customFormat="1" ht="16" x14ac:dyDescent="0.2">
      <c r="A327" s="17" t="s">
        <v>8</v>
      </c>
      <c r="B327" s="9" t="s">
        <v>9</v>
      </c>
      <c r="C327" s="17" t="s">
        <v>2</v>
      </c>
      <c r="D327" s="17" t="s">
        <v>6</v>
      </c>
      <c r="E327" s="23" t="s">
        <v>10</v>
      </c>
      <c r="F327" s="17" t="s">
        <v>5</v>
      </c>
      <c r="G327" s="17" t="s">
        <v>4</v>
      </c>
      <c r="H327" s="23" t="s">
        <v>11</v>
      </c>
      <c r="I327" s="17"/>
      <c r="J327" s="7"/>
      <c r="K327" s="18"/>
      <c r="L327" s="18"/>
      <c r="M327" s="18"/>
      <c r="N327" s="18"/>
      <c r="O327" s="18"/>
      <c r="P327" s="18"/>
      <c r="Q327" s="7"/>
      <c r="R327" s="7"/>
      <c r="S327" s="17"/>
      <c r="T327" s="7"/>
    </row>
    <row r="328" spans="1:20" s="11" customFormat="1" ht="16" x14ac:dyDescent="0.2">
      <c r="A328" s="16" t="str">
        <f>B320</f>
        <v>treatment of electrolyzer stack, 1MWe, AEC</v>
      </c>
      <c r="B328" s="12">
        <v>-1</v>
      </c>
      <c r="C328" s="11" t="s">
        <v>34</v>
      </c>
      <c r="D328" s="11" t="str">
        <f>B325</f>
        <v>unit</v>
      </c>
      <c r="F328" s="11" t="s">
        <v>16</v>
      </c>
      <c r="G328" s="11" t="str">
        <f>B323</f>
        <v>used electrolyzer stack, 1MWe, AEC</v>
      </c>
      <c r="H328" t="inlineStr">
        <is>
          <t>APPROVED REINFORCED AEC DIAPHRAGM REFERENCE, issue96, 2026-10-18. Gerloff2021 DOI10.1016/j.est.2021.102759 Sec2.2.1 explicitly assumed40%PSU/60%ZrO2 fromAgfa;not a transcriptionerror. Rodriguez et al.2019 DOI10.3390/membranes9100129 reports85wt%ZrO2/15wt%PSU and500+/-50umthickness,1+/-0.2g/cm3weightdensity; microscopy showsmesh. Lee2020 DOI10.1016/j.memsci.2020.118541 uses purchasedPPSmesh; patent KR20190135273A describes200ummesh. Geometry below is engineering,not manufacturerclothspecification. Replace48.8kgPSU+73kgZrO2 with121.8kgfinisheddryZirfon-typeengineeringmembrane,notcertifiedAgfaUTP500recipe. Preserveoldtotaldrymass asreferenceassumption;actualoldwet/drybasisunknown. Selected500umfinishedthickness,0.5kg/m2dryarealmass implies243.6m2/MW at121.8kg. SupportwovenPPS100umfilaments/200umpitch/twodirections/1.05crimp,rho1350kg/m3 gives0.11133018966158831kgPPS/m2 and0.22266037932317662fractionofdrymembrane. Theseclothgeometryvaluesareexplicitassumptions,notmeasuredPVFmesh. Remainingcoating0.7773396206768234massfractionuses85/15ZrO2/PSU. Finishedfractions={'PPS': 0.22266037932317662, 'ZrO2': 0.6607386775752998, 'PSU': 0.1166009431015235};usingZrO2rho5680,PSU1240andPPS1350,computedporosity=0.6247061350887926consistentwith45-65%referenceinterval. Do notmistake85/15coatingforwholemembrane. Sensitivitysupport10-30wt%,coatingZr75-85wt%,arealmass0.4-0.6kg/m2,thickness450-550um;notallcombinationsarephysicallycompatible. Coating95%retention,mesh100%,1kWh/kgforming/dryingallowance;freshNMP0.2kg/kgretainedcoating assumes4kgcirculationand95%recovery,solventmakeupalltosolventwaste.10kgprocesswater/kgfinishedandgenericWWT;salinity,coagulationkinetics,soluteemissions,membranegasbarrieranddurabilityqualificationgaps remain. Sourcegross121.8kgisnotindependentlyverifiedfor2026plant. MatchedfinishedEOLroutesneworganicPPS/PSUfractiontogenericplasticincinerationandZrO2togenericinertdisposal;old193kgmixedplasticwasteincluded144.2gasket+48.8PSU,replaceonly48.8PSUshare,leavegasketuntilissue100. No phantommetalrecoverycredit;otherstackmetals,lifetime,energy unchanged.</t>
        </is>
      </c>
      <c r="K328" s="12"/>
      <c r="L328" s="12"/>
      <c r="M328" s="12"/>
      <c r="N328" s="12"/>
      <c r="O328" s="12"/>
      <c r="P328" s="12"/>
    </row>
    <row r="329" spans="1:20" s="11" customFormat="1" ht="16" x14ac:dyDescent="0.2">
      <c r="A329" s="16" t="s">
        <v>204</v>
      </c>
      <c r="B329" s="11">
        <f>-1*B314</f>
        <v>-20194.400000000001</v>
      </c>
      <c r="C329" s="11" t="s">
        <v>37</v>
      </c>
      <c r="D329" s="11" t="s">
        <v>13</v>
      </c>
      <c r="F329" s="11" t="s">
        <v>12</v>
      </c>
      <c r="G329" s="11" t="s">
        <v>205</v>
      </c>
      <c r="J329"/>
      <c r="K329" s="19"/>
      <c r="L329" s="19"/>
      <c r="M329" s="19"/>
      <c r="N329" s="19"/>
      <c r="O329" s="19"/>
      <c r="P329" s="19"/>
      <c r="Q329"/>
      <c r="R329"/>
    </row>
    <row r="330" spans="1:20" s="11" customFormat="1" ht="16" x14ac:dyDescent="0.2">
      <c r="A330" s="11" t="s">
        <v>210</v>
      </c>
      <c r="B330" s="11">
        <f>-185.52202907132846</f>
        <v>-185.52202907132846</v>
      </c>
      <c r="C330" s="11" t="s">
        <v>212</v>
      </c>
      <c r="D330" s="11" t="s">
        <v>13</v>
      </c>
      <c r="F330" s="11" t="s">
        <v>12</v>
      </c>
      <c r="G330" s="11" t="s">
        <v>211</v>
      </c>
      <c r="H330" t="inlineStr">
        <is>
          <t>APPROVED REINFORCED AEC DIAPHRAGM REFERENCE, issue96, 2026-10-18. Gerloff2021 DOI10.1016/j.est.2021.102759 Sec2.2.1 explicitly assumed40%PSU/60%ZrO2 fromAgfa;not a transcriptionerror. Rodriguez et al.2019 DOI10.3390/membranes9100129 reports85wt%ZrO2/15wt%PSU and500+/-50umthickness,1+/-0.2g/cm3weightdensity; microscopy showsmesh. Lee2020 DOI10.1016/j.memsci.2020.118541 uses purchasedPPSmesh; patent KR20190135273A describes200ummesh. Geometry below is engineering,not manufacturerclothspecification. Replace48.8kgPSU+73kgZrO2 with121.8kgfinisheddryZirfon-typeengineeringmembrane,notcertifiedAgfaUTP500recipe. Preserveoldtotaldrymass asreferenceassumption;actualoldwet/drybasisunknown. Selected500umfinishedthickness,0.5kg/m2dryarealmass implies243.6m2/MW at121.8kg. SupportwovenPPS100umfilaments/200umpitch/twodirections/1.05crimp,rho1350kg/m3 gives0.11133018966158831kgPPS/m2 and0.22266037932317662fractionofdrymembrane. Theseclothgeometryvaluesareexplicitassumptions,notmeasuredPVFmesh. Remainingcoating0.7773396206768234massfractionuses85/15ZrO2/PSU. Finishedfractions={'PPS': 0.22266037932317662, 'ZrO2': 0.6607386775752998, 'PSU': 0.1166009431015235};usingZrO2rho5680,PSU1240andPPS1350,computedporosity=0.6247061350887926consistentwith45-65%referenceinterval. Do notmistake85/15coatingforwholemembrane. Sensitivitysupport10-30wt%,coatingZr75-85wt%,arealmass0.4-0.6kg/m2,thickness450-550um;notallcombinationsarephysicallycompatible. Coating95%retention,mesh100%,1kWh/kgforming/dryingallowance;freshNMP0.2kg/kgretainedcoating assumes4kgcirculationand95%recovery,solventmakeupalltosolventwaste.10kgprocesswater/kgfinishedandgenericWWT;salinity,coagulationkinetics,soluteemissions,membranegasbarrieranddurabilityqualificationgaps remain. Sourcegross121.8kgisnotindependentlyverifiedfor2026plant. MatchedfinishedEOLroutesneworganicPPS/PSUfractiontogenericplasticincinerationandZrO2togenericinertdisposal;old193kgmixedplasticwasteincluded144.2gasket+48.8PSU,replaceonly48.8PSUshare,leavegasketuntilissue100. No phantommetalrecoverycredit;otherstackmetals,lifetime,energy unchanged.</t>
        </is>
      </c>
      <c r="J330"/>
      <c r="K330" s="19"/>
      <c r="L330" s="19"/>
      <c r="M330" s="19"/>
      <c r="N330" s="19"/>
      <c r="O330" s="19"/>
      <c r="P330" s="19"/>
      <c r="Q330"/>
      <c r="R330"/>
    </row>
    <row r="331" spans="1:20" s="11" customFormat="1" ht="16" x14ac:dyDescent="0.2">
      <c r="A331" t="inlineStr">
        <is>
          <t>market for inert waste, for final disposal</t>
        </is>
      </c>
      <c r="B331" s="16">
        <v>-80.47797092867151</v>
      </c>
      <c r="C331" t="inlineStr">
        <is>
          <t>RoW</t>
        </is>
      </c>
      <c r="D331" t="inlineStr">
        <is>
          <t>kilogram</t>
        </is>
      </c>
      <c r="F331" t="inlineStr">
        <is>
          <t>technosphere</t>
        </is>
      </c>
      <c r="G331" t="inlineStr">
        <is>
          <t>inert waste, for final disposal</t>
        </is>
      </c>
      <c r="H331" t="inlineStr">
        <is>
          <t>APPROVED REINFORCED AEC DIAPHRAGM REFERENCE, issue96, 2026-10-18. Gerloff2021 DOI10.1016/j.est.2021.102759 Sec2.2.1 explicitly assumed40%PSU/60%ZrO2 fromAgfa;not a transcriptionerror. Rodriguez et al.2019 DOI10.3390/membranes9100129 reports85wt%ZrO2/15wt%PSU and500+/-50umthickness,1+/-0.2g/cm3weightdensity; microscopy showsmesh. Lee2020 DOI10.1016/j.memsci.2020.118541 uses purchasedPPSmesh; patent KR20190135273A describes200ummesh. Geometry below is engineering,not manufacturerclothspecification. Replace48.8kgPSU+73kgZrO2 with121.8kgfinisheddryZirfon-typeengineeringmembrane,notcertifiedAgfaUTP500recipe. Preserveoldtotaldrymass asreferenceassumption;actualoldwet/drybasisunknown. Selected500umfinishedthickness,0.5kg/m2dryarealmass implies243.6m2/MW at121.8kg. SupportwovenPPS100umfilaments/200umpitch/twodirections/1.05crimp,rho1350kg/m3 gives0.11133018966158831kgPPS/m2 and0.22266037932317662fractionofdrymembrane. Theseclothgeometryvaluesareexplicitassumptions,notmeasuredPVFmesh. Remainingcoating0.7773396206768234massfractionuses85/15ZrO2/PSU. Finishedfractions={'PPS': 0.22266037932317662, 'ZrO2': 0.6607386775752998, 'PSU': 0.1166009431015235};usingZrO2rho5680,PSU1240andPPS1350,computedporosity=0.6247061350887926consistentwith45-65%referenceinterval. Do notmistake85/15coatingforwholemembrane. Sensitivitysupport10-30wt%,coatingZr75-85wt%,arealmass0.4-0.6kg/m2,thickness450-550um;notallcombinationsarephysicallycompatible. Coating95%retention,mesh100%,1kWh/kgforming/dryingallowance;freshNMP0.2kg/kgretainedcoating assumes4kgcirculationand95%recovery,solventmakeupalltosolventwaste.10kgprocesswater/kgfinishedandgenericWWT;salinity,coagulationkinetics,soluteemissions,membranegasbarrieranddurabilityqualificationgaps remain. Sourcegross121.8kgisnotindependentlyverifiedfor2026plant. MatchedfinishedEOLroutesneworganicPPS/PSUfractiontogenericplasticincinerationandZrO2togenericinertdisposal;old193kgmixedplasticwasteincluded144.2gasket+48.8PSU,replaceonly48.8PSUshare,leavegasketuntilissue100. No phantommetalrecoverycredit;otherstackmetals,lifetime,energy unchanged.</t>
        </is>
      </c>
      <c r="K331" s="12"/>
      <c r="L331" s="12"/>
      <c r="M331" s="12"/>
      <c r="N331" s="12"/>
      <c r="O331" s="12"/>
      <c r="P331" s="12"/>
    </row>
    <row r="332" spans="1:20" s="11" customFormat="1" ht="16" x14ac:dyDescent="0.2">
      <c r="A332" s="8" t="s">
        <v>1</v>
      </c>
      <c r="B332" s="9" t="s">
        <v>138</v>
      </c>
      <c r="K332" s="24"/>
      <c r="L332" s="25"/>
      <c r="M332" s="12"/>
      <c r="N332" s="12"/>
      <c r="O332" s="12"/>
      <c r="P332" s="12"/>
    </row>
    <row r="333" spans="1:20" s="11" customFormat="1" ht="16" x14ac:dyDescent="0.2">
      <c r="A333" s="13" t="s">
        <v>3</v>
      </c>
      <c r="B333" s="14">
        <v>1</v>
      </c>
      <c r="K333" s="26"/>
      <c r="L333" s="25"/>
      <c r="M333" s="12"/>
      <c r="N333" s="12"/>
      <c r="O333" s="12"/>
      <c r="P333" s="12"/>
    </row>
    <row r="334" spans="1:20" s="11" customFormat="1" ht="16" x14ac:dyDescent="0.2">
      <c r="A334" s="13" t="s">
        <v>11</v>
      </c>
      <c r="B334" s="14"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
PREVIOUS NOTES (retained as history; the correction above takes precedence):
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
PREVIOUS NOTES (retained as history; the correction above takes precedence):
APPROVED ELECTROLYZER CONTROL-ASSEMBLY COVERAGE CLARIFICATION, issue92, 2026-10-18. Bareiss et al.2019 DOI10.1016/j.apenergy.2019.01.001 Sec3.2.2 states100kgGROSScontrolelectronicsper1MW;Gerloff2021componentmapping;ecoinventindustrial electronicsproductionforcontrolunits documents46%steelhousing32%plastics14%mountedboards8%cables. CriticalauditofactualsupplierconfirmsitALREADYincludessteelhousing,plastics,circuitboardsandcables.The100kginputisNOT100kgofbarecircuitboards,andthemasswasnotshownwrong. Retaintheexistingmarketforelectronicsforcontrolunitsat100kgineachPEM/AEC/SOECBoP;documentitsactualassemblyboundaryinsteadofinventingametalreductionoraddinganothercabinet. Ecoinvent3.9RER/RoWrecipesper100kgassemblyinclude46kgsteelfeed+rolling,32.193kgHDPEgrossfeed+32kginjectionmoulding,14kgmountedPCB(7kgPbcontainingand7kgPbfree,halfsurface/halfthroughhole),3.2kgribboncable+12.3mcomputerconnectorcable+111mnetworkcable,andoriginalboardfacility. Source8%nominalcablemassmustNOTbesummedwithmetresaskg;completecableproviderssupplyCu/plastics. NoadditionalPCB,connector,preciousmetalorsteelenclosureon topofcompleteexistingassembly. Thedescriptive32%plasticsisnominal;retainactual32.193kggrossfeed,notblanketnormalization. Retainnativecurrent-versionrecipesandmarkets,dynamicallyresolvedbypremise. Validationofalocal3.9recipecopyrevealed3.12GLO-HDPE migrationwouldalterregionalplasticsourcingrelative tocurrentnativecontrolunits;thatcopywasrejectedandNOnewlocalcontrolprovidersareintroduced. Thusalloriginalamounts,provideridentities,regionalshares,freight,facilityandutilitiesremainunchangedacrossversions,notjustthedeclaredtotalmass. ExistingBoPassemblyelectricityalreadycoversfinalassembly;doNOTaddanextraassembly-energyallowance. Genericindustrialcontrolarchitectureis a legacyestimatedassembly,notmanufacturercertifiedelectrolyzerpanel;actualI/Ocounts,HMI,safetyPLC,boardmetallizationandtraceAu/Pd/Ta remainreference-designgaps. Thisitemcorrectstheinterpretationanddocumentscoverage;itdoesNOTclaimanumericalmetalcorrectionorfullqualifiedcontrolsystemdesign. Item93scopesconverterinternalgate/controlboardsseparatelyfromthisplant-levelcabinet;existingcontrolsareincludedonce. ExistingmatchingEOL14kgboards/32kgindustrialplastic/8kgcablesretained;thisdoesnotvalidateotherBoPwastecoefficients. Lifetimesandserviceallocationunchanged. Onlyactivity/exchangecommentsmodified;no native/globalmarket,runtime,YAMLorprimary-secondarysharechanges.
PREVIOUS NOTES (retained as history; the correction above takes precedence):
1 MWe Alkaline electrolyzer based on Niklas Gerloff, Comparative Life-Cycle-Assessment analysis of three major water electrolysis technologies while applying various energy scenarios for a greener hydrogen production, Journal of Energy Storage, Volume 43, 2021, https://doi.org/10.1016/j.est.2021.102759. Single stack lifetime of 7-8 years @ 8000 hours/year, hence 3 replacements over 20 years. Produced amount of H2 over 20 years: 3085961.12 kg. The technology is available for large plant sizes and operates with a stack efficiency of up to 67 % (based on the lower heating value (LHV) of the generated H2). The operating temperature is in between 60–80 °C, and the current density is around 0.2–0.4 A/cm2. Moreover, the system energy –including the stack and periphery energy– is in the range of 4.4–6.6 kWh/m3H2, while the gas purity is higher than 99.5%, and the operating pressure is below 30 bar. While the LCI data of the BoP components either originate from Zhang et al., based on a 300-kW system and, therefore, scaled-up to 1 MW by a factor of 0.7, the LCI data of the other BoP components originate from manufacturer offers or have been estimated by own calculations using additional information by the producers.</t>
        </is>
      </c>
      <c r="K334" s="12"/>
      <c r="L334" s="25"/>
      <c r="M334" s="12"/>
      <c r="N334" s="12"/>
      <c r="O334" s="12"/>
      <c r="P334" s="12"/>
    </row>
    <row r="335" spans="1:20" s="11" customFormat="1" ht="16" x14ac:dyDescent="0.2">
      <c r="A335" s="13" t="s">
        <v>4</v>
      </c>
      <c r="B335" s="16" t="s">
        <v>124</v>
      </c>
      <c r="K335" s="12"/>
      <c r="L335" s="12"/>
      <c r="M335" s="12"/>
      <c r="N335" s="12"/>
      <c r="O335" s="12"/>
      <c r="P335" s="12"/>
    </row>
    <row r="336" spans="1:20" s="11" customFormat="1" ht="16.25" customHeight="1" x14ac:dyDescent="0.2">
      <c r="A336" s="13" t="s">
        <v>2</v>
      </c>
      <c r="B336" s="14" t="s">
        <v>34</v>
      </c>
      <c r="K336" s="12"/>
      <c r="L336" s="12"/>
      <c r="M336" s="12"/>
      <c r="N336" s="12"/>
      <c r="O336" s="12"/>
      <c r="P336" s="12"/>
    </row>
    <row r="337" spans="1:20" s="11" customFormat="1" ht="16" x14ac:dyDescent="0.2">
      <c r="A337" s="13" t="s">
        <v>6</v>
      </c>
      <c r="B337" s="16" t="s">
        <v>6</v>
      </c>
      <c r="H337" s="17"/>
      <c r="I337" s="17"/>
      <c r="K337" s="12"/>
      <c r="L337" s="12"/>
      <c r="M337" s="12"/>
      <c r="N337" s="12"/>
      <c r="O337" s="12"/>
      <c r="P337" s="12"/>
    </row>
    <row r="338" spans="1:20" s="11" customFormat="1" ht="16" x14ac:dyDescent="0.2">
      <c r="A338" s="17" t="s">
        <v>7</v>
      </c>
      <c r="B338" s="9"/>
      <c r="C338" s="17"/>
      <c r="D338" s="17"/>
      <c r="E338" s="17"/>
      <c r="F338" s="17"/>
      <c r="G338" s="17"/>
      <c r="H338" s="10"/>
      <c r="I338" s="10"/>
      <c r="K338" s="12"/>
      <c r="L338" s="12"/>
      <c r="M338" s="12"/>
      <c r="N338" s="12"/>
      <c r="O338" s="12"/>
      <c r="P338" s="12"/>
    </row>
    <row r="339" spans="1:20" s="11" customFormat="1" ht="16" x14ac:dyDescent="0.2">
      <c r="A339" s="17" t="s">
        <v>8</v>
      </c>
      <c r="B339" s="9" t="s">
        <v>9</v>
      </c>
      <c r="C339" s="17" t="s">
        <v>2</v>
      </c>
      <c r="D339" s="17" t="s">
        <v>6</v>
      </c>
      <c r="E339" s="23" t="s">
        <v>10</v>
      </c>
      <c r="F339" s="17" t="s">
        <v>5</v>
      </c>
      <c r="G339" s="17" t="s">
        <v>4</v>
      </c>
      <c r="H339" s="23" t="s">
        <v>11</v>
      </c>
      <c r="I339" s="17"/>
      <c r="J339" s="7"/>
      <c r="K339" s="18"/>
      <c r="L339" s="18"/>
      <c r="M339" s="18"/>
      <c r="N339" s="18"/>
      <c r="O339" s="18"/>
      <c r="P339" s="18"/>
      <c r="Q339" s="7"/>
      <c r="R339" s="7"/>
      <c r="S339" s="17"/>
      <c r="T339" s="7"/>
    </row>
    <row r="340" spans="1:20" s="11" customFormat="1" ht="16" x14ac:dyDescent="0.2">
      <c r="A340" s="16" t="str">
        <f>B332</f>
        <v>electrolyzer production, 1MWe, AEC, Balance of Plant</v>
      </c>
      <c r="B340" s="16">
        <v>1</v>
      </c>
      <c r="C340" s="11" t="s">
        <v>34</v>
      </c>
      <c r="D340" s="11" t="s">
        <v>6</v>
      </c>
      <c r="F340" s="11" t="s">
        <v>16</v>
      </c>
      <c r="G340" s="16" t="str">
        <f>B335</f>
        <v>electrolyzer, 1MWe, AEC, Balance of Plant</v>
      </c>
      <c r="H340" s="10"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I340" s="10"/>
      <c r="J340" s="10"/>
      <c r="K340" s="12"/>
      <c r="L340" s="12"/>
      <c r="M340" s="12"/>
      <c r="N340" s="12"/>
      <c r="O340" s="12"/>
      <c r="P340" s="12"/>
    </row>
    <row r="341" spans="1:20" s="11" customFormat="1" ht="16" x14ac:dyDescent="0.2">
      <c r="A341" s="11" t="inlineStr">
        <is>
          <t xml:space="preserve">power conversion system production, electrolysis, transformer and rectifier, 1 MW</t>
        </is>
      </c>
      <c r="B341" s="16">
        <v>1</v>
      </c>
      <c r="C341" s="11" t="inlineStr">
        <is>
          <t>GLO</t>
        </is>
      </c>
      <c r="D341" s="11" t="inlineStr">
        <is>
          <t>unit</t>
        </is>
      </c>
      <c r="F341" s="11" t="s">
        <v>12</v>
      </c>
      <c r="G341" s="11" t="inlineStr">
        <is>
          <t xml:space="preserve">power conversion system, electrolysis, transformer and rectifier, 1 MW</t>
        </is>
      </c>
      <c r="H341" s="27" t="inlineStr">
        <is>
          <t>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t>
        </is>
      </c>
      <c r="J341"/>
      <c r="K341" s="19"/>
      <c r="L341" s="19"/>
      <c r="M341" s="19"/>
      <c r="N341" s="19"/>
      <c r="O341" s="19"/>
      <c r="P341" s="19"/>
      <c r="Q341"/>
      <c r="R341"/>
    </row>
    <row r="342" spans="1:20" s="11" customFormat="1" ht="16" x14ac:dyDescent="0.2">
      <c r="A342" s="11"/>
      <c r="B342" s="16"/>
      <c r="C342" s="11"/>
      <c r="D342" s="11"/>
      <c r="F342" s="11"/>
      <c r="G342" s="11"/>
      <c r="H342" s="27"/>
      <c r="J342"/>
      <c r="K342" s="19"/>
      <c r="L342" s="19"/>
      <c r="M342" s="19"/>
      <c r="N342" s="19"/>
      <c r="O342" s="19"/>
      <c r="P342" s="19"/>
      <c r="Q342"/>
      <c r="R342"/>
    </row>
    <row r="343" spans="1:20" s="11" customFormat="1" ht="16" x14ac:dyDescent="0.2">
      <c r="A343" s="11"/>
      <c r="B343" s="16"/>
      <c r="C343" s="11"/>
      <c r="D343" s="11"/>
      <c r="F343" s="11"/>
      <c r="G343" s="11"/>
      <c r="H343" s="27"/>
      <c r="J343"/>
      <c r="K343" s="19"/>
      <c r="L343" s="19"/>
      <c r="M343" s="19"/>
      <c r="N343" s="19"/>
      <c r="O343" s="19"/>
      <c r="P343" s="19"/>
      <c r="Q343"/>
      <c r="R343"/>
    </row>
    <row r="344" spans="1:20" s="11" customFormat="1" ht="16" x14ac:dyDescent="0.2">
      <c r="A344" s="11"/>
      <c r="B344" s="16"/>
      <c r="C344" s="11"/>
      <c r="D344" s="11"/>
      <c r="F344" s="11"/>
      <c r="G344" s="11"/>
      <c r="H344" s="27"/>
      <c r="J344"/>
      <c r="K344" s="19"/>
      <c r="L344" s="19"/>
      <c r="M344" s="19"/>
      <c r="N344" s="19"/>
      <c r="O344" s="19"/>
      <c r="P344" s="19"/>
      <c r="Q344"/>
      <c r="R344"/>
    </row>
    <row r="345" spans="1:20" s="11" customFormat="1" ht="16" x14ac:dyDescent="0.2">
      <c r="A345" s="11"/>
      <c r="B345" s="16"/>
      <c r="C345" s="11"/>
      <c r="D345" s="11"/>
      <c r="F345" s="11"/>
      <c r="G345" s="11"/>
      <c r="H345" s="27"/>
      <c r="J345"/>
      <c r="K345" s="19"/>
      <c r="L345" s="19"/>
      <c r="M345" s="19"/>
      <c r="N345" s="19"/>
      <c r="O345" s="19"/>
      <c r="P345" s="19"/>
      <c r="Q345"/>
      <c r="R345"/>
    </row>
    <row r="346" spans="1:20" s="11" customFormat="1" ht="16" x14ac:dyDescent="0.2">
      <c r="A346" s="11"/>
      <c r="B346" s="16"/>
      <c r="C346" s="11"/>
      <c r="D346" s="11"/>
      <c r="F346" s="11"/>
      <c r="G346" s="11"/>
      <c r="H346" s="27"/>
      <c r="J346"/>
      <c r="K346" s="19"/>
      <c r="L346" s="19"/>
      <c r="M346" s="19"/>
      <c r="N346" s="19"/>
      <c r="O346" s="19"/>
      <c r="P346" s="19"/>
      <c r="Q346"/>
      <c r="R346"/>
    </row>
    <row r="347" spans="1:20" s="11" customFormat="1" ht="16" x14ac:dyDescent="0.2">
      <c r="A347" s="11"/>
      <c r="B347" s="16"/>
      <c r="C347" s="11"/>
      <c r="D347" s="11"/>
      <c r="F347" s="11"/>
      <c r="G347" s="11"/>
      <c r="H347" s="27"/>
      <c r="J347"/>
      <c r="K347" s="19"/>
      <c r="L347" s="19"/>
      <c r="M347" s="19"/>
      <c r="N347" s="19"/>
      <c r="O347" s="19"/>
      <c r="P347" s="19"/>
      <c r="Q347"/>
      <c r="R347"/>
    </row>
    <row r="348" spans="1:20" s="11" customFormat="1" ht="16" x14ac:dyDescent="0.2">
      <c r="A348" s="11" t="s">
        <v>30</v>
      </c>
      <c r="B348" s="16">
        <v>100</v>
      </c>
      <c r="C348" s="11" t="s">
        <v>17</v>
      </c>
      <c r="D348" s="11" t="s">
        <v>13</v>
      </c>
      <c r="F348" s="11" t="s">
        <v>12</v>
      </c>
      <c r="G348" s="11" t="s">
        <v>29</v>
      </c>
      <c r="H348" s="10" t="inlineStr">
        <is>
          <t>APPROVED ELECTROLYZER CONTROL-ASSEMBLY COVERAGE CLARIFICATION, issue92, 2026-10-18. Bareiss et al.2019 DOI10.1016/j.apenergy.2019.01.001 Sec3.2.2 states100kgGROSScontrolelectronicsper1MW;Gerloff2021componentmapping;ecoinventindustrial electronicsproductionforcontrolunits documents46%steelhousing32%plastics14%mountedboards8%cables. CriticalauditofactualsupplierconfirmsitALREADYincludessteelhousing,plastics,circuitboardsandcables.The100kginputisNOT100kgofbarecircuitboards,andthemasswasnotshownwrong. Retaintheexistingmarketforelectronicsforcontrolunitsat100kgineachPEM/AEC/SOECBoP;documentitsactualassemblyboundaryinsteadofinventingametalreductionoraddinganothercabinet. Ecoinvent3.9RER/RoWrecipesper100kgassemblyinclude46kgsteelfeed+rolling,32.193kgHDPEgrossfeed+32kginjectionmoulding,14kgmountedPCB(7kgPbcontainingand7kgPbfree,halfsurface/halfthroughhole),3.2kgribboncable+12.3mcomputerconnectorcable+111mnetworkcable,andoriginalboardfacility. Source8%nominalcablemassmustNOTbesummedwithmetresaskg;completecableproviderssupplyCu/plastics. NoadditionalPCB,connector,preciousmetalorsteelenclosureon topofcompleteexistingassembly. Thedescriptive32%plasticsisnominal;retainactual32.193kggrossfeed,notblanketnormalization. Retainnativecurrent-versionrecipesandmarkets,dynamicallyresolvedbypremise. Validationofalocal3.9recipecopyrevealed3.12GLO-HDPE migrationwouldalterregionalplasticsourcingrelative tocurrentnativecontrolunits;thatcopywasrejectedandNOnewlocalcontrolprovidersareintroduced. Thusalloriginalamounts,provideridentities,regionalshares,freight,facilityandutilitiesremainunchangedacrossversions,notjustthedeclaredtotalmass. ExistingBoPassemblyelectricityalreadycoversfinalassembly;doNOTaddanextraassembly-energyallowance. Genericindustrialcontrolarchitectureis a legacyestimatedassembly,notmanufacturercertifiedelectrolyzerpanel;actualI/Ocounts,HMI,safetyPLC,boardmetallizationandtraceAu/Pd/Ta remainreference-designgaps. Thisitemcorrectstheinterpretationanddocumentscoverage;itdoesNOTclaimanumericalmetalcorrectionorfullqualifiedcontrolsystemdesign. Item93scopesconverterinternalgate/controlboardsseparatelyfromthisplant-levelcabinet;existingcontrolsareincludedonce. ExistingmatchingEOL14kgboards/32kgindustrialplastic/8kgcablesretained;thisdoesnotvalidateotherBoPwastecoefficients. Lifetimesandserviceallocationunchanged. Onlyactivity/exchangecommentsmodified;no native/globalmarket,runtime,YAMLorprimary-secondarysharechanges.</t>
        </is>
      </c>
      <c r="J348"/>
      <c r="K348" s="19"/>
      <c r="L348" s="19"/>
      <c r="M348" s="19"/>
      <c r="N348" s="19"/>
      <c r="O348" s="19"/>
      <c r="P348" s="19"/>
      <c r="Q348"/>
      <c r="R348"/>
    </row>
    <row r="349" spans="1:20" s="11" customFormat="1" ht="16" x14ac:dyDescent="0.2">
      <c r="A349" s="11" t="s">
        <v>140</v>
      </c>
      <c r="B349" s="16">
        <v>464.6</v>
      </c>
      <c r="C349" s="11" t="s">
        <v>17</v>
      </c>
      <c r="D349" s="11" t="s">
        <v>13</v>
      </c>
      <c r="F349" s="11" t="s">
        <v>12</v>
      </c>
      <c r="G349" s="11" t="s">
        <v>141</v>
      </c>
      <c r="H349" s="10" t="s">
        <v>142</v>
      </c>
      <c r="J349"/>
      <c r="K349" s="19"/>
      <c r="L349" s="19"/>
      <c r="M349" s="19"/>
      <c r="N349" s="19"/>
      <c r="O349" s="19"/>
      <c r="P349" s="19"/>
      <c r="Q349"/>
      <c r="R349"/>
    </row>
    <row r="350" spans="1:20" s="11" customFormat="1" ht="16" x14ac:dyDescent="0.2">
      <c r="A350" s="11" t="s">
        <v>83</v>
      </c>
      <c r="B350" s="16">
        <v>696.8</v>
      </c>
      <c r="C350" s="11" t="s">
        <v>17</v>
      </c>
      <c r="D350" s="11" t="s">
        <v>13</v>
      </c>
      <c r="F350" s="11" t="s">
        <v>12</v>
      </c>
      <c r="G350" s="11" t="s">
        <v>40</v>
      </c>
      <c r="H350" s="10" t="s">
        <v>142</v>
      </c>
      <c r="J350"/>
      <c r="K350" s="19"/>
      <c r="L350" s="19"/>
      <c r="M350" s="19"/>
      <c r="N350" s="19"/>
      <c r="O350" s="19"/>
      <c r="P350" s="19"/>
      <c r="Q350"/>
      <c r="R350"/>
    </row>
    <row r="351" spans="1:20" s="11" customFormat="1" ht="16" x14ac:dyDescent="0.2">
      <c r="A351" s="11" t="s">
        <v>84</v>
      </c>
      <c r="B351" s="16">
        <v>696.8</v>
      </c>
      <c r="C351" s="11" t="s">
        <v>17</v>
      </c>
      <c r="D351" s="11" t="s">
        <v>13</v>
      </c>
      <c r="F351" s="11" t="s">
        <v>12</v>
      </c>
      <c r="G351" s="11" t="s">
        <v>42</v>
      </c>
      <c r="H351" s="10" t="s">
        <v>142</v>
      </c>
      <c r="J351"/>
      <c r="K351" s="19"/>
      <c r="L351" s="19"/>
      <c r="M351" s="19"/>
      <c r="N351" s="19"/>
      <c r="O351" s="19"/>
      <c r="P351" s="19"/>
      <c r="Q351"/>
      <c r="R351"/>
    </row>
    <row r="352" spans="1:20" s="11" customFormat="1" ht="16" x14ac:dyDescent="0.2">
      <c r="A352" s="11" t="s">
        <v>73</v>
      </c>
      <c r="B352" s="16">
        <v>232.3</v>
      </c>
      <c r="C352" s="11" t="s">
        <v>17</v>
      </c>
      <c r="D352" s="11" t="s">
        <v>13</v>
      </c>
      <c r="F352" s="11" t="s">
        <v>12</v>
      </c>
      <c r="G352" s="11" t="s">
        <v>74</v>
      </c>
      <c r="H352" s="10" t="s">
        <v>142</v>
      </c>
      <c r="J352"/>
      <c r="K352" s="19"/>
      <c r="L352" s="19"/>
      <c r="M352" s="19"/>
      <c r="N352" s="19"/>
      <c r="O352" s="19"/>
      <c r="P352" s="19"/>
      <c r="Q352"/>
      <c r="R352"/>
    </row>
    <row r="353" spans="1:18" s="11" customFormat="1" ht="16" x14ac:dyDescent="0.2">
      <c r="A353" s="11" t="s">
        <v>20</v>
      </c>
      <c r="B353" s="16">
        <v>232.3</v>
      </c>
      <c r="C353" s="11" t="s">
        <v>17</v>
      </c>
      <c r="D353" s="11" t="s">
        <v>13</v>
      </c>
      <c r="F353" s="11" t="s">
        <v>12</v>
      </c>
      <c r="G353" s="11" t="s">
        <v>15</v>
      </c>
      <c r="H353" s="10" t="s">
        <v>142</v>
      </c>
      <c r="J353"/>
      <c r="K353" s="19"/>
      <c r="L353" s="19"/>
      <c r="M353" s="19"/>
      <c r="N353" s="19"/>
      <c r="O353" s="19"/>
      <c r="P353" s="19"/>
      <c r="Q353"/>
      <c r="R353"/>
    </row>
    <row r="354" spans="1:18" s="11" customFormat="1" ht="16" x14ac:dyDescent="0.2">
      <c r="A354" s="11" t="s">
        <v>103</v>
      </c>
      <c r="B354" s="16">
        <v>464.6</v>
      </c>
      <c r="C354" s="11" t="s">
        <v>34</v>
      </c>
      <c r="D354" s="11" t="s">
        <v>13</v>
      </c>
      <c r="F354" s="11" t="s">
        <v>12</v>
      </c>
      <c r="G354" s="11" t="s">
        <v>103</v>
      </c>
      <c r="H354" s="10" t="s">
        <v>104</v>
      </c>
      <c r="J354"/>
      <c r="K354" s="19"/>
      <c r="L354" s="19"/>
      <c r="M354" s="19"/>
      <c r="N354" s="19"/>
      <c r="O354" s="19"/>
      <c r="P354" s="19"/>
      <c r="Q354"/>
      <c r="R354"/>
    </row>
    <row r="355" spans="1:18" s="11" customFormat="1" ht="16" x14ac:dyDescent="0.2">
      <c r="A355" s="11" t="s">
        <v>105</v>
      </c>
      <c r="B355" s="16">
        <v>464.6</v>
      </c>
      <c r="C355" s="11" t="s">
        <v>17</v>
      </c>
      <c r="D355" s="11" t="s">
        <v>13</v>
      </c>
      <c r="F355" s="11" t="s">
        <v>12</v>
      </c>
      <c r="G355" s="11" t="s">
        <v>106</v>
      </c>
      <c r="H355" s="10" t="s">
        <v>104</v>
      </c>
      <c r="J355"/>
      <c r="K355" s="19"/>
      <c r="L355" s="19"/>
      <c r="M355" s="19"/>
      <c r="N355" s="19"/>
      <c r="O355" s="19"/>
      <c r="P355" s="19"/>
      <c r="Q355"/>
      <c r="R355"/>
    </row>
    <row r="356" spans="1:18" s="11" customFormat="1" ht="16" x14ac:dyDescent="0.2">
      <c r="A356" s="11" t="s">
        <v>83</v>
      </c>
      <c r="B356" s="16">
        <v>232.3</v>
      </c>
      <c r="C356" s="11" t="s">
        <v>17</v>
      </c>
      <c r="D356" s="11" t="s">
        <v>13</v>
      </c>
      <c r="F356" s="11" t="s">
        <v>12</v>
      </c>
      <c r="G356" s="11" t="s">
        <v>40</v>
      </c>
      <c r="H356" s="10" t="s">
        <v>104</v>
      </c>
      <c r="J356"/>
      <c r="K356" s="19"/>
      <c r="L356" s="19"/>
      <c r="M356" s="19"/>
      <c r="N356" s="19"/>
      <c r="O356" s="19"/>
      <c r="P356" s="19"/>
      <c r="Q356"/>
      <c r="R356"/>
    </row>
    <row r="357" spans="1:18" s="11" customFormat="1" ht="16" x14ac:dyDescent="0.2">
      <c r="A357" s="11" t="s">
        <v>84</v>
      </c>
      <c r="B357" s="16">
        <v>232.3</v>
      </c>
      <c r="C357" s="11" t="s">
        <v>17</v>
      </c>
      <c r="D357" s="11" t="s">
        <v>13</v>
      </c>
      <c r="F357" s="11" t="s">
        <v>12</v>
      </c>
      <c r="G357" s="11" t="s">
        <v>42</v>
      </c>
      <c r="H357" s="10" t="s">
        <v>104</v>
      </c>
      <c r="J357"/>
      <c r="K357" s="19"/>
      <c r="L357" s="19"/>
      <c r="M357" s="19"/>
      <c r="N357" s="19"/>
      <c r="O357" s="19"/>
      <c r="P357" s="19"/>
      <c r="Q357"/>
      <c r="R357"/>
    </row>
    <row r="358" spans="1:18" s="11" customFormat="1" ht="16" x14ac:dyDescent="0.2">
      <c r="A358" s="11" t="inlineStr">
        <is>
          <t xml:space="preserve">motor drive assembly production, electrolysis, AEC</t>
        </is>
      </c>
      <c r="B358" s="16">
        <v>1</v>
      </c>
      <c r="C358" s="11" t="inlineStr">
        <is>
          <t>GLO</t>
        </is>
      </c>
      <c r="D358" s="11" t="inlineStr">
        <is>
          <t>unit</t>
        </is>
      </c>
      <c r="F358" s="11" t="inlineStr">
        <is>
          <t>technosphere</t>
        </is>
      </c>
      <c r="G358" s="11" t="inlineStr">
        <is>
          <t xml:space="preserve">motor drive assembly, electrolysis, AEC</t>
        </is>
      </c>
      <c r="H358" s="10"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J358"/>
      <c r="K358" s="19"/>
      <c r="L358" s="19"/>
      <c r="M358" s="19"/>
      <c r="N358" s="19"/>
      <c r="O358" s="19"/>
      <c r="P358" s="19"/>
      <c r="Q358"/>
      <c r="R358"/>
    </row>
    <row r="359" spans="1:18" s="11" customFormat="1" ht="16" x14ac:dyDescent="0.2">
      <c r="A359" s="11"/>
      <c r="B359" s="16"/>
      <c r="C359" s="11"/>
      <c r="D359" s="11"/>
      <c r="F359" s="11"/>
      <c r="G359" s="11"/>
      <c r="H359" s="10"/>
      <c r="J359"/>
      <c r="K359" s="19"/>
      <c r="L359" s="19"/>
      <c r="M359" s="19"/>
      <c r="N359" s="19"/>
      <c r="O359" s="19"/>
      <c r="P359" s="19"/>
      <c r="Q359"/>
      <c r="R359"/>
    </row>
    <row r="360" spans="1:18" s="11" customFormat="1" ht="16" x14ac:dyDescent="0.2">
      <c r="A360" s="11"/>
      <c r="B360" s="16"/>
      <c r="C360" s="11"/>
      <c r="D360" s="11"/>
      <c r="F360" s="11"/>
      <c r="G360" s="11"/>
      <c r="H360" s="10"/>
      <c r="J360"/>
      <c r="K360" s="19"/>
      <c r="L360" s="19"/>
      <c r="M360" s="19"/>
      <c r="N360" s="19"/>
      <c r="O360" s="19"/>
      <c r="P360" s="19"/>
      <c r="Q360"/>
      <c r="R360"/>
    </row>
    <row r="361" spans="1:18" s="11" customFormat="1" ht="16" x14ac:dyDescent="0.2">
      <c r="A361" s="11"/>
      <c r="B361" s="16"/>
      <c r="C361" s="11"/>
      <c r="D361" s="11"/>
      <c r="F361" s="11"/>
      <c r="G361" s="11"/>
      <c r="H361" s="10"/>
      <c r="J361"/>
      <c r="K361" s="19"/>
      <c r="L361" s="19"/>
      <c r="M361" s="19"/>
      <c r="N361" s="19"/>
      <c r="O361" s="19"/>
      <c r="P361" s="19"/>
      <c r="Q361"/>
      <c r="R361"/>
    </row>
    <row r="362" spans="1:18" s="11" customFormat="1" ht="16" x14ac:dyDescent="0.2">
      <c r="A362" s="11"/>
      <c r="B362" s="16"/>
      <c r="C362" s="11"/>
      <c r="D362" s="11"/>
      <c r="F362" s="11"/>
      <c r="G362" s="11"/>
      <c r="H362" s="10"/>
      <c r="J362"/>
      <c r="K362" s="19"/>
      <c r="L362" s="19"/>
      <c r="M362" s="19"/>
      <c r="N362" s="19"/>
      <c r="O362" s="19"/>
      <c r="P362" s="19"/>
      <c r="Q362"/>
      <c r="R362"/>
    </row>
    <row r="363" spans="1:18" s="11" customFormat="1" ht="16" x14ac:dyDescent="0.2">
      <c r="A363" s="11" t="s">
        <v>108</v>
      </c>
      <c r="B363" s="16">
        <v>600</v>
      </c>
      <c r="C363" s="11" t="s">
        <v>17</v>
      </c>
      <c r="D363" s="11" t="s">
        <v>13</v>
      </c>
      <c r="F363" s="11" t="s">
        <v>12</v>
      </c>
      <c r="G363" s="11" t="s">
        <v>109</v>
      </c>
      <c r="H363" s="10" t="s">
        <v>110</v>
      </c>
      <c r="J363"/>
      <c r="K363" s="19"/>
      <c r="L363" s="19"/>
      <c r="M363" s="19"/>
      <c r="N363" s="19"/>
      <c r="O363" s="19"/>
      <c r="P363" s="19"/>
      <c r="Q363"/>
      <c r="R363"/>
    </row>
    <row r="364" spans="1:18" s="11" customFormat="1" ht="16" x14ac:dyDescent="0.2">
      <c r="A364" s="11" t="s">
        <v>111</v>
      </c>
      <c r="B364" s="16">
        <v>7</v>
      </c>
      <c r="C364" s="11" t="s">
        <v>17</v>
      </c>
      <c r="D364" s="11" t="s">
        <v>13</v>
      </c>
      <c r="F364" s="11" t="s">
        <v>12</v>
      </c>
      <c r="G364" s="11" t="s">
        <v>112</v>
      </c>
      <c r="H364" s="10" t="s">
        <v>110</v>
      </c>
      <c r="J364"/>
      <c r="K364" s="19"/>
      <c r="L364" s="19"/>
      <c r="M364" s="19"/>
      <c r="N364" s="19"/>
      <c r="O364" s="19"/>
      <c r="P364" s="19"/>
      <c r="Q364"/>
      <c r="R364"/>
    </row>
    <row r="365" spans="1:18" s="11" customFormat="1" ht="16" x14ac:dyDescent="0.2">
      <c r="A365" s="11" t="s">
        <v>83</v>
      </c>
      <c r="B365" s="16">
        <v>1300</v>
      </c>
      <c r="C365" s="11" t="s">
        <v>17</v>
      </c>
      <c r="D365" s="11" t="s">
        <v>13</v>
      </c>
      <c r="F365" s="11" t="s">
        <v>12</v>
      </c>
      <c r="G365" s="11" t="s">
        <v>40</v>
      </c>
      <c r="H365" s="10" t="s">
        <v>110</v>
      </c>
      <c r="J365"/>
      <c r="K365" s="19"/>
      <c r="L365" s="19"/>
      <c r="M365" s="19"/>
      <c r="N365" s="19"/>
      <c r="O365" s="19"/>
      <c r="P365" s="19"/>
      <c r="Q365"/>
      <c r="R365"/>
    </row>
    <row r="366" spans="1:18" s="11" customFormat="1" ht="16" x14ac:dyDescent="0.2">
      <c r="A366" s="11" t="s">
        <v>73</v>
      </c>
      <c r="B366" s="16">
        <v>405</v>
      </c>
      <c r="C366" s="11" t="s">
        <v>17</v>
      </c>
      <c r="D366" s="11" t="s">
        <v>13</v>
      </c>
      <c r="F366" s="11" t="s">
        <v>12</v>
      </c>
      <c r="G366" s="11" t="s">
        <v>74</v>
      </c>
      <c r="H366" s="10" t="s">
        <v>110</v>
      </c>
      <c r="J366"/>
      <c r="K366" s="19"/>
      <c r="L366" s="19"/>
      <c r="M366" s="19"/>
      <c r="N366" s="19"/>
      <c r="O366" s="19"/>
      <c r="P366" s="19"/>
      <c r="Q366"/>
      <c r="R366"/>
    </row>
    <row r="367" spans="1:18" s="11" customFormat="1" ht="16" x14ac:dyDescent="0.2">
      <c r="A367" s="11" t="s">
        <v>84</v>
      </c>
      <c r="B367" s="16">
        <v>400</v>
      </c>
      <c r="C367" s="11" t="s">
        <v>17</v>
      </c>
      <c r="D367" s="11" t="s">
        <v>13</v>
      </c>
      <c r="F367" s="11" t="s">
        <v>12</v>
      </c>
      <c r="G367" s="11" t="s">
        <v>42</v>
      </c>
      <c r="H367" s="10" t="s">
        <v>110</v>
      </c>
      <c r="J367"/>
      <c r="K367" s="19"/>
      <c r="L367" s="19"/>
      <c r="M367" s="19"/>
      <c r="N367" s="19"/>
      <c r="O367" s="19"/>
      <c r="P367" s="19"/>
      <c r="Q367"/>
      <c r="R367"/>
    </row>
    <row r="368" spans="1:18" s="11" customFormat="1" ht="16" x14ac:dyDescent="0.2">
      <c r="A368" s="11" t="s">
        <v>20</v>
      </c>
      <c r="B368" s="16">
        <v>405</v>
      </c>
      <c r="C368" s="11" t="s">
        <v>17</v>
      </c>
      <c r="D368" s="11" t="s">
        <v>13</v>
      </c>
      <c r="F368" s="11" t="s">
        <v>12</v>
      </c>
      <c r="G368" s="11" t="s">
        <v>15</v>
      </c>
      <c r="H368" s="10" t="s">
        <v>110</v>
      </c>
      <c r="J368"/>
      <c r="K368" s="19"/>
      <c r="L368" s="19"/>
      <c r="M368" s="19"/>
      <c r="N368" s="19"/>
      <c r="O368" s="19"/>
      <c r="P368" s="19"/>
      <c r="Q368"/>
      <c r="R368"/>
    </row>
    <row r="369" spans="1:18" s="11" customFormat="1" ht="16" x14ac:dyDescent="0.2">
      <c r="A369" s="11" t="s">
        <v>83</v>
      </c>
      <c r="B369" s="16">
        <v>1000</v>
      </c>
      <c r="C369" s="11" t="s">
        <v>17</v>
      </c>
      <c r="D369" s="11" t="s">
        <v>13</v>
      </c>
      <c r="F369" s="11" t="s">
        <v>12</v>
      </c>
      <c r="G369" s="11" t="s">
        <v>40</v>
      </c>
      <c r="H369" s="10" t="s">
        <v>113</v>
      </c>
      <c r="J369"/>
      <c r="K369" s="19"/>
      <c r="L369" s="19"/>
      <c r="M369" s="19"/>
      <c r="N369" s="19"/>
      <c r="O369" s="19"/>
      <c r="P369" s="19"/>
      <c r="Q369"/>
      <c r="R369"/>
    </row>
    <row r="370" spans="1:18" s="11" customFormat="1" ht="16" x14ac:dyDescent="0.2">
      <c r="A370" s="11" t="s">
        <v>73</v>
      </c>
      <c r="B370" s="16">
        <v>1500</v>
      </c>
      <c r="C370" s="11" t="s">
        <v>17</v>
      </c>
      <c r="D370" s="11" t="s">
        <v>13</v>
      </c>
      <c r="F370" s="11" t="s">
        <v>12</v>
      </c>
      <c r="G370" s="11" t="s">
        <v>74</v>
      </c>
      <c r="H370" s="10" t="s">
        <v>113</v>
      </c>
      <c r="J370"/>
      <c r="K370" s="19"/>
      <c r="L370" s="19"/>
      <c r="M370" s="19"/>
      <c r="N370" s="19"/>
      <c r="O370" s="19"/>
      <c r="P370" s="19"/>
      <c r="Q370"/>
      <c r="R370"/>
    </row>
    <row r="371" spans="1:18" s="11" customFormat="1" ht="16" x14ac:dyDescent="0.2">
      <c r="A371" s="11" t="s">
        <v>84</v>
      </c>
      <c r="B371" s="16">
        <v>1000</v>
      </c>
      <c r="C371" s="11" t="s">
        <v>17</v>
      </c>
      <c r="D371" s="11" t="s">
        <v>13</v>
      </c>
      <c r="F371" s="11" t="s">
        <v>12</v>
      </c>
      <c r="G371" s="11" t="s">
        <v>42</v>
      </c>
      <c r="H371" s="10" t="s">
        <v>113</v>
      </c>
      <c r="J371"/>
      <c r="K371" s="19"/>
      <c r="L371" s="19"/>
      <c r="M371" s="19"/>
      <c r="N371" s="19"/>
      <c r="O371" s="19"/>
      <c r="P371" s="19"/>
      <c r="Q371"/>
      <c r="R371"/>
    </row>
    <row r="372" spans="1:18" s="11" customFormat="1" ht="16" x14ac:dyDescent="0.2">
      <c r="A372" s="11" t="s">
        <v>20</v>
      </c>
      <c r="B372" s="16">
        <v>1500</v>
      </c>
      <c r="C372" s="11" t="s">
        <v>17</v>
      </c>
      <c r="D372" s="11" t="s">
        <v>13</v>
      </c>
      <c r="F372" s="11" t="s">
        <v>12</v>
      </c>
      <c r="G372" s="11" t="s">
        <v>15</v>
      </c>
      <c r="H372" s="10" t="s">
        <v>113</v>
      </c>
      <c r="J372"/>
      <c r="K372" s="19"/>
      <c r="L372" s="19"/>
      <c r="M372" s="19"/>
      <c r="N372" s="19"/>
      <c r="O372" s="19"/>
      <c r="P372" s="19"/>
      <c r="Q372"/>
      <c r="R372"/>
    </row>
    <row r="373" spans="1:18" s="11" customFormat="1" ht="16" x14ac:dyDescent="0.2">
      <c r="A373" s="11" t="s">
        <v>73</v>
      </c>
      <c r="B373" s="16">
        <v>511</v>
      </c>
      <c r="C373" s="11" t="s">
        <v>17</v>
      </c>
      <c r="D373" s="11" t="s">
        <v>13</v>
      </c>
      <c r="F373" s="11" t="s">
        <v>12</v>
      </c>
      <c r="G373" s="11" t="s">
        <v>74</v>
      </c>
      <c r="H373" s="10" t="s">
        <v>114</v>
      </c>
      <c r="J373"/>
      <c r="K373" s="19"/>
      <c r="L373" s="19"/>
      <c r="M373" s="19"/>
      <c r="N373" s="19"/>
      <c r="O373" s="19"/>
      <c r="P373" s="19"/>
      <c r="Q373"/>
      <c r="R373"/>
    </row>
    <row r="374" spans="1:18" s="11" customFormat="1" ht="16" x14ac:dyDescent="0.2">
      <c r="A374" s="11" t="s">
        <v>20</v>
      </c>
      <c r="B374" s="16">
        <v>511</v>
      </c>
      <c r="C374" s="11" t="s">
        <v>17</v>
      </c>
      <c r="D374" s="11" t="s">
        <v>13</v>
      </c>
      <c r="F374" s="11" t="s">
        <v>12</v>
      </c>
      <c r="G374" s="11" t="s">
        <v>15</v>
      </c>
      <c r="H374" s="10" t="s">
        <v>114</v>
      </c>
      <c r="J374"/>
      <c r="K374" s="19"/>
      <c r="L374" s="19"/>
      <c r="M374" s="19"/>
      <c r="N374" s="19"/>
      <c r="O374" s="19"/>
      <c r="P374" s="19"/>
      <c r="Q374"/>
      <c r="R374"/>
    </row>
    <row r="375" spans="1:18" s="11" customFormat="1" ht="16" x14ac:dyDescent="0.2">
      <c r="A375" s="11" t="s">
        <v>68</v>
      </c>
      <c r="B375" s="16">
        <v>371.7</v>
      </c>
      <c r="C375" s="11" t="s">
        <v>17</v>
      </c>
      <c r="D375" s="11" t="s">
        <v>13</v>
      </c>
      <c r="F375" s="11" t="s">
        <v>12</v>
      </c>
      <c r="G375" s="11" t="s">
        <v>69</v>
      </c>
      <c r="H375" s="10" t="s">
        <v>143</v>
      </c>
      <c r="J375"/>
      <c r="K375" s="19"/>
      <c r="L375" s="19"/>
      <c r="M375" s="19"/>
      <c r="N375" s="19"/>
      <c r="O375" s="19"/>
      <c r="P375" s="19"/>
      <c r="Q375"/>
      <c r="R375"/>
    </row>
    <row r="376" spans="1:18" s="11" customFormat="1" ht="16" x14ac:dyDescent="0.2">
      <c r="A376" s="11" t="s">
        <v>86</v>
      </c>
      <c r="B376" s="16">
        <v>371.7</v>
      </c>
      <c r="C376" s="11" t="s">
        <v>17</v>
      </c>
      <c r="D376" s="11" t="s">
        <v>13</v>
      </c>
      <c r="F376" s="11" t="s">
        <v>12</v>
      </c>
      <c r="G376" s="11" t="s">
        <v>44</v>
      </c>
      <c r="H376" s="10" t="s">
        <v>143</v>
      </c>
      <c r="J376"/>
      <c r="K376" s="19"/>
      <c r="L376" s="19"/>
      <c r="M376" s="19"/>
      <c r="N376" s="19"/>
      <c r="O376" s="19"/>
      <c r="P376" s="19"/>
      <c r="Q376"/>
      <c r="R376"/>
    </row>
    <row r="377" spans="1:18" s="11" customFormat="1" ht="16" x14ac:dyDescent="0.2">
      <c r="A377" s="11" t="s">
        <v>73</v>
      </c>
      <c r="B377" s="16">
        <v>929.1</v>
      </c>
      <c r="C377" s="11" t="s">
        <v>17</v>
      </c>
      <c r="D377" s="11" t="s">
        <v>13</v>
      </c>
      <c r="F377" s="11" t="s">
        <v>12</v>
      </c>
      <c r="G377" s="11" t="s">
        <v>74</v>
      </c>
      <c r="H377" s="10" t="s">
        <v>143</v>
      </c>
      <c r="J377"/>
      <c r="K377" s="19"/>
      <c r="L377" s="19"/>
      <c r="M377" s="19"/>
      <c r="N377" s="19"/>
      <c r="O377" s="19"/>
      <c r="P377" s="19"/>
      <c r="Q377"/>
      <c r="R377"/>
    </row>
    <row r="378" spans="1:18" s="11" customFormat="1" ht="16" x14ac:dyDescent="0.2">
      <c r="A378" s="11" t="s">
        <v>20</v>
      </c>
      <c r="B378" s="16">
        <v>929.1</v>
      </c>
      <c r="C378" s="11" t="s">
        <v>17</v>
      </c>
      <c r="D378" s="11" t="s">
        <v>13</v>
      </c>
      <c r="F378" s="11" t="s">
        <v>12</v>
      </c>
      <c r="G378" s="11" t="s">
        <v>15</v>
      </c>
      <c r="H378" s="10" t="s">
        <v>143</v>
      </c>
      <c r="J378"/>
      <c r="K378" s="19"/>
      <c r="L378" s="19"/>
      <c r="M378" s="19"/>
      <c r="N378" s="19"/>
      <c r="O378" s="19"/>
      <c r="P378" s="19"/>
      <c r="Q378"/>
      <c r="R378"/>
    </row>
    <row r="379" spans="1:18" s="11" customFormat="1" ht="16" x14ac:dyDescent="0.2">
      <c r="A379" s="11" t="s">
        <v>85</v>
      </c>
      <c r="B379" s="16">
        <v>92.9</v>
      </c>
      <c r="C379" s="11" t="s">
        <v>17</v>
      </c>
      <c r="D379" s="11" t="s">
        <v>13</v>
      </c>
      <c r="F379" s="11" t="s">
        <v>12</v>
      </c>
      <c r="G379" s="11" t="s">
        <v>43</v>
      </c>
      <c r="H379" s="10" t="s">
        <v>143</v>
      </c>
      <c r="J379"/>
      <c r="K379" s="19"/>
      <c r="L379" s="19"/>
      <c r="M379" s="19"/>
      <c r="N379" s="19"/>
      <c r="O379" s="19"/>
      <c r="P379" s="19"/>
      <c r="Q379"/>
      <c r="R379"/>
    </row>
    <row r="380" spans="1:18" s="11" customFormat="1" ht="16" x14ac:dyDescent="0.2">
      <c r="A380" s="11" t="s">
        <v>83</v>
      </c>
      <c r="B380" s="16">
        <v>836.2</v>
      </c>
      <c r="C380" s="11" t="s">
        <v>17</v>
      </c>
      <c r="D380" s="11" t="s">
        <v>13</v>
      </c>
      <c r="F380" s="11" t="s">
        <v>12</v>
      </c>
      <c r="G380" s="11" t="s">
        <v>40</v>
      </c>
      <c r="H380" s="10" t="s">
        <v>144</v>
      </c>
      <c r="J380"/>
      <c r="K380" s="19"/>
      <c r="L380" s="19"/>
      <c r="M380" s="19"/>
      <c r="N380" s="19"/>
      <c r="O380" s="19"/>
      <c r="P380" s="19"/>
      <c r="Q380"/>
      <c r="R380"/>
    </row>
    <row r="381" spans="1:18" s="11" customFormat="1" ht="16" x14ac:dyDescent="0.2">
      <c r="A381" s="11" t="s">
        <v>84</v>
      </c>
      <c r="B381" s="16">
        <v>836.2</v>
      </c>
      <c r="C381" s="11" t="s">
        <v>17</v>
      </c>
      <c r="D381" s="11" t="s">
        <v>13</v>
      </c>
      <c r="F381" s="11" t="s">
        <v>12</v>
      </c>
      <c r="G381" s="11" t="s">
        <v>42</v>
      </c>
      <c r="H381" s="10" t="s">
        <v>144</v>
      </c>
      <c r="J381"/>
      <c r="K381" s="19"/>
      <c r="L381" s="19"/>
      <c r="M381" s="19"/>
      <c r="N381" s="19"/>
      <c r="O381" s="19"/>
      <c r="P381" s="19"/>
      <c r="Q381"/>
      <c r="R381"/>
    </row>
    <row r="382" spans="1:18" s="11" customFormat="1" ht="16" x14ac:dyDescent="0.2">
      <c r="A382" s="11" t="s">
        <v>108</v>
      </c>
      <c r="B382" s="16">
        <v>116.1</v>
      </c>
      <c r="C382" s="11" t="s">
        <v>17</v>
      </c>
      <c r="D382" s="11" t="s">
        <v>13</v>
      </c>
      <c r="F382" s="11" t="s">
        <v>12</v>
      </c>
      <c r="G382" s="11" t="s">
        <v>109</v>
      </c>
      <c r="H382" s="10" t="s">
        <v>145</v>
      </c>
      <c r="J382"/>
      <c r="K382" s="19"/>
      <c r="L382" s="19"/>
      <c r="M382" s="19"/>
      <c r="N382" s="19"/>
      <c r="O382" s="19"/>
      <c r="P382" s="19"/>
      <c r="Q382"/>
      <c r="R382"/>
    </row>
    <row r="383" spans="1:18" s="11" customFormat="1" ht="16" x14ac:dyDescent="0.2">
      <c r="A383" s="11" t="s">
        <v>83</v>
      </c>
      <c r="B383" s="16">
        <v>209.1</v>
      </c>
      <c r="C383" s="11" t="s">
        <v>17</v>
      </c>
      <c r="D383" s="11" t="s">
        <v>13</v>
      </c>
      <c r="F383" s="11" t="s">
        <v>12</v>
      </c>
      <c r="G383" s="11" t="s">
        <v>40</v>
      </c>
      <c r="H383" s="10" t="s">
        <v>145</v>
      </c>
      <c r="J383"/>
      <c r="K383" s="19"/>
      <c r="L383" s="19"/>
      <c r="M383" s="19"/>
      <c r="N383" s="19"/>
      <c r="O383" s="19"/>
      <c r="P383" s="19"/>
      <c r="Q383"/>
      <c r="R383"/>
    </row>
    <row r="384" spans="1:18" s="11" customFormat="1" ht="16" x14ac:dyDescent="0.2">
      <c r="A384" s="11" t="s">
        <v>84</v>
      </c>
      <c r="B384" s="16">
        <v>209.1</v>
      </c>
      <c r="C384" s="11" t="s">
        <v>17</v>
      </c>
      <c r="D384" s="11" t="s">
        <v>13</v>
      </c>
      <c r="F384" s="11" t="s">
        <v>12</v>
      </c>
      <c r="G384" s="11" t="s">
        <v>42</v>
      </c>
      <c r="H384" s="10" t="s">
        <v>145</v>
      </c>
      <c r="J384"/>
      <c r="K384" s="19"/>
      <c r="L384" s="19"/>
      <c r="M384" s="19"/>
      <c r="N384" s="19"/>
      <c r="O384" s="19"/>
      <c r="P384" s="19"/>
      <c r="Q384"/>
      <c r="R384"/>
    </row>
    <row r="385" spans="1:18" s="11" customFormat="1" ht="16" x14ac:dyDescent="0.2">
      <c r="A385" s="11" t="s">
        <v>73</v>
      </c>
      <c r="B385" s="16">
        <v>1161.4000000000001</v>
      </c>
      <c r="C385" s="11" t="s">
        <v>17</v>
      </c>
      <c r="D385" s="11" t="s">
        <v>13</v>
      </c>
      <c r="F385" s="11" t="s">
        <v>12</v>
      </c>
      <c r="G385" s="11" t="s">
        <v>74</v>
      </c>
      <c r="H385" s="10" t="s">
        <v>101</v>
      </c>
      <c r="J385"/>
      <c r="K385" s="19"/>
      <c r="L385" s="19"/>
      <c r="M385" s="19"/>
      <c r="N385" s="19"/>
      <c r="O385" s="19"/>
      <c r="P385" s="19"/>
      <c r="Q385"/>
      <c r="R385"/>
    </row>
    <row r="386" spans="1:18" s="11" customFormat="1" ht="16" x14ac:dyDescent="0.2">
      <c r="A386" s="11" t="s">
        <v>20</v>
      </c>
      <c r="B386" s="16">
        <v>1161.4000000000001</v>
      </c>
      <c r="C386" s="11" t="s">
        <v>17</v>
      </c>
      <c r="D386" s="11" t="s">
        <v>13</v>
      </c>
      <c r="F386" s="11" t="s">
        <v>12</v>
      </c>
      <c r="G386" s="11" t="s">
        <v>15</v>
      </c>
      <c r="H386" s="10" t="s">
        <v>101</v>
      </c>
      <c r="J386"/>
      <c r="K386" s="19"/>
      <c r="L386" s="19"/>
      <c r="M386" s="19"/>
      <c r="N386" s="19"/>
      <c r="O386" s="19"/>
      <c r="P386" s="19"/>
      <c r="Q386"/>
      <c r="R386"/>
    </row>
    <row r="387" spans="1:18" s="11" customFormat="1" ht="16" x14ac:dyDescent="0.2">
      <c r="A387" s="11" t="s">
        <v>83</v>
      </c>
      <c r="B387" s="16">
        <v>80</v>
      </c>
      <c r="C387" s="11" t="s">
        <v>17</v>
      </c>
      <c r="D387" s="11" t="s">
        <v>13</v>
      </c>
      <c r="F387" s="11" t="s">
        <v>12</v>
      </c>
      <c r="G387" s="11" t="s">
        <v>40</v>
      </c>
      <c r="H387" s="10" t="s">
        <v>146</v>
      </c>
      <c r="J387"/>
      <c r="K387" s="19"/>
      <c r="L387" s="19"/>
      <c r="M387" s="19"/>
      <c r="N387" s="19"/>
      <c r="O387" s="19"/>
      <c r="P387" s="19"/>
      <c r="Q387"/>
      <c r="R387"/>
    </row>
    <row r="388" spans="1:18" s="11" customFormat="1" ht="16" x14ac:dyDescent="0.2">
      <c r="A388" s="11" t="s">
        <v>84</v>
      </c>
      <c r="B388" s="16">
        <v>80</v>
      </c>
      <c r="C388" s="11" t="s">
        <v>17</v>
      </c>
      <c r="D388" s="11" t="s">
        <v>13</v>
      </c>
      <c r="F388" s="11" t="s">
        <v>12</v>
      </c>
      <c r="G388" s="11" t="s">
        <v>42</v>
      </c>
      <c r="H388" s="10" t="s">
        <v>146</v>
      </c>
      <c r="J388"/>
      <c r="K388" s="19"/>
      <c r="L388" s="19"/>
      <c r="M388" s="19"/>
      <c r="N388" s="19"/>
      <c r="O388" s="19"/>
      <c r="P388" s="19"/>
      <c r="Q388"/>
      <c r="R388"/>
    </row>
    <row r="389" spans="1:18" s="11" customFormat="1" ht="16" x14ac:dyDescent="0.2">
      <c r="A389" s="11" t="s">
        <v>73</v>
      </c>
      <c r="B389" s="16">
        <v>851</v>
      </c>
      <c r="C389" s="11" t="s">
        <v>17</v>
      </c>
      <c r="D389" s="11" t="s">
        <v>13</v>
      </c>
      <c r="F389" s="11" t="s">
        <v>12</v>
      </c>
      <c r="G389" s="11" t="s">
        <v>74</v>
      </c>
      <c r="H389" s="10" t="s">
        <v>147</v>
      </c>
      <c r="J389"/>
      <c r="K389" s="19"/>
      <c r="L389" s="19"/>
      <c r="M389" s="19"/>
      <c r="N389" s="19"/>
      <c r="O389" s="19"/>
      <c r="P389" s="19"/>
      <c r="Q389"/>
      <c r="R389"/>
    </row>
    <row r="390" spans="1:18" s="11" customFormat="1" ht="16" x14ac:dyDescent="0.2">
      <c r="A390" s="11" t="s">
        <v>20</v>
      </c>
      <c r="B390" s="16">
        <v>851</v>
      </c>
      <c r="C390" s="11" t="s">
        <v>17</v>
      </c>
      <c r="D390" s="11" t="s">
        <v>13</v>
      </c>
      <c r="F390" s="11" t="s">
        <v>12</v>
      </c>
      <c r="G390" s="11" t="s">
        <v>15</v>
      </c>
      <c r="H390" s="10" t="s">
        <v>147</v>
      </c>
      <c r="J390"/>
      <c r="K390" s="19"/>
      <c r="L390" s="19"/>
      <c r="M390" s="19"/>
      <c r="N390" s="19"/>
      <c r="O390" s="19"/>
      <c r="P390" s="19"/>
      <c r="Q390"/>
      <c r="R390"/>
    </row>
    <row r="391" spans="1:18" s="11" customFormat="1" ht="16" x14ac:dyDescent="0.2">
      <c r="A391" s="11" t="s">
        <v>27</v>
      </c>
      <c r="B391" s="16">
        <v>3</v>
      </c>
      <c r="C391" s="11" t="s">
        <v>17</v>
      </c>
      <c r="D391" s="11" t="s">
        <v>13</v>
      </c>
      <c r="F391" s="11" t="s">
        <v>12</v>
      </c>
      <c r="G391" s="11" t="s">
        <v>28</v>
      </c>
      <c r="H391" s="10" t="s">
        <v>148</v>
      </c>
      <c r="J391"/>
      <c r="K391" s="19"/>
      <c r="L391" s="19"/>
      <c r="M391" s="19"/>
      <c r="N391" s="19"/>
      <c r="O391" s="19"/>
      <c r="P391" s="19"/>
      <c r="Q391"/>
      <c r="R391"/>
    </row>
    <row r="392" spans="1:18" s="11" customFormat="1" ht="16" x14ac:dyDescent="0.2">
      <c r="A392" s="11" t="s">
        <v>93</v>
      </c>
      <c r="B392" s="16">
        <v>3</v>
      </c>
      <c r="C392" s="11" t="s">
        <v>17</v>
      </c>
      <c r="D392" s="11" t="s">
        <v>13</v>
      </c>
      <c r="F392" s="11" t="s">
        <v>12</v>
      </c>
      <c r="G392" s="11" t="s">
        <v>94</v>
      </c>
      <c r="H392" s="10" t="s">
        <v>148</v>
      </c>
      <c r="J392"/>
      <c r="K392" s="19"/>
      <c r="L392" s="19"/>
      <c r="M392" s="19"/>
      <c r="N392" s="19"/>
      <c r="O392" s="19"/>
      <c r="P392" s="19"/>
      <c r="Q392"/>
      <c r="R392"/>
    </row>
    <row r="393" spans="1:18" s="11" customFormat="1" ht="16" x14ac:dyDescent="0.2">
      <c r="A393" s="11" t="s">
        <v>73</v>
      </c>
      <c r="B393" s="16">
        <v>1108</v>
      </c>
      <c r="C393" s="11" t="s">
        <v>17</v>
      </c>
      <c r="D393" s="11" t="s">
        <v>13</v>
      </c>
      <c r="F393" s="11" t="s">
        <v>12</v>
      </c>
      <c r="G393" s="11" t="s">
        <v>74</v>
      </c>
      <c r="H393" s="10" t="s">
        <v>149</v>
      </c>
      <c r="J393"/>
      <c r="K393" s="19"/>
      <c r="L393" s="19"/>
      <c r="M393" s="19"/>
      <c r="N393" s="19"/>
      <c r="O393" s="19"/>
      <c r="P393" s="19"/>
      <c r="Q393"/>
      <c r="R393"/>
    </row>
    <row r="394" spans="1:18" s="11" customFormat="1" ht="16" x14ac:dyDescent="0.2">
      <c r="A394" s="11" t="s">
        <v>20</v>
      </c>
      <c r="B394" s="16">
        <v>1108</v>
      </c>
      <c r="C394" s="11" t="s">
        <v>17</v>
      </c>
      <c r="D394" s="11" t="s">
        <v>13</v>
      </c>
      <c r="F394" s="11" t="s">
        <v>12</v>
      </c>
      <c r="G394" s="11" t="s">
        <v>15</v>
      </c>
      <c r="H394" s="10" t="s">
        <v>149</v>
      </c>
      <c r="J394"/>
      <c r="K394" s="19"/>
      <c r="L394" s="19"/>
      <c r="M394" s="19"/>
      <c r="N394" s="19"/>
      <c r="O394" s="19"/>
      <c r="P394" s="19"/>
      <c r="Q394"/>
      <c r="R394"/>
    </row>
    <row r="395" spans="1:18" s="11" customFormat="1" ht="16" x14ac:dyDescent="0.2">
      <c r="A395" s="11" t="s">
        <v>115</v>
      </c>
      <c r="B395" s="16">
        <v>29</v>
      </c>
      <c r="C395" s="11" t="s">
        <v>17</v>
      </c>
      <c r="D395" s="11" t="s">
        <v>116</v>
      </c>
      <c r="F395" s="11" t="s">
        <v>12</v>
      </c>
      <c r="G395" s="11" t="s">
        <v>117</v>
      </c>
      <c r="H395" s="10" t="s">
        <v>114</v>
      </c>
      <c r="J395"/>
      <c r="K395" s="19"/>
      <c r="L395" s="19"/>
      <c r="M395" s="19"/>
      <c r="N395" s="19"/>
      <c r="O395" s="19"/>
      <c r="P395" s="19"/>
      <c r="Q395"/>
      <c r="R395"/>
    </row>
    <row r="396" spans="1:18" s="11" customFormat="1" ht="16" x14ac:dyDescent="0.2">
      <c r="A396" s="11" t="s">
        <v>84</v>
      </c>
      <c r="B396" s="16">
        <v>6075.6</v>
      </c>
      <c r="C396" s="11" t="s">
        <v>17</v>
      </c>
      <c r="D396" s="11" t="s">
        <v>13</v>
      </c>
      <c r="F396" s="11" t="s">
        <v>12</v>
      </c>
      <c r="G396" s="11" t="s">
        <v>42</v>
      </c>
      <c r="H396" s="10" t="s">
        <v>118</v>
      </c>
      <c r="J396"/>
      <c r="K396" s="19"/>
      <c r="L396" s="19"/>
      <c r="M396" s="19"/>
      <c r="N396" s="19"/>
      <c r="O396" s="19"/>
      <c r="P396" s="19"/>
      <c r="Q396"/>
      <c r="R396"/>
    </row>
    <row r="397" spans="1:18" s="11" customFormat="1" ht="15.5" customHeight="1" x14ac:dyDescent="0.2">
      <c r="A397" s="28" t="s">
        <v>25</v>
      </c>
      <c r="B397" s="16">
        <v>6075.6</v>
      </c>
      <c r="C397" s="11" t="s">
        <v>17</v>
      </c>
      <c r="D397" s="11" t="s">
        <v>13</v>
      </c>
      <c r="F397" s="11" t="s">
        <v>12</v>
      </c>
      <c r="G397" s="10" t="s">
        <v>26</v>
      </c>
      <c r="H397" s="10" t="s">
        <v>118</v>
      </c>
      <c r="J397"/>
      <c r="K397" s="19"/>
      <c r="L397" s="19"/>
      <c r="M397" s="19"/>
      <c r="N397" s="19"/>
      <c r="O397" s="19"/>
      <c r="P397" s="19"/>
      <c r="Q397"/>
      <c r="R397"/>
    </row>
    <row r="398" spans="1:18" s="11" customFormat="1" ht="16" x14ac:dyDescent="0.2">
      <c r="A398" s="11" t="s">
        <v>119</v>
      </c>
      <c r="B398" s="29">
        <v>7.7</v>
      </c>
      <c r="C398" s="11" t="s">
        <v>45</v>
      </c>
      <c r="D398" s="10" t="s">
        <v>31</v>
      </c>
      <c r="F398" s="11" t="s">
        <v>12</v>
      </c>
      <c r="G398" s="10" t="s">
        <v>120</v>
      </c>
      <c r="H398" s="10" t="s">
        <v>121</v>
      </c>
      <c r="J398"/>
      <c r="K398" s="19"/>
      <c r="L398" s="19"/>
      <c r="M398" s="19"/>
      <c r="N398" s="19"/>
      <c r="O398" s="19"/>
      <c r="P398" s="19"/>
      <c r="Q398"/>
      <c r="R398"/>
    </row>
    <row r="399" spans="1:18" s="11" customFormat="1" ht="16" x14ac:dyDescent="0.2">
      <c r="A399" s="11" t="s">
        <v>33</v>
      </c>
      <c r="B399" s="16">
        <v>37113.5</v>
      </c>
      <c r="C399" s="11" t="s">
        <v>17</v>
      </c>
      <c r="D399" s="11" t="s">
        <v>35</v>
      </c>
      <c r="F399" s="11" t="s">
        <v>12</v>
      </c>
      <c r="G399" s="10" t="s">
        <v>36</v>
      </c>
      <c r="H399" s="11" t="s">
        <v>79</v>
      </c>
      <c r="J399"/>
      <c r="K399" s="19"/>
      <c r="L399" s="19"/>
      <c r="M399" s="19"/>
      <c r="N399" s="19"/>
      <c r="O399" s="19"/>
      <c r="P399" s="19"/>
      <c r="Q399"/>
      <c r="R399"/>
    </row>
    <row r="400" spans="1:18" s="11" customFormat="1" ht="16" x14ac:dyDescent="0.2">
      <c r="B400" s="16"/>
      <c r="C400" s="10"/>
      <c r="F400" s="10"/>
      <c r="G400" s="10"/>
      <c r="H400" s="10"/>
      <c r="I400" s="10"/>
      <c r="K400" s="12"/>
      <c r="L400" s="12"/>
      <c r="M400" s="12"/>
      <c r="N400" s="12"/>
      <c r="O400" s="12"/>
      <c r="P400" s="12"/>
    </row>
    <row r="401" spans="1:20" s="11" customFormat="1" ht="16" x14ac:dyDescent="0.2">
      <c r="A401" s="8" t="s">
        <v>1</v>
      </c>
      <c r="B401" s="9" t="s">
        <v>510</v>
      </c>
      <c r="K401" s="12"/>
      <c r="L401" s="12"/>
      <c r="M401" s="12"/>
      <c r="N401" s="12"/>
      <c r="O401" s="12"/>
      <c r="P401" s="12"/>
    </row>
    <row r="402" spans="1:20" s="11" customFormat="1" ht="16" x14ac:dyDescent="0.2">
      <c r="A402" s="13" t="s">
        <v>3</v>
      </c>
      <c r="B402" s="14">
        <v>1</v>
      </c>
      <c r="K402" s="12"/>
      <c r="L402" s="12"/>
      <c r="M402" s="12"/>
      <c r="N402" s="12"/>
      <c r="O402" s="12"/>
      <c r="P402" s="12"/>
    </row>
    <row r="403" spans="1:20" s="11" customFormat="1" ht="16" x14ac:dyDescent="0.2">
      <c r="A403" s="13" t="s">
        <v>11</v>
      </c>
      <c r="B403" s="14"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
PREVIOUS NOTES (retained as history; the correction above takes precedence):
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
PREVIOUS NOTES (retained as history; the correction above takes precedence):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per single stack, @ 8000 hours/year. Iridium mining process is NOT from ecoinvent. Produced amount of H2 over 20 years: 2964315.35 kg. According to a study called IndWEDe, it is assumed that the stacks are replaced 3 times during the 20 years lifespan, based on the 2030’s scenario for 1 MW systems which predicts a lifetime of 50,000 h or more for the stacks of the different water electrolysis technologies. In comparison to AEC electrolyzers, PEMEC electrolyzers are less mature. Furthermore, the PEMEC technology is commercially available and operates with a similar system efficiency as the AEC technology. However, the current density and the gas purity are higher with values in between 0.6–2.0 A/cm2 and &gt; 99.99%, respectively. Besides this, the operating pressure (below 200 bar) is significantly higher in comparison to AEC systems, while the operating temperature (50 °C to 80 °C) and the system energy (4.2–6.6 kWh/m3H2) are similar to AEC systems. The PEMEC BoP and stack components data stem from Bareiß et al. and correspond to a 1 MW system. Moreover, some further BoP components like water purifier &amp; feed tank, buffer tank, and heat exchanger have been added, derived from a 300 kW AEC system, under the assumption that the components are also suitable for a PEMEC system. The values have been scaled up from 300 kW to 1 MW. Values have already been multiplied by 3 to reflect 2 stack replacements over 20 years of use.</t>
        </is>
      </c>
      <c r="K403" s="12"/>
      <c r="L403" s="12"/>
      <c r="M403" s="12"/>
      <c r="N403" s="12"/>
      <c r="O403" s="12"/>
      <c r="P403" s="12"/>
    </row>
    <row r="404" spans="1:20" s="11" customFormat="1" ht="16" x14ac:dyDescent="0.2">
      <c r="A404" s="13" t="s">
        <v>4</v>
      </c>
      <c r="B404" s="16" t="s">
        <v>511</v>
      </c>
      <c r="K404" s="12"/>
      <c r="L404" s="12"/>
      <c r="M404" s="12"/>
      <c r="N404" s="12"/>
      <c r="O404" s="12"/>
      <c r="P404" s="12"/>
    </row>
    <row r="405" spans="1:20" s="11" customFormat="1" ht="16" x14ac:dyDescent="0.2">
      <c r="A405" s="13" t="s">
        <v>2</v>
      </c>
      <c r="B405" s="14" t="s">
        <v>34</v>
      </c>
      <c r="K405" s="12"/>
      <c r="L405" s="12"/>
      <c r="M405" s="12"/>
      <c r="N405" s="12"/>
      <c r="O405" s="12"/>
      <c r="P405" s="12"/>
    </row>
    <row r="406" spans="1:20" s="11" customFormat="1" ht="16" x14ac:dyDescent="0.2">
      <c r="A406" s="13" t="s">
        <v>6</v>
      </c>
      <c r="B406" s="16" t="s">
        <v>6</v>
      </c>
      <c r="K406" s="12"/>
      <c r="L406" s="12"/>
      <c r="M406" s="12"/>
      <c r="N406" s="12"/>
      <c r="O406" s="12"/>
      <c r="P406" s="12"/>
    </row>
    <row r="407" spans="1:20" s="11" customFormat="1" ht="16" x14ac:dyDescent="0.2">
      <c r="A407" s="17" t="s">
        <v>7</v>
      </c>
      <c r="B407" s="9"/>
      <c r="C407" s="17"/>
      <c r="D407" s="17"/>
      <c r="E407" s="17"/>
      <c r="F407" s="17"/>
      <c r="G407" s="17"/>
      <c r="H407" s="17"/>
      <c r="I407" s="17"/>
      <c r="J407" s="17"/>
      <c r="K407" s="12"/>
      <c r="L407" s="12"/>
      <c r="M407" s="12"/>
      <c r="N407" s="12"/>
      <c r="O407" s="12"/>
      <c r="P407" s="12"/>
    </row>
    <row r="408" spans="1:20" s="11" customFormat="1" ht="16" x14ac:dyDescent="0.2">
      <c r="A408" s="17" t="s">
        <v>8</v>
      </c>
      <c r="B408" s="9" t="s">
        <v>9</v>
      </c>
      <c r="C408" s="17" t="s">
        <v>2</v>
      </c>
      <c r="D408" s="17" t="s">
        <v>6</v>
      </c>
      <c r="E408" s="23" t="s">
        <v>10</v>
      </c>
      <c r="F408" s="17" t="s">
        <v>5</v>
      </c>
      <c r="G408" s="17" t="s">
        <v>4</v>
      </c>
      <c r="H408" s="23" t="s">
        <v>11</v>
      </c>
      <c r="I408" s="17"/>
      <c r="J408" s="7"/>
      <c r="K408" s="18"/>
      <c r="L408" s="18"/>
      <c r="M408" s="18"/>
      <c r="N408" s="18"/>
      <c r="O408" s="18"/>
      <c r="P408" s="18"/>
      <c r="Q408" s="7"/>
      <c r="R408" s="7"/>
      <c r="S408" s="17"/>
      <c r="T408" s="7"/>
    </row>
    <row r="409" spans="1:20" s="11" customFormat="1" ht="16" x14ac:dyDescent="0.2">
      <c r="A409" s="16" t="str">
        <f>B401</f>
        <v>treatment of electrolyzer balance of plant, 1MWe, AEC</v>
      </c>
      <c r="B409" s="12">
        <v>-1</v>
      </c>
      <c r="C409" s="11" t="s">
        <v>34</v>
      </c>
      <c r="D409" s="11" t="str">
        <f>B406</f>
        <v>unit</v>
      </c>
      <c r="F409" s="11" t="s">
        <v>16</v>
      </c>
      <c r="G409" s="11" t="str">
        <f>B404</f>
        <v>used electrolyzer balance of plant, 1MWe, AEC</v>
      </c>
      <c r="H409"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K409" s="12"/>
      <c r="L409" s="12"/>
      <c r="M409" s="12"/>
      <c r="N409" s="12"/>
      <c r="O409" s="12"/>
      <c r="P409" s="12"/>
    </row>
    <row r="410" spans="1:20" s="11" customFormat="1" ht="16" x14ac:dyDescent="0.2">
      <c r="A410" s="16" t="s">
        <v>204</v>
      </c>
      <c r="B410" s="11">
        <v>-12819.5</v>
      </c>
      <c r="C410" s="11" t="s">
        <v>37</v>
      </c>
      <c r="D410" s="11" t="s">
        <v>13</v>
      </c>
      <c r="F410" s="11" t="s">
        <v>12</v>
      </c>
      <c r="G410" s="11" t="s">
        <v>205</v>
      </c>
      <c r="J410"/>
      <c r="K410" s="19"/>
      <c r="L410" s="19"/>
      <c r="M410" s="19"/>
      <c r="N410" s="19"/>
      <c r="O410" s="19"/>
      <c r="P410" s="19"/>
      <c r="Q410"/>
      <c r="R410"/>
    </row>
    <row r="411" spans="1:20" s="11" customFormat="1" ht="16" x14ac:dyDescent="0.2">
      <c r="A411" s="16" t="s">
        <v>449</v>
      </c>
      <c r="B411" s="11">
        <v>-4354.4</v>
      </c>
      <c r="C411" s="11" t="s">
        <v>217</v>
      </c>
      <c r="D411" s="11" t="s">
        <v>13</v>
      </c>
      <c r="F411" s="11" t="s">
        <v>12</v>
      </c>
      <c r="G411" s="16" t="s">
        <v>216</v>
      </c>
      <c r="H411"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J411"/>
      <c r="K411" s="19"/>
      <c r="L411" s="19"/>
      <c r="M411" s="19"/>
      <c r="N411" s="19"/>
      <c r="O411" s="19"/>
      <c r="P411" s="19"/>
      <c r="Q411"/>
      <c r="R411"/>
    </row>
    <row r="412" spans="1:20" s="11" customFormat="1" ht="16" x14ac:dyDescent="0.2">
      <c r="A412" s="11" t="s">
        <v>206</v>
      </c>
      <c r="B412" s="11">
        <v>0</v>
      </c>
      <c r="C412" s="11" t="s">
        <v>37</v>
      </c>
      <c r="D412" s="11" t="s">
        <v>13</v>
      </c>
      <c r="F412" s="11" t="s">
        <v>12</v>
      </c>
      <c r="G412" s="11" t="s">
        <v>207</v>
      </c>
      <c r="H412"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J412"/>
      <c r="K412" s="19"/>
      <c r="L412" s="19"/>
      <c r="M412" s="19"/>
      <c r="N412" s="19"/>
      <c r="O412" s="19"/>
      <c r="P412" s="19"/>
      <c r="Q412"/>
      <c r="R412"/>
    </row>
    <row r="413" spans="1:20" s="11" customFormat="1" ht="16" x14ac:dyDescent="0.2">
      <c r="A413" s="11" t="s">
        <v>226</v>
      </c>
      <c r="B413" s="11">
        <v>-32</v>
      </c>
      <c r="C413" s="11" t="s">
        <v>217</v>
      </c>
      <c r="D413" s="11" t="s">
        <v>13</v>
      </c>
      <c r="F413" s="11" t="s">
        <v>12</v>
      </c>
      <c r="G413" s="11" t="s">
        <v>227</v>
      </c>
      <c r="J413"/>
      <c r="K413" s="19"/>
      <c r="L413" s="19"/>
      <c r="M413" s="19"/>
      <c r="N413" s="19"/>
      <c r="O413" s="19"/>
      <c r="P413" s="19"/>
      <c r="Q413"/>
      <c r="R413"/>
    </row>
    <row r="414" spans="1:20" s="11" customFormat="1" ht="16" x14ac:dyDescent="0.2">
      <c r="A414" s="11" t="s">
        <v>218</v>
      </c>
      <c r="B414" s="11">
        <v>-14</v>
      </c>
      <c r="C414" s="11" t="s">
        <v>217</v>
      </c>
      <c r="D414" s="11" t="s">
        <v>13</v>
      </c>
      <c r="F414" s="11" t="s">
        <v>12</v>
      </c>
      <c r="G414" s="11" t="s">
        <v>450</v>
      </c>
      <c r="J414"/>
      <c r="K414" s="19"/>
      <c r="L414" s="19"/>
      <c r="M414" s="19"/>
      <c r="N414" s="19"/>
      <c r="O414" s="19"/>
      <c r="P414" s="19"/>
      <c r="Q414"/>
      <c r="R414"/>
    </row>
    <row r="415" spans="1:20" s="11" customFormat="1" ht="16" x14ac:dyDescent="0.2">
      <c r="A415" s="11" t="s">
        <v>219</v>
      </c>
      <c r="B415" s="11">
        <v>-800</v>
      </c>
      <c r="C415" s="11" t="s">
        <v>17</v>
      </c>
      <c r="D415" s="11" t="s">
        <v>13</v>
      </c>
      <c r="F415" s="11" t="s">
        <v>12</v>
      </c>
      <c r="G415" s="11" t="s">
        <v>220</v>
      </c>
      <c r="J415"/>
      <c r="K415" s="19"/>
      <c r="L415" s="19"/>
      <c r="M415" s="19"/>
      <c r="N415" s="19"/>
      <c r="O415" s="19"/>
      <c r="P415" s="19"/>
      <c r="Q415"/>
      <c r="R415"/>
    </row>
    <row r="416" spans="1:20" s="11" customFormat="1" ht="16" x14ac:dyDescent="0.2">
      <c r="A416" s="11" t="s">
        <v>221</v>
      </c>
      <c r="B416" s="11">
        <v>-468</v>
      </c>
      <c r="C416" s="11" t="s">
        <v>37</v>
      </c>
      <c r="D416" s="11" t="s">
        <v>13</v>
      </c>
      <c r="F416" s="11" t="s">
        <v>12</v>
      </c>
      <c r="G416" s="11" t="s">
        <v>452</v>
      </c>
      <c r="J416"/>
      <c r="K416" s="19"/>
      <c r="L416" s="19"/>
      <c r="M416" s="19"/>
      <c r="N416" s="19"/>
      <c r="O416" s="19"/>
      <c r="P416" s="19"/>
      <c r="Q416"/>
      <c r="R416"/>
    </row>
    <row r="417" spans="1:21" s="11" customFormat="1" ht="16" x14ac:dyDescent="0.2">
      <c r="A417" s="11" t="s">
        <v>451</v>
      </c>
      <c r="B417" s="11">
        <v>-716</v>
      </c>
      <c r="C417" s="11" t="s">
        <v>37</v>
      </c>
      <c r="D417" s="11" t="s">
        <v>13</v>
      </c>
      <c r="F417" s="11" t="s">
        <v>12</v>
      </c>
      <c r="G417" s="11" t="s">
        <v>222</v>
      </c>
      <c r="J417"/>
      <c r="K417" s="19"/>
      <c r="L417" s="19"/>
      <c r="M417" s="19"/>
      <c r="N417" s="19"/>
      <c r="O417" s="19"/>
      <c r="P417" s="19"/>
      <c r="Q417"/>
      <c r="R417"/>
    </row>
    <row r="418" spans="1:21" s="11" customFormat="1" ht="16" x14ac:dyDescent="0.2">
      <c r="A418" s="11" t="s">
        <v>208</v>
      </c>
      <c r="B418" s="11">
        <v>-372</v>
      </c>
      <c r="C418" s="11" t="s">
        <v>37</v>
      </c>
      <c r="D418" s="11" t="s">
        <v>13</v>
      </c>
      <c r="F418" s="11" t="s">
        <v>12</v>
      </c>
      <c r="G418" s="11" t="s">
        <v>209</v>
      </c>
      <c r="H418"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J418"/>
      <c r="K418" s="19"/>
      <c r="L418" s="19"/>
      <c r="M418" s="19"/>
      <c r="N418" s="19"/>
      <c r="O418" s="19"/>
      <c r="P418" s="19"/>
      <c r="Q418"/>
      <c r="R418"/>
    </row>
    <row r="419" spans="1:21" s="11" customFormat="1" ht="16" x14ac:dyDescent="0.2">
      <c r="A419" s="11" t="s">
        <v>210</v>
      </c>
      <c r="B419" s="11">
        <v>-93</v>
      </c>
      <c r="C419" s="11" t="s">
        <v>212</v>
      </c>
      <c r="D419" s="11" t="s">
        <v>13</v>
      </c>
      <c r="F419" s="11" t="s">
        <v>12</v>
      </c>
      <c r="G419" s="11" t="s">
        <v>211</v>
      </c>
      <c r="H419"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J419"/>
      <c r="K419" s="19"/>
      <c r="L419" s="19"/>
      <c r="M419" s="19"/>
      <c r="N419" s="19"/>
      <c r="O419" s="19"/>
      <c r="P419" s="19"/>
      <c r="Q419"/>
      <c r="R419"/>
    </row>
    <row r="420" spans="1:21" s="11" customFormat="1" ht="16" x14ac:dyDescent="0.2">
      <c r="A420" s="11" t="s">
        <v>448</v>
      </c>
      <c r="B420" s="11">
        <v>-18519</v>
      </c>
      <c r="C420" s="11" t="s">
        <v>37</v>
      </c>
      <c r="D420" s="11" t="s">
        <v>13</v>
      </c>
      <c r="F420" s="11" t="s">
        <v>12</v>
      </c>
      <c r="G420" s="11" t="s">
        <v>223</v>
      </c>
      <c r="J420"/>
      <c r="K420" s="19"/>
      <c r="L420" s="19"/>
      <c r="M420" s="19"/>
      <c r="N420" s="19"/>
      <c r="O420" s="19"/>
      <c r="P420" s="19"/>
      <c r="Q420"/>
      <c r="R420"/>
    </row>
    <row r="421" spans="1:21" s="11" customFormat="1" ht="16" x14ac:dyDescent="0.2">
      <c r="A421" t="inlineStr">
        <is>
          <t xml:space="preserve">treatment of used power conversion system and motor drives, electrolysis, AEC</t>
        </is>
      </c>
      <c r="B421" s="16">
        <v>-1</v>
      </c>
      <c r="C421" t="inlineStr">
        <is>
          <t>GLO</t>
        </is>
      </c>
      <c r="D421" t="inlineStr">
        <is>
          <t>unit</t>
        </is>
      </c>
      <c r="F421" t="inlineStr">
        <is>
          <t>technosphere</t>
        </is>
      </c>
      <c r="G421" t="inlineStr">
        <is>
          <t xml:space="preserve">used power conversion system and motor drives, electrolysis, AEC</t>
        </is>
      </c>
      <c r="H421"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K421" s="12"/>
      <c r="L421" s="12"/>
      <c r="M421" s="12"/>
      <c r="N421" s="12"/>
      <c r="O421" s="12"/>
      <c r="P421" s="12"/>
    </row>
    <row r="422" spans="1:21" s="11" customFormat="1" ht="16" x14ac:dyDescent="0.2">
      <c r="A422" s="8" t="s">
        <v>1</v>
      </c>
      <c r="B422" s="9" t="s">
        <v>441</v>
      </c>
      <c r="C422" s="10"/>
      <c r="K422" s="12"/>
      <c r="L422" s="12"/>
      <c r="M422" s="12"/>
      <c r="N422" s="12"/>
      <c r="O422" s="12"/>
      <c r="P422" s="12"/>
    </row>
    <row r="423" spans="1:21" s="11" customFormat="1" ht="16" x14ac:dyDescent="0.2">
      <c r="A423" s="13" t="s">
        <v>3</v>
      </c>
      <c r="B423" s="14">
        <v>1</v>
      </c>
      <c r="K423" s="12"/>
      <c r="L423" s="12"/>
      <c r="M423" s="12"/>
      <c r="N423" s="12"/>
      <c r="O423" s="12"/>
      <c r="P423" s="12"/>
    </row>
    <row r="424" spans="1:21" s="11" customFormat="1" ht="16" x14ac:dyDescent="0.2">
      <c r="A424" s="13" t="s">
        <v>11</v>
      </c>
      <c r="B424" s="14" t="s">
        <v>437</v>
      </c>
      <c r="K424" s="12"/>
      <c r="L424" s="12"/>
      <c r="M424" s="12"/>
      <c r="N424" s="12"/>
      <c r="O424" s="12"/>
      <c r="P424" s="12"/>
    </row>
    <row r="425" spans="1:21" s="11" customFormat="1" ht="16" x14ac:dyDescent="0.2">
      <c r="A425" s="13" t="s">
        <v>4</v>
      </c>
      <c r="B425" s="15" t="s">
        <v>442</v>
      </c>
      <c r="K425" s="12"/>
      <c r="L425" s="12"/>
      <c r="M425" s="12"/>
      <c r="N425" s="12"/>
      <c r="O425" s="12"/>
      <c r="P425" s="12"/>
    </row>
    <row r="426" spans="1:21" s="11" customFormat="1" ht="16" x14ac:dyDescent="0.2">
      <c r="A426" s="13" t="s">
        <v>2</v>
      </c>
      <c r="B426" s="14" t="s">
        <v>45</v>
      </c>
      <c r="K426" s="12"/>
      <c r="L426" s="12"/>
      <c r="M426" s="12"/>
      <c r="N426" s="12"/>
      <c r="O426" s="12"/>
      <c r="P426" s="12"/>
    </row>
    <row r="427" spans="1:21" s="11" customFormat="1" ht="16" x14ac:dyDescent="0.2">
      <c r="A427" s="13" t="s">
        <v>6</v>
      </c>
      <c r="B427" s="16" t="s">
        <v>13</v>
      </c>
      <c r="H427" s="17"/>
      <c r="I427" s="17"/>
      <c r="J427" s="17"/>
      <c r="K427" s="12"/>
      <c r="L427" s="12"/>
      <c r="M427" s="12"/>
      <c r="N427" s="12"/>
      <c r="O427" s="12"/>
      <c r="P427" s="12"/>
    </row>
    <row r="428" spans="1:21" s="11" customFormat="1" ht="16" x14ac:dyDescent="0.2">
      <c r="A428" s="17" t="s">
        <v>7</v>
      </c>
      <c r="B428" s="9"/>
      <c r="C428" s="17"/>
      <c r="D428" s="17"/>
      <c r="E428" s="17"/>
      <c r="F428" s="17"/>
      <c r="G428" s="17"/>
      <c r="H428" s="10"/>
      <c r="I428" s="10"/>
      <c r="J428" s="10"/>
      <c r="K428" s="12"/>
      <c r="L428" s="12"/>
      <c r="M428" s="12"/>
      <c r="N428" s="12"/>
      <c r="O428" s="12"/>
      <c r="P428" s="12"/>
    </row>
    <row r="429" spans="1:21" s="11" customFormat="1" ht="16" x14ac:dyDescent="0.2">
      <c r="A429" s="17" t="s">
        <v>8</v>
      </c>
      <c r="B429" s="9" t="s">
        <v>9</v>
      </c>
      <c r="C429" s="17" t="s">
        <v>2</v>
      </c>
      <c r="D429" s="17" t="s">
        <v>6</v>
      </c>
      <c r="E429" s="17" t="s">
        <v>10</v>
      </c>
      <c r="F429" s="17" t="s">
        <v>5</v>
      </c>
      <c r="G429" s="17" t="s">
        <v>4</v>
      </c>
      <c r="H429" s="23" t="s">
        <v>11</v>
      </c>
      <c r="I429" s="17" t="s">
        <v>466</v>
      </c>
      <c r="J429" s="7" t="s">
        <v>467</v>
      </c>
      <c r="K429" s="18" t="s">
        <v>468</v>
      </c>
      <c r="L429" s="18" t="s">
        <v>469</v>
      </c>
      <c r="M429" s="18" t="s">
        <v>470</v>
      </c>
      <c r="N429" s="18" t="s">
        <v>471</v>
      </c>
      <c r="O429" s="18" t="s">
        <v>472</v>
      </c>
      <c r="P429" s="18" t="s">
        <v>473</v>
      </c>
      <c r="Q429" s="7" t="s">
        <v>474</v>
      </c>
      <c r="R429" s="7" t="s">
        <v>475</v>
      </c>
      <c r="S429" s="17" t="s">
        <v>476</v>
      </c>
      <c r="T429" s="7" t="s">
        <v>477</v>
      </c>
      <c r="U429" s="17" t="s">
        <v>46</v>
      </c>
    </row>
    <row r="430" spans="1:21" s="11" customFormat="1" ht="16" x14ac:dyDescent="0.2">
      <c r="A430" s="16" t="s">
        <v>441</v>
      </c>
      <c r="B430" s="16">
        <v>1</v>
      </c>
      <c r="C430" s="11" t="str">
        <f>B426</f>
        <v>CH</v>
      </c>
      <c r="D430" s="11" t="str">
        <f>B427</f>
        <v>kilogram</v>
      </c>
      <c r="E430" s="10"/>
      <c r="F430" s="11" t="s">
        <v>16</v>
      </c>
      <c r="G430" s="11" t="s">
        <v>442</v>
      </c>
      <c r="H430" s="10"/>
      <c r="I430" s="10"/>
      <c r="K430" s="12"/>
      <c r="L430" s="12"/>
      <c r="M430" s="12"/>
      <c r="N430" s="12"/>
      <c r="O430" s="12"/>
      <c r="P430" s="12"/>
      <c r="T430"/>
    </row>
    <row r="431" spans="1:21" s="11" customFormat="1" ht="16" x14ac:dyDescent="0.2">
      <c r="A431" s="16" t="str">
        <f>B464</f>
        <v>electrolyzer production, 1MWe, SOEC, Stack</v>
      </c>
      <c r="B431" s="11">
        <f>(1/3776000)*8</f>
        <v>2.1186440677966101E-6</v>
      </c>
      <c r="C431" s="11" t="s">
        <v>34</v>
      </c>
      <c r="D431" s="11" t="s">
        <v>6</v>
      </c>
      <c r="F431" s="11" t="s">
        <v>12</v>
      </c>
      <c r="G431" s="11" t="s">
        <v>150</v>
      </c>
      <c r="H431" s="11" t="s">
        <v>443</v>
      </c>
      <c r="J431"/>
      <c r="K431" s="19"/>
      <c r="L431" s="19"/>
      <c r="M431" s="19"/>
      <c r="N431" s="19"/>
      <c r="O431" s="19"/>
      <c r="P431" s="19"/>
      <c r="Q431"/>
      <c r="R431"/>
    </row>
    <row r="432" spans="1:21" s="11" customFormat="1" ht="16" x14ac:dyDescent="0.2">
      <c r="A432" s="16" t="str">
        <f>B501</f>
        <v>electrolyzer production, 1MWe, SOEC, Balance of Plant</v>
      </c>
      <c r="B432" s="11">
        <f>1/3776000</f>
        <v>2.6483050847457627E-7</v>
      </c>
      <c r="C432" s="11" t="s">
        <v>34</v>
      </c>
      <c r="D432" s="11" t="s">
        <v>6</v>
      </c>
      <c r="F432" s="11" t="s">
        <v>12</v>
      </c>
      <c r="G432" s="11" t="s">
        <v>151</v>
      </c>
      <c r="H432" s="11" t="s">
        <v>49</v>
      </c>
      <c r="J432"/>
      <c r="K432" s="19"/>
      <c r="L432" s="19"/>
      <c r="M432" s="19"/>
      <c r="N432" s="19"/>
      <c r="O432" s="19"/>
      <c r="P432" s="19"/>
      <c r="Q432"/>
      <c r="R432"/>
    </row>
    <row r="433" spans="1:20" s="11" customFormat="1" ht="16" x14ac:dyDescent="0.2">
      <c r="A433" s="16" t="s">
        <v>512</v>
      </c>
      <c r="B433" s="11">
        <f>-1*B431</f>
        <v>-2.1186440677966101E-6</v>
      </c>
      <c r="C433" s="11" t="s">
        <v>34</v>
      </c>
      <c r="D433" s="11" t="s">
        <v>6</v>
      </c>
      <c r="F433" s="11" t="s">
        <v>12</v>
      </c>
      <c r="G433" s="11" t="s">
        <v>513</v>
      </c>
      <c r="H433" s="11" t="s">
        <v>215</v>
      </c>
      <c r="J433"/>
      <c r="K433" s="19"/>
      <c r="L433" s="19"/>
      <c r="M433" s="19"/>
      <c r="N433" s="19"/>
      <c r="O433" s="19"/>
      <c r="P433" s="19"/>
      <c r="Q433"/>
      <c r="R433"/>
    </row>
    <row r="434" spans="1:20" s="11" customFormat="1" ht="16" x14ac:dyDescent="0.2">
      <c r="A434" s="16" t="s">
        <v>514</v>
      </c>
      <c r="B434" s="11">
        <f>-1*B432</f>
        <v>-2.6483050847457627E-7</v>
      </c>
      <c r="C434" s="11" t="s">
        <v>34</v>
      </c>
      <c r="D434" s="11" t="s">
        <v>6</v>
      </c>
      <c r="F434" s="11" t="s">
        <v>12</v>
      </c>
      <c r="G434" s="11" t="s">
        <v>515</v>
      </c>
      <c r="H434" s="11" t="s">
        <v>225</v>
      </c>
      <c r="J434"/>
      <c r="K434" s="19"/>
      <c r="L434" s="19"/>
      <c r="M434" s="19"/>
      <c r="N434" s="19"/>
      <c r="O434" s="19"/>
      <c r="P434" s="19"/>
      <c r="Q434"/>
      <c r="R434"/>
    </row>
    <row r="435" spans="1:20" s="11" customFormat="1" ht="16" x14ac:dyDescent="0.2">
      <c r="A435" s="13" t="s">
        <v>50</v>
      </c>
      <c r="B435" s="16">
        <v>42.3</v>
      </c>
      <c r="C435" s="11" t="s">
        <v>45</v>
      </c>
      <c r="D435" s="11" t="s">
        <v>35</v>
      </c>
      <c r="E435" s="10"/>
      <c r="F435" s="11" t="s">
        <v>12</v>
      </c>
      <c r="G435" s="11" t="s">
        <v>36</v>
      </c>
      <c r="H435" s="10" t="s">
        <v>483</v>
      </c>
      <c r="I435" s="11">
        <v>5</v>
      </c>
      <c r="J435" s="4">
        <f>B435</f>
        <v>42.3</v>
      </c>
      <c r="K435" s="19"/>
      <c r="L435" s="19"/>
      <c r="M435" s="19"/>
      <c r="N435" s="19"/>
      <c r="O435" s="19"/>
      <c r="P435" s="19"/>
      <c r="Q435"/>
      <c r="R435"/>
      <c r="S435" s="11">
        <v>41.2</v>
      </c>
      <c r="T435" s="11">
        <v>43.4</v>
      </c>
    </row>
    <row r="436" spans="1:20" s="11" customFormat="1" ht="16" x14ac:dyDescent="0.2">
      <c r="A436" s="13" t="s">
        <v>51</v>
      </c>
      <c r="B436" s="16">
        <v>0</v>
      </c>
      <c r="C436" s="11" t="s">
        <v>34</v>
      </c>
      <c r="D436" s="11" t="s">
        <v>52</v>
      </c>
      <c r="E436" s="10"/>
      <c r="F436" s="11" t="s">
        <v>12</v>
      </c>
      <c r="G436" s="11" t="s">
        <v>53</v>
      </c>
      <c r="H436" s="10" t="s">
        <v>152</v>
      </c>
      <c r="J436"/>
      <c r="K436" s="19"/>
      <c r="L436" s="19"/>
      <c r="M436" s="19"/>
      <c r="N436" s="19"/>
      <c r="O436" s="19"/>
      <c r="P436" s="19"/>
      <c r="Q436"/>
      <c r="R436"/>
    </row>
    <row r="437" spans="1:20" s="11" customFormat="1" ht="16" x14ac:dyDescent="0.2">
      <c r="A437" s="13" t="s">
        <v>516</v>
      </c>
      <c r="B437" s="16">
        <v>14</v>
      </c>
      <c r="C437" s="11" t="s">
        <v>34</v>
      </c>
      <c r="D437" s="11" t="s">
        <v>13</v>
      </c>
      <c r="F437" s="11" t="s">
        <v>12</v>
      </c>
      <c r="G437" s="11" t="s">
        <v>517</v>
      </c>
      <c r="H437" s="20" t="s">
        <v>54</v>
      </c>
      <c r="J437"/>
      <c r="K437" s="19"/>
      <c r="L437" s="19"/>
      <c r="M437" s="19"/>
      <c r="N437" s="19"/>
      <c r="O437" s="19"/>
      <c r="P437" s="19"/>
      <c r="Q437"/>
      <c r="R437"/>
    </row>
    <row r="438" spans="1:20" s="11" customFormat="1" ht="16" x14ac:dyDescent="0.2">
      <c r="A438" s="21" t="s">
        <v>38</v>
      </c>
      <c r="B438" s="15">
        <v>8</v>
      </c>
      <c r="C438" s="21"/>
      <c r="D438" s="21" t="s">
        <v>13</v>
      </c>
      <c r="E438" s="21" t="s">
        <v>39</v>
      </c>
      <c r="F438" s="21" t="s">
        <v>14</v>
      </c>
      <c r="G438" s="21"/>
      <c r="H438" s="22"/>
      <c r="J438"/>
      <c r="K438" s="19"/>
      <c r="L438" s="19"/>
      <c r="M438" s="19"/>
      <c r="N438" s="19"/>
      <c r="O438" s="19"/>
      <c r="P438" s="19"/>
      <c r="Q438" s="19"/>
      <c r="R438"/>
    </row>
    <row r="439" spans="1:20" s="11" customFormat="1" ht="16" x14ac:dyDescent="0.2">
      <c r="A439" s="47" t="s">
        <v>456</v>
      </c>
      <c r="B439" s="48">
        <f>(0.02*1000)/(3776000/20)</f>
        <v>1.0593220338983051E-4</v>
      </c>
      <c r="C439" s="47"/>
      <c r="D439" s="47" t="s">
        <v>453</v>
      </c>
      <c r="E439" s="47" t="s">
        <v>454</v>
      </c>
      <c r="F439" s="47" t="s">
        <v>14</v>
      </c>
      <c r="H439" s="47" t="s">
        <v>464</v>
      </c>
      <c r="I439" s="11">
        <v>2</v>
      </c>
      <c r="J439">
        <f t="shared" ref="J439:J441" si="18">LN(B439)</f>
        <v>-9.1527112591395472</v>
      </c>
      <c r="K439" s="19">
        <v>1.05</v>
      </c>
      <c r="L439" s="19">
        <v>1.1000000000000001</v>
      </c>
      <c r="M439" s="19">
        <v>1</v>
      </c>
      <c r="N439" s="19">
        <v>1.02</v>
      </c>
      <c r="O439" s="19">
        <v>1.2</v>
      </c>
      <c r="P439" s="19">
        <v>1.2</v>
      </c>
      <c r="Q439" s="19">
        <v>1.5</v>
      </c>
      <c r="R439">
        <f t="shared" ref="R439:R441" si="19">LN(SQRT(EXP(
SQRT(
+POWER(LN(K439),2)
+POWER(LN(L439),2)
+POWER(LN(M439),2)
+POWER(LN(N439),2)
+POWER(LN(O439),2)
+POWER(LN(P439),2)
+POWER(LN(Q439),2)
)
)))</f>
        <v>0.24634371748562628</v>
      </c>
    </row>
    <row r="440" spans="1:20" s="11" customFormat="1" ht="16" x14ac:dyDescent="0.2">
      <c r="A440" s="47" t="s">
        <v>458</v>
      </c>
      <c r="B440" s="48">
        <f>(0.02*1000)/3776000</f>
        <v>5.2966101694915258E-6</v>
      </c>
      <c r="C440" s="47"/>
      <c r="D440" s="47" t="s">
        <v>459</v>
      </c>
      <c r="E440" s="47" t="s">
        <v>454</v>
      </c>
      <c r="F440" s="47" t="s">
        <v>14</v>
      </c>
      <c r="H440" s="47" t="s">
        <v>465</v>
      </c>
      <c r="I440" s="11">
        <v>2</v>
      </c>
      <c r="J440">
        <f t="shared" si="18"/>
        <v>-12.148443532693538</v>
      </c>
      <c r="K440" s="19">
        <v>1.05</v>
      </c>
      <c r="L440" s="19">
        <v>1.1000000000000001</v>
      </c>
      <c r="M440" s="19">
        <v>1</v>
      </c>
      <c r="N440" s="19">
        <v>1.02</v>
      </c>
      <c r="O440" s="19">
        <v>1.2</v>
      </c>
      <c r="P440" s="19">
        <v>1.2</v>
      </c>
      <c r="Q440" s="19">
        <v>1.5</v>
      </c>
      <c r="R440">
        <f t="shared" si="19"/>
        <v>0.24634371748562628</v>
      </c>
    </row>
    <row r="441" spans="1:20" s="11" customFormat="1" ht="16" x14ac:dyDescent="0.2">
      <c r="A441" s="47" t="s">
        <v>461</v>
      </c>
      <c r="B441" s="48">
        <f>(0.02*1000)/3776000</f>
        <v>5.2966101694915258E-6</v>
      </c>
      <c r="C441" s="47"/>
      <c r="D441" s="47" t="s">
        <v>459</v>
      </c>
      <c r="E441" s="47" t="s">
        <v>454</v>
      </c>
      <c r="F441" s="47" t="s">
        <v>14</v>
      </c>
      <c r="H441" s="47" t="s">
        <v>465</v>
      </c>
      <c r="I441" s="11">
        <v>2</v>
      </c>
      <c r="J441">
        <f t="shared" si="18"/>
        <v>-12.148443532693538</v>
      </c>
      <c r="K441" s="19">
        <v>1.05</v>
      </c>
      <c r="L441" s="19">
        <v>1.1000000000000001</v>
      </c>
      <c r="M441" s="19">
        <v>1</v>
      </c>
      <c r="N441" s="19">
        <v>1.02</v>
      </c>
      <c r="O441" s="19">
        <v>1.2</v>
      </c>
      <c r="P441" s="19">
        <v>1.2</v>
      </c>
      <c r="Q441" s="19">
        <v>1.5</v>
      </c>
      <c r="R441">
        <f t="shared" si="19"/>
        <v>0.24634371748562628</v>
      </c>
    </row>
    <row r="442" spans="1:20" s="11" customFormat="1" ht="16" x14ac:dyDescent="0.2">
      <c r="B442" s="16"/>
      <c r="K442" s="12"/>
      <c r="L442" s="12"/>
      <c r="M442" s="12"/>
      <c r="N442" s="12"/>
      <c r="O442" s="12"/>
      <c r="P442" s="12"/>
    </row>
    <row r="443" spans="1:20" s="11" customFormat="1" ht="16" x14ac:dyDescent="0.2">
      <c r="A443" s="8" t="s">
        <v>1</v>
      </c>
      <c r="B443" s="9" t="s">
        <v>445</v>
      </c>
      <c r="C443" s="10"/>
      <c r="K443" s="12"/>
      <c r="L443" s="12"/>
      <c r="M443" s="12"/>
      <c r="N443" s="12"/>
      <c r="O443" s="12"/>
      <c r="P443" s="12"/>
    </row>
    <row r="444" spans="1:20" s="11" customFormat="1" ht="16" x14ac:dyDescent="0.2">
      <c r="A444" s="13" t="s">
        <v>3</v>
      </c>
      <c r="B444" s="14">
        <v>1</v>
      </c>
      <c r="K444" s="12"/>
      <c r="L444" s="12"/>
      <c r="M444" s="12"/>
      <c r="N444" s="12"/>
      <c r="O444" s="12"/>
      <c r="P444" s="12"/>
    </row>
    <row r="445" spans="1:20" s="11" customFormat="1" ht="16" x14ac:dyDescent="0.2">
      <c r="A445" s="13" t="s">
        <v>11</v>
      </c>
      <c r="B445" s="14" t="s">
        <v>437</v>
      </c>
      <c r="K445" s="12"/>
      <c r="L445" s="12"/>
      <c r="M445" s="12"/>
      <c r="N445" s="12"/>
      <c r="O445" s="12"/>
      <c r="P445" s="12"/>
    </row>
    <row r="446" spans="1:20" s="11" customFormat="1" ht="16" x14ac:dyDescent="0.2">
      <c r="A446" s="13" t="s">
        <v>4</v>
      </c>
      <c r="B446" s="15" t="s">
        <v>442</v>
      </c>
      <c r="K446" s="12"/>
      <c r="L446" s="12"/>
      <c r="M446" s="12"/>
      <c r="N446" s="12"/>
      <c r="O446" s="12"/>
      <c r="P446" s="12"/>
    </row>
    <row r="447" spans="1:20" s="11" customFormat="1" ht="16" x14ac:dyDescent="0.2">
      <c r="A447" s="13" t="s">
        <v>2</v>
      </c>
      <c r="B447" s="14" t="s">
        <v>45</v>
      </c>
      <c r="K447" s="12"/>
      <c r="L447" s="12"/>
      <c r="M447" s="12"/>
      <c r="N447" s="12"/>
      <c r="O447" s="12"/>
      <c r="P447" s="12"/>
    </row>
    <row r="448" spans="1:20" s="11" customFormat="1" ht="16" x14ac:dyDescent="0.2">
      <c r="A448" s="13" t="s">
        <v>6</v>
      </c>
      <c r="B448" s="16" t="s">
        <v>13</v>
      </c>
      <c r="H448" s="17"/>
      <c r="I448" s="17"/>
      <c r="J448" s="17"/>
      <c r="K448" s="12"/>
      <c r="L448" s="12"/>
      <c r="M448" s="12"/>
      <c r="N448" s="12"/>
      <c r="O448" s="12"/>
      <c r="P448" s="12"/>
    </row>
    <row r="449" spans="1:21" s="11" customFormat="1" ht="16" x14ac:dyDescent="0.2">
      <c r="A449" s="17" t="s">
        <v>7</v>
      </c>
      <c r="B449" s="9"/>
      <c r="C449" s="17"/>
      <c r="D449" s="17"/>
      <c r="E449" s="17"/>
      <c r="F449" s="17"/>
      <c r="G449" s="17"/>
      <c r="H449" s="10"/>
      <c r="I449" s="10"/>
      <c r="J449" s="10"/>
      <c r="K449" s="12"/>
      <c r="L449" s="12"/>
      <c r="M449" s="12"/>
      <c r="N449" s="12"/>
      <c r="O449" s="12"/>
      <c r="P449" s="12"/>
    </row>
    <row r="450" spans="1:21" s="11" customFormat="1" ht="16" x14ac:dyDescent="0.2">
      <c r="A450" s="17" t="s">
        <v>8</v>
      </c>
      <c r="B450" s="9" t="s">
        <v>9</v>
      </c>
      <c r="C450" s="17" t="s">
        <v>2</v>
      </c>
      <c r="D450" s="17" t="s">
        <v>6</v>
      </c>
      <c r="E450" s="17" t="s">
        <v>10</v>
      </c>
      <c r="F450" s="17" t="s">
        <v>5</v>
      </c>
      <c r="G450" s="17" t="s">
        <v>4</v>
      </c>
      <c r="H450" s="23" t="s">
        <v>11</v>
      </c>
      <c r="I450" s="17" t="s">
        <v>466</v>
      </c>
      <c r="J450" s="7" t="s">
        <v>467</v>
      </c>
      <c r="K450" s="18" t="s">
        <v>468</v>
      </c>
      <c r="L450" s="18" t="s">
        <v>469</v>
      </c>
      <c r="M450" s="18" t="s">
        <v>470</v>
      </c>
      <c r="N450" s="18" t="s">
        <v>471</v>
      </c>
      <c r="O450" s="18" t="s">
        <v>472</v>
      </c>
      <c r="P450" s="18" t="s">
        <v>473</v>
      </c>
      <c r="Q450" s="7" t="s">
        <v>474</v>
      </c>
      <c r="R450" s="7" t="s">
        <v>475</v>
      </c>
      <c r="S450" s="17" t="s">
        <v>476</v>
      </c>
      <c r="T450" s="7" t="s">
        <v>477</v>
      </c>
      <c r="U450" s="17" t="s">
        <v>46</v>
      </c>
    </row>
    <row r="451" spans="1:21" s="11" customFormat="1" ht="16" x14ac:dyDescent="0.2">
      <c r="A451" s="16" t="s">
        <v>445</v>
      </c>
      <c r="B451" s="16">
        <v>1</v>
      </c>
      <c r="C451" s="11" t="str">
        <f>B447</f>
        <v>CH</v>
      </c>
      <c r="D451" s="11" t="str">
        <f>B448</f>
        <v>kilogram</v>
      </c>
      <c r="E451" s="10"/>
      <c r="F451" s="11" t="s">
        <v>16</v>
      </c>
      <c r="G451" s="11" t="s">
        <v>442</v>
      </c>
      <c r="H451" s="10"/>
      <c r="I451" s="10"/>
      <c r="K451" s="12"/>
      <c r="L451" s="12"/>
      <c r="M451" s="12"/>
      <c r="N451" s="12"/>
      <c r="O451" s="12"/>
      <c r="P451" s="12"/>
      <c r="T451"/>
    </row>
    <row r="452" spans="1:21" s="11" customFormat="1" ht="16" x14ac:dyDescent="0.2">
      <c r="A452" s="16" t="s">
        <v>153</v>
      </c>
      <c r="B452" s="11">
        <f>(1/3776000)*8</f>
        <v>2.1186440677966101E-6</v>
      </c>
      <c r="C452" s="11" t="s">
        <v>34</v>
      </c>
      <c r="D452" s="11" t="s">
        <v>6</v>
      </c>
      <c r="F452" s="11" t="s">
        <v>12</v>
      </c>
      <c r="G452" s="11" t="s">
        <v>150</v>
      </c>
      <c r="H452" s="11" t="s">
        <v>488</v>
      </c>
      <c r="I452" s="11">
        <v>5</v>
      </c>
      <c r="J452">
        <f>B452</f>
        <v>2.1186440677966101E-6</v>
      </c>
      <c r="K452" s="19"/>
      <c r="L452" s="19"/>
      <c r="M452" s="19"/>
      <c r="N452" s="19"/>
      <c r="O452" s="19"/>
      <c r="P452" s="19"/>
      <c r="Q452"/>
      <c r="R452"/>
      <c r="S452" s="11">
        <f>(1/(25*8000*23.6))*8</f>
        <v>1.6949152542372882E-6</v>
      </c>
      <c r="T452" s="11">
        <f>(1/(15*8000*23.6))*8</f>
        <v>2.8248587570621469E-6</v>
      </c>
    </row>
    <row r="453" spans="1:21" s="11" customFormat="1" ht="16" x14ac:dyDescent="0.2">
      <c r="A453" s="16" t="s">
        <v>179</v>
      </c>
      <c r="B453" s="11">
        <f>1/3776000</f>
        <v>2.6483050847457627E-7</v>
      </c>
      <c r="C453" s="11" t="s">
        <v>34</v>
      </c>
      <c r="D453" s="11" t="s">
        <v>6</v>
      </c>
      <c r="F453" s="11" t="s">
        <v>12</v>
      </c>
      <c r="G453" s="11" t="s">
        <v>151</v>
      </c>
      <c r="H453" s="11" t="s">
        <v>49</v>
      </c>
      <c r="I453" s="11">
        <v>5</v>
      </c>
      <c r="J453">
        <f>B453</f>
        <v>2.6483050847457627E-7</v>
      </c>
      <c r="K453" s="19"/>
      <c r="L453" s="19"/>
      <c r="M453" s="19"/>
      <c r="N453" s="19"/>
      <c r="O453" s="19"/>
      <c r="P453" s="19"/>
      <c r="Q453"/>
      <c r="R453"/>
      <c r="S453" s="11">
        <f>(1/(25*8000*23.6))</f>
        <v>2.1186440677966102E-7</v>
      </c>
      <c r="T453" s="11">
        <f>(1/(15*8000*23.6))</f>
        <v>3.5310734463276836E-7</v>
      </c>
    </row>
    <row r="454" spans="1:21" s="11" customFormat="1" ht="16" x14ac:dyDescent="0.2">
      <c r="A454" s="16" t="s">
        <v>512</v>
      </c>
      <c r="B454" s="11">
        <f>-1*B452</f>
        <v>-2.1186440677966101E-6</v>
      </c>
      <c r="C454" s="11" t="s">
        <v>34</v>
      </c>
      <c r="D454" s="11" t="s">
        <v>6</v>
      </c>
      <c r="F454" s="11" t="s">
        <v>12</v>
      </c>
      <c r="G454" s="11" t="s">
        <v>513</v>
      </c>
      <c r="H454" s="11" t="s">
        <v>215</v>
      </c>
      <c r="I454" s="11">
        <v>5</v>
      </c>
      <c r="J454">
        <f>B454</f>
        <v>-2.1186440677966101E-6</v>
      </c>
      <c r="K454" s="19"/>
      <c r="L454" s="19"/>
      <c r="M454" s="19"/>
      <c r="N454" s="19"/>
      <c r="O454" s="19"/>
      <c r="P454" s="19"/>
      <c r="Q454"/>
      <c r="R454"/>
      <c r="S454" s="11">
        <f>-1*T452</f>
        <v>-2.8248587570621469E-6</v>
      </c>
      <c r="T454" s="11">
        <f>-1*S452</f>
        <v>-1.6949152542372882E-6</v>
      </c>
      <c r="U454" s="11" t="b">
        <v>1</v>
      </c>
    </row>
    <row r="455" spans="1:21" s="11" customFormat="1" ht="16" x14ac:dyDescent="0.2">
      <c r="A455" s="16" t="s">
        <v>514</v>
      </c>
      <c r="B455" s="11">
        <f>-1*B453</f>
        <v>-2.6483050847457627E-7</v>
      </c>
      <c r="C455" s="11" t="s">
        <v>34</v>
      </c>
      <c r="D455" s="11" t="s">
        <v>6</v>
      </c>
      <c r="F455" s="11" t="s">
        <v>12</v>
      </c>
      <c r="G455" s="11" t="s">
        <v>515</v>
      </c>
      <c r="H455" s="11" t="s">
        <v>225</v>
      </c>
      <c r="I455" s="11">
        <v>5</v>
      </c>
      <c r="J455">
        <f>B455</f>
        <v>-2.6483050847457627E-7</v>
      </c>
      <c r="K455" s="19"/>
      <c r="L455" s="19"/>
      <c r="M455" s="19"/>
      <c r="N455" s="19"/>
      <c r="O455" s="19"/>
      <c r="P455" s="19"/>
      <c r="Q455"/>
      <c r="R455"/>
      <c r="S455" s="11">
        <f>-1*T453</f>
        <v>-3.5310734463276836E-7</v>
      </c>
      <c r="T455" s="11">
        <f>-1*S453</f>
        <v>-2.1186440677966102E-7</v>
      </c>
      <c r="U455" s="11" t="b">
        <v>1</v>
      </c>
    </row>
    <row r="456" spans="1:21" s="11" customFormat="1" ht="16" x14ac:dyDescent="0.2">
      <c r="A456" s="13" t="s">
        <v>50</v>
      </c>
      <c r="B456" s="16">
        <v>39</v>
      </c>
      <c r="C456" s="11" t="s">
        <v>45</v>
      </c>
      <c r="D456" s="11" t="s">
        <v>35</v>
      </c>
      <c r="E456" s="10"/>
      <c r="F456" s="11" t="s">
        <v>12</v>
      </c>
      <c r="G456" s="11" t="s">
        <v>36</v>
      </c>
      <c r="H456" s="10" t="s">
        <v>444</v>
      </c>
      <c r="J456"/>
      <c r="K456" s="19"/>
      <c r="L456" s="19"/>
      <c r="M456" s="19"/>
      <c r="N456" s="19"/>
      <c r="O456" s="19"/>
      <c r="P456" s="19"/>
      <c r="Q456"/>
      <c r="R456"/>
    </row>
    <row r="457" spans="1:21" s="11" customFormat="1" ht="16" x14ac:dyDescent="0.2">
      <c r="A457" s="13" t="s">
        <v>51</v>
      </c>
      <c r="B457" s="16">
        <v>16</v>
      </c>
      <c r="C457" s="11" t="s">
        <v>34</v>
      </c>
      <c r="D457" s="11" t="s">
        <v>52</v>
      </c>
      <c r="E457" s="10"/>
      <c r="F457" s="11" t="s">
        <v>12</v>
      </c>
      <c r="G457" s="11" t="s">
        <v>53</v>
      </c>
      <c r="H457" s="10" t="s">
        <v>446</v>
      </c>
      <c r="J457"/>
      <c r="K457" s="19"/>
      <c r="L457" s="19"/>
      <c r="M457" s="19"/>
      <c r="N457" s="19"/>
      <c r="O457" s="19"/>
      <c r="P457" s="19"/>
      <c r="Q457"/>
      <c r="R457"/>
    </row>
    <row r="458" spans="1:21" s="11" customFormat="1" ht="16" x14ac:dyDescent="0.2">
      <c r="A458" s="13" t="s">
        <v>516</v>
      </c>
      <c r="B458" s="16">
        <v>14</v>
      </c>
      <c r="C458" s="11" t="s">
        <v>34</v>
      </c>
      <c r="D458" s="11" t="s">
        <v>13</v>
      </c>
      <c r="F458" s="11" t="s">
        <v>12</v>
      </c>
      <c r="G458" s="11" t="s">
        <v>517</v>
      </c>
      <c r="H458" s="20" t="s">
        <v>54</v>
      </c>
      <c r="J458"/>
      <c r="K458" s="19"/>
      <c r="L458" s="19"/>
      <c r="M458" s="19"/>
      <c r="N458" s="19"/>
      <c r="O458" s="19"/>
      <c r="P458" s="19"/>
      <c r="Q458"/>
      <c r="R458"/>
    </row>
    <row r="459" spans="1:21" s="11" customFormat="1" ht="16" x14ac:dyDescent="0.2">
      <c r="A459" s="21" t="s">
        <v>38</v>
      </c>
      <c r="B459" s="15">
        <v>8</v>
      </c>
      <c r="C459" s="21"/>
      <c r="D459" s="21" t="s">
        <v>13</v>
      </c>
      <c r="E459" s="21" t="s">
        <v>39</v>
      </c>
      <c r="F459" s="21" t="s">
        <v>14</v>
      </c>
      <c r="G459" s="21"/>
      <c r="H459" s="22"/>
      <c r="J459"/>
      <c r="K459" s="19"/>
      <c r="L459" s="19"/>
      <c r="M459" s="19"/>
      <c r="N459" s="19"/>
      <c r="O459" s="19"/>
      <c r="P459" s="19"/>
      <c r="Q459" s="19"/>
      <c r="R459"/>
    </row>
    <row r="460" spans="1:21" s="11" customFormat="1" ht="16" x14ac:dyDescent="0.2">
      <c r="A460" s="47" t="s">
        <v>456</v>
      </c>
      <c r="B460" s="48">
        <f>(0.05*1000)/(3776000/20)</f>
        <v>2.6483050847457627E-4</v>
      </c>
      <c r="C460" s="47"/>
      <c r="D460" s="47" t="s">
        <v>453</v>
      </c>
      <c r="E460" s="47" t="s">
        <v>454</v>
      </c>
      <c r="F460" s="47" t="s">
        <v>14</v>
      </c>
      <c r="H460" s="47" t="s">
        <v>464</v>
      </c>
      <c r="I460" s="11">
        <v>2</v>
      </c>
      <c r="J460">
        <f t="shared" ref="J460:J462" si="20">LN(B460)</f>
        <v>-8.2364205272653912</v>
      </c>
      <c r="K460" s="19">
        <v>1.05</v>
      </c>
      <c r="L460" s="19">
        <v>1.1000000000000001</v>
      </c>
      <c r="M460" s="19">
        <v>1</v>
      </c>
      <c r="N460" s="19">
        <v>1.02</v>
      </c>
      <c r="O460" s="19">
        <v>1.2</v>
      </c>
      <c r="P460" s="19">
        <v>1.2</v>
      </c>
      <c r="Q460" s="19">
        <v>1.5</v>
      </c>
      <c r="R460">
        <f t="shared" ref="R460:R462" si="21">LN(SQRT(EXP(
SQRT(
+POWER(LN(K460),2)
+POWER(LN(L460),2)
+POWER(LN(M460),2)
+POWER(LN(N460),2)
+POWER(LN(O460),2)
+POWER(LN(P460),2)
+POWER(LN(Q460),2)
)
)))</f>
        <v>0.24634371748562628</v>
      </c>
    </row>
    <row r="461" spans="1:21" s="11" customFormat="1" ht="16" x14ac:dyDescent="0.2">
      <c r="A461" s="47" t="s">
        <v>458</v>
      </c>
      <c r="B461" s="48">
        <f>(0.05*1000)/3776000</f>
        <v>1.3241525423728813E-5</v>
      </c>
      <c r="C461" s="47"/>
      <c r="D461" s="47" t="s">
        <v>459</v>
      </c>
      <c r="E461" s="47" t="s">
        <v>454</v>
      </c>
      <c r="F461" s="47" t="s">
        <v>14</v>
      </c>
      <c r="H461" s="47" t="s">
        <v>465</v>
      </c>
      <c r="I461" s="11">
        <v>2</v>
      </c>
      <c r="J461">
        <f t="shared" si="20"/>
        <v>-11.232152800819382</v>
      </c>
      <c r="K461" s="19">
        <v>1.05</v>
      </c>
      <c r="L461" s="19">
        <v>1.1000000000000001</v>
      </c>
      <c r="M461" s="19">
        <v>1</v>
      </c>
      <c r="N461" s="19">
        <v>1.02</v>
      </c>
      <c r="O461" s="19">
        <v>1.2</v>
      </c>
      <c r="P461" s="19">
        <v>1.2</v>
      </c>
      <c r="Q461" s="19">
        <v>1.5</v>
      </c>
      <c r="R461">
        <f t="shared" si="21"/>
        <v>0.24634371748562628</v>
      </c>
    </row>
    <row r="462" spans="1:21" s="11" customFormat="1" ht="16" x14ac:dyDescent="0.2">
      <c r="A462" s="47" t="s">
        <v>461</v>
      </c>
      <c r="B462" s="48">
        <f>(0.05*1000)/3776000</f>
        <v>1.3241525423728813E-5</v>
      </c>
      <c r="C462" s="47"/>
      <c r="D462" s="47" t="s">
        <v>459</v>
      </c>
      <c r="E462" s="47" t="s">
        <v>454</v>
      </c>
      <c r="F462" s="47" t="s">
        <v>14</v>
      </c>
      <c r="H462" s="47" t="s">
        <v>465</v>
      </c>
      <c r="I462" s="11">
        <v>2</v>
      </c>
      <c r="J462">
        <f t="shared" si="20"/>
        <v>-11.232152800819382</v>
      </c>
      <c r="K462" s="19">
        <v>1.05</v>
      </c>
      <c r="L462" s="19">
        <v>1.1000000000000001</v>
      </c>
      <c r="M462" s="19">
        <v>1</v>
      </c>
      <c r="N462" s="19">
        <v>1.02</v>
      </c>
      <c r="O462" s="19">
        <v>1.2</v>
      </c>
      <c r="P462" s="19">
        <v>1.2</v>
      </c>
      <c r="Q462" s="19">
        <v>1.5</v>
      </c>
      <c r="R462">
        <f t="shared" si="21"/>
        <v>0.24634371748562628</v>
      </c>
    </row>
    <row r="463" spans="1:21" s="11" customFormat="1" ht="16" x14ac:dyDescent="0.2">
      <c r="B463" s="16"/>
      <c r="K463" s="12"/>
      <c r="L463" s="12"/>
      <c r="M463" s="12"/>
      <c r="N463" s="12"/>
      <c r="O463" s="12"/>
      <c r="P463" s="12"/>
    </row>
    <row r="464" spans="1:21" s="11" customFormat="1" ht="16" x14ac:dyDescent="0.2">
      <c r="A464" s="8" t="s">
        <v>1</v>
      </c>
      <c r="B464" s="9" t="s">
        <v>153</v>
      </c>
      <c r="K464" s="12"/>
      <c r="L464" s="12"/>
      <c r="M464" s="12"/>
      <c r="N464" s="12"/>
      <c r="O464" s="12"/>
      <c r="P464" s="12"/>
    </row>
    <row r="465" spans="1:20" s="11" customFormat="1" ht="16" x14ac:dyDescent="0.2">
      <c r="A465" s="13" t="s">
        <v>3</v>
      </c>
      <c r="B465" s="14">
        <v>1</v>
      </c>
      <c r="K465" s="12"/>
      <c r="L465" s="12"/>
      <c r="M465" s="12"/>
      <c r="N465" s="12"/>
      <c r="O465" s="12"/>
      <c r="P465" s="12"/>
    </row>
    <row r="466" spans="1:20" s="11" customFormat="1" ht="16" x14ac:dyDescent="0.2">
      <c r="A466" s="13" t="s">
        <v>11</v>
      </c>
      <c r="B466" t="inlineStr">
        <is>
          <t>APPROVED SOEC FERRITIC INTERCONNECT REFERENCE, issue95, 2026-10-18. Hafele2016 DOI10.1016/j.ijhydene.2016.05.069 SI FigS1:chromiumsteelplate-&gt;deepdrawing+LSMcoating-&gt;interconnect; main stackdescription2outer3kg and4inner145g plates. Gerloff2021 PtM SI pS16 retains8976.1kg18/8steel but labels air-electrode. VDM Crofer22APU datasheet4146rev01 March2022 Table2 andApplications p5 explicitly SOEC interconnects/bipolarplates:Cr20-24wt%,Mn0.30-0.80,Ti0.03-0.20,La0.04-0.20,Fe balance. https://www.vdm-metals.com/fileadmin/user_upload/Downloads/Data_Sheets/Data_Sheet_VDM_Crofer_22_APU.pdf . Sourceflow8976.1kg is treated as the interconnectplate package based on originalmanufacturingdiagram,not9tair-electrodecatalyst. AdoptCrofer22APU-type reference for THIS stackinput only; do not replace ordinaryBoP18/8heat exchangers. Preserve8976.1kgfinishedsteel and8976.1kgexistingrollingservice; mass derives labstackscaleup and is NOT independently validated industrialMWgeometry. Preserve priorLSM,PrNi,ceramics,stackreplacement andlearning. Reference alloy massfractions={'Cr': 0.22, 'Mn': 0.005, 'Ti': 0.001, 'La': 0.001, 'Si': 0.001, 'Al': 0.0005, 'Cu': 0.0005, 'C': 0.0001, 'P': 5e-05, 'S': 5e-05, 'Fe': 0.7708}. Midrange/lowresidual choices are explicit assumptions within publishedranges,not measured heat assay. No intentionalNi addition; unknownresidualNi/othertraceimpurities are NOT provenzero. ActualoldNi8% cannot be claimed quantitatively without suppliercomposition; compareold18/8 as sensitivity. Cr20-24,Mn0.3-0.8,La0.04-0.20wt% sensitivities. Fe usesunalloyedsteel as feed-gradeproxy,withitsownminoralloys unresolved; completecomponentmetaluse is not identical toelementalpureFe. Addalloyingmaterialsonce and0.5kWh+2MJ/kgremeltingreference (0.25-1kWh/1-4MJsensitivity),not a completeCrsteel production dataset on top. Matchfinishedsteelmass1kgwith100%finalalloyretention; alloyingyield/slag andtracepickup remain gaps. La metal unavailable: explicit netoxide/carbon electrolyticreference La2O3+1.5C-&gt;2La+1.5CO2,95%metalretention,10kWh/kg+3MJ/kgassumed; fluoridebathmakeup,PFCemissions,purification andcalcium-route alternatives unresolved. Thisisstoichiometricnetelectrolysis,NOTthermal carbothermic reduction orvalidatedvendorLa process. Metalrejectgenericinertdisposal; La/C/O/massclose. FinishedinterconnectEOLexistingsteelcollection amount retained; genericsteelroute doesnotvalidatealloy-specificrecycling orrecoverycredits. Native/YAML/runtime/primary-secondaryshares untouched.
PREVIOUS NOTES (retained as history; the correction above takes precedence):
APPROVED COMPLETE SOEC LSM REFERENCE, issue94, 2026-10-18. Gerloff2021 DOI10.1016/j.est.2021.102759 Sec2.2.3, Hafele2016 DOI10.1016/j.ijhydene.2016.05.069 SI FigS1 identifies LSM coating on interconnects, not electrolyte. Wei et al.2024 DOI10.1039/D3EE03875K indexed SI TableS17 reports2.1kg finishedLSM perMW; full SI retrieval currently404. Original Gerloff PtM SI DOI10.1021/acssuschemeng.1c02002 pS16 defers La/Sr quantities to a separate material-generation sheet. Stoichiometry below is independently balanced, not copied from the deficient indexed S18 synthesis. Replace uncertain21kgLa2O3+21kgSrCO3 placeholders (both formerly to-check) by2.1kgfinishedLa0.8Sr0.2MnO3 perexistingMWstack. This is an explicit published-reference adoption, NOT recovered manufacturer BOM or proof that originalGerloff21kg meant2.1kg. Source-dose sensitivity2.1-21kgfinishedLSM required; old42kgrawsalts is not a chemically defined alternative. La0.8Sr0.2MnO3 is selected nominal oxygen-stoichiometric LSM; actual Sr doping/oxygen nonstoichiometry/contact-layer loading remain gaps. Net reaction0.4La2O3+0.2SrCO3+MnO2 -&gt;La0.8Sr0.2MnO3+0.2CO2+0.2O2. Use95% finished-solid retention,100% conversion before5%handlingreject; yields90-100%sensitivity. Perkgfinished feeds={'La2O3': 0.5923666319735489, 'SrCO3': 0.13420468074687047, 'MnO2': 0.3951562044603966};CO2=0.040007409129630044kg,O2=0.02908852910381745kg,reject=0.05263157894736836kg.6MJ/kgheat+1kWh/kgmilling/sintering is an engineering allowance,not measured industrial calcination (3-12MJ and0.5-2kWhsensitivity). All stoichiometric C/La/Sr/Mn/O and mass close. No nitric-acid/chloroacetic-acid/ammonia route or unsupported metal-free binder is silently copied. Keep totalfinished2.1kg distinct from grossprecursorfeed. Newsolidwaste andfinishedceramic EOL use genericinertdisposal,not validated heavy-metal-specific treatment/recovery. Existing Pr/Ni air-electrode,YSZ/YDCfutureco-scaling,glassseal,steelmass,lifetimes andoperatingH2energy unchanged. No primary/secondary-share or runtime changes.
PREVIOUS NOTES (retained as history; the correction above takes precedence):
APPROVED SOEC INORGANIC GLASS-SEAL REFERENCE, issue91, 2026-10-18. Sun,Xiao,Guo,Hong2010,CeramicsInternational36:821-826,DOI10.1016/j.ceramint.2009.09.045,experimentalBaO-Al2O3-B2O3-SiO2glassfamily:base40BaO/20B2O3/40SiO2mol%,Al2O3replacesB2O3/SiO2atconstant2:1Si/Boxide-moleratio;5mol%Alvariantidentifiedasstable,melting1400-1500Cfor1hour. https://www.sciencedirect.com/science/article/pii/S0272884209003812 . ExistingGerloff2021sealantmass4*6.4kg retained. SiliconepolymerisnotSiO2glassformer. Replacefour6.4kgingredients(Al2O3,B2O3,BaO,silicone)by25.6kgofonefinishedglassreference. Select/reconstruct5mol%Al2O3member:40BaO,5Al2O3,18.333333B2O3,36.666667SiO2mol%;theseareoxideMOLfractions,notweightfractions. Correspondingretainedweightfractions={'BaO': 0.6059001794302946, 'Al2O3': 0.05036460625483175, 'B2O3': 0.12609040016734147, 'SiO2': 0.21764481414753226}. Total25.6kgfinishedsealisinheritedengineeringmass,notmeasuredfromthispublishedglassdesign;sourceTable1fullcompositionwasnotindependentlyrecovered,recipeisexplicitreconstructionfrompublishedseriesdescription. UsingSOFCsealingglassasSOECanalogue doesnotdemonstrateactualstacksealgeometry,thermalcycling,dual-atmospherecompatibilityorleaktightness. PurchaseactualBaO,Al2O3,B2O3,SiO2equivalentsscaledby1/0.95forselected95%melting/formingretention,withmatchedsolidglassreject1/.95-1kg/kgtoexistingmixedhazardoustreatmentproxy;volatilizedB/alkalicomponentsandactualwasteclassificationunresolved.6MJ/kgthermaland1kWh/kgmilling/formingareexplicitengineeringutilityallowancesfor1450Cmelting/quenching,notmeasuredsourceutilities;test3-12MJ/kg,0.2-2kWh/kgand90-100%retention. SilicasandisbulkSiO2purityproxy,nonmetallurgicalaluminaisspecialtyoxideproxy;semiconductorgradepurificationnotclaimed. ExistingapprovedYSZ/YDCchemistryandfutureY/Ce/Zrco-scaling,Ni/La/Sr/Prpurchases,steel,stackreplacementandhydrogenoutputallocationunchanged. Do notreduceentirestackorapplyfuturedensitylearningtosealwithoutsource. No newnative/runtime/YAMLchangesorprimary-secondarycredit.
PREVIOUS NOTES (retained as history; the correction above takes precedence):
1 MWe Solid Oxide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Produced amount of H2 over 20 years: 3779894.18 kg. Amounts of lanthanum oxide and strontium carbonate are unsure. 
SOEC matched ceramic reference v1. YSZ: 8 mol% Y2O3 among binary oxides; YDC: Ce0.8Y0.2O1.9 (20% Y on cation sites). Gerloff 2021 capacity scaling of the attributed Haefele 2016 component masses, not concentrate mass treated as pure oxide. Mixed Sm/Eu/Gd proxy replaced by stoichiometric Y2O3. See data/metals/soec_ceramic_reference.json for source-access limits, explicit composition/scaling assumptions and remaining whole-stack gaps.</t>
        </is>
      </c>
      <c r="K466" s="12"/>
      <c r="L466" s="12"/>
      <c r="M466" s="12"/>
      <c r="N466" s="12"/>
      <c r="O466" s="12"/>
      <c r="P466" s="12"/>
    </row>
    <row r="467" spans="1:20" s="11" customFormat="1" ht="16" x14ac:dyDescent="0.2">
      <c r="A467" s="13" t="s">
        <v>4</v>
      </c>
      <c r="B467" s="16" t="s">
        <v>150</v>
      </c>
      <c r="K467" s="12"/>
      <c r="L467" s="12"/>
      <c r="M467" s="12"/>
      <c r="N467" s="12"/>
      <c r="O467" s="12"/>
      <c r="P467" s="12"/>
    </row>
    <row r="468" spans="1:20" s="11" customFormat="1" ht="16" x14ac:dyDescent="0.2">
      <c r="A468" s="13" t="s">
        <v>2</v>
      </c>
      <c r="B468" s="14" t="s">
        <v>34</v>
      </c>
      <c r="K468" s="12"/>
      <c r="L468" s="12"/>
      <c r="M468" s="12"/>
      <c r="N468" s="12"/>
      <c r="O468" s="12"/>
      <c r="P468" s="12"/>
    </row>
    <row r="469" spans="1:20" s="11" customFormat="1" ht="16" x14ac:dyDescent="0.2">
      <c r="A469" s="13" t="s">
        <v>6</v>
      </c>
      <c r="B469" s="16" t="s">
        <v>6</v>
      </c>
      <c r="K469" s="12"/>
      <c r="L469" s="12"/>
      <c r="M469" s="12"/>
      <c r="N469" s="12"/>
      <c r="O469" s="12"/>
      <c r="P469" s="12"/>
    </row>
    <row r="470" spans="1:20" s="11" customFormat="1" ht="16" x14ac:dyDescent="0.2">
      <c r="A470" s="17" t="s">
        <v>7</v>
      </c>
      <c r="B470" s="9"/>
      <c r="C470" s="17"/>
      <c r="D470" s="17"/>
      <c r="E470" s="17"/>
      <c r="F470" s="17"/>
      <c r="G470" s="17"/>
      <c r="H470" s="17"/>
      <c r="I470" s="17"/>
      <c r="J470" s="17"/>
      <c r="K470" s="12"/>
      <c r="L470" s="12"/>
      <c r="M470" s="12"/>
      <c r="N470" s="12"/>
      <c r="O470" s="12"/>
      <c r="P470" s="12"/>
    </row>
    <row r="471" spans="1:20" s="11" customFormat="1" ht="16" x14ac:dyDescent="0.2">
      <c r="A471" s="17" t="s">
        <v>8</v>
      </c>
      <c r="B471" s="9" t="s">
        <v>9</v>
      </c>
      <c r="C471" s="17" t="s">
        <v>2</v>
      </c>
      <c r="D471" s="17" t="s">
        <v>6</v>
      </c>
      <c r="E471" s="23" t="s">
        <v>10</v>
      </c>
      <c r="F471" s="17" t="s">
        <v>5</v>
      </c>
      <c r="G471" s="17" t="s">
        <v>4</v>
      </c>
      <c r="H471" s="23" t="s">
        <v>11</v>
      </c>
      <c r="I471" s="17"/>
      <c r="J471" s="7"/>
      <c r="K471" s="18"/>
      <c r="L471" s="18"/>
      <c r="M471" s="18"/>
      <c r="N471" s="18"/>
      <c r="O471" s="18"/>
      <c r="P471" s="18"/>
      <c r="Q471" s="7"/>
      <c r="R471" s="7"/>
      <c r="S471" s="17"/>
      <c r="T471" s="7"/>
    </row>
    <row r="472" spans="1:20" s="11" customFormat="1" ht="16" x14ac:dyDescent="0.2">
      <c r="A472" s="16" t="str">
        <f>B464</f>
        <v>electrolyzer production, 1MWe, SOEC, Stack</v>
      </c>
      <c r="B472" s="16">
        <v>1</v>
      </c>
      <c r="C472" s="11" t="s">
        <v>34</v>
      </c>
      <c r="D472" s="11" t="str">
        <f>B469</f>
        <v>unit</v>
      </c>
      <c r="F472" s="11" t="s">
        <v>16</v>
      </c>
      <c r="G472" s="11" t="str">
        <f>B467</f>
        <v>electrolyzer, 1MWe, SOEC, Stack</v>
      </c>
      <c r="H472" t="inlineStr">
        <is>
          <t>APPROVED SOEC FERRITIC INTERCONNECT REFERENCE, issue95, 2026-10-18. Hafele2016 DOI10.1016/j.ijhydene.2016.05.069 SI FigS1:chromiumsteelplate-&gt;deepdrawing+LSMcoating-&gt;interconnect; main stackdescription2outer3kg and4inner145g plates. Gerloff2021 PtM SI pS16 retains8976.1kg18/8steel but labels air-electrode. VDM Crofer22APU datasheet4146rev01 March2022 Table2 andApplications p5 explicitly SOEC interconnects/bipolarplates:Cr20-24wt%,Mn0.30-0.80,Ti0.03-0.20,La0.04-0.20,Fe balance. https://www.vdm-metals.com/fileadmin/user_upload/Downloads/Data_Sheets/Data_Sheet_VDM_Crofer_22_APU.pdf . Sourceflow8976.1kg is treated as the interconnectplate package based on originalmanufacturingdiagram,not9tair-electrodecatalyst. AdoptCrofer22APU-type reference for THIS stackinput only; do not replace ordinaryBoP18/8heat exchangers. Preserve8976.1kgfinishedsteel and8976.1kgexistingrollingservice; mass derives labstackscaleup and is NOT independently validated industrialMWgeometry. Preserve priorLSM,PrNi,ceramics,stackreplacement andlearning. Reference alloy massfractions={'Cr': 0.22, 'Mn': 0.005, 'Ti': 0.001, 'La': 0.001, 'Si': 0.001, 'Al': 0.0005, 'Cu': 0.0005, 'C': 0.0001, 'P': 5e-05, 'S': 5e-05, 'Fe': 0.7708}. Midrange/lowresidual choices are explicit assumptions within publishedranges,not measured heat assay. No intentionalNi addition; unknownresidualNi/othertraceimpurities are NOT provenzero. ActualoldNi8% cannot be claimed quantitatively without suppliercomposition; compareold18/8 as sensitivity. Cr20-24,Mn0.3-0.8,La0.04-0.20wt% sensitivities. Fe usesunalloyedsteel as feed-gradeproxy,withitsownminoralloys unresolved; completecomponentmetaluse is not identical toelementalpureFe. Addalloyingmaterialsonce and0.5kWh+2MJ/kgremeltingreference (0.25-1kWh/1-4MJsensitivity),not a completeCrsteel production dataset on top. Matchfinishedsteelmass1kgwith100%finalalloyretention; alloyingyield/slag andtracepickup remain gaps. La metal unavailable: explicit netoxide/carbon electrolyticreference La2O3+1.5C-&gt;2La+1.5CO2,95%metalretention,10kWh/kg+3MJ/kgassumed; fluoridebathmakeup,PFCemissions,purification andcalcium-route alternatives unresolved. Thisisstoichiometricnetelectrolysis,NOTthermal carbothermic reduction orvalidatedvendorLa process. Metalrejectgenericinertdisposal; La/C/O/massclose. FinishedinterconnectEOLexistingsteelcollection amount retained; genericsteelroute doesnotvalidatealloy-specificrecycling orrecoverycredits. Native/YAML/runtime/primary-secondaryshares untouched.</t>
        </is>
      </c>
      <c r="K472" s="12"/>
      <c r="L472" s="12"/>
      <c r="M472" s="12"/>
      <c r="N472" s="12"/>
      <c r="O472" s="12"/>
      <c r="P472" s="12"/>
    </row>
    <row r="473" spans="1:20" s="11" customFormat="1" ht="16" x14ac:dyDescent="0.2">
      <c r="A473" s="11" t="s">
        <v>73</v>
      </c>
      <c r="B473" s="12">
        <v>8976.1</v>
      </c>
      <c r="C473" s="11" t="s">
        <v>17</v>
      </c>
      <c r="D473" s="11" t="s">
        <v>13</v>
      </c>
      <c r="F473" s="11" t="s">
        <v>12</v>
      </c>
      <c r="G473" s="11" t="s">
        <v>74</v>
      </c>
      <c r="H473" s="11" t="inlineStr">
        <is>
          <t>APPROVED SOEC FERRITIC INTERCONNECT REFERENCE, issue95, 2026-10-18. Hafele2016 DOI10.1016/j.ijhydene.2016.05.069 SI FigS1:chromiumsteelplate-&gt;deepdrawing+LSMcoating-&gt;interconnect; main stackdescription2outer3kg and4inner145g plates. Gerloff2021 PtM SI pS16 retains8976.1kg18/8steel but labels air-electrode. VDM Crofer22APU datasheet4146rev01 March2022 Table2 andApplications p5 explicitly SOEC interconnects/bipolarplates:Cr20-24wt%,Mn0.30-0.80,Ti0.03-0.20,La0.04-0.20,Fe balance. https://www.vdm-metals.com/fileadmin/user_upload/Downloads/Data_Sheets/Data_Sheet_VDM_Crofer_22_APU.pdf . Sourceflow8976.1kg is treated as the interconnectplate package based on originalmanufacturingdiagram,not9tair-electrodecatalyst. AdoptCrofer22APU-type reference for THIS stackinput only; do not replace ordinaryBoP18/8heat exchangers. Preserve8976.1kgfinishedsteel and8976.1kgexistingrollingservice; mass derives labstackscaleup and is NOT independently validated industrialMWgeometry. Preserve priorLSM,PrNi,ceramics,stackreplacement andlearning. Reference alloy massfractions={'Cr': 0.22, 'Mn': 0.005, 'Ti': 0.001, 'La': 0.001, 'Si': 0.001, 'Al': 0.0005, 'Cu': 0.0005, 'C': 0.0001, 'P': 5e-05, 'S': 5e-05, 'Fe': 0.7708}. Midrange/lowresidual choices are explicit assumptions within publishedranges,not measured heat assay. No intentionalNi addition; unknownresidualNi/othertraceimpurities are NOT provenzero. ActualoldNi8% cannot be claimed quantitatively without suppliercomposition; compareold18/8 as sensitivity. Cr20-24,Mn0.3-0.8,La0.04-0.20wt% sensitivities. Fe usesunalloyedsteel as feed-gradeproxy,withitsownminoralloys unresolved; completecomponentmetaluse is not identical toelementalpureFe. Addalloyingmaterialsonce and0.5kWh+2MJ/kgremeltingreference (0.25-1kWh/1-4MJsensitivity),not a completeCrsteel production dataset on top. Matchfinishedsteelmass1kgwith100%finalalloyretention; alloyingyield/slag andtracepickup remain gaps. La metal unavailable: explicit netoxide/carbon electrolyticreference La2O3+1.5C-&gt;2La+1.5CO2,95%metalretention,10kWh/kg+3MJ/kgassumed; fluoridebathmakeup,PFCemissions,purification andcalcium-route alternatives unresolved. Thisisstoichiometricnetelectrolysis,NOTthermal carbothermic reduction orvalidatedvendorLa process. Metalrejectgenericinertdisposal; La/C/O/massclose. FinishedinterconnectEOLexistingsteelcollection amount retained; genericsteelroute doesnotvalidatealloy-specificrecycling orrecoverycredits. Native/YAML/runtime/primary-secondaryshares untouched.</t>
        </is>
      </c>
      <c r="J473"/>
      <c r="K473" s="19"/>
      <c r="L473" s="19"/>
      <c r="M473" s="19"/>
      <c r="N473" s="19"/>
      <c r="O473" s="19"/>
      <c r="P473" s="19"/>
      <c r="Q473"/>
      <c r="R473"/>
    </row>
    <row r="474" spans="1:20" s="11" customFormat="1" ht="16" x14ac:dyDescent="0.2">
      <c r="A474" s="11" t="inlineStr">
        <is>
          <t xml:space="preserve">ferritic steel production, electrolysis interconnect, Crofer 22 APU type</t>
        </is>
      </c>
      <c r="B474" s="12">
        <v>8976.1</v>
      </c>
      <c r="C474" s="11" t="inlineStr">
        <is>
          <t>GLO</t>
        </is>
      </c>
      <c r="D474" s="11" t="s">
        <v>13</v>
      </c>
      <c r="F474" s="11" t="s">
        <v>12</v>
      </c>
      <c r="G474" s="11" t="inlineStr">
        <is>
          <t xml:space="preserve">ferritic steel, electrolysis interconnect, Crofer 22 APU type</t>
        </is>
      </c>
      <c r="H474" s="11" t="inlineStr">
        <is>
          <t>APPROVED SOEC FERRITIC INTERCONNECT REFERENCE, issue95, 2026-10-18. Hafele2016 DOI10.1016/j.ijhydene.2016.05.069 SI FigS1:chromiumsteelplate-&gt;deepdrawing+LSMcoating-&gt;interconnect; main stackdescription2outer3kg and4inner145g plates. Gerloff2021 PtM SI pS16 retains8976.1kg18/8steel but labels air-electrode. VDM Crofer22APU datasheet4146rev01 March2022 Table2 andApplications p5 explicitly SOEC interconnects/bipolarplates:Cr20-24wt%,Mn0.30-0.80,Ti0.03-0.20,La0.04-0.20,Fe balance. https://www.vdm-metals.com/fileadmin/user_upload/Downloads/Data_Sheets/Data_Sheet_VDM_Crofer_22_APU.pdf . Sourceflow8976.1kg is treated as the interconnectplate package based on originalmanufacturingdiagram,not9tair-electrodecatalyst. AdoptCrofer22APU-type reference for THIS stackinput only; do not replace ordinaryBoP18/8heat exchangers. Preserve8976.1kgfinishedsteel and8976.1kgexistingrollingservice; mass derives labstackscaleup and is NOT independently validated industrialMWgeometry. Preserve priorLSM,PrNi,ceramics,stackreplacement andlearning. Reference alloy massfractions={'Cr': 0.22, 'Mn': 0.005, 'Ti': 0.001, 'La': 0.001, 'Si': 0.001, 'Al': 0.0005, 'Cu': 0.0005, 'C': 0.0001, 'P': 5e-05, 'S': 5e-05, 'Fe': 0.7708}. Midrange/lowresidual choices are explicit assumptions within publishedranges,not measured heat assay. No intentionalNi addition; unknownresidualNi/othertraceimpurities are NOT provenzero. ActualoldNi8% cannot be claimed quantitatively without suppliercomposition; compareold18/8 as sensitivity. Cr20-24,Mn0.3-0.8,La0.04-0.20wt% sensitivities. Fe usesunalloyedsteel as feed-gradeproxy,withitsownminoralloys unresolved; completecomponentmetaluse is not identical toelementalpureFe. Addalloyingmaterialsonce and0.5kWh+2MJ/kgremeltingreference (0.25-1kWh/1-4MJsensitivity),not a completeCrsteel production dataset on top. Matchfinishedsteelmass1kgwith100%finalalloyretention; alloyingyield/slag andtracepickup remain gaps. La metal unavailable: explicit netoxide/carbon electrolyticreference La2O3+1.5C-&gt;2La+1.5CO2,95%metalretention,10kWh/kg+3MJ/kgassumed; fluoridebathmakeup,PFCemissions,purification andcalcium-route alternatives unresolved. Thisisstoichiometricnetelectrolysis,NOTthermal carbothermic reduction orvalidatedvendorLa process. Metalrejectgenericinertdisposal; La/C/O/massclose. FinishedinterconnectEOLexistingsteelcollection amount retained; genericsteelroute doesnotvalidatealloy-specificrecycling orrecoverycredits. Native/YAML/runtime/primary-secondaryshares untouched.</t>
        </is>
      </c>
      <c r="J474"/>
      <c r="K474" s="19"/>
      <c r="L474" s="19"/>
      <c r="M474" s="19"/>
      <c r="N474" s="19"/>
      <c r="O474" s="19"/>
      <c r="P474" s="19"/>
      <c r="Q474"/>
      <c r="R474"/>
    </row>
    <row r="475" spans="1:20" s="11" customFormat="1" ht="16" x14ac:dyDescent="0.2">
      <c r="A475" s="11" t="s">
        <v>155</v>
      </c>
      <c r="B475" s="12">
        <v>9</v>
      </c>
      <c r="C475" s="11" t="s">
        <v>17</v>
      </c>
      <c r="D475" s="11" t="s">
        <v>13</v>
      </c>
      <c r="F475" s="11" t="s">
        <v>12</v>
      </c>
      <c r="G475" s="11" t="s">
        <v>156</v>
      </c>
      <c r="H475" s="11" t="s">
        <v>157</v>
      </c>
      <c r="J475"/>
      <c r="K475" s="19"/>
      <c r="L475" s="19"/>
      <c r="M475" s="19"/>
      <c r="N475" s="19"/>
      <c r="O475" s="19"/>
      <c r="P475" s="19"/>
      <c r="Q475"/>
      <c r="R475"/>
    </row>
    <row r="476" spans="1:20" s="11" customFormat="1" ht="16" x14ac:dyDescent="0.2">
      <c r="A476" s="11" t="s">
        <v>131</v>
      </c>
      <c r="B476" s="12">
        <v>7.5</v>
      </c>
      <c r="C476" s="11" t="s">
        <v>17</v>
      </c>
      <c r="D476" s="11" t="s">
        <v>13</v>
      </c>
      <c r="F476" s="11" t="s">
        <v>12</v>
      </c>
      <c r="G476" s="11" t="s">
        <v>132</v>
      </c>
      <c r="H476" s="11" t="s">
        <v>157</v>
      </c>
      <c r="J476"/>
      <c r="K476" s="19"/>
      <c r="L476" s="19"/>
      <c r="M476" s="19"/>
      <c r="N476" s="19"/>
      <c r="O476" s="19"/>
      <c r="P476" s="19"/>
      <c r="Q476"/>
      <c r="R476"/>
    </row>
    <row r="477" spans="1:20" s="11" customFormat="1" ht="16" x14ac:dyDescent="0.2">
      <c r="A477" t="inlineStr">
        <is>
          <t>market for zirconium oxide</t>
        </is>
      </c>
      <c r="B477">
        <v>160.0199108606363</v>
      </c>
      <c r="C477" s="11" t="s">
        <v>17</v>
      </c>
      <c r="D477" s="11" t="s">
        <v>13</v>
      </c>
      <c r="F477" s="11" t="s">
        <v>12</v>
      </c>
      <c r="G477" t="inlineStr">
        <is>
          <t>zirconium oxide</t>
        </is>
      </c>
      <c r="H477" t="inlineStr">
        <is>
          <t>YSZ ceramic component. SOEC matched ceramic reference v1. YSZ: 8 mol% Y2O3 among binary oxides; YDC: Ce0.8Y0.2O1.9 (20% Y on cation sites). Gerloff 2021 capacity scaling of the attributed Haefele 2016 component masses, not concentrate mass treated as pure oxide. Mixed Sm/Eu/Gd proxy replaced by stoichiometric Y2O3. See data/metals/soec_ceramic_reference.json for source-access limits, explicit composition/scaling assumptions and remaining whole-stack gaps.</t>
        </is>
      </c>
      <c r="J477"/>
      <c r="K477" s="19"/>
      <c r="L477" s="19"/>
      <c r="M477" s="19"/>
      <c r="N477" s="19"/>
      <c r="O477" s="19"/>
      <c r="P477" s="19"/>
      <c r="Q477"/>
      <c r="R477"/>
    </row>
    <row r="478" spans="1:20" s="11" customFormat="1" ht="16" x14ac:dyDescent="0.2">
      <c r="A478" t="inlineStr">
        <is>
          <t>market for yttrium oxide</t>
        </is>
      </c>
      <c r="B478">
        <v>25.49931784143426</v>
      </c>
      <c r="C478" s="11" t="s">
        <v>17</v>
      </c>
      <c r="D478" s="11" t="s">
        <v>13</v>
      </c>
      <c r="F478" s="11" t="s">
        <v>12</v>
      </c>
      <c r="G478" t="inlineStr">
        <is>
          <t>yttrium oxide</t>
        </is>
      </c>
      <c r="H478" t="inlineStr">
        <is>
          <t>YSZ ceramic component. SOEC matched ceramic reference v1. YSZ: 8 mol% Y2O3 among binary oxides; YDC: Ce0.8Y0.2O1.9 (20% Y on cation sites). Gerloff 2021 capacity scaling of the attributed Haefele 2016 component masses, not concentrate mass treated as pure oxide. Mixed Sm/Eu/Gd proxy replaced by stoichiometric Y2O3. See data/metals/soec_ceramic_reference.json for source-access limits, explicit composition/scaling assumptions and remaining whole-stack gaps.</t>
        </is>
      </c>
      <c r="J478"/>
      <c r="K478" s="19"/>
      <c r="L478" s="19"/>
      <c r="M478" s="19"/>
      <c r="N478" s="19"/>
      <c r="O478" s="19"/>
      <c r="P478" s="19"/>
      <c r="Q478"/>
      <c r="R478"/>
    </row>
    <row r="479" spans="1:20" s="11" customFormat="1" ht="16" x14ac:dyDescent="0.2">
      <c r="A479" t="inlineStr">
        <is>
          <t>market for cerium oxide</t>
        </is>
      </c>
      <c r="B479">
        <v>98.25386326929126</v>
      </c>
      <c r="C479" s="11" t="s">
        <v>17</v>
      </c>
      <c r="D479" s="11" t="s">
        <v>13</v>
      </c>
      <c r="F479" s="11" t="s">
        <v>12</v>
      </c>
      <c r="G479" t="inlineStr">
        <is>
          <t>cerium oxide</t>
        </is>
      </c>
      <c r="H479" t="inlineStr">
        <is>
          <t>YDC ceramic component. SOEC matched ceramic reference v1. YSZ: 8 mol% Y2O3 among binary oxides; YDC: Ce0.8Y0.2O1.9 (20% Y on cation sites). Gerloff 2021 capacity scaling of the attributed Haefele 2016 component masses, not concentrate mass treated as pure oxide. Mixed Sm/Eu/Gd proxy replaced by stoichiometric Y2O3. See data/metals/soec_ceramic_reference.json for source-access limits, explicit composition/scaling assumptions and remaining whole-stack gaps.</t>
        </is>
      </c>
      <c r="J479"/>
      <c r="K479" s="19"/>
      <c r="L479" s="19"/>
      <c r="M479" s="19"/>
      <c r="N479" s="19"/>
      <c r="O479" s="19"/>
      <c r="P479" s="19"/>
      <c r="Q479"/>
      <c r="R479"/>
    </row>
    <row r="480" spans="1:20" s="11" customFormat="1" ht="16" x14ac:dyDescent="0.2">
      <c r="A480" t="inlineStr">
        <is>
          <t>market for yttrium oxide</t>
        </is>
      </c>
      <c r="B480">
        <v>16.113284777632224</v>
      </c>
      <c r="C480" s="11" t="s">
        <v>17</v>
      </c>
      <c r="D480" s="11" t="s">
        <v>13</v>
      </c>
      <c r="F480" s="11" t="s">
        <v>12</v>
      </c>
      <c r="G480" t="inlineStr">
        <is>
          <t>yttrium oxide</t>
        </is>
      </c>
      <c r="H480" t="inlineStr">
        <is>
          <t>YDC ceramic component. SOEC matched ceramic reference v1. YSZ: 8 mol% Y2O3 among binary oxides; YDC: Ce0.8Y0.2O1.9 (20% Y on cation sites). Gerloff 2021 capacity scaling of the attributed Haefele 2016 component masses, not concentrate mass treated as pure oxide. Mixed Sm/Eu/Gd proxy replaced by stoichiometric Y2O3. See data/metals/soec_ceramic_reference.json for source-access limits, explicit composition/scaling assumptions and remaining whole-stack gaps.</t>
        </is>
      </c>
      <c r="J480"/>
      <c r="K480" s="19"/>
      <c r="L480" s="19"/>
      <c r="M480" s="19"/>
      <c r="N480" s="19"/>
      <c r="O480" s="19"/>
      <c r="P480" s="19"/>
      <c r="Q480"/>
      <c r="R480"/>
    </row>
    <row r="481" spans="1:18" s="11" customFormat="1" ht="16" x14ac:dyDescent="0.2">
      <c r="A481" s="11" t="inlineStr">
        <is>
          <t xml:space="preserve">contact ceramic production, lanthanum strontium manganite, La0.8Sr0.2MnO3</t>
        </is>
      </c>
      <c r="B481" s="12">
        <f>2.1</f>
        <v>2.1</v>
      </c>
      <c r="C481" s="11" t="inlineStr">
        <is>
          <t>GLO</t>
        </is>
      </c>
      <c r="D481" s="11" t="s">
        <v>13</v>
      </c>
      <c r="F481" s="11" t="s">
        <v>12</v>
      </c>
      <c r="G481" s="11" t="inlineStr">
        <is>
          <t xml:space="preserve">contact ceramic, lanthanum strontium manganite, La0.8Sr0.2MnO3</t>
        </is>
      </c>
      <c r="H481" s="11" t="inlineStr">
        <is>
          <t>APPROVED COMPLETE SOEC LSM REFERENCE, issue94, 2026-10-18. Gerloff2021 DOI10.1016/j.est.2021.102759 Sec2.2.3, Hafele2016 DOI10.1016/j.ijhydene.2016.05.069 SI FigS1 identifies LSM coating on interconnects, not electrolyte. Wei et al.2024 DOI10.1039/D3EE03875K indexed SI TableS17 reports2.1kg finishedLSM perMW; full SI retrieval currently404. Original Gerloff PtM SI DOI10.1021/acssuschemeng.1c02002 pS16 defers La/Sr quantities to a separate material-generation sheet. Stoichiometry below is independently balanced, not copied from the deficient indexed S18 synthesis. Replace uncertain21kgLa2O3+21kgSrCO3 placeholders (both formerly to-check) by2.1kgfinishedLa0.8Sr0.2MnO3 perexistingMWstack. This is an explicit published-reference adoption, NOT recovered manufacturer BOM or proof that originalGerloff21kg meant2.1kg. Source-dose sensitivity2.1-21kgfinishedLSM required; old42kgrawsalts is not a chemically defined alternative. La0.8Sr0.2MnO3 is selected nominal oxygen-stoichiometric LSM; actual Sr doping/oxygen nonstoichiometry/contact-layer loading remain gaps. Net reaction0.4La2O3+0.2SrCO3+MnO2 -&gt;La0.8Sr0.2MnO3+0.2CO2+0.2O2. Use95% finished-solid retention,100% conversion before5%handlingreject; yields90-100%sensitivity. Perkgfinished feeds={'La2O3': 0.5923666319735489, 'SrCO3': 0.13420468074687047, 'MnO2': 0.3951562044603966};CO2=0.040007409129630044kg,O2=0.02908852910381745kg,reject=0.05263157894736836kg.6MJ/kgheat+1kWh/kgmilling/sintering is an engineering allowance,not measured industrial calcination (3-12MJ and0.5-2kWhsensitivity). All stoichiometric C/La/Sr/Mn/O and mass close. No nitric-acid/chloroacetic-acid/ammonia route or unsupported metal-free binder is silently copied. Keep totalfinished2.1kg distinct from grossprecursorfeed. Newsolidwaste andfinishedceramic EOL use genericinertdisposal,not validated heavy-metal-specific treatment/recovery. Existing Pr/Ni air-electrode,YSZ/YDCfutureco-scaling,glassseal,steelmass,lifetimes andoperatingH2energy unchanged. No primary/secondary-share or runtime changes.</t>
        </is>
      </c>
      <c r="J481"/>
      <c r="K481" s="19"/>
      <c r="L481" s="19"/>
      <c r="M481" s="19"/>
      <c r="N481" s="19"/>
      <c r="O481" s="19"/>
      <c r="P481" s="19"/>
      <c r="Q481"/>
      <c r="R481"/>
    </row>
    <row r="482" spans="1:18" s="11" customFormat="1" ht="16" x14ac:dyDescent="0.2">
      <c r="A482" s="11"/>
      <c r="B482" s="12"/>
      <c r="C482" s="11"/>
      <c r="D482" s="11"/>
      <c r="F482" s="11"/>
      <c r="G482" s="11"/>
      <c r="H482" s="11"/>
      <c r="J482"/>
      <c r="K482" s="19"/>
      <c r="L482" s="19"/>
      <c r="M482" s="19"/>
      <c r="N482" s="19"/>
      <c r="O482" s="19"/>
      <c r="P482" s="19"/>
      <c r="Q482"/>
      <c r="R482"/>
    </row>
    <row r="483" spans="1:18" s="11" customFormat="1" ht="16" x14ac:dyDescent="0.2">
      <c r="A483" s="11" t="inlineStr">
        <is>
          <t xml:space="preserve">glass seal production, SOEC, barium alumino-borosilicate</t>
        </is>
      </c>
      <c r="B483" s="12">
        <v>25.6</v>
      </c>
      <c r="C483" s="11" t="inlineStr">
        <is>
          <t>GLO</t>
        </is>
      </c>
      <c r="D483" s="11" t="s">
        <v>13</v>
      </c>
      <c r="F483" s="11" t="s">
        <v>12</v>
      </c>
      <c r="G483" s="11" t="inlineStr">
        <is>
          <t xml:space="preserve">glass seal, SOEC, barium alumino-borosilicate</t>
        </is>
      </c>
      <c r="H483" s="11" t="inlineStr">
        <is>
          <t>APPROVED SOEC INORGANIC GLASS-SEAL REFERENCE, issue91, 2026-10-18. Sun,Xiao,Guo,Hong2010,CeramicsInternational36:821-826,DOI10.1016/j.ceramint.2009.09.045,experimentalBaO-Al2O3-B2O3-SiO2glassfamily:base40BaO/20B2O3/40SiO2mol%,Al2O3replacesB2O3/SiO2atconstant2:1Si/Boxide-moleratio;5mol%Alvariantidentifiedasstable,melting1400-1500Cfor1hour. https://www.sciencedirect.com/science/article/pii/S0272884209003812 . ExistingGerloff2021sealantmass4*6.4kg retained. SiliconepolymerisnotSiO2glassformer. Replacefour6.4kgingredients(Al2O3,B2O3,BaO,silicone)by25.6kgofonefinishedglassreference. Select/reconstruct5mol%Al2O3member:40BaO,5Al2O3,18.333333B2O3,36.666667SiO2mol%;theseareoxideMOLfractions,notweightfractions. Correspondingretainedweightfractions={'BaO': 0.6059001794302946, 'Al2O3': 0.05036460625483175, 'B2O3': 0.12609040016734147, 'SiO2': 0.21764481414753226}. Total25.6kgfinishedsealisinheritedengineeringmass,notmeasuredfromthispublishedglassdesign;sourceTable1fullcompositionwasnotindependentlyrecovered,recipeisexplicitreconstructionfrompublishedseriesdescription. UsingSOFCsealingglassasSOECanalogue doesnotdemonstrateactualstacksealgeometry,thermalcycling,dual-atmospherecompatibilityorleaktightness. PurchaseactualBaO,Al2O3,B2O3,SiO2equivalentsscaledby1/0.95forselected95%melting/formingretention,withmatchedsolidglassreject1/.95-1kg/kgtoexistingmixedhazardoustreatmentproxy;volatilizedB/alkalicomponentsandactualwasteclassificationunresolved.6MJ/kgthermaland1kWh/kgmilling/formingareexplicitengineeringutilityallowancesfor1450Cmelting/quenching,notmeasuredsourceutilities;test3-12MJ/kg,0.2-2kWh/kgand90-100%retention. SilicasandisbulkSiO2purityproxy,nonmetallurgicalaluminaisspecialtyoxideproxy;semiconductorgradepurificationnotclaimed. ExistingapprovedYSZ/YDCchemistryandfutureY/Ce/Zrco-scaling,Ni/La/Sr/Prpurchases,steel,stackreplacementandhydrogenoutputallocationunchanged. Do notreduceentirestackorapplyfuturedensitylearningtosealwithoutsource. No newnative/runtime/YAMLchangesorprimary-secondarycredit.</t>
        </is>
      </c>
      <c r="J483"/>
      <c r="K483" s="19"/>
      <c r="L483" s="19"/>
      <c r="M483" s="19"/>
      <c r="N483" s="19"/>
      <c r="O483" s="19"/>
      <c r="P483" s="19"/>
      <c r="Q483"/>
      <c r="R483"/>
    </row>
    <row r="484" spans="1:18" s="11" customFormat="1" ht="16" x14ac:dyDescent="0.2">
      <c r="A484" s="11"/>
      <c r="B484" s="12"/>
      <c r="C484" s="11"/>
      <c r="D484" s="11"/>
      <c r="F484" s="11"/>
      <c r="G484" s="11"/>
      <c r="H484" s="11"/>
      <c r="J484"/>
      <c r="K484" s="19"/>
      <c r="L484" s="19"/>
      <c r="M484" s="19"/>
      <c r="N484" s="19"/>
      <c r="O484" s="19"/>
      <c r="P484" s="19"/>
      <c r="Q484"/>
      <c r="R484"/>
    </row>
    <row r="485" spans="1:18" s="11" customFormat="1" ht="16" x14ac:dyDescent="0.2">
      <c r="A485" s="11"/>
      <c r="B485" s="12"/>
      <c r="C485" s="11"/>
      <c r="D485" s="11"/>
      <c r="F485" s="11"/>
      <c r="G485" s="11"/>
      <c r="H485" s="11"/>
      <c r="J485"/>
      <c r="K485" s="19"/>
      <c r="L485" s="19"/>
      <c r="M485" s="19"/>
      <c r="N485" s="19"/>
      <c r="O485" s="19"/>
      <c r="P485" s="19"/>
      <c r="Q485"/>
      <c r="R485"/>
    </row>
    <row r="486" spans="1:18" s="11" customFormat="1" ht="16" x14ac:dyDescent="0.2">
      <c r="A486" s="11"/>
      <c r="B486" s="12"/>
      <c r="C486" s="11"/>
      <c r="D486" s="11"/>
      <c r="F486" s="11"/>
      <c r="G486" s="11"/>
      <c r="H486" s="11"/>
      <c r="J486"/>
      <c r="K486" s="19"/>
      <c r="L486" s="19"/>
      <c r="M486" s="19"/>
      <c r="N486" s="19"/>
      <c r="O486" s="19"/>
      <c r="P486" s="19"/>
      <c r="Q486"/>
      <c r="R486"/>
    </row>
    <row r="487" spans="1:18" s="11" customFormat="1" ht="16" x14ac:dyDescent="0.2">
      <c r="A487" s="11" t="s">
        <v>131</v>
      </c>
      <c r="B487" s="12">
        <v>136.6</v>
      </c>
      <c r="C487" s="11" t="s">
        <v>17</v>
      </c>
      <c r="D487" s="11" t="s">
        <v>13</v>
      </c>
      <c r="F487" s="11" t="s">
        <v>12</v>
      </c>
      <c r="G487" s="11" t="s">
        <v>132</v>
      </c>
      <c r="H487" s="11" t="s">
        <v>178</v>
      </c>
      <c r="J487"/>
      <c r="K487" s="19"/>
      <c r="L487" s="19"/>
      <c r="M487" s="19"/>
      <c r="N487" s="19"/>
      <c r="O487" s="19"/>
      <c r="P487" s="19"/>
      <c r="Q487"/>
      <c r="R487"/>
    </row>
    <row r="488" spans="1:18" s="11" customFormat="1" ht="16" x14ac:dyDescent="0.2">
      <c r="A488" s="11" t="s">
        <v>33</v>
      </c>
      <c r="B488" s="12">
        <v>122224.433</v>
      </c>
      <c r="C488" s="11" t="s">
        <v>17</v>
      </c>
      <c r="D488" s="11" t="s">
        <v>35</v>
      </c>
      <c r="F488" s="11" t="s">
        <v>12</v>
      </c>
      <c r="G488" s="11" t="s">
        <v>36</v>
      </c>
      <c r="H488" s="11" t="s">
        <v>79</v>
      </c>
      <c r="J488"/>
      <c r="K488" s="19"/>
      <c r="L488" s="19"/>
      <c r="M488" s="19"/>
      <c r="N488" s="19"/>
      <c r="O488" s="19"/>
      <c r="P488" s="19"/>
      <c r="Q488"/>
      <c r="R488"/>
    </row>
    <row r="489" spans="1:18" s="11" customFormat="1" ht="16" x14ac:dyDescent="0.2">
      <c r="B489" s="12"/>
      <c r="F489" s="10"/>
      <c r="G489" s="10"/>
      <c r="K489" s="12"/>
      <c r="L489" s="12"/>
      <c r="M489" s="12"/>
      <c r="N489" s="12"/>
      <c r="O489" s="12"/>
      <c r="P489" s="12"/>
    </row>
    <row r="490" spans="1:18" s="11" customFormat="1" ht="16" x14ac:dyDescent="0.2">
      <c r="A490" s="8" t="s">
        <v>1</v>
      </c>
      <c r="B490" s="9" t="s">
        <v>512</v>
      </c>
      <c r="K490" s="12"/>
      <c r="L490" s="12"/>
      <c r="M490" s="12"/>
      <c r="N490" s="12"/>
      <c r="O490" s="12"/>
      <c r="P490" s="12"/>
    </row>
    <row r="491" spans="1:18" s="11" customFormat="1" ht="16" x14ac:dyDescent="0.2">
      <c r="A491" s="13" t="s">
        <v>3</v>
      </c>
      <c r="B491" s="14">
        <v>1</v>
      </c>
      <c r="K491" s="12"/>
      <c r="L491" s="12"/>
      <c r="M491" s="12"/>
      <c r="N491" s="12"/>
      <c r="O491" s="12"/>
      <c r="P491" s="12"/>
    </row>
    <row r="492" spans="1:18" s="11" customFormat="1" ht="16" x14ac:dyDescent="0.2">
      <c r="A492" s="13" t="s">
        <v>11</v>
      </c>
      <c r="B492" s="14" t="inlineStr">
        <is>
          <t>APPROVED COMPLETE SOEC LSM REFERENCE, issue94, 2026-10-18. Gerloff2021 DOI10.1016/j.est.2021.102759 Sec2.2.3, Hafele2016 DOI10.1016/j.ijhydene.2016.05.069 SI FigS1 identifies LSM coating on interconnects, not electrolyte. Wei et al.2024 DOI10.1039/D3EE03875K indexed SI TableS17 reports2.1kg finishedLSM perMW; full SI retrieval currently404. Original Gerloff PtM SI DOI10.1021/acssuschemeng.1c02002 pS16 defers La/Sr quantities to a separate material-generation sheet. Stoichiometry below is independently balanced, not copied from the deficient indexed S18 synthesis. Replace uncertain21kgLa2O3+21kgSrCO3 placeholders (both formerly to-check) by2.1kgfinishedLa0.8Sr0.2MnO3 perexistingMWstack. This is an explicit published-reference adoption, NOT recovered manufacturer BOM or proof that originalGerloff21kg meant2.1kg. Source-dose sensitivity2.1-21kgfinishedLSM required; old42kgrawsalts is not a chemically defined alternative. La0.8Sr0.2MnO3 is selected nominal oxygen-stoichiometric LSM; actual Sr doping/oxygen nonstoichiometry/contact-layer loading remain gaps. Net reaction0.4La2O3+0.2SrCO3+MnO2 -&gt;La0.8Sr0.2MnO3+0.2CO2+0.2O2. Use95% finished-solid retention,100% conversion before5%handlingreject; yields90-100%sensitivity. Perkgfinished feeds={'La2O3': 0.5923666319735489, 'SrCO3': 0.13420468074687047, 'MnO2': 0.3951562044603966};CO2=0.040007409129630044kg,O2=0.02908852910381745kg,reject=0.05263157894736836kg.6MJ/kgheat+1kWh/kgmilling/sintering is an engineering allowance,not measured industrial calcination (3-12MJ and0.5-2kWhsensitivity). All stoichiometric C/La/Sr/Mn/O and mass close. No nitric-acid/chloroacetic-acid/ammonia route or unsupported metal-free binder is silently copied. Keep totalfinished2.1kg distinct from grossprecursorfeed. Newsolidwaste andfinishedceramic EOL use genericinertdisposal,not validated heavy-metal-specific treatment/recovery. Existing Pr/Ni air-electrode,YSZ/YDCfutureco-scaling,glassseal,steelmass,lifetimes andoperatingH2energy unchanged. No primary/secondary-share or runtime changes.
PREVIOUS NOTES (retained as history; the correction above takes precedence):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per single stack, @ 8000 hours/year. Iridium mining process is NOT from ecoinvent. Produced amount of H2 over 20 years: 2964315.35 kg. According to a study called IndWEDe, it is assumed that the stacks are replaced 3 times during the 20 years lifespan, based on the 2030’s scenario for 1 MW systems which predicts a lifetime of 50,000 h or more for the stacks of the different water electrolysis technologies. In comparison to AEC electrolyzers, PEMEC electrolyzers are less mature. Furthermore, the PEMEC technology is commercially available and operates with a similar system efficiency as the AEC technology. However, the current density and the gas purity are higher with values in between 0.6–2.0 A/cm2 and &gt; 99.99%, respectively. Besides this, the operating pressure (below 200 bar) is significantly higher in comparison to AEC systems, while the operating temperature (50 °C to 80 °C) and the system energy (4.2–6.6 kWh/m3H2) are similar to AEC systems. The PEMEC BoP and stack components data stem from Bareiß et al. and correspond to a 1 MW system. Moreover, some further BoP components like water purifier &amp; feed tank, buffer tank, and heat exchanger have been added, derived from a 300 kW AEC system, under the assumption that the components are also suitable for a PEMEC system. The values have been scaled up from 300 kW to 1 MW. Values have already been multiplied by 3 to reflect 2 stack replacements over 20 years of use.</t>
        </is>
      </c>
      <c r="K492" s="12"/>
      <c r="L492" s="12"/>
      <c r="M492" s="12"/>
      <c r="N492" s="12"/>
      <c r="O492" s="12"/>
      <c r="P492" s="12"/>
    </row>
    <row r="493" spans="1:18" s="11" customFormat="1" ht="16" x14ac:dyDescent="0.2">
      <c r="A493" s="13" t="s">
        <v>4</v>
      </c>
      <c r="B493" s="16" t="s">
        <v>513</v>
      </c>
      <c r="K493" s="12"/>
      <c r="L493" s="12"/>
      <c r="M493" s="12"/>
      <c r="N493" s="12"/>
      <c r="O493" s="12"/>
      <c r="P493" s="12"/>
    </row>
    <row r="494" spans="1:18" s="11" customFormat="1" ht="16" x14ac:dyDescent="0.2">
      <c r="A494" s="13" t="s">
        <v>2</v>
      </c>
      <c r="B494" s="14" t="s">
        <v>34</v>
      </c>
      <c r="K494" s="12"/>
      <c r="L494" s="12"/>
      <c r="M494" s="12"/>
      <c r="N494" s="12"/>
      <c r="O494" s="12"/>
      <c r="P494" s="12"/>
    </row>
    <row r="495" spans="1:18" s="11" customFormat="1" ht="16" x14ac:dyDescent="0.2">
      <c r="A495" s="13" t="s">
        <v>6</v>
      </c>
      <c r="B495" s="16" t="s">
        <v>6</v>
      </c>
      <c r="K495" s="12"/>
      <c r="L495" s="12"/>
      <c r="M495" s="12"/>
      <c r="N495" s="12"/>
      <c r="O495" s="12"/>
      <c r="P495" s="12"/>
    </row>
    <row r="496" spans="1:18" s="11" customFormat="1" ht="16" x14ac:dyDescent="0.2">
      <c r="A496" s="17" t="s">
        <v>7</v>
      </c>
      <c r="B496" s="9"/>
      <c r="C496" s="17"/>
      <c r="D496" s="17"/>
      <c r="E496" s="17"/>
      <c r="F496" s="17"/>
      <c r="G496" s="17"/>
      <c r="H496" s="17"/>
      <c r="I496" s="17"/>
      <c r="J496" s="17"/>
      <c r="K496" s="12"/>
      <c r="L496" s="12"/>
      <c r="M496" s="12"/>
      <c r="N496" s="12"/>
      <c r="O496" s="12"/>
      <c r="P496" s="12"/>
    </row>
    <row r="497" spans="1:20" s="11" customFormat="1" ht="16" x14ac:dyDescent="0.2">
      <c r="A497" s="17" t="s">
        <v>8</v>
      </c>
      <c r="B497" s="9" t="s">
        <v>9</v>
      </c>
      <c r="C497" s="17" t="s">
        <v>2</v>
      </c>
      <c r="D497" s="17" t="s">
        <v>6</v>
      </c>
      <c r="E497" s="23" t="s">
        <v>10</v>
      </c>
      <c r="F497" s="17" t="s">
        <v>5</v>
      </c>
      <c r="G497" s="17" t="s">
        <v>4</v>
      </c>
      <c r="H497" s="23" t="s">
        <v>11</v>
      </c>
      <c r="I497" s="17"/>
      <c r="J497" s="7"/>
      <c r="K497" s="18"/>
      <c r="L497" s="18"/>
      <c r="M497" s="18"/>
      <c r="N497" s="18"/>
      <c r="O497" s="18"/>
      <c r="P497" s="18"/>
      <c r="Q497" s="7"/>
      <c r="R497" s="7"/>
      <c r="S497" s="17"/>
      <c r="T497" s="7"/>
    </row>
    <row r="498" spans="1:20" s="11" customFormat="1" ht="16" x14ac:dyDescent="0.2">
      <c r="A498" s="16" t="str">
        <f>B490</f>
        <v>treatment of electrolyzer stack, 1MWe, SOEC</v>
      </c>
      <c r="B498" s="12">
        <v>-1</v>
      </c>
      <c r="C498" s="11" t="s">
        <v>34</v>
      </c>
      <c r="D498" s="11" t="str">
        <f>B495</f>
        <v>unit</v>
      </c>
      <c r="F498" s="11" t="s">
        <v>16</v>
      </c>
      <c r="G498" s="11" t="str">
        <f>B493</f>
        <v>used electrolyzer stack, 1MWe, SOEC</v>
      </c>
      <c r="H498" t="inlineStr">
        <is>
          <t>APPROVED COMPLETE SOEC LSM REFERENCE, issue94, 2026-10-18. Gerloff2021 DOI10.1016/j.est.2021.102759 Sec2.2.3, Hafele2016 DOI10.1016/j.ijhydene.2016.05.069 SI FigS1 identifies LSM coating on interconnects, not electrolyte. Wei et al.2024 DOI10.1039/D3EE03875K indexed SI TableS17 reports2.1kg finishedLSM perMW; full SI retrieval currently404. Original Gerloff PtM SI DOI10.1021/acssuschemeng.1c02002 pS16 defers La/Sr quantities to a separate material-generation sheet. Stoichiometry below is independently balanced, not copied from the deficient indexed S18 synthesis. Replace uncertain21kgLa2O3+21kgSrCO3 placeholders (both formerly to-check) by2.1kgfinishedLa0.8Sr0.2MnO3 perexistingMWstack. This is an explicit published-reference adoption, NOT recovered manufacturer BOM or proof that originalGerloff21kg meant2.1kg. Source-dose sensitivity2.1-21kgfinishedLSM required; old42kgrawsalts is not a chemically defined alternative. La0.8Sr0.2MnO3 is selected nominal oxygen-stoichiometric LSM; actual Sr doping/oxygen nonstoichiometry/contact-layer loading remain gaps. Net reaction0.4La2O3+0.2SrCO3+MnO2 -&gt;La0.8Sr0.2MnO3+0.2CO2+0.2O2. Use95% finished-solid retention,100% conversion before5%handlingreject; yields90-100%sensitivity. Perkgfinished feeds={'La2O3': 0.5923666319735489, 'SrCO3': 0.13420468074687047, 'MnO2': 0.3951562044603966};CO2=0.040007409129630044kg,O2=0.02908852910381745kg,reject=0.05263157894736836kg.6MJ/kgheat+1kWh/kgmilling/sintering is an engineering allowance,not measured industrial calcination (3-12MJ and0.5-2kWhsensitivity). All stoichiometric C/La/Sr/Mn/O and mass close. No nitric-acid/chloroacetic-acid/ammonia route or unsupported metal-free binder is silently copied. Keep totalfinished2.1kg distinct from grossprecursorfeed. Newsolidwaste andfinishedceramic EOL use genericinertdisposal,not validated heavy-metal-specific treatment/recovery. Existing Pr/Ni air-electrode,YSZ/YDCfutureco-scaling,glassseal,steelmass,lifetimes andoperatingH2energy unchanged. No primary/secondary-share or runtime changes.</t>
        </is>
      </c>
      <c r="K498" s="12"/>
      <c r="L498" s="12"/>
      <c r="M498" s="12"/>
      <c r="N498" s="12"/>
      <c r="O498" s="12"/>
      <c r="P498" s="12"/>
    </row>
    <row r="499" spans="1:20" s="11" customFormat="1" ht="16" x14ac:dyDescent="0.2">
      <c r="A499" s="16" t="s">
        <v>204</v>
      </c>
      <c r="B499" s="11">
        <f>-1*B474</f>
        <v>-8976.1</v>
      </c>
      <c r="C499" s="11" t="s">
        <v>37</v>
      </c>
      <c r="D499" s="11" t="s">
        <v>13</v>
      </c>
      <c r="F499" s="11" t="s">
        <v>12</v>
      </c>
      <c r="G499" s="11" t="s">
        <v>205</v>
      </c>
      <c r="J499"/>
      <c r="K499" s="19"/>
      <c r="L499" s="19"/>
      <c r="M499" s="19"/>
      <c r="N499" s="19"/>
      <c r="O499" s="19"/>
      <c r="P499" s="19"/>
      <c r="Q499"/>
      <c r="R499"/>
    </row>
    <row r="500" spans="1:20" s="11" customFormat="1" ht="16" x14ac:dyDescent="0.2">
      <c r="A500" t="inlineStr">
        <is>
          <t>market for inert waste, for final disposal</t>
        </is>
      </c>
      <c r="B500" s="16">
        <v>-2.1</v>
      </c>
      <c r="C500" t="inlineStr">
        <is>
          <t>RoW</t>
        </is>
      </c>
      <c r="D500" t="inlineStr">
        <is>
          <t>kilogram</t>
        </is>
      </c>
      <c r="F500" t="inlineStr">
        <is>
          <t>technosphere</t>
        </is>
      </c>
      <c r="G500" t="inlineStr">
        <is>
          <t>inert waste, for final disposal</t>
        </is>
      </c>
      <c r="H500" t="inlineStr">
        <is>
          <t>APPROVED COMPLETE SOEC LSM REFERENCE, issue94, 2026-10-18. Gerloff2021 DOI10.1016/j.est.2021.102759 Sec2.2.3, Hafele2016 DOI10.1016/j.ijhydene.2016.05.069 SI FigS1 identifies LSM coating on interconnects, not electrolyte. Wei et al.2024 DOI10.1039/D3EE03875K indexed SI TableS17 reports2.1kg finishedLSM perMW; full SI retrieval currently404. Original Gerloff PtM SI DOI10.1021/acssuschemeng.1c02002 pS16 defers La/Sr quantities to a separate material-generation sheet. Stoichiometry below is independently balanced, not copied from the deficient indexed S18 synthesis. Replace uncertain21kgLa2O3+21kgSrCO3 placeholders (both formerly to-check) by2.1kgfinishedLa0.8Sr0.2MnO3 perexistingMWstack. This is an explicit published-reference adoption, NOT recovered manufacturer BOM or proof that originalGerloff21kg meant2.1kg. Source-dose sensitivity2.1-21kgfinishedLSM required; old42kgrawsalts is not a chemically defined alternative. La0.8Sr0.2MnO3 is selected nominal oxygen-stoichiometric LSM; actual Sr doping/oxygen nonstoichiometry/contact-layer loading remain gaps. Net reaction0.4La2O3+0.2SrCO3+MnO2 -&gt;La0.8Sr0.2MnO3+0.2CO2+0.2O2. Use95% finished-solid retention,100% conversion before5%handlingreject; yields90-100%sensitivity. Perkgfinished feeds={'La2O3': 0.5923666319735489, 'SrCO3': 0.13420468074687047, 'MnO2': 0.3951562044603966};CO2=0.040007409129630044kg,O2=0.02908852910381745kg,reject=0.05263157894736836kg.6MJ/kgheat+1kWh/kgmilling/sintering is an engineering allowance,not measured industrial calcination (3-12MJ and0.5-2kWhsensitivity). All stoichiometric C/La/Sr/Mn/O and mass close. No nitric-acid/chloroacetic-acid/ammonia route or unsupported metal-free binder is silently copied. Keep totalfinished2.1kg distinct from grossprecursorfeed. Newsolidwaste andfinishedceramic EOL use genericinertdisposal,not validated heavy-metal-specific treatment/recovery. Existing Pr/Ni air-electrode,YSZ/YDCfutureco-scaling,glassseal,steelmass,lifetimes andoperatingH2energy unchanged. No primary/secondary-share or runtime changes.</t>
        </is>
      </c>
      <c r="K500" s="12"/>
      <c r="L500" s="12"/>
      <c r="M500" s="12"/>
      <c r="N500" s="12"/>
      <c r="O500" s="12"/>
      <c r="P500" s="12"/>
    </row>
    <row r="501" spans="1:20" s="11" customFormat="1" ht="16" x14ac:dyDescent="0.2">
      <c r="A501" s="8" t="s">
        <v>1</v>
      </c>
      <c r="B501" s="9" t="s">
        <v>179</v>
      </c>
      <c r="K501" s="24"/>
      <c r="L501" s="25"/>
      <c r="M501" s="12"/>
      <c r="N501" s="12"/>
      <c r="O501" s="12"/>
      <c r="P501" s="12"/>
    </row>
    <row r="502" spans="1:20" s="11" customFormat="1" ht="16" x14ac:dyDescent="0.2">
      <c r="A502" s="13" t="s">
        <v>3</v>
      </c>
      <c r="B502" s="14">
        <v>1</v>
      </c>
      <c r="K502" s="26"/>
      <c r="L502" s="25"/>
      <c r="M502" s="12"/>
      <c r="N502" s="12"/>
      <c r="O502" s="12"/>
      <c r="P502" s="12"/>
    </row>
    <row r="503" spans="1:20" s="11" customFormat="1" ht="16" x14ac:dyDescent="0.2">
      <c r="A503" s="13" t="s">
        <v>11</v>
      </c>
      <c r="B503" s="14"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
PREVIOUS NOTES (retained as history; the correction above takes precedence):
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
PREVIOUS NOTES (retained as history; the correction above takes precedence):
APPROVED ELECTROLYZER CONTROL-ASSEMBLY COVERAGE CLARIFICATION, issue92, 2026-10-18. Bareiss et al.2019 DOI10.1016/j.apenergy.2019.01.001 Sec3.2.2 states100kgGROSScontrolelectronicsper1MW;Gerloff2021componentmapping;ecoinventindustrial electronicsproductionforcontrolunits documents46%steelhousing32%plastics14%mountedboards8%cables. CriticalauditofactualsupplierconfirmsitALREADYincludessteelhousing,plastics,circuitboardsandcables.The100kginputisNOT100kgofbarecircuitboards,andthemasswasnotshownwrong. Retaintheexistingmarketforelectronicsforcontrolunitsat100kgineachPEM/AEC/SOECBoP;documentitsactualassemblyboundaryinsteadofinventingametalreductionoraddinganothercabinet. Ecoinvent3.9RER/RoWrecipesper100kgassemblyinclude46kgsteelfeed+rolling,32.193kgHDPEgrossfeed+32kginjectionmoulding,14kgmountedPCB(7kgPbcontainingand7kgPbfree,halfsurface/halfthroughhole),3.2kgribboncable+12.3mcomputerconnectorcable+111mnetworkcable,andoriginalboardfacility. Source8%nominalcablemassmustNOTbesummedwithmetresaskg;completecableproviderssupplyCu/plastics. NoadditionalPCB,connector,preciousmetalorsteelenclosureon topofcompleteexistingassembly. Thedescriptive32%plasticsisnominal;retainactual32.193kggrossfeed,notblanketnormalization. Retainnativecurrent-versionrecipesandmarkets,dynamicallyresolvedbypremise. Validationofalocal3.9recipecopyrevealed3.12GLO-HDPE migrationwouldalterregionalplasticsourcingrelative tocurrentnativecontrolunits;thatcopywasrejectedandNOnewlocalcontrolprovidersareintroduced. Thusalloriginalamounts,provideridentities,regionalshares,freight,facilityandutilitiesremainunchangedacrossversions,notjustthedeclaredtotalmass. ExistingBoPassemblyelectricityalreadycoversfinalassembly;doNOTaddanextraassembly-energyallowance. Genericindustrialcontrolarchitectureis a legacyestimatedassembly,notmanufacturercertifiedelectrolyzerpanel;actualI/Ocounts,HMI,safetyPLC,boardmetallizationandtraceAu/Pd/Ta remainreference-designgaps. Thisitemcorrectstheinterpretationanddocumentscoverage;itdoesNOTclaimanumericalmetalcorrectionorfullqualifiedcontrolsystemdesign. Item93scopesconverterinternalgate/controlboardsseparatelyfromthisplant-levelcabinet;existingcontrolsareincludedonce. ExistingmatchingEOL14kgboards/32kgindustrialplastic/8kgcablesretained;thisdoesnotvalidateotherBoPwastecoefficients. Lifetimesandserviceallocationunchanged. Onlyactivity/exchangecommentsmodified;no native/globalmarket,runtime,YAMLorprimary-secondarysharechanges.
PREVIOUS NOTES (retained as history; the correction above takes precedence):
1 MWe Solid Oxide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Produced amount of H2 over 20 years: 3779894.18 kg.</t>
        </is>
      </c>
      <c r="K503" s="12"/>
      <c r="L503" s="25"/>
      <c r="M503" s="12"/>
      <c r="N503" s="12"/>
      <c r="O503" s="12"/>
      <c r="P503" s="12"/>
    </row>
    <row r="504" spans="1:20" s="11" customFormat="1" ht="16" x14ac:dyDescent="0.2">
      <c r="A504" s="13" t="s">
        <v>4</v>
      </c>
      <c r="B504" s="16" t="s">
        <v>151</v>
      </c>
      <c r="K504" s="12"/>
      <c r="L504" s="12"/>
      <c r="M504" s="12"/>
      <c r="N504" s="12"/>
      <c r="O504" s="12"/>
      <c r="P504" s="12"/>
    </row>
    <row r="505" spans="1:20" s="11" customFormat="1" ht="16.25" customHeight="1" x14ac:dyDescent="0.2">
      <c r="A505" s="13" t="s">
        <v>2</v>
      </c>
      <c r="B505" s="14" t="s">
        <v>34</v>
      </c>
      <c r="K505" s="12"/>
      <c r="L505" s="12"/>
      <c r="M505" s="12"/>
      <c r="N505" s="12"/>
      <c r="O505" s="12"/>
      <c r="P505" s="12"/>
    </row>
    <row r="506" spans="1:20" s="11" customFormat="1" ht="16" x14ac:dyDescent="0.2">
      <c r="A506" s="13" t="s">
        <v>6</v>
      </c>
      <c r="B506" s="16" t="s">
        <v>6</v>
      </c>
      <c r="H506" s="17"/>
      <c r="I506" s="17"/>
      <c r="K506" s="12"/>
      <c r="L506" s="12"/>
      <c r="M506" s="12"/>
      <c r="N506" s="12"/>
      <c r="O506" s="12"/>
      <c r="P506" s="12"/>
    </row>
    <row r="507" spans="1:20" s="11" customFormat="1" ht="16" x14ac:dyDescent="0.2">
      <c r="A507" s="17" t="s">
        <v>7</v>
      </c>
      <c r="B507" s="9"/>
      <c r="C507" s="17"/>
      <c r="D507" s="17"/>
      <c r="E507" s="17"/>
      <c r="F507" s="17"/>
      <c r="G507" s="17"/>
      <c r="H507" s="10"/>
      <c r="I507" s="10"/>
      <c r="K507" s="12"/>
      <c r="L507" s="12"/>
      <c r="M507" s="12"/>
      <c r="N507" s="12"/>
      <c r="O507" s="12"/>
      <c r="P507" s="12"/>
    </row>
    <row r="508" spans="1:20" s="11" customFormat="1" ht="16" x14ac:dyDescent="0.2">
      <c r="A508" s="17" t="s">
        <v>8</v>
      </c>
      <c r="B508" s="9" t="s">
        <v>9</v>
      </c>
      <c r="C508" s="17" t="s">
        <v>2</v>
      </c>
      <c r="D508" s="17" t="s">
        <v>6</v>
      </c>
      <c r="E508" s="23" t="s">
        <v>10</v>
      </c>
      <c r="F508" s="17" t="s">
        <v>5</v>
      </c>
      <c r="G508" s="17" t="s">
        <v>4</v>
      </c>
      <c r="H508" s="23" t="s">
        <v>11</v>
      </c>
      <c r="I508" s="17"/>
      <c r="J508" s="7"/>
      <c r="K508" s="18"/>
      <c r="L508" s="18"/>
      <c r="M508" s="18"/>
      <c r="N508" s="18"/>
      <c r="O508" s="18"/>
      <c r="P508" s="18"/>
      <c r="Q508" s="7"/>
      <c r="R508" s="7"/>
      <c r="S508" s="17"/>
      <c r="T508" s="7"/>
    </row>
    <row r="509" spans="1:20" s="11" customFormat="1" ht="16" x14ac:dyDescent="0.2">
      <c r="A509" s="16" t="str">
        <f>B501</f>
        <v>electrolyzer production, 1MWe, SOEC, Balance of Plant</v>
      </c>
      <c r="B509" s="16">
        <v>1</v>
      </c>
      <c r="C509" s="11" t="s">
        <v>34</v>
      </c>
      <c r="D509" s="11" t="s">
        <v>6</v>
      </c>
      <c r="F509" s="11" t="s">
        <v>16</v>
      </c>
      <c r="G509" s="16" t="str">
        <f>B504</f>
        <v>electrolyzer, 1MWe, SOEC, Balance of Plant</v>
      </c>
      <c r="H509" s="10"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I509" s="10"/>
      <c r="J509" s="10"/>
      <c r="K509" s="12"/>
      <c r="L509" s="12"/>
      <c r="M509" s="12"/>
      <c r="N509" s="12"/>
      <c r="O509" s="12"/>
      <c r="P509" s="12"/>
    </row>
    <row r="510" spans="1:20" s="11" customFormat="1" ht="16" x14ac:dyDescent="0.2">
      <c r="A510" s="11" t="s">
        <v>73</v>
      </c>
      <c r="B510" s="12">
        <v>5858.2</v>
      </c>
      <c r="C510" s="11" t="s">
        <v>17</v>
      </c>
      <c r="D510" s="11" t="s">
        <v>13</v>
      </c>
      <c r="F510" s="11" t="s">
        <v>12</v>
      </c>
      <c r="G510" s="11" t="s">
        <v>74</v>
      </c>
      <c r="H510" s="10" t="s">
        <v>181</v>
      </c>
      <c r="J510"/>
      <c r="K510" s="19"/>
      <c r="L510" s="19"/>
      <c r="M510" s="19"/>
      <c r="N510" s="19"/>
      <c r="O510" s="19"/>
      <c r="P510" s="19"/>
      <c r="Q510"/>
      <c r="R510"/>
    </row>
    <row r="511" spans="1:20" s="11" customFormat="1" ht="16" x14ac:dyDescent="0.2">
      <c r="A511" s="11" t="s">
        <v>20</v>
      </c>
      <c r="B511" s="12">
        <v>5858.2</v>
      </c>
      <c r="C511" s="11" t="s">
        <v>17</v>
      </c>
      <c r="D511" s="11" t="s">
        <v>13</v>
      </c>
      <c r="F511" s="11" t="s">
        <v>12</v>
      </c>
      <c r="G511" s="11" t="s">
        <v>15</v>
      </c>
      <c r="H511" s="10" t="s">
        <v>181</v>
      </c>
      <c r="J511"/>
      <c r="K511" s="19"/>
      <c r="L511" s="19"/>
      <c r="M511" s="19"/>
      <c r="N511" s="19"/>
      <c r="O511" s="19"/>
      <c r="P511" s="19"/>
      <c r="Q511"/>
      <c r="R511"/>
    </row>
    <row r="512" spans="1:20" s="11" customFormat="1" ht="16" x14ac:dyDescent="0.2">
      <c r="A512" s="16" t="inlineStr">
        <is>
          <t xml:space="preserve">motor drive assembly production, electrolysis, SOEC</t>
        </is>
      </c>
      <c r="B512" s="16">
        <v>1</v>
      </c>
      <c r="C512" s="11" t="inlineStr">
        <is>
          <t>GLO</t>
        </is>
      </c>
      <c r="D512" s="11" t="inlineStr">
        <is>
          <t>unit</t>
        </is>
      </c>
      <c r="F512" s="11" t="inlineStr">
        <is>
          <t>technosphere</t>
        </is>
      </c>
      <c r="G512" s="16" t="inlineStr">
        <is>
          <t xml:space="preserve">motor drive assembly, electrolysis, SOEC</t>
        </is>
      </c>
      <c r="H512" s="10"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J512"/>
      <c r="K512" s="19"/>
      <c r="L512" s="19"/>
      <c r="M512" s="19"/>
      <c r="N512" s="19"/>
      <c r="O512" s="19"/>
      <c r="P512" s="19"/>
      <c r="Q512"/>
      <c r="R512"/>
    </row>
    <row r="513" spans="1:18" s="11" customFormat="1" ht="16" x14ac:dyDescent="0.2">
      <c r="A513" s="16"/>
      <c r="B513" s="16"/>
      <c r="C513" s="11"/>
      <c r="D513" s="11"/>
      <c r="F513" s="11"/>
      <c r="G513" s="16"/>
      <c r="H513" s="10"/>
      <c r="J513"/>
      <c r="K513" s="19"/>
      <c r="L513" s="19"/>
      <c r="M513" s="19"/>
      <c r="N513" s="19"/>
      <c r="O513" s="19"/>
      <c r="P513" s="19"/>
      <c r="Q513"/>
      <c r="R513"/>
    </row>
    <row r="514" spans="1:18" s="11" customFormat="1" ht="16" x14ac:dyDescent="0.2">
      <c r="A514" s="16"/>
      <c r="B514" s="16"/>
      <c r="C514" s="11"/>
      <c r="D514" s="11"/>
      <c r="F514" s="11"/>
      <c r="G514" s="16"/>
      <c r="H514" s="10"/>
      <c r="J514"/>
      <c r="K514" s="19"/>
      <c r="L514" s="19"/>
      <c r="M514" s="19"/>
      <c r="N514" s="19"/>
      <c r="O514" s="19"/>
      <c r="P514" s="19"/>
      <c r="Q514"/>
      <c r="R514"/>
    </row>
    <row r="515" spans="1:18" s="11" customFormat="1" ht="16" x14ac:dyDescent="0.2">
      <c r="A515" s="16"/>
      <c r="B515" s="16"/>
      <c r="C515" s="11"/>
      <c r="D515" s="11"/>
      <c r="F515" s="11"/>
      <c r="G515" s="16"/>
      <c r="H515" s="10"/>
      <c r="J515"/>
      <c r="K515" s="19"/>
      <c r="L515" s="19"/>
      <c r="M515" s="19"/>
      <c r="N515" s="19"/>
      <c r="O515" s="19"/>
      <c r="P515" s="19"/>
      <c r="Q515"/>
      <c r="R515"/>
    </row>
    <row r="516" spans="1:18" s="11" customFormat="1" ht="16" x14ac:dyDescent="0.2">
      <c r="A516" s="16"/>
      <c r="B516" s="16"/>
      <c r="C516" s="11"/>
      <c r="D516" s="11"/>
      <c r="F516" s="11"/>
      <c r="G516" s="16"/>
      <c r="H516" s="10"/>
      <c r="J516"/>
      <c r="K516" s="19"/>
      <c r="L516" s="19"/>
      <c r="M516" s="19"/>
      <c r="N516" s="19"/>
      <c r="O516" s="19"/>
      <c r="P516" s="19"/>
      <c r="Q516"/>
      <c r="R516"/>
    </row>
    <row r="517" spans="1:18" s="11" customFormat="1" ht="16" x14ac:dyDescent="0.2">
      <c r="A517" s="16" t="s">
        <v>108</v>
      </c>
      <c r="B517" s="16">
        <f>600*5</f>
        <v>3000</v>
      </c>
      <c r="C517" s="11" t="s">
        <v>17</v>
      </c>
      <c r="D517" s="11" t="s">
        <v>13</v>
      </c>
      <c r="F517" s="11" t="s">
        <v>12</v>
      </c>
      <c r="G517" s="16" t="s">
        <v>109</v>
      </c>
      <c r="H517" s="10" t="s">
        <v>183</v>
      </c>
      <c r="J517"/>
      <c r="K517" s="19"/>
      <c r="L517" s="19"/>
      <c r="M517" s="19"/>
      <c r="N517" s="19"/>
      <c r="O517" s="19"/>
      <c r="P517" s="19"/>
      <c r="Q517"/>
      <c r="R517"/>
    </row>
    <row r="518" spans="1:18" s="11" customFormat="1" ht="16" x14ac:dyDescent="0.2">
      <c r="A518" s="16" t="s">
        <v>111</v>
      </c>
      <c r="B518" s="16">
        <f>7*5</f>
        <v>35</v>
      </c>
      <c r="C518" s="11" t="s">
        <v>17</v>
      </c>
      <c r="D518" s="11" t="s">
        <v>13</v>
      </c>
      <c r="F518" s="11" t="s">
        <v>12</v>
      </c>
      <c r="G518" s="16" t="s">
        <v>112</v>
      </c>
      <c r="H518" s="10" t="s">
        <v>183</v>
      </c>
      <c r="J518"/>
      <c r="K518" s="19"/>
      <c r="L518" s="19"/>
      <c r="M518" s="19"/>
      <c r="N518" s="19"/>
      <c r="O518" s="19"/>
      <c r="P518" s="19"/>
      <c r="Q518"/>
      <c r="R518"/>
    </row>
    <row r="519" spans="1:18" s="11" customFormat="1" ht="16" x14ac:dyDescent="0.2">
      <c r="A519" s="16" t="s">
        <v>83</v>
      </c>
      <c r="B519" s="16">
        <f>1300*5</f>
        <v>6500</v>
      </c>
      <c r="C519" s="11" t="s">
        <v>17</v>
      </c>
      <c r="D519" s="11" t="s">
        <v>13</v>
      </c>
      <c r="F519" s="11" t="s">
        <v>12</v>
      </c>
      <c r="G519" s="16" t="s">
        <v>40</v>
      </c>
      <c r="H519" s="10" t="s">
        <v>183</v>
      </c>
      <c r="J519"/>
      <c r="K519" s="19"/>
      <c r="L519" s="19"/>
      <c r="M519" s="19"/>
      <c r="N519" s="19"/>
      <c r="O519" s="19"/>
      <c r="P519" s="19"/>
      <c r="Q519"/>
      <c r="R519"/>
    </row>
    <row r="520" spans="1:18" s="11" customFormat="1" ht="16" x14ac:dyDescent="0.2">
      <c r="A520" s="16" t="s">
        <v>73</v>
      </c>
      <c r="B520" s="16">
        <f>405*5</f>
        <v>2025</v>
      </c>
      <c r="C520" s="11" t="s">
        <v>17</v>
      </c>
      <c r="D520" s="11" t="s">
        <v>13</v>
      </c>
      <c r="F520" s="11" t="s">
        <v>12</v>
      </c>
      <c r="G520" s="16" t="s">
        <v>74</v>
      </c>
      <c r="H520" s="10" t="s">
        <v>183</v>
      </c>
      <c r="J520"/>
      <c r="K520" s="19"/>
      <c r="L520" s="19"/>
      <c r="M520" s="19"/>
      <c r="N520" s="19"/>
      <c r="O520" s="19"/>
      <c r="P520" s="19"/>
      <c r="Q520"/>
      <c r="R520"/>
    </row>
    <row r="521" spans="1:18" s="11" customFormat="1" ht="16" x14ac:dyDescent="0.2">
      <c r="A521" s="16" t="s">
        <v>84</v>
      </c>
      <c r="B521" s="16">
        <f>400*5</f>
        <v>2000</v>
      </c>
      <c r="C521" s="11" t="s">
        <v>17</v>
      </c>
      <c r="D521" s="11" t="s">
        <v>13</v>
      </c>
      <c r="F521" s="11" t="s">
        <v>12</v>
      </c>
      <c r="G521" s="16" t="s">
        <v>42</v>
      </c>
      <c r="H521" s="10" t="s">
        <v>183</v>
      </c>
      <c r="J521"/>
      <c r="K521" s="19"/>
      <c r="L521" s="19"/>
      <c r="M521" s="19"/>
      <c r="N521" s="19"/>
      <c r="O521" s="19"/>
      <c r="P521" s="19"/>
      <c r="Q521"/>
      <c r="R521"/>
    </row>
    <row r="522" spans="1:18" s="11" customFormat="1" ht="16" x14ac:dyDescent="0.2">
      <c r="A522" s="16" t="s">
        <v>20</v>
      </c>
      <c r="B522" s="16">
        <f>405*5</f>
        <v>2025</v>
      </c>
      <c r="C522" s="11" t="s">
        <v>17</v>
      </c>
      <c r="D522" s="11" t="s">
        <v>13</v>
      </c>
      <c r="F522" s="11" t="s">
        <v>12</v>
      </c>
      <c r="G522" s="16" t="s">
        <v>15</v>
      </c>
      <c r="H522" s="10" t="s">
        <v>183</v>
      </c>
      <c r="J522"/>
      <c r="K522" s="19"/>
      <c r="L522" s="19"/>
      <c r="M522" s="19"/>
      <c r="N522" s="19"/>
      <c r="O522" s="19"/>
      <c r="P522" s="19"/>
      <c r="Q522"/>
      <c r="R522"/>
    </row>
    <row r="523" spans="1:18" s="11" customFormat="1" ht="16" x14ac:dyDescent="0.2">
      <c r="A523" s="16" t="s">
        <v>83</v>
      </c>
      <c r="B523" s="16">
        <f>1000*5</f>
        <v>5000</v>
      </c>
      <c r="C523" s="11" t="s">
        <v>17</v>
      </c>
      <c r="D523" s="11" t="s">
        <v>13</v>
      </c>
      <c r="F523" s="11" t="s">
        <v>12</v>
      </c>
      <c r="G523" s="16" t="s">
        <v>40</v>
      </c>
      <c r="H523" s="10" t="s">
        <v>184</v>
      </c>
      <c r="J523"/>
      <c r="K523" s="19"/>
      <c r="L523" s="19"/>
      <c r="M523" s="19"/>
      <c r="N523" s="19"/>
      <c r="O523" s="19"/>
      <c r="P523" s="19"/>
      <c r="Q523"/>
      <c r="R523"/>
    </row>
    <row r="524" spans="1:18" s="11" customFormat="1" ht="16" x14ac:dyDescent="0.2">
      <c r="A524" s="16" t="s">
        <v>73</v>
      </c>
      <c r="B524" s="16">
        <f>1500*5</f>
        <v>7500</v>
      </c>
      <c r="C524" s="11" t="s">
        <v>17</v>
      </c>
      <c r="D524" s="11" t="s">
        <v>13</v>
      </c>
      <c r="F524" s="11" t="s">
        <v>12</v>
      </c>
      <c r="G524" s="16" t="s">
        <v>74</v>
      </c>
      <c r="H524" s="10" t="s">
        <v>184</v>
      </c>
      <c r="J524"/>
      <c r="K524" s="19"/>
      <c r="L524" s="19"/>
      <c r="M524" s="19"/>
      <c r="N524" s="19"/>
      <c r="O524" s="19"/>
      <c r="P524" s="19"/>
      <c r="Q524"/>
      <c r="R524"/>
    </row>
    <row r="525" spans="1:18" s="11" customFormat="1" ht="16" x14ac:dyDescent="0.2">
      <c r="A525" s="16" t="s">
        <v>84</v>
      </c>
      <c r="B525" s="16">
        <f>1000*5</f>
        <v>5000</v>
      </c>
      <c r="C525" s="11" t="s">
        <v>17</v>
      </c>
      <c r="D525" s="11" t="s">
        <v>13</v>
      </c>
      <c r="F525" s="11" t="s">
        <v>12</v>
      </c>
      <c r="G525" s="16" t="s">
        <v>42</v>
      </c>
      <c r="H525" s="10" t="s">
        <v>184</v>
      </c>
      <c r="J525"/>
      <c r="K525" s="19"/>
      <c r="L525" s="19"/>
      <c r="M525" s="19"/>
      <c r="N525" s="19"/>
      <c r="O525" s="19"/>
      <c r="P525" s="19"/>
      <c r="Q525"/>
      <c r="R525"/>
    </row>
    <row r="526" spans="1:18" s="11" customFormat="1" ht="16" x14ac:dyDescent="0.2">
      <c r="A526" s="16" t="s">
        <v>20</v>
      </c>
      <c r="B526" s="16">
        <f>1500*5</f>
        <v>7500</v>
      </c>
      <c r="C526" s="11" t="s">
        <v>17</v>
      </c>
      <c r="D526" s="11" t="s">
        <v>13</v>
      </c>
      <c r="F526" s="11" t="s">
        <v>12</v>
      </c>
      <c r="G526" s="16" t="s">
        <v>15</v>
      </c>
      <c r="H526" s="10" t="s">
        <v>184</v>
      </c>
      <c r="J526"/>
      <c r="K526" s="19"/>
      <c r="L526" s="19"/>
      <c r="M526" s="19"/>
      <c r="N526" s="19"/>
      <c r="O526" s="19"/>
      <c r="P526" s="19"/>
      <c r="Q526"/>
      <c r="R526"/>
    </row>
    <row r="527" spans="1:18" s="11" customFormat="1" ht="16" x14ac:dyDescent="0.2">
      <c r="A527" s="16" t="inlineStr">
        <is>
          <t xml:space="preserve">power conversion system production, electrolysis, transformer and rectifier, 1 MW</t>
        </is>
      </c>
      <c r="B527" s="16">
        <v>1</v>
      </c>
      <c r="C527" s="11" t="inlineStr">
        <is>
          <t>GLO</t>
        </is>
      </c>
      <c r="D527" s="11" t="inlineStr">
        <is>
          <t>unit</t>
        </is>
      </c>
      <c r="F527" s="11" t="s">
        <v>12</v>
      </c>
      <c r="G527" s="16" t="inlineStr">
        <is>
          <t xml:space="preserve">power conversion system, electrolysis, transformer and rectifier, 1 MW</t>
        </is>
      </c>
      <c r="H527" s="10" t="inlineStr">
        <is>
          <t>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t>
        </is>
      </c>
      <c r="J527"/>
      <c r="K527" s="19"/>
      <c r="L527" s="19"/>
      <c r="M527" s="19"/>
      <c r="N527" s="19"/>
      <c r="O527" s="19"/>
      <c r="P527" s="19"/>
      <c r="Q527"/>
      <c r="R527"/>
    </row>
    <row r="528" spans="1:18" s="11" customFormat="1" ht="16" x14ac:dyDescent="0.2">
      <c r="A528" s="16"/>
      <c r="B528" s="16"/>
      <c r="C528" s="11"/>
      <c r="D528" s="11"/>
      <c r="F528" s="11"/>
      <c r="G528" s="16"/>
      <c r="H528" s="10"/>
      <c r="J528"/>
      <c r="K528" s="19"/>
      <c r="L528" s="19"/>
      <c r="M528" s="19"/>
      <c r="N528" s="19"/>
      <c r="O528" s="19"/>
      <c r="P528" s="19"/>
      <c r="Q528"/>
      <c r="R528"/>
    </row>
    <row r="529" spans="1:18" s="11" customFormat="1" ht="16" x14ac:dyDescent="0.2">
      <c r="A529" s="16"/>
      <c r="B529" s="16"/>
      <c r="C529" s="11"/>
      <c r="D529" s="11"/>
      <c r="F529" s="11"/>
      <c r="G529" s="16"/>
      <c r="H529" s="10"/>
      <c r="J529"/>
      <c r="K529" s="19"/>
      <c r="L529" s="19"/>
      <c r="M529" s="19"/>
      <c r="N529" s="19"/>
      <c r="O529" s="19"/>
      <c r="P529" s="19"/>
      <c r="Q529"/>
      <c r="R529"/>
    </row>
    <row r="530" spans="1:18" s="11" customFormat="1" ht="16" x14ac:dyDescent="0.2">
      <c r="A530" s="16"/>
      <c r="B530" s="16"/>
      <c r="C530" s="11"/>
      <c r="D530" s="11"/>
      <c r="F530" s="11"/>
      <c r="G530" s="16"/>
      <c r="H530" s="10"/>
      <c r="J530"/>
      <c r="K530" s="19"/>
      <c r="L530" s="19"/>
      <c r="M530" s="19"/>
      <c r="N530" s="19"/>
      <c r="O530" s="19"/>
      <c r="P530" s="19"/>
      <c r="Q530"/>
      <c r="R530"/>
    </row>
    <row r="531" spans="1:18" s="11" customFormat="1" ht="16" x14ac:dyDescent="0.2">
      <c r="A531" s="16"/>
      <c r="B531" s="16"/>
      <c r="C531" s="11"/>
      <c r="D531" s="11"/>
      <c r="F531" s="11"/>
      <c r="G531" s="16"/>
      <c r="H531" s="10"/>
      <c r="J531"/>
      <c r="K531" s="19"/>
      <c r="L531" s="19"/>
      <c r="M531" s="19"/>
      <c r="N531" s="19"/>
      <c r="O531" s="19"/>
      <c r="P531" s="19"/>
      <c r="Q531"/>
      <c r="R531"/>
    </row>
    <row r="532" spans="1:18" s="11" customFormat="1" ht="16" x14ac:dyDescent="0.2">
      <c r="A532" s="16"/>
      <c r="B532" s="16"/>
      <c r="C532" s="11"/>
      <c r="D532" s="11"/>
      <c r="F532" s="11"/>
      <c r="G532" s="16"/>
      <c r="H532" s="10"/>
      <c r="J532"/>
      <c r="K532" s="19"/>
      <c r="L532" s="19"/>
      <c r="M532" s="19"/>
      <c r="N532" s="19"/>
      <c r="O532" s="19"/>
      <c r="P532" s="19"/>
      <c r="Q532"/>
      <c r="R532"/>
    </row>
    <row r="533" spans="1:18" s="11" customFormat="1" ht="16" x14ac:dyDescent="0.2">
      <c r="A533" s="16"/>
      <c r="B533" s="16"/>
      <c r="C533" s="11"/>
      <c r="D533" s="11"/>
      <c r="F533" s="11"/>
      <c r="G533" s="16"/>
      <c r="H533" s="10"/>
      <c r="J533"/>
      <c r="K533" s="19"/>
      <c r="L533" s="19"/>
      <c r="M533" s="19"/>
      <c r="N533" s="19"/>
      <c r="O533" s="19"/>
      <c r="P533" s="19"/>
      <c r="Q533"/>
      <c r="R533"/>
    </row>
    <row r="534" spans="1:18" s="11" customFormat="1" ht="16" x14ac:dyDescent="0.2">
      <c r="A534" s="16" t="s">
        <v>30</v>
      </c>
      <c r="B534" s="16">
        <v>100</v>
      </c>
      <c r="C534" s="11" t="s">
        <v>17</v>
      </c>
      <c r="D534" s="11" t="s">
        <v>13</v>
      </c>
      <c r="F534" s="11" t="s">
        <v>12</v>
      </c>
      <c r="G534" s="16" t="s">
        <v>29</v>
      </c>
      <c r="H534" s="10" t="inlineStr">
        <is>
          <t>APPROVED ELECTROLYZER CONTROL-ASSEMBLY COVERAGE CLARIFICATION, issue92, 2026-10-18. Bareiss et al.2019 DOI10.1016/j.apenergy.2019.01.001 Sec3.2.2 states100kgGROSScontrolelectronicsper1MW;Gerloff2021componentmapping;ecoinventindustrial electronicsproductionforcontrolunits documents46%steelhousing32%plastics14%mountedboards8%cables. CriticalauditofactualsupplierconfirmsitALREADYincludessteelhousing,plastics,circuitboardsandcables.The100kginputisNOT100kgofbarecircuitboards,andthemasswasnotshownwrong. Retaintheexistingmarketforelectronicsforcontrolunitsat100kgineachPEM/AEC/SOECBoP;documentitsactualassemblyboundaryinsteadofinventingametalreductionoraddinganothercabinet. Ecoinvent3.9RER/RoWrecipesper100kgassemblyinclude46kgsteelfeed+rolling,32.193kgHDPEgrossfeed+32kginjectionmoulding,14kgmountedPCB(7kgPbcontainingand7kgPbfree,halfsurface/halfthroughhole),3.2kgribboncable+12.3mcomputerconnectorcable+111mnetworkcable,andoriginalboardfacility. Source8%nominalcablemassmustNOTbesummedwithmetresaskg;completecableproviderssupplyCu/plastics. NoadditionalPCB,connector,preciousmetalorsteelenclosureon topofcompleteexistingassembly. Thedescriptive32%plasticsisnominal;retainactual32.193kggrossfeed,notblanketnormalization. Retainnativecurrent-versionrecipesandmarkets,dynamicallyresolvedbypremise. Validationofalocal3.9recipecopyrevealed3.12GLO-HDPE migrationwouldalterregionalplasticsourcingrelative tocurrentnativecontrolunits;thatcopywasrejectedandNOnewlocalcontrolprovidersareintroduced. Thusalloriginalamounts,provideridentities,regionalshares,freight,facilityandutilitiesremainunchangedacrossversions,notjustthedeclaredtotalmass. ExistingBoPassemblyelectricityalreadycoversfinalassembly;doNOTaddanextraassembly-energyallowance. Genericindustrialcontrolarchitectureis a legacyestimatedassembly,notmanufacturercertifiedelectrolyzerpanel;actualI/Ocounts,HMI,safetyPLC,boardmetallizationandtraceAu/Pd/Ta remainreference-designgaps. Thisitemcorrectstheinterpretationanddocumentscoverage;itdoesNOTclaimanumericalmetalcorrectionorfullqualifiedcontrolsystemdesign. Item93scopesconverterinternalgate/controlboardsseparatelyfromthisplant-levelcabinet;existingcontrolsareincludedonce. ExistingmatchingEOL14kgboards/32kgindustrialplastic/8kgcablesretained;thisdoesnotvalidateotherBoPwastecoefficients. Lifetimesandserviceallocationunchanged. Onlyactivity/exchangecommentsmodified;no native/globalmarket,runtime,YAMLorprimary-secondarysharechanges.</t>
        </is>
      </c>
      <c r="J534"/>
      <c r="K534" s="19"/>
      <c r="L534" s="19"/>
      <c r="M534" s="19"/>
      <c r="N534" s="19"/>
      <c r="O534" s="19"/>
      <c r="P534" s="19"/>
      <c r="Q534"/>
      <c r="R534"/>
    </row>
    <row r="535" spans="1:18" s="11" customFormat="1" ht="16" x14ac:dyDescent="0.2">
      <c r="A535" s="16" t="s">
        <v>73</v>
      </c>
      <c r="B535" s="16">
        <f>25.3+2.1</f>
        <v>27.400000000000002</v>
      </c>
      <c r="C535" s="11" t="s">
        <v>17</v>
      </c>
      <c r="D535" s="11" t="s">
        <v>13</v>
      </c>
      <c r="F535" s="11" t="s">
        <v>12</v>
      </c>
      <c r="G535" s="16" t="s">
        <v>74</v>
      </c>
      <c r="H535" s="10" t="s">
        <v>187</v>
      </c>
      <c r="J535"/>
      <c r="K535" s="19"/>
      <c r="L535" s="19"/>
      <c r="M535" s="19"/>
      <c r="N535" s="19"/>
      <c r="O535" s="19"/>
      <c r="P535" s="19"/>
      <c r="Q535"/>
      <c r="R535"/>
    </row>
    <row r="536" spans="1:18" s="11" customFormat="1" ht="16" x14ac:dyDescent="0.2">
      <c r="A536" s="16" t="s">
        <v>20</v>
      </c>
      <c r="B536" s="16">
        <f>25.3+2.1</f>
        <v>27.400000000000002</v>
      </c>
      <c r="C536" s="11" t="s">
        <v>17</v>
      </c>
      <c r="D536" s="11" t="s">
        <v>13</v>
      </c>
      <c r="F536" s="11" t="s">
        <v>12</v>
      </c>
      <c r="G536" s="16" t="s">
        <v>15</v>
      </c>
      <c r="H536" s="10" t="s">
        <v>187</v>
      </c>
      <c r="J536"/>
      <c r="K536" s="19"/>
      <c r="L536" s="19"/>
      <c r="M536" s="19"/>
      <c r="N536" s="19"/>
      <c r="O536" s="19"/>
      <c r="P536" s="19"/>
      <c r="Q536"/>
      <c r="R536"/>
    </row>
    <row r="537" spans="1:18" s="11" customFormat="1" ht="16" x14ac:dyDescent="0.2">
      <c r="A537" s="16" t="s">
        <v>73</v>
      </c>
      <c r="B537" s="16">
        <v>2.4</v>
      </c>
      <c r="C537" s="11" t="s">
        <v>17</v>
      </c>
      <c r="D537" s="11" t="s">
        <v>13</v>
      </c>
      <c r="F537" s="11" t="s">
        <v>12</v>
      </c>
      <c r="G537" s="16" t="s">
        <v>74</v>
      </c>
      <c r="H537" s="10" t="s">
        <v>188</v>
      </c>
      <c r="J537"/>
      <c r="K537" s="19"/>
      <c r="L537" s="19"/>
      <c r="M537" s="19"/>
      <c r="N537" s="19"/>
      <c r="O537" s="19"/>
      <c r="P537" s="19"/>
      <c r="Q537"/>
      <c r="R537"/>
    </row>
    <row r="538" spans="1:18" s="11" customFormat="1" ht="16" x14ac:dyDescent="0.2">
      <c r="A538" s="16" t="s">
        <v>20</v>
      </c>
      <c r="B538" s="16">
        <v>2.4</v>
      </c>
      <c r="C538" s="11" t="s">
        <v>17</v>
      </c>
      <c r="D538" s="11" t="s">
        <v>13</v>
      </c>
      <c r="F538" s="11" t="s">
        <v>12</v>
      </c>
      <c r="G538" s="16" t="s">
        <v>15</v>
      </c>
      <c r="H538" s="10" t="s">
        <v>188</v>
      </c>
      <c r="J538"/>
      <c r="K538" s="19"/>
      <c r="L538" s="19"/>
      <c r="M538" s="19"/>
      <c r="N538" s="19"/>
      <c r="O538" s="19"/>
      <c r="P538" s="19"/>
      <c r="Q538"/>
      <c r="R538"/>
    </row>
    <row r="539" spans="1:18" s="11" customFormat="1" ht="16" x14ac:dyDescent="0.2">
      <c r="A539" s="16" t="s">
        <v>73</v>
      </c>
      <c r="B539" s="16">
        <f>11+53.1</f>
        <v>64.099999999999994</v>
      </c>
      <c r="C539" s="11" t="s">
        <v>17</v>
      </c>
      <c r="D539" s="11" t="s">
        <v>13</v>
      </c>
      <c r="F539" s="11" t="s">
        <v>12</v>
      </c>
      <c r="G539" s="16" t="s">
        <v>74</v>
      </c>
      <c r="H539" s="10" t="s">
        <v>189</v>
      </c>
      <c r="J539"/>
      <c r="K539" s="19"/>
      <c r="L539" s="19"/>
      <c r="M539" s="19"/>
      <c r="N539" s="19"/>
      <c r="O539" s="19"/>
      <c r="P539" s="19"/>
      <c r="Q539"/>
      <c r="R539"/>
    </row>
    <row r="540" spans="1:18" s="11" customFormat="1" ht="16" x14ac:dyDescent="0.2">
      <c r="A540" s="16" t="s">
        <v>20</v>
      </c>
      <c r="B540" s="16">
        <f>11+53.1</f>
        <v>64.099999999999994</v>
      </c>
      <c r="C540" s="11" t="s">
        <v>17</v>
      </c>
      <c r="D540" s="11" t="s">
        <v>13</v>
      </c>
      <c r="F540" s="11" t="s">
        <v>12</v>
      </c>
      <c r="G540" s="16" t="s">
        <v>15</v>
      </c>
      <c r="H540" s="10" t="s">
        <v>189</v>
      </c>
      <c r="J540"/>
      <c r="K540" s="19"/>
      <c r="L540" s="19"/>
      <c r="M540" s="19"/>
      <c r="N540" s="19"/>
      <c r="O540" s="19"/>
      <c r="P540" s="19"/>
      <c r="Q540"/>
      <c r="R540"/>
    </row>
    <row r="541" spans="1:18" s="11" customFormat="1" ht="16" x14ac:dyDescent="0.2">
      <c r="A541" s="16" t="s">
        <v>73</v>
      </c>
      <c r="B541" s="16">
        <f>29.3+121</f>
        <v>150.30000000000001</v>
      </c>
      <c r="C541" s="11" t="s">
        <v>17</v>
      </c>
      <c r="D541" s="11" t="s">
        <v>13</v>
      </c>
      <c r="F541" s="11" t="s">
        <v>12</v>
      </c>
      <c r="G541" s="16" t="s">
        <v>74</v>
      </c>
      <c r="H541" s="10" t="s">
        <v>190</v>
      </c>
      <c r="J541"/>
      <c r="K541" s="19"/>
      <c r="L541" s="19"/>
      <c r="M541" s="19"/>
      <c r="N541" s="19"/>
      <c r="O541" s="19"/>
      <c r="P541" s="19"/>
      <c r="Q541"/>
      <c r="R541"/>
    </row>
    <row r="542" spans="1:18" s="11" customFormat="1" ht="16" x14ac:dyDescent="0.2">
      <c r="A542" s="16" t="s">
        <v>20</v>
      </c>
      <c r="B542" s="16">
        <f>29.3+121</f>
        <v>150.30000000000001</v>
      </c>
      <c r="C542" s="11" t="s">
        <v>17</v>
      </c>
      <c r="D542" s="11" t="s">
        <v>13</v>
      </c>
      <c r="F542" s="11" t="s">
        <v>12</v>
      </c>
      <c r="G542" s="16" t="s">
        <v>15</v>
      </c>
      <c r="H542" s="10" t="s">
        <v>190</v>
      </c>
      <c r="J542"/>
      <c r="K542" s="19"/>
      <c r="L542" s="19"/>
      <c r="M542" s="19"/>
      <c r="N542" s="19"/>
      <c r="O542" s="19"/>
      <c r="P542" s="19"/>
      <c r="Q542"/>
      <c r="R542"/>
    </row>
    <row r="543" spans="1:18" s="11" customFormat="1" ht="16" x14ac:dyDescent="0.2">
      <c r="A543" s="16" t="s">
        <v>191</v>
      </c>
      <c r="B543" s="16">
        <f>0.4+1</f>
        <v>1.4</v>
      </c>
      <c r="C543" s="11" t="s">
        <v>17</v>
      </c>
      <c r="D543" s="11" t="s">
        <v>13</v>
      </c>
      <c r="F543" s="11" t="s">
        <v>12</v>
      </c>
      <c r="G543" s="16" t="s">
        <v>192</v>
      </c>
      <c r="H543" s="10" t="s">
        <v>193</v>
      </c>
      <c r="J543"/>
      <c r="K543" s="19"/>
      <c r="L543" s="19"/>
      <c r="M543" s="19"/>
      <c r="N543" s="19"/>
      <c r="O543" s="19"/>
      <c r="P543" s="19"/>
      <c r="Q543"/>
      <c r="R543"/>
    </row>
    <row r="544" spans="1:18" s="11" customFormat="1" ht="16" x14ac:dyDescent="0.2">
      <c r="A544" s="16" t="s">
        <v>93</v>
      </c>
      <c r="B544" s="16">
        <f>0.4+1</f>
        <v>1.4</v>
      </c>
      <c r="C544" s="11" t="s">
        <v>17</v>
      </c>
      <c r="D544" s="11" t="s">
        <v>13</v>
      </c>
      <c r="F544" s="11" t="s">
        <v>12</v>
      </c>
      <c r="G544" s="16" t="s">
        <v>94</v>
      </c>
      <c r="H544" s="10" t="s">
        <v>193</v>
      </c>
      <c r="J544"/>
      <c r="K544" s="19"/>
      <c r="L544" s="19"/>
      <c r="M544" s="19"/>
      <c r="N544" s="19"/>
      <c r="O544" s="19"/>
      <c r="P544" s="19"/>
      <c r="Q544"/>
      <c r="R544"/>
    </row>
    <row r="545" spans="1:18" s="11" customFormat="1" ht="16" x14ac:dyDescent="0.2">
      <c r="A545" s="16" t="s">
        <v>85</v>
      </c>
      <c r="B545" s="16">
        <f>0.4+1</f>
        <v>1.4</v>
      </c>
      <c r="C545" s="11" t="s">
        <v>17</v>
      </c>
      <c r="D545" s="11" t="s">
        <v>13</v>
      </c>
      <c r="F545" s="11" t="s">
        <v>12</v>
      </c>
      <c r="G545" s="16" t="s">
        <v>43</v>
      </c>
      <c r="H545" s="10" t="s">
        <v>193</v>
      </c>
      <c r="J545"/>
      <c r="K545" s="19"/>
      <c r="L545" s="19"/>
      <c r="M545" s="19"/>
      <c r="N545" s="19"/>
      <c r="O545" s="19"/>
      <c r="P545" s="19"/>
      <c r="Q545"/>
      <c r="R545"/>
    </row>
    <row r="546" spans="1:18" s="11" customFormat="1" ht="16" x14ac:dyDescent="0.2">
      <c r="A546" s="16" t="s">
        <v>68</v>
      </c>
      <c r="B546" s="16">
        <f>0.9+1.9</f>
        <v>2.8</v>
      </c>
      <c r="C546" s="11" t="s">
        <v>17</v>
      </c>
      <c r="D546" s="11" t="s">
        <v>13</v>
      </c>
      <c r="F546" s="11" t="s">
        <v>12</v>
      </c>
      <c r="G546" s="16" t="s">
        <v>69</v>
      </c>
      <c r="H546" s="10" t="s">
        <v>193</v>
      </c>
      <c r="J546"/>
      <c r="K546" s="19"/>
      <c r="L546" s="19"/>
      <c r="M546" s="19"/>
      <c r="N546" s="19"/>
      <c r="O546" s="19"/>
      <c r="P546" s="19"/>
      <c r="Q546"/>
      <c r="R546"/>
    </row>
    <row r="547" spans="1:18" s="11" customFormat="1" ht="16" x14ac:dyDescent="0.2">
      <c r="A547" s="16" t="s">
        <v>86</v>
      </c>
      <c r="B547" s="16">
        <f>0.9+1.9</f>
        <v>2.8</v>
      </c>
      <c r="C547" s="11" t="s">
        <v>17</v>
      </c>
      <c r="D547" s="11" t="s">
        <v>13</v>
      </c>
      <c r="F547" s="11" t="s">
        <v>12</v>
      </c>
      <c r="G547" s="16" t="s">
        <v>44</v>
      </c>
      <c r="H547" s="10" t="s">
        <v>193</v>
      </c>
      <c r="J547"/>
      <c r="K547" s="19"/>
      <c r="L547" s="19"/>
      <c r="M547" s="19"/>
      <c r="N547" s="19"/>
      <c r="O547" s="19"/>
      <c r="P547" s="19"/>
      <c r="Q547"/>
      <c r="R547"/>
    </row>
    <row r="548" spans="1:18" s="11" customFormat="1" ht="16" x14ac:dyDescent="0.2">
      <c r="A548" s="16" t="s">
        <v>83</v>
      </c>
      <c r="B548" s="16">
        <f>2.7+5.8</f>
        <v>8.5</v>
      </c>
      <c r="C548" s="11" t="s">
        <v>17</v>
      </c>
      <c r="D548" s="11" t="s">
        <v>13</v>
      </c>
      <c r="F548" s="11" t="s">
        <v>12</v>
      </c>
      <c r="G548" s="16" t="s">
        <v>40</v>
      </c>
      <c r="H548" s="10" t="s">
        <v>193</v>
      </c>
      <c r="J548"/>
      <c r="K548" s="19"/>
      <c r="L548" s="19"/>
      <c r="M548" s="19"/>
      <c r="N548" s="19"/>
      <c r="O548" s="19"/>
      <c r="P548" s="19"/>
      <c r="Q548"/>
      <c r="R548"/>
    </row>
    <row r="549" spans="1:18" s="11" customFormat="1" ht="16" x14ac:dyDescent="0.2">
      <c r="A549" s="16" t="s">
        <v>84</v>
      </c>
      <c r="B549" s="16">
        <f>2.7+5.8</f>
        <v>8.5</v>
      </c>
      <c r="C549" s="11" t="s">
        <v>17</v>
      </c>
      <c r="D549" s="11" t="s">
        <v>13</v>
      </c>
      <c r="F549" s="11" t="s">
        <v>12</v>
      </c>
      <c r="G549" s="16" t="s">
        <v>42</v>
      </c>
      <c r="H549" s="10" t="s">
        <v>193</v>
      </c>
      <c r="J549"/>
      <c r="K549" s="19"/>
      <c r="L549" s="19"/>
      <c r="M549" s="19"/>
      <c r="N549" s="19"/>
      <c r="O549" s="19"/>
      <c r="P549" s="19"/>
      <c r="Q549"/>
      <c r="R549"/>
    </row>
    <row r="550" spans="1:18" s="11" customFormat="1" ht="16" x14ac:dyDescent="0.2">
      <c r="A550" s="16" t="s">
        <v>83</v>
      </c>
      <c r="B550" s="16">
        <f>92.3+359.8</f>
        <v>452.1</v>
      </c>
      <c r="C550" s="11" t="s">
        <v>17</v>
      </c>
      <c r="D550" s="11" t="s">
        <v>13</v>
      </c>
      <c r="F550" s="11" t="s">
        <v>12</v>
      </c>
      <c r="G550" s="16" t="s">
        <v>40</v>
      </c>
      <c r="H550" s="10" t="s">
        <v>194</v>
      </c>
      <c r="J550"/>
      <c r="K550" s="19"/>
      <c r="L550" s="19"/>
      <c r="M550" s="19"/>
      <c r="N550" s="19"/>
      <c r="O550" s="19"/>
      <c r="P550" s="19"/>
      <c r="Q550"/>
      <c r="R550"/>
    </row>
    <row r="551" spans="1:18" s="11" customFormat="1" ht="16" x14ac:dyDescent="0.2">
      <c r="A551" s="16" t="s">
        <v>84</v>
      </c>
      <c r="B551" s="16">
        <f>92.3+359.8</f>
        <v>452.1</v>
      </c>
      <c r="C551" s="11" t="s">
        <v>17</v>
      </c>
      <c r="D551" s="11" t="s">
        <v>13</v>
      </c>
      <c r="F551" s="11" t="s">
        <v>12</v>
      </c>
      <c r="G551" s="16" t="s">
        <v>42</v>
      </c>
      <c r="H551" s="10" t="s">
        <v>194</v>
      </c>
      <c r="J551"/>
      <c r="K551" s="19"/>
      <c r="L551" s="19"/>
      <c r="M551" s="19"/>
      <c r="N551" s="19"/>
      <c r="O551" s="19"/>
      <c r="P551" s="19"/>
      <c r="Q551"/>
      <c r="R551"/>
    </row>
    <row r="552" spans="1:18" s="11" customFormat="1" ht="16" x14ac:dyDescent="0.2">
      <c r="A552" s="16" t="s">
        <v>83</v>
      </c>
      <c r="B552" s="16">
        <v>399</v>
      </c>
      <c r="C552" s="11" t="s">
        <v>17</v>
      </c>
      <c r="D552" s="11" t="s">
        <v>13</v>
      </c>
      <c r="F552" s="11" t="s">
        <v>12</v>
      </c>
      <c r="G552" s="16" t="s">
        <v>40</v>
      </c>
      <c r="H552" s="10" t="s">
        <v>195</v>
      </c>
      <c r="J552"/>
      <c r="K552" s="19"/>
      <c r="L552" s="19"/>
      <c r="M552" s="19"/>
      <c r="N552" s="19"/>
      <c r="O552" s="19"/>
      <c r="P552" s="19"/>
      <c r="Q552"/>
      <c r="R552"/>
    </row>
    <row r="553" spans="1:18" s="11" customFormat="1" ht="16" x14ac:dyDescent="0.2">
      <c r="A553" s="16" t="s">
        <v>84</v>
      </c>
      <c r="B553" s="16">
        <v>399</v>
      </c>
      <c r="C553" s="11" t="s">
        <v>17</v>
      </c>
      <c r="D553" s="11" t="s">
        <v>13</v>
      </c>
      <c r="F553" s="11" t="s">
        <v>12</v>
      </c>
      <c r="G553" s="16" t="s">
        <v>42</v>
      </c>
      <c r="H553" s="10" t="s">
        <v>195</v>
      </c>
      <c r="J553"/>
      <c r="K553" s="19"/>
      <c r="L553" s="19"/>
      <c r="M553" s="19"/>
      <c r="N553" s="19"/>
      <c r="O553" s="19"/>
      <c r="P553" s="19"/>
      <c r="Q553"/>
      <c r="R553"/>
    </row>
    <row r="554" spans="1:18" s="11" customFormat="1" ht="16" x14ac:dyDescent="0.2">
      <c r="A554" s="16" t="s">
        <v>83</v>
      </c>
      <c r="B554" s="16">
        <v>7</v>
      </c>
      <c r="C554" s="11" t="s">
        <v>17</v>
      </c>
      <c r="D554" s="11" t="s">
        <v>13</v>
      </c>
      <c r="F554" s="11" t="s">
        <v>12</v>
      </c>
      <c r="G554" s="16" t="s">
        <v>40</v>
      </c>
      <c r="H554" s="10" t="s">
        <v>196</v>
      </c>
      <c r="J554"/>
      <c r="K554" s="19"/>
      <c r="L554" s="19"/>
      <c r="M554" s="19"/>
      <c r="N554" s="19"/>
      <c r="O554" s="19"/>
      <c r="P554" s="19"/>
      <c r="Q554"/>
      <c r="R554"/>
    </row>
    <row r="555" spans="1:18" s="11" customFormat="1" ht="16" x14ac:dyDescent="0.2">
      <c r="A555" s="16" t="s">
        <v>84</v>
      </c>
      <c r="B555" s="16">
        <v>7</v>
      </c>
      <c r="C555" s="11" t="s">
        <v>17</v>
      </c>
      <c r="D555" s="11" t="s">
        <v>13</v>
      </c>
      <c r="F555" s="11" t="s">
        <v>12</v>
      </c>
      <c r="G555" s="16" t="s">
        <v>42</v>
      </c>
      <c r="H555" s="10" t="s">
        <v>196</v>
      </c>
      <c r="J555"/>
      <c r="K555" s="19"/>
      <c r="L555" s="19"/>
      <c r="M555" s="19"/>
      <c r="N555" s="19"/>
      <c r="O555" s="19"/>
      <c r="P555" s="19"/>
      <c r="Q555"/>
      <c r="R555"/>
    </row>
    <row r="556" spans="1:18" s="11" customFormat="1" ht="16" x14ac:dyDescent="0.2">
      <c r="A556" s="16"/>
      <c r="B556" s="16"/>
      <c r="C556" s="11"/>
      <c r="D556" s="11"/>
      <c r="F556" s="11"/>
      <c r="G556" s="16"/>
      <c r="H556" s="10"/>
      <c r="J556"/>
      <c r="K556" s="19"/>
      <c r="L556" s="19"/>
      <c r="M556" s="19"/>
      <c r="N556" s="19"/>
      <c r="O556" s="19"/>
      <c r="P556" s="19"/>
      <c r="Q556"/>
      <c r="R556"/>
    </row>
    <row r="557" spans="1:18" s="11" customFormat="1" ht="16" x14ac:dyDescent="0.2">
      <c r="A557" s="16"/>
      <c r="B557" s="16"/>
      <c r="C557" s="11"/>
      <c r="D557" s="11"/>
      <c r="F557" s="11"/>
      <c r="G557" s="16"/>
      <c r="H557" s="10"/>
      <c r="J557"/>
      <c r="K557" s="19"/>
      <c r="L557" s="19"/>
      <c r="M557" s="19"/>
      <c r="N557" s="19"/>
      <c r="O557" s="19"/>
      <c r="P557" s="19"/>
      <c r="Q557"/>
      <c r="R557"/>
    </row>
    <row r="558" spans="1:18" s="11" customFormat="1" ht="16" x14ac:dyDescent="0.2">
      <c r="A558" s="16"/>
      <c r="B558" s="16"/>
      <c r="C558" s="11"/>
      <c r="D558" s="11"/>
      <c r="F558" s="11"/>
      <c r="G558" s="16"/>
      <c r="H558" s="10"/>
      <c r="J558"/>
      <c r="K558" s="19"/>
      <c r="L558" s="19"/>
      <c r="M558" s="19"/>
      <c r="N558" s="19"/>
      <c r="O558" s="19"/>
      <c r="P558" s="19"/>
      <c r="Q558"/>
      <c r="R558"/>
    </row>
    <row r="559" spans="1:18" s="11" customFormat="1" ht="16" x14ac:dyDescent="0.2">
      <c r="A559" s="16"/>
      <c r="B559" s="16"/>
      <c r="C559" s="11"/>
      <c r="D559" s="11"/>
      <c r="F559" s="11"/>
      <c r="G559" s="16"/>
      <c r="H559" s="10"/>
      <c r="J559"/>
      <c r="K559" s="19"/>
      <c r="L559" s="19"/>
      <c r="M559" s="19"/>
      <c r="N559" s="19"/>
      <c r="O559" s="19"/>
      <c r="P559" s="19"/>
      <c r="Q559"/>
      <c r="R559"/>
    </row>
    <row r="560" spans="1:18" s="11" customFormat="1" ht="16" x14ac:dyDescent="0.2">
      <c r="A560" s="16"/>
      <c r="B560" s="16"/>
      <c r="C560" s="11"/>
      <c r="D560" s="11"/>
      <c r="F560" s="11"/>
      <c r="G560" s="16"/>
      <c r="H560" s="10"/>
      <c r="J560"/>
      <c r="K560" s="19"/>
      <c r="L560" s="19"/>
      <c r="M560" s="19"/>
      <c r="N560" s="19"/>
      <c r="O560" s="19"/>
      <c r="P560" s="19"/>
      <c r="Q560"/>
      <c r="R560"/>
    </row>
    <row r="561" spans="1:18" s="11" customFormat="1" ht="16" x14ac:dyDescent="0.2">
      <c r="A561" s="16" t="s">
        <v>25</v>
      </c>
      <c r="B561" s="16">
        <v>1503.6</v>
      </c>
      <c r="C561" s="11" t="s">
        <v>17</v>
      </c>
      <c r="D561" s="11" t="s">
        <v>13</v>
      </c>
      <c r="F561" s="11" t="s">
        <v>12</v>
      </c>
      <c r="G561" s="16" t="s">
        <v>26</v>
      </c>
      <c r="H561" s="10" t="s">
        <v>199</v>
      </c>
      <c r="J561"/>
      <c r="K561" s="19"/>
      <c r="L561" s="19"/>
      <c r="M561" s="19"/>
      <c r="N561" s="19"/>
      <c r="O561" s="19"/>
      <c r="P561" s="19"/>
      <c r="Q561"/>
      <c r="R561"/>
    </row>
    <row r="562" spans="1:18" s="11" customFormat="1" ht="16" x14ac:dyDescent="0.2">
      <c r="A562" s="16" t="s">
        <v>84</v>
      </c>
      <c r="B562" s="16">
        <v>1503.6</v>
      </c>
      <c r="C562" s="11" t="s">
        <v>17</v>
      </c>
      <c r="D562" s="11" t="s">
        <v>13</v>
      </c>
      <c r="F562" s="11" t="s">
        <v>12</v>
      </c>
      <c r="G562" s="16" t="s">
        <v>42</v>
      </c>
      <c r="H562" s="10" t="s">
        <v>199</v>
      </c>
      <c r="J562"/>
      <c r="K562" s="19"/>
      <c r="L562" s="19"/>
      <c r="M562" s="19"/>
      <c r="N562" s="19"/>
      <c r="O562" s="19"/>
      <c r="P562" s="19"/>
      <c r="Q562"/>
      <c r="R562"/>
    </row>
    <row r="563" spans="1:18" s="11" customFormat="1" ht="16" x14ac:dyDescent="0.2">
      <c r="A563" s="16" t="s">
        <v>102</v>
      </c>
      <c r="B563" s="16">
        <v>534</v>
      </c>
      <c r="C563" s="11" t="s">
        <v>17</v>
      </c>
      <c r="D563" s="11" t="s">
        <v>13</v>
      </c>
      <c r="F563" s="11" t="s">
        <v>12</v>
      </c>
      <c r="G563" s="16" t="s">
        <v>103</v>
      </c>
      <c r="H563" s="10" t="s">
        <v>200</v>
      </c>
      <c r="J563"/>
      <c r="K563" s="19"/>
      <c r="L563" s="19"/>
      <c r="M563" s="19"/>
      <c r="N563" s="19"/>
      <c r="O563" s="19"/>
      <c r="P563" s="19"/>
      <c r="Q563"/>
      <c r="R563"/>
    </row>
    <row r="564" spans="1:18" s="11" customFormat="1" ht="16" x14ac:dyDescent="0.2">
      <c r="A564" s="16" t="s">
        <v>105</v>
      </c>
      <c r="B564" s="16">
        <v>534</v>
      </c>
      <c r="C564" s="11" t="s">
        <v>17</v>
      </c>
      <c r="D564" s="11" t="s">
        <v>13</v>
      </c>
      <c r="F564" s="11" t="s">
        <v>12</v>
      </c>
      <c r="G564" s="16" t="s">
        <v>106</v>
      </c>
      <c r="H564" s="10" t="s">
        <v>200</v>
      </c>
      <c r="J564"/>
      <c r="K564" s="19"/>
      <c r="L564" s="19"/>
      <c r="M564" s="19"/>
      <c r="N564" s="19"/>
      <c r="O564" s="19"/>
      <c r="P564" s="19"/>
      <c r="Q564"/>
      <c r="R564"/>
    </row>
    <row r="565" spans="1:18" s="11" customFormat="1" ht="16" x14ac:dyDescent="0.2">
      <c r="A565" s="16" t="s">
        <v>83</v>
      </c>
      <c r="B565" s="16">
        <v>267</v>
      </c>
      <c r="C565" s="11" t="s">
        <v>17</v>
      </c>
      <c r="D565" s="11" t="s">
        <v>13</v>
      </c>
      <c r="F565" s="11" t="s">
        <v>12</v>
      </c>
      <c r="G565" s="16" t="s">
        <v>40</v>
      </c>
      <c r="H565" s="10" t="s">
        <v>200</v>
      </c>
      <c r="J565"/>
      <c r="K565" s="19"/>
      <c r="L565" s="19"/>
      <c r="M565" s="19"/>
      <c r="N565" s="19"/>
      <c r="O565" s="19"/>
      <c r="P565" s="19"/>
      <c r="Q565"/>
      <c r="R565"/>
    </row>
    <row r="566" spans="1:18" s="11" customFormat="1" ht="16" x14ac:dyDescent="0.2">
      <c r="A566" s="16" t="s">
        <v>84</v>
      </c>
      <c r="B566" s="16">
        <v>267</v>
      </c>
      <c r="C566" s="11" t="s">
        <v>17</v>
      </c>
      <c r="D566" s="11" t="s">
        <v>13</v>
      </c>
      <c r="F566" s="11" t="s">
        <v>12</v>
      </c>
      <c r="G566" s="16" t="s">
        <v>42</v>
      </c>
      <c r="H566" s="10" t="s">
        <v>200</v>
      </c>
      <c r="J566"/>
      <c r="K566" s="19"/>
      <c r="L566" s="19"/>
      <c r="M566" s="19"/>
      <c r="N566" s="19"/>
      <c r="O566" s="19"/>
      <c r="P566" s="19"/>
      <c r="Q566"/>
      <c r="R566"/>
    </row>
    <row r="567" spans="1:18" s="11" customFormat="1" ht="16" x14ac:dyDescent="0.2">
      <c r="A567" s="16" t="s">
        <v>73</v>
      </c>
      <c r="B567" s="16">
        <v>588</v>
      </c>
      <c r="C567" s="11" t="s">
        <v>17</v>
      </c>
      <c r="D567" s="11" t="s">
        <v>13</v>
      </c>
      <c r="F567" s="11" t="s">
        <v>12</v>
      </c>
      <c r="G567" s="16" t="s">
        <v>74</v>
      </c>
      <c r="H567" s="10" t="s">
        <v>114</v>
      </c>
      <c r="J567"/>
      <c r="K567" s="19"/>
      <c r="L567" s="19"/>
      <c r="M567" s="19"/>
      <c r="N567" s="19"/>
      <c r="O567" s="19"/>
      <c r="P567" s="19"/>
      <c r="Q567"/>
      <c r="R567"/>
    </row>
    <row r="568" spans="1:18" s="11" customFormat="1" ht="16" x14ac:dyDescent="0.2">
      <c r="A568" s="16" t="s">
        <v>20</v>
      </c>
      <c r="B568" s="16">
        <v>588</v>
      </c>
      <c r="C568" s="11" t="s">
        <v>17</v>
      </c>
      <c r="D568" s="11" t="s">
        <v>13</v>
      </c>
      <c r="F568" s="11" t="s">
        <v>12</v>
      </c>
      <c r="G568" s="16" t="s">
        <v>15</v>
      </c>
      <c r="H568" s="10" t="s">
        <v>114</v>
      </c>
      <c r="J568"/>
      <c r="K568" s="19"/>
      <c r="L568" s="19"/>
      <c r="M568" s="19"/>
      <c r="N568" s="19"/>
      <c r="O568" s="19"/>
      <c r="P568" s="19"/>
      <c r="Q568"/>
      <c r="R568"/>
    </row>
    <row r="569" spans="1:18" s="11" customFormat="1" ht="16" x14ac:dyDescent="0.2">
      <c r="A569" s="16" t="s">
        <v>115</v>
      </c>
      <c r="B569" s="16">
        <v>33.299999999999997</v>
      </c>
      <c r="C569" s="11" t="s">
        <v>17</v>
      </c>
      <c r="D569" s="11" t="s">
        <v>116</v>
      </c>
      <c r="F569" s="11" t="s">
        <v>12</v>
      </c>
      <c r="G569" s="16" t="s">
        <v>117</v>
      </c>
      <c r="H569" s="10" t="s">
        <v>114</v>
      </c>
      <c r="J569"/>
      <c r="K569" s="19"/>
      <c r="L569" s="19"/>
      <c r="M569" s="19"/>
      <c r="N569" s="19"/>
      <c r="O569" s="19"/>
      <c r="P569" s="19"/>
      <c r="Q569"/>
      <c r="R569"/>
    </row>
    <row r="570" spans="1:18" s="11" customFormat="1" ht="16" x14ac:dyDescent="0.2">
      <c r="A570" s="16" t="s">
        <v>84</v>
      </c>
      <c r="B570" s="16">
        <v>2250</v>
      </c>
      <c r="C570" s="11" t="s">
        <v>17</v>
      </c>
      <c r="D570" s="11" t="s">
        <v>13</v>
      </c>
      <c r="F570" s="11" t="s">
        <v>12</v>
      </c>
      <c r="G570" s="16" t="s">
        <v>42</v>
      </c>
      <c r="H570" s="10" t="s">
        <v>118</v>
      </c>
      <c r="J570"/>
      <c r="K570" s="19"/>
      <c r="L570" s="19"/>
      <c r="M570" s="19"/>
      <c r="N570" s="19"/>
      <c r="O570" s="19"/>
      <c r="P570" s="19"/>
      <c r="Q570"/>
      <c r="R570"/>
    </row>
    <row r="571" spans="1:18" s="11" customFormat="1" ht="16" x14ac:dyDescent="0.2">
      <c r="A571" s="16" t="s">
        <v>201</v>
      </c>
      <c r="B571" s="16">
        <v>2250</v>
      </c>
      <c r="C571" s="11" t="s">
        <v>17</v>
      </c>
      <c r="D571" s="11" t="s">
        <v>13</v>
      </c>
      <c r="F571" s="11" t="s">
        <v>12</v>
      </c>
      <c r="G571" s="16" t="s">
        <v>202</v>
      </c>
      <c r="H571" s="10" t="s">
        <v>118</v>
      </c>
      <c r="J571"/>
      <c r="K571" s="19"/>
      <c r="L571" s="19"/>
      <c r="M571" s="19"/>
      <c r="N571" s="19"/>
      <c r="O571" s="19"/>
      <c r="P571" s="19"/>
      <c r="Q571"/>
      <c r="R571"/>
    </row>
    <row r="572" spans="1:18" s="11" customFormat="1" ht="16" x14ac:dyDescent="0.2">
      <c r="A572" s="16" t="s">
        <v>119</v>
      </c>
      <c r="B572" s="16">
        <v>2.2999999999999998</v>
      </c>
      <c r="C572" s="11" t="s">
        <v>45</v>
      </c>
      <c r="D572" s="11" t="s">
        <v>31</v>
      </c>
      <c r="F572" s="11" t="s">
        <v>12</v>
      </c>
      <c r="G572" s="16" t="s">
        <v>120</v>
      </c>
      <c r="H572" s="10" t="s">
        <v>203</v>
      </c>
      <c r="J572"/>
      <c r="K572" s="19"/>
      <c r="L572" s="19"/>
      <c r="M572" s="19"/>
      <c r="N572" s="19"/>
      <c r="O572" s="19"/>
      <c r="P572" s="19"/>
      <c r="Q572"/>
      <c r="R572"/>
    </row>
    <row r="573" spans="1:18" s="11" customFormat="1" ht="16" x14ac:dyDescent="0.2">
      <c r="A573" s="11" t="s">
        <v>33</v>
      </c>
      <c r="B573" s="12">
        <v>76420.2</v>
      </c>
      <c r="C573" s="11" t="s">
        <v>17</v>
      </c>
      <c r="D573" s="11" t="s">
        <v>35</v>
      </c>
      <c r="F573" s="11" t="s">
        <v>12</v>
      </c>
      <c r="G573" s="11" t="s">
        <v>36</v>
      </c>
      <c r="H573" s="11" t="s">
        <v>79</v>
      </c>
      <c r="J573"/>
      <c r="K573" s="19"/>
      <c r="L573" s="19"/>
      <c r="M573" s="19"/>
      <c r="N573" s="19"/>
      <c r="O573" s="19"/>
      <c r="P573" s="19"/>
      <c r="Q573"/>
      <c r="R573"/>
    </row>
    <row r="574" spans="1:18" s="11" customFormat="1" ht="16" x14ac:dyDescent="0.2">
      <c r="B574" s="16"/>
      <c r="F574" s="10"/>
      <c r="G574" s="10"/>
      <c r="K574" s="12"/>
      <c r="L574" s="12"/>
      <c r="M574" s="12"/>
      <c r="N574" s="12"/>
      <c r="O574" s="12"/>
      <c r="P574" s="12"/>
    </row>
    <row r="575" spans="1:18" s="11" customFormat="1" ht="16" x14ac:dyDescent="0.2">
      <c r="A575" s="8" t="s">
        <v>1</v>
      </c>
      <c r="B575" s="9" t="s">
        <v>514</v>
      </c>
      <c r="K575" s="12"/>
      <c r="L575" s="12"/>
      <c r="M575" s="12"/>
      <c r="N575" s="12"/>
      <c r="O575" s="12"/>
      <c r="P575" s="12"/>
    </row>
    <row r="576" spans="1:18" s="11" customFormat="1" ht="16" x14ac:dyDescent="0.2">
      <c r="A576" s="13" t="s">
        <v>3</v>
      </c>
      <c r="B576" s="14">
        <v>1</v>
      </c>
      <c r="K576" s="12"/>
      <c r="L576" s="12"/>
      <c r="M576" s="12"/>
      <c r="N576" s="12"/>
      <c r="O576" s="12"/>
      <c r="P576" s="12"/>
    </row>
    <row r="577" spans="1:20" s="11" customFormat="1" ht="16" x14ac:dyDescent="0.2">
      <c r="A577" s="13" t="s">
        <v>11</v>
      </c>
      <c r="B577" s="14"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
PREVIOUS NOTES (retained as history; the correction above takes precedence):
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
PREVIOUS NOTES (retained as history; the correction above takes precedence):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per single stack, @ 8000 hours/year. Iridium mining process is NOT from ecoinvent. Produced amount of H2 over 20 years: 2964315.35 kg. According to a study called IndWEDe, it is assumed that the stacks are replaced 3 times during the 20 years lifespan, based on the 2030’s scenario for 1 MW systems which predicts a lifetime of 50,000 h or more for the stacks of the different water electrolysis technologies. In comparison to AEC electrolyzers, PEMEC electrolyzers are less mature. Furthermore, the PEMEC technology is commercially available and operates with a similar system efficiency as the AEC technology. However, the current density and the gas purity are higher with values in between 0.6–2.0 A/cm2 and &gt; 99.99%, respectively. Besides this, the operating pressure (below 200 bar) is significantly higher in comparison to AEC systems, while the operating temperature (50 °C to 80 °C) and the system energy (4.2–6.6 kWh/m3H2) are similar to AEC systems. The PEMEC BoP and stack components data stem from Bareiß et al. and correspond to a 1 MW system. Moreover, some further BoP components like water purifier &amp; feed tank, buffer tank, and heat exchanger have been added, derived from a 300 kW AEC system, under the assumption that the components are also suitable for a PEMEC system. The values have been scaled up from 300 kW to 1 MW. Values have already been multiplied by 3 to reflect 2 stack replacements over 20 years of use.</t>
        </is>
      </c>
      <c r="K577" s="12"/>
      <c r="L577" s="12"/>
      <c r="M577" s="12"/>
      <c r="N577" s="12"/>
      <c r="O577" s="12"/>
      <c r="P577" s="12"/>
    </row>
    <row r="578" spans="1:20" s="11" customFormat="1" ht="16" x14ac:dyDescent="0.2">
      <c r="A578" s="13" t="s">
        <v>4</v>
      </c>
      <c r="B578" s="16" t="s">
        <v>515</v>
      </c>
      <c r="K578" s="12"/>
      <c r="L578" s="12"/>
      <c r="M578" s="12"/>
      <c r="N578" s="12"/>
      <c r="O578" s="12"/>
      <c r="P578" s="12"/>
    </row>
    <row r="579" spans="1:20" s="11" customFormat="1" ht="16" x14ac:dyDescent="0.2">
      <c r="A579" s="13" t="s">
        <v>2</v>
      </c>
      <c r="B579" s="14" t="s">
        <v>34</v>
      </c>
      <c r="K579" s="12"/>
      <c r="L579" s="12"/>
      <c r="M579" s="12"/>
      <c r="N579" s="12"/>
      <c r="O579" s="12"/>
      <c r="P579" s="12"/>
    </row>
    <row r="580" spans="1:20" s="11" customFormat="1" ht="16" x14ac:dyDescent="0.2">
      <c r="A580" s="13" t="s">
        <v>6</v>
      </c>
      <c r="B580" s="16" t="s">
        <v>6</v>
      </c>
      <c r="K580" s="12"/>
      <c r="L580" s="12"/>
      <c r="M580" s="12"/>
      <c r="N580" s="12"/>
      <c r="O580" s="12"/>
      <c r="P580" s="12"/>
    </row>
    <row r="581" spans="1:20" s="11" customFormat="1" ht="16" x14ac:dyDescent="0.2">
      <c r="A581" s="17" t="s">
        <v>7</v>
      </c>
      <c r="B581" s="9"/>
      <c r="C581" s="17"/>
      <c r="D581" s="17"/>
      <c r="E581" s="17"/>
      <c r="F581" s="17"/>
      <c r="G581" s="17"/>
      <c r="H581" s="17"/>
      <c r="I581" s="17"/>
      <c r="J581" s="17"/>
      <c r="K581" s="12"/>
      <c r="L581" s="12"/>
      <c r="M581" s="12"/>
      <c r="N581" s="12"/>
      <c r="O581" s="12"/>
      <c r="P581" s="12"/>
    </row>
    <row r="582" spans="1:20" s="11" customFormat="1" ht="16" x14ac:dyDescent="0.2">
      <c r="A582" s="17" t="s">
        <v>8</v>
      </c>
      <c r="B582" s="9" t="s">
        <v>9</v>
      </c>
      <c r="C582" s="17" t="s">
        <v>2</v>
      </c>
      <c r="D582" s="17" t="s">
        <v>6</v>
      </c>
      <c r="E582" s="23" t="s">
        <v>10</v>
      </c>
      <c r="F582" s="17" t="s">
        <v>5</v>
      </c>
      <c r="G582" s="17" t="s">
        <v>4</v>
      </c>
      <c r="H582" s="23" t="s">
        <v>11</v>
      </c>
      <c r="I582" s="17"/>
      <c r="J582" s="7"/>
      <c r="K582" s="18"/>
      <c r="L582" s="18"/>
      <c r="M582" s="18"/>
      <c r="N582" s="18"/>
      <c r="O582" s="18"/>
      <c r="P582" s="18"/>
      <c r="Q582" s="7"/>
      <c r="R582" s="7"/>
      <c r="S582" s="17"/>
      <c r="T582" s="7"/>
    </row>
    <row r="583" spans="1:20" s="11" customFormat="1" ht="16" x14ac:dyDescent="0.2">
      <c r="A583" s="16" t="str">
        <f>B575</f>
        <v>treatment of electrolyzer balance of plant, 1MWe, SOEC</v>
      </c>
      <c r="B583" s="12">
        <v>-1</v>
      </c>
      <c r="C583" s="11" t="s">
        <v>34</v>
      </c>
      <c r="D583" s="11" t="str">
        <f>B580</f>
        <v>unit</v>
      </c>
      <c r="F583" s="11" t="s">
        <v>16</v>
      </c>
      <c r="G583" s="11" t="str">
        <f>B578</f>
        <v>used electrolyzer balance of plant, 1MWe, SOEC</v>
      </c>
      <c r="H583"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K583" s="12"/>
      <c r="L583" s="12"/>
      <c r="M583" s="12"/>
      <c r="N583" s="12"/>
      <c r="O583" s="12"/>
      <c r="P583" s="12"/>
    </row>
    <row r="584" spans="1:20" s="11" customFormat="1" ht="16" x14ac:dyDescent="0.2">
      <c r="A584" s="16" t="s">
        <v>204</v>
      </c>
      <c r="B584" s="11">
        <v>-20421</v>
      </c>
      <c r="C584" s="11" t="s">
        <v>37</v>
      </c>
      <c r="D584" s="11" t="s">
        <v>13</v>
      </c>
      <c r="F584" s="11" t="s">
        <v>12</v>
      </c>
      <c r="G584" s="11" t="s">
        <v>205</v>
      </c>
      <c r="J584"/>
      <c r="K584" s="19"/>
      <c r="L584" s="19"/>
      <c r="M584" s="19"/>
      <c r="N584" s="19"/>
      <c r="O584" s="19"/>
      <c r="P584" s="19"/>
      <c r="Q584"/>
      <c r="R584"/>
    </row>
    <row r="585" spans="1:20" s="11" customFormat="1" ht="16" x14ac:dyDescent="0.2">
      <c r="A585" s="16" t="s">
        <v>449</v>
      </c>
      <c r="B585" s="11">
        <v>-12227</v>
      </c>
      <c r="C585" s="11" t="s">
        <v>217</v>
      </c>
      <c r="D585" s="11" t="s">
        <v>13</v>
      </c>
      <c r="F585" s="11" t="s">
        <v>12</v>
      </c>
      <c r="G585" s="16" t="s">
        <v>216</v>
      </c>
      <c r="H585"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J585"/>
      <c r="K585" s="19"/>
      <c r="L585" s="19"/>
      <c r="M585" s="19"/>
      <c r="N585" s="19"/>
      <c r="O585" s="19"/>
      <c r="P585" s="19"/>
      <c r="Q585"/>
      <c r="R585"/>
    </row>
    <row r="586" spans="1:20" s="11" customFormat="1" ht="16" x14ac:dyDescent="0.2">
      <c r="A586" s="11" t="s">
        <v>206</v>
      </c>
      <c r="B586" s="11">
        <v>0</v>
      </c>
      <c r="C586" s="11" t="s">
        <v>37</v>
      </c>
      <c r="D586" s="11" t="s">
        <v>13</v>
      </c>
      <c r="F586" s="11" t="s">
        <v>12</v>
      </c>
      <c r="G586" s="11" t="s">
        <v>207</v>
      </c>
      <c r="H586"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J586"/>
      <c r="K586" s="19"/>
      <c r="L586" s="19"/>
      <c r="M586" s="19"/>
      <c r="N586" s="19"/>
      <c r="O586" s="19"/>
      <c r="P586" s="19"/>
      <c r="Q586"/>
      <c r="R586"/>
    </row>
    <row r="587" spans="1:20" s="11" customFormat="1" ht="16" x14ac:dyDescent="0.2">
      <c r="A587" s="11" t="s">
        <v>226</v>
      </c>
      <c r="B587" s="11">
        <v>-32</v>
      </c>
      <c r="C587" s="11" t="s">
        <v>217</v>
      </c>
      <c r="D587" s="11" t="s">
        <v>13</v>
      </c>
      <c r="F587" s="11" t="s">
        <v>12</v>
      </c>
      <c r="G587" s="11" t="s">
        <v>227</v>
      </c>
      <c r="J587"/>
      <c r="K587" s="19"/>
      <c r="L587" s="19"/>
      <c r="M587" s="19"/>
      <c r="N587" s="19"/>
      <c r="O587" s="19"/>
      <c r="P587" s="19"/>
      <c r="Q587"/>
      <c r="R587"/>
    </row>
    <row r="588" spans="1:20" s="11" customFormat="1" ht="16" x14ac:dyDescent="0.2">
      <c r="A588" s="11" t="s">
        <v>218</v>
      </c>
      <c r="B588" s="11">
        <v>-14</v>
      </c>
      <c r="C588" s="11" t="s">
        <v>217</v>
      </c>
      <c r="D588" s="11" t="s">
        <v>13</v>
      </c>
      <c r="F588" s="11" t="s">
        <v>12</v>
      </c>
      <c r="G588" s="11" t="s">
        <v>450</v>
      </c>
      <c r="J588"/>
      <c r="K588" s="19"/>
      <c r="L588" s="19"/>
      <c r="M588" s="19"/>
      <c r="N588" s="19"/>
      <c r="O588" s="19"/>
      <c r="P588" s="19"/>
      <c r="Q588"/>
      <c r="R588"/>
    </row>
    <row r="589" spans="1:20" s="11" customFormat="1" ht="16" x14ac:dyDescent="0.2">
      <c r="A589" s="11" t="s">
        <v>219</v>
      </c>
      <c r="B589" s="11">
        <v>-8</v>
      </c>
      <c r="C589" s="11" t="s">
        <v>17</v>
      </c>
      <c r="D589" s="11" t="s">
        <v>13</v>
      </c>
      <c r="F589" s="11" t="s">
        <v>12</v>
      </c>
      <c r="G589" s="11" t="s">
        <v>220</v>
      </c>
      <c r="J589"/>
      <c r="K589" s="19"/>
      <c r="L589" s="19"/>
      <c r="M589" s="19"/>
      <c r="N589" s="19"/>
      <c r="O589" s="19"/>
      <c r="P589" s="19"/>
      <c r="Q589"/>
      <c r="R589"/>
    </row>
    <row r="590" spans="1:20" s="11" customFormat="1" ht="16" x14ac:dyDescent="0.2">
      <c r="A590" s="11" t="s">
        <v>221</v>
      </c>
      <c r="B590" s="11">
        <v>-534</v>
      </c>
      <c r="C590" s="11" t="s">
        <v>37</v>
      </c>
      <c r="D590" s="11" t="s">
        <v>13</v>
      </c>
      <c r="F590" s="11" t="s">
        <v>12</v>
      </c>
      <c r="G590" s="11" t="s">
        <v>452</v>
      </c>
      <c r="J590"/>
      <c r="K590" s="19"/>
      <c r="L590" s="19"/>
      <c r="M590" s="19"/>
      <c r="N590" s="19"/>
      <c r="O590" s="19"/>
      <c r="P590" s="19"/>
      <c r="Q590"/>
      <c r="R590"/>
    </row>
    <row r="591" spans="1:20" s="11" customFormat="1" ht="16" x14ac:dyDescent="0.2">
      <c r="A591" s="11" t="s">
        <v>451</v>
      </c>
      <c r="B591" s="11">
        <v>-3000</v>
      </c>
      <c r="C591" s="11" t="s">
        <v>37</v>
      </c>
      <c r="D591" s="11" t="s">
        <v>13</v>
      </c>
      <c r="F591" s="11" t="s">
        <v>12</v>
      </c>
      <c r="G591" s="11" t="s">
        <v>222</v>
      </c>
      <c r="J591"/>
      <c r="K591" s="19"/>
      <c r="L591" s="19"/>
      <c r="M591" s="19"/>
      <c r="N591" s="19"/>
      <c r="O591" s="19"/>
      <c r="P591" s="19"/>
      <c r="Q591"/>
      <c r="R591"/>
    </row>
    <row r="592" spans="1:20" s="11" customFormat="1" ht="16" x14ac:dyDescent="0.2">
      <c r="A592" s="11" t="s">
        <v>208</v>
      </c>
      <c r="B592" s="11">
        <v>-3.3000000000000114</v>
      </c>
      <c r="C592" s="11" t="s">
        <v>37</v>
      </c>
      <c r="D592" s="11" t="s">
        <v>13</v>
      </c>
      <c r="F592" s="11" t="s">
        <v>12</v>
      </c>
      <c r="G592" s="11" t="s">
        <v>209</v>
      </c>
      <c r="H592"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J592"/>
      <c r="K592" s="19"/>
      <c r="L592" s="19"/>
      <c r="M592" s="19"/>
      <c r="N592" s="19"/>
      <c r="O592" s="19"/>
      <c r="P592" s="19"/>
      <c r="Q592"/>
      <c r="R592"/>
    </row>
    <row r="593" spans="1:21" s="11" customFormat="1" ht="16" x14ac:dyDescent="0.2">
      <c r="A593" s="11" t="s">
        <v>210</v>
      </c>
      <c r="B593" s="11">
        <v>-34.8</v>
      </c>
      <c r="C593" s="11" t="s">
        <v>212</v>
      </c>
      <c r="D593" s="11" t="s">
        <v>13</v>
      </c>
      <c r="F593" s="11" t="s">
        <v>12</v>
      </c>
      <c r="G593" s="11" t="s">
        <v>211</v>
      </c>
      <c r="H593"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J593"/>
      <c r="K593" s="19"/>
      <c r="L593" s="19"/>
      <c r="M593" s="19"/>
      <c r="N593" s="19"/>
      <c r="O593" s="19"/>
      <c r="P593" s="19"/>
      <c r="Q593"/>
      <c r="R593"/>
    </row>
    <row r="594" spans="1:21" s="11" customFormat="1" ht="16" x14ac:dyDescent="0.2">
      <c r="A594" s="11" t="s">
        <v>448</v>
      </c>
      <c r="B594" s="11">
        <v>-5600</v>
      </c>
      <c r="C594" s="11" t="s">
        <v>37</v>
      </c>
      <c r="D594" s="11" t="s">
        <v>13</v>
      </c>
      <c r="F594" s="11" t="s">
        <v>12</v>
      </c>
      <c r="G594" s="11" t="s">
        <v>223</v>
      </c>
      <c r="J594"/>
      <c r="K594" s="19"/>
      <c r="L594" s="19"/>
      <c r="M594" s="19"/>
      <c r="N594" s="19"/>
      <c r="O594" s="19"/>
      <c r="P594" s="19"/>
      <c r="Q594"/>
      <c r="R594"/>
    </row>
    <row r="595" spans="1:21" s="11" customFormat="1" ht="16" x14ac:dyDescent="0.2">
      <c r="A595" t="inlineStr">
        <is>
          <t xml:space="preserve">treatment of used power conversion system and motor drives, electrolysis, SOEC</t>
        </is>
      </c>
      <c r="B595" s="16">
        <v>-1</v>
      </c>
      <c r="C595" t="inlineStr">
        <is>
          <t>GLO</t>
        </is>
      </c>
      <c r="D595" t="inlineStr">
        <is>
          <t>unit</t>
        </is>
      </c>
      <c r="F595" t="inlineStr">
        <is>
          <t>technosphere</t>
        </is>
      </c>
      <c r="G595" t="inlineStr">
        <is>
          <t xml:space="preserve">used power conversion system and motor drives, electrolysis, SOEC</t>
        </is>
      </c>
      <c r="H595"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K595" s="12"/>
      <c r="L595" s="12"/>
      <c r="M595" s="12"/>
      <c r="N595" s="12"/>
      <c r="O595" s="12"/>
      <c r="P595" s="12"/>
    </row>
    <row r="596" spans="1:21" s="11" customFormat="1" ht="16" x14ac:dyDescent="0.2">
      <c r="A596" s="8" t="s">
        <v>1</v>
      </c>
      <c r="B596" s="9" t="s">
        <v>516</v>
      </c>
      <c r="C596" s="10"/>
      <c r="K596" s="12"/>
      <c r="L596" s="12"/>
      <c r="M596" s="12"/>
      <c r="N596" s="12"/>
      <c r="O596" s="12"/>
      <c r="P596" s="12"/>
    </row>
    <row r="597" spans="1:21" s="11" customFormat="1" ht="16" x14ac:dyDescent="0.2">
      <c r="A597" s="13" t="s">
        <v>3</v>
      </c>
      <c r="B597" s="14">
        <v>1</v>
      </c>
      <c r="K597" s="12"/>
      <c r="L597" s="12"/>
      <c r="M597" s="12"/>
      <c r="N597" s="12"/>
      <c r="O597" s="12"/>
      <c r="P597" s="12"/>
    </row>
    <row r="598" spans="1:21" s="11" customFormat="1" ht="16" x14ac:dyDescent="0.2">
      <c r="A598" s="13" t="s">
        <v>11</v>
      </c>
      <c r="B598" s="14" t="s">
        <v>544</v>
      </c>
      <c r="K598" s="12"/>
      <c r="L598" s="12"/>
      <c r="M598" s="12"/>
      <c r="N598" s="12"/>
      <c r="O598" s="12"/>
      <c r="P598" s="12"/>
    </row>
    <row r="599" spans="1:21" s="11" customFormat="1" ht="16" x14ac:dyDescent="0.2">
      <c r="A599" s="13" t="s">
        <v>4</v>
      </c>
      <c r="B599" s="15" t="s">
        <v>517</v>
      </c>
      <c r="K599" s="12"/>
      <c r="L599" s="12"/>
      <c r="M599" s="12"/>
      <c r="N599" s="12"/>
      <c r="O599" s="12"/>
      <c r="P599" s="12"/>
    </row>
    <row r="600" spans="1:21" s="11" customFormat="1" ht="16" x14ac:dyDescent="0.2">
      <c r="A600" s="13" t="s">
        <v>2</v>
      </c>
      <c r="B600" s="14" t="s">
        <v>34</v>
      </c>
      <c r="K600" s="12"/>
      <c r="L600" s="12"/>
      <c r="M600" s="12"/>
      <c r="N600" s="12"/>
      <c r="O600" s="12"/>
      <c r="P600" s="12"/>
    </row>
    <row r="601" spans="1:21" s="11" customFormat="1" ht="16" x14ac:dyDescent="0.2">
      <c r="A601" s="13" t="s">
        <v>6</v>
      </c>
      <c r="B601" s="16" t="s">
        <v>13</v>
      </c>
      <c r="H601" s="17"/>
      <c r="I601" s="17"/>
      <c r="J601" s="17"/>
      <c r="K601" s="12"/>
      <c r="L601" s="12"/>
      <c r="M601" s="12"/>
      <c r="N601" s="12"/>
      <c r="O601" s="12"/>
      <c r="P601" s="12"/>
    </row>
    <row r="602" spans="1:21" s="11" customFormat="1" ht="16" x14ac:dyDescent="0.2">
      <c r="A602" s="17" t="s">
        <v>7</v>
      </c>
      <c r="B602" s="9"/>
      <c r="C602" s="17"/>
      <c r="D602" s="17"/>
      <c r="E602" s="17"/>
      <c r="F602" s="17"/>
      <c r="G602" s="17"/>
      <c r="H602" s="10"/>
      <c r="I602" s="10"/>
      <c r="J602" s="10"/>
      <c r="K602" s="12"/>
      <c r="L602" s="12"/>
      <c r="M602" s="12"/>
      <c r="N602" s="12"/>
      <c r="O602" s="12"/>
      <c r="P602" s="12"/>
    </row>
    <row r="603" spans="1:21" s="11" customFormat="1" ht="16" x14ac:dyDescent="0.2">
      <c r="A603" s="17" t="s">
        <v>8</v>
      </c>
      <c r="B603" s="17" t="s">
        <v>9</v>
      </c>
      <c r="C603" s="17" t="s">
        <v>2</v>
      </c>
      <c r="D603" s="17" t="s">
        <v>6</v>
      </c>
      <c r="E603" s="17" t="s">
        <v>10</v>
      </c>
      <c r="F603" s="17" t="s">
        <v>5</v>
      </c>
      <c r="G603" s="17" t="s">
        <v>4</v>
      </c>
      <c r="H603" s="17" t="s">
        <v>11</v>
      </c>
      <c r="I603" s="17" t="s">
        <v>466</v>
      </c>
      <c r="J603" s="7" t="s">
        <v>467</v>
      </c>
      <c r="K603" s="18" t="s">
        <v>468</v>
      </c>
      <c r="L603" s="18" t="s">
        <v>469</v>
      </c>
      <c r="M603" s="18" t="s">
        <v>470</v>
      </c>
      <c r="N603" s="18" t="s">
        <v>471</v>
      </c>
      <c r="O603" s="18" t="s">
        <v>472</v>
      </c>
      <c r="P603" s="18" t="s">
        <v>473</v>
      </c>
      <c r="Q603" s="7" t="s">
        <v>474</v>
      </c>
      <c r="R603" s="7" t="s">
        <v>475</v>
      </c>
      <c r="S603" s="17" t="s">
        <v>476</v>
      </c>
      <c r="T603" s="7" t="s">
        <v>477</v>
      </c>
      <c r="U603" s="17" t="s">
        <v>46</v>
      </c>
    </row>
    <row r="604" spans="1:21" s="11" customFormat="1" ht="16" x14ac:dyDescent="0.2">
      <c r="A604" s="16" t="str">
        <f>B596</f>
        <v>deionized water production, via reverse osmosis, from brackish water</v>
      </c>
      <c r="B604" s="16">
        <v>1</v>
      </c>
      <c r="C604" s="11" t="str">
        <f>B600</f>
        <v>RER</v>
      </c>
      <c r="D604" s="11" t="str">
        <f>B601</f>
        <v>kilogram</v>
      </c>
      <c r="E604" s="10"/>
      <c r="F604" s="11" t="s">
        <v>16</v>
      </c>
      <c r="G604" s="16" t="str">
        <f>B599</f>
        <v>water, deionized</v>
      </c>
      <c r="H604" s="10"/>
      <c r="I604" s="10">
        <v>0</v>
      </c>
      <c r="K604" s="12"/>
      <c r="L604" s="12"/>
      <c r="M604" s="12"/>
      <c r="N604" s="12"/>
      <c r="O604" s="12"/>
      <c r="P604" s="12"/>
      <c r="T604"/>
    </row>
    <row r="605" spans="1:21" ht="16" x14ac:dyDescent="0.2">
      <c r="A605" t="s">
        <v>33</v>
      </c>
      <c r="B605" s="4">
        <v>1.5499999999999999E-3</v>
      </c>
      <c r="C605" s="11" t="s">
        <v>34</v>
      </c>
      <c r="D605" t="s">
        <v>35</v>
      </c>
      <c r="F605" t="s">
        <v>12</v>
      </c>
      <c r="G605" t="s">
        <v>36</v>
      </c>
      <c r="H605" t="s">
        <v>529</v>
      </c>
      <c r="I605">
        <v>5</v>
      </c>
      <c r="J605" s="4">
        <f>B605</f>
        <v>1.5499999999999999E-3</v>
      </c>
      <c r="S605">
        <f>1.4/1000</f>
        <v>1.4E-3</v>
      </c>
      <c r="T605">
        <f>1.7/1000</f>
        <v>1.6999999999999999E-3</v>
      </c>
    </row>
    <row r="606" spans="1:21" ht="16" x14ac:dyDescent="0.2">
      <c r="A606" t="s">
        <v>518</v>
      </c>
      <c r="B606" s="4">
        <v>1.3499999999999999E-5</v>
      </c>
      <c r="C606" s="11" t="s">
        <v>34</v>
      </c>
      <c r="D606" t="s">
        <v>13</v>
      </c>
      <c r="F606" t="s">
        <v>12</v>
      </c>
      <c r="G606" t="s">
        <v>519</v>
      </c>
      <c r="I606">
        <v>0</v>
      </c>
    </row>
    <row r="607" spans="1:21" ht="16" x14ac:dyDescent="0.2">
      <c r="A607" t="s">
        <v>520</v>
      </c>
      <c r="B607" s="4">
        <v>7.5799999999999998E-7</v>
      </c>
      <c r="C607" s="11" t="s">
        <v>17</v>
      </c>
      <c r="D607" t="s">
        <v>13</v>
      </c>
      <c r="F607" t="s">
        <v>12</v>
      </c>
      <c r="G607" t="s">
        <v>521</v>
      </c>
      <c r="I607">
        <v>0</v>
      </c>
    </row>
    <row r="608" spans="1:21" ht="16" x14ac:dyDescent="0.2">
      <c r="A608" t="s">
        <v>522</v>
      </c>
      <c r="B608" s="4">
        <v>2.1600000000000001E-6</v>
      </c>
      <c r="C608" s="11" t="s">
        <v>34</v>
      </c>
      <c r="D608" t="s">
        <v>13</v>
      </c>
      <c r="F608" t="s">
        <v>12</v>
      </c>
      <c r="G608" t="s">
        <v>523</v>
      </c>
      <c r="I608">
        <v>0</v>
      </c>
    </row>
    <row r="609" spans="1:21" ht="16" x14ac:dyDescent="0.2">
      <c r="A609" t="s">
        <v>537</v>
      </c>
      <c r="B609" s="4">
        <v>2.7E-6</v>
      </c>
      <c r="C609" s="11" t="s">
        <v>34</v>
      </c>
      <c r="D609" t="s">
        <v>13</v>
      </c>
      <c r="F609" t="s">
        <v>12</v>
      </c>
      <c r="G609" t="s">
        <v>524</v>
      </c>
      <c r="I609">
        <v>0</v>
      </c>
    </row>
    <row r="610" spans="1:21" x14ac:dyDescent="0.2">
      <c r="A610" t="s">
        <v>525</v>
      </c>
      <c r="B610" s="4">
        <f>1/0.7/1000</f>
        <v>1.4285714285714286E-3</v>
      </c>
      <c r="D610" t="s">
        <v>31</v>
      </c>
      <c r="E610" t="s">
        <v>526</v>
      </c>
      <c r="F610" t="s">
        <v>14</v>
      </c>
      <c r="H610" t="s">
        <v>527</v>
      </c>
      <c r="I610">
        <v>5</v>
      </c>
      <c r="J610" s="4">
        <f>B610</f>
        <v>1.4285714285714286E-3</v>
      </c>
      <c r="S610" s="4">
        <f>1/0.9/1000</f>
        <v>1.1111111111111111E-3</v>
      </c>
      <c r="T610" s="4">
        <f>1/0.5/1000</f>
        <v>2E-3</v>
      </c>
    </row>
    <row r="611" spans="1:21" x14ac:dyDescent="0.2">
      <c r="A611" t="s">
        <v>534</v>
      </c>
      <c r="B611" s="4">
        <f>B610-(1/1000)</f>
        <v>4.2857142857142855E-4</v>
      </c>
      <c r="D611" t="s">
        <v>31</v>
      </c>
      <c r="E611" t="s">
        <v>535</v>
      </c>
      <c r="F611" t="s">
        <v>14</v>
      </c>
      <c r="H611" t="s">
        <v>536</v>
      </c>
      <c r="I611">
        <v>0</v>
      </c>
    </row>
    <row r="612" spans="1:21" x14ac:dyDescent="0.2">
      <c r="A612" t="s">
        <v>538</v>
      </c>
      <c r="B612" s="4">
        <f>(5.2*0.000001)*(B611*1000)</f>
        <v>2.2285714285714286E-6</v>
      </c>
      <c r="D612" t="s">
        <v>13</v>
      </c>
      <c r="E612" t="s">
        <v>535</v>
      </c>
      <c r="F612" t="s">
        <v>14</v>
      </c>
      <c r="H612" t="s">
        <v>539</v>
      </c>
      <c r="I612">
        <v>0</v>
      </c>
    </row>
    <row r="613" spans="1:21" x14ac:dyDescent="0.2">
      <c r="A613" t="s">
        <v>540</v>
      </c>
      <c r="B613" s="4">
        <f>(1.7*0.000001)*(B611*1000)</f>
        <v>7.2857142857142845E-7</v>
      </c>
      <c r="D613" t="s">
        <v>13</v>
      </c>
      <c r="E613" t="s">
        <v>535</v>
      </c>
      <c r="F613" t="s">
        <v>14</v>
      </c>
      <c r="H613" t="s">
        <v>541</v>
      </c>
      <c r="I613">
        <v>0</v>
      </c>
    </row>
    <row r="614" spans="1:21" x14ac:dyDescent="0.2">
      <c r="A614" t="s">
        <v>542</v>
      </c>
      <c r="B614" s="4">
        <f>(31*0.000001)*(B611*1000)</f>
        <v>1.3285714285714285E-5</v>
      </c>
      <c r="D614" t="s">
        <v>13</v>
      </c>
      <c r="E614" t="s">
        <v>535</v>
      </c>
      <c r="F614" t="s">
        <v>14</v>
      </c>
      <c r="H614" t="s">
        <v>543</v>
      </c>
      <c r="I614">
        <v>0</v>
      </c>
    </row>
    <row r="616" spans="1:21" s="11" customFormat="1" ht="16" x14ac:dyDescent="0.2">
      <c r="A616" s="8" t="s">
        <v>1</v>
      </c>
      <c r="B616" s="9" t="s">
        <v>528</v>
      </c>
      <c r="C616" s="10"/>
      <c r="K616" s="12"/>
      <c r="L616" s="12"/>
      <c r="M616" s="12"/>
      <c r="N616" s="12"/>
      <c r="O616" s="12"/>
      <c r="P616" s="12"/>
    </row>
    <row r="617" spans="1:21" s="11" customFormat="1" ht="16" x14ac:dyDescent="0.2">
      <c r="A617" s="13" t="s">
        <v>3</v>
      </c>
      <c r="B617" s="14">
        <v>1</v>
      </c>
      <c r="K617" s="12"/>
      <c r="L617" s="12"/>
      <c r="M617" s="12"/>
      <c r="N617" s="12"/>
      <c r="O617" s="12"/>
      <c r="P617" s="12"/>
    </row>
    <row r="618" spans="1:21" s="11" customFormat="1" ht="16" x14ac:dyDescent="0.2">
      <c r="A618" s="13" t="s">
        <v>11</v>
      </c>
      <c r="B618" s="14" t="s">
        <v>531</v>
      </c>
      <c r="K618" s="12"/>
      <c r="L618" s="12"/>
      <c r="M618" s="12"/>
      <c r="N618" s="12"/>
      <c r="O618" s="12"/>
      <c r="P618" s="12"/>
    </row>
    <row r="619" spans="1:21" s="11" customFormat="1" ht="16" x14ac:dyDescent="0.2">
      <c r="A619" s="13" t="s">
        <v>4</v>
      </c>
      <c r="B619" s="15" t="s">
        <v>517</v>
      </c>
      <c r="K619" s="12"/>
      <c r="L619" s="12"/>
      <c r="M619" s="12"/>
      <c r="N619" s="12"/>
      <c r="O619" s="12"/>
      <c r="P619" s="12"/>
    </row>
    <row r="620" spans="1:21" s="11" customFormat="1" ht="16" x14ac:dyDescent="0.2">
      <c r="A620" s="13" t="s">
        <v>2</v>
      </c>
      <c r="B620" s="14" t="s">
        <v>34</v>
      </c>
      <c r="K620" s="12"/>
      <c r="L620" s="12"/>
      <c r="M620" s="12"/>
      <c r="N620" s="12"/>
      <c r="O620" s="12"/>
      <c r="P620" s="12"/>
    </row>
    <row r="621" spans="1:21" s="11" customFormat="1" ht="16" x14ac:dyDescent="0.2">
      <c r="A621" s="13" t="s">
        <v>6</v>
      </c>
      <c r="B621" s="16" t="s">
        <v>13</v>
      </c>
      <c r="H621" s="17"/>
      <c r="I621" s="17"/>
      <c r="J621" s="17"/>
      <c r="K621" s="12"/>
      <c r="L621" s="12"/>
      <c r="M621" s="12"/>
      <c r="N621" s="12"/>
      <c r="O621" s="12"/>
      <c r="P621" s="12"/>
    </row>
    <row r="622" spans="1:21" s="11" customFormat="1" ht="16" x14ac:dyDescent="0.2">
      <c r="A622" s="17" t="s">
        <v>7</v>
      </c>
      <c r="B622" s="9"/>
      <c r="C622" s="17"/>
      <c r="D622" s="17"/>
      <c r="E622" s="17"/>
      <c r="F622" s="17"/>
      <c r="G622" s="17"/>
      <c r="H622" s="10"/>
      <c r="I622" s="10"/>
      <c r="J622" s="10"/>
      <c r="K622" s="12"/>
      <c r="L622" s="12"/>
      <c r="M622" s="12"/>
      <c r="N622" s="12"/>
      <c r="O622" s="12"/>
      <c r="P622" s="12"/>
    </row>
    <row r="623" spans="1:21" s="11" customFormat="1" ht="16" x14ac:dyDescent="0.2">
      <c r="A623" s="17" t="s">
        <v>8</v>
      </c>
      <c r="B623" s="17" t="s">
        <v>9</v>
      </c>
      <c r="C623" s="17" t="s">
        <v>2</v>
      </c>
      <c r="D623" s="17" t="s">
        <v>6</v>
      </c>
      <c r="E623" s="17" t="s">
        <v>10</v>
      </c>
      <c r="F623" s="17" t="s">
        <v>5</v>
      </c>
      <c r="G623" s="17" t="s">
        <v>4</v>
      </c>
      <c r="H623" s="17" t="s">
        <v>11</v>
      </c>
      <c r="I623" s="17" t="s">
        <v>466</v>
      </c>
      <c r="J623" s="7" t="s">
        <v>467</v>
      </c>
      <c r="K623" s="18" t="s">
        <v>468</v>
      </c>
      <c r="L623" s="18" t="s">
        <v>469</v>
      </c>
      <c r="M623" s="18" t="s">
        <v>470</v>
      </c>
      <c r="N623" s="18" t="s">
        <v>471</v>
      </c>
      <c r="O623" s="18" t="s">
        <v>472</v>
      </c>
      <c r="P623" s="18" t="s">
        <v>473</v>
      </c>
      <c r="Q623" s="7" t="s">
        <v>474</v>
      </c>
      <c r="R623" s="7" t="s">
        <v>475</v>
      </c>
      <c r="S623" s="17" t="s">
        <v>476</v>
      </c>
      <c r="T623" s="7" t="s">
        <v>477</v>
      </c>
      <c r="U623" s="17" t="s">
        <v>46</v>
      </c>
    </row>
    <row r="624" spans="1:21" s="11" customFormat="1" ht="16" x14ac:dyDescent="0.2">
      <c r="A624" s="16" t="str">
        <f>B616</f>
        <v>deionized water production, via reverse osmosis, from sea water</v>
      </c>
      <c r="B624" s="16">
        <v>1</v>
      </c>
      <c r="C624" s="11" t="str">
        <f>B620</f>
        <v>RER</v>
      </c>
      <c r="D624" s="11" t="str">
        <f>B621</f>
        <v>kilogram</v>
      </c>
      <c r="E624" s="10"/>
      <c r="F624" s="11" t="s">
        <v>16</v>
      </c>
      <c r="G624" s="16" t="str">
        <f>B619</f>
        <v>water, deionized</v>
      </c>
      <c r="H624" s="10"/>
      <c r="I624" s="10">
        <v>0</v>
      </c>
      <c r="K624" s="12"/>
      <c r="L624" s="12"/>
      <c r="M624" s="12"/>
      <c r="N624" s="12"/>
      <c r="O624" s="12"/>
      <c r="P624" s="12"/>
      <c r="T624"/>
    </row>
    <row r="625" spans="1:20" ht="16" x14ac:dyDescent="0.2">
      <c r="A625" t="s">
        <v>33</v>
      </c>
      <c r="B625" s="4">
        <f>AVERAGE(3.6, 5.7)/1000</f>
        <v>4.6500000000000005E-3</v>
      </c>
      <c r="C625" s="11" t="s">
        <v>34</v>
      </c>
      <c r="D625" t="s">
        <v>35</v>
      </c>
      <c r="F625" t="s">
        <v>12</v>
      </c>
      <c r="G625" t="s">
        <v>36</v>
      </c>
      <c r="H625" t="s">
        <v>530</v>
      </c>
      <c r="I625">
        <v>5</v>
      </c>
      <c r="J625" s="4">
        <f>B625</f>
        <v>4.6500000000000005E-3</v>
      </c>
      <c r="S625">
        <f>3.6/1000</f>
        <v>3.5999999999999999E-3</v>
      </c>
      <c r="T625">
        <f>5.7/1000</f>
        <v>5.7000000000000002E-3</v>
      </c>
    </row>
    <row r="626" spans="1:20" ht="16" x14ac:dyDescent="0.2">
      <c r="A626" t="s">
        <v>518</v>
      </c>
      <c r="B626" s="4">
        <v>1.3499999999999999E-5</v>
      </c>
      <c r="C626" s="11" t="s">
        <v>34</v>
      </c>
      <c r="D626" t="s">
        <v>13</v>
      </c>
      <c r="F626" t="s">
        <v>12</v>
      </c>
      <c r="G626" t="s">
        <v>519</v>
      </c>
      <c r="I626">
        <v>0</v>
      </c>
    </row>
    <row r="627" spans="1:20" ht="16" x14ac:dyDescent="0.2">
      <c r="A627" t="s">
        <v>520</v>
      </c>
      <c r="B627" s="4">
        <v>7.5799999999999998E-7</v>
      </c>
      <c r="C627" s="11" t="s">
        <v>17</v>
      </c>
      <c r="D627" t="s">
        <v>13</v>
      </c>
      <c r="F627" t="s">
        <v>12</v>
      </c>
      <c r="G627" t="s">
        <v>521</v>
      </c>
      <c r="I627">
        <v>0</v>
      </c>
    </row>
    <row r="628" spans="1:20" ht="16" x14ac:dyDescent="0.2">
      <c r="A628" t="s">
        <v>522</v>
      </c>
      <c r="B628" s="4">
        <v>2.1600000000000001E-6</v>
      </c>
      <c r="C628" s="11" t="s">
        <v>34</v>
      </c>
      <c r="D628" t="s">
        <v>13</v>
      </c>
      <c r="F628" t="s">
        <v>12</v>
      </c>
      <c r="G628" t="s">
        <v>523</v>
      </c>
      <c r="I628">
        <v>0</v>
      </c>
    </row>
    <row r="629" spans="1:20" ht="16" x14ac:dyDescent="0.2">
      <c r="A629" t="s">
        <v>537</v>
      </c>
      <c r="B629" s="4">
        <v>2.7E-6</v>
      </c>
      <c r="C629" s="11" t="s">
        <v>34</v>
      </c>
      <c r="D629" t="s">
        <v>13</v>
      </c>
      <c r="F629" t="s">
        <v>12</v>
      </c>
      <c r="G629" t="s">
        <v>524</v>
      </c>
      <c r="I629">
        <v>0</v>
      </c>
    </row>
    <row r="630" spans="1:20" x14ac:dyDescent="0.2">
      <c r="A630" t="s">
        <v>532</v>
      </c>
      <c r="B630" s="4">
        <f>1/0.4/1000</f>
        <v>2.5000000000000001E-3</v>
      </c>
      <c r="D630" t="s">
        <v>31</v>
      </c>
      <c r="E630" t="s">
        <v>526</v>
      </c>
      <c r="F630" t="s">
        <v>14</v>
      </c>
      <c r="H630" t="s">
        <v>533</v>
      </c>
      <c r="I630">
        <v>5</v>
      </c>
      <c r="J630" s="4">
        <f>B630</f>
        <v>2.5000000000000001E-3</v>
      </c>
      <c r="S630" s="4">
        <f>1/0.5/1000</f>
        <v>2E-3</v>
      </c>
      <c r="T630" s="4">
        <f>1/0.35/1000</f>
        <v>2.8571428571428571E-3</v>
      </c>
    </row>
    <row r="631" spans="1:20" x14ac:dyDescent="0.2">
      <c r="A631" t="s">
        <v>538</v>
      </c>
      <c r="B631" s="4">
        <f>(5.2*0.000001)*(B630*1000)</f>
        <v>1.3000000000000001E-5</v>
      </c>
      <c r="D631" t="s">
        <v>13</v>
      </c>
      <c r="E631" t="s">
        <v>535</v>
      </c>
      <c r="F631" t="s">
        <v>14</v>
      </c>
      <c r="H631" t="s">
        <v>539</v>
      </c>
      <c r="I631">
        <v>0</v>
      </c>
    </row>
    <row r="632" spans="1:20" x14ac:dyDescent="0.2">
      <c r="A632" t="s">
        <v>540</v>
      </c>
      <c r="B632" s="4">
        <f>(1.7*0.000001)*(B630*1000)</f>
        <v>4.25E-6</v>
      </c>
      <c r="D632" t="s">
        <v>13</v>
      </c>
      <c r="E632" t="s">
        <v>535</v>
      </c>
      <c r="F632" t="s">
        <v>14</v>
      </c>
      <c r="H632" t="s">
        <v>541</v>
      </c>
      <c r="I632">
        <v>0</v>
      </c>
    </row>
    <row r="633" spans="1:20" x14ac:dyDescent="0.2">
      <c r="A633" t="s">
        <v>542</v>
      </c>
      <c r="B633" s="4">
        <f>(31*0.000001)*(B630*1000)</f>
        <v>7.75E-5</v>
      </c>
      <c r="D633" t="s">
        <v>13</v>
      </c>
      <c r="E633" t="s">
        <v>535</v>
      </c>
      <c r="F633" t="s">
        <v>14</v>
      </c>
      <c r="H633" t="s">
        <v>543</v>
      </c>
      <c r="I633">
        <v>0</v>
      </c>
    </row>
    <row r="636">
      <c r="A636" t="inlineStr">
        <is>
          <t>Activity</t>
        </is>
      </c>
      <c r="B636" t="inlineStr">
        <is>
          <t xml:space="preserve">PFSA membrane production, electrolysis, EW1100</t>
        </is>
      </c>
    </row>
    <row r="637">
      <c r="A637" t="inlineStr">
        <is>
          <t>location</t>
        </is>
      </c>
      <c r="B637" t="inlineStr">
        <is>
          <t>GLO</t>
        </is>
      </c>
    </row>
    <row r="638">
      <c r="A638" t="inlineStr">
        <is>
          <t>production amount</t>
        </is>
      </c>
      <c r="B638">
        <v>1</v>
      </c>
    </row>
    <row r="639">
      <c r="A639" t="inlineStr">
        <is>
          <t>reference product</t>
        </is>
      </c>
      <c r="B639" t="inlineStr">
        <is>
          <t xml:space="preserve">PFSA membrane, electrolysis, EW1100</t>
        </is>
      </c>
    </row>
    <row r="640">
      <c r="A640" t="inlineStr">
        <is>
          <t>unit</t>
        </is>
      </c>
      <c r="B640" t="inlineStr">
        <is>
          <t>kilogram</t>
        </is>
      </c>
    </row>
    <row r="641">
      <c r="A641" t="inlineStr">
        <is>
          <t>source</t>
        </is>
      </c>
      <c r="B641" t="inlineStr">
        <is>
          <t>Weber et al.2018 DOI10.1021/acs.est.8b02073 SISec1.2.1/TableS2 describesTFE+SO3-&gt;FDA,HFPoxidationwithNaOCl-&gt;HFPO,FDA+2HFPOadduct,Na2CO3pyrolysistoPSEPVE,polymerization90%yieldand39.31MJ/kgformingheat. Harzer2021PhD https://mediatum.ub.tum.de/doc/1634530/1634530.pdf synthesisfigurecorroboratesPSEPVE/alkalihydrolysis/acidconversion. ElectrolyzermembraneEW1100reference:Mechanical Characterization of Electrolyzer Membranes and Components Under Compression,2024 DOI10.1149/1945-7111/ad7a26. Theseareseparatechemistry/referenceproperties,not a measuredcompleteNafionfactory.</t>
        </is>
      </c>
    </row>
    <row r="642">
      <c r="A642" t="inlineStr">
        <is>
          <t>comment</t>
        </is>
      </c>
      <c r="B642" t="inlineStr">
        <is>
          <t xml:space="preserve">Nomenclature revision, 2026-10-19. Former activity name: PFSA membrane, EW1100, balanced chemistry engineering reference. Former reference product: PFSA membrane, EW1100, balanced chemistry engineering reference. Activity/product labels and supplier references only; coefficients, formulas, uncertainty, declared output and unit are unchanged. Original engineering assumptions, functional-unit basis and limitations remain below.
APPROVED FINISHED PFSA MEMBRANE REFERENCE, issue90, 2026-10-18. Weber et al.2018 DOI10.1021/acs.est.8b02073 SISec1.2.1/TableS2 describesTFE+SO3-&gt;FDA,HFPoxidationwithNaOCl-&gt;HFPO,FDA+2HFPOadduct,Na2CO3pyrolysistoPSEPVE,polymerization90%yieldand39.31MJ/kgformingheat. Harzer2021PhD https://mediatum.ub.tum.de/doc/1634530/1634530.pdf synthesisfigurecorroboratesPSEPVE/alkalihydrolysis/acidconversion. ElectrolyzermembraneEW1100reference:Mechanical Characterization of Electrolyzer Membranes and Components Under Compression,2024 DOI10.1149/1945-7111/ad7a26. Theseareseparatechemistry/referenceproperties,not a measuredcompleteNafionfactory. Replace16kgTFEmonomerby16kgfinishedunreinforceddryacid-formPFSAperexisting1MWePEMstack. PreserveapprovedPt/Ir/coatingreferencesandlifetimepurchases. UseexplicitbalancednetengineeringchemistrywithEW1100g/molSO3H;n=6.557783744855004TFEbackboneunitsperC7F13O5SHacid-sidechainunit. FDA=C2F4O3SfromTFE+SO3;HFPO=C3F6OfromHFP+NaOCl,HFPfromTFEat1:1mass(rearrangementreference). FDA+2HFPO+Na2CO3-&gt;PSEPVE(C7F14O4S)+2NaF+2CO2;PSEPVE+backboneTFE+2NaOH+HCl-&gt;acidPFSA+NaF+NaCl+H2O. ThisNaOH/HClworkupis anexplicitbalancedengineeringvariant,not a claim ofHarzerKOH/HNO3industrialreagentchoice. Allupstreamintermediateconversionsassumed100%,overallfinishedpolymerretention90%asWeberreference. No2nd90%factoronprecursorinputs. Knownnetingredientsperkgfinished={'TFE': 1.0666093025141414, 'SO3': 0.08086565656565657, 'NaOCl': 0.15038135208080808, 'Na2CO3': 0.10705811975757576, 'NaOH': 0.0808015541010101, 'HCl': 0.03682626262626263};byproducts/reject={'NaCl': 0.17709020993939395, 'NaF': 0.1272368861909091, 'water': 0.018196969696969698, 'CO2': 0.08890707070707071, 'reject_PFSA': 0.11111111111111116}. BuyactualTFE,SO3,NaOCl,Na2CO3,NaOH,HCl,directlyatnetchainfeed;doNOTalsoaddcompleteWebermembranes orunsupportedHFP-&gt;hexafluoroethaneproxy. SaltoutputsNaCl/NaFandstoichiometricwatergotooneaqueouseffluentwith10kgprocesswater/kgfinished (explicitengineeringdilution,1-100kgsensitivity),1000kg/m3densityproxy. Fluoride-specificabatement/isolationanddissolvedsaltfateareunresolved;genericwastewaterisNOTvalidatedNaFdisposal. Polymerrejectgoestoexistingplasticincinerationwithoutcredit;stoichiometricCO2emittedonce.39.31MJ/kgWeberheat isoneaggregateon-sitechemicalsynthesis/filmformingallowance,notaddedagainateachmodeledintermediate;1kWh/kgsiteelectricityassumed. Existingnativeupstreamfeedproductionburdensremainseparate. TestEW1000-1200,finishedretention80-100%,heat20-80MJ/kg,andnonidealintermediateyields;thebalancednetrecipeis a stoichiometricengineeringreferencewithyield,NOTmeasuredindustrialgrosschemicalconsumption. Actualco-monomerpurification,catalysts,solventcirculation,intermediatescrap,PFASemissions,membranewatercontent,reinforcementandlong-termperformancearecoveragegaps. Finished16kgmasskept,notinferredfromfilmthicknessorcellarea. No native/runtime/YAMLorprimary-secondarysharechanges.</t>
        </is>
      </c>
    </row>
    <row r="643">
      <c r="A643" t="inlineStr">
        <is>
          <t>Exchanges</t>
        </is>
      </c>
    </row>
    <row r="644">
      <c r="A644" t="inlineStr">
        <is>
          <t>name</t>
        </is>
      </c>
      <c r="B644" t="inlineStr">
        <is>
          <t>amount</t>
        </is>
      </c>
      <c r="C644" t="inlineStr">
        <is>
          <t>location</t>
        </is>
      </c>
      <c r="D644" t="inlineStr">
        <is>
          <t>unit</t>
        </is>
      </c>
      <c r="E644" t="inlineStr">
        <is>
          <t>categories</t>
        </is>
      </c>
      <c r="F644" t="inlineStr">
        <is>
          <t>type</t>
        </is>
      </c>
      <c r="G644" t="inlineStr">
        <is>
          <t>reference product</t>
        </is>
      </c>
      <c r="H644" t="inlineStr">
        <is>
          <t>comment</t>
        </is>
      </c>
      <c r="I644" t="inlineStr">
        <is>
          <t>product</t>
        </is>
      </c>
    </row>
    <row r="645">
      <c r="A645" t="inlineStr">
        <is>
          <t xml:space="preserve">PFSA membrane production, electrolysis, EW1100</t>
        </is>
      </c>
      <c r="B645">
        <v>1</v>
      </c>
      <c r="C645" t="inlineStr">
        <is>
          <t>GLO</t>
        </is>
      </c>
      <c r="D645" t="inlineStr">
        <is>
          <t>kilogram</t>
        </is>
      </c>
      <c r="F645" t="inlineStr">
        <is>
          <t>production</t>
        </is>
      </c>
      <c r="G645" t="inlineStr">
        <is>
          <t xml:space="preserve">PFSA membrane, electrolysis, EW1100</t>
        </is>
      </c>
      <c r="I645" t="inlineStr">
        <is>
          <t xml:space="preserve">PFSA membrane, electrolysis, EW1100</t>
        </is>
      </c>
    </row>
    <row r="646">
      <c r="A646" t="inlineStr">
        <is>
          <t>market for tetrafluoroethylene</t>
        </is>
      </c>
      <c r="B646">
        <v>1.0666093025141414</v>
      </c>
      <c r="C646" t="inlineStr">
        <is>
          <t>GLO</t>
        </is>
      </c>
      <c r="D646" t="inlineStr">
        <is>
          <t>kilogram</t>
        </is>
      </c>
      <c r="F646" t="inlineStr">
        <is>
          <t>technosphere</t>
        </is>
      </c>
      <c r="G646" t="inlineStr">
        <is>
          <t>tetrafluoroethylene</t>
        </is>
      </c>
      <c r="I646" t="inlineStr">
        <is>
          <t>tetrafluoroethylene</t>
        </is>
      </c>
    </row>
    <row r="647">
      <c r="A647" t="inlineStr">
        <is>
          <t>market for sulfur trioxide</t>
        </is>
      </c>
      <c r="B647">
        <v>0.08086565656565657</v>
      </c>
      <c r="C647" t="inlineStr">
        <is>
          <t>RER</t>
        </is>
      </c>
      <c r="D647" t="inlineStr">
        <is>
          <t>kilogram</t>
        </is>
      </c>
      <c r="F647" t="inlineStr">
        <is>
          <t>technosphere</t>
        </is>
      </c>
      <c r="G647" t="inlineStr">
        <is>
          <t>sulfur trioxide</t>
        </is>
      </c>
      <c r="I647" t="inlineStr">
        <is>
          <t>sulfur trioxide</t>
        </is>
      </c>
    </row>
    <row r="648">
      <c r="A648" t="inlineStr">
        <is>
          <t>market for sodium hypochlorite, without water, in 15% solution state</t>
        </is>
      </c>
      <c r="B648">
        <v>0.15038135208080808</v>
      </c>
      <c r="C648" t="inlineStr">
        <is>
          <t>RER</t>
        </is>
      </c>
      <c r="D648" t="inlineStr">
        <is>
          <t>kilogram</t>
        </is>
      </c>
      <c r="F648" t="inlineStr">
        <is>
          <t>technosphere</t>
        </is>
      </c>
      <c r="G648" t="inlineStr">
        <is>
          <t>sodium hypochlorite, without water, in 15% solution state</t>
        </is>
      </c>
      <c r="I648" t="inlineStr">
        <is>
          <t>sodium hypochlorite, without water, in 15% solution state</t>
        </is>
      </c>
    </row>
    <row r="649">
      <c r="A649" t="inlineStr">
        <is>
          <t>market for soda ash, dense</t>
        </is>
      </c>
      <c r="B649">
        <v>0.10705811975757576</v>
      </c>
      <c r="C649" t="inlineStr">
        <is>
          <t>GLO</t>
        </is>
      </c>
      <c r="D649" t="inlineStr">
        <is>
          <t>kilogram</t>
        </is>
      </c>
      <c r="F649" t="inlineStr">
        <is>
          <t>technosphere</t>
        </is>
      </c>
      <c r="G649" t="inlineStr">
        <is>
          <t>soda ash, dense</t>
        </is>
      </c>
      <c r="I649" t="inlineStr">
        <is>
          <t>soda ash, dense</t>
        </is>
      </c>
    </row>
    <row r="650">
      <c r="A650" t="inlineStr">
        <is>
          <t>market for sodium hydroxide, without water, in 50% solution state</t>
        </is>
      </c>
      <c r="B650">
        <v>0.0808015541010101</v>
      </c>
      <c r="C650" t="inlineStr">
        <is>
          <t>GLO</t>
        </is>
      </c>
      <c r="D650" t="inlineStr">
        <is>
          <t>kilogram</t>
        </is>
      </c>
      <c r="F650" t="inlineStr">
        <is>
          <t>technosphere</t>
        </is>
      </c>
      <c r="G650" t="inlineStr">
        <is>
          <t>sodium hydroxide, without water, in 50% solution state</t>
        </is>
      </c>
      <c r="I650" t="inlineStr">
        <is>
          <t>sodium hydroxide, without water, in 50% solution state</t>
        </is>
      </c>
    </row>
    <row r="651">
      <c r="A651" t="inlineStr">
        <is>
          <t>market for hydrochloric acid, without water, in 30% solution state</t>
        </is>
      </c>
      <c r="B651">
        <v>0.03682626262626263</v>
      </c>
      <c r="C651" t="inlineStr">
        <is>
          <t>RoW</t>
        </is>
      </c>
      <c r="D651" t="inlineStr">
        <is>
          <t>kilogram</t>
        </is>
      </c>
      <c r="F651" t="inlineStr">
        <is>
          <t>technosphere</t>
        </is>
      </c>
      <c r="G651" t="inlineStr">
        <is>
          <t>hydrochloric acid, without water, in 30% solution state</t>
        </is>
      </c>
      <c r="I651" t="inlineStr">
        <is>
          <t>hydrochloric acid, without water, in 30% solution state</t>
        </is>
      </c>
    </row>
    <row r="652">
      <c r="A652" t="inlineStr">
        <is>
          <t>market for tap water</t>
        </is>
      </c>
      <c r="B652">
        <v>10</v>
      </c>
      <c r="C652" t="inlineStr">
        <is>
          <t>RoW</t>
        </is>
      </c>
      <c r="D652" t="inlineStr">
        <is>
          <t>kilogram</t>
        </is>
      </c>
      <c r="F652" t="inlineStr">
        <is>
          <t>technosphere</t>
        </is>
      </c>
      <c r="G652" t="inlineStr">
        <is>
          <t>tap water</t>
        </is>
      </c>
      <c r="I652" t="inlineStr">
        <is>
          <t>tap water</t>
        </is>
      </c>
    </row>
    <row r="653">
      <c r="A653" t="inlineStr">
        <is>
          <t>market for wastewater, average</t>
        </is>
      </c>
      <c r="B653">
        <v>-0.010322524065827272</v>
      </c>
      <c r="C653" t="inlineStr">
        <is>
          <t>RoW</t>
        </is>
      </c>
      <c r="D653" t="inlineStr">
        <is>
          <t>cubic meter</t>
        </is>
      </c>
      <c r="F653" t="inlineStr">
        <is>
          <t>technosphere</t>
        </is>
      </c>
      <c r="G653" t="inlineStr">
        <is>
          <t>wastewater, average</t>
        </is>
      </c>
      <c r="I653" t="inlineStr">
        <is>
          <t>wastewater, average</t>
        </is>
      </c>
    </row>
    <row r="654">
      <c r="A654" t="inlineStr">
        <is>
          <t>treatment of waste plastic, mixture, municipal incineration</t>
        </is>
      </c>
      <c r="B654">
        <v>-0.11111111111111116</v>
      </c>
      <c r="C654" t="inlineStr">
        <is>
          <t>RoW</t>
        </is>
      </c>
      <c r="D654" t="inlineStr">
        <is>
          <t>kilogram</t>
        </is>
      </c>
      <c r="F654" t="inlineStr">
        <is>
          <t>technosphere</t>
        </is>
      </c>
      <c r="G654" t="inlineStr">
        <is>
          <t>waste plastic, mixture</t>
        </is>
      </c>
      <c r="I654" t="inlineStr">
        <is>
          <t>waste plastic, mixture</t>
        </is>
      </c>
    </row>
    <row r="655">
      <c r="A655" t="inlineStr">
        <is>
          <t>market for heat, district or industrial, natural gas</t>
        </is>
      </c>
      <c r="B655">
        <v>39.31</v>
      </c>
      <c r="C655" t="inlineStr">
        <is>
          <t>RoW</t>
        </is>
      </c>
      <c r="D655" t="inlineStr">
        <is>
          <t>megajoule</t>
        </is>
      </c>
      <c r="F655" t="inlineStr">
        <is>
          <t>technosphere</t>
        </is>
      </c>
      <c r="G655" t="inlineStr">
        <is>
          <t>heat, district or industrial, natural gas</t>
        </is>
      </c>
      <c r="I655" t="inlineStr">
        <is>
          <t>heat, district or industrial, natural gas</t>
        </is>
      </c>
    </row>
    <row r="656">
      <c r="A656" t="inlineStr">
        <is>
          <t>market group for electricity, medium voltage</t>
        </is>
      </c>
      <c r="B656">
        <v>1</v>
      </c>
      <c r="C656" t="inlineStr">
        <is>
          <t>GLO</t>
        </is>
      </c>
      <c r="D656" t="inlineStr">
        <is>
          <t>kilowatt hour</t>
        </is>
      </c>
      <c r="F656" t="inlineStr">
        <is>
          <t>technosphere</t>
        </is>
      </c>
      <c r="G656" t="inlineStr">
        <is>
          <t>electricity, medium voltage</t>
        </is>
      </c>
      <c r="I656" t="inlineStr">
        <is>
          <t>electricity, medium voltage</t>
        </is>
      </c>
    </row>
    <row r="657">
      <c r="A657" t="inlineStr">
        <is>
          <t>Carbon dioxide, fossil</t>
        </is>
      </c>
      <c r="B657">
        <v>0.08890707070707071</v>
      </c>
      <c r="D657" t="inlineStr">
        <is>
          <t>kilogram</t>
        </is>
      </c>
      <c r="E657" t="inlineStr">
        <is>
          <t>air::non-urban air or from high stacks</t>
        </is>
      </c>
      <c r="F657" t="inlineStr">
        <is>
          <t>biosphere</t>
        </is>
      </c>
      <c r="H657" t="inlineStr">
        <is>
          <t/>
        </is>
      </c>
    </row>
    <row r="660">
      <c r="A660" t="inlineStr">
        <is>
          <t>Activity</t>
        </is>
      </c>
      <c r="B660" t="inlineStr">
        <is>
          <t xml:space="preserve">glass seal production, SOEC, barium alumino-borosilicate</t>
        </is>
      </c>
    </row>
    <row r="661">
      <c r="A661" t="inlineStr">
        <is>
          <t>location</t>
        </is>
      </c>
      <c r="B661" t="inlineStr">
        <is>
          <t>GLO</t>
        </is>
      </c>
    </row>
    <row r="662">
      <c r="A662" t="inlineStr">
        <is>
          <t>production amount</t>
        </is>
      </c>
      <c r="B662">
        <v>1</v>
      </c>
    </row>
    <row r="663">
      <c r="A663" t="inlineStr">
        <is>
          <t>reference product</t>
        </is>
      </c>
      <c r="B663" t="inlineStr">
        <is>
          <t xml:space="preserve">glass seal, SOEC, barium alumino-borosilicate</t>
        </is>
      </c>
    </row>
    <row r="664">
      <c r="A664" t="inlineStr">
        <is>
          <t>unit</t>
        </is>
      </c>
      <c r="B664" t="inlineStr">
        <is>
          <t>kilogram</t>
        </is>
      </c>
    </row>
    <row r="665">
      <c r="A665" t="inlineStr">
        <is>
          <t>source</t>
        </is>
      </c>
      <c r="B665" t="inlineStr">
        <is>
          <t>Sun,Xiao,Guo,Hong2010,CeramicsInternational36:821-826,DOI10.1016/j.ceramint.2009.09.045,experimentalBaO-Al2O3-B2O3-SiO2glassfamily:base40BaO/20B2O3/40SiO2mol%,Al2O3replacesB2O3/SiO2atconstant2:1Si/Boxide-moleratio;5mol%Alvariantidentifiedasstable,melting1400-1500Cfor1hour. https://www.sciencedirect.com/science/article/pii/S0272884209003812 . ExistingGerloff2021sealantmass4*6.4kg retained.</t>
        </is>
      </c>
    </row>
    <row r="666">
      <c r="A666" t="inlineStr">
        <is>
          <t>comment</t>
        </is>
      </c>
      <c r="B666" t="inlineStr">
        <is>
          <t xml:space="preserve">Nomenclature revision, 2026-10-19. Former activity name: SOEC glass seal, barium alumino-borosilicate engineering reference. Former reference product: SOEC glass seal, barium alumino-borosilicate engineering reference. Activity/product labels and supplier references only; coefficients, formulas, uncertainty, declared output and unit are unchanged. Original engineering assumptions, functional-unit basis and limitations remain below.
APPROVED SOEC INORGANIC GLASS-SEAL REFERENCE, issue91, 2026-10-18. Sun,Xiao,Guo,Hong2010,CeramicsInternational36:821-826,DOI10.1016/j.ceramint.2009.09.045,experimentalBaO-Al2O3-B2O3-SiO2glassfamily:base40BaO/20B2O3/40SiO2mol%,Al2O3replacesB2O3/SiO2atconstant2:1Si/Boxide-moleratio;5mol%Alvariantidentifiedasstable,melting1400-1500Cfor1hour. https://www.sciencedirect.com/science/article/pii/S0272884209003812 . ExistingGerloff2021sealantmass4*6.4kg retained. SiliconepolymerisnotSiO2glassformer. Replacefour6.4kgingredients(Al2O3,B2O3,BaO,silicone)by25.6kgofonefinishedglassreference. Select/reconstruct5mol%Al2O3member:40BaO,5Al2O3,18.333333B2O3,36.666667SiO2mol%;theseareoxideMOLfractions,notweightfractions. Correspondingretainedweightfractions={'BaO': 0.6059001794302946, 'Al2O3': 0.05036460625483175, 'B2O3': 0.12609040016734147, 'SiO2': 0.21764481414753226}. Total25.6kgfinishedsealisinheritedengineeringmass,notmeasuredfromthispublishedglassdesign;sourceTable1fullcompositionwasnotindependentlyrecovered,recipeisexplicitreconstructionfrompublishedseriesdescription. UsingSOFCsealingglassasSOECanalogue doesnotdemonstrateactualstacksealgeometry,thermalcycling,dual-atmospherecompatibilityorleaktightness. PurchaseactualBaO,Al2O3,B2O3,SiO2equivalentsscaledby1/0.95forselected95%melting/formingretention,withmatchedsolidglassreject1/.95-1kg/kgtoexistingmixedhazardoustreatmentproxy;volatilizedB/alkalicomponentsandactualwasteclassificationunresolved.6MJ/kgthermaland1kWh/kgmilling/formingareexplicitengineeringutilityallowancesfor1450Cmelting/quenching,notmeasuredsourceutilities;test3-12MJ/kg,0.2-2kWh/kgand90-100%retention. SilicasandisbulkSiO2purityproxy,nonmetallurgicalaluminaisspecialtyoxideproxy;semiconductorgradepurificationnotclaimed. ExistingapprovedYSZ/YDCchemistryandfutureY/Ce/Zrco-scaling,Ni/La/Sr/Prpurchases,steel,stackreplacementandhydrogenoutputallocationunchanged. Do notreduceentirestackorapplyfuturedensitylearningtosealwithoutsource. No newnative/runtime/YAMLchangesorprimary-secondarycredit.</t>
        </is>
      </c>
    </row>
    <row r="667">
      <c r="A667" t="inlineStr">
        <is>
          <t>Exchanges</t>
        </is>
      </c>
    </row>
    <row r="668">
      <c r="A668" t="inlineStr">
        <is>
          <t>name</t>
        </is>
      </c>
      <c r="B668" t="inlineStr">
        <is>
          <t>amount</t>
        </is>
      </c>
      <c r="C668" t="inlineStr">
        <is>
          <t>location</t>
        </is>
      </c>
      <c r="D668" t="inlineStr">
        <is>
          <t>unit</t>
        </is>
      </c>
      <c r="E668" t="inlineStr">
        <is>
          <t>categories</t>
        </is>
      </c>
      <c r="F668" t="inlineStr">
        <is>
          <t>type</t>
        </is>
      </c>
      <c r="G668" t="inlineStr">
        <is>
          <t>reference product</t>
        </is>
      </c>
      <c r="H668" t="inlineStr">
        <is>
          <t>comment</t>
        </is>
      </c>
      <c r="I668" t="inlineStr">
        <is>
          <t>product</t>
        </is>
      </c>
    </row>
    <row r="669">
      <c r="A669" t="inlineStr">
        <is>
          <t xml:space="preserve">glass seal production, SOEC, barium alumino-borosilicate</t>
        </is>
      </c>
      <c r="B669">
        <v>1</v>
      </c>
      <c r="C669" t="inlineStr">
        <is>
          <t>GLO</t>
        </is>
      </c>
      <c r="D669" t="inlineStr">
        <is>
          <t>kilogram</t>
        </is>
      </c>
      <c r="F669" t="inlineStr">
        <is>
          <t>production</t>
        </is>
      </c>
      <c r="G669" t="inlineStr">
        <is>
          <t xml:space="preserve">glass seal, SOEC, barium alumino-borosilicate</t>
        </is>
      </c>
      <c r="I669" t="inlineStr">
        <is>
          <t xml:space="preserve">glass seal, SOEC, barium alumino-borosilicate</t>
        </is>
      </c>
    </row>
    <row r="670">
      <c r="A670" t="inlineStr">
        <is>
          <t>market for barium oxide</t>
        </is>
      </c>
      <c r="B670">
        <v>0.6377896625582049</v>
      </c>
      <c r="C670" t="inlineStr">
        <is>
          <t>GLO</t>
        </is>
      </c>
      <c r="D670" t="inlineStr">
        <is>
          <t>kilogram</t>
        </is>
      </c>
      <c r="F670" t="inlineStr">
        <is>
          <t>technosphere</t>
        </is>
      </c>
      <c r="G670" t="inlineStr">
        <is>
          <t>barium oxide</t>
        </is>
      </c>
      <c r="I670" t="inlineStr">
        <is>
          <t>barium oxide</t>
        </is>
      </c>
    </row>
    <row r="671">
      <c r="A671" t="inlineStr">
        <is>
          <t>market for aluminium oxide, non-metallurgical</t>
        </is>
      </c>
      <c r="B671">
        <v>0.05301537500508606</v>
      </c>
      <c r="C671" t="inlineStr">
        <is>
          <t>RoW</t>
        </is>
      </c>
      <c r="D671" t="inlineStr">
        <is>
          <t>kilogram</t>
        </is>
      </c>
      <c r="F671" t="inlineStr">
        <is>
          <t>technosphere</t>
        </is>
      </c>
      <c r="G671" t="inlineStr">
        <is>
          <t>aluminium oxide, non-metallurgical</t>
        </is>
      </c>
      <c r="I671" t="inlineStr">
        <is>
          <t>aluminium oxide, non-metallurgical</t>
        </is>
      </c>
    </row>
    <row r="672">
      <c r="A672" t="inlineStr">
        <is>
          <t>market for boric oxide</t>
        </is>
      </c>
      <c r="B672">
        <v>0.1327267370182542</v>
      </c>
      <c r="C672" t="inlineStr">
        <is>
          <t>GLO</t>
        </is>
      </c>
      <c r="D672" t="inlineStr">
        <is>
          <t>kilogram</t>
        </is>
      </c>
      <c r="F672" t="inlineStr">
        <is>
          <t>technosphere</t>
        </is>
      </c>
      <c r="G672" t="inlineStr">
        <is>
          <t>boric oxide</t>
        </is>
      </c>
      <c r="I672" t="inlineStr">
        <is>
          <t>boric oxide</t>
        </is>
      </c>
    </row>
    <row r="673">
      <c r="A673" t="inlineStr">
        <is>
          <t>market for silica sand</t>
        </is>
      </c>
      <c r="B673">
        <v>0.22909980436582345</v>
      </c>
      <c r="C673" t="inlineStr">
        <is>
          <t>GLO</t>
        </is>
      </c>
      <c r="D673" t="inlineStr">
        <is>
          <t>kilogram</t>
        </is>
      </c>
      <c r="F673" t="inlineStr">
        <is>
          <t>technosphere</t>
        </is>
      </c>
      <c r="G673" t="inlineStr">
        <is>
          <t>silica sand</t>
        </is>
      </c>
      <c r="I673" t="inlineStr">
        <is>
          <t>silica sand</t>
        </is>
      </c>
    </row>
    <row r="674">
      <c r="A674" t="inlineStr">
        <is>
          <t>market for heat, district or industrial, natural gas</t>
        </is>
      </c>
      <c r="B674">
        <v>6</v>
      </c>
      <c r="C674" t="inlineStr">
        <is>
          <t>RoW</t>
        </is>
      </c>
      <c r="D674" t="inlineStr">
        <is>
          <t>megajoule</t>
        </is>
      </c>
      <c r="F674" t="inlineStr">
        <is>
          <t>technosphere</t>
        </is>
      </c>
      <c r="G674" t="inlineStr">
        <is>
          <t>heat, district or industrial, natural gas</t>
        </is>
      </c>
      <c r="I674" t="inlineStr">
        <is>
          <t>heat, district or industrial, natural gas</t>
        </is>
      </c>
    </row>
    <row r="675">
      <c r="A675" t="inlineStr">
        <is>
          <t>market group for electricity, medium voltage</t>
        </is>
      </c>
      <c r="B675">
        <v>1</v>
      </c>
      <c r="C675" t="inlineStr">
        <is>
          <t>GLO</t>
        </is>
      </c>
      <c r="D675" t="inlineStr">
        <is>
          <t>kilowatt hour</t>
        </is>
      </c>
      <c r="F675" t="inlineStr">
        <is>
          <t>technosphere</t>
        </is>
      </c>
      <c r="G675" t="inlineStr">
        <is>
          <t>electricity, medium voltage</t>
        </is>
      </c>
      <c r="I675" t="inlineStr">
        <is>
          <t>electricity, medium voltage</t>
        </is>
      </c>
    </row>
    <row r="676">
      <c r="A676" t="inlineStr">
        <is>
          <t>market for hazardous waste, for incineration</t>
        </is>
      </c>
      <c r="B676">
        <v>-0.05263157894736836</v>
      </c>
      <c r="C676" t="inlineStr">
        <is>
          <t>RoW</t>
        </is>
      </c>
      <c r="D676" t="inlineStr">
        <is>
          <t>kilogram</t>
        </is>
      </c>
      <c r="F676" t="inlineStr">
        <is>
          <t>technosphere</t>
        </is>
      </c>
      <c r="G676" t="inlineStr">
        <is>
          <t>hazardous waste, for incineration</t>
        </is>
      </c>
      <c r="I676" t="inlineStr">
        <is>
          <t>hazardous waste, for incineration</t>
        </is>
      </c>
    </row>
    <row r="679">
      <c r="A679" t="inlineStr">
        <is>
          <t>Activity</t>
        </is>
      </c>
      <c r="B679" t="inlineStr">
        <is>
          <t xml:space="preserve">silicon nitride production, for power modules</t>
        </is>
      </c>
    </row>
    <row r="680">
      <c r="A680" t="inlineStr">
        <is>
          <t>location</t>
        </is>
      </c>
      <c r="B680" t="inlineStr">
        <is>
          <t>GLO</t>
        </is>
      </c>
    </row>
    <row r="681">
      <c r="A681" t="inlineStr">
        <is>
          <t>production amount</t>
        </is>
      </c>
      <c r="B681">
        <v>1</v>
      </c>
    </row>
    <row r="682">
      <c r="A682" t="inlineStr">
        <is>
          <t>reference product</t>
        </is>
      </c>
      <c r="B682" t="inlineStr">
        <is>
          <t xml:space="preserve">silicon nitride, for power modules</t>
        </is>
      </c>
    </row>
    <row r="683">
      <c r="A683" t="inlineStr">
        <is>
          <t>unit</t>
        </is>
      </c>
      <c r="B683" t="inlineStr">
        <is>
          <t>kilogram</t>
        </is>
      </c>
    </row>
    <row r="684">
      <c r="A684" t="inlineStr">
        <is>
          <t>source</t>
        </is>
      </c>
      <c r="B684" t="inlineStr">
        <is>
          <t>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t>
        </is>
      </c>
    </row>
    <row r="685">
      <c r="A685" t="inlineStr">
        <is>
          <t>comment</t>
        </is>
      </c>
      <c r="B685" t="inlineStr">
        <is>
          <t xml:space="preserve">Nomenclature revision, 2026-10-19. Former activity name: silicon nitride, power-module ceramic engineering reference. Former reference product: silicon nitride, power-module ceramic engineering reference. Activity/product labels and supplier references only; coefficients, formulas, uncertainty, declared output and unit are unchanged. Original engineering assumptions, functional-unit basis and limitations remain below.
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t>
        </is>
      </c>
    </row>
    <row r="686">
      <c r="A686" t="inlineStr">
        <is>
          <t>Exchanges</t>
        </is>
      </c>
    </row>
    <row r="687">
      <c r="A687" t="inlineStr">
        <is>
          <t>name</t>
        </is>
      </c>
      <c r="B687" t="inlineStr">
        <is>
          <t>amount</t>
        </is>
      </c>
      <c r="C687" t="inlineStr">
        <is>
          <t>location</t>
        </is>
      </c>
      <c r="D687" t="inlineStr">
        <is>
          <t>unit</t>
        </is>
      </c>
      <c r="E687" t="inlineStr">
        <is>
          <t>categories</t>
        </is>
      </c>
      <c r="F687" t="inlineStr">
        <is>
          <t>type</t>
        </is>
      </c>
      <c r="G687" t="inlineStr">
        <is>
          <t>reference product</t>
        </is>
      </c>
      <c r="H687" t="inlineStr">
        <is>
          <t>comment</t>
        </is>
      </c>
      <c r="I687" t="inlineStr">
        <is>
          <t>product</t>
        </is>
      </c>
    </row>
    <row r="688">
      <c r="A688" t="inlineStr">
        <is>
          <t xml:space="preserve">silicon nitride production, for power modules</t>
        </is>
      </c>
      <c r="B688">
        <v>1</v>
      </c>
      <c r="C688" t="inlineStr">
        <is>
          <t>GLO</t>
        </is>
      </c>
      <c r="D688" t="inlineStr">
        <is>
          <t>kilogram</t>
        </is>
      </c>
      <c r="F688" t="inlineStr">
        <is>
          <t>production</t>
        </is>
      </c>
      <c r="G688" t="inlineStr">
        <is>
          <t xml:space="preserve">silicon nitride, for power modules</t>
        </is>
      </c>
      <c r="I688" t="inlineStr">
        <is>
          <t xml:space="preserve">silicon nitride, for power modules</t>
        </is>
      </c>
    </row>
    <row r="689">
      <c r="A689" t="inlineStr">
        <is>
          <t>market for silicon, metallurgical grade</t>
        </is>
      </c>
      <c r="B689">
        <v>0.6006073437266098</v>
      </c>
      <c r="C689" t="inlineStr">
        <is>
          <t>GLO</t>
        </is>
      </c>
      <c r="D689" t="inlineStr">
        <is>
          <t>kilogram</t>
        </is>
      </c>
      <c r="F689" t="inlineStr">
        <is>
          <t>technosphere</t>
        </is>
      </c>
      <c r="G689" t="inlineStr">
        <is>
          <t>silicon, metallurgical grade</t>
        </is>
      </c>
      <c r="I689" t="inlineStr">
        <is>
          <t>silicon, metallurgical grade</t>
        </is>
      </c>
    </row>
    <row r="690">
      <c r="A690" t="inlineStr">
        <is>
          <t>market for nitrogen, liquid</t>
        </is>
      </c>
      <c r="B690">
        <v>0.39939265627339027</v>
      </c>
      <c r="C690" t="inlineStr">
        <is>
          <t>RER</t>
        </is>
      </c>
      <c r="D690" t="inlineStr">
        <is>
          <t>kilogram</t>
        </is>
      </c>
      <c r="F690" t="inlineStr">
        <is>
          <t>technosphere</t>
        </is>
      </c>
      <c r="G690" t="inlineStr">
        <is>
          <t>nitrogen, liquid</t>
        </is>
      </c>
      <c r="I690" t="inlineStr">
        <is>
          <t>nitrogen, liquid</t>
        </is>
      </c>
    </row>
    <row r="691">
      <c r="A691" t="inlineStr">
        <is>
          <t>market for heat, district or industrial, natural gas</t>
        </is>
      </c>
      <c r="B691">
        <v>3</v>
      </c>
      <c r="C691" t="inlineStr">
        <is>
          <t>RoW</t>
        </is>
      </c>
      <c r="D691" t="inlineStr">
        <is>
          <t>megajoule</t>
        </is>
      </c>
      <c r="F691" t="inlineStr">
        <is>
          <t>technosphere</t>
        </is>
      </c>
      <c r="G691" t="inlineStr">
        <is>
          <t>heat, district or industrial, natural gas</t>
        </is>
      </c>
      <c r="I691" t="inlineStr">
        <is>
          <t>heat, district or industrial, natural gas</t>
        </is>
      </c>
    </row>
    <row r="692">
      <c r="A692" t="inlineStr">
        <is>
          <t>market group for electricity, medium voltage</t>
        </is>
      </c>
      <c r="B692">
        <v>1</v>
      </c>
      <c r="C692" t="inlineStr">
        <is>
          <t>GLO</t>
        </is>
      </c>
      <c r="D692" t="inlineStr">
        <is>
          <t>kilowatt hour</t>
        </is>
      </c>
      <c r="F692" t="inlineStr">
        <is>
          <t>technosphere</t>
        </is>
      </c>
      <c r="G692" t="inlineStr">
        <is>
          <t>electricity, medium voltage</t>
        </is>
      </c>
      <c r="I692" t="inlineStr">
        <is>
          <t>electricity, medium voltage</t>
        </is>
      </c>
    </row>
    <row r="695">
      <c r="A695" t="inlineStr">
        <is>
          <t>Activity</t>
        </is>
      </c>
      <c r="B695" t="inlineStr">
        <is>
          <t xml:space="preserve">lead oxide production, for power modules</t>
        </is>
      </c>
    </row>
    <row r="696">
      <c r="A696" t="inlineStr">
        <is>
          <t>location</t>
        </is>
      </c>
      <c r="B696" t="inlineStr">
        <is>
          <t>GLO</t>
        </is>
      </c>
    </row>
    <row r="697">
      <c r="A697" t="inlineStr">
        <is>
          <t>production amount</t>
        </is>
      </c>
      <c r="B697">
        <v>1</v>
      </c>
    </row>
    <row r="698">
      <c r="A698" t="inlineStr">
        <is>
          <t>reference product</t>
        </is>
      </c>
      <c r="B698" t="inlineStr">
        <is>
          <t xml:space="preserve">lead oxide, for power modules</t>
        </is>
      </c>
    </row>
    <row r="699">
      <c r="A699" t="inlineStr">
        <is>
          <t>unit</t>
        </is>
      </c>
      <c r="B699" t="inlineStr">
        <is>
          <t>kilogram</t>
        </is>
      </c>
    </row>
    <row r="700">
      <c r="A700" t="inlineStr">
        <is>
          <t>source</t>
        </is>
      </c>
      <c r="B700" t="inlineStr">
        <is>
          <t>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t>
        </is>
      </c>
    </row>
    <row r="701">
      <c r="A701" t="inlineStr">
        <is>
          <t>comment</t>
        </is>
      </c>
      <c r="B701" t="inlineStr">
        <is>
          <t xml:space="preserve">Nomenclature revision, 2026-10-19. Former activity name: lead oxide, power-module trace engineering reference. Former reference product: lead oxide, power-module trace engineering reference. Activity/product labels and supplier references only; coefficients, formulas, uncertainty, declared output and unit are unchanged. Original engineering assumptions, functional-unit basis and limitations remain below.
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t>
        </is>
      </c>
    </row>
    <row r="702">
      <c r="A702" t="inlineStr">
        <is>
          <t>Exchanges</t>
        </is>
      </c>
    </row>
    <row r="703">
      <c r="A703" t="inlineStr">
        <is>
          <t>name</t>
        </is>
      </c>
      <c r="B703" t="inlineStr">
        <is>
          <t>amount</t>
        </is>
      </c>
      <c r="C703" t="inlineStr">
        <is>
          <t>location</t>
        </is>
      </c>
      <c r="D703" t="inlineStr">
        <is>
          <t>unit</t>
        </is>
      </c>
      <c r="E703" t="inlineStr">
        <is>
          <t>categories</t>
        </is>
      </c>
      <c r="F703" t="inlineStr">
        <is>
          <t>type</t>
        </is>
      </c>
      <c r="G703" t="inlineStr">
        <is>
          <t>reference product</t>
        </is>
      </c>
      <c r="H703" t="inlineStr">
        <is>
          <t>comment</t>
        </is>
      </c>
      <c r="I703" t="inlineStr">
        <is>
          <t>product</t>
        </is>
      </c>
    </row>
    <row r="704">
      <c r="A704" t="inlineStr">
        <is>
          <t xml:space="preserve">lead oxide production, for power modules</t>
        </is>
      </c>
      <c r="B704">
        <v>1</v>
      </c>
      <c r="C704" t="inlineStr">
        <is>
          <t>GLO</t>
        </is>
      </c>
      <c r="D704" t="inlineStr">
        <is>
          <t>kilogram</t>
        </is>
      </c>
      <c r="F704" t="inlineStr">
        <is>
          <t>production</t>
        </is>
      </c>
      <c r="G704" t="inlineStr">
        <is>
          <t xml:space="preserve">lead oxide, for power modules</t>
        </is>
      </c>
      <c r="I704" t="inlineStr">
        <is>
          <t xml:space="preserve">lead oxide, for power modules</t>
        </is>
      </c>
    </row>
    <row r="705">
      <c r="A705" t="inlineStr">
        <is>
          <t>market for lead</t>
        </is>
      </c>
      <c r="B705">
        <v>0.9283195713242443</v>
      </c>
      <c r="C705" t="inlineStr">
        <is>
          <t>GLO</t>
        </is>
      </c>
      <c r="D705" t="inlineStr">
        <is>
          <t>kilogram</t>
        </is>
      </c>
      <c r="F705" t="inlineStr">
        <is>
          <t>technosphere</t>
        </is>
      </c>
      <c r="G705" t="inlineStr">
        <is>
          <t>lead</t>
        </is>
      </c>
      <c r="I705" t="inlineStr">
        <is>
          <t>lead</t>
        </is>
      </c>
    </row>
    <row r="706">
      <c r="A706" t="inlineStr">
        <is>
          <t>market for oxygen, liquid</t>
        </is>
      </c>
      <c r="B706">
        <v>0.07168042867575572</v>
      </c>
      <c r="C706" t="inlineStr">
        <is>
          <t>RER</t>
        </is>
      </c>
      <c r="D706" t="inlineStr">
        <is>
          <t>kilogram</t>
        </is>
      </c>
      <c r="F706" t="inlineStr">
        <is>
          <t>technosphere</t>
        </is>
      </c>
      <c r="G706" t="inlineStr">
        <is>
          <t>oxygen, liquid</t>
        </is>
      </c>
      <c r="I706" t="inlineStr">
        <is>
          <t>oxygen, liquid</t>
        </is>
      </c>
    </row>
    <row r="707">
      <c r="A707" t="inlineStr">
        <is>
          <t>market for heat, district or industrial, natural gas</t>
        </is>
      </c>
      <c r="B707">
        <v>3</v>
      </c>
      <c r="C707" t="inlineStr">
        <is>
          <t>RoW</t>
        </is>
      </c>
      <c r="D707" t="inlineStr">
        <is>
          <t>megajoule</t>
        </is>
      </c>
      <c r="F707" t="inlineStr">
        <is>
          <t>technosphere</t>
        </is>
      </c>
      <c r="G707" t="inlineStr">
        <is>
          <t>heat, district or industrial, natural gas</t>
        </is>
      </c>
      <c r="I707" t="inlineStr">
        <is>
          <t>heat, district or industrial, natural gas</t>
        </is>
      </c>
    </row>
    <row r="710">
      <c r="A710" t="inlineStr">
        <is>
          <t/>
        </is>
      </c>
      <c r="B710" t="inlineStr">
        <is>
          <t/>
        </is>
      </c>
    </row>
    <row r="711">
      <c r="A711" t="inlineStr">
        <is>
          <t/>
        </is>
      </c>
      <c r="B711" t="inlineStr">
        <is>
          <t/>
        </is>
      </c>
    </row>
    <row r="712">
      <c r="A712" t="inlineStr">
        <is>
          <t/>
        </is>
      </c>
      <c r="B712" t="inlineStr">
        <is>
          <t/>
        </is>
      </c>
    </row>
    <row r="713">
      <c r="A713" t="inlineStr">
        <is>
          <t/>
        </is>
      </c>
      <c r="B713" t="inlineStr">
        <is>
          <t/>
        </is>
      </c>
    </row>
    <row r="714">
      <c r="A714" t="inlineStr">
        <is>
          <t/>
        </is>
      </c>
      <c r="B714" t="inlineStr">
        <is>
          <t/>
        </is>
      </c>
    </row>
    <row r="715">
      <c r="A715" t="inlineStr">
        <is>
          <t/>
        </is>
      </c>
      <c r="B715" t="inlineStr">
        <is>
          <t/>
        </is>
      </c>
    </row>
    <row r="716">
      <c r="A716" t="inlineStr">
        <is>
          <t/>
        </is>
      </c>
      <c r="B716" t="inlineStr">
        <is>
          <t/>
        </is>
      </c>
    </row>
    <row r="717">
      <c r="A717" t="inlineStr">
        <is>
          <t/>
        </is>
      </c>
    </row>
    <row r="718">
      <c r="A718" t="inlineStr">
        <is>
          <t/>
        </is>
      </c>
      <c r="B718" t="inlineStr">
        <is>
          <t/>
        </is>
      </c>
      <c r="C718" t="inlineStr">
        <is>
          <t/>
        </is>
      </c>
      <c r="D718" t="inlineStr">
        <is>
          <t/>
        </is>
      </c>
      <c r="E718" t="inlineStr">
        <is>
          <t/>
        </is>
      </c>
      <c r="F718" t="inlineStr">
        <is>
          <t/>
        </is>
      </c>
      <c r="G718" t="inlineStr">
        <is>
          <t/>
        </is>
      </c>
      <c r="H718" t="inlineStr">
        <is>
          <t/>
        </is>
      </c>
      <c r="I718" t="inlineStr">
        <is>
          <t/>
        </is>
      </c>
    </row>
    <row r="719">
      <c r="A719" t="inlineStr">
        <is>
          <t/>
        </is>
      </c>
      <c r="B719" t="inlineStr">
        <is>
          <t/>
        </is>
      </c>
      <c r="C719" t="inlineStr">
        <is>
          <t/>
        </is>
      </c>
      <c r="D719" t="inlineStr">
        <is>
          <t/>
        </is>
      </c>
      <c r="F719" t="inlineStr">
        <is>
          <t/>
        </is>
      </c>
      <c r="G719" t="inlineStr">
        <is>
          <t/>
        </is>
      </c>
      <c r="I719" t="inlineStr">
        <is>
          <t/>
        </is>
      </c>
    </row>
    <row r="720">
      <c r="A720" t="inlineStr">
        <is>
          <t/>
        </is>
      </c>
      <c r="B720" t="inlineStr">
        <is>
          <t/>
        </is>
      </c>
      <c r="C720" t="inlineStr">
        <is>
          <t/>
        </is>
      </c>
      <c r="D720" t="inlineStr">
        <is>
          <t/>
        </is>
      </c>
      <c r="F720" t="inlineStr">
        <is>
          <t/>
        </is>
      </c>
      <c r="G720" t="inlineStr">
        <is>
          <t/>
        </is>
      </c>
      <c r="I720" t="inlineStr">
        <is>
          <t/>
        </is>
      </c>
    </row>
    <row r="721">
      <c r="A721" t="inlineStr">
        <is>
          <t/>
        </is>
      </c>
      <c r="B721" t="inlineStr">
        <is>
          <t/>
        </is>
      </c>
      <c r="C721" t="inlineStr">
        <is>
          <t/>
        </is>
      </c>
      <c r="D721" t="inlineStr">
        <is>
          <t/>
        </is>
      </c>
      <c r="F721" t="inlineStr">
        <is>
          <t/>
        </is>
      </c>
      <c r="G721" t="inlineStr">
        <is>
          <t/>
        </is>
      </c>
      <c r="I721" t="inlineStr">
        <is>
          <t/>
        </is>
      </c>
    </row>
    <row r="722">
      <c r="A722" t="inlineStr">
        <is>
          <t/>
        </is>
      </c>
      <c r="B722" t="inlineStr">
        <is>
          <t/>
        </is>
      </c>
      <c r="C722" t="inlineStr">
        <is>
          <t/>
        </is>
      </c>
      <c r="D722" t="inlineStr">
        <is>
          <t/>
        </is>
      </c>
      <c r="F722" t="inlineStr">
        <is>
          <t/>
        </is>
      </c>
      <c r="G722" t="inlineStr">
        <is>
          <t/>
        </is>
      </c>
      <c r="H722" t="inlineStr">
        <is>
          <t/>
        </is>
      </c>
      <c r="I722" t="inlineStr">
        <is>
          <t/>
        </is>
      </c>
    </row>
    <row r="723">
      <c r="A723" t="inlineStr">
        <is>
          <t/>
        </is>
      </c>
      <c r="B723" t="inlineStr">
        <is>
          <t/>
        </is>
      </c>
      <c r="C723" t="inlineStr">
        <is>
          <t/>
        </is>
      </c>
      <c r="D723" t="inlineStr">
        <is>
          <t/>
        </is>
      </c>
      <c r="F723" t="inlineStr">
        <is>
          <t/>
        </is>
      </c>
      <c r="G723" t="inlineStr">
        <is>
          <t/>
        </is>
      </c>
      <c r="I723" t="inlineStr">
        <is>
          <t/>
        </is>
      </c>
    </row>
    <row r="724">
      <c r="A724" t="inlineStr">
        <is>
          <t/>
        </is>
      </c>
      <c r="B724" t="inlineStr">
        <is>
          <t/>
        </is>
      </c>
      <c r="C724" t="inlineStr">
        <is>
          <t/>
        </is>
      </c>
      <c r="D724" t="inlineStr">
        <is>
          <t/>
        </is>
      </c>
      <c r="F724" t="inlineStr">
        <is>
          <t/>
        </is>
      </c>
      <c r="G724" t="inlineStr">
        <is>
          <t/>
        </is>
      </c>
      <c r="I724" t="inlineStr">
        <is>
          <t/>
        </is>
      </c>
    </row>
    <row r="725">
      <c r="A725" t="inlineStr">
        <is>
          <t/>
        </is>
      </c>
      <c r="B725" t="inlineStr">
        <is>
          <t/>
        </is>
      </c>
      <c r="C725" t="inlineStr">
        <is>
          <t/>
        </is>
      </c>
      <c r="D725" t="inlineStr">
        <is>
          <t/>
        </is>
      </c>
      <c r="F725" t="inlineStr">
        <is>
          <t/>
        </is>
      </c>
      <c r="G725" t="inlineStr">
        <is>
          <t/>
        </is>
      </c>
      <c r="I725" t="inlineStr">
        <is>
          <t/>
        </is>
      </c>
    </row>
    <row r="726">
      <c r="A726" t="inlineStr">
        <is>
          <t/>
        </is>
      </c>
      <c r="B726" t="inlineStr">
        <is>
          <t/>
        </is>
      </c>
      <c r="C726" t="inlineStr">
        <is>
          <t/>
        </is>
      </c>
      <c r="D726" t="inlineStr">
        <is>
          <t/>
        </is>
      </c>
      <c r="F726" t="inlineStr">
        <is>
          <t/>
        </is>
      </c>
      <c r="G726" t="inlineStr">
        <is>
          <t/>
        </is>
      </c>
      <c r="I726" t="inlineStr">
        <is>
          <t/>
        </is>
      </c>
    </row>
    <row r="727">
      <c r="A727" t="inlineStr">
        <is>
          <t/>
        </is>
      </c>
      <c r="B727" t="inlineStr">
        <is>
          <t/>
        </is>
      </c>
      <c r="C727" t="inlineStr">
        <is>
          <t/>
        </is>
      </c>
      <c r="D727" t="inlineStr">
        <is>
          <t/>
        </is>
      </c>
      <c r="F727" t="inlineStr">
        <is>
          <t/>
        </is>
      </c>
      <c r="G727" t="inlineStr">
        <is>
          <t/>
        </is>
      </c>
      <c r="I727" t="inlineStr">
        <is>
          <t/>
        </is>
      </c>
    </row>
    <row r="728">
      <c r="A728" t="inlineStr">
        <is>
          <t/>
        </is>
      </c>
      <c r="B728" t="inlineStr">
        <is>
          <t/>
        </is>
      </c>
      <c r="C728" t="inlineStr">
        <is>
          <t/>
        </is>
      </c>
      <c r="D728" t="inlineStr">
        <is>
          <t/>
        </is>
      </c>
      <c r="F728" t="inlineStr">
        <is>
          <t/>
        </is>
      </c>
      <c r="G728" t="inlineStr">
        <is>
          <t/>
        </is>
      </c>
      <c r="I728" t="inlineStr">
        <is>
          <t/>
        </is>
      </c>
    </row>
    <row r="729">
      <c r="A729" t="inlineStr">
        <is>
          <t/>
        </is>
      </c>
      <c r="B729" t="inlineStr">
        <is>
          <t/>
        </is>
      </c>
      <c r="C729" t="inlineStr">
        <is>
          <t/>
        </is>
      </c>
      <c r="D729" t="inlineStr">
        <is>
          <t/>
        </is>
      </c>
      <c r="F729" t="inlineStr">
        <is>
          <t/>
        </is>
      </c>
      <c r="G729" t="inlineStr">
        <is>
          <t/>
        </is>
      </c>
      <c r="I729" t="inlineStr">
        <is>
          <t/>
        </is>
      </c>
    </row>
    <row r="730">
      <c r="A730" t="inlineStr">
        <is>
          <t/>
        </is>
      </c>
      <c r="B730" t="inlineStr">
        <is>
          <t/>
        </is>
      </c>
      <c r="C730" t="inlineStr">
        <is>
          <t/>
        </is>
      </c>
      <c r="D730" t="inlineStr">
        <is>
          <t/>
        </is>
      </c>
      <c r="F730" t="inlineStr">
        <is>
          <t/>
        </is>
      </c>
      <c r="G730" t="inlineStr">
        <is>
          <t/>
        </is>
      </c>
      <c r="I730" t="inlineStr">
        <is>
          <t/>
        </is>
      </c>
    </row>
    <row r="731">
      <c r="A731" t="inlineStr">
        <is>
          <t/>
        </is>
      </c>
      <c r="B731" t="inlineStr">
        <is>
          <t/>
        </is>
      </c>
      <c r="C731" t="inlineStr">
        <is>
          <t/>
        </is>
      </c>
      <c r="D731" t="inlineStr">
        <is>
          <t/>
        </is>
      </c>
      <c r="F731" t="inlineStr">
        <is>
          <t/>
        </is>
      </c>
      <c r="G731" t="inlineStr">
        <is>
          <t/>
        </is>
      </c>
      <c r="I731" t="inlineStr">
        <is>
          <t/>
        </is>
      </c>
    </row>
    <row r="732">
      <c r="A732" t="inlineStr">
        <is>
          <t/>
        </is>
      </c>
      <c r="B732" t="inlineStr">
        <is>
          <t/>
        </is>
      </c>
      <c r="C732" t="inlineStr">
        <is>
          <t/>
        </is>
      </c>
      <c r="D732" t="inlineStr">
        <is>
          <t/>
        </is>
      </c>
      <c r="F732" t="inlineStr">
        <is>
          <t/>
        </is>
      </c>
      <c r="G732" t="inlineStr">
        <is>
          <t/>
        </is>
      </c>
      <c r="I732" t="inlineStr">
        <is>
          <t/>
        </is>
      </c>
    </row>
    <row r="733">
      <c r="A733" t="inlineStr">
        <is>
          <t/>
        </is>
      </c>
      <c r="B733" t="inlineStr">
        <is>
          <t/>
        </is>
      </c>
      <c r="C733" t="inlineStr">
        <is>
          <t/>
        </is>
      </c>
      <c r="D733" t="inlineStr">
        <is>
          <t/>
        </is>
      </c>
      <c r="F733" t="inlineStr">
        <is>
          <t/>
        </is>
      </c>
      <c r="G733" t="inlineStr">
        <is>
          <t/>
        </is>
      </c>
      <c r="I733" t="inlineStr">
        <is>
          <t/>
        </is>
      </c>
    </row>
    <row r="736">
      <c r="A736" t="inlineStr">
        <is>
          <t>Activity</t>
        </is>
      </c>
      <c r="B736" t="inlineStr">
        <is>
          <t xml:space="preserve">converter production, industrial, AC-DC, 1 MW</t>
        </is>
      </c>
    </row>
    <row r="737">
      <c r="A737" t="inlineStr">
        <is>
          <t>location</t>
        </is>
      </c>
      <c r="B737" t="inlineStr">
        <is>
          <t>GLO</t>
        </is>
      </c>
    </row>
    <row r="738">
      <c r="A738" t="inlineStr">
        <is>
          <t>production amount</t>
        </is>
      </c>
      <c r="B738">
        <v>1</v>
      </c>
    </row>
    <row r="739">
      <c r="A739" t="inlineStr">
        <is>
          <t>reference product</t>
        </is>
      </c>
      <c r="B739" t="inlineStr">
        <is>
          <t xml:space="preserve">converter, industrial, AC-DC, 1 MW</t>
        </is>
      </c>
    </row>
    <row r="740">
      <c r="A740" t="inlineStr">
        <is>
          <t>unit</t>
        </is>
      </c>
      <c r="B740" t="inlineStr">
        <is>
          <t>unit</t>
        </is>
      </c>
    </row>
    <row r="741">
      <c r="A741" t="inlineStr">
        <is>
          <t>source</t>
        </is>
      </c>
      <c r="B741" t="inlineStr">
        <is>
          <t>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t>
        </is>
      </c>
    </row>
    <row r="742">
      <c r="A742" t="inlineStr">
        <is>
          <t>comment</t>
        </is>
      </c>
      <c r="B742" t="inlineStr">
        <is>
          <t xml:space="preserve">Nomenclature revision, 2026-10-19. Former activity name: industrial AC-DC converter, 1MW, component engineering reference. Former reference product: industrial AC-DC converter, 1MW, component engineering reference. Activity/product labels and supplier references only; coefficients, formulas, uncertainty, declared output and unit are unchanged. Original engineering assumptions, functional-unit basis and limitations remain below.
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t>
        </is>
      </c>
    </row>
    <row r="743">
      <c r="A743" t="inlineStr">
        <is>
          <t>Exchanges</t>
        </is>
      </c>
    </row>
    <row r="744">
      <c r="A744" t="inlineStr">
        <is>
          <t>name</t>
        </is>
      </c>
      <c r="B744" t="inlineStr">
        <is>
          <t>amount</t>
        </is>
      </c>
      <c r="C744" t="inlineStr">
        <is>
          <t>location</t>
        </is>
      </c>
      <c r="D744" t="inlineStr">
        <is>
          <t>unit</t>
        </is>
      </c>
      <c r="E744" t="inlineStr">
        <is>
          <t>categories</t>
        </is>
      </c>
      <c r="F744" t="inlineStr">
        <is>
          <t>type</t>
        </is>
      </c>
      <c r="G744" t="inlineStr">
        <is>
          <t>reference product</t>
        </is>
      </c>
      <c r="H744" t="inlineStr">
        <is>
          <t>comment</t>
        </is>
      </c>
      <c r="I744" t="inlineStr">
        <is>
          <t>product</t>
        </is>
      </c>
    </row>
    <row r="745">
      <c r="A745" t="inlineStr">
        <is>
          <t xml:space="preserve">converter production, industrial, AC-DC, 1 MW</t>
        </is>
      </c>
      <c r="B745">
        <v>1</v>
      </c>
      <c r="C745" t="inlineStr">
        <is>
          <t>GLO</t>
        </is>
      </c>
      <c r="D745" t="inlineStr">
        <is>
          <t>unit</t>
        </is>
      </c>
      <c r="F745" t="inlineStr">
        <is>
          <t>production</t>
        </is>
      </c>
      <c r="G745" t="inlineStr">
        <is>
          <t xml:space="preserve">converter, industrial, AC-DC, 1 MW</t>
        </is>
      </c>
      <c r="I745" t="inlineStr">
        <is>
          <t xml:space="preserve">converter, industrial, AC-DC, 1 MW</t>
        </is>
      </c>
    </row>
    <row r="746">
      <c r="A746" t="inlineStr">
        <is>
          <t>market for acrylonitrile-butadiene-styrene copolymer</t>
        </is>
      </c>
      <c r="B746">
        <v>8.12501282614425</v>
      </c>
      <c r="C746" t="inlineStr">
        <is>
          <t>GLO</t>
        </is>
      </c>
      <c r="D746" t="inlineStr">
        <is>
          <t>kilogram</t>
        </is>
      </c>
      <c r="F746" t="inlineStr">
        <is>
          <t>technosphere</t>
        </is>
      </c>
      <c r="G746" t="inlineStr">
        <is>
          <t>acrylonitrile-butadiene-styrene copolymer</t>
        </is>
      </c>
      <c r="I746" t="inlineStr">
        <is>
          <t>acrylonitrile-butadiene-styrene copolymer</t>
        </is>
      </c>
    </row>
    <row r="747">
      <c r="A747" t="inlineStr">
        <is>
          <t>market for nylon 6</t>
        </is>
      </c>
      <c r="B747">
        <v>6.658547096547483</v>
      </c>
      <c r="C747" t="inlineStr">
        <is>
          <t>RER</t>
        </is>
      </c>
      <c r="D747" t="inlineStr">
        <is>
          <t>kilogram</t>
        </is>
      </c>
      <c r="F747" t="inlineStr">
        <is>
          <t>technosphere</t>
        </is>
      </c>
      <c r="G747" t="inlineStr">
        <is>
          <t>nylon 6</t>
        </is>
      </c>
      <c r="I747" t="inlineStr">
        <is>
          <t>nylon 6</t>
        </is>
      </c>
    </row>
    <row r="748">
      <c r="A748" t="inlineStr">
        <is>
          <t>market for glass fibre</t>
        </is>
      </c>
      <c r="B748">
        <v>2.2591499077571817</v>
      </c>
      <c r="C748" t="inlineStr">
        <is>
          <t>GLO</t>
        </is>
      </c>
      <c r="D748" t="inlineStr">
        <is>
          <t>kilogram</t>
        </is>
      </c>
      <c r="F748" t="inlineStr">
        <is>
          <t>technosphere</t>
        </is>
      </c>
      <c r="G748" t="inlineStr">
        <is>
          <t>glass fibre</t>
        </is>
      </c>
      <c r="I748" t="inlineStr">
        <is>
          <t>glass fibre</t>
        </is>
      </c>
    </row>
    <row r="749">
      <c r="A749" t="inlineStr">
        <is>
          <t>market for steel, low-alloyed</t>
        </is>
      </c>
      <c r="B749">
        <v>53.308010981287886</v>
      </c>
      <c r="C749" t="inlineStr">
        <is>
          <t>GLO</t>
        </is>
      </c>
      <c r="D749" t="inlineStr">
        <is>
          <t>kilogram</t>
        </is>
      </c>
      <c r="F749" t="inlineStr">
        <is>
          <t>technosphere</t>
        </is>
      </c>
      <c r="G749" t="inlineStr">
        <is>
          <t>steel, low-alloyed</t>
        </is>
      </c>
      <c r="I749" t="inlineStr">
        <is>
          <t>steel, low-alloyed</t>
        </is>
      </c>
    </row>
    <row r="750">
      <c r="A750" t="inlineStr">
        <is>
          <t>market for aluminium, wrought alloy</t>
        </is>
      </c>
      <c r="B750">
        <v>42.80494562066239</v>
      </c>
      <c r="C750" t="inlineStr">
        <is>
          <t>GLO</t>
        </is>
      </c>
      <c r="D750" t="inlineStr">
        <is>
          <t>kilogram</t>
        </is>
      </c>
      <c r="F750" t="inlineStr">
        <is>
          <t>technosphere</t>
        </is>
      </c>
      <c r="G750" t="inlineStr">
        <is>
          <t>aluminium, wrought alloy</t>
        </is>
      </c>
      <c r="I750" t="inlineStr">
        <is>
          <t>aluminium, wrought alloy</t>
        </is>
      </c>
    </row>
    <row r="751">
      <c r="A751" t="inlineStr">
        <is>
          <t>market for copper, cathode</t>
        </is>
      </c>
      <c r="B751">
        <v>39.832379952560835</v>
      </c>
      <c r="C751" t="inlineStr">
        <is>
          <t>GLO</t>
        </is>
      </c>
      <c r="D751" t="inlineStr">
        <is>
          <t>kilogram</t>
        </is>
      </c>
      <c r="F751" t="inlineStr">
        <is>
          <t>technosphere</t>
        </is>
      </c>
      <c r="G751" t="inlineStr">
        <is>
          <t>copper, cathode</t>
        </is>
      </c>
      <c r="I751" t="inlineStr">
        <is>
          <t>copper, cathode</t>
        </is>
      </c>
    </row>
    <row r="752">
      <c r="A752" t="inlineStr">
        <is>
          <t xml:space="preserve">silicon carbide half-bridge module production</t>
        </is>
      </c>
      <c r="B752">
        <v>3.0509999999999997</v>
      </c>
      <c r="C752" t="inlineStr">
        <is>
          <t>GLO</t>
        </is>
      </c>
      <c r="D752" t="inlineStr">
        <is>
          <t>kilogram</t>
        </is>
      </c>
      <c r="F752" t="inlineStr">
        <is>
          <t>technosphere</t>
        </is>
      </c>
      <c r="G752" t="inlineStr">
        <is>
          <t xml:space="preserve">silicon carbide half-bridge module</t>
        </is>
      </c>
      <c r="I752" t="inlineStr">
        <is>
          <t xml:space="preserve">silicon carbide half-bridge module</t>
        </is>
      </c>
    </row>
    <row r="753">
      <c r="A753" t="inlineStr">
        <is>
          <t>market for printed wiring board, surface mounted, unspecified, Pb free</t>
        </is>
      </c>
      <c r="B753">
        <v>8</v>
      </c>
      <c r="C753" t="inlineStr">
        <is>
          <t>GLO</t>
        </is>
      </c>
      <c r="D753" t="inlineStr">
        <is>
          <t>kilogram</t>
        </is>
      </c>
      <c r="F753" t="inlineStr">
        <is>
          <t>technosphere</t>
        </is>
      </c>
      <c r="G753" t="inlineStr">
        <is>
          <t>printed wiring board, surface mounted, unspecified, Pb free</t>
        </is>
      </c>
      <c r="I753" t="inlineStr">
        <is>
          <t>printed wiring board, surface mounted, unspecified, Pb free</t>
        </is>
      </c>
    </row>
    <row r="754">
      <c r="A754" t="inlineStr">
        <is>
          <t>market for capacitor, film type, for through-hole mounting</t>
        </is>
      </c>
      <c r="B754">
        <v>14</v>
      </c>
      <c r="C754" t="inlineStr">
        <is>
          <t>GLO</t>
        </is>
      </c>
      <c r="D754" t="inlineStr">
        <is>
          <t>kilogram</t>
        </is>
      </c>
      <c r="F754" t="inlineStr">
        <is>
          <t>technosphere</t>
        </is>
      </c>
      <c r="G754" t="inlineStr">
        <is>
          <t>capacitor, film type, for through-hole mounting</t>
        </is>
      </c>
      <c r="I754" t="inlineStr">
        <is>
          <t>capacitor, film type, for through-hole mounting</t>
        </is>
      </c>
    </row>
    <row r="755">
      <c r="A755" t="inlineStr">
        <is>
          <t>market for fan, for power supply unit, desktop computer</t>
        </is>
      </c>
      <c r="B755">
        <v>1</v>
      </c>
      <c r="C755" t="inlineStr">
        <is>
          <t>GLO</t>
        </is>
      </c>
      <c r="D755" t="inlineStr">
        <is>
          <t>kilogram</t>
        </is>
      </c>
      <c r="F755" t="inlineStr">
        <is>
          <t>technosphere</t>
        </is>
      </c>
      <c r="G755" t="inlineStr">
        <is>
          <t>fan, for power supply unit, desktop computer</t>
        </is>
      </c>
      <c r="I755" t="inlineStr">
        <is>
          <t>fan, for power supply unit, desktop computer</t>
        </is>
      </c>
    </row>
    <row r="756">
      <c r="A756" t="inlineStr">
        <is>
          <t>metal working, average for steel product manufacturing</t>
        </is>
      </c>
      <c r="B756">
        <v>53.308010981287886</v>
      </c>
      <c r="C756" t="inlineStr">
        <is>
          <t>RER</t>
        </is>
      </c>
      <c r="D756" t="inlineStr">
        <is>
          <t>kilogram</t>
        </is>
      </c>
      <c r="F756" t="inlineStr">
        <is>
          <t>technosphere</t>
        </is>
      </c>
      <c r="G756" t="inlineStr">
        <is>
          <t>metal working, average for steel product manufacturing</t>
        </is>
      </c>
      <c r="I756" t="inlineStr">
        <is>
          <t>metal working, average for steel product manufacturing</t>
        </is>
      </c>
    </row>
    <row r="757">
      <c r="A757" t="inlineStr">
        <is>
          <t>metal working, average for aluminium product manufacturing</t>
        </is>
      </c>
      <c r="B757">
        <v>42.80494562066239</v>
      </c>
      <c r="C757" t="inlineStr">
        <is>
          <t>RER</t>
        </is>
      </c>
      <c r="D757" t="inlineStr">
        <is>
          <t>kilogram</t>
        </is>
      </c>
      <c r="F757" t="inlineStr">
        <is>
          <t>technosphere</t>
        </is>
      </c>
      <c r="G757" t="inlineStr">
        <is>
          <t>metal working, average for aluminium product manufacturing</t>
        </is>
      </c>
      <c r="I757" t="inlineStr">
        <is>
          <t>metal working, average for aluminium product manufacturing</t>
        </is>
      </c>
    </row>
    <row r="758">
      <c r="A758" t="inlineStr">
        <is>
          <t>metal working, average for copper product manufacturing</t>
        </is>
      </c>
      <c r="B758">
        <v>39.832379952560835</v>
      </c>
      <c r="C758" t="inlineStr">
        <is>
          <t>RER</t>
        </is>
      </c>
      <c r="D758" t="inlineStr">
        <is>
          <t>kilogram</t>
        </is>
      </c>
      <c r="F758" t="inlineStr">
        <is>
          <t>technosphere</t>
        </is>
      </c>
      <c r="G758" t="inlineStr">
        <is>
          <t>metal working, average for copper product manufacturing</t>
        </is>
      </c>
      <c r="I758" t="inlineStr">
        <is>
          <t>metal working, average for copper product manufacturing</t>
        </is>
      </c>
    </row>
    <row r="761">
      <c r="A761" t="inlineStr">
        <is>
          <t>Activity</t>
        </is>
      </c>
      <c r="B761" t="inlineStr">
        <is>
          <t xml:space="preserve">transformer production, electrolysis, 1.1 MVA</t>
        </is>
      </c>
    </row>
    <row r="762">
      <c r="A762" t="inlineStr">
        <is>
          <t>location</t>
        </is>
      </c>
      <c r="B762" t="inlineStr">
        <is>
          <t>GLO</t>
        </is>
      </c>
    </row>
    <row r="763">
      <c r="A763" t="inlineStr">
        <is>
          <t>production amount</t>
        </is>
      </c>
      <c r="B763">
        <v>1</v>
      </c>
    </row>
    <row r="764">
      <c r="A764" t="inlineStr">
        <is>
          <t>reference product</t>
        </is>
      </c>
      <c r="B764" t="inlineStr">
        <is>
          <t xml:space="preserve">transformer, electrolysis, 1.1 MVA</t>
        </is>
      </c>
    </row>
    <row r="765">
      <c r="A765" t="inlineStr">
        <is>
          <t>unit</t>
        </is>
      </c>
      <c r="B765" t="inlineStr">
        <is>
          <t>unit</t>
        </is>
      </c>
    </row>
    <row r="766">
      <c r="A766" t="inlineStr">
        <is>
          <t>source</t>
        </is>
      </c>
      <c r="B766" t="inlineStr">
        <is>
          <t>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t>
        </is>
      </c>
    </row>
    <row r="767">
      <c r="A767" t="inlineStr">
        <is>
          <t>comment</t>
        </is>
      </c>
      <c r="B767" t="inlineStr">
        <is>
          <t xml:space="preserve">Nomenclature revision, 2026-10-19. Former activity name: electrolyzer dedicated transformer, 1.1MVA, engineering reference. Former reference product: electrolyzer dedicated transformer, 1.1MVA, engineering reference. Activity/product labels and supplier references only; coefficients, formulas, uncertainty, declared output and unit are unchanged. Original engineering assumptions, functional-unit basis and limitations remain below.
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t>
        </is>
      </c>
    </row>
    <row r="768">
      <c r="A768" t="inlineStr">
        <is>
          <t>Exchanges</t>
        </is>
      </c>
    </row>
    <row r="769">
      <c r="A769" t="inlineStr">
        <is>
          <t>name</t>
        </is>
      </c>
      <c r="B769" t="inlineStr">
        <is>
          <t>amount</t>
        </is>
      </c>
      <c r="C769" t="inlineStr">
        <is>
          <t>location</t>
        </is>
      </c>
      <c r="D769" t="inlineStr">
        <is>
          <t>unit</t>
        </is>
      </c>
      <c r="E769" t="inlineStr">
        <is>
          <t>categories</t>
        </is>
      </c>
      <c r="F769" t="inlineStr">
        <is>
          <t>type</t>
        </is>
      </c>
      <c r="G769" t="inlineStr">
        <is>
          <t>reference product</t>
        </is>
      </c>
      <c r="H769" t="inlineStr">
        <is>
          <t>comment</t>
        </is>
      </c>
      <c r="I769" t="inlineStr">
        <is>
          <t>product</t>
        </is>
      </c>
    </row>
    <row r="770">
      <c r="A770" t="inlineStr">
        <is>
          <t xml:space="preserve">transformer production, electrolysis, 1.1 MVA</t>
        </is>
      </c>
      <c r="B770">
        <v>1</v>
      </c>
      <c r="C770" t="inlineStr">
        <is>
          <t>GLO</t>
        </is>
      </c>
      <c r="D770" t="inlineStr">
        <is>
          <t>unit</t>
        </is>
      </c>
      <c r="F770" t="inlineStr">
        <is>
          <t>production</t>
        </is>
      </c>
      <c r="G770" t="inlineStr">
        <is>
          <t xml:space="preserve">transformer, electrolysis, 1.1 MVA</t>
        </is>
      </c>
      <c r="I770" t="inlineStr">
        <is>
          <t xml:space="preserve">transformer, electrolysis, 1.1 MVA</t>
        </is>
      </c>
    </row>
    <row r="771">
      <c r="A771" t="inlineStr">
        <is>
          <t>market for steel, unalloyed</t>
        </is>
      </c>
      <c r="B771">
        <v>918.9004000000001</v>
      </c>
      <c r="C771" t="inlineStr">
        <is>
          <t>GLO</t>
        </is>
      </c>
      <c r="D771" t="inlineStr">
        <is>
          <t>kilogram</t>
        </is>
      </c>
      <c r="F771" t="inlineStr">
        <is>
          <t>technosphere</t>
        </is>
      </c>
      <c r="G771" t="inlineStr">
        <is>
          <t>steel, unalloyed</t>
        </is>
      </c>
      <c r="I771" t="inlineStr">
        <is>
          <t>steel, unalloyed</t>
        </is>
      </c>
    </row>
    <row r="772">
      <c r="A772" t="inlineStr">
        <is>
          <t>market for silicon, metallurgical grade</t>
        </is>
      </c>
      <c r="B772">
        <v>28.419600000000006</v>
      </c>
      <c r="C772" t="inlineStr">
        <is>
          <t>GLO</t>
        </is>
      </c>
      <c r="D772" t="inlineStr">
        <is>
          <t>kilogram</t>
        </is>
      </c>
      <c r="F772" t="inlineStr">
        <is>
          <t>technosphere</t>
        </is>
      </c>
      <c r="G772" t="inlineStr">
        <is>
          <t>silicon, metallurgical grade</t>
        </is>
      </c>
      <c r="I772" t="inlineStr">
        <is>
          <t>silicon, metallurgical grade</t>
        </is>
      </c>
    </row>
    <row r="773">
      <c r="A773" t="inlineStr">
        <is>
          <t>market for hot rolling, steel</t>
        </is>
      </c>
      <c r="B773">
        <v>947.3200000000002</v>
      </c>
      <c r="C773" t="inlineStr">
        <is>
          <t>GLO</t>
        </is>
      </c>
      <c r="D773" t="inlineStr">
        <is>
          <t>kilogram</t>
        </is>
      </c>
      <c r="F773" t="inlineStr">
        <is>
          <t>technosphere</t>
        </is>
      </c>
      <c r="G773" t="inlineStr">
        <is>
          <t>hot rolling, steel</t>
        </is>
      </c>
      <c r="I773" t="inlineStr">
        <is>
          <t>hot rolling, steel</t>
        </is>
      </c>
    </row>
    <row r="774">
      <c r="A774" t="inlineStr">
        <is>
          <t>sheet rolling, steel</t>
        </is>
      </c>
      <c r="B774">
        <v>1894.6400000000003</v>
      </c>
      <c r="C774" t="inlineStr">
        <is>
          <t>RER</t>
        </is>
      </c>
      <c r="D774" t="inlineStr">
        <is>
          <t>kilogram</t>
        </is>
      </c>
      <c r="F774" t="inlineStr">
        <is>
          <t>technosphere</t>
        </is>
      </c>
      <c r="G774" t="inlineStr">
        <is>
          <t>sheet rolling, steel</t>
        </is>
      </c>
      <c r="I774" t="inlineStr">
        <is>
          <t>sheet rolling, steel</t>
        </is>
      </c>
    </row>
    <row r="775">
      <c r="A775" t="inlineStr">
        <is>
          <t>market group for electricity, medium voltage</t>
        </is>
      </c>
      <c r="B775">
        <v>1042.0520000000001</v>
      </c>
      <c r="C775" t="inlineStr">
        <is>
          <t>GLO</t>
        </is>
      </c>
      <c r="D775" t="inlineStr">
        <is>
          <t>kilowatt hour</t>
        </is>
      </c>
      <c r="F775" t="inlineStr">
        <is>
          <t>technosphere</t>
        </is>
      </c>
      <c r="G775" t="inlineStr">
        <is>
          <t>electricity, medium voltage</t>
        </is>
      </c>
      <c r="I775" t="inlineStr">
        <is>
          <t>electricity, medium voltage</t>
        </is>
      </c>
    </row>
    <row r="776">
      <c r="A776" t="inlineStr">
        <is>
          <t>heat production, natural gas, at industrial furnace &gt;100kW</t>
        </is>
      </c>
      <c r="B776">
        <v>4357.6720000000005</v>
      </c>
      <c r="C776" t="inlineStr">
        <is>
          <t>Europe without Switzerland</t>
        </is>
      </c>
      <c r="D776" t="inlineStr">
        <is>
          <t>megajoule</t>
        </is>
      </c>
      <c r="F776" t="inlineStr">
        <is>
          <t>technosphere</t>
        </is>
      </c>
      <c r="G776" t="inlineStr">
        <is>
          <t>heat, district or industrial, natural gas</t>
        </is>
      </c>
      <c r="I776" t="inlineStr">
        <is>
          <t>heat, district or industrial, natural gas</t>
        </is>
      </c>
    </row>
    <row r="777">
      <c r="A777" t="inlineStr">
        <is>
          <t>market for lubricating oil</t>
        </is>
      </c>
      <c r="B777">
        <v>466.40000000000003</v>
      </c>
      <c r="C777" t="inlineStr">
        <is>
          <t>RER</t>
        </is>
      </c>
      <c r="D777" t="inlineStr">
        <is>
          <t>kilogram</t>
        </is>
      </c>
      <c r="F777" t="inlineStr">
        <is>
          <t>technosphere</t>
        </is>
      </c>
      <c r="G777" t="inlineStr">
        <is>
          <t>lubricating oil</t>
        </is>
      </c>
      <c r="I777" t="inlineStr">
        <is>
          <t>lubricating oil</t>
        </is>
      </c>
    </row>
    <row r="778">
      <c r="A778" t="inlineStr">
        <is>
          <t>market for aluminium, wrought alloy</t>
        </is>
      </c>
      <c r="B778">
        <v>271.92</v>
      </c>
      <c r="C778" t="inlineStr">
        <is>
          <t>GLO</t>
        </is>
      </c>
      <c r="D778" t="inlineStr">
        <is>
          <t>kilogram</t>
        </is>
      </c>
      <c r="F778" t="inlineStr">
        <is>
          <t>technosphere</t>
        </is>
      </c>
      <c r="G778" t="inlineStr">
        <is>
          <t>aluminium, wrought alloy</t>
        </is>
      </c>
      <c r="I778" t="inlineStr">
        <is>
          <t>aluminium, wrought alloy</t>
        </is>
      </c>
    </row>
    <row r="779">
      <c r="A779" t="inlineStr">
        <is>
          <t>sheet rolling, aluminium</t>
        </is>
      </c>
      <c r="B779">
        <v>271.92</v>
      </c>
      <c r="C779" t="inlineStr">
        <is>
          <t>RER</t>
        </is>
      </c>
      <c r="D779" t="inlineStr">
        <is>
          <t>kilogram</t>
        </is>
      </c>
      <c r="F779" t="inlineStr">
        <is>
          <t>technosphere</t>
        </is>
      </c>
      <c r="G779" t="inlineStr">
        <is>
          <t>sheet rolling, aluminium</t>
        </is>
      </c>
      <c r="I779" t="inlineStr">
        <is>
          <t>sheet rolling, aluminium</t>
        </is>
      </c>
    </row>
    <row r="780">
      <c r="A780" t="inlineStr">
        <is>
          <t>metal working, average for aluminium product manufacturing</t>
        </is>
      </c>
      <c r="B780">
        <v>271.92</v>
      </c>
      <c r="C780" t="inlineStr">
        <is>
          <t>RER</t>
        </is>
      </c>
      <c r="D780" t="inlineStr">
        <is>
          <t>kilogram</t>
        </is>
      </c>
      <c r="F780" t="inlineStr">
        <is>
          <t>technosphere</t>
        </is>
      </c>
      <c r="G780" t="inlineStr">
        <is>
          <t>metal working, average for aluminium product manufacturing</t>
        </is>
      </c>
      <c r="I780" t="inlineStr">
        <is>
          <t>metal working, average for aluminium product manufacturing</t>
        </is>
      </c>
    </row>
    <row r="781">
      <c r="A781" t="inlineStr">
        <is>
          <t>market for steel, low-alloyed</t>
        </is>
      </c>
      <c r="B781">
        <v>763.1888000000001</v>
      </c>
      <c r="C781" t="inlineStr">
        <is>
          <t>GLO</t>
        </is>
      </c>
      <c r="D781" t="inlineStr">
        <is>
          <t>kilogram</t>
        </is>
      </c>
      <c r="F781" t="inlineStr">
        <is>
          <t>technosphere</t>
        </is>
      </c>
      <c r="G781" t="inlineStr">
        <is>
          <t>steel, low-alloyed</t>
        </is>
      </c>
      <c r="I781" t="inlineStr">
        <is>
          <t>steel, low-alloyed</t>
        </is>
      </c>
    </row>
    <row r="782">
      <c r="A782" t="inlineStr">
        <is>
          <t>market for kraft paper</t>
        </is>
      </c>
      <c r="B782">
        <v>15.008400000000002</v>
      </c>
      <c r="C782" t="inlineStr">
        <is>
          <t>RER</t>
        </is>
      </c>
      <c r="D782" t="inlineStr">
        <is>
          <t>kilogram</t>
        </is>
      </c>
      <c r="F782" t="inlineStr">
        <is>
          <t>technosphere</t>
        </is>
      </c>
      <c r="G782" t="inlineStr">
        <is>
          <t>kraft paper</t>
        </is>
      </c>
      <c r="I782" t="inlineStr">
        <is>
          <t>kraft paper</t>
        </is>
      </c>
    </row>
    <row r="783">
      <c r="A783" t="inlineStr">
        <is>
          <t>market for fibreboard, hard</t>
        </is>
      </c>
      <c r="B783">
        <v>0.016262400000000003</v>
      </c>
      <c r="C783" t="inlineStr">
        <is>
          <t>RER</t>
        </is>
      </c>
      <c r="D783" t="inlineStr">
        <is>
          <t>cubic meter</t>
        </is>
      </c>
      <c r="F783" t="inlineStr">
        <is>
          <t>technosphere</t>
        </is>
      </c>
      <c r="G783" t="inlineStr">
        <is>
          <t>fibreboard, hard</t>
        </is>
      </c>
      <c r="I783" t="inlineStr">
        <is>
          <t>fibreboard, hard</t>
        </is>
      </c>
    </row>
    <row r="784">
      <c r="A784" t="inlineStr">
        <is>
          <t>market for epoxy resin, liquid</t>
        </is>
      </c>
      <c r="B784">
        <v>6.6000000000000005</v>
      </c>
      <c r="C784" t="inlineStr">
        <is>
          <t>RER</t>
        </is>
      </c>
      <c r="D784" t="inlineStr">
        <is>
          <t>kilogram</t>
        </is>
      </c>
      <c r="F784" t="inlineStr">
        <is>
          <t>technosphere</t>
        </is>
      </c>
      <c r="G784" t="inlineStr">
        <is>
          <t>epoxy resin, liquid</t>
        </is>
      </c>
      <c r="I784" t="inlineStr">
        <is>
          <t>epoxy resin, liquid</t>
        </is>
      </c>
    </row>
    <row r="785">
      <c r="A785" t="inlineStr">
        <is>
          <t>market for copper, cathode</t>
        </is>
      </c>
      <c r="B785">
        <v>0.9240000000000002</v>
      </c>
      <c r="C785" t="inlineStr">
        <is>
          <t>GLO</t>
        </is>
      </c>
      <c r="D785" t="inlineStr">
        <is>
          <t>kilogram</t>
        </is>
      </c>
      <c r="F785" t="inlineStr">
        <is>
          <t>technosphere</t>
        </is>
      </c>
      <c r="G785" t="inlineStr">
        <is>
          <t>copper, cathode</t>
        </is>
      </c>
      <c r="I785" t="inlineStr">
        <is>
          <t>copper, cathode</t>
        </is>
      </c>
    </row>
    <row r="786">
      <c r="A786" t="inlineStr">
        <is>
          <t>market for steel, chromium steel 18/8</t>
        </is>
      </c>
      <c r="B786">
        <v>1.1</v>
      </c>
      <c r="C786" t="inlineStr">
        <is>
          <t>GLO</t>
        </is>
      </c>
      <c r="D786" t="inlineStr">
        <is>
          <t>kilogram</t>
        </is>
      </c>
      <c r="F786" t="inlineStr">
        <is>
          <t>technosphere</t>
        </is>
      </c>
      <c r="G786" t="inlineStr">
        <is>
          <t>steel, chromium steel 18/8</t>
        </is>
      </c>
      <c r="I786" t="inlineStr">
        <is>
          <t>steel, chromium steel 18/8</t>
        </is>
      </c>
    </row>
    <row r="787">
      <c r="A787" t="inlineStr">
        <is>
          <t>market for synthetic rubber</t>
        </is>
      </c>
      <c r="B787">
        <v>0.08800000000000002</v>
      </c>
      <c r="C787" t="inlineStr">
        <is>
          <t>GLO</t>
        </is>
      </c>
      <c r="D787" t="inlineStr">
        <is>
          <t>kilogram</t>
        </is>
      </c>
      <c r="F787" t="inlineStr">
        <is>
          <t>technosphere</t>
        </is>
      </c>
      <c r="G787" t="inlineStr">
        <is>
          <t>synthetic rubber</t>
        </is>
      </c>
      <c r="I787" t="inlineStr">
        <is>
          <t>synthetic rubber</t>
        </is>
      </c>
    </row>
    <row r="788">
      <c r="A788" t="inlineStr">
        <is>
          <t>market for alkyd paint, white, without water, in 60% solution state</t>
        </is>
      </c>
      <c r="B788">
        <v>5.9884</v>
      </c>
      <c r="C788" t="inlineStr">
        <is>
          <t>RER</t>
        </is>
      </c>
      <c r="D788" t="inlineStr">
        <is>
          <t>kilogram</t>
        </is>
      </c>
      <c r="F788" t="inlineStr">
        <is>
          <t>technosphere</t>
        </is>
      </c>
      <c r="G788" t="inlineStr">
        <is>
          <t>alkyd paint, white, without water, in 60% solution state</t>
        </is>
      </c>
      <c r="I788" t="inlineStr">
        <is>
          <t>alkyd paint, white, without water, in 60% solution state</t>
        </is>
      </c>
    </row>
    <row r="791">
      <c r="A791" t="inlineStr">
        <is>
          <t>Activity</t>
        </is>
      </c>
      <c r="B791" t="inlineStr">
        <is>
          <t xml:space="preserve">power conversion system production, electrolysis, transformer and rectifier, 1 MW</t>
        </is>
      </c>
    </row>
    <row r="792">
      <c r="A792" t="inlineStr">
        <is>
          <t>location</t>
        </is>
      </c>
      <c r="B792" t="inlineStr">
        <is>
          <t>GLO</t>
        </is>
      </c>
    </row>
    <row r="793">
      <c r="A793" t="inlineStr">
        <is>
          <t>production amount</t>
        </is>
      </c>
      <c r="B793">
        <v>1</v>
      </c>
    </row>
    <row r="794">
      <c r="A794" t="inlineStr">
        <is>
          <t>reference product</t>
        </is>
      </c>
      <c r="B794" t="inlineStr">
        <is>
          <t xml:space="preserve">power conversion system, electrolysis, transformer and rectifier, 1 MW</t>
        </is>
      </c>
    </row>
    <row r="795">
      <c r="A795" t="inlineStr">
        <is>
          <t>unit</t>
        </is>
      </c>
      <c r="B795" t="inlineStr">
        <is>
          <t>unit</t>
        </is>
      </c>
    </row>
    <row r="796">
      <c r="A796" t="inlineStr">
        <is>
          <t>source</t>
        </is>
      </c>
      <c r="B796" t="inlineStr">
        <is>
          <t>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t>
        </is>
      </c>
    </row>
    <row r="797">
      <c r="A797" t="inlineStr">
        <is>
          <t>comment</t>
        </is>
      </c>
      <c r="B797" t="inlineStr">
        <is>
          <t xml:space="preserve">Nomenclature revision, 2026-10-19. Former activity name: electrolyzer power conversion, 1MW, transformer and rectifier engineering reference. Former reference product: electrolyzer power conversion, 1MW, transformer and rectifier engineering reference. Activity/product labels and supplier references only; coefficients, formulas, uncertainty, declared output and unit are unchanged. Original engineering assumptions, functional-unit basis and limitations remain below.
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t>
        </is>
      </c>
    </row>
    <row r="798">
      <c r="A798" t="inlineStr">
        <is>
          <t>Exchanges</t>
        </is>
      </c>
    </row>
    <row r="799">
      <c r="A799" t="inlineStr">
        <is>
          <t>name</t>
        </is>
      </c>
      <c r="B799" t="inlineStr">
        <is>
          <t>amount</t>
        </is>
      </c>
      <c r="C799" t="inlineStr">
        <is>
          <t>location</t>
        </is>
      </c>
      <c r="D799" t="inlineStr">
        <is>
          <t>unit</t>
        </is>
      </c>
      <c r="E799" t="inlineStr">
        <is>
          <t>categories</t>
        </is>
      </c>
      <c r="F799" t="inlineStr">
        <is>
          <t>type</t>
        </is>
      </c>
      <c r="G799" t="inlineStr">
        <is>
          <t>reference product</t>
        </is>
      </c>
      <c r="H799" t="inlineStr">
        <is>
          <t>comment</t>
        </is>
      </c>
      <c r="I799" t="inlineStr">
        <is>
          <t>product</t>
        </is>
      </c>
    </row>
    <row r="800">
      <c r="A800" t="inlineStr">
        <is>
          <t xml:space="preserve">power conversion system production, electrolysis, transformer and rectifier, 1 MW</t>
        </is>
      </c>
      <c r="B800">
        <v>1</v>
      </c>
      <c r="C800" t="inlineStr">
        <is>
          <t>GLO</t>
        </is>
      </c>
      <c r="D800" t="inlineStr">
        <is>
          <t>unit</t>
        </is>
      </c>
      <c r="F800" t="inlineStr">
        <is>
          <t>production</t>
        </is>
      </c>
      <c r="G800" t="inlineStr">
        <is>
          <t xml:space="preserve">power conversion system, electrolysis, transformer and rectifier, 1 MW</t>
        </is>
      </c>
      <c r="I800" t="inlineStr">
        <is>
          <t xml:space="preserve">power conversion system, electrolysis, transformer and rectifier, 1 MW</t>
        </is>
      </c>
    </row>
    <row r="801">
      <c r="A801" t="inlineStr">
        <is>
          <t xml:space="preserve">converter production, industrial, AC-DC, 1 MW</t>
        </is>
      </c>
      <c r="B801">
        <v>1</v>
      </c>
      <c r="C801" t="inlineStr">
        <is>
          <t>GLO</t>
        </is>
      </c>
      <c r="D801" t="inlineStr">
        <is>
          <t>unit</t>
        </is>
      </c>
      <c r="F801" t="inlineStr">
        <is>
          <t>technosphere</t>
        </is>
      </c>
      <c r="G801" t="inlineStr">
        <is>
          <t xml:space="preserve">converter, industrial, AC-DC, 1 MW</t>
        </is>
      </c>
      <c r="I801" t="inlineStr">
        <is>
          <t xml:space="preserve">converter, industrial, AC-DC, 1 MW</t>
        </is>
      </c>
    </row>
    <row r="802">
      <c r="A802" t="inlineStr">
        <is>
          <t xml:space="preserve">transformer production, electrolysis, 1.1 MVA</t>
        </is>
      </c>
      <c r="B802">
        <v>1</v>
      </c>
      <c r="C802" t="inlineStr">
        <is>
          <t>GLO</t>
        </is>
      </c>
      <c r="D802" t="inlineStr">
        <is>
          <t>unit</t>
        </is>
      </c>
      <c r="F802" t="inlineStr">
        <is>
          <t>technosphere</t>
        </is>
      </c>
      <c r="G802" t="inlineStr">
        <is>
          <t xml:space="preserve">transformer, electrolysis, 1.1 MVA</t>
        </is>
      </c>
      <c r="I802" t="inlineStr">
        <is>
          <t xml:space="preserve">transformer, electrolysis, 1.1 MVA</t>
        </is>
      </c>
    </row>
    <row r="805">
      <c r="A805" t="inlineStr">
        <is>
          <t>Activity</t>
        </is>
      </c>
      <c r="B805" t="inlineStr">
        <is>
          <t xml:space="preserve">treatment of used power conversion system, electrolysis, 1 MW</t>
        </is>
      </c>
    </row>
    <row r="806">
      <c r="A806" t="inlineStr">
        <is>
          <t>location</t>
        </is>
      </c>
      <c r="B806" t="inlineStr">
        <is>
          <t>GLO</t>
        </is>
      </c>
    </row>
    <row r="807">
      <c r="A807" t="inlineStr">
        <is>
          <t>production amount</t>
        </is>
      </c>
      <c r="B807">
        <v>1</v>
      </c>
    </row>
    <row r="808">
      <c r="A808" t="inlineStr">
        <is>
          <t>reference product</t>
        </is>
      </c>
      <c r="B808" t="inlineStr">
        <is>
          <t xml:space="preserve">used power conversion system, electrolysis, 1 MW</t>
        </is>
      </c>
    </row>
    <row r="809">
      <c r="A809" t="inlineStr">
        <is>
          <t>unit</t>
        </is>
      </c>
      <c r="B809" t="inlineStr">
        <is>
          <t>unit</t>
        </is>
      </c>
    </row>
    <row r="810">
      <c r="A810" t="inlineStr">
        <is>
          <t>source</t>
        </is>
      </c>
      <c r="B810" t="inlineStr">
        <is>
          <t>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t>
        </is>
      </c>
    </row>
    <row r="811">
      <c r="A811" t="inlineStr">
        <is>
          <t>comment</t>
        </is>
      </c>
      <c r="B811" t="inlineStr">
        <is>
          <t xml:space="preserve">Nomenclature revision, 2026-10-19. Former activity name: treatment of electrolyzer power conversion, 1MW, engineering reference. Former reference product: treatment of electrolyzer power conversion, 1MW, engineering reference. Activity/product labels and supplier references only; coefficients, formulas, uncertainty, declared output and unit are unchanged. Original engineering assumptions, functional-unit basis and limitations remain below.
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t>
        </is>
      </c>
    </row>
    <row r="812">
      <c r="A812" t="inlineStr">
        <is>
          <t>Exchanges</t>
        </is>
      </c>
    </row>
    <row r="813">
      <c r="A813" t="inlineStr">
        <is>
          <t>name</t>
        </is>
      </c>
      <c r="B813" t="inlineStr">
        <is>
          <t>amount</t>
        </is>
      </c>
      <c r="C813" t="inlineStr">
        <is>
          <t>location</t>
        </is>
      </c>
      <c r="D813" t="inlineStr">
        <is>
          <t>unit</t>
        </is>
      </c>
      <c r="E813" t="inlineStr">
        <is>
          <t>categories</t>
        </is>
      </c>
      <c r="F813" t="inlineStr">
        <is>
          <t>type</t>
        </is>
      </c>
      <c r="G813" t="inlineStr">
        <is>
          <t>reference product</t>
        </is>
      </c>
      <c r="H813" t="inlineStr">
        <is>
          <t>comment</t>
        </is>
      </c>
      <c r="I813" t="inlineStr">
        <is>
          <t>product</t>
        </is>
      </c>
    </row>
    <row r="814">
      <c r="A814" t="inlineStr">
        <is>
          <t xml:space="preserve">treatment of used power conversion system, electrolysis, 1 MW</t>
        </is>
      </c>
      <c r="B814">
        <v>-1</v>
      </c>
      <c r="C814" t="inlineStr">
        <is>
          <t>GLO</t>
        </is>
      </c>
      <c r="D814" t="inlineStr">
        <is>
          <t>unit</t>
        </is>
      </c>
      <c r="F814" t="inlineStr">
        <is>
          <t>production</t>
        </is>
      </c>
      <c r="G814" t="inlineStr">
        <is>
          <t xml:space="preserve">used power conversion system, electrolysis, 1 MW</t>
        </is>
      </c>
      <c r="I814" t="inlineStr">
        <is>
          <t xml:space="preserve">used power conversion system, electrolysis, 1 MW</t>
        </is>
      </c>
    </row>
    <row r="815">
      <c r="A815" t="inlineStr">
        <is>
          <t>market for scrap steel</t>
        </is>
      </c>
      <c r="B815">
        <v>-1764.916810981288</v>
      </c>
      <c r="C815" t="inlineStr">
        <is>
          <t>Europe without Switzerland</t>
        </is>
      </c>
      <c r="D815" t="inlineStr">
        <is>
          <t>kilogram</t>
        </is>
      </c>
      <c r="F815" t="inlineStr">
        <is>
          <t>technosphere</t>
        </is>
      </c>
      <c r="G815" t="inlineStr">
        <is>
          <t>scrap steel</t>
        </is>
      </c>
      <c r="I815" t="inlineStr">
        <is>
          <t>scrap steel</t>
        </is>
      </c>
    </row>
    <row r="816">
      <c r="A816" t="inlineStr">
        <is>
          <t>market for scrap aluminium</t>
        </is>
      </c>
      <c r="B816">
        <v>-314.7249456206624</v>
      </c>
      <c r="C816" t="inlineStr">
        <is>
          <t>Europe without Switzerland</t>
        </is>
      </c>
      <c r="D816" t="inlineStr">
        <is>
          <t>kilogram</t>
        </is>
      </c>
      <c r="F816" t="inlineStr">
        <is>
          <t>technosphere</t>
        </is>
      </c>
      <c r="G816" t="inlineStr">
        <is>
          <t>scrap aluminium</t>
        </is>
      </c>
      <c r="I816" t="inlineStr">
        <is>
          <t>scrap aluminium</t>
        </is>
      </c>
    </row>
    <row r="817">
      <c r="A817" t="inlineStr">
        <is>
          <t>market for scrap copper</t>
        </is>
      </c>
      <c r="B817">
        <v>-40.756379952560835</v>
      </c>
      <c r="C817" t="inlineStr">
        <is>
          <t>Europe without Switzerland</t>
        </is>
      </c>
      <c r="D817" t="inlineStr">
        <is>
          <t>kilogram</t>
        </is>
      </c>
      <c r="F817" t="inlineStr">
        <is>
          <t>technosphere</t>
        </is>
      </c>
      <c r="G817" t="inlineStr">
        <is>
          <t>scrap copper</t>
        </is>
      </c>
      <c r="I817" t="inlineStr">
        <is>
          <t>scrap copper</t>
        </is>
      </c>
    </row>
    <row r="818">
      <c r="A818" t="inlineStr">
        <is>
          <t>treatment of scrap printed wiring boards, shredding and separation</t>
        </is>
      </c>
      <c r="B818">
        <v>-8</v>
      </c>
      <c r="C818" t="inlineStr">
        <is>
          <t>RoW</t>
        </is>
      </c>
      <c r="D818" t="inlineStr">
        <is>
          <t>kilogram</t>
        </is>
      </c>
      <c r="F818" t="inlineStr">
        <is>
          <t>technosphere</t>
        </is>
      </c>
      <c r="G818" t="inlineStr">
        <is>
          <t>used printed wiring boards</t>
        </is>
      </c>
      <c r="I818" t="inlineStr">
        <is>
          <t>used printed wiring boards</t>
        </is>
      </c>
    </row>
    <row r="819">
      <c r="A819" t="inlineStr">
        <is>
          <t>market for waste electric and electronic equipment</t>
        </is>
      </c>
      <c r="B819">
        <v>-43.054663445488906</v>
      </c>
      <c r="C819" t="inlineStr">
        <is>
          <t>GLO</t>
        </is>
      </c>
      <c r="D819" t="inlineStr">
        <is>
          <t>kilogram</t>
        </is>
      </c>
      <c r="F819" t="inlineStr">
        <is>
          <t>technosphere</t>
        </is>
      </c>
      <c r="G819" t="inlineStr">
        <is>
          <t>waste electric and electronic equipment</t>
        </is>
      </c>
      <c r="I819" t="inlineStr">
        <is>
          <t>waste electric and electronic equipment</t>
        </is>
      </c>
    </row>
    <row r="820">
      <c r="A820" t="inlineStr">
        <is>
          <t>market for waste mineral oil</t>
        </is>
      </c>
      <c r="B820">
        <v>-466.40000000000003</v>
      </c>
      <c r="C820" t="inlineStr">
        <is>
          <t>RoW</t>
        </is>
      </c>
      <c r="D820" t="inlineStr">
        <is>
          <t>kilogram</t>
        </is>
      </c>
      <c r="F820" t="inlineStr">
        <is>
          <t>technosphere</t>
        </is>
      </c>
      <c r="G820" t="inlineStr">
        <is>
          <t>waste mineral oil</t>
        </is>
      </c>
      <c r="I820" t="inlineStr">
        <is>
          <t>waste mineral oil</t>
        </is>
      </c>
    </row>
    <row r="821">
      <c r="A821" t="inlineStr">
        <is>
          <t>market for waste paperboard</t>
        </is>
      </c>
      <c r="B821">
        <v>-31.2708</v>
      </c>
      <c r="C821" t="inlineStr">
        <is>
          <t>RoW</t>
        </is>
      </c>
      <c r="D821" t="inlineStr">
        <is>
          <t>kilogram</t>
        </is>
      </c>
      <c r="F821" t="inlineStr">
        <is>
          <t>technosphere</t>
        </is>
      </c>
      <c r="G821" t="inlineStr">
        <is>
          <t>waste paperboard</t>
        </is>
      </c>
      <c r="I821" t="inlineStr">
        <is>
          <t>waste paperboard</t>
        </is>
      </c>
    </row>
    <row r="822">
      <c r="A822" t="inlineStr">
        <is>
          <t>market for waste plastic, mixture</t>
        </is>
      </c>
      <c r="B822">
        <v>-6.6000000000000005</v>
      </c>
      <c r="C822" t="inlineStr">
        <is>
          <t>RoW</t>
        </is>
      </c>
      <c r="D822" t="inlineStr">
        <is>
          <t>kilogram</t>
        </is>
      </c>
      <c r="F822" t="inlineStr">
        <is>
          <t>technosphere</t>
        </is>
      </c>
      <c r="G822" t="inlineStr">
        <is>
          <t>waste plastic, mixture</t>
        </is>
      </c>
      <c r="I822" t="inlineStr">
        <is>
          <t>waste plastic, mixture</t>
        </is>
      </c>
    </row>
    <row r="823">
      <c r="A823" t="inlineStr">
        <is>
          <t>market for waste rubber, unspecified</t>
        </is>
      </c>
      <c r="B823">
        <v>-0.08800000000000002</v>
      </c>
      <c r="C823" t="inlineStr">
        <is>
          <t>RoW</t>
        </is>
      </c>
      <c r="D823" t="inlineStr">
        <is>
          <t>kilogram</t>
        </is>
      </c>
      <c r="F823" t="inlineStr">
        <is>
          <t>technosphere</t>
        </is>
      </c>
      <c r="G823" t="inlineStr">
        <is>
          <t>waste rubber, unspecified</t>
        </is>
      </c>
      <c r="I823" t="inlineStr">
        <is>
          <t>waste rubber, unspecified</t>
        </is>
      </c>
    </row>
    <row r="824">
      <c r="A824" t="inlineStr">
        <is>
          <t>treatment of waste paint on metal, collection for final disposal</t>
        </is>
      </c>
      <c r="B824">
        <v>-5.9884</v>
      </c>
      <c r="C824" t="inlineStr">
        <is>
          <t>CH</t>
        </is>
      </c>
      <c r="D824" t="inlineStr">
        <is>
          <t>kilogram</t>
        </is>
      </c>
      <c r="F824" t="inlineStr">
        <is>
          <t>technosphere</t>
        </is>
      </c>
      <c r="G824" t="inlineStr">
        <is>
          <t>waste paint on metal</t>
        </is>
      </c>
      <c r="I824" t="inlineStr">
        <is>
          <t>waste paint on metal</t>
        </is>
      </c>
    </row>
    <row r="827">
      <c r="A827" t="inlineStr">
        <is>
          <t>Activity</t>
        </is>
      </c>
      <c r="B827" t="inlineStr">
        <is>
          <t xml:space="preserve">contact ceramic production, lanthanum strontium manganite, La0.8Sr0.2MnO3</t>
        </is>
      </c>
    </row>
    <row r="828">
      <c r="A828" t="inlineStr">
        <is>
          <t>location</t>
        </is>
      </c>
      <c r="B828" t="inlineStr">
        <is>
          <t>GLO</t>
        </is>
      </c>
    </row>
    <row r="829">
      <c r="A829" t="inlineStr">
        <is>
          <t>production amount</t>
        </is>
      </c>
      <c r="B829">
        <v>1</v>
      </c>
    </row>
    <row r="830">
      <c r="A830" t="inlineStr">
        <is>
          <t>reference product</t>
        </is>
      </c>
      <c r="B830" t="inlineStr">
        <is>
          <t xml:space="preserve">contact ceramic, lanthanum strontium manganite, La0.8Sr0.2MnO3</t>
        </is>
      </c>
    </row>
    <row r="831">
      <c r="A831" t="inlineStr">
        <is>
          <t>unit</t>
        </is>
      </c>
      <c r="B831" t="inlineStr">
        <is>
          <t>kilogram</t>
        </is>
      </c>
    </row>
    <row r="832">
      <c r="A832" t="inlineStr">
        <is>
          <t>source</t>
        </is>
      </c>
      <c r="B832" t="inlineStr">
        <is>
          <t>Gerloff2021 DOI10.1016/j.est.2021.102759 Sec2.2.3, Hafele2016 DOI10.1016/j.ijhydene.2016.05.069 SI FigS1 identifies LSM coating on interconnects, not electrolyte. Wei et al.2024 DOI10.1039/D3EE03875K indexed SI TableS17 reports2.1kg finishedLSM perMW; full SI retrieval currently404. Original Gerloff PtM SI DOI10.1021/acssuschemeng.1c02002 pS16 defers La/Sr quantities to a separate material-generation sheet. Stoichiometry below is independently balanced, not copied from the deficient indexed S18 synthesis.</t>
        </is>
      </c>
    </row>
    <row r="833">
      <c r="A833" t="inlineStr">
        <is>
          <t>comment</t>
        </is>
      </c>
      <c r="B833" t="inlineStr">
        <is>
          <t xml:space="preserve">Nomenclature revision, 2026-10-19. Former activity name: LSM contact ceramic, La0.8Sr0.2MnO3, balanced reference. Former reference product: LSM contact ceramic, La0.8Sr0.2MnO3, balanced reference. Activity/product labels and supplier references only; coefficients, formulas, uncertainty, declared output and unit are unchanged. Original engineering assumptions, functional-unit basis and limitations remain below.
APPROVED COMPLETE SOEC LSM REFERENCE, issue94, 2026-10-18. Gerloff2021 DOI10.1016/j.est.2021.102759 Sec2.2.3, Hafele2016 DOI10.1016/j.ijhydene.2016.05.069 SI FigS1 identifies LSM coating on interconnects, not electrolyte. Wei et al.2024 DOI10.1039/D3EE03875K indexed SI TableS17 reports2.1kg finishedLSM perMW; full SI retrieval currently404. Original Gerloff PtM SI DOI10.1021/acssuschemeng.1c02002 pS16 defers La/Sr quantities to a separate material-generation sheet. Stoichiometry below is independently balanced, not copied from the deficient indexed S18 synthesis. Replace uncertain21kgLa2O3+21kgSrCO3 placeholders (both formerly to-check) by2.1kgfinishedLa0.8Sr0.2MnO3 perexistingMWstack. This is an explicit published-reference adoption, NOT recovered manufacturer BOM or proof that originalGerloff21kg meant2.1kg. Source-dose sensitivity2.1-21kgfinishedLSM required; old42kgrawsalts is not a chemically defined alternative. La0.8Sr0.2MnO3 is selected nominal oxygen-stoichiometric LSM; actual Sr doping/oxygen nonstoichiometry/contact-layer loading remain gaps. Net reaction0.4La2O3+0.2SrCO3+MnO2 -&gt;La0.8Sr0.2MnO3+0.2CO2+0.2O2. Use95% finished-solid retention,100% conversion before5%handlingreject; yields90-100%sensitivity. Perkgfinished feeds={'La2O3': 0.5923666319735489, 'SrCO3': 0.13420468074687047, 'MnO2': 0.3951562044603966};CO2=0.040007409129630044kg,O2=0.02908852910381745kg,reject=0.05263157894736836kg.6MJ/kgheat+1kWh/kgmilling/sintering is an engineering allowance,not measured industrial calcination (3-12MJ and0.5-2kWhsensitivity). All stoichiometric C/La/Sr/Mn/O and mass close. No nitric-acid/chloroacetic-acid/ammonia route or unsupported metal-free binder is silently copied. Keep totalfinished2.1kg distinct from grossprecursorfeed. Newsolidwaste andfinishedceramic EOL use genericinertdisposal,not validated heavy-metal-specific treatment/recovery. Existing Pr/Ni air-electrode,YSZ/YDCfutureco-scaling,glassseal,steelmass,lifetimes andoperatingH2energy unchanged. No primary/secondary-share or runtime changes.</t>
        </is>
      </c>
    </row>
    <row r="834">
      <c r="A834" t="inlineStr">
        <is>
          <t>Exchanges</t>
        </is>
      </c>
    </row>
    <row r="835">
      <c r="A835" t="inlineStr">
        <is>
          <t>name</t>
        </is>
      </c>
      <c r="B835" t="inlineStr">
        <is>
          <t>amount</t>
        </is>
      </c>
      <c r="C835" t="inlineStr">
        <is>
          <t>location</t>
        </is>
      </c>
      <c r="D835" t="inlineStr">
        <is>
          <t>unit</t>
        </is>
      </c>
      <c r="E835" t="inlineStr">
        <is>
          <t>categories</t>
        </is>
      </c>
      <c r="F835" t="inlineStr">
        <is>
          <t>type</t>
        </is>
      </c>
      <c r="G835" t="inlineStr">
        <is>
          <t>reference product</t>
        </is>
      </c>
      <c r="H835" t="inlineStr">
        <is>
          <t>comment</t>
        </is>
      </c>
      <c r="I835" t="inlineStr">
        <is>
          <t>product</t>
        </is>
      </c>
    </row>
    <row r="836">
      <c r="A836" t="inlineStr">
        <is>
          <t xml:space="preserve">contact ceramic production, lanthanum strontium manganite, La0.8Sr0.2MnO3</t>
        </is>
      </c>
      <c r="B836">
        <v>1</v>
      </c>
      <c r="C836" t="inlineStr">
        <is>
          <t>GLO</t>
        </is>
      </c>
      <c r="D836" t="inlineStr">
        <is>
          <t>kilogram</t>
        </is>
      </c>
      <c r="F836" t="inlineStr">
        <is>
          <t>production</t>
        </is>
      </c>
      <c r="G836" t="inlineStr">
        <is>
          <t xml:space="preserve">contact ceramic, lanthanum strontium manganite, La0.8Sr0.2MnO3</t>
        </is>
      </c>
      <c r="I836" t="inlineStr">
        <is>
          <t xml:space="preserve">contact ceramic, lanthanum strontium manganite, La0.8Sr0.2MnO3</t>
        </is>
      </c>
    </row>
    <row r="837">
      <c r="A837" t="inlineStr">
        <is>
          <t>market for lanthanum oxide</t>
        </is>
      </c>
      <c r="B837">
        <v>0.5923666319735489</v>
      </c>
      <c r="C837" t="inlineStr">
        <is>
          <t>GLO</t>
        </is>
      </c>
      <c r="D837" t="inlineStr">
        <is>
          <t>kilogram</t>
        </is>
      </c>
      <c r="F837" t="inlineStr">
        <is>
          <t>technosphere</t>
        </is>
      </c>
      <c r="G837" t="inlineStr">
        <is>
          <t>lanthanum oxide</t>
        </is>
      </c>
      <c r="I837" t="inlineStr">
        <is>
          <t>lanthanum oxide</t>
        </is>
      </c>
    </row>
    <row r="838">
      <c r="A838" t="inlineStr">
        <is>
          <t>market for strontium carbonate</t>
        </is>
      </c>
      <c r="B838">
        <v>0.13420468074687047</v>
      </c>
      <c r="C838" t="inlineStr">
        <is>
          <t>GLO</t>
        </is>
      </c>
      <c r="D838" t="inlineStr">
        <is>
          <t>kilogram</t>
        </is>
      </c>
      <c r="F838" t="inlineStr">
        <is>
          <t>technosphere</t>
        </is>
      </c>
      <c r="G838" t="inlineStr">
        <is>
          <t>strontium carbonate</t>
        </is>
      </c>
      <c r="I838" t="inlineStr">
        <is>
          <t>strontium carbonate</t>
        </is>
      </c>
    </row>
    <row r="839">
      <c r="A839" t="inlineStr">
        <is>
          <t>market for manganese dioxide</t>
        </is>
      </c>
      <c r="B839">
        <v>0.3951562044603966</v>
      </c>
      <c r="C839" t="inlineStr">
        <is>
          <t>GLO</t>
        </is>
      </c>
      <c r="D839" t="inlineStr">
        <is>
          <t>kilogram</t>
        </is>
      </c>
      <c r="F839" t="inlineStr">
        <is>
          <t>technosphere</t>
        </is>
      </c>
      <c r="G839" t="inlineStr">
        <is>
          <t>manganese dioxide</t>
        </is>
      </c>
      <c r="I839" t="inlineStr">
        <is>
          <t>manganese dioxide</t>
        </is>
      </c>
    </row>
    <row r="840">
      <c r="A840" t="inlineStr">
        <is>
          <t>market for heat, district or industrial, natural gas</t>
        </is>
      </c>
      <c r="B840">
        <v>6</v>
      </c>
      <c r="C840" t="inlineStr">
        <is>
          <t>RoW</t>
        </is>
      </c>
      <c r="D840" t="inlineStr">
        <is>
          <t>megajoule</t>
        </is>
      </c>
      <c r="F840" t="inlineStr">
        <is>
          <t>technosphere</t>
        </is>
      </c>
      <c r="G840" t="inlineStr">
        <is>
          <t>heat, district or industrial, natural gas</t>
        </is>
      </c>
      <c r="I840" t="inlineStr">
        <is>
          <t>heat, district or industrial, natural gas</t>
        </is>
      </c>
    </row>
    <row r="841">
      <c r="A841" t="inlineStr">
        <is>
          <t>market group for electricity, medium voltage</t>
        </is>
      </c>
      <c r="B841">
        <v>1</v>
      </c>
      <c r="C841" t="inlineStr">
        <is>
          <t>GLO</t>
        </is>
      </c>
      <c r="D841" t="inlineStr">
        <is>
          <t>kilowatt hour</t>
        </is>
      </c>
      <c r="F841" t="inlineStr">
        <is>
          <t>technosphere</t>
        </is>
      </c>
      <c r="G841" t="inlineStr">
        <is>
          <t>electricity, medium voltage</t>
        </is>
      </c>
      <c r="I841" t="inlineStr">
        <is>
          <t>electricity, medium voltage</t>
        </is>
      </c>
    </row>
    <row r="842">
      <c r="A842" t="inlineStr">
        <is>
          <t>market for inert waste, for final disposal</t>
        </is>
      </c>
      <c r="B842">
        <v>-0.05263157894736836</v>
      </c>
      <c r="C842" t="inlineStr">
        <is>
          <t>RoW</t>
        </is>
      </c>
      <c r="D842" t="inlineStr">
        <is>
          <t>kilogram</t>
        </is>
      </c>
      <c r="F842" t="inlineStr">
        <is>
          <t>technosphere</t>
        </is>
      </c>
      <c r="G842" t="inlineStr">
        <is>
          <t>inert waste, for final disposal</t>
        </is>
      </c>
      <c r="I842" t="inlineStr">
        <is>
          <t>inert waste, for final disposal</t>
        </is>
      </c>
    </row>
    <row r="843">
      <c r="A843" t="inlineStr">
        <is>
          <t>Carbon dioxide, fossil</t>
        </is>
      </c>
      <c r="B843">
        <v>0.040007409129630044</v>
      </c>
      <c r="D843" t="inlineStr">
        <is>
          <t>kilogram</t>
        </is>
      </c>
      <c r="E843" t="inlineStr">
        <is>
          <t>air::non-urban air or from high stacks</t>
        </is>
      </c>
      <c r="F843" t="inlineStr">
        <is>
          <t>biosphere</t>
        </is>
      </c>
      <c r="H843" t="inlineStr">
        <is>
          <t/>
        </is>
      </c>
    </row>
    <row r="844">
      <c r="A844" t="inlineStr">
        <is>
          <t>Oxygen</t>
        </is>
      </c>
      <c r="B844">
        <v>0.02908852910381745</v>
      </c>
      <c r="D844" t="inlineStr">
        <is>
          <t>kilogram</t>
        </is>
      </c>
      <c r="E844" t="inlineStr">
        <is>
          <t>air</t>
        </is>
      </c>
      <c r="F844" t="inlineStr">
        <is>
          <t>biosphere</t>
        </is>
      </c>
      <c r="H844" t="inlineStr">
        <is>
          <t/>
        </is>
      </c>
    </row>
    <row r="847">
      <c r="A847" t="inlineStr">
        <is>
          <t>Activity</t>
        </is>
      </c>
      <c r="B847" t="inlineStr">
        <is>
          <t xml:space="preserve">lanthanum metal production, oxide electrolysis</t>
        </is>
      </c>
    </row>
    <row r="848">
      <c r="A848" t="inlineStr">
        <is>
          <t>location</t>
        </is>
      </c>
      <c r="B848" t="inlineStr">
        <is>
          <t>GLO</t>
        </is>
      </c>
    </row>
    <row r="849">
      <c r="A849" t="inlineStr">
        <is>
          <t>production amount</t>
        </is>
      </c>
      <c r="B849">
        <v>1</v>
      </c>
    </row>
    <row r="850">
      <c r="A850" t="inlineStr">
        <is>
          <t>reference product</t>
        </is>
      </c>
      <c r="B850" t="inlineStr">
        <is>
          <t xml:space="preserve">lanthanum metal, oxide electrolysis</t>
        </is>
      </c>
    </row>
    <row r="851">
      <c r="A851" t="inlineStr">
        <is>
          <t>unit</t>
        </is>
      </c>
      <c r="B851" t="inlineStr">
        <is>
          <t>kilogram</t>
        </is>
      </c>
    </row>
    <row r="852">
      <c r="A852" t="inlineStr">
        <is>
          <t>source</t>
        </is>
      </c>
      <c r="B852" t="inlineStr">
        <is>
          <t>Hafele2016 DOI10.1016/j.ijhydene.2016.05.069 SI FigS1:chromiumsteelplate-&gt;deepdrawing+LSMcoating-&gt;interconnect; main stackdescription2outer3kg and4inner145g plates. Gerloff2021 PtM SI pS16 retains8976.1kg18/8steel but labels air-electrode. VDM Crofer22APU datasheet4146rev01 March2022 Table2 andApplications p5 explicitly SOEC interconnects/bipolarplates:Cr20-24wt%,Mn0.30-0.80,Ti0.03-0.20,La0.04-0.20,Fe balance. https://www.vdm-metals.com/fileadmin/user_upload/Downloads/Data_Sheets/Data_Sheet_VDM_Crofer_22_APU.pdf .</t>
        </is>
      </c>
    </row>
    <row r="853">
      <c r="A853" t="inlineStr">
        <is>
          <t>comment</t>
        </is>
      </c>
      <c r="B853" t="inlineStr">
        <is>
          <t xml:space="preserve">Nomenclature revision, 2026-10-19. Former activity name: lanthanum alloying metal, oxide-electrolysis net reference. Former reference product: lanthanum alloying metal, oxide-electrolysis net reference. Activity/product labels and supplier references only; coefficients, formulas, uncertainty, declared output and unit are unchanged. Original engineering assumptions, functional-unit basis and limitations remain below.
APPROVED SOEC FERRITIC INTERCONNECT REFERENCE, issue95, 2026-10-18. Hafele2016 DOI10.1016/j.ijhydene.2016.05.069 SI FigS1:chromiumsteelplate-&gt;deepdrawing+LSMcoating-&gt;interconnect; main stackdescription2outer3kg and4inner145g plates. Gerloff2021 PtM SI pS16 retains8976.1kg18/8steel but labels air-electrode. VDM Crofer22APU datasheet4146rev01 March2022 Table2 andApplications p5 explicitly SOEC interconnects/bipolarplates:Cr20-24wt%,Mn0.30-0.80,Ti0.03-0.20,La0.04-0.20,Fe balance. https://www.vdm-metals.com/fileadmin/user_upload/Downloads/Data_Sheets/Data_Sheet_VDM_Crofer_22_APU.pdf . Sourceflow8976.1kg is treated as the interconnectplate package based on originalmanufacturingdiagram,not9tair-electrodecatalyst. AdoptCrofer22APU-type reference for THIS stackinput only; do not replace ordinaryBoP18/8heat exchangers. Preserve8976.1kgfinishedsteel and8976.1kgexistingrollingservice; mass derives labstackscaleup and is NOT independently validated industrialMWgeometry. Preserve priorLSM,PrNi,ceramics,stackreplacement andlearning. Reference alloy massfractions={'Cr': 0.22, 'Mn': 0.005, 'Ti': 0.001, 'La': 0.001, 'Si': 0.001, 'Al': 0.0005, 'Cu': 0.0005, 'C': 0.0001, 'P': 5e-05, 'S': 5e-05, 'Fe': 0.7708}. Midrange/lowresidual choices are explicit assumptions within publishedranges,not measured heat assay. No intentionalNi addition; unknownresidualNi/othertraceimpurities are NOT provenzero. ActualoldNi8% cannot be claimed quantitatively without suppliercomposition; compareold18/8 as sensitivity. Cr20-24,Mn0.3-0.8,La0.04-0.20wt% sensitivities. Fe usesunalloyedsteel as feed-gradeproxy,withitsownminoralloys unresolved; completecomponentmetaluse is not identical toelementalpureFe. Addalloyingmaterialsonce and0.5kWh+2MJ/kgremeltingreference (0.25-1kWh/1-4MJsensitivity),not a completeCrsteel production dataset on top. Matchfinishedsteelmass1kgwith100%finalalloyretention; alloyingyield/slag andtracepickup remain gaps. La metal unavailable: explicit netoxide/carbon electrolyticreference La2O3+1.5C-&gt;2La+1.5CO2,95%metalretention,10kWh/kg+3MJ/kgassumed; fluoridebathmakeup,PFCemissions,purification andcalcium-route alternatives unresolved. Thisisstoichiometricnetelectrolysis,NOTthermal carbothermic reduction orvalidatedvendorLa process. Metalrejectgenericinertdisposal; La/C/O/massclose. FinishedinterconnectEOLexistingsteelcollection amount retained; genericsteelroute doesnotvalidatealloy-specificrecycling orrecoverycredits. Native/YAML/runtime/primary-secondaryshares untouched.</t>
        </is>
      </c>
    </row>
    <row r="854">
      <c r="A854" t="inlineStr">
        <is>
          <t>Exchanges</t>
        </is>
      </c>
    </row>
    <row r="855">
      <c r="A855" t="inlineStr">
        <is>
          <t>name</t>
        </is>
      </c>
      <c r="B855" t="inlineStr">
        <is>
          <t>amount</t>
        </is>
      </c>
      <c r="C855" t="inlineStr">
        <is>
          <t>location</t>
        </is>
      </c>
      <c r="D855" t="inlineStr">
        <is>
          <t>unit</t>
        </is>
      </c>
      <c r="E855" t="inlineStr">
        <is>
          <t>categories</t>
        </is>
      </c>
      <c r="F855" t="inlineStr">
        <is>
          <t>type</t>
        </is>
      </c>
      <c r="G855" t="inlineStr">
        <is>
          <t>reference product</t>
        </is>
      </c>
      <c r="H855" t="inlineStr">
        <is>
          <t>comment</t>
        </is>
      </c>
      <c r="I855" t="inlineStr">
        <is>
          <t>product</t>
        </is>
      </c>
    </row>
    <row r="856">
      <c r="A856" t="inlineStr">
        <is>
          <t xml:space="preserve">lanthanum metal production, oxide electrolysis</t>
        </is>
      </c>
      <c r="B856">
        <v>1</v>
      </c>
      <c r="C856" t="inlineStr">
        <is>
          <t>GLO</t>
        </is>
      </c>
      <c r="D856" t="inlineStr">
        <is>
          <t>kilogram</t>
        </is>
      </c>
      <c r="F856" t="inlineStr">
        <is>
          <t>production</t>
        </is>
      </c>
      <c r="G856" t="inlineStr">
        <is>
          <t xml:space="preserve">lanthanum metal, oxide electrolysis</t>
        </is>
      </c>
      <c r="I856" t="inlineStr">
        <is>
          <t xml:space="preserve">lanthanum metal, oxide electrolysis</t>
        </is>
      </c>
    </row>
    <row r="857">
      <c r="A857" t="inlineStr">
        <is>
          <t>market for lanthanum oxide</t>
        </is>
      </c>
      <c r="B857">
        <v>1.234493235996356</v>
      </c>
      <c r="C857" t="inlineStr">
        <is>
          <t>GLO</t>
        </is>
      </c>
      <c r="D857" t="inlineStr">
        <is>
          <t>kilogram</t>
        </is>
      </c>
      <c r="F857" t="inlineStr">
        <is>
          <t>technosphere</t>
        </is>
      </c>
      <c r="G857" t="inlineStr">
        <is>
          <t>lanthanum oxide</t>
        </is>
      </c>
      <c r="I857" t="inlineStr">
        <is>
          <t>lanthanum oxide</t>
        </is>
      </c>
    </row>
    <row r="858">
      <c r="A858" t="inlineStr">
        <is>
          <t>market for graphite</t>
        </is>
      </c>
      <c r="B858">
        <v>0.0682649028944118</v>
      </c>
      <c r="C858" t="inlineStr">
        <is>
          <t>GLO</t>
        </is>
      </c>
      <c r="D858" t="inlineStr">
        <is>
          <t>kilogram</t>
        </is>
      </c>
      <c r="F858" t="inlineStr">
        <is>
          <t>technosphere</t>
        </is>
      </c>
      <c r="G858" t="inlineStr">
        <is>
          <t>graphite</t>
        </is>
      </c>
      <c r="I858" t="inlineStr">
        <is>
          <t>graphite</t>
        </is>
      </c>
    </row>
    <row r="859">
      <c r="A859" t="inlineStr">
        <is>
          <t>market group for electricity, medium voltage</t>
        </is>
      </c>
      <c r="B859">
        <v>10</v>
      </c>
      <c r="C859" t="inlineStr">
        <is>
          <t>GLO</t>
        </is>
      </c>
      <c r="D859" t="inlineStr">
        <is>
          <t>kilowatt hour</t>
        </is>
      </c>
      <c r="F859" t="inlineStr">
        <is>
          <t>technosphere</t>
        </is>
      </c>
      <c r="G859" t="inlineStr">
        <is>
          <t>electricity, medium voltage</t>
        </is>
      </c>
      <c r="I859" t="inlineStr">
        <is>
          <t>electricity, medium voltage</t>
        </is>
      </c>
    </row>
    <row r="860">
      <c r="A860" t="inlineStr">
        <is>
          <t>market for heat, district or industrial, natural gas</t>
        </is>
      </c>
      <c r="B860">
        <v>3</v>
      </c>
      <c r="C860" t="inlineStr">
        <is>
          <t>RoW</t>
        </is>
      </c>
      <c r="D860" t="inlineStr">
        <is>
          <t>megajoule</t>
        </is>
      </c>
      <c r="F860" t="inlineStr">
        <is>
          <t>technosphere</t>
        </is>
      </c>
      <c r="G860" t="inlineStr">
        <is>
          <t>heat, district or industrial, natural gas</t>
        </is>
      </c>
      <c r="I860" t="inlineStr">
        <is>
          <t>heat, district or industrial, natural gas</t>
        </is>
      </c>
    </row>
    <row r="861">
      <c r="A861" t="inlineStr">
        <is>
          <t>market for inert waste, for final disposal</t>
        </is>
      </c>
      <c r="B861">
        <v>-0.05263157894736836</v>
      </c>
      <c r="C861" t="inlineStr">
        <is>
          <t>RoW</t>
        </is>
      </c>
      <c r="D861" t="inlineStr">
        <is>
          <t>kilogram</t>
        </is>
      </c>
      <c r="F861" t="inlineStr">
        <is>
          <t>technosphere</t>
        </is>
      </c>
      <c r="G861" t="inlineStr">
        <is>
          <t>inert waste, for final disposal</t>
        </is>
      </c>
      <c r="I861" t="inlineStr">
        <is>
          <t>inert waste, for final disposal</t>
        </is>
      </c>
    </row>
    <row r="862">
      <c r="A862" t="inlineStr">
        <is>
          <t>Carbon dioxide, fossil</t>
        </is>
      </c>
      <c r="B862">
        <v>0.2501265599433993</v>
      </c>
      <c r="D862" t="inlineStr">
        <is>
          <t>kilogram</t>
        </is>
      </c>
      <c r="E862" t="inlineStr">
        <is>
          <t>air::non-urban air or from high stacks</t>
        </is>
      </c>
      <c r="F862" t="inlineStr">
        <is>
          <t>biosphere</t>
        </is>
      </c>
      <c r="H862" t="inlineStr">
        <is>
          <t/>
        </is>
      </c>
    </row>
    <row r="865">
      <c r="A865" t="inlineStr">
        <is>
          <t>Activity</t>
        </is>
      </c>
      <c r="B865" t="inlineStr">
        <is>
          <t xml:space="preserve">ferritic steel production, electrolysis interconnect, Crofer 22 APU type</t>
        </is>
      </c>
    </row>
    <row r="866">
      <c r="A866" t="inlineStr">
        <is>
          <t>location</t>
        </is>
      </c>
      <c r="B866" t="inlineStr">
        <is>
          <t>GLO</t>
        </is>
      </c>
    </row>
    <row r="867">
      <c r="A867" t="inlineStr">
        <is>
          <t>production amount</t>
        </is>
      </c>
      <c r="B867">
        <v>1</v>
      </c>
    </row>
    <row r="868">
      <c r="A868" t="inlineStr">
        <is>
          <t>reference product</t>
        </is>
      </c>
      <c r="B868" t="inlineStr">
        <is>
          <t xml:space="preserve">ferritic steel, electrolysis interconnect, Crofer 22 APU type</t>
        </is>
      </c>
    </row>
    <row r="869">
      <c r="A869" t="inlineStr">
        <is>
          <t>unit</t>
        </is>
      </c>
      <c r="B869" t="inlineStr">
        <is>
          <t>kilogram</t>
        </is>
      </c>
    </row>
    <row r="870">
      <c r="A870" t="inlineStr">
        <is>
          <t>source</t>
        </is>
      </c>
      <c r="B870" t="inlineStr">
        <is>
          <t>Hafele2016 DOI10.1016/j.ijhydene.2016.05.069 SI FigS1:chromiumsteelplate-&gt;deepdrawing+LSMcoating-&gt;interconnect; main stackdescription2outer3kg and4inner145g plates. Gerloff2021 PtM SI pS16 retains8976.1kg18/8steel but labels air-electrode. VDM Crofer22APU datasheet4146rev01 March2022 Table2 andApplications p5 explicitly SOEC interconnects/bipolarplates:Cr20-24wt%,Mn0.30-0.80,Ti0.03-0.20,La0.04-0.20,Fe balance. https://www.vdm-metals.com/fileadmin/user_upload/Downloads/Data_Sheets/Data_Sheet_VDM_Crofer_22_APU.pdf .</t>
        </is>
      </c>
    </row>
    <row r="871">
      <c r="A871" t="inlineStr">
        <is>
          <t>comment</t>
        </is>
      </c>
      <c r="B871" t="inlineStr">
        <is>
          <t xml:space="preserve">Nomenclature revision, 2026-10-19. Former activity name: ferritic interconnect steel, Crofer22APU-type engineering reference. Former reference product: ferritic interconnect steel, Crofer22APU-type engineering reference. Activity/product labels and supplier references only; coefficients, formulas, uncertainty, declared output and unit are unchanged. Original engineering assumptions, functional-unit basis and limitations remain below.
APPROVED SOEC FERRITIC INTERCONNECT REFERENCE, issue95, 2026-10-18. Hafele2016 DOI10.1016/j.ijhydene.2016.05.069 SI FigS1:chromiumsteelplate-&gt;deepdrawing+LSMcoating-&gt;interconnect; main stackdescription2outer3kg and4inner145g plates. Gerloff2021 PtM SI pS16 retains8976.1kg18/8steel but labels air-electrode. VDM Crofer22APU datasheet4146rev01 March2022 Table2 andApplications p5 explicitly SOEC interconnects/bipolarplates:Cr20-24wt%,Mn0.30-0.80,Ti0.03-0.20,La0.04-0.20,Fe balance. https://www.vdm-metals.com/fileadmin/user_upload/Downloads/Data_Sheets/Data_Sheet_VDM_Crofer_22_APU.pdf . Sourceflow8976.1kg is treated as the interconnectplate package based on originalmanufacturingdiagram,not9tair-electrodecatalyst. AdoptCrofer22APU-type reference for THIS stackinput only; do not replace ordinaryBoP18/8heat exchangers. Preserve8976.1kgfinishedsteel and8976.1kgexistingrollingservice; mass derives labstackscaleup and is NOT independently validated industrialMWgeometry. Preserve priorLSM,PrNi,ceramics,stackreplacement andlearning. Reference alloy massfractions={'Cr': 0.22, 'Mn': 0.005, 'Ti': 0.001, 'La': 0.001, 'Si': 0.001, 'Al': 0.0005, 'Cu': 0.0005, 'C': 0.0001, 'P': 5e-05, 'S': 5e-05, 'Fe': 0.7708}. Midrange/lowresidual choices are explicit assumptions within publishedranges,not measured heat assay. No intentionalNi addition; unknownresidualNi/othertraceimpurities are NOT provenzero. ActualoldNi8% cannot be claimed quantitatively without suppliercomposition; compareold18/8 as sensitivity. Cr20-24,Mn0.3-0.8,La0.04-0.20wt% sensitivities. Fe usesunalloyedsteel as feed-gradeproxy,withitsownminoralloys unresolved; completecomponentmetaluse is not identical toelementalpureFe. Addalloyingmaterialsonce and0.5kWh+2MJ/kgremeltingreference (0.25-1kWh/1-4MJsensitivity),not a completeCrsteel production dataset on top. Matchfinishedsteelmass1kgwith100%finalalloyretention; alloyingyield/slag andtracepickup remain gaps. La metal unavailable: explicit netoxide/carbon electrolyticreference La2O3+1.5C-&gt;2La+1.5CO2,95%metalretention,10kWh/kg+3MJ/kgassumed; fluoridebathmakeup,PFCemissions,purification andcalcium-route alternatives unresolved. Thisisstoichiometricnetelectrolysis,NOTthermal carbothermic reduction orvalidatedvendorLa process. Metalrejectgenericinertdisposal; La/C/O/massclose. FinishedinterconnectEOLexistingsteelcollection amount retained; genericsteelroute doesnotvalidatealloy-specificrecycling orrecoverycredits. Native/YAML/runtime/primary-secondaryshares untouched.</t>
        </is>
      </c>
    </row>
    <row r="872">
      <c r="A872" t="inlineStr">
        <is>
          <t>Exchanges</t>
        </is>
      </c>
    </row>
    <row r="873">
      <c r="A873" t="inlineStr">
        <is>
          <t>name</t>
        </is>
      </c>
      <c r="B873" t="inlineStr">
        <is>
          <t>amount</t>
        </is>
      </c>
      <c r="C873" t="inlineStr">
        <is>
          <t>location</t>
        </is>
      </c>
      <c r="D873" t="inlineStr">
        <is>
          <t>unit</t>
        </is>
      </c>
      <c r="E873" t="inlineStr">
        <is>
          <t>categories</t>
        </is>
      </c>
      <c r="F873" t="inlineStr">
        <is>
          <t>type</t>
        </is>
      </c>
      <c r="G873" t="inlineStr">
        <is>
          <t>reference product</t>
        </is>
      </c>
      <c r="H873" t="inlineStr">
        <is>
          <t>comment</t>
        </is>
      </c>
      <c r="I873" t="inlineStr">
        <is>
          <t>product</t>
        </is>
      </c>
    </row>
    <row r="874">
      <c r="A874" t="inlineStr">
        <is>
          <t xml:space="preserve">ferritic steel production, electrolysis interconnect, Crofer 22 APU type</t>
        </is>
      </c>
      <c r="B874">
        <v>1</v>
      </c>
      <c r="C874" t="inlineStr">
        <is>
          <t>GLO</t>
        </is>
      </c>
      <c r="D874" t="inlineStr">
        <is>
          <t>kilogram</t>
        </is>
      </c>
      <c r="F874" t="inlineStr">
        <is>
          <t>production</t>
        </is>
      </c>
      <c r="G874" t="inlineStr">
        <is>
          <t xml:space="preserve">ferritic steel, electrolysis interconnect, Crofer 22 APU type</t>
        </is>
      </c>
      <c r="I874" t="inlineStr">
        <is>
          <t xml:space="preserve">ferritic steel, electrolysis interconnect, Crofer 22 APU type</t>
        </is>
      </c>
    </row>
    <row r="875">
      <c r="A875" t="inlineStr">
        <is>
          <t>market for chromium</t>
        </is>
      </c>
      <c r="B875">
        <v>0.22</v>
      </c>
      <c r="C875" t="inlineStr">
        <is>
          <t>GLO</t>
        </is>
      </c>
      <c r="D875" t="inlineStr">
        <is>
          <t>kilogram</t>
        </is>
      </c>
      <c r="F875" t="inlineStr">
        <is>
          <t>technosphere</t>
        </is>
      </c>
      <c r="G875" t="inlineStr">
        <is>
          <t>chromium</t>
        </is>
      </c>
      <c r="I875" t="inlineStr">
        <is>
          <t>chromium</t>
        </is>
      </c>
    </row>
    <row r="876">
      <c r="A876" t="inlineStr">
        <is>
          <t>market for manganese</t>
        </is>
      </c>
      <c r="B876">
        <v>0.005</v>
      </c>
      <c r="C876" t="inlineStr">
        <is>
          <t>GLO</t>
        </is>
      </c>
      <c r="D876" t="inlineStr">
        <is>
          <t>kilogram</t>
        </is>
      </c>
      <c r="F876" t="inlineStr">
        <is>
          <t>technosphere</t>
        </is>
      </c>
      <c r="G876" t="inlineStr">
        <is>
          <t>manganese</t>
        </is>
      </c>
      <c r="I876" t="inlineStr">
        <is>
          <t>manganese</t>
        </is>
      </c>
    </row>
    <row r="877">
      <c r="A877" t="inlineStr">
        <is>
          <t>market for titanium</t>
        </is>
      </c>
      <c r="B877">
        <v>0.001</v>
      </c>
      <c r="C877" t="inlineStr">
        <is>
          <t>GLO</t>
        </is>
      </c>
      <c r="D877" t="inlineStr">
        <is>
          <t>kilogram</t>
        </is>
      </c>
      <c r="F877" t="inlineStr">
        <is>
          <t>technosphere</t>
        </is>
      </c>
      <c r="G877" t="inlineStr">
        <is>
          <t>titanium</t>
        </is>
      </c>
      <c r="I877" t="inlineStr">
        <is>
          <t>titanium</t>
        </is>
      </c>
    </row>
    <row r="878">
      <c r="A878" t="inlineStr">
        <is>
          <t xml:space="preserve">lanthanum metal production, oxide electrolysis</t>
        </is>
      </c>
      <c r="B878">
        <v>0.001</v>
      </c>
      <c r="C878" t="inlineStr">
        <is>
          <t>GLO</t>
        </is>
      </c>
      <c r="D878" t="inlineStr">
        <is>
          <t>kilogram</t>
        </is>
      </c>
      <c r="F878" t="inlineStr">
        <is>
          <t>technosphere</t>
        </is>
      </c>
      <c r="G878" t="inlineStr">
        <is>
          <t xml:space="preserve">lanthanum metal, oxide electrolysis</t>
        </is>
      </c>
      <c r="I878" t="inlineStr">
        <is>
          <t xml:space="preserve">lanthanum metal, oxide electrolysis</t>
        </is>
      </c>
    </row>
    <row r="879">
      <c r="A879" t="inlineStr">
        <is>
          <t>market for silicon, metallurgical grade</t>
        </is>
      </c>
      <c r="B879">
        <v>0.001</v>
      </c>
      <c r="C879" t="inlineStr">
        <is>
          <t>GLO</t>
        </is>
      </c>
      <c r="D879" t="inlineStr">
        <is>
          <t>kilogram</t>
        </is>
      </c>
      <c r="F879" t="inlineStr">
        <is>
          <t>technosphere</t>
        </is>
      </c>
      <c r="G879" t="inlineStr">
        <is>
          <t>silicon, metallurgical grade</t>
        </is>
      </c>
      <c r="I879" t="inlineStr">
        <is>
          <t>silicon, metallurgical grade</t>
        </is>
      </c>
    </row>
    <row r="880">
      <c r="A880" t="inlineStr">
        <is>
          <t>market for aluminium, primary, ingot</t>
        </is>
      </c>
      <c r="B880">
        <v>0.0005</v>
      </c>
      <c r="C880" t="inlineStr">
        <is>
          <t>RoW</t>
        </is>
      </c>
      <c r="D880" t="inlineStr">
        <is>
          <t>kilogram</t>
        </is>
      </c>
      <c r="F880" t="inlineStr">
        <is>
          <t>technosphere</t>
        </is>
      </c>
      <c r="G880" t="inlineStr">
        <is>
          <t>aluminium, primary, ingot</t>
        </is>
      </c>
      <c r="I880" t="inlineStr">
        <is>
          <t>aluminium, primary, ingot</t>
        </is>
      </c>
    </row>
    <row r="881">
      <c r="A881" t="inlineStr">
        <is>
          <t>market for copper, cathode</t>
        </is>
      </c>
      <c r="B881">
        <v>0.0005</v>
      </c>
      <c r="C881" t="inlineStr">
        <is>
          <t>GLO</t>
        </is>
      </c>
      <c r="D881" t="inlineStr">
        <is>
          <t>kilogram</t>
        </is>
      </c>
      <c r="F881" t="inlineStr">
        <is>
          <t>technosphere</t>
        </is>
      </c>
      <c r="G881" t="inlineStr">
        <is>
          <t>copper, cathode</t>
        </is>
      </c>
      <c r="I881" t="inlineStr">
        <is>
          <t>copper, cathode</t>
        </is>
      </c>
    </row>
    <row r="882">
      <c r="A882" t="inlineStr">
        <is>
          <t>market for graphite</t>
        </is>
      </c>
      <c r="B882">
        <v>0.0001</v>
      </c>
      <c r="C882" t="inlineStr">
        <is>
          <t>GLO</t>
        </is>
      </c>
      <c r="D882" t="inlineStr">
        <is>
          <t>kilogram</t>
        </is>
      </c>
      <c r="F882" t="inlineStr">
        <is>
          <t>technosphere</t>
        </is>
      </c>
      <c r="G882" t="inlineStr">
        <is>
          <t>graphite</t>
        </is>
      </c>
      <c r="I882" t="inlineStr">
        <is>
          <t>graphite</t>
        </is>
      </c>
    </row>
    <row r="883">
      <c r="A883" t="inlineStr">
        <is>
          <t>market for phosphorus, white, liquid</t>
        </is>
      </c>
      <c r="B883">
        <v>5e-05</v>
      </c>
      <c r="C883" t="inlineStr">
        <is>
          <t>GLO</t>
        </is>
      </c>
      <c r="D883" t="inlineStr">
        <is>
          <t>kilogram</t>
        </is>
      </c>
      <c r="F883" t="inlineStr">
        <is>
          <t>technosphere</t>
        </is>
      </c>
      <c r="G883" t="inlineStr">
        <is>
          <t>phosphorus, white, liquid</t>
        </is>
      </c>
      <c r="I883" t="inlineStr">
        <is>
          <t>phosphorus, white, liquid</t>
        </is>
      </c>
    </row>
    <row r="884">
      <c r="A884" t="inlineStr">
        <is>
          <t>market for sulfur</t>
        </is>
      </c>
      <c r="B884">
        <v>5e-05</v>
      </c>
      <c r="C884" t="inlineStr">
        <is>
          <t>GLO</t>
        </is>
      </c>
      <c r="D884" t="inlineStr">
        <is>
          <t>kilogram</t>
        </is>
      </c>
      <c r="F884" t="inlineStr">
        <is>
          <t>technosphere</t>
        </is>
      </c>
      <c r="G884" t="inlineStr">
        <is>
          <t>sulfur</t>
        </is>
      </c>
      <c r="I884" t="inlineStr">
        <is>
          <t>sulfur</t>
        </is>
      </c>
    </row>
    <row r="885">
      <c r="A885" t="inlineStr">
        <is>
          <t>market for steel, unalloyed</t>
        </is>
      </c>
      <c r="B885">
        <v>0.7708</v>
      </c>
      <c r="C885" t="inlineStr">
        <is>
          <t>GLO</t>
        </is>
      </c>
      <c r="D885" t="inlineStr">
        <is>
          <t>kilogram</t>
        </is>
      </c>
      <c r="F885" t="inlineStr">
        <is>
          <t>technosphere</t>
        </is>
      </c>
      <c r="G885" t="inlineStr">
        <is>
          <t>steel, unalloyed</t>
        </is>
      </c>
      <c r="I885" t="inlineStr">
        <is>
          <t>steel, unalloyed</t>
        </is>
      </c>
    </row>
    <row r="886">
      <c r="A886" t="inlineStr">
        <is>
          <t>market group for electricity, medium voltage</t>
        </is>
      </c>
      <c r="B886">
        <v>0.5</v>
      </c>
      <c r="C886" t="inlineStr">
        <is>
          <t>GLO</t>
        </is>
      </c>
      <c r="D886" t="inlineStr">
        <is>
          <t>kilowatt hour</t>
        </is>
      </c>
      <c r="F886" t="inlineStr">
        <is>
          <t>technosphere</t>
        </is>
      </c>
      <c r="G886" t="inlineStr">
        <is>
          <t>electricity, medium voltage</t>
        </is>
      </c>
      <c r="I886" t="inlineStr">
        <is>
          <t>electricity, medium voltage</t>
        </is>
      </c>
    </row>
    <row r="887">
      <c r="A887" t="inlineStr">
        <is>
          <t>market for heat, district or industrial, natural gas</t>
        </is>
      </c>
      <c r="B887">
        <v>2</v>
      </c>
      <c r="C887" t="inlineStr">
        <is>
          <t>RoW</t>
        </is>
      </c>
      <c r="D887" t="inlineStr">
        <is>
          <t>megajoule</t>
        </is>
      </c>
      <c r="F887" t="inlineStr">
        <is>
          <t>technosphere</t>
        </is>
      </c>
      <c r="G887" t="inlineStr">
        <is>
          <t>heat, district or industrial, natural gas</t>
        </is>
      </c>
      <c r="I887" t="inlineStr">
        <is>
          <t>heat, district or industrial, natural gas</t>
        </is>
      </c>
    </row>
    <row r="890">
      <c r="A890" t="inlineStr">
        <is>
          <t>Activity</t>
        </is>
      </c>
      <c r="B890" t="inlineStr">
        <is>
          <t xml:space="preserve">diaphragm production, alkaline electrolysis, zirconia-polysulfone with PPS mesh</t>
        </is>
      </c>
    </row>
    <row r="891">
      <c r="A891" t="inlineStr">
        <is>
          <t>location</t>
        </is>
      </c>
      <c r="B891" t="inlineStr">
        <is>
          <t>GLO</t>
        </is>
      </c>
    </row>
    <row r="892">
      <c r="A892" t="inlineStr">
        <is>
          <t>production amount</t>
        </is>
      </c>
      <c r="B892">
        <v>1</v>
      </c>
    </row>
    <row r="893">
      <c r="A893" t="inlineStr">
        <is>
          <t>reference product</t>
        </is>
      </c>
      <c r="B893" t="inlineStr">
        <is>
          <t xml:space="preserve">diaphragm, alkaline electrolysis, zirconia-polysulfone with PPS mesh</t>
        </is>
      </c>
    </row>
    <row r="894">
      <c r="A894" t="inlineStr">
        <is>
          <t>unit</t>
        </is>
      </c>
      <c r="B894" t="inlineStr">
        <is>
          <t>kilogram</t>
        </is>
      </c>
    </row>
    <row r="895">
      <c r="A895" t="inlineStr">
        <is>
          <t>source</t>
        </is>
      </c>
      <c r="B895" t="inlineStr">
        <is>
          <t>Gerloff2021 DOI10.1016/j.est.2021.102759 Sec2.2.1 explicitly assumed40%PSU/60%ZrO2 fromAgfa;not a transcriptionerror. Rodriguez et al.2019 DOI10.3390/membranes9100129 reports85wt%ZrO2/15wt%PSU and500+/-50umthickness,1+/-0.2g/cm3weightdensity; microscopy showsmesh. Lee2020 DOI10.1016/j.memsci.2020.118541 uses purchasedPPSmesh; patent KR20190135273A describes200ummesh. Geometry below is engineering,not manufacturerclothspecification.</t>
        </is>
      </c>
    </row>
    <row r="896">
      <c r="A896" t="inlineStr">
        <is>
          <t>comment</t>
        </is>
      </c>
      <c r="B896" t="inlineStr">
        <is>
          <t xml:space="preserve">Nomenclature revision, 2026-10-19. Former activity name: AEC reinforced diaphragm, zirconia-PSU with PPS mesh reference. Former reference product: AEC reinforced diaphragm, zirconia-PSU with PPS mesh reference. Activity/product labels and supplier references only; coefficients, formulas, uncertainty, declared output and unit are unchanged. Original engineering assumptions, functional-unit basis and limitations remain below.
APPROVED REINFORCED AEC DIAPHRAGM REFERENCE, issue96, 2026-10-18. Gerloff2021 DOI10.1016/j.est.2021.102759 Sec2.2.1 explicitly assumed40%PSU/60%ZrO2 fromAgfa;not a transcriptionerror. Rodriguez et al.2019 DOI10.3390/membranes9100129 reports85wt%ZrO2/15wt%PSU and500+/-50umthickness,1+/-0.2g/cm3weightdensity; microscopy showsmesh. Lee2020 DOI10.1016/j.memsci.2020.118541 uses purchasedPPSmesh; patent KR20190135273A describes200ummesh. Geometry below is engineering,not manufacturerclothspecification. Replace48.8kgPSU+73kgZrO2 with121.8kgfinisheddryZirfon-typeengineeringmembrane,notcertifiedAgfaUTP500recipe. Preserveoldtotaldrymass asreferenceassumption;actualoldwet/drybasisunknown. Selected500umfinishedthickness,0.5kg/m2dryarealmass implies243.6m2/MW at121.8kg. SupportwovenPPS100umfilaments/200umpitch/twodirections/1.05crimp,rho1350kg/m3 gives0.11133018966158831kgPPS/m2 and0.22266037932317662fractionofdrymembrane. Theseclothgeometryvaluesareexplicitassumptions,notmeasuredPVFmesh. Remainingcoating0.7773396206768234massfractionuses85/15ZrO2/PSU. Finishedfractions={'PPS': 0.22266037932317662, 'ZrO2': 0.6607386775752998, 'PSU': 0.1166009431015235};usingZrO2rho5680,PSU1240andPPS1350,computedporosity=0.6247061350887926consistentwith45-65%referenceinterval. Do notmistake85/15coatingforwholemembrane. Sensitivitysupport10-30wt%,coatingZr75-85wt%,arealmass0.4-0.6kg/m2,thickness450-550um;notallcombinationsarephysicallycompatible. Coating95%retention,mesh100%,1kWh/kgforming/dryingallowance;freshNMP0.2kg/kgretainedcoating assumes4kgcirculationand95%recovery,solventmakeupalltosolventwaste.10kgprocesswater/kgfinishedandgenericWWT;salinity,coagulationkinetics,soluteemissions,membranegasbarrieranddurabilityqualificationgaps remain. Sourcegross121.8kgisnotindependentlyverifiedfor2026plant. MatchedfinishedEOLroutesneworganicPPS/PSUfractiontogenericplasticincinerationandZrO2togenericinertdisposal;old193kgmixedplasticwasteincluded144.2gasket+48.8PSU,replaceonly48.8PSUshare,leavegasketuntilissue100. No phantommetalrecoverycredit;otherstackmetals,lifetime,energy unchanged.</t>
        </is>
      </c>
    </row>
    <row r="897">
      <c r="A897" t="inlineStr">
        <is>
          <t>Exchanges</t>
        </is>
      </c>
    </row>
    <row r="898">
      <c r="A898" t="inlineStr">
        <is>
          <t>name</t>
        </is>
      </c>
      <c r="B898" t="inlineStr">
        <is>
          <t>amount</t>
        </is>
      </c>
      <c r="C898" t="inlineStr">
        <is>
          <t>location</t>
        </is>
      </c>
      <c r="D898" t="inlineStr">
        <is>
          <t>unit</t>
        </is>
      </c>
      <c r="E898" t="inlineStr">
        <is>
          <t>categories</t>
        </is>
      </c>
      <c r="F898" t="inlineStr">
        <is>
          <t>type</t>
        </is>
      </c>
      <c r="G898" t="inlineStr">
        <is>
          <t>reference product</t>
        </is>
      </c>
      <c r="H898" t="inlineStr">
        <is>
          <t>comment</t>
        </is>
      </c>
      <c r="I898" t="inlineStr">
        <is>
          <t>product</t>
        </is>
      </c>
    </row>
    <row r="899">
      <c r="A899" t="inlineStr">
        <is>
          <t xml:space="preserve">diaphragm production, alkaline electrolysis, zirconia-polysulfone with PPS mesh</t>
        </is>
      </c>
      <c r="B899">
        <v>1</v>
      </c>
      <c r="C899" t="inlineStr">
        <is>
          <t>GLO</t>
        </is>
      </c>
      <c r="D899" t="inlineStr">
        <is>
          <t>kilogram</t>
        </is>
      </c>
      <c r="F899" t="inlineStr">
        <is>
          <t>production</t>
        </is>
      </c>
      <c r="G899" t="inlineStr">
        <is>
          <t xml:space="preserve">diaphragm, alkaline electrolysis, zirconia-polysulfone with PPS mesh</t>
        </is>
      </c>
      <c r="I899" t="inlineStr">
        <is>
          <t xml:space="preserve">diaphragm, alkaline electrolysis, zirconia-polysulfone with PPS mesh</t>
        </is>
      </c>
    </row>
    <row r="900">
      <c r="A900" t="inlineStr">
        <is>
          <t>market for zirconium oxide</t>
        </is>
      </c>
      <c r="B900">
        <v>0.6955143974476841</v>
      </c>
      <c r="C900" t="inlineStr">
        <is>
          <t>GLO</t>
        </is>
      </c>
      <c r="D900" t="inlineStr">
        <is>
          <t>kilogram</t>
        </is>
      </c>
      <c r="F900" t="inlineStr">
        <is>
          <t>technosphere</t>
        </is>
      </c>
      <c r="G900" t="inlineStr">
        <is>
          <t>zirconium oxide</t>
        </is>
      </c>
      <c r="I900" t="inlineStr">
        <is>
          <t>zirconium oxide</t>
        </is>
      </c>
    </row>
    <row r="901">
      <c r="A901" t="inlineStr">
        <is>
          <t>market for polysulfone</t>
        </is>
      </c>
      <c r="B901">
        <v>0.12273783484370895</v>
      </c>
      <c r="C901" t="inlineStr">
        <is>
          <t>GLO</t>
        </is>
      </c>
      <c r="D901" t="inlineStr">
        <is>
          <t>kilogram</t>
        </is>
      </c>
      <c r="F901" t="inlineStr">
        <is>
          <t>technosphere</t>
        </is>
      </c>
      <c r="G901" t="inlineStr">
        <is>
          <t>polysulfone</t>
        </is>
      </c>
      <c r="I901" t="inlineStr">
        <is>
          <t>polysulfone</t>
        </is>
      </c>
    </row>
    <row r="902">
      <c r="A902" t="inlineStr">
        <is>
          <t>market for polyphenylene sulfide</t>
        </is>
      </c>
      <c r="B902">
        <v>0.22266037932317662</v>
      </c>
      <c r="C902" t="inlineStr">
        <is>
          <t>GLO</t>
        </is>
      </c>
      <c r="D902" t="inlineStr">
        <is>
          <t>kilogram</t>
        </is>
      </c>
      <c r="F902" t="inlineStr">
        <is>
          <t>technosphere</t>
        </is>
      </c>
      <c r="G902" t="inlineStr">
        <is>
          <t>polyphenylene sulfide</t>
        </is>
      </c>
      <c r="I902" t="inlineStr">
        <is>
          <t>polyphenylene sulfide</t>
        </is>
      </c>
    </row>
    <row r="903">
      <c r="A903" t="inlineStr">
        <is>
          <t>market for N-methyl-2-pyrrolidone</t>
        </is>
      </c>
      <c r="B903">
        <v>0.1554679241353647</v>
      </c>
      <c r="C903" t="inlineStr">
        <is>
          <t>GLO</t>
        </is>
      </c>
      <c r="D903" t="inlineStr">
        <is>
          <t>kilogram</t>
        </is>
      </c>
      <c r="F903" t="inlineStr">
        <is>
          <t>technosphere</t>
        </is>
      </c>
      <c r="G903" t="inlineStr">
        <is>
          <t>N-methyl-2-pyrrolidone</t>
        </is>
      </c>
      <c r="I903" t="inlineStr">
        <is>
          <t>N-methyl-2-pyrrolidone</t>
        </is>
      </c>
    </row>
    <row r="904">
      <c r="A904" t="inlineStr">
        <is>
          <t>market for spent solvent mixture</t>
        </is>
      </c>
      <c r="B904">
        <v>-0.1554679241353647</v>
      </c>
      <c r="C904" t="inlineStr">
        <is>
          <t>RoW</t>
        </is>
      </c>
      <c r="D904" t="inlineStr">
        <is>
          <t>kilogram</t>
        </is>
      </c>
      <c r="F904" t="inlineStr">
        <is>
          <t>technosphere</t>
        </is>
      </c>
      <c r="G904" t="inlineStr">
        <is>
          <t>spent solvent mixture</t>
        </is>
      </c>
      <c r="I904" t="inlineStr">
        <is>
          <t>spent solvent mixture</t>
        </is>
      </c>
    </row>
    <row r="905">
      <c r="A905" t="inlineStr">
        <is>
          <t>market for inert waste, for final disposal</t>
        </is>
      </c>
      <c r="B905">
        <v>-0.040912611614569605</v>
      </c>
      <c r="C905" t="inlineStr">
        <is>
          <t>RoW</t>
        </is>
      </c>
      <c r="D905" t="inlineStr">
        <is>
          <t>kilogram</t>
        </is>
      </c>
      <c r="F905" t="inlineStr">
        <is>
          <t>technosphere</t>
        </is>
      </c>
      <c r="G905" t="inlineStr">
        <is>
          <t>inert waste, for final disposal</t>
        </is>
      </c>
      <c r="I905" t="inlineStr">
        <is>
          <t>inert waste, for final disposal</t>
        </is>
      </c>
    </row>
    <row r="906">
      <c r="A906" t="inlineStr">
        <is>
          <t>market for tap water</t>
        </is>
      </c>
      <c r="B906">
        <v>10</v>
      </c>
      <c r="C906" t="inlineStr">
        <is>
          <t>RoW</t>
        </is>
      </c>
      <c r="D906" t="inlineStr">
        <is>
          <t>kilogram</t>
        </is>
      </c>
      <c r="F906" t="inlineStr">
        <is>
          <t>technosphere</t>
        </is>
      </c>
      <c r="G906" t="inlineStr">
        <is>
          <t>tap water</t>
        </is>
      </c>
      <c r="I906" t="inlineStr">
        <is>
          <t>tap water</t>
        </is>
      </c>
    </row>
    <row r="907">
      <c r="A907" t="inlineStr">
        <is>
          <t>market for wastewater, average</t>
        </is>
      </c>
      <c r="B907">
        <v>-0.01</v>
      </c>
      <c r="C907" t="inlineStr">
        <is>
          <t>RoW</t>
        </is>
      </c>
      <c r="D907" t="inlineStr">
        <is>
          <t>cubic meter</t>
        </is>
      </c>
      <c r="F907" t="inlineStr">
        <is>
          <t>technosphere</t>
        </is>
      </c>
      <c r="G907" t="inlineStr">
        <is>
          <t>wastewater, average</t>
        </is>
      </c>
      <c r="I907" t="inlineStr">
        <is>
          <t>wastewater, average</t>
        </is>
      </c>
    </row>
    <row r="908">
      <c r="A908" t="inlineStr">
        <is>
          <t>market group for electricity, medium voltage</t>
        </is>
      </c>
      <c r="B908">
        <v>1</v>
      </c>
      <c r="C908" t="inlineStr">
        <is>
          <t>GLO</t>
        </is>
      </c>
      <c r="D908" t="inlineStr">
        <is>
          <t>kilowatt hour</t>
        </is>
      </c>
      <c r="F908" t="inlineStr">
        <is>
          <t>technosphere</t>
        </is>
      </c>
      <c r="G908" t="inlineStr">
        <is>
          <t>electricity, medium voltage</t>
        </is>
      </c>
      <c r="I908" t="inlineStr">
        <is>
          <t>electricity, medium voltage</t>
        </is>
      </c>
    </row>
    <row r="911">
      <c r="A911" t="inlineStr">
        <is>
          <t/>
        </is>
      </c>
      <c r="B911" t="inlineStr">
        <is>
          <t/>
        </is>
      </c>
    </row>
    <row r="912">
      <c r="A912" t="inlineStr">
        <is>
          <t/>
        </is>
      </c>
      <c r="B912" t="inlineStr">
        <is>
          <t/>
        </is>
      </c>
    </row>
    <row r="913">
      <c r="A913" t="inlineStr">
        <is>
          <t/>
        </is>
      </c>
      <c r="B913" t="inlineStr">
        <is>
          <t/>
        </is>
      </c>
    </row>
    <row r="914">
      <c r="A914" t="inlineStr">
        <is>
          <t/>
        </is>
      </c>
      <c r="B914" t="inlineStr">
        <is>
          <t/>
        </is>
      </c>
    </row>
    <row r="915">
      <c r="A915" t="inlineStr">
        <is>
          <t/>
        </is>
      </c>
      <c r="B915" t="inlineStr">
        <is>
          <t/>
        </is>
      </c>
    </row>
    <row r="916">
      <c r="A916" t="inlineStr">
        <is>
          <t/>
        </is>
      </c>
      <c r="B916" t="inlineStr">
        <is>
          <t/>
        </is>
      </c>
    </row>
    <row r="917">
      <c r="A917" t="inlineStr">
        <is>
          <t/>
        </is>
      </c>
      <c r="B917" t="inlineStr">
        <is>
          <t/>
        </is>
      </c>
    </row>
    <row r="918">
      <c r="A918" t="inlineStr">
        <is>
          <t/>
        </is>
      </c>
    </row>
    <row r="919">
      <c r="A919" t="inlineStr">
        <is>
          <t/>
        </is>
      </c>
      <c r="B919" t="inlineStr">
        <is>
          <t/>
        </is>
      </c>
      <c r="C919" t="inlineStr">
        <is>
          <t/>
        </is>
      </c>
      <c r="D919" t="inlineStr">
        <is>
          <t/>
        </is>
      </c>
      <c r="E919" t="inlineStr">
        <is>
          <t/>
        </is>
      </c>
      <c r="F919" t="inlineStr">
        <is>
          <t/>
        </is>
      </c>
      <c r="G919" t="inlineStr">
        <is>
          <t/>
        </is>
      </c>
      <c r="H919" t="inlineStr">
        <is>
          <t/>
        </is>
      </c>
      <c r="I919" t="inlineStr">
        <is>
          <t/>
        </is>
      </c>
    </row>
    <row r="920">
      <c r="A920" t="inlineStr">
        <is>
          <t/>
        </is>
      </c>
      <c r="B920" t="inlineStr">
        <is>
          <t/>
        </is>
      </c>
      <c r="C920" t="inlineStr">
        <is>
          <t/>
        </is>
      </c>
      <c r="D920" t="inlineStr">
        <is>
          <t/>
        </is>
      </c>
      <c r="F920" t="inlineStr">
        <is>
          <t/>
        </is>
      </c>
      <c r="G920" t="inlineStr">
        <is>
          <t/>
        </is>
      </c>
      <c r="I920" t="inlineStr">
        <is>
          <t/>
        </is>
      </c>
    </row>
    <row r="921">
      <c r="A921" t="inlineStr">
        <is>
          <t/>
        </is>
      </c>
      <c r="B921" t="inlineStr">
        <is>
          <t/>
        </is>
      </c>
      <c r="C921" t="inlineStr">
        <is>
          <t/>
        </is>
      </c>
      <c r="D921" t="inlineStr">
        <is>
          <t/>
        </is>
      </c>
      <c r="F921" t="inlineStr">
        <is>
          <t/>
        </is>
      </c>
      <c r="G921" t="inlineStr">
        <is>
          <t/>
        </is>
      </c>
      <c r="H921" t="inlineStr">
        <is>
          <t/>
        </is>
      </c>
      <c r="I921" t="inlineStr">
        <is>
          <t/>
        </is>
      </c>
    </row>
    <row r="922">
      <c r="A922" t="inlineStr">
        <is>
          <t/>
        </is>
      </c>
      <c r="B922" t="inlineStr">
        <is>
          <t/>
        </is>
      </c>
      <c r="C922" t="inlineStr">
        <is>
          <t/>
        </is>
      </c>
      <c r="D922" t="inlineStr">
        <is>
          <t/>
        </is>
      </c>
      <c r="F922" t="inlineStr">
        <is>
          <t/>
        </is>
      </c>
      <c r="G922" t="inlineStr">
        <is>
          <t/>
        </is>
      </c>
      <c r="I922" t="inlineStr">
        <is>
          <t/>
        </is>
      </c>
    </row>
    <row r="923">
      <c r="A923" t="inlineStr">
        <is>
          <t/>
        </is>
      </c>
      <c r="B923" t="inlineStr">
        <is>
          <t/>
        </is>
      </c>
      <c r="C923" t="inlineStr">
        <is>
          <t/>
        </is>
      </c>
      <c r="D923" t="inlineStr">
        <is>
          <t/>
        </is>
      </c>
      <c r="F923" t="inlineStr">
        <is>
          <t/>
        </is>
      </c>
      <c r="G923" t="inlineStr">
        <is>
          <t/>
        </is>
      </c>
      <c r="I923" t="inlineStr">
        <is>
          <t/>
        </is>
      </c>
    </row>
    <row r="924">
      <c r="A924" t="inlineStr">
        <is>
          <t/>
        </is>
      </c>
      <c r="B924" t="inlineStr">
        <is>
          <t/>
        </is>
      </c>
      <c r="C924" t="inlineStr">
        <is>
          <t/>
        </is>
      </c>
      <c r="D924" t="inlineStr">
        <is>
          <t/>
        </is>
      </c>
      <c r="F924" t="inlineStr">
        <is>
          <t/>
        </is>
      </c>
      <c r="G924" t="inlineStr">
        <is>
          <t/>
        </is>
      </c>
      <c r="I924" t="inlineStr">
        <is>
          <t/>
        </is>
      </c>
    </row>
    <row r="925">
      <c r="A925" t="inlineStr">
        <is>
          <t/>
        </is>
      </c>
      <c r="B925" t="inlineStr">
        <is>
          <t/>
        </is>
      </c>
      <c r="C925" t="inlineStr">
        <is>
          <t/>
        </is>
      </c>
      <c r="D925" t="inlineStr">
        <is>
          <t/>
        </is>
      </c>
      <c r="F925" t="inlineStr">
        <is>
          <t/>
        </is>
      </c>
      <c r="G925" t="inlineStr">
        <is>
          <t/>
        </is>
      </c>
      <c r="I925" t="inlineStr">
        <is>
          <t/>
        </is>
      </c>
    </row>
    <row r="926">
      <c r="A926" t="inlineStr">
        <is>
          <t/>
        </is>
      </c>
      <c r="B926" t="inlineStr">
        <is>
          <t/>
        </is>
      </c>
      <c r="C926" t="inlineStr">
        <is>
          <t/>
        </is>
      </c>
      <c r="D926" t="inlineStr">
        <is>
          <t/>
        </is>
      </c>
      <c r="F926" t="inlineStr">
        <is>
          <t/>
        </is>
      </c>
      <c r="G926" t="inlineStr">
        <is>
          <t/>
        </is>
      </c>
      <c r="I926" t="inlineStr">
        <is>
          <t/>
        </is>
      </c>
    </row>
    <row r="927">
      <c r="A927" t="inlineStr">
        <is>
          <t/>
        </is>
      </c>
      <c r="B927" t="inlineStr">
        <is>
          <t/>
        </is>
      </c>
      <c r="C927" t="inlineStr">
        <is>
          <t/>
        </is>
      </c>
      <c r="D927" t="inlineStr">
        <is>
          <t/>
        </is>
      </c>
      <c r="F927" t="inlineStr">
        <is>
          <t/>
        </is>
      </c>
      <c r="G927" t="inlineStr">
        <is>
          <t/>
        </is>
      </c>
      <c r="I927" t="inlineStr">
        <is>
          <t/>
        </is>
      </c>
    </row>
    <row r="928">
      <c r="A928" t="inlineStr">
        <is>
          <t/>
        </is>
      </c>
      <c r="B928" t="inlineStr">
        <is>
          <t/>
        </is>
      </c>
      <c r="C928" t="inlineStr">
        <is>
          <t/>
        </is>
      </c>
      <c r="D928" t="inlineStr">
        <is>
          <t/>
        </is>
      </c>
      <c r="F928" t="inlineStr">
        <is>
          <t/>
        </is>
      </c>
      <c r="G928" t="inlineStr">
        <is>
          <t/>
        </is>
      </c>
      <c r="I928" t="inlineStr">
        <is>
          <t/>
        </is>
      </c>
    </row>
    <row r="929">
      <c r="A929" t="inlineStr">
        <is>
          <t/>
        </is>
      </c>
      <c r="B929" t="inlineStr">
        <is>
          <t/>
        </is>
      </c>
      <c r="C929" t="inlineStr">
        <is>
          <t/>
        </is>
      </c>
      <c r="D929" t="inlineStr">
        <is>
          <t/>
        </is>
      </c>
      <c r="F929" t="inlineStr">
        <is>
          <t/>
        </is>
      </c>
      <c r="G929" t="inlineStr">
        <is>
          <t/>
        </is>
      </c>
      <c r="I929" t="inlineStr">
        <is>
          <t/>
        </is>
      </c>
    </row>
    <row r="930">
      <c r="A930" t="inlineStr">
        <is>
          <t/>
        </is>
      </c>
      <c r="B930" t="inlineStr">
        <is>
          <t/>
        </is>
      </c>
      <c r="C930" t="inlineStr">
        <is>
          <t/>
        </is>
      </c>
      <c r="D930" t="inlineStr">
        <is>
          <t/>
        </is>
      </c>
      <c r="F930" t="inlineStr">
        <is>
          <t/>
        </is>
      </c>
      <c r="G930" t="inlineStr">
        <is>
          <t/>
        </is>
      </c>
      <c r="I930" t="inlineStr">
        <is>
          <t/>
        </is>
      </c>
    </row>
    <row r="931">
      <c r="A931" t="inlineStr">
        <is>
          <t/>
        </is>
      </c>
      <c r="B931" t="inlineStr">
        <is>
          <t/>
        </is>
      </c>
      <c r="C931" t="inlineStr">
        <is>
          <t/>
        </is>
      </c>
      <c r="D931" t="inlineStr">
        <is>
          <t/>
        </is>
      </c>
      <c r="F931" t="inlineStr">
        <is>
          <t/>
        </is>
      </c>
      <c r="G931" t="inlineStr">
        <is>
          <t/>
        </is>
      </c>
      <c r="I931" t="inlineStr">
        <is>
          <t/>
        </is>
      </c>
    </row>
    <row r="932">
      <c r="A932" t="inlineStr">
        <is>
          <t/>
        </is>
      </c>
      <c r="B932" t="inlineStr">
        <is>
          <t/>
        </is>
      </c>
      <c r="C932" t="inlineStr">
        <is>
          <t/>
        </is>
      </c>
      <c r="D932" t="inlineStr">
        <is>
          <t/>
        </is>
      </c>
      <c r="F932" t="inlineStr">
        <is>
          <t/>
        </is>
      </c>
      <c r="G932" t="inlineStr">
        <is>
          <t/>
        </is>
      </c>
      <c r="I932" t="inlineStr">
        <is>
          <t/>
        </is>
      </c>
    </row>
    <row r="933">
      <c r="A933" t="inlineStr">
        <is>
          <t/>
        </is>
      </c>
      <c r="B933" t="inlineStr">
        <is>
          <t/>
        </is>
      </c>
      <c r="C933" t="inlineStr">
        <is>
          <t/>
        </is>
      </c>
      <c r="D933" t="inlineStr">
        <is>
          <t/>
        </is>
      </c>
      <c r="F933" t="inlineStr">
        <is>
          <t/>
        </is>
      </c>
      <c r="G933" t="inlineStr">
        <is>
          <t/>
        </is>
      </c>
      <c r="I933" t="inlineStr">
        <is>
          <t/>
        </is>
      </c>
    </row>
    <row r="936">
      <c r="A936" t="inlineStr">
        <is>
          <t/>
        </is>
      </c>
      <c r="B936" t="inlineStr">
        <is>
          <t/>
        </is>
      </c>
    </row>
    <row r="937">
      <c r="A937" t="inlineStr">
        <is>
          <t/>
        </is>
      </c>
      <c r="B937" t="inlineStr">
        <is>
          <t/>
        </is>
      </c>
    </row>
    <row r="938">
      <c r="A938" t="inlineStr">
        <is>
          <t/>
        </is>
      </c>
      <c r="B938" t="inlineStr">
        <is>
          <t/>
        </is>
      </c>
    </row>
    <row r="939">
      <c r="A939" t="inlineStr">
        <is>
          <t/>
        </is>
      </c>
      <c r="B939" t="inlineStr">
        <is>
          <t/>
        </is>
      </c>
    </row>
    <row r="940">
      <c r="A940" t="inlineStr">
        <is>
          <t/>
        </is>
      </c>
      <c r="B940" t="inlineStr">
        <is>
          <t/>
        </is>
      </c>
    </row>
    <row r="941">
      <c r="A941" t="inlineStr">
        <is>
          <t/>
        </is>
      </c>
      <c r="B941" t="inlineStr">
        <is>
          <t/>
        </is>
      </c>
    </row>
    <row r="942">
      <c r="A942" t="inlineStr">
        <is>
          <t/>
        </is>
      </c>
      <c r="B942" t="inlineStr">
        <is>
          <t/>
        </is>
      </c>
    </row>
    <row r="943">
      <c r="A943" t="inlineStr">
        <is>
          <t/>
        </is>
      </c>
    </row>
    <row r="944">
      <c r="A944" t="inlineStr">
        <is>
          <t/>
        </is>
      </c>
      <c r="B944" t="inlineStr">
        <is>
          <t/>
        </is>
      </c>
      <c r="C944" t="inlineStr">
        <is>
          <t/>
        </is>
      </c>
      <c r="D944" t="inlineStr">
        <is>
          <t/>
        </is>
      </c>
      <c r="E944" t="inlineStr">
        <is>
          <t/>
        </is>
      </c>
      <c r="F944" t="inlineStr">
        <is>
          <t/>
        </is>
      </c>
      <c r="G944" t="inlineStr">
        <is>
          <t/>
        </is>
      </c>
      <c r="H944" t="inlineStr">
        <is>
          <t/>
        </is>
      </c>
      <c r="I944" t="inlineStr">
        <is>
          <t/>
        </is>
      </c>
    </row>
    <row r="945">
      <c r="A945" t="inlineStr">
        <is>
          <t/>
        </is>
      </c>
      <c r="B945" t="inlineStr">
        <is>
          <t/>
        </is>
      </c>
      <c r="C945" t="inlineStr">
        <is>
          <t/>
        </is>
      </c>
      <c r="D945" t="inlineStr">
        <is>
          <t/>
        </is>
      </c>
      <c r="F945" t="inlineStr">
        <is>
          <t/>
        </is>
      </c>
      <c r="G945" t="inlineStr">
        <is>
          <t/>
        </is>
      </c>
      <c r="I945" t="inlineStr">
        <is>
          <t/>
        </is>
      </c>
    </row>
    <row r="946">
      <c r="A946" t="inlineStr">
        <is>
          <t/>
        </is>
      </c>
      <c r="B946" t="inlineStr">
        <is>
          <t/>
        </is>
      </c>
      <c r="C946" t="inlineStr">
        <is>
          <t/>
        </is>
      </c>
      <c r="D946" t="inlineStr">
        <is>
          <t/>
        </is>
      </c>
      <c r="F946" t="inlineStr">
        <is>
          <t/>
        </is>
      </c>
      <c r="G946" t="inlineStr">
        <is>
          <t/>
        </is>
      </c>
      <c r="H946" t="inlineStr">
        <is>
          <t/>
        </is>
      </c>
      <c r="I946" t="inlineStr">
        <is>
          <t/>
        </is>
      </c>
    </row>
    <row r="947">
      <c r="A947" t="inlineStr">
        <is>
          <t/>
        </is>
      </c>
      <c r="B947" t="inlineStr">
        <is>
          <t/>
        </is>
      </c>
      <c r="C947" t="inlineStr">
        <is>
          <t/>
        </is>
      </c>
      <c r="D947" t="inlineStr">
        <is>
          <t/>
        </is>
      </c>
      <c r="F947" t="inlineStr">
        <is>
          <t/>
        </is>
      </c>
      <c r="G947" t="inlineStr">
        <is>
          <t/>
        </is>
      </c>
      <c r="I947" t="inlineStr">
        <is>
          <t/>
        </is>
      </c>
    </row>
    <row r="948">
      <c r="A948" t="inlineStr">
        <is>
          <t/>
        </is>
      </c>
      <c r="B948" t="inlineStr">
        <is>
          <t/>
        </is>
      </c>
      <c r="C948" t="inlineStr">
        <is>
          <t/>
        </is>
      </c>
      <c r="D948" t="inlineStr">
        <is>
          <t/>
        </is>
      </c>
      <c r="F948" t="inlineStr">
        <is>
          <t/>
        </is>
      </c>
      <c r="G948" t="inlineStr">
        <is>
          <t/>
        </is>
      </c>
      <c r="I948" t="inlineStr">
        <is>
          <t/>
        </is>
      </c>
    </row>
    <row r="949">
      <c r="A949" t="inlineStr">
        <is>
          <t/>
        </is>
      </c>
      <c r="B949" t="inlineStr">
        <is>
          <t/>
        </is>
      </c>
      <c r="C949" t="inlineStr">
        <is>
          <t/>
        </is>
      </c>
      <c r="D949" t="inlineStr">
        <is>
          <t/>
        </is>
      </c>
      <c r="F949" t="inlineStr">
        <is>
          <t/>
        </is>
      </c>
      <c r="G949" t="inlineStr">
        <is>
          <t/>
        </is>
      </c>
      <c r="I949" t="inlineStr">
        <is>
          <t/>
        </is>
      </c>
    </row>
    <row r="950">
      <c r="A950" t="inlineStr">
        <is>
          <t/>
        </is>
      </c>
      <c r="B950" t="inlineStr">
        <is>
          <t/>
        </is>
      </c>
      <c r="C950" t="inlineStr">
        <is>
          <t/>
        </is>
      </c>
      <c r="D950" t="inlineStr">
        <is>
          <t/>
        </is>
      </c>
      <c r="F950" t="inlineStr">
        <is>
          <t/>
        </is>
      </c>
      <c r="G950" t="inlineStr">
        <is>
          <t/>
        </is>
      </c>
      <c r="I950" t="inlineStr">
        <is>
          <t/>
        </is>
      </c>
    </row>
    <row r="951">
      <c r="A951" t="inlineStr">
        <is>
          <t/>
        </is>
      </c>
      <c r="B951" t="inlineStr">
        <is>
          <t/>
        </is>
      </c>
      <c r="C951" t="inlineStr">
        <is>
          <t/>
        </is>
      </c>
      <c r="D951" t="inlineStr">
        <is>
          <t/>
        </is>
      </c>
      <c r="F951" t="inlineStr">
        <is>
          <t/>
        </is>
      </c>
      <c r="G951" t="inlineStr">
        <is>
          <t/>
        </is>
      </c>
      <c r="I951" t="inlineStr">
        <is>
          <t/>
        </is>
      </c>
    </row>
    <row r="952">
      <c r="A952" t="inlineStr">
        <is>
          <t/>
        </is>
      </c>
      <c r="B952" t="inlineStr">
        <is>
          <t/>
        </is>
      </c>
      <c r="C952" t="inlineStr">
        <is>
          <t/>
        </is>
      </c>
      <c r="D952" t="inlineStr">
        <is>
          <t/>
        </is>
      </c>
      <c r="F952" t="inlineStr">
        <is>
          <t/>
        </is>
      </c>
      <c r="G952" t="inlineStr">
        <is>
          <t/>
        </is>
      </c>
      <c r="I952" t="inlineStr">
        <is>
          <t/>
        </is>
      </c>
    </row>
    <row r="953">
      <c r="A953" t="inlineStr">
        <is>
          <t/>
        </is>
      </c>
      <c r="B953" t="inlineStr">
        <is>
          <t/>
        </is>
      </c>
      <c r="C953" t="inlineStr">
        <is>
          <t/>
        </is>
      </c>
      <c r="D953" t="inlineStr">
        <is>
          <t/>
        </is>
      </c>
      <c r="F953" t="inlineStr">
        <is>
          <t/>
        </is>
      </c>
      <c r="G953" t="inlineStr">
        <is>
          <t/>
        </is>
      </c>
      <c r="I953" t="inlineStr">
        <is>
          <t/>
        </is>
      </c>
    </row>
    <row r="954">
      <c r="A954" t="inlineStr">
        <is>
          <t/>
        </is>
      </c>
      <c r="B954" t="inlineStr">
        <is>
          <t/>
        </is>
      </c>
      <c r="C954" t="inlineStr">
        <is>
          <t/>
        </is>
      </c>
      <c r="D954" t="inlineStr">
        <is>
          <t/>
        </is>
      </c>
      <c r="F954" t="inlineStr">
        <is>
          <t/>
        </is>
      </c>
      <c r="G954" t="inlineStr">
        <is>
          <t/>
        </is>
      </c>
      <c r="I954" t="inlineStr">
        <is>
          <t/>
        </is>
      </c>
    </row>
    <row r="955">
      <c r="A955" t="inlineStr">
        <is>
          <t/>
        </is>
      </c>
      <c r="B955" t="inlineStr">
        <is>
          <t/>
        </is>
      </c>
      <c r="C955" t="inlineStr">
        <is>
          <t/>
        </is>
      </c>
      <c r="D955" t="inlineStr">
        <is>
          <t/>
        </is>
      </c>
      <c r="F955" t="inlineStr">
        <is>
          <t/>
        </is>
      </c>
      <c r="G955" t="inlineStr">
        <is>
          <t/>
        </is>
      </c>
      <c r="I955" t="inlineStr">
        <is>
          <t/>
        </is>
      </c>
    </row>
    <row r="956">
      <c r="A956" t="inlineStr">
        <is>
          <t/>
        </is>
      </c>
      <c r="B956" t="inlineStr">
        <is>
          <t/>
        </is>
      </c>
      <c r="C956" t="inlineStr">
        <is>
          <t/>
        </is>
      </c>
      <c r="D956" t="inlineStr">
        <is>
          <t/>
        </is>
      </c>
      <c r="F956" t="inlineStr">
        <is>
          <t/>
        </is>
      </c>
      <c r="G956" t="inlineStr">
        <is>
          <t/>
        </is>
      </c>
      <c r="I956" t="inlineStr">
        <is>
          <t/>
        </is>
      </c>
    </row>
    <row r="957">
      <c r="A957" t="inlineStr">
        <is>
          <t/>
        </is>
      </c>
      <c r="B957" t="inlineStr">
        <is>
          <t/>
        </is>
      </c>
      <c r="C957" t="inlineStr">
        <is>
          <t/>
        </is>
      </c>
      <c r="D957" t="inlineStr">
        <is>
          <t/>
        </is>
      </c>
      <c r="F957" t="inlineStr">
        <is>
          <t/>
        </is>
      </c>
      <c r="G957" t="inlineStr">
        <is>
          <t/>
        </is>
      </c>
      <c r="I957" t="inlineStr">
        <is>
          <t/>
        </is>
      </c>
    </row>
    <row r="958">
      <c r="A958" t="inlineStr">
        <is>
          <t/>
        </is>
      </c>
      <c r="B958" t="inlineStr">
        <is>
          <t/>
        </is>
      </c>
      <c r="C958" t="inlineStr">
        <is>
          <t/>
        </is>
      </c>
      <c r="D958" t="inlineStr">
        <is>
          <t/>
        </is>
      </c>
      <c r="F958" t="inlineStr">
        <is>
          <t/>
        </is>
      </c>
      <c r="G958" t="inlineStr">
        <is>
          <t/>
        </is>
      </c>
      <c r="I958" t="inlineStr">
        <is>
          <t/>
        </is>
      </c>
    </row>
    <row r="961">
      <c r="A961" t="inlineStr">
        <is>
          <t>Activity</t>
        </is>
      </c>
      <c r="B961" t="inlineStr">
        <is>
          <t>IGBT half-bridge module production, electrolysis motor drive, 1200 V, 300 A</t>
        </is>
      </c>
    </row>
    <row r="962">
      <c r="A962" t="inlineStr">
        <is>
          <t>location</t>
        </is>
      </c>
      <c r="B962" t="inlineStr">
        <is>
          <t>GLO</t>
        </is>
      </c>
    </row>
    <row r="963">
      <c r="A963" t="inlineStr">
        <is>
          <t>production amount</t>
        </is>
      </c>
      <c r="B963">
        <v>1</v>
      </c>
    </row>
    <row r="964">
      <c r="A964" t="inlineStr">
        <is>
          <t>reference product</t>
        </is>
      </c>
      <c r="B964" t="inlineStr">
        <is>
          <t>IGBT half-bridge module, electrolysis motor drive, 1200 V, 300 A</t>
        </is>
      </c>
    </row>
    <row r="965">
      <c r="A965" t="inlineStr">
        <is>
          <t>unit</t>
        </is>
      </c>
      <c r="B965" t="inlineStr">
        <is>
          <t>unit</t>
        </is>
      </c>
    </row>
    <row r="966">
      <c r="A966" t="inlineStr">
        <is>
          <t>source</t>
        </is>
      </c>
      <c r="B966" t="inlineStr">
        <is>
          <t>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t>
        </is>
      </c>
    </row>
    <row r="967">
      <c r="A967" t="inlineStr">
        <is>
          <t>comment</t>
        </is>
      </c>
      <c r="B967" t="inlineStr">
        <is>
          <t>SILICON IGBT DIE FABRICATION BOUNDARY, 2026-10-19. The selected FF300R12KT4 silicon IGBT module previously bought 1 g raw electronic-grade silicon without wafer fabrication. Replace only that die feed with the native GLO market for wafer, fabricated, for integrated circuit at 0.001/(2330*270e-6) = 0.00158957240502 square meter per module. This purchases FEOL/BEOL chemistry, process gases, lithography, doping, cleanroom utilities, upstream raw wafer and native fabrication yields once. No second complete module or packaged IC is purchased. Preserve every other module input, the 340 g unit, all consumer quantities, bulk ownership, lifetimes and EOL. The 1 g die mass is the EXISTING geometry assumption, not a newly recovered manufacturer BOM; 270 micrometres matches the native electronic wafer thickness, not a claim about this thinned IGBT4 die. A historical generic silicon IC fab is a process proxy for a power IGBT, not an exact qualified IGBT recipe. Illustrative 100/270/400 um thickness sensitivity is reported; it is not a measured distribution. The published PELCA IGBT model (https://doi.org/10.3390/su18052663) confirms why raw-wafer, device-processing and cleanroom boundaries are needed; its different 750 V ultrathin design is not silently copied as this 1200 V IGBT4. Manufacturer identity: https://www.infineon.com/part/FF300R12KT4 . Unknown module composition, actual die dimensions and power-device fabrication remain design sensitivities; this corrects an omitted manufacturing boundary without inventing new metal fractions. Actual SiC devices remain separate. Existing supplemental workbook only; no runtime, native, mapping or primary/secondary-share changes.
PREVIOUS NOTES (retained as history; the correction above takes precedence):
SILICON IGBT MODULE IDENTITY CORRECTION, 2026-10-19. The selected FF300R12KT4 reference is an Infineon TRENCHSTOP IGBT4 silicon half-bridge with emitter-controlled antiparallel diodes, not a SiC MOSFET module. Manufacturer: https://www.infineon.com/part/FF300R12KT4 ; datasheet https://www.infineon.com/assets/row/public/documents/non-assigned/49/infineon-ff300r12kt4-datasheet-en.pdf . Correct the activity, reference product, production exchange and all purchases in this workbook to IGBT half-bridge module. Preserve the same selected part, 1200 V/300 A ratings, 340 g declared piece, every material and process quantity, purchase count, lifetime and end-of-life allocation. This repairs a misleading label introduced by the earlier nomenclature revision; it does not change the physical design or turn the silicon feed into a fabricated die. The separate die-fabrication, geometry, unknown-composition and industrial-duty limitations remain open. Real SiC TO-247 switches and the separate SiC module reference are unchanged. No native, runtime or YAML edits.
PREVIOUS NOTES (retained as history; the correction above takes precedence):
Nomenclature revision, 2026-10-19. Former activity name: Electrolyzer auxiliary drive 1200V300A half-bridge, module geometry reference. Former reference product: Electrolyzer auxiliary drive 1200V300A half-bridge, module geometry reference. Activity/product labels and supplier references only; coefficients, formulas, uncertainty, declared output and unit are unchanged. Original engineering assumptions, functional-unit basis and limitations remain below.
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 Componentreference:InfineonIMW120R045M1 MCDMA00164188205April2021 andIMW65R048M1H MCDMA00540015111Dec2019,PG-TO247-3-41,6047.69/6047.25mg. Fullmgconstituentledgers={'1200V': {'SiC': 4.941, 'P': 1.192, 'steel': 3.972, 'Cu': 3967.074, 'Al': 4.257, 'carbon': 20.032, 'epoxy': 380.613, 'silica': 1602.58, 'Sn': 33.233, 'Ni': 29.065, 'Sb': 0.209, 'Ag': 0.523}, '650V': {'SiC': 2.646, 'P': 1.192, 'steel': 3.972, 'Cu': 3967.074, 'Al': 5.601, 'carbon': 20.046, 'epoxy': 380.868, 'silica': 1603.657, 'Sn': 32.692, 'Ni': 29.065, 'Sb': 0.126, 'Ag': 0.314}}. Ledgerrounding0.001/0.003mgnotarbitrarilyrenormalized. Source https://www.infineon.com/assets/row/public/documents/60/71/infineon-ma001641882-materialcontentsheet-en.pdf and https://www.infineon.com/assets/row/public/documents/24/71/infineon-ma005400151-materialcontentsheet-en.pdf . These3pinpackagesarematerialanalogues,notpin-compatibleclaimforTI4pinWolfspeedBOM. SiCpowderfeedisnotqualifiedepitaxy/waferfabrication;processyield/energy/purity remain gaps.1kWh/kgpackageassemblyreferenceadded,notfullICTchipproxy. FF300R12KT4 datasheet340g,1200V300Ahalfbridge,Cu baseplate,Al2O3isolation; https://www.infineon.com/assets/row/public/documents/60/49/infineon-ff300r12kt4-ds-en.pdf . ManufacturerfullMCDnotrecovered. ModulematerialinventoryisGEOMETRYENGINEERINGESTIMATE,notmanufacturerdeclaration. Assumedgrossbaseplate106.4x61.4x2.5mm,DBC35cm2with0.6mmCuand0.63mmAl2O3,25gCu terminals,45cm3PAhousing,25cm3siliconegel,1gSi,0.5gAlwire,4gSACsolder,10gsteel;geometry={'baseplate_length_m': 0.1064, 'baseplate_width_m': 0.0614, 'baseplate_thickness_m': 0.0025, 'DBC_area_m2': 0.0035, 'DBC_Cu_total_thickness_m': 0.0006, 'ceramic_thickness_m': 0.00063, 'Cu_density_kg_m3': 8960, 'alumina_density_kg_m3': 3900};knownmodulekg={'Cu': 0.190154304, 'alumina': 0.0085995, 'PA': 0.051300000000000005, 'silicone': 0.02425, 'Si': 0.001, 'Al': 0.0005, 'solder': 0.004, 'steel': 0.01};unresolvedmodulemass=0.050196196000000026kg. Exteriorfootprintusedasbaseplatearea isproxy;holes/recessesandrealplate thicknessunknown.Sensitivitybaseplate2-3mm,terminalCu15-35g,unresolvedcompositionnotzeroAu/Ni/Ag. FeedgradeSi/Al2O3/siliconesareproxies;diearea/doping/waferyieldunverified. Noextracompletemoduleinventoryon topofingredients.</t>
        </is>
      </c>
    </row>
    <row r="968">
      <c r="A968" t="inlineStr">
        <is>
          <t>Exchanges</t>
        </is>
      </c>
    </row>
    <row r="969">
      <c r="A969" t="inlineStr">
        <is>
          <t>name</t>
        </is>
      </c>
      <c r="B969" t="inlineStr">
        <is>
          <t>amount</t>
        </is>
      </c>
      <c r="C969" t="inlineStr">
        <is>
          <t>location</t>
        </is>
      </c>
      <c r="D969" t="inlineStr">
        <is>
          <t>unit</t>
        </is>
      </c>
      <c r="E969" t="inlineStr">
        <is>
          <t>categories</t>
        </is>
      </c>
      <c r="F969" t="inlineStr">
        <is>
          <t>type</t>
        </is>
      </c>
      <c r="G969" t="inlineStr">
        <is>
          <t>reference product</t>
        </is>
      </c>
      <c r="H969" t="inlineStr">
        <is>
          <t>comment</t>
        </is>
      </c>
      <c r="I969" t="inlineStr">
        <is>
          <t>product</t>
        </is>
      </c>
    </row>
    <row r="970">
      <c r="A970" t="inlineStr">
        <is>
          <t>IGBT half-bridge module production, electrolysis motor drive, 1200 V, 300 A</t>
        </is>
      </c>
      <c r="B970">
        <v>1</v>
      </c>
      <c r="C970" t="inlineStr">
        <is>
          <t>GLO</t>
        </is>
      </c>
      <c r="D970" t="inlineStr">
        <is>
          <t>unit</t>
        </is>
      </c>
      <c r="F970" t="inlineStr">
        <is>
          <t>production</t>
        </is>
      </c>
      <c r="G970" t="inlineStr">
        <is>
          <t>IGBT half-bridge module, electrolysis motor drive, 1200 V, 300 A</t>
        </is>
      </c>
      <c r="I970" t="inlineStr">
        <is>
          <t>IGBT half-bridge module, electrolysis motor drive, 1200 V, 300 A</t>
        </is>
      </c>
    </row>
    <row r="971">
      <c r="A971" t="inlineStr">
        <is>
          <t>market for copper, cathode</t>
        </is>
      </c>
      <c r="B971">
        <v>0.190154304</v>
      </c>
      <c r="C971" t="inlineStr">
        <is>
          <t>GLO</t>
        </is>
      </c>
      <c r="D971" t="inlineStr">
        <is>
          <t>kilogram</t>
        </is>
      </c>
      <c r="F971" t="inlineStr">
        <is>
          <t>technosphere</t>
        </is>
      </c>
      <c r="G971" t="inlineStr">
        <is>
          <t>copper, cathode</t>
        </is>
      </c>
      <c r="I971" t="inlineStr">
        <is>
          <t>copper, cathode</t>
        </is>
      </c>
    </row>
    <row r="972">
      <c r="A972" t="inlineStr">
        <is>
          <t>market for aluminium oxide, non-metallurgical</t>
        </is>
      </c>
      <c r="B972">
        <v>0.0085995</v>
      </c>
      <c r="C972" t="inlineStr">
        <is>
          <t>RoW</t>
        </is>
      </c>
      <c r="D972" t="inlineStr">
        <is>
          <t>kilogram</t>
        </is>
      </c>
      <c r="F972" t="inlineStr">
        <is>
          <t>technosphere</t>
        </is>
      </c>
      <c r="G972" t="inlineStr">
        <is>
          <t>aluminium oxide, non-metallurgical</t>
        </is>
      </c>
      <c r="I972" t="inlineStr">
        <is>
          <t>aluminium oxide, non-metallurgical</t>
        </is>
      </c>
    </row>
    <row r="973">
      <c r="A973" t="inlineStr">
        <is>
          <t>market for nylon 6-6</t>
        </is>
      </c>
      <c r="B973">
        <v>0.051300000000000005</v>
      </c>
      <c r="C973" t="inlineStr">
        <is>
          <t>RER</t>
        </is>
      </c>
      <c r="D973" t="inlineStr">
        <is>
          <t>kilogram</t>
        </is>
      </c>
      <c r="F973" t="inlineStr">
        <is>
          <t>technosphere</t>
        </is>
      </c>
      <c r="G973" t="inlineStr">
        <is>
          <t>nylon 6-6</t>
        </is>
      </c>
      <c r="I973" t="inlineStr">
        <is>
          <t>nylon 6-6</t>
        </is>
      </c>
    </row>
    <row r="974">
      <c r="A974" t="inlineStr">
        <is>
          <t>market for silicone product</t>
        </is>
      </c>
      <c r="B974">
        <v>0.02425</v>
      </c>
      <c r="C974" t="inlineStr">
        <is>
          <t>RER</t>
        </is>
      </c>
      <c r="D974" t="inlineStr">
        <is>
          <t>kilogram</t>
        </is>
      </c>
      <c r="F974" t="inlineStr">
        <is>
          <t>technosphere</t>
        </is>
      </c>
      <c r="G974" t="inlineStr">
        <is>
          <t>silicone product</t>
        </is>
      </c>
      <c r="I974" t="inlineStr">
        <is>
          <t>silicone product</t>
        </is>
      </c>
    </row>
    <row r="975">
      <c r="A975" t="inlineStr">
        <is>
          <t>market for wafer, fabricated, for integrated circuit</t>
        </is>
      </c>
      <c r="B975">
        <v>0.0015895724050230488</v>
      </c>
      <c r="C975" t="inlineStr">
        <is>
          <t>GLO</t>
        </is>
      </c>
      <c r="D975" t="inlineStr">
        <is>
          <t>square meter</t>
        </is>
      </c>
      <c r="F975" t="inlineStr">
        <is>
          <t>technosphere</t>
        </is>
      </c>
      <c r="G975" t="inlineStr">
        <is>
          <t>wafer, fabricated, for integrated circuit</t>
        </is>
      </c>
      <c r="H975" t="inlineStr">
        <is>
          <t>SILICON IGBT DIE FABRICATION BOUNDARY, 2026-10-19. The selected FF300R12KT4 silicon IGBT module previously bought 1 g raw electronic-grade silicon without wafer fabrication. Replace only that die feed with the native GLO market for wafer, fabricated, for integrated circuit at 0.001/(2330*270e-6) = 0.00158957240502 square meter per module. This purchases FEOL/BEOL chemistry, process gases, lithography, doping, cleanroom utilities, upstream raw wafer and native fabrication yields once. No second complete module or packaged IC is purchased. Preserve every other module input, the 340 g unit, all consumer quantities, bulk ownership, lifetimes and EOL. The 1 g die mass is the EXISTING geometry assumption, not a newly recovered manufacturer BOM; 270 micrometres matches the native electronic wafer thickness, not a claim about this thinned IGBT4 die. A historical generic silicon IC fab is a process proxy for a power IGBT, not an exact qualified IGBT recipe. Illustrative 100/270/400 um thickness sensitivity is reported; it is not a measured distribution. The published PELCA IGBT model (https://doi.org/10.3390/su18052663) confirms why raw-wafer, device-processing and cleanroom boundaries are needed; its different 750 V ultrathin design is not silently copied as this 1200 V IGBT4. Manufacturer identity: https://www.infineon.com/part/FF300R12KT4 . Unknown module composition, actual die dimensions and power-device fabrication remain design sensitivities; this corrects an omitted manufacturing boundary without inventing new metal fractions. Actual SiC devices remain separate. Existing supplemental workbook only; no runtime, native, mapping or primary/secondary-share changes.</t>
        </is>
      </c>
      <c r="I975" t="inlineStr">
        <is>
          <t>wafer, fabricated, for integrated circuit</t>
        </is>
      </c>
    </row>
    <row r="976">
      <c r="A976" t="inlineStr">
        <is>
          <t>market for aluminium, primary, ingot</t>
        </is>
      </c>
      <c r="B976">
        <v>0.0005</v>
      </c>
      <c r="C976" t="inlineStr">
        <is>
          <t>RoW</t>
        </is>
      </c>
      <c r="D976" t="inlineStr">
        <is>
          <t>kilogram</t>
        </is>
      </c>
      <c r="F976" t="inlineStr">
        <is>
          <t>technosphere</t>
        </is>
      </c>
      <c r="G976" t="inlineStr">
        <is>
          <t>aluminium, primary, ingot</t>
        </is>
      </c>
      <c r="I976" t="inlineStr">
        <is>
          <t>aluminium, primary, ingot</t>
        </is>
      </c>
    </row>
    <row r="977">
      <c r="A977" t="inlineStr">
        <is>
          <t>market for solder, bar, Sn95.5Ag3.9Cu0.6, for electronics industry</t>
        </is>
      </c>
      <c r="B977">
        <v>0.004</v>
      </c>
      <c r="C977" t="inlineStr">
        <is>
          <t>GLO</t>
        </is>
      </c>
      <c r="D977" t="inlineStr">
        <is>
          <t>kilogram</t>
        </is>
      </c>
      <c r="F977" t="inlineStr">
        <is>
          <t>technosphere</t>
        </is>
      </c>
      <c r="G977" t="inlineStr">
        <is>
          <t>solder, bar, Sn95.5Ag3.9Cu0.6, for electronics industry</t>
        </is>
      </c>
      <c r="I977" t="inlineStr">
        <is>
          <t>solder, bar, Sn95.5Ag3.9Cu0.6, for electronics industry</t>
        </is>
      </c>
    </row>
    <row r="978">
      <c r="A978" t="inlineStr">
        <is>
          <t>market for steel, low-alloyed</t>
        </is>
      </c>
      <c r="B978">
        <v>0.01</v>
      </c>
      <c r="C978" t="inlineStr">
        <is>
          <t>GLO</t>
        </is>
      </c>
      <c r="D978" t="inlineStr">
        <is>
          <t>kilogram</t>
        </is>
      </c>
      <c r="F978" t="inlineStr">
        <is>
          <t>technosphere</t>
        </is>
      </c>
      <c r="G978" t="inlineStr">
        <is>
          <t>steel, low-alloyed</t>
        </is>
      </c>
      <c r="I978" t="inlineStr">
        <is>
          <t>steel, low-alloyed</t>
        </is>
      </c>
    </row>
    <row r="979">
      <c r="A979" t="inlineStr">
        <is>
          <t>market group for electricity, medium voltage</t>
        </is>
      </c>
      <c r="B979">
        <v>0.34</v>
      </c>
      <c r="C979" t="inlineStr">
        <is>
          <t>GLO</t>
        </is>
      </c>
      <c r="D979" t="inlineStr">
        <is>
          <t>kilowatt hour</t>
        </is>
      </c>
      <c r="F979" t="inlineStr">
        <is>
          <t>technosphere</t>
        </is>
      </c>
      <c r="G979" t="inlineStr">
        <is>
          <t>electricity, medium voltage</t>
        </is>
      </c>
      <c r="I979" t="inlineStr">
        <is>
          <t>electricity, medium voltage</t>
        </is>
      </c>
    </row>
    <row r="982">
      <c r="A982" t="inlineStr">
        <is>
          <t>Activity</t>
        </is>
      </c>
      <c r="B982" t="inlineStr">
        <is>
          <t xml:space="preserve">motor drive production, industrial, 75 kW</t>
        </is>
      </c>
    </row>
    <row r="983">
      <c r="A983" t="inlineStr">
        <is>
          <t>location</t>
        </is>
      </c>
      <c r="B983" t="inlineStr">
        <is>
          <t>GLO</t>
        </is>
      </c>
    </row>
    <row r="984">
      <c r="A984" t="inlineStr">
        <is>
          <t>production amount</t>
        </is>
      </c>
      <c r="B984">
        <v>1</v>
      </c>
    </row>
    <row r="985">
      <c r="A985" t="inlineStr">
        <is>
          <t>reference product</t>
        </is>
      </c>
      <c r="B985" t="inlineStr">
        <is>
          <t xml:space="preserve">motor drive, industrial, 75 kW</t>
        </is>
      </c>
    </row>
    <row r="986">
      <c r="A986" t="inlineStr">
        <is>
          <t>unit</t>
        </is>
      </c>
      <c r="B986" t="inlineStr">
        <is>
          <t>unit</t>
        </is>
      </c>
    </row>
    <row r="987">
      <c r="A987" t="inlineStr">
        <is>
          <t>source</t>
        </is>
      </c>
      <c r="B987" t="inlineStr">
        <is>
          <t>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t>
        </is>
      </c>
    </row>
    <row r="988">
      <c r="A988" t="inlineStr">
        <is>
          <t>comment</t>
        </is>
      </c>
      <c r="B988" t="inlineStr">
        <is>
          <t xml:space="preserve">Nomenclature revision, 2026-10-19. Former activity name: industrial motor drive, 75kW auxiliary reference. Former reference product: industrial motor drive, 75kW auxiliary reference. Activity/product labels and supplier references only; coefficients, formulas, uncertainty, declared output and unit are unchanged. Original engineering assumptions, functional-unit basis and limitations remain below.
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 Componentreference:InfineonIMW120R045M1 MCDMA00164188205April2021 andIMW65R048M1H MCDMA00540015111Dec2019,PG-TO247-3-41,6047.69/6047.25mg. Fullmgconstituentledgers={'1200V': {'SiC': 4.941, 'P': 1.192, 'steel': 3.972, 'Cu': 3967.074, 'Al': 4.257, 'carbon': 20.032, 'epoxy': 380.613, 'silica': 1602.58, 'Sn': 33.233, 'Ni': 29.065, 'Sb': 0.209, 'Ag': 0.523}, '650V': {'SiC': 2.646, 'P': 1.192, 'steel': 3.972, 'Cu': 3967.074, 'Al': 5.601, 'carbon': 20.046, 'epoxy': 380.868, 'silica': 1603.657, 'Sn': 32.692, 'Ni': 29.065, 'Sb': 0.126, 'Ag': 0.314}}. Ledgerrounding0.001/0.003mgnotarbitrarilyrenormalized. Source https://www.infineon.com/assets/row/public/documents/60/71/infineon-ma001641882-materialcontentsheet-en.pdf and https://www.infineon.com/assets/row/public/documents/24/71/infineon-ma005400151-materialcontentsheet-en.pdf . These3pinpackagesarematerialanalogues,notpin-compatibleclaimforTI4pinWolfspeedBOM. SiCpowderfeedisnotqualifiedepitaxy/waferfabrication;processyield/energy/purity remain gaps.1kWh/kgpackageassemblyreferenceadded,notfullICTchipproxy. FF300R12KT4 datasheet340g,1200V300Ahalfbridge,Cu baseplate,Al2O3isolation; https://www.infineon.com/assets/row/public/documents/60/49/infineon-ff300r12kt4-ds-en.pdf . ManufacturerfullMCDnotrecovered. ModulematerialinventoryisGEOMETRYENGINEERINGESTIMATE,notmanufacturerdeclaration. Assumedgrossbaseplate106.4x61.4x2.5mm,DBC35cm2with0.6mmCuand0.63mmAl2O3,25gCu terminals,45cm3PAhousing,25cm3siliconegel,1gSi,0.5gAlwire,4gSACsolder,10gsteel;geometry={'baseplate_length_m': 0.1064, 'baseplate_width_m': 0.0614, 'baseplate_thickness_m': 0.0025, 'DBC_area_m2': 0.0035, 'DBC_Cu_total_thickness_m': 0.0006, 'ceramic_thickness_m': 0.00063, 'Cu_density_kg_m3': 8960, 'alumina_density_kg_m3': 3900};knownmodulekg={'Cu': 0.190154304, 'alumina': 0.0085995, 'PA': 0.051300000000000005, 'silicone': 0.02425, 'Si': 0.001, 'Al': 0.0005, 'solder': 0.004, 'steel': 0.01};unresolvedmodulemass=0.050196196000000026kg. Exteriorfootprintusedasbaseplatearea isproxy;holes/recessesandrealplate thicknessunknown.Sensitivitybaseplate2-3mm,terminalCu15-35g,unresolvedcompositionnotzeroAu/Ni/Ag. FeedgradeSi/Al2O3/siliconesareproxies;diearea/doping/waferyieldunverified. Noextracompletemoduleinventoryon topofingredients. Thisframe:installedmass=41.2016kg;EPDbulkledger={'steel': 21.069, 'Al': 6.74208, 'Cu': 3.37104, 'PC': 2.4814599999999998, 'ABS': 1.73234, 'electronics': 3.60514};unresolvedotherelectronics=0.11513999999999995kg;unresolvedtotaloutsidepackage=2.3156800000000035kg,pluscomponentmoduleunknownwhereapplicable. Packagingpaperusescorrugated-boxproxy,EPPusesPPresinwithoutverifiedfoamprocessing,SEBSusesgeneric syntheticrubberproxywithunvalidatedhydrogenation/grade,PCusesRoWproductionproxytoavoidunsupportedpre3.10regionalmarket.1kWh/driveon-siteassemblyallowanceassumed,notEPDmeasuredenergy.</t>
        </is>
      </c>
    </row>
    <row r="989">
      <c r="A989" t="inlineStr">
        <is>
          <t>Exchanges</t>
        </is>
      </c>
    </row>
    <row r="990">
      <c r="A990" t="inlineStr">
        <is>
          <t>name</t>
        </is>
      </c>
      <c r="B990" t="inlineStr">
        <is>
          <t>amount</t>
        </is>
      </c>
      <c r="C990" t="inlineStr">
        <is>
          <t>location</t>
        </is>
      </c>
      <c r="D990" t="inlineStr">
        <is>
          <t>unit</t>
        </is>
      </c>
      <c r="E990" t="inlineStr">
        <is>
          <t>categories</t>
        </is>
      </c>
      <c r="F990" t="inlineStr">
        <is>
          <t>type</t>
        </is>
      </c>
      <c r="G990" t="inlineStr">
        <is>
          <t>reference product</t>
        </is>
      </c>
      <c r="H990" t="inlineStr">
        <is>
          <t>comment</t>
        </is>
      </c>
      <c r="I990" t="inlineStr">
        <is>
          <t>product</t>
        </is>
      </c>
    </row>
    <row r="991">
      <c r="A991" t="inlineStr">
        <is>
          <t xml:space="preserve">motor drive production, industrial, 75 kW</t>
        </is>
      </c>
      <c r="B991">
        <v>1</v>
      </c>
      <c r="C991" t="inlineStr">
        <is>
          <t>GLO</t>
        </is>
      </c>
      <c r="D991" t="inlineStr">
        <is>
          <t>unit</t>
        </is>
      </c>
      <c r="F991" t="inlineStr">
        <is>
          <t>production</t>
        </is>
      </c>
      <c r="G991" t="inlineStr">
        <is>
          <t xml:space="preserve">motor drive, industrial, 75 kW</t>
        </is>
      </c>
      <c r="I991" t="inlineStr">
        <is>
          <t xml:space="preserve">motor drive, industrial, 75 kW</t>
        </is>
      </c>
    </row>
    <row r="992">
      <c r="A992" t="inlineStr">
        <is>
          <t>market for steel, low-alloyed</t>
        </is>
      </c>
      <c r="B992">
        <v>21.069</v>
      </c>
      <c r="C992" t="inlineStr">
        <is>
          <t>GLO</t>
        </is>
      </c>
      <c r="D992" t="inlineStr">
        <is>
          <t>kilogram</t>
        </is>
      </c>
      <c r="F992" t="inlineStr">
        <is>
          <t>technosphere</t>
        </is>
      </c>
      <c r="G992" t="inlineStr">
        <is>
          <t>steel, low-alloyed</t>
        </is>
      </c>
      <c r="I992" t="inlineStr">
        <is>
          <t>steel, low-alloyed</t>
        </is>
      </c>
    </row>
    <row r="993">
      <c r="A993" t="inlineStr">
        <is>
          <t>market for aluminium, wrought alloy</t>
        </is>
      </c>
      <c r="B993">
        <v>6.74208</v>
      </c>
      <c r="C993" t="inlineStr">
        <is>
          <t>GLO</t>
        </is>
      </c>
      <c r="D993" t="inlineStr">
        <is>
          <t>kilogram</t>
        </is>
      </c>
      <c r="F993" t="inlineStr">
        <is>
          <t>technosphere</t>
        </is>
      </c>
      <c r="G993" t="inlineStr">
        <is>
          <t>aluminium, wrought alloy</t>
        </is>
      </c>
      <c r="I993" t="inlineStr">
        <is>
          <t>aluminium, wrought alloy</t>
        </is>
      </c>
    </row>
    <row r="994">
      <c r="A994" t="inlineStr">
        <is>
          <t>market for copper, cathode</t>
        </is>
      </c>
      <c r="B994">
        <v>3.37104</v>
      </c>
      <c r="C994" t="inlineStr">
        <is>
          <t>GLO</t>
        </is>
      </c>
      <c r="D994" t="inlineStr">
        <is>
          <t>kilogram</t>
        </is>
      </c>
      <c r="F994" t="inlineStr">
        <is>
          <t>technosphere</t>
        </is>
      </c>
      <c r="G994" t="inlineStr">
        <is>
          <t>copper, cathode</t>
        </is>
      </c>
      <c r="I994" t="inlineStr">
        <is>
          <t>copper, cathode</t>
        </is>
      </c>
    </row>
    <row r="995">
      <c r="A995" t="inlineStr">
        <is>
          <t>polycarbonate production</t>
        </is>
      </c>
      <c r="B995">
        <v>2.4814599999999998</v>
      </c>
      <c r="C995" t="inlineStr">
        <is>
          <t>RoW</t>
        </is>
      </c>
      <c r="D995" t="inlineStr">
        <is>
          <t>kilogram</t>
        </is>
      </c>
      <c r="F995" t="inlineStr">
        <is>
          <t>technosphere</t>
        </is>
      </c>
      <c r="G995" t="inlineStr">
        <is>
          <t>polycarbonate</t>
        </is>
      </c>
      <c r="I995" t="inlineStr">
        <is>
          <t>polycarbonate</t>
        </is>
      </c>
    </row>
    <row r="996">
      <c r="A996" t="inlineStr">
        <is>
          <t>market for acrylonitrile-butadiene-styrene copolymer</t>
        </is>
      </c>
      <c r="B996">
        <v>1.73234</v>
      </c>
      <c r="C996" t="inlineStr">
        <is>
          <t>GLO</t>
        </is>
      </c>
      <c r="D996" t="inlineStr">
        <is>
          <t>kilogram</t>
        </is>
      </c>
      <c r="F996" t="inlineStr">
        <is>
          <t>technosphere</t>
        </is>
      </c>
      <c r="G996" t="inlineStr">
        <is>
          <t>acrylonitrile-butadiene-styrene copolymer</t>
        </is>
      </c>
      <c r="I996" t="inlineStr">
        <is>
          <t>acrylonitrile-butadiene-styrene copolymer</t>
        </is>
      </c>
    </row>
    <row r="997">
      <c r="A997" t="inlineStr">
        <is>
          <t>IGBT half-bridge module production, electrolysis motor drive, 1200 V, 300 A</t>
        </is>
      </c>
      <c r="B997">
        <v>6</v>
      </c>
      <c r="C997" t="inlineStr">
        <is>
          <t>GLO</t>
        </is>
      </c>
      <c r="D997" t="inlineStr">
        <is>
          <t>unit</t>
        </is>
      </c>
      <c r="F997" t="inlineStr">
        <is>
          <t>technosphere</t>
        </is>
      </c>
      <c r="G997" t="inlineStr">
        <is>
          <t>IGBT half-bridge module, electrolysis motor drive, 1200 V, 300 A</t>
        </is>
      </c>
      <c r="I997" t="inlineStr">
        <is>
          <t>IGBT half-bridge module, electrolysis motor drive, 1200 V, 300 A</t>
        </is>
      </c>
    </row>
    <row r="998">
      <c r="A998" t="inlineStr">
        <is>
          <t>market for printed wiring board, surface mounted, unspecified, Pb free</t>
        </is>
      </c>
      <c r="B998">
        <v>0.75</v>
      </c>
      <c r="C998" t="inlineStr">
        <is>
          <t>GLO</t>
        </is>
      </c>
      <c r="D998" t="inlineStr">
        <is>
          <t>kilogram</t>
        </is>
      </c>
      <c r="F998" t="inlineStr">
        <is>
          <t>technosphere</t>
        </is>
      </c>
      <c r="G998" t="inlineStr">
        <is>
          <t>printed wiring board, surface mounted, unspecified, Pb free</t>
        </is>
      </c>
      <c r="I998" t="inlineStr">
        <is>
          <t>printed wiring board, surface mounted, unspecified, Pb free</t>
        </is>
      </c>
    </row>
    <row r="999">
      <c r="A999" t="inlineStr">
        <is>
          <t>market for capacitor, film type, for through-hole mounting</t>
        </is>
      </c>
      <c r="B999">
        <v>0.65</v>
      </c>
      <c r="C999" t="inlineStr">
        <is>
          <t>GLO</t>
        </is>
      </c>
      <c r="D999" t="inlineStr">
        <is>
          <t>kilogram</t>
        </is>
      </c>
      <c r="F999" t="inlineStr">
        <is>
          <t>technosphere</t>
        </is>
      </c>
      <c r="G999" t="inlineStr">
        <is>
          <t>capacitor, film type, for through-hole mounting</t>
        </is>
      </c>
      <c r="I999" t="inlineStr">
        <is>
          <t>capacitor, film type, for through-hole mounting</t>
        </is>
      </c>
    </row>
    <row r="1000">
      <c r="A1000" t="inlineStr">
        <is>
          <t>market for fan, for power supply unit, desktop computer</t>
        </is>
      </c>
      <c r="B1000">
        <v>0.05</v>
      </c>
      <c r="C1000" t="inlineStr">
        <is>
          <t>GLO</t>
        </is>
      </c>
      <c r="D1000" t="inlineStr">
        <is>
          <t>kilogram</t>
        </is>
      </c>
      <c r="F1000" t="inlineStr">
        <is>
          <t>technosphere</t>
        </is>
      </c>
      <c r="G1000" t="inlineStr">
        <is>
          <t>fan, for power supply unit, desktop computer</t>
        </is>
      </c>
      <c r="I1000" t="inlineStr">
        <is>
          <t>fan, for power supply unit, desktop computer</t>
        </is>
      </c>
    </row>
    <row r="1001">
      <c r="A1001" t="inlineStr">
        <is>
          <t>market group for electricity, medium voltage</t>
        </is>
      </c>
      <c r="B1001">
        <v>1</v>
      </c>
      <c r="C1001" t="inlineStr">
        <is>
          <t>GLO</t>
        </is>
      </c>
      <c r="D1001" t="inlineStr">
        <is>
          <t>kilowatt hour</t>
        </is>
      </c>
      <c r="F1001" t="inlineStr">
        <is>
          <t>technosphere</t>
        </is>
      </c>
      <c r="G1001" t="inlineStr">
        <is>
          <t>electricity, medium voltage</t>
        </is>
      </c>
      <c r="I1001" t="inlineStr">
        <is>
          <t>electricity, medium voltage</t>
        </is>
      </c>
    </row>
    <row r="1002">
      <c r="A1002" t="inlineStr">
        <is>
          <t>market for sawnwood, board, softwood, raw, dried (u=10%)</t>
        </is>
      </c>
      <c r="B1002">
        <v>0.010019479999999999</v>
      </c>
      <c r="C1002" t="inlineStr">
        <is>
          <t>Europe without Switzerland</t>
        </is>
      </c>
      <c r="D1002" t="inlineStr">
        <is>
          <t>cubic meter</t>
        </is>
      </c>
      <c r="F1002" t="inlineStr">
        <is>
          <t>technosphere</t>
        </is>
      </c>
      <c r="G1002" t="inlineStr">
        <is>
          <t>sawnwood, board, softwood, raw, dried (u=10%)</t>
        </is>
      </c>
      <c r="I1002" t="inlineStr">
        <is>
          <t>sawnwood, board, softwood, raw, dried (u=10%)</t>
        </is>
      </c>
    </row>
    <row r="1003">
      <c r="A1003" t="inlineStr">
        <is>
          <t>market for waste wood, untreated</t>
        </is>
      </c>
      <c r="B1003">
        <v>-5.00974</v>
      </c>
      <c r="C1003" t="inlineStr">
        <is>
          <t>RoW</t>
        </is>
      </c>
      <c r="D1003" t="inlineStr">
        <is>
          <t>kilogram</t>
        </is>
      </c>
      <c r="F1003" t="inlineStr">
        <is>
          <t>technosphere</t>
        </is>
      </c>
      <c r="G1003" t="inlineStr">
        <is>
          <t>waste wood, untreated</t>
        </is>
      </c>
      <c r="I1003" t="inlineStr">
        <is>
          <t>waste wood, untreated</t>
        </is>
      </c>
    </row>
    <row r="1004">
      <c r="A1004" t="inlineStr">
        <is>
          <t>market for corrugated board box</t>
        </is>
      </c>
      <c r="B1004">
        <v>0.60866</v>
      </c>
      <c r="C1004" t="inlineStr">
        <is>
          <t>RER</t>
        </is>
      </c>
      <c r="D1004" t="inlineStr">
        <is>
          <t>kilogram</t>
        </is>
      </c>
      <c r="F1004" t="inlineStr">
        <is>
          <t>technosphere</t>
        </is>
      </c>
      <c r="G1004" t="inlineStr">
        <is>
          <t>corrugated board box</t>
        </is>
      </c>
      <c r="I1004" t="inlineStr">
        <is>
          <t>corrugated board box</t>
        </is>
      </c>
    </row>
    <row r="1005">
      <c r="A1005" t="inlineStr">
        <is>
          <t>market for waste paperboard</t>
        </is>
      </c>
      <c r="B1005">
        <v>-0.60866</v>
      </c>
      <c r="C1005" t="inlineStr">
        <is>
          <t>RoW</t>
        </is>
      </c>
      <c r="D1005" t="inlineStr">
        <is>
          <t>kilogram</t>
        </is>
      </c>
      <c r="F1005" t="inlineStr">
        <is>
          <t>technosphere</t>
        </is>
      </c>
      <c r="G1005" t="inlineStr">
        <is>
          <t>waste paperboard</t>
        </is>
      </c>
      <c r="I1005" t="inlineStr">
        <is>
          <t>waste paperboard</t>
        </is>
      </c>
    </row>
    <row r="1008">
      <c r="A1008" t="inlineStr">
        <is>
          <t>Activity</t>
        </is>
      </c>
      <c r="B1008" t="inlineStr">
        <is>
          <t xml:space="preserve">motor drive production, industrial, 15 kW</t>
        </is>
      </c>
    </row>
    <row r="1009">
      <c r="A1009" t="inlineStr">
        <is>
          <t>location</t>
        </is>
      </c>
      <c r="B1009" t="inlineStr">
        <is>
          <t>GLO</t>
        </is>
      </c>
    </row>
    <row r="1010">
      <c r="A1010" t="inlineStr">
        <is>
          <t>production amount</t>
        </is>
      </c>
      <c r="B1010">
        <v>1</v>
      </c>
    </row>
    <row r="1011">
      <c r="A1011" t="inlineStr">
        <is>
          <t>reference product</t>
        </is>
      </c>
      <c r="B1011" t="inlineStr">
        <is>
          <t xml:space="preserve">motor drive, industrial, 15 kW</t>
        </is>
      </c>
    </row>
    <row r="1012">
      <c r="A1012" t="inlineStr">
        <is>
          <t>unit</t>
        </is>
      </c>
      <c r="B1012" t="inlineStr">
        <is>
          <t>unit</t>
        </is>
      </c>
    </row>
    <row r="1013">
      <c r="A1013" t="inlineStr">
        <is>
          <t>source</t>
        </is>
      </c>
      <c r="B1013" t="inlineStr">
        <is>
          <t>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t>
        </is>
      </c>
    </row>
    <row r="1014">
      <c r="A1014" t="inlineStr">
        <is>
          <t>comment</t>
        </is>
      </c>
      <c r="B1014" t="inlineStr">
        <is>
          <t xml:space="preserve">Nomenclature revision, 2026-10-19. Former activity name: industrial motor drive, 15kW auxiliary reference. Former reference product: industrial motor drive, 15kW auxiliary reference. Activity/product labels and supplier references only; coefficients, formulas, uncertainty, declared output and unit are unchanged. Original engineering assumptions, functional-unit basis and limitations remain below.
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 Componentreference:InfineonIMW120R045M1 MCDMA00164188205April2021 andIMW65R048M1H MCDMA00540015111Dec2019,PG-TO247-3-41,6047.69/6047.25mg. Fullmgconstituentledgers={'1200V': {'SiC': 4.941, 'P': 1.192, 'steel': 3.972, 'Cu': 3967.074, 'Al': 4.257, 'carbon': 20.032, 'epoxy': 380.613, 'silica': 1602.58, 'Sn': 33.233, 'Ni': 29.065, 'Sb': 0.209, 'Ag': 0.523}, '650V': {'SiC': 2.646, 'P': 1.192, 'steel': 3.972, 'Cu': 3967.074, 'Al': 5.601, 'carbon': 20.046, 'epoxy': 380.868, 'silica': 1603.657, 'Sn': 32.692, 'Ni': 29.065, 'Sb': 0.126, 'Ag': 0.314}}. Ledgerrounding0.001/0.003mgnotarbitrarilyrenormalized. Source https://www.infineon.com/assets/row/public/documents/60/71/infineon-ma001641882-materialcontentsheet-en.pdf and https://www.infineon.com/assets/row/public/documents/24/71/infineon-ma005400151-materialcontentsheet-en.pdf . These3pinpackagesarematerialanalogues,notpin-compatibleclaimforTI4pinWolfspeedBOM. SiCpowderfeedisnotqualifiedepitaxy/waferfabrication;processyield/energy/purity remain gaps.1kWh/kgpackageassemblyreferenceadded,notfullICTchipproxy. FF300R12KT4 datasheet340g,1200V300Ahalfbridge,Cu baseplate,Al2O3isolation; https://www.infineon.com/assets/row/public/documents/60/49/infineon-ff300r12kt4-ds-en.pdf . ManufacturerfullMCDnotrecovered. ModulematerialinventoryisGEOMETRYENGINEERINGESTIMATE,notmanufacturerdeclaration. Assumedgrossbaseplate106.4x61.4x2.5mm,DBC35cm2with0.6mmCuand0.63mmAl2O3,25gCu terminals,45cm3PAhousing,25cm3siliconegel,1gSi,0.5gAlwire,4gSACsolder,10gsteel;geometry={'baseplate_length_m': 0.1064, 'baseplate_width_m': 0.0614, 'baseplate_thickness_m': 0.0025, 'DBC_area_m2': 0.0035, 'DBC_Cu_total_thickness_m': 0.0006, 'ceramic_thickness_m': 0.00063, 'Cu_density_kg_m3': 8960, 'alumina_density_kg_m3': 3900};knownmodulekg={'Cu': 0.190154304, 'alumina': 0.0085995, 'PA': 0.051300000000000005, 'silicone': 0.02425, 'Si': 0.001, 'Al': 0.0005, 'solder': 0.004, 'steel': 0.01};unresolvedmodulemass=0.050196196000000026kg. Exteriorfootprintusedasbaseplatearea isproxy;holes/recessesandrealplate thicknessunknown.Sensitivitybaseplate2-3mm,terminalCu15-35g,unresolvedcompositionnotzeroAu/Ni/Ag. FeedgradeSi/Al2O3/siliconesareproxies;diearea/doping/waferyieldunverified. Noextracompletemoduleinventoryon topofingredients. Thisframe:installedmass=10.3292kg;EPDbulkledger={'steel': 2.3205, 'Al': 2.6299, 'PC': 2.2491, 'ABS': 0.6069, 'SEBS': 0.1071, 'electronics': 1.8683};unresolvedotherelectronics=0.14572770800000007kg;unresolvedtotaloutsidepackage=0.6931277079999998kg,pluscomponentmoduleunknownwhereapplicable. Packagingpaperusescorrugated-boxproxy,EPPusesPPresinwithoutverifiedfoamprocessing,SEBSusesgeneric syntheticrubberproxywithunvalidatedhydrogenation/grade,PCusesRoWproductionproxytoavoidunsupportedpre3.10regionalmarket.1kWh/driveon-siteassemblyallowanceassumed,notEPDmeasuredenergy.</t>
        </is>
      </c>
    </row>
    <row r="1015">
      <c r="A1015" t="inlineStr">
        <is>
          <t>Exchanges</t>
        </is>
      </c>
    </row>
    <row r="1016">
      <c r="A1016" t="inlineStr">
        <is>
          <t>name</t>
        </is>
      </c>
      <c r="B1016" t="inlineStr">
        <is>
          <t>amount</t>
        </is>
      </c>
      <c r="C1016" t="inlineStr">
        <is>
          <t>location</t>
        </is>
      </c>
      <c r="D1016" t="inlineStr">
        <is>
          <t>unit</t>
        </is>
      </c>
      <c r="E1016" t="inlineStr">
        <is>
          <t>categories</t>
        </is>
      </c>
      <c r="F1016" t="inlineStr">
        <is>
          <t>type</t>
        </is>
      </c>
      <c r="G1016" t="inlineStr">
        <is>
          <t>reference product</t>
        </is>
      </c>
      <c r="H1016" t="inlineStr">
        <is>
          <t>comment</t>
        </is>
      </c>
      <c r="I1016" t="inlineStr">
        <is>
          <t>product</t>
        </is>
      </c>
    </row>
    <row r="1017">
      <c r="A1017" t="inlineStr">
        <is>
          <t xml:space="preserve">motor drive production, industrial, 15 kW</t>
        </is>
      </c>
      <c r="B1017">
        <v>1</v>
      </c>
      <c r="C1017" t="inlineStr">
        <is>
          <t>GLO</t>
        </is>
      </c>
      <c r="D1017" t="inlineStr">
        <is>
          <t>unit</t>
        </is>
      </c>
      <c r="F1017" t="inlineStr">
        <is>
          <t>production</t>
        </is>
      </c>
      <c r="G1017" t="inlineStr">
        <is>
          <t xml:space="preserve">motor drive, industrial, 15 kW</t>
        </is>
      </c>
      <c r="I1017" t="inlineStr">
        <is>
          <t xml:space="preserve">motor drive, industrial, 15 kW</t>
        </is>
      </c>
    </row>
    <row r="1018">
      <c r="A1018" t="inlineStr">
        <is>
          <t>market for steel, low-alloyed</t>
        </is>
      </c>
      <c r="B1018">
        <v>2.3205</v>
      </c>
      <c r="C1018" t="inlineStr">
        <is>
          <t>GLO</t>
        </is>
      </c>
      <c r="D1018" t="inlineStr">
        <is>
          <t>kilogram</t>
        </is>
      </c>
      <c r="F1018" t="inlineStr">
        <is>
          <t>technosphere</t>
        </is>
      </c>
      <c r="G1018" t="inlineStr">
        <is>
          <t>steel, low-alloyed</t>
        </is>
      </c>
      <c r="I1018" t="inlineStr">
        <is>
          <t>steel, low-alloyed</t>
        </is>
      </c>
    </row>
    <row r="1019">
      <c r="A1019" t="inlineStr">
        <is>
          <t>market for aluminium, wrought alloy</t>
        </is>
      </c>
      <c r="B1019">
        <v>2.6299</v>
      </c>
      <c r="C1019" t="inlineStr">
        <is>
          <t>GLO</t>
        </is>
      </c>
      <c r="D1019" t="inlineStr">
        <is>
          <t>kilogram</t>
        </is>
      </c>
      <c r="F1019" t="inlineStr">
        <is>
          <t>technosphere</t>
        </is>
      </c>
      <c r="G1019" t="inlineStr">
        <is>
          <t>aluminium, wrought alloy</t>
        </is>
      </c>
      <c r="I1019" t="inlineStr">
        <is>
          <t>aluminium, wrought alloy</t>
        </is>
      </c>
    </row>
    <row r="1020">
      <c r="A1020" t="inlineStr">
        <is>
          <t>polycarbonate production</t>
        </is>
      </c>
      <c r="B1020">
        <v>2.2491</v>
      </c>
      <c r="C1020" t="inlineStr">
        <is>
          <t>RoW</t>
        </is>
      </c>
      <c r="D1020" t="inlineStr">
        <is>
          <t>kilogram</t>
        </is>
      </c>
      <c r="F1020" t="inlineStr">
        <is>
          <t>technosphere</t>
        </is>
      </c>
      <c r="G1020" t="inlineStr">
        <is>
          <t>polycarbonate</t>
        </is>
      </c>
      <c r="I1020" t="inlineStr">
        <is>
          <t>polycarbonate</t>
        </is>
      </c>
    </row>
    <row r="1021">
      <c r="A1021" t="inlineStr">
        <is>
          <t>market for acrylonitrile-butadiene-styrene copolymer</t>
        </is>
      </c>
      <c r="B1021">
        <v>0.6069</v>
      </c>
      <c r="C1021" t="inlineStr">
        <is>
          <t>GLO</t>
        </is>
      </c>
      <c r="D1021" t="inlineStr">
        <is>
          <t>kilogram</t>
        </is>
      </c>
      <c r="F1021" t="inlineStr">
        <is>
          <t>technosphere</t>
        </is>
      </c>
      <c r="G1021" t="inlineStr">
        <is>
          <t>acrylonitrile-butadiene-styrene copolymer</t>
        </is>
      </c>
      <c r="I1021" t="inlineStr">
        <is>
          <t>acrylonitrile-butadiene-styrene copolymer</t>
        </is>
      </c>
    </row>
    <row r="1022">
      <c r="A1022" t="inlineStr">
        <is>
          <t>market for synthetic rubber</t>
        </is>
      </c>
      <c r="B1022">
        <v>0.1071</v>
      </c>
      <c r="C1022" t="inlineStr">
        <is>
          <t>GLO</t>
        </is>
      </c>
      <c r="D1022" t="inlineStr">
        <is>
          <t>kilogram</t>
        </is>
      </c>
      <c r="F1022" t="inlineStr">
        <is>
          <t>technosphere</t>
        </is>
      </c>
      <c r="G1022" t="inlineStr">
        <is>
          <t>synthetic rubber</t>
        </is>
      </c>
      <c r="I1022" t="inlineStr">
        <is>
          <t>synthetic rubber</t>
        </is>
      </c>
    </row>
    <row r="1023">
      <c r="A1023" t="inlineStr">
        <is>
          <t xml:space="preserve">silicon carbide switch production, electrolysis motor drive, 1200 V, TO-247</t>
        </is>
      </c>
      <c r="B1023">
        <v>12</v>
      </c>
      <c r="C1023" t="inlineStr">
        <is>
          <t>GLO</t>
        </is>
      </c>
      <c r="D1023" t="inlineStr">
        <is>
          <t>unit</t>
        </is>
      </c>
      <c r="F1023" t="inlineStr">
        <is>
          <t>technosphere</t>
        </is>
      </c>
      <c r="G1023" t="inlineStr">
        <is>
          <t xml:space="preserve">silicon carbide switch, electrolysis motor drive, 1200 V, TO-247</t>
        </is>
      </c>
      <c r="I1023" t="inlineStr">
        <is>
          <t xml:space="preserve">silicon carbide switch, electrolysis motor drive, 1200 V, TO-247</t>
        </is>
      </c>
    </row>
    <row r="1024">
      <c r="A1024" t="inlineStr">
        <is>
          <t>market for printed wiring board, surface mounted, unspecified, Pb free</t>
        </is>
      </c>
      <c r="B1024">
        <v>1</v>
      </c>
      <c r="C1024" t="inlineStr">
        <is>
          <t>GLO</t>
        </is>
      </c>
      <c r="D1024" t="inlineStr">
        <is>
          <t>kilogram</t>
        </is>
      </c>
      <c r="F1024" t="inlineStr">
        <is>
          <t>technosphere</t>
        </is>
      </c>
      <c r="G1024" t="inlineStr">
        <is>
          <t>printed wiring board, surface mounted, unspecified, Pb free</t>
        </is>
      </c>
      <c r="I1024" t="inlineStr">
        <is>
          <t>printed wiring board, surface mounted, unspecified, Pb free</t>
        </is>
      </c>
    </row>
    <row r="1025">
      <c r="A1025" t="inlineStr">
        <is>
          <t>market for capacitor, film type, for through-hole mounting</t>
        </is>
      </c>
      <c r="B1025">
        <v>0.6</v>
      </c>
      <c r="C1025" t="inlineStr">
        <is>
          <t>GLO</t>
        </is>
      </c>
      <c r="D1025" t="inlineStr">
        <is>
          <t>kilogram</t>
        </is>
      </c>
      <c r="F1025" t="inlineStr">
        <is>
          <t>technosphere</t>
        </is>
      </c>
      <c r="G1025" t="inlineStr">
        <is>
          <t>capacitor, film type, for through-hole mounting</t>
        </is>
      </c>
      <c r="I1025" t="inlineStr">
        <is>
          <t>capacitor, film type, for through-hole mounting</t>
        </is>
      </c>
    </row>
    <row r="1026">
      <c r="A1026" t="inlineStr">
        <is>
          <t>market for fan, for power supply unit, desktop computer</t>
        </is>
      </c>
      <c r="B1026">
        <v>0.05</v>
      </c>
      <c r="C1026" t="inlineStr">
        <is>
          <t>GLO</t>
        </is>
      </c>
      <c r="D1026" t="inlineStr">
        <is>
          <t>kilogram</t>
        </is>
      </c>
      <c r="F1026" t="inlineStr">
        <is>
          <t>technosphere</t>
        </is>
      </c>
      <c r="G1026" t="inlineStr">
        <is>
          <t>fan, for power supply unit, desktop computer</t>
        </is>
      </c>
      <c r="I1026" t="inlineStr">
        <is>
          <t>fan, for power supply unit, desktop computer</t>
        </is>
      </c>
    </row>
    <row r="1027">
      <c r="A1027" t="inlineStr">
        <is>
          <t>market group for electricity, medium voltage</t>
        </is>
      </c>
      <c r="B1027">
        <v>1</v>
      </c>
      <c r="C1027" t="inlineStr">
        <is>
          <t>GLO</t>
        </is>
      </c>
      <c r="D1027" t="inlineStr">
        <is>
          <t>kilowatt hour</t>
        </is>
      </c>
      <c r="F1027" t="inlineStr">
        <is>
          <t>technosphere</t>
        </is>
      </c>
      <c r="G1027" t="inlineStr">
        <is>
          <t>electricity, medium voltage</t>
        </is>
      </c>
      <c r="I1027" t="inlineStr">
        <is>
          <t>electricity, medium voltage</t>
        </is>
      </c>
    </row>
    <row r="1028">
      <c r="A1028" t="inlineStr">
        <is>
          <t>market for corrugated board box</t>
        </is>
      </c>
      <c r="B1028">
        <v>1.3685</v>
      </c>
      <c r="C1028" t="inlineStr">
        <is>
          <t>RER</t>
        </is>
      </c>
      <c r="D1028" t="inlineStr">
        <is>
          <t>kilogram</t>
        </is>
      </c>
      <c r="F1028" t="inlineStr">
        <is>
          <t>technosphere</t>
        </is>
      </c>
      <c r="G1028" t="inlineStr">
        <is>
          <t>corrugated board box</t>
        </is>
      </c>
      <c r="I1028" t="inlineStr">
        <is>
          <t>corrugated board box</t>
        </is>
      </c>
    </row>
    <row r="1029">
      <c r="A1029" t="inlineStr">
        <is>
          <t>market for waste paperboard</t>
        </is>
      </c>
      <c r="B1029">
        <v>-1.3685</v>
      </c>
      <c r="C1029" t="inlineStr">
        <is>
          <t>RoW</t>
        </is>
      </c>
      <c r="D1029" t="inlineStr">
        <is>
          <t>kilogram</t>
        </is>
      </c>
      <c r="F1029" t="inlineStr">
        <is>
          <t>technosphere</t>
        </is>
      </c>
      <c r="G1029" t="inlineStr">
        <is>
          <t>waste paperboard</t>
        </is>
      </c>
      <c r="I1029" t="inlineStr">
        <is>
          <t>waste paperboard</t>
        </is>
      </c>
    </row>
    <row r="1030">
      <c r="A1030" t="inlineStr">
        <is>
          <t>market for corrugated board box</t>
        </is>
      </c>
      <c r="B1030">
        <v>0.2023</v>
      </c>
      <c r="C1030" t="inlineStr">
        <is>
          <t>RER</t>
        </is>
      </c>
      <c r="D1030" t="inlineStr">
        <is>
          <t>kilogram</t>
        </is>
      </c>
      <c r="F1030" t="inlineStr">
        <is>
          <t>technosphere</t>
        </is>
      </c>
      <c r="G1030" t="inlineStr">
        <is>
          <t>corrugated board box</t>
        </is>
      </c>
      <c r="I1030" t="inlineStr">
        <is>
          <t>corrugated board box</t>
        </is>
      </c>
    </row>
    <row r="1031">
      <c r="A1031" t="inlineStr">
        <is>
          <t>market for waste paperboard</t>
        </is>
      </c>
      <c r="B1031">
        <v>-0.2023</v>
      </c>
      <c r="C1031" t="inlineStr">
        <is>
          <t>RoW</t>
        </is>
      </c>
      <c r="D1031" t="inlineStr">
        <is>
          <t>kilogram</t>
        </is>
      </c>
      <c r="F1031" t="inlineStr">
        <is>
          <t>technosphere</t>
        </is>
      </c>
      <c r="G1031" t="inlineStr">
        <is>
          <t>waste paperboard</t>
        </is>
      </c>
      <c r="I1031" t="inlineStr">
        <is>
          <t>waste paperboard</t>
        </is>
      </c>
    </row>
    <row r="1034">
      <c r="A1034" t="inlineStr">
        <is>
          <t>Activity</t>
        </is>
      </c>
      <c r="B1034" t="inlineStr">
        <is>
          <t xml:space="preserve">motor drive production, industrial, 1.1 kW</t>
        </is>
      </c>
    </row>
    <row r="1035">
      <c r="A1035" t="inlineStr">
        <is>
          <t>location</t>
        </is>
      </c>
      <c r="B1035" t="inlineStr">
        <is>
          <t>GLO</t>
        </is>
      </c>
    </row>
    <row r="1036">
      <c r="A1036" t="inlineStr">
        <is>
          <t>production amount</t>
        </is>
      </c>
      <c r="B1036">
        <v>1</v>
      </c>
    </row>
    <row r="1037">
      <c r="A1037" t="inlineStr">
        <is>
          <t>reference product</t>
        </is>
      </c>
      <c r="B1037" t="inlineStr">
        <is>
          <t xml:space="preserve">motor drive, industrial, 1.1 kW</t>
        </is>
      </c>
    </row>
    <row r="1038">
      <c r="A1038" t="inlineStr">
        <is>
          <t>unit</t>
        </is>
      </c>
      <c r="B1038" t="inlineStr">
        <is>
          <t>unit</t>
        </is>
      </c>
    </row>
    <row r="1039">
      <c r="A1039" t="inlineStr">
        <is>
          <t>source</t>
        </is>
      </c>
      <c r="B1039" t="inlineStr">
        <is>
          <t>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t>
        </is>
      </c>
    </row>
    <row r="1040">
      <c r="A1040" t="inlineStr">
        <is>
          <t>comment</t>
        </is>
      </c>
      <c r="B1040" t="inlineStr">
        <is>
          <t xml:space="preserve">Nomenclature revision, 2026-10-19. Former activity name: industrial motor drive, 1.1kW auxiliary reference. Former reference product: industrial motor drive, 1.1kW auxiliary reference. Activity/product labels and supplier references only; coefficients, formulas, uncertainty, declared output and unit are unchanged. Original engineering assumptions, functional-unit basis and limitations remain below.
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 Componentreference:InfineonIMW120R045M1 MCDMA00164188205April2021 andIMW65R048M1H MCDMA00540015111Dec2019,PG-TO247-3-41,6047.69/6047.25mg. Fullmgconstituentledgers={'1200V': {'SiC': 4.941, 'P': 1.192, 'steel': 3.972, 'Cu': 3967.074, 'Al': 4.257, 'carbon': 20.032, 'epoxy': 380.613, 'silica': 1602.58, 'Sn': 33.233, 'Ni': 29.065, 'Sb': 0.209, 'Ag': 0.523}, '650V': {'SiC': 2.646, 'P': 1.192, 'steel': 3.972, 'Cu': 3967.074, 'Al': 5.601, 'carbon': 20.046, 'epoxy': 380.868, 'silica': 1603.657, 'Sn': 32.692, 'Ni': 29.065, 'Sb': 0.126, 'Ag': 0.314}}. Ledgerrounding0.001/0.003mgnotarbitrarilyrenormalized. Source https://www.infineon.com/assets/row/public/documents/60/71/infineon-ma001641882-materialcontentsheet-en.pdf and https://www.infineon.com/assets/row/public/documents/24/71/infineon-ma005400151-materialcontentsheet-en.pdf . These3pinpackagesarematerialanalogues,notpin-compatibleclaimforTI4pinWolfspeedBOM. SiCpowderfeedisnotqualifiedepitaxy/waferfabrication;processyield/energy/purity remain gaps.1kWh/kgpackageassemblyreferenceadded,notfullICTchipproxy. FF300R12KT4 datasheet340g,1200V300Ahalfbridge,Cu baseplate,Al2O3isolation; https://www.infineon.com/assets/row/public/documents/60/49/infineon-ff300r12kt4-ds-en.pdf . ManufacturerfullMCDnotrecovered. ModulematerialinventoryisGEOMETRYENGINEERINGESTIMATE,notmanufacturerdeclaration. Assumedgrossbaseplate106.4x61.4x2.5mm,DBC35cm2with0.6mmCuand0.63mmAl2O3,25gCu terminals,45cm3PAhousing,25cm3siliconegel,1gSi,0.5gAlwire,4gSACsolder,10gsteel;geometry={'baseplate_length_m': 0.1064, 'baseplate_width_m': 0.0614, 'baseplate_thickness_m': 0.0025, 'DBC_area_m2': 0.0035, 'DBC_Cu_total_thickness_m': 0.0006, 'ceramic_thickness_m': 0.00063, 'Cu_density_kg_m3': 8960, 'alumina_density_kg_m3': 3900};knownmodulekg={'Cu': 0.190154304, 'alumina': 0.0085995, 'PA': 0.051300000000000005, 'silicone': 0.02425, 'Si': 0.001, 'Al': 0.0005, 'solder': 0.004, 'steel': 0.01};unresolvedmodulemass=0.050196196000000026kg. Exteriorfootprintusedasbaseplatearea isproxy;holes/recessesandrealplate thicknessunknown.Sensitivitybaseplate2-3mm,terminalCu15-35g,unresolvedcompositionnotzeroAu/Ni/Ag. FeedgradeSi/Al2O3/siliconesareproxies;diearea/doping/waferyieldunverified. Noextracompletemoduleinventoryon topofingredients. Thisframe:installedmass=7.586410000000001kg;EPDbulkledger={'steel': 1.4545700000000001, 'Al': 1.4284400000000002, 'Cu': 0.29614000000000007, 'PC': 1.9162000000000001, 'ABS': 0.7403500000000002, 'electronics': 1.3413400000000002};unresolvedotherelectronics=0.20877296400000028kg;unresolvedtotaloutsidepackage=0.6181429639999994kg,pluscomponentmoduleunknownwhereapplicable. Packagingpaperusescorrugated-boxproxy,EPPusesPPresinwithoutverifiedfoamprocessing,SEBSusesgeneric syntheticrubberproxywithunvalidatedhydrogenation/grade,PCusesRoWproductionproxytoavoidunsupportedpre3.10regionalmarket.1kWh/driveon-siteassemblyallowanceassumed,notEPDmeasuredenergy.</t>
        </is>
      </c>
    </row>
    <row r="1041">
      <c r="A1041" t="inlineStr">
        <is>
          <t>Exchanges</t>
        </is>
      </c>
    </row>
    <row r="1042">
      <c r="A1042" t="inlineStr">
        <is>
          <t>name</t>
        </is>
      </c>
      <c r="B1042" t="inlineStr">
        <is>
          <t>amount</t>
        </is>
      </c>
      <c r="C1042" t="inlineStr">
        <is>
          <t>location</t>
        </is>
      </c>
      <c r="D1042" t="inlineStr">
        <is>
          <t>unit</t>
        </is>
      </c>
      <c r="E1042" t="inlineStr">
        <is>
          <t>categories</t>
        </is>
      </c>
      <c r="F1042" t="inlineStr">
        <is>
          <t>type</t>
        </is>
      </c>
      <c r="G1042" t="inlineStr">
        <is>
          <t>reference product</t>
        </is>
      </c>
      <c r="H1042" t="inlineStr">
        <is>
          <t>comment</t>
        </is>
      </c>
      <c r="I1042" t="inlineStr">
        <is>
          <t>product</t>
        </is>
      </c>
    </row>
    <row r="1043">
      <c r="A1043" t="inlineStr">
        <is>
          <t xml:space="preserve">motor drive production, industrial, 1.1 kW</t>
        </is>
      </c>
      <c r="B1043">
        <v>1</v>
      </c>
      <c r="C1043" t="inlineStr">
        <is>
          <t>GLO</t>
        </is>
      </c>
      <c r="D1043" t="inlineStr">
        <is>
          <t>unit</t>
        </is>
      </c>
      <c r="F1043" t="inlineStr">
        <is>
          <t>production</t>
        </is>
      </c>
      <c r="G1043" t="inlineStr">
        <is>
          <t xml:space="preserve">motor drive, industrial, 1.1 kW</t>
        </is>
      </c>
      <c r="I1043" t="inlineStr">
        <is>
          <t xml:space="preserve">motor drive, industrial, 1.1 kW</t>
        </is>
      </c>
    </row>
    <row r="1044">
      <c r="A1044" t="inlineStr">
        <is>
          <t>market for steel, low-alloyed</t>
        </is>
      </c>
      <c r="B1044">
        <v>1.4545700000000001</v>
      </c>
      <c r="C1044" t="inlineStr">
        <is>
          <t>GLO</t>
        </is>
      </c>
      <c r="D1044" t="inlineStr">
        <is>
          <t>kilogram</t>
        </is>
      </c>
      <c r="F1044" t="inlineStr">
        <is>
          <t>technosphere</t>
        </is>
      </c>
      <c r="G1044" t="inlineStr">
        <is>
          <t>steel, low-alloyed</t>
        </is>
      </c>
      <c r="I1044" t="inlineStr">
        <is>
          <t>steel, low-alloyed</t>
        </is>
      </c>
    </row>
    <row r="1045">
      <c r="A1045" t="inlineStr">
        <is>
          <t>market for aluminium, wrought alloy</t>
        </is>
      </c>
      <c r="B1045">
        <v>1.4284400000000002</v>
      </c>
      <c r="C1045" t="inlineStr">
        <is>
          <t>GLO</t>
        </is>
      </c>
      <c r="D1045" t="inlineStr">
        <is>
          <t>kilogram</t>
        </is>
      </c>
      <c r="F1045" t="inlineStr">
        <is>
          <t>technosphere</t>
        </is>
      </c>
      <c r="G1045" t="inlineStr">
        <is>
          <t>aluminium, wrought alloy</t>
        </is>
      </c>
      <c r="I1045" t="inlineStr">
        <is>
          <t>aluminium, wrought alloy</t>
        </is>
      </c>
    </row>
    <row r="1046">
      <c r="A1046" t="inlineStr">
        <is>
          <t>market for copper, cathode</t>
        </is>
      </c>
      <c r="B1046">
        <v>0.29614000000000007</v>
      </c>
      <c r="C1046" t="inlineStr">
        <is>
          <t>GLO</t>
        </is>
      </c>
      <c r="D1046" t="inlineStr">
        <is>
          <t>kilogram</t>
        </is>
      </c>
      <c r="F1046" t="inlineStr">
        <is>
          <t>technosphere</t>
        </is>
      </c>
      <c r="G1046" t="inlineStr">
        <is>
          <t>copper, cathode</t>
        </is>
      </c>
      <c r="I1046" t="inlineStr">
        <is>
          <t>copper, cathode</t>
        </is>
      </c>
    </row>
    <row r="1047">
      <c r="A1047" t="inlineStr">
        <is>
          <t>polycarbonate production</t>
        </is>
      </c>
      <c r="B1047">
        <v>1.9162000000000001</v>
      </c>
      <c r="C1047" t="inlineStr">
        <is>
          <t>RoW</t>
        </is>
      </c>
      <c r="D1047" t="inlineStr">
        <is>
          <t>kilogram</t>
        </is>
      </c>
      <c r="F1047" t="inlineStr">
        <is>
          <t>technosphere</t>
        </is>
      </c>
      <c r="G1047" t="inlineStr">
        <is>
          <t>polycarbonate</t>
        </is>
      </c>
      <c r="I1047" t="inlineStr">
        <is>
          <t>polycarbonate</t>
        </is>
      </c>
    </row>
    <row r="1048">
      <c r="A1048" t="inlineStr">
        <is>
          <t>market for acrylonitrile-butadiene-styrene copolymer</t>
        </is>
      </c>
      <c r="B1048">
        <v>0.7403500000000002</v>
      </c>
      <c r="C1048" t="inlineStr">
        <is>
          <t>GLO</t>
        </is>
      </c>
      <c r="D1048" t="inlineStr">
        <is>
          <t>kilogram</t>
        </is>
      </c>
      <c r="F1048" t="inlineStr">
        <is>
          <t>technosphere</t>
        </is>
      </c>
      <c r="G1048" t="inlineStr">
        <is>
          <t>acrylonitrile-butadiene-styrene copolymer</t>
        </is>
      </c>
      <c r="I1048" t="inlineStr">
        <is>
          <t>acrylonitrile-butadiene-styrene copolymer</t>
        </is>
      </c>
    </row>
    <row r="1049">
      <c r="A1049" t="inlineStr">
        <is>
          <t xml:space="preserve">silicon carbide switch production, electrolysis motor drive, 650 V, TO-247</t>
        </is>
      </c>
      <c r="B1049">
        <v>12</v>
      </c>
      <c r="C1049" t="inlineStr">
        <is>
          <t>GLO</t>
        </is>
      </c>
      <c r="D1049" t="inlineStr">
        <is>
          <t>unit</t>
        </is>
      </c>
      <c r="F1049" t="inlineStr">
        <is>
          <t>technosphere</t>
        </is>
      </c>
      <c r="G1049" t="inlineStr">
        <is>
          <t xml:space="preserve">silicon carbide switch, electrolysis motor drive, 650 V, TO-247</t>
        </is>
      </c>
      <c r="I1049" t="inlineStr">
        <is>
          <t xml:space="preserve">silicon carbide switch, electrolysis motor drive, 650 V, TO-247</t>
        </is>
      </c>
    </row>
    <row r="1050">
      <c r="A1050" t="inlineStr">
        <is>
          <t>market for printed wiring board, surface mounted, unspecified, Pb free</t>
        </is>
      </c>
      <c r="B1050">
        <v>0.65</v>
      </c>
      <c r="C1050" t="inlineStr">
        <is>
          <t>GLO</t>
        </is>
      </c>
      <c r="D1050" t="inlineStr">
        <is>
          <t>kilogram</t>
        </is>
      </c>
      <c r="F1050" t="inlineStr">
        <is>
          <t>technosphere</t>
        </is>
      </c>
      <c r="G1050" t="inlineStr">
        <is>
          <t>printed wiring board, surface mounted, unspecified, Pb free</t>
        </is>
      </c>
      <c r="I1050" t="inlineStr">
        <is>
          <t>printed wiring board, surface mounted, unspecified, Pb free</t>
        </is>
      </c>
    </row>
    <row r="1051">
      <c r="A1051" t="inlineStr">
        <is>
          <t>market for capacitor, film type, for through-hole mounting</t>
        </is>
      </c>
      <c r="B1051">
        <v>0.35</v>
      </c>
      <c r="C1051" t="inlineStr">
        <is>
          <t>GLO</t>
        </is>
      </c>
      <c r="D1051" t="inlineStr">
        <is>
          <t>kilogram</t>
        </is>
      </c>
      <c r="F1051" t="inlineStr">
        <is>
          <t>technosphere</t>
        </is>
      </c>
      <c r="G1051" t="inlineStr">
        <is>
          <t>capacitor, film type, for through-hole mounting</t>
        </is>
      </c>
      <c r="I1051" t="inlineStr">
        <is>
          <t>capacitor, film type, for through-hole mounting</t>
        </is>
      </c>
    </row>
    <row r="1052">
      <c r="A1052" t="inlineStr">
        <is>
          <t>market for fan, for power supply unit, desktop computer</t>
        </is>
      </c>
      <c r="B1052">
        <v>0.06</v>
      </c>
      <c r="C1052" t="inlineStr">
        <is>
          <t>GLO</t>
        </is>
      </c>
      <c r="D1052" t="inlineStr">
        <is>
          <t>kilogram</t>
        </is>
      </c>
      <c r="F1052" t="inlineStr">
        <is>
          <t>technosphere</t>
        </is>
      </c>
      <c r="G1052" t="inlineStr">
        <is>
          <t>fan, for power supply unit, desktop computer</t>
        </is>
      </c>
      <c r="I1052" t="inlineStr">
        <is>
          <t>fan, for power supply unit, desktop computer</t>
        </is>
      </c>
    </row>
    <row r="1053">
      <c r="A1053" t="inlineStr">
        <is>
          <t>market group for electricity, medium voltage</t>
        </is>
      </c>
      <c r="B1053">
        <v>1</v>
      </c>
      <c r="C1053" t="inlineStr">
        <is>
          <t>GLO</t>
        </is>
      </c>
      <c r="D1053" t="inlineStr">
        <is>
          <t>kilowatt hour</t>
        </is>
      </c>
      <c r="F1053" t="inlineStr">
        <is>
          <t>technosphere</t>
        </is>
      </c>
      <c r="G1053" t="inlineStr">
        <is>
          <t>electricity, medium voltage</t>
        </is>
      </c>
      <c r="I1053" t="inlineStr">
        <is>
          <t>electricity, medium voltage</t>
        </is>
      </c>
    </row>
    <row r="1054">
      <c r="A1054" t="inlineStr">
        <is>
          <t>market for corrugated board box</t>
        </is>
      </c>
      <c r="B1054">
        <v>0.76648</v>
      </c>
      <c r="C1054" t="inlineStr">
        <is>
          <t>RER</t>
        </is>
      </c>
      <c r="D1054" t="inlineStr">
        <is>
          <t>kilogram</t>
        </is>
      </c>
      <c r="F1054" t="inlineStr">
        <is>
          <t>technosphere</t>
        </is>
      </c>
      <c r="G1054" t="inlineStr">
        <is>
          <t>corrugated board box</t>
        </is>
      </c>
      <c r="I1054" t="inlineStr">
        <is>
          <t>corrugated board box</t>
        </is>
      </c>
    </row>
    <row r="1055">
      <c r="A1055" t="inlineStr">
        <is>
          <t>market for waste paperboard</t>
        </is>
      </c>
      <c r="B1055">
        <v>-0.76648</v>
      </c>
      <c r="C1055" t="inlineStr">
        <is>
          <t>RoW</t>
        </is>
      </c>
      <c r="D1055" t="inlineStr">
        <is>
          <t>kilogram</t>
        </is>
      </c>
      <c r="F1055" t="inlineStr">
        <is>
          <t>technosphere</t>
        </is>
      </c>
      <c r="G1055" t="inlineStr">
        <is>
          <t>waste paperboard</t>
        </is>
      </c>
      <c r="I1055" t="inlineStr">
        <is>
          <t>waste paperboard</t>
        </is>
      </c>
    </row>
    <row r="1056">
      <c r="A1056" t="inlineStr">
        <is>
          <t>market for polypropylene, granulate</t>
        </is>
      </c>
      <c r="B1056">
        <v>0.35711000000000004</v>
      </c>
      <c r="C1056" t="inlineStr">
        <is>
          <t>GLO</t>
        </is>
      </c>
      <c r="D1056" t="inlineStr">
        <is>
          <t>kilogram</t>
        </is>
      </c>
      <c r="F1056" t="inlineStr">
        <is>
          <t>technosphere</t>
        </is>
      </c>
      <c r="G1056" t="inlineStr">
        <is>
          <t>polypropylene, granulate</t>
        </is>
      </c>
      <c r="I1056" t="inlineStr">
        <is>
          <t>polypropylene, granulate</t>
        </is>
      </c>
    </row>
    <row r="1057">
      <c r="A1057" t="inlineStr">
        <is>
          <t>market for waste plastic, mixture</t>
        </is>
      </c>
      <c r="B1057">
        <v>-0.35711000000000004</v>
      </c>
      <c r="C1057" t="inlineStr">
        <is>
          <t>RoW</t>
        </is>
      </c>
      <c r="D1057" t="inlineStr">
        <is>
          <t>kilogram</t>
        </is>
      </c>
      <c r="F1057" t="inlineStr">
        <is>
          <t>technosphere</t>
        </is>
      </c>
      <c r="G1057" t="inlineStr">
        <is>
          <t>waste plastic, mixture</t>
        </is>
      </c>
      <c r="I1057" t="inlineStr">
        <is>
          <t>waste plastic, mixture</t>
        </is>
      </c>
    </row>
    <row r="1060">
      <c r="A1060" t="inlineStr">
        <is>
          <t>Activity</t>
        </is>
      </c>
      <c r="B1060" t="inlineStr">
        <is>
          <t xml:space="preserve">motor drive assembly production, electrolysis, PEM</t>
        </is>
      </c>
    </row>
    <row r="1061">
      <c r="A1061" t="inlineStr">
        <is>
          <t>location</t>
        </is>
      </c>
      <c r="B1061" t="inlineStr">
        <is>
          <t>GLO</t>
        </is>
      </c>
    </row>
    <row r="1062">
      <c r="A1062" t="inlineStr">
        <is>
          <t>production amount</t>
        </is>
      </c>
      <c r="B1062">
        <v>1</v>
      </c>
    </row>
    <row r="1063">
      <c r="A1063" t="inlineStr">
        <is>
          <t>reference product</t>
        </is>
      </c>
      <c r="B1063" t="inlineStr">
        <is>
          <t xml:space="preserve">motor drive assembly, electrolysis, PEM</t>
        </is>
      </c>
    </row>
    <row r="1064">
      <c r="A1064" t="inlineStr">
        <is>
          <t>unit</t>
        </is>
      </c>
      <c r="B1064" t="inlineStr">
        <is>
          <t>unit</t>
        </is>
      </c>
    </row>
    <row r="1065">
      <c r="A1065" t="inlineStr">
        <is>
          <t>source</t>
        </is>
      </c>
      <c r="B1065" t="inlineStr">
        <is>
          <t>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t>
        </is>
      </c>
    </row>
    <row r="1066">
      <c r="A1066" t="inlineStr">
        <is>
          <t>comment</t>
        </is>
      </c>
      <c r="B1066" t="inlineStr">
        <is>
          <t xml:space="preserve">Nomenclature revision, 2026-10-19. Former activity name: electrolyzer auxiliary drive lifetime kit, PEM, reference. Former reference product: electrolyzer auxiliary drive lifetime kit, PEM, reference. Activity/product labels and supplier references only; coefficients, formulas, uncertainty, declared output and unit are unchanged. Original engineering assumptions, functional-unit basis and limitations remain below.
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row>
    <row r="1067">
      <c r="A1067" t="inlineStr">
        <is>
          <t>Exchanges</t>
        </is>
      </c>
    </row>
    <row r="1068">
      <c r="A1068" t="inlineStr">
        <is>
          <t>name</t>
        </is>
      </c>
      <c r="B1068" t="inlineStr">
        <is>
          <t>amount</t>
        </is>
      </c>
      <c r="C1068" t="inlineStr">
        <is>
          <t>location</t>
        </is>
      </c>
      <c r="D1068" t="inlineStr">
        <is>
          <t>unit</t>
        </is>
      </c>
      <c r="E1068" t="inlineStr">
        <is>
          <t>categories</t>
        </is>
      </c>
      <c r="F1068" t="inlineStr">
        <is>
          <t>type</t>
        </is>
      </c>
      <c r="G1068" t="inlineStr">
        <is>
          <t>reference product</t>
        </is>
      </c>
      <c r="H1068" t="inlineStr">
        <is>
          <t>comment</t>
        </is>
      </c>
      <c r="I1068" t="inlineStr">
        <is>
          <t>product</t>
        </is>
      </c>
    </row>
    <row r="1069">
      <c r="A1069" t="inlineStr">
        <is>
          <t xml:space="preserve">motor drive assembly production, electrolysis, PEM</t>
        </is>
      </c>
      <c r="B1069">
        <v>1</v>
      </c>
      <c r="C1069" t="inlineStr">
        <is>
          <t>GLO</t>
        </is>
      </c>
      <c r="D1069" t="inlineStr">
        <is>
          <t>unit</t>
        </is>
      </c>
      <c r="F1069" t="inlineStr">
        <is>
          <t>production</t>
        </is>
      </c>
      <c r="G1069" t="inlineStr">
        <is>
          <t xml:space="preserve">motor drive assembly, electrolysis, PEM</t>
        </is>
      </c>
      <c r="I1069" t="inlineStr">
        <is>
          <t xml:space="preserve">motor drive assembly, electrolysis, PEM</t>
        </is>
      </c>
    </row>
    <row r="1070">
      <c r="A1070" t="inlineStr">
        <is>
          <t xml:space="preserve">motor drive production, industrial, 75 kW</t>
        </is>
      </c>
      <c r="B1070">
        <v>2</v>
      </c>
      <c r="C1070" t="inlineStr">
        <is>
          <t>GLO</t>
        </is>
      </c>
      <c r="D1070" t="inlineStr">
        <is>
          <t>unit</t>
        </is>
      </c>
      <c r="F1070" t="inlineStr">
        <is>
          <t>technosphere</t>
        </is>
      </c>
      <c r="G1070" t="inlineStr">
        <is>
          <t xml:space="preserve">motor drive, industrial, 75 kW</t>
        </is>
      </c>
      <c r="I1070" t="inlineStr">
        <is>
          <t xml:space="preserve">motor drive, industrial, 75 kW</t>
        </is>
      </c>
    </row>
    <row r="1073">
      <c r="A1073" t="inlineStr">
        <is>
          <t>Activity</t>
        </is>
      </c>
      <c r="B1073" t="inlineStr">
        <is>
          <t xml:space="preserve">treatment of used motor drive assembly, electrolysis, PEM</t>
        </is>
      </c>
    </row>
    <row r="1074">
      <c r="A1074" t="inlineStr">
        <is>
          <t>location</t>
        </is>
      </c>
      <c r="B1074" t="inlineStr">
        <is>
          <t>GLO</t>
        </is>
      </c>
    </row>
    <row r="1075">
      <c r="A1075" t="inlineStr">
        <is>
          <t>production amount</t>
        </is>
      </c>
      <c r="B1075">
        <v>1</v>
      </c>
    </row>
    <row r="1076">
      <c r="A1076" t="inlineStr">
        <is>
          <t>reference product</t>
        </is>
      </c>
      <c r="B1076" t="inlineStr">
        <is>
          <t xml:space="preserve">used motor drive assembly, electrolysis, PEM</t>
        </is>
      </c>
    </row>
    <row r="1077">
      <c r="A1077" t="inlineStr">
        <is>
          <t>unit</t>
        </is>
      </c>
      <c r="B1077" t="inlineStr">
        <is>
          <t>unit</t>
        </is>
      </c>
    </row>
    <row r="1078">
      <c r="A1078" t="inlineStr">
        <is>
          <t>source</t>
        </is>
      </c>
      <c r="B1078" t="inlineStr">
        <is>
          <t>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t>
        </is>
      </c>
    </row>
    <row r="1079">
      <c r="A1079" t="inlineStr">
        <is>
          <t>comment</t>
        </is>
      </c>
      <c r="B1079" t="inlineStr">
        <is>
          <t xml:space="preserve">Nomenclature revision, 2026-10-19. Former activity name: treatment of electrolyzer auxiliary drive lifetime kit, PEM, reference. Former reference product: treatment of electrolyzer auxiliary drive lifetime kit, PEM, reference. Activity/product labels and supplier references only; coefficients, formulas, uncertainty, declared output and unit are unchanged. Original engineering assumptions, functional-unit basis and limitations remain below.
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row>
    <row r="1080">
      <c r="A1080" t="inlineStr">
        <is>
          <t>Exchanges</t>
        </is>
      </c>
    </row>
    <row r="1081">
      <c r="A1081" t="inlineStr">
        <is>
          <t>name</t>
        </is>
      </c>
      <c r="B1081" t="inlineStr">
        <is>
          <t>amount</t>
        </is>
      </c>
      <c r="C1081" t="inlineStr">
        <is>
          <t>location</t>
        </is>
      </c>
      <c r="D1081" t="inlineStr">
        <is>
          <t>unit</t>
        </is>
      </c>
      <c r="E1081" t="inlineStr">
        <is>
          <t>categories</t>
        </is>
      </c>
      <c r="F1081" t="inlineStr">
        <is>
          <t>type</t>
        </is>
      </c>
      <c r="G1081" t="inlineStr">
        <is>
          <t>reference product</t>
        </is>
      </c>
      <c r="H1081" t="inlineStr">
        <is>
          <t>comment</t>
        </is>
      </c>
      <c r="I1081" t="inlineStr">
        <is>
          <t>product</t>
        </is>
      </c>
    </row>
    <row r="1082">
      <c r="A1082" t="inlineStr">
        <is>
          <t xml:space="preserve">treatment of used motor drive assembly, electrolysis, PEM</t>
        </is>
      </c>
      <c r="B1082">
        <v>-1</v>
      </c>
      <c r="C1082" t="inlineStr">
        <is>
          <t>GLO</t>
        </is>
      </c>
      <c r="D1082" t="inlineStr">
        <is>
          <t>unit</t>
        </is>
      </c>
      <c r="F1082" t="inlineStr">
        <is>
          <t>production</t>
        </is>
      </c>
      <c r="G1082" t="inlineStr">
        <is>
          <t xml:space="preserve">used motor drive assembly, electrolysis, PEM</t>
        </is>
      </c>
      <c r="I1082" t="inlineStr">
        <is>
          <t xml:space="preserve">used motor drive assembly, electrolysis, PEM</t>
        </is>
      </c>
    </row>
    <row r="1083">
      <c r="A1083" t="inlineStr">
        <is>
          <t>market for waste electric and electronic equipment</t>
        </is>
      </c>
      <c r="B1083">
        <v>-82.4032</v>
      </c>
      <c r="C1083" t="inlineStr">
        <is>
          <t>GLO</t>
        </is>
      </c>
      <c r="D1083" t="inlineStr">
        <is>
          <t>kilogram</t>
        </is>
      </c>
      <c r="F1083" t="inlineStr">
        <is>
          <t>technosphere</t>
        </is>
      </c>
      <c r="G1083" t="inlineStr">
        <is>
          <t>waste electric and electronic equipment</t>
        </is>
      </c>
      <c r="I1083" t="inlineStr">
        <is>
          <t>waste electric and electronic equipment</t>
        </is>
      </c>
    </row>
    <row r="1086">
      <c r="A1086" t="inlineStr">
        <is>
          <t>Activity</t>
        </is>
      </c>
      <c r="B1086" t="inlineStr">
        <is>
          <t xml:space="preserve">treatment of used power conversion system and motor drives, electrolysis, PEM</t>
        </is>
      </c>
    </row>
    <row r="1087">
      <c r="A1087" t="inlineStr">
        <is>
          <t>location</t>
        </is>
      </c>
      <c r="B1087" t="inlineStr">
        <is>
          <t>GLO</t>
        </is>
      </c>
    </row>
    <row r="1088">
      <c r="A1088" t="inlineStr">
        <is>
          <t>production amount</t>
        </is>
      </c>
      <c r="B1088">
        <v>1</v>
      </c>
    </row>
    <row r="1089">
      <c r="A1089" t="inlineStr">
        <is>
          <t>reference product</t>
        </is>
      </c>
      <c r="B1089" t="inlineStr">
        <is>
          <t xml:space="preserve">used power conversion system and motor drives, electrolysis, PEM</t>
        </is>
      </c>
    </row>
    <row r="1090">
      <c r="A1090" t="inlineStr">
        <is>
          <t>unit</t>
        </is>
      </c>
      <c r="B1090" t="inlineStr">
        <is>
          <t>unit</t>
        </is>
      </c>
    </row>
    <row r="1091">
      <c r="A1091" t="inlineStr">
        <is>
          <t>source</t>
        </is>
      </c>
      <c r="B1091" t="inlineStr">
        <is>
          <t>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t>
        </is>
      </c>
    </row>
    <row r="1092">
      <c r="A1092" t="inlineStr">
        <is>
          <t>comment</t>
        </is>
      </c>
      <c r="B1092" t="inlineStr">
        <is>
          <t xml:space="preserve">Nomenclature revision, 2026-10-19. Former activity name: treatment of electrolyzer power conversion and auxiliary drives, PEM, reference. Former reference product: treatment of electrolyzer power conversion and auxiliary drives, PEM, reference. Activity/product labels and supplier references only; coefficients, formulas, uncertainty, declared output and unit are unchanged. Original engineering assumptions, functional-unit basis and limitations remain below.
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row>
    <row r="1093">
      <c r="A1093" t="inlineStr">
        <is>
          <t>Exchanges</t>
        </is>
      </c>
    </row>
    <row r="1094">
      <c r="A1094" t="inlineStr">
        <is>
          <t>name</t>
        </is>
      </c>
      <c r="B1094" t="inlineStr">
        <is>
          <t>amount</t>
        </is>
      </c>
      <c r="C1094" t="inlineStr">
        <is>
          <t>location</t>
        </is>
      </c>
      <c r="D1094" t="inlineStr">
        <is>
          <t>unit</t>
        </is>
      </c>
      <c r="E1094" t="inlineStr">
        <is>
          <t>categories</t>
        </is>
      </c>
      <c r="F1094" t="inlineStr">
        <is>
          <t>type</t>
        </is>
      </c>
      <c r="G1094" t="inlineStr">
        <is>
          <t>reference product</t>
        </is>
      </c>
      <c r="H1094" t="inlineStr">
        <is>
          <t>comment</t>
        </is>
      </c>
      <c r="I1094" t="inlineStr">
        <is>
          <t>product</t>
        </is>
      </c>
    </row>
    <row r="1095">
      <c r="A1095" t="inlineStr">
        <is>
          <t xml:space="preserve">treatment of used power conversion system and motor drives, electrolysis, PEM</t>
        </is>
      </c>
      <c r="B1095">
        <v>-1</v>
      </c>
      <c r="C1095" t="inlineStr">
        <is>
          <t>GLO</t>
        </is>
      </c>
      <c r="D1095" t="inlineStr">
        <is>
          <t>unit</t>
        </is>
      </c>
      <c r="F1095" t="inlineStr">
        <is>
          <t>production</t>
        </is>
      </c>
      <c r="G1095" t="inlineStr">
        <is>
          <t xml:space="preserve">used power conversion system and motor drives, electrolysis, PEM</t>
        </is>
      </c>
      <c r="I1095" t="inlineStr">
        <is>
          <t xml:space="preserve">used power conversion system and motor drives, electrolysis, PEM</t>
        </is>
      </c>
    </row>
    <row r="1096">
      <c r="A1096" t="inlineStr">
        <is>
          <t xml:space="preserve">treatment of used power conversion system, electrolysis, 1 MW</t>
        </is>
      </c>
      <c r="B1096">
        <v>-1</v>
      </c>
      <c r="C1096" t="inlineStr">
        <is>
          <t>GLO</t>
        </is>
      </c>
      <c r="D1096" t="inlineStr">
        <is>
          <t>unit</t>
        </is>
      </c>
      <c r="F1096" t="inlineStr">
        <is>
          <t>technosphere</t>
        </is>
      </c>
      <c r="G1096" t="inlineStr">
        <is>
          <t xml:space="preserve">used power conversion system, electrolysis, 1 MW</t>
        </is>
      </c>
      <c r="I1096" t="inlineStr">
        <is>
          <t xml:space="preserve">used power conversion system, electrolysis, 1 MW</t>
        </is>
      </c>
    </row>
    <row r="1097">
      <c r="A1097" t="inlineStr">
        <is>
          <t xml:space="preserve">treatment of used motor drive assembly, electrolysis, PEM</t>
        </is>
      </c>
      <c r="B1097">
        <v>-1</v>
      </c>
      <c r="C1097" t="inlineStr">
        <is>
          <t>GLO</t>
        </is>
      </c>
      <c r="D1097" t="inlineStr">
        <is>
          <t>unit</t>
        </is>
      </c>
      <c r="F1097" t="inlineStr">
        <is>
          <t>technosphere</t>
        </is>
      </c>
      <c r="G1097" t="inlineStr">
        <is>
          <t xml:space="preserve">used motor drive assembly, electrolysis, PEM</t>
        </is>
      </c>
      <c r="I1097" t="inlineStr">
        <is>
          <t xml:space="preserve">used motor drive assembly, electrolysis, PEM</t>
        </is>
      </c>
    </row>
    <row r="1100">
      <c r="A1100" t="inlineStr">
        <is>
          <t>Activity</t>
        </is>
      </c>
      <c r="B1100" t="inlineStr">
        <is>
          <t xml:space="preserve">motor drive assembly production, electrolysis, AEC</t>
        </is>
      </c>
    </row>
    <row r="1101">
      <c r="A1101" t="inlineStr">
        <is>
          <t>location</t>
        </is>
      </c>
      <c r="B1101" t="inlineStr">
        <is>
          <t>GLO</t>
        </is>
      </c>
    </row>
    <row r="1102">
      <c r="A1102" t="inlineStr">
        <is>
          <t>production amount</t>
        </is>
      </c>
      <c r="B1102">
        <v>1</v>
      </c>
    </row>
    <row r="1103">
      <c r="A1103" t="inlineStr">
        <is>
          <t>reference product</t>
        </is>
      </c>
      <c r="B1103" t="inlineStr">
        <is>
          <t xml:space="preserve">motor drive assembly, electrolysis, AEC</t>
        </is>
      </c>
    </row>
    <row r="1104">
      <c r="A1104" t="inlineStr">
        <is>
          <t>unit</t>
        </is>
      </c>
      <c r="B1104" t="inlineStr">
        <is>
          <t>unit</t>
        </is>
      </c>
    </row>
    <row r="1105">
      <c r="A1105" t="inlineStr">
        <is>
          <t>source</t>
        </is>
      </c>
      <c r="B1105" t="inlineStr">
        <is>
          <t>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t>
        </is>
      </c>
    </row>
    <row r="1106">
      <c r="A1106" t="inlineStr">
        <is>
          <t>comment</t>
        </is>
      </c>
      <c r="B1106" t="inlineStr">
        <is>
          <t xml:space="preserve">Nomenclature revision, 2026-10-19. Former activity name: electrolyzer auxiliary drive lifetime kit, AEC, reference. Former reference product: electrolyzer auxiliary drive lifetime kit, AEC, reference. Activity/product labels and supplier references only; coefficients, formulas, uncertainty, declared output and unit are unchanged. Original engineering assumptions, functional-unit basis and limitations remain below.
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row>
    <row r="1107">
      <c r="A1107" t="inlineStr">
        <is>
          <t>Exchanges</t>
        </is>
      </c>
    </row>
    <row r="1108">
      <c r="A1108" t="inlineStr">
        <is>
          <t>name</t>
        </is>
      </c>
      <c r="B1108" t="inlineStr">
        <is>
          <t>amount</t>
        </is>
      </c>
      <c r="C1108" t="inlineStr">
        <is>
          <t>location</t>
        </is>
      </c>
      <c r="D1108" t="inlineStr">
        <is>
          <t>unit</t>
        </is>
      </c>
      <c r="E1108" t="inlineStr">
        <is>
          <t>categories</t>
        </is>
      </c>
      <c r="F1108" t="inlineStr">
        <is>
          <t>type</t>
        </is>
      </c>
      <c r="G1108" t="inlineStr">
        <is>
          <t>reference product</t>
        </is>
      </c>
      <c r="H1108" t="inlineStr">
        <is>
          <t>comment</t>
        </is>
      </c>
      <c r="I1108" t="inlineStr">
        <is>
          <t>product</t>
        </is>
      </c>
    </row>
    <row r="1109">
      <c r="A1109" t="inlineStr">
        <is>
          <t xml:space="preserve">motor drive assembly production, electrolysis, AEC</t>
        </is>
      </c>
      <c r="B1109">
        <v>1</v>
      </c>
      <c r="C1109" t="inlineStr">
        <is>
          <t>GLO</t>
        </is>
      </c>
      <c r="D1109" t="inlineStr">
        <is>
          <t>unit</t>
        </is>
      </c>
      <c r="F1109" t="inlineStr">
        <is>
          <t>production</t>
        </is>
      </c>
      <c r="G1109" t="inlineStr">
        <is>
          <t xml:space="preserve">motor drive assembly, electrolysis, AEC</t>
        </is>
      </c>
      <c r="I1109" t="inlineStr">
        <is>
          <t xml:space="preserve">motor drive assembly, electrolysis, AEC</t>
        </is>
      </c>
    </row>
    <row r="1110">
      <c r="A1110" t="inlineStr">
        <is>
          <t xml:space="preserve">motor drive production, industrial, 75 kW</t>
        </is>
      </c>
      <c r="B1110">
        <v>2</v>
      </c>
      <c r="C1110" t="inlineStr">
        <is>
          <t>GLO</t>
        </is>
      </c>
      <c r="D1110" t="inlineStr">
        <is>
          <t>unit</t>
        </is>
      </c>
      <c r="F1110" t="inlineStr">
        <is>
          <t>technosphere</t>
        </is>
      </c>
      <c r="G1110" t="inlineStr">
        <is>
          <t xml:space="preserve">motor drive, industrial, 75 kW</t>
        </is>
      </c>
      <c r="I1110" t="inlineStr">
        <is>
          <t xml:space="preserve">motor drive, industrial, 75 kW</t>
        </is>
      </c>
    </row>
    <row r="1113">
      <c r="A1113" t="inlineStr">
        <is>
          <t>Activity</t>
        </is>
      </c>
      <c r="B1113" t="inlineStr">
        <is>
          <t xml:space="preserve">treatment of used motor drive assembly, electrolysis, AEC</t>
        </is>
      </c>
    </row>
    <row r="1114">
      <c r="A1114" t="inlineStr">
        <is>
          <t>location</t>
        </is>
      </c>
      <c r="B1114" t="inlineStr">
        <is>
          <t>GLO</t>
        </is>
      </c>
    </row>
    <row r="1115">
      <c r="A1115" t="inlineStr">
        <is>
          <t>production amount</t>
        </is>
      </c>
      <c r="B1115">
        <v>1</v>
      </c>
    </row>
    <row r="1116">
      <c r="A1116" t="inlineStr">
        <is>
          <t>reference product</t>
        </is>
      </c>
      <c r="B1116" t="inlineStr">
        <is>
          <t xml:space="preserve">used motor drive assembly, electrolysis, AEC</t>
        </is>
      </c>
    </row>
    <row r="1117">
      <c r="A1117" t="inlineStr">
        <is>
          <t>unit</t>
        </is>
      </c>
      <c r="B1117" t="inlineStr">
        <is>
          <t>unit</t>
        </is>
      </c>
    </row>
    <row r="1118">
      <c r="A1118" t="inlineStr">
        <is>
          <t>source</t>
        </is>
      </c>
      <c r="B1118" t="inlineStr">
        <is>
          <t>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t>
        </is>
      </c>
    </row>
    <row r="1119">
      <c r="A1119" t="inlineStr">
        <is>
          <t>comment</t>
        </is>
      </c>
      <c r="B1119" t="inlineStr">
        <is>
          <t xml:space="preserve">Nomenclature revision, 2026-10-19. Former activity name: treatment of electrolyzer auxiliary drive lifetime kit, AEC, reference. Former reference product: treatment of electrolyzer auxiliary drive lifetime kit, AEC, reference. Activity/product labels and supplier references only; coefficients, formulas, uncertainty, declared output and unit are unchanged. Original engineering assumptions, functional-unit basis and limitations remain below.
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row>
    <row r="1120">
      <c r="A1120" t="inlineStr">
        <is>
          <t>Exchanges</t>
        </is>
      </c>
    </row>
    <row r="1121">
      <c r="A1121" t="inlineStr">
        <is>
          <t>name</t>
        </is>
      </c>
      <c r="B1121" t="inlineStr">
        <is>
          <t>amount</t>
        </is>
      </c>
      <c r="C1121" t="inlineStr">
        <is>
          <t>location</t>
        </is>
      </c>
      <c r="D1121" t="inlineStr">
        <is>
          <t>unit</t>
        </is>
      </c>
      <c r="E1121" t="inlineStr">
        <is>
          <t>categories</t>
        </is>
      </c>
      <c r="F1121" t="inlineStr">
        <is>
          <t>type</t>
        </is>
      </c>
      <c r="G1121" t="inlineStr">
        <is>
          <t>reference product</t>
        </is>
      </c>
      <c r="H1121" t="inlineStr">
        <is>
          <t>comment</t>
        </is>
      </c>
      <c r="I1121" t="inlineStr">
        <is>
          <t>product</t>
        </is>
      </c>
    </row>
    <row r="1122">
      <c r="A1122" t="inlineStr">
        <is>
          <t xml:space="preserve">treatment of used motor drive assembly, electrolysis, AEC</t>
        </is>
      </c>
      <c r="B1122">
        <v>-1</v>
      </c>
      <c r="C1122" t="inlineStr">
        <is>
          <t>GLO</t>
        </is>
      </c>
      <c r="D1122" t="inlineStr">
        <is>
          <t>unit</t>
        </is>
      </c>
      <c r="F1122" t="inlineStr">
        <is>
          <t>production</t>
        </is>
      </c>
      <c r="G1122" t="inlineStr">
        <is>
          <t xml:space="preserve">used motor drive assembly, electrolysis, AEC</t>
        </is>
      </c>
      <c r="I1122" t="inlineStr">
        <is>
          <t xml:space="preserve">used motor drive assembly, electrolysis, AEC</t>
        </is>
      </c>
    </row>
    <row r="1123">
      <c r="A1123" t="inlineStr">
        <is>
          <t>market for waste electric and electronic equipment</t>
        </is>
      </c>
      <c r="B1123">
        <v>-82.4032</v>
      </c>
      <c r="C1123" t="inlineStr">
        <is>
          <t>GLO</t>
        </is>
      </c>
      <c r="D1123" t="inlineStr">
        <is>
          <t>kilogram</t>
        </is>
      </c>
      <c r="F1123" t="inlineStr">
        <is>
          <t>technosphere</t>
        </is>
      </c>
      <c r="G1123" t="inlineStr">
        <is>
          <t>waste electric and electronic equipment</t>
        </is>
      </c>
      <c r="I1123" t="inlineStr">
        <is>
          <t>waste electric and electronic equipment</t>
        </is>
      </c>
    </row>
    <row r="1126">
      <c r="A1126" t="inlineStr">
        <is>
          <t>Activity</t>
        </is>
      </c>
      <c r="B1126" t="inlineStr">
        <is>
          <t xml:space="preserve">treatment of used power conversion system and motor drives, electrolysis, AEC</t>
        </is>
      </c>
    </row>
    <row r="1127">
      <c r="A1127" t="inlineStr">
        <is>
          <t>location</t>
        </is>
      </c>
      <c r="B1127" t="inlineStr">
        <is>
          <t>GLO</t>
        </is>
      </c>
    </row>
    <row r="1128">
      <c r="A1128" t="inlineStr">
        <is>
          <t>production amount</t>
        </is>
      </c>
      <c r="B1128">
        <v>1</v>
      </c>
    </row>
    <row r="1129">
      <c r="A1129" t="inlineStr">
        <is>
          <t>reference product</t>
        </is>
      </c>
      <c r="B1129" t="inlineStr">
        <is>
          <t xml:space="preserve">used power conversion system and motor drives, electrolysis, AEC</t>
        </is>
      </c>
    </row>
    <row r="1130">
      <c r="A1130" t="inlineStr">
        <is>
          <t>unit</t>
        </is>
      </c>
      <c r="B1130" t="inlineStr">
        <is>
          <t>unit</t>
        </is>
      </c>
    </row>
    <row r="1131">
      <c r="A1131" t="inlineStr">
        <is>
          <t>source</t>
        </is>
      </c>
      <c r="B1131" t="inlineStr">
        <is>
          <t>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t>
        </is>
      </c>
    </row>
    <row r="1132">
      <c r="A1132" t="inlineStr">
        <is>
          <t>comment</t>
        </is>
      </c>
      <c r="B1132" t="inlineStr">
        <is>
          <t xml:space="preserve">Nomenclature revision, 2026-10-19. Former activity name: treatment of electrolyzer power conversion and auxiliary drives, AEC, reference. Former reference product: treatment of electrolyzer power conversion and auxiliary drives, AEC, reference. Activity/product labels and supplier references only; coefficients, formulas, uncertainty, declared output and unit are unchanged. Original engineering assumptions, functional-unit basis and limitations remain below.
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row>
    <row r="1133">
      <c r="A1133" t="inlineStr">
        <is>
          <t>Exchanges</t>
        </is>
      </c>
    </row>
    <row r="1134">
      <c r="A1134" t="inlineStr">
        <is>
          <t>name</t>
        </is>
      </c>
      <c r="B1134" t="inlineStr">
        <is>
          <t>amount</t>
        </is>
      </c>
      <c r="C1134" t="inlineStr">
        <is>
          <t>location</t>
        </is>
      </c>
      <c r="D1134" t="inlineStr">
        <is>
          <t>unit</t>
        </is>
      </c>
      <c r="E1134" t="inlineStr">
        <is>
          <t>categories</t>
        </is>
      </c>
      <c r="F1134" t="inlineStr">
        <is>
          <t>type</t>
        </is>
      </c>
      <c r="G1134" t="inlineStr">
        <is>
          <t>reference product</t>
        </is>
      </c>
      <c r="H1134" t="inlineStr">
        <is>
          <t>comment</t>
        </is>
      </c>
      <c r="I1134" t="inlineStr">
        <is>
          <t>product</t>
        </is>
      </c>
    </row>
    <row r="1135">
      <c r="A1135" t="inlineStr">
        <is>
          <t xml:space="preserve">treatment of used power conversion system and motor drives, electrolysis, AEC</t>
        </is>
      </c>
      <c r="B1135">
        <v>-1</v>
      </c>
      <c r="C1135" t="inlineStr">
        <is>
          <t>GLO</t>
        </is>
      </c>
      <c r="D1135" t="inlineStr">
        <is>
          <t>unit</t>
        </is>
      </c>
      <c r="F1135" t="inlineStr">
        <is>
          <t>production</t>
        </is>
      </c>
      <c r="G1135" t="inlineStr">
        <is>
          <t xml:space="preserve">used power conversion system and motor drives, electrolysis, AEC</t>
        </is>
      </c>
      <c r="I1135" t="inlineStr">
        <is>
          <t xml:space="preserve">used power conversion system and motor drives, electrolysis, AEC</t>
        </is>
      </c>
    </row>
    <row r="1136">
      <c r="A1136" t="inlineStr">
        <is>
          <t xml:space="preserve">treatment of used power conversion system, electrolysis, 1 MW</t>
        </is>
      </c>
      <c r="B1136">
        <v>-1</v>
      </c>
      <c r="C1136" t="inlineStr">
        <is>
          <t>GLO</t>
        </is>
      </c>
      <c r="D1136" t="inlineStr">
        <is>
          <t>unit</t>
        </is>
      </c>
      <c r="F1136" t="inlineStr">
        <is>
          <t>technosphere</t>
        </is>
      </c>
      <c r="G1136" t="inlineStr">
        <is>
          <t xml:space="preserve">used power conversion system, electrolysis, 1 MW</t>
        </is>
      </c>
      <c r="I1136" t="inlineStr">
        <is>
          <t xml:space="preserve">used power conversion system, electrolysis, 1 MW</t>
        </is>
      </c>
    </row>
    <row r="1137">
      <c r="A1137" t="inlineStr">
        <is>
          <t xml:space="preserve">treatment of used motor drive assembly, electrolysis, AEC</t>
        </is>
      </c>
      <c r="B1137">
        <v>-1</v>
      </c>
      <c r="C1137" t="inlineStr">
        <is>
          <t>GLO</t>
        </is>
      </c>
      <c r="D1137" t="inlineStr">
        <is>
          <t>unit</t>
        </is>
      </c>
      <c r="F1137" t="inlineStr">
        <is>
          <t>technosphere</t>
        </is>
      </c>
      <c r="G1137" t="inlineStr">
        <is>
          <t xml:space="preserve">used motor drive assembly, electrolysis, AEC</t>
        </is>
      </c>
      <c r="I1137" t="inlineStr">
        <is>
          <t xml:space="preserve">used motor drive assembly, electrolysis, AEC</t>
        </is>
      </c>
    </row>
    <row r="1140">
      <c r="A1140" t="inlineStr">
        <is>
          <t>Activity</t>
        </is>
      </c>
      <c r="B1140" t="inlineStr">
        <is>
          <t xml:space="preserve">motor drive assembly production, electrolysis, SOEC</t>
        </is>
      </c>
    </row>
    <row r="1141">
      <c r="A1141" t="inlineStr">
        <is>
          <t>location</t>
        </is>
      </c>
      <c r="B1141" t="inlineStr">
        <is>
          <t>GLO</t>
        </is>
      </c>
    </row>
    <row r="1142">
      <c r="A1142" t="inlineStr">
        <is>
          <t>production amount</t>
        </is>
      </c>
      <c r="B1142">
        <v>1</v>
      </c>
    </row>
    <row r="1143">
      <c r="A1143" t="inlineStr">
        <is>
          <t>reference product</t>
        </is>
      </c>
      <c r="B1143" t="inlineStr">
        <is>
          <t xml:space="preserve">motor drive assembly, electrolysis, SOEC</t>
        </is>
      </c>
    </row>
    <row r="1144">
      <c r="A1144" t="inlineStr">
        <is>
          <t>unit</t>
        </is>
      </c>
      <c r="B1144" t="inlineStr">
        <is>
          <t>unit</t>
        </is>
      </c>
    </row>
    <row r="1145">
      <c r="A1145" t="inlineStr">
        <is>
          <t>source</t>
        </is>
      </c>
      <c r="B1145" t="inlineStr">
        <is>
          <t>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t>
        </is>
      </c>
    </row>
    <row r="1146">
      <c r="A1146" t="inlineStr">
        <is>
          <t>comment</t>
        </is>
      </c>
      <c r="B1146" t="inlineStr">
        <is>
          <t xml:space="preserve">Nomenclature revision, 2026-10-19. Former activity name: electrolyzer auxiliary drive lifetime kit, SOEC, reference. Former reference product: electrolyzer auxiliary drive lifetime kit, SOEC, reference. Activity/product labels and supplier references only; coefficients, formulas, uncertainty, declared output and unit are unchanged. Original engineering assumptions, functional-unit basis and limitations remain below.
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row>
    <row r="1147">
      <c r="A1147" t="inlineStr">
        <is>
          <t>Exchanges</t>
        </is>
      </c>
    </row>
    <row r="1148">
      <c r="A1148" t="inlineStr">
        <is>
          <t>name</t>
        </is>
      </c>
      <c r="B1148" t="inlineStr">
        <is>
          <t>amount</t>
        </is>
      </c>
      <c r="C1148" t="inlineStr">
        <is>
          <t>location</t>
        </is>
      </c>
      <c r="D1148" t="inlineStr">
        <is>
          <t>unit</t>
        </is>
      </c>
      <c r="E1148" t="inlineStr">
        <is>
          <t>categories</t>
        </is>
      </c>
      <c r="F1148" t="inlineStr">
        <is>
          <t>type</t>
        </is>
      </c>
      <c r="G1148" t="inlineStr">
        <is>
          <t>reference product</t>
        </is>
      </c>
      <c r="H1148" t="inlineStr">
        <is>
          <t>comment</t>
        </is>
      </c>
      <c r="I1148" t="inlineStr">
        <is>
          <t>product</t>
        </is>
      </c>
    </row>
    <row r="1149">
      <c r="A1149" t="inlineStr">
        <is>
          <t xml:space="preserve">motor drive assembly production, electrolysis, SOEC</t>
        </is>
      </c>
      <c r="B1149">
        <v>1</v>
      </c>
      <c r="C1149" t="inlineStr">
        <is>
          <t>GLO</t>
        </is>
      </c>
      <c r="D1149" t="inlineStr">
        <is>
          <t>unit</t>
        </is>
      </c>
      <c r="F1149" t="inlineStr">
        <is>
          <t>production</t>
        </is>
      </c>
      <c r="G1149" t="inlineStr">
        <is>
          <t xml:space="preserve">motor drive assembly, electrolysis, SOEC</t>
        </is>
      </c>
      <c r="I1149" t="inlineStr">
        <is>
          <t xml:space="preserve">motor drive assembly, electrolysis, SOEC</t>
        </is>
      </c>
    </row>
    <row r="1150">
      <c r="A1150" t="inlineStr">
        <is>
          <t xml:space="preserve">motor drive production, industrial, 15 kW</t>
        </is>
      </c>
      <c r="B1150">
        <v>10</v>
      </c>
      <c r="C1150" t="inlineStr">
        <is>
          <t>GLO</t>
        </is>
      </c>
      <c r="D1150" t="inlineStr">
        <is>
          <t>unit</t>
        </is>
      </c>
      <c r="F1150" t="inlineStr">
        <is>
          <t>technosphere</t>
        </is>
      </c>
      <c r="G1150" t="inlineStr">
        <is>
          <t xml:space="preserve">motor drive, industrial, 15 kW</t>
        </is>
      </c>
      <c r="I1150" t="inlineStr">
        <is>
          <t xml:space="preserve">motor drive, industrial, 15 kW</t>
        </is>
      </c>
    </row>
    <row r="1151">
      <c r="A1151" t="inlineStr">
        <is>
          <t xml:space="preserve">motor drive production, industrial, 1.1 kW</t>
        </is>
      </c>
      <c r="B1151">
        <v>2</v>
      </c>
      <c r="C1151" t="inlineStr">
        <is>
          <t>GLO</t>
        </is>
      </c>
      <c r="D1151" t="inlineStr">
        <is>
          <t>unit</t>
        </is>
      </c>
      <c r="F1151" t="inlineStr">
        <is>
          <t>technosphere</t>
        </is>
      </c>
      <c r="G1151" t="inlineStr">
        <is>
          <t xml:space="preserve">motor drive, industrial, 1.1 kW</t>
        </is>
      </c>
      <c r="I1151" t="inlineStr">
        <is>
          <t xml:space="preserve">motor drive, industrial, 1.1 kW</t>
        </is>
      </c>
    </row>
    <row r="1154">
      <c r="A1154" t="inlineStr">
        <is>
          <t>Activity</t>
        </is>
      </c>
      <c r="B1154" t="inlineStr">
        <is>
          <t xml:space="preserve">treatment of used motor drive assembly, electrolysis, SOEC</t>
        </is>
      </c>
    </row>
    <row r="1155">
      <c r="A1155" t="inlineStr">
        <is>
          <t>location</t>
        </is>
      </c>
      <c r="B1155" t="inlineStr">
        <is>
          <t>GLO</t>
        </is>
      </c>
    </row>
    <row r="1156">
      <c r="A1156" t="inlineStr">
        <is>
          <t>production amount</t>
        </is>
      </c>
      <c r="B1156">
        <v>1</v>
      </c>
    </row>
    <row r="1157">
      <c r="A1157" t="inlineStr">
        <is>
          <t>reference product</t>
        </is>
      </c>
      <c r="B1157" t="inlineStr">
        <is>
          <t xml:space="preserve">used motor drive assembly, electrolysis, SOEC</t>
        </is>
      </c>
    </row>
    <row r="1158">
      <c r="A1158" t="inlineStr">
        <is>
          <t>unit</t>
        </is>
      </c>
      <c r="B1158" t="inlineStr">
        <is>
          <t>unit</t>
        </is>
      </c>
    </row>
    <row r="1159">
      <c r="A1159" t="inlineStr">
        <is>
          <t>source</t>
        </is>
      </c>
      <c r="B1159" t="inlineStr">
        <is>
          <t>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t>
        </is>
      </c>
    </row>
    <row r="1160">
      <c r="A1160" t="inlineStr">
        <is>
          <t>comment</t>
        </is>
      </c>
      <c r="B1160" t="inlineStr">
        <is>
          <t xml:space="preserve">Nomenclature revision, 2026-10-19. Former activity name: treatment of electrolyzer auxiliary drive lifetime kit, SOEC, reference. Former reference product: treatment of electrolyzer auxiliary drive lifetime kit, SOEC, reference. Activity/product labels and supplier references only; coefficients, formulas, uncertainty, declared output and unit are unchanged. Original engineering assumptions, functional-unit basis and limitations remain below.
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row>
    <row r="1161">
      <c r="A1161" t="inlineStr">
        <is>
          <t>Exchanges</t>
        </is>
      </c>
    </row>
    <row r="1162">
      <c r="A1162" t="inlineStr">
        <is>
          <t>name</t>
        </is>
      </c>
      <c r="B1162" t="inlineStr">
        <is>
          <t>amount</t>
        </is>
      </c>
      <c r="C1162" t="inlineStr">
        <is>
          <t>location</t>
        </is>
      </c>
      <c r="D1162" t="inlineStr">
        <is>
          <t>unit</t>
        </is>
      </c>
      <c r="E1162" t="inlineStr">
        <is>
          <t>categories</t>
        </is>
      </c>
      <c r="F1162" t="inlineStr">
        <is>
          <t>type</t>
        </is>
      </c>
      <c r="G1162" t="inlineStr">
        <is>
          <t>reference product</t>
        </is>
      </c>
      <c r="H1162" t="inlineStr">
        <is>
          <t>comment</t>
        </is>
      </c>
      <c r="I1162" t="inlineStr">
        <is>
          <t>product</t>
        </is>
      </c>
    </row>
    <row r="1163">
      <c r="A1163" t="inlineStr">
        <is>
          <t xml:space="preserve">treatment of used motor drive assembly, electrolysis, SOEC</t>
        </is>
      </c>
      <c r="B1163">
        <v>-1</v>
      </c>
      <c r="C1163" t="inlineStr">
        <is>
          <t>GLO</t>
        </is>
      </c>
      <c r="D1163" t="inlineStr">
        <is>
          <t>unit</t>
        </is>
      </c>
      <c r="F1163" t="inlineStr">
        <is>
          <t>production</t>
        </is>
      </c>
      <c r="G1163" t="inlineStr">
        <is>
          <t xml:space="preserve">used motor drive assembly, electrolysis, SOEC</t>
        </is>
      </c>
      <c r="I1163" t="inlineStr">
        <is>
          <t xml:space="preserve">used motor drive assembly, electrolysis, SOEC</t>
        </is>
      </c>
    </row>
    <row r="1164">
      <c r="A1164" t="inlineStr">
        <is>
          <t>market for waste electric and electronic equipment</t>
        </is>
      </c>
      <c r="B1164">
        <v>-118.46482</v>
      </c>
      <c r="C1164" t="inlineStr">
        <is>
          <t>GLO</t>
        </is>
      </c>
      <c r="D1164" t="inlineStr">
        <is>
          <t>kilogram</t>
        </is>
      </c>
      <c r="F1164" t="inlineStr">
        <is>
          <t>technosphere</t>
        </is>
      </c>
      <c r="G1164" t="inlineStr">
        <is>
          <t>waste electric and electronic equipment</t>
        </is>
      </c>
      <c r="I1164" t="inlineStr">
        <is>
          <t>waste electric and electronic equipment</t>
        </is>
      </c>
    </row>
    <row r="1167">
      <c r="A1167" t="inlineStr">
        <is>
          <t>Activity</t>
        </is>
      </c>
      <c r="B1167" t="inlineStr">
        <is>
          <t xml:space="preserve">treatment of used power conversion system and motor drives, electrolysis, SOEC</t>
        </is>
      </c>
    </row>
    <row r="1168">
      <c r="A1168" t="inlineStr">
        <is>
          <t>location</t>
        </is>
      </c>
      <c r="B1168" t="inlineStr">
        <is>
          <t>GLO</t>
        </is>
      </c>
    </row>
    <row r="1169">
      <c r="A1169" t="inlineStr">
        <is>
          <t>production amount</t>
        </is>
      </c>
      <c r="B1169">
        <v>1</v>
      </c>
    </row>
    <row r="1170">
      <c r="A1170" t="inlineStr">
        <is>
          <t>reference product</t>
        </is>
      </c>
      <c r="B1170" t="inlineStr">
        <is>
          <t xml:space="preserve">used power conversion system and motor drives, electrolysis, SOEC</t>
        </is>
      </c>
    </row>
    <row r="1171">
      <c r="A1171" t="inlineStr">
        <is>
          <t>unit</t>
        </is>
      </c>
      <c r="B1171" t="inlineStr">
        <is>
          <t>unit</t>
        </is>
      </c>
    </row>
    <row r="1172">
      <c r="A1172" t="inlineStr">
        <is>
          <t>source</t>
        </is>
      </c>
      <c r="B1172" t="inlineStr">
        <is>
          <t>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t>
        </is>
      </c>
    </row>
    <row r="1173">
      <c r="A1173" t="inlineStr">
        <is>
          <t>comment</t>
        </is>
      </c>
      <c r="B1173" t="inlineStr">
        <is>
          <t xml:space="preserve">Nomenclature revision, 2026-10-19. Former activity name: treatment of electrolyzer power conversion and auxiliary drives, SOEC, reference. Former reference product: treatment of electrolyzer power conversion and auxiliary drives, SOEC, reference. Activity/product labels and supplier references only; coefficients, formulas, uncertainty, declared output and unit are unchanged. Original engineering assumptions, functional-unit basis and limitations remain below.
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row>
    <row r="1174">
      <c r="A1174" t="inlineStr">
        <is>
          <t>Exchanges</t>
        </is>
      </c>
    </row>
    <row r="1175">
      <c r="A1175" t="inlineStr">
        <is>
          <t>name</t>
        </is>
      </c>
      <c r="B1175" t="inlineStr">
        <is>
          <t>amount</t>
        </is>
      </c>
      <c r="C1175" t="inlineStr">
        <is>
          <t>location</t>
        </is>
      </c>
      <c r="D1175" t="inlineStr">
        <is>
          <t>unit</t>
        </is>
      </c>
      <c r="E1175" t="inlineStr">
        <is>
          <t>categories</t>
        </is>
      </c>
      <c r="F1175" t="inlineStr">
        <is>
          <t>type</t>
        </is>
      </c>
      <c r="G1175" t="inlineStr">
        <is>
          <t>reference product</t>
        </is>
      </c>
      <c r="H1175" t="inlineStr">
        <is>
          <t>comment</t>
        </is>
      </c>
      <c r="I1175" t="inlineStr">
        <is>
          <t>product</t>
        </is>
      </c>
    </row>
    <row r="1176">
      <c r="A1176" t="inlineStr">
        <is>
          <t xml:space="preserve">treatment of used power conversion system and motor drives, electrolysis, SOEC</t>
        </is>
      </c>
      <c r="B1176">
        <v>-1</v>
      </c>
      <c r="C1176" t="inlineStr">
        <is>
          <t>GLO</t>
        </is>
      </c>
      <c r="D1176" t="inlineStr">
        <is>
          <t>unit</t>
        </is>
      </c>
      <c r="F1176" t="inlineStr">
        <is>
          <t>production</t>
        </is>
      </c>
      <c r="G1176" t="inlineStr">
        <is>
          <t xml:space="preserve">used power conversion system and motor drives, electrolysis, SOEC</t>
        </is>
      </c>
      <c r="I1176" t="inlineStr">
        <is>
          <t xml:space="preserve">used power conversion system and motor drives, electrolysis, SOEC</t>
        </is>
      </c>
    </row>
    <row r="1177">
      <c r="A1177" t="inlineStr">
        <is>
          <t xml:space="preserve">treatment of used power conversion system, electrolysis, 1 MW</t>
        </is>
      </c>
      <c r="B1177">
        <v>-1</v>
      </c>
      <c r="C1177" t="inlineStr">
        <is>
          <t>GLO</t>
        </is>
      </c>
      <c r="D1177" t="inlineStr">
        <is>
          <t>unit</t>
        </is>
      </c>
      <c r="F1177" t="inlineStr">
        <is>
          <t>technosphere</t>
        </is>
      </c>
      <c r="G1177" t="inlineStr">
        <is>
          <t xml:space="preserve">used power conversion system, electrolysis, 1 MW</t>
        </is>
      </c>
      <c r="I1177" t="inlineStr">
        <is>
          <t xml:space="preserve">used power conversion system, electrolysis, 1 MW</t>
        </is>
      </c>
    </row>
    <row r="1178">
      <c r="A1178" t="inlineStr">
        <is>
          <t xml:space="preserve">treatment of used motor drive assembly, electrolysis, SOEC</t>
        </is>
      </c>
      <c r="B1178">
        <v>-1</v>
      </c>
      <c r="C1178" t="inlineStr">
        <is>
          <t>GLO</t>
        </is>
      </c>
      <c r="D1178" t="inlineStr">
        <is>
          <t>unit</t>
        </is>
      </c>
      <c r="F1178" t="inlineStr">
        <is>
          <t>technosphere</t>
        </is>
      </c>
      <c r="G1178" t="inlineStr">
        <is>
          <t xml:space="preserve">used motor drive assembly, electrolysis, SOEC</t>
        </is>
      </c>
      <c r="I1178" t="inlineStr">
        <is>
          <t xml:space="preserve">used motor drive assembly, electrolysis, SOEC</t>
        </is>
      </c>
    </row>
    <row r="1181">
      <c r="A1181" t="inlineStr">
        <is>
          <t>Activity</t>
        </is>
      </c>
      <c r="B1181" t="inlineStr">
        <is>
          <t xml:space="preserve">PTFE gasket production, polymerization and forming</t>
        </is>
      </c>
    </row>
    <row r="1182">
      <c r="A1182" t="inlineStr">
        <is>
          <t>location</t>
        </is>
      </c>
      <c r="B1182" t="inlineStr">
        <is>
          <t>GLO</t>
        </is>
      </c>
    </row>
    <row r="1183">
      <c r="A1183" t="inlineStr">
        <is>
          <t>production amount</t>
        </is>
      </c>
      <c r="B1183">
        <v>1</v>
      </c>
    </row>
    <row r="1184">
      <c r="A1184" t="inlineStr">
        <is>
          <t>reference product</t>
        </is>
      </c>
      <c r="B1184" t="inlineStr">
        <is>
          <t xml:space="preserve">PTFE gasket, polymerization and forming</t>
        </is>
      </c>
    </row>
    <row r="1185">
      <c r="A1185" t="inlineStr">
        <is>
          <t>unit</t>
        </is>
      </c>
      <c r="B1185" t="inlineStr">
        <is>
          <t>kilogram</t>
        </is>
      </c>
    </row>
    <row r="1186">
      <c r="A1186" t="inlineStr">
        <is>
          <t>source</t>
        </is>
      </c>
      <c r="B1186" t="inlineStr">
        <is>
          <t>Gerloff2021 DOI10.1016/j.est.2021.102759 andPtM DOI10.1021/acssuschemeng.1c02002 SI pS12 identify144.2kgTFEinputasgasket. FinishedPTFEproperties/polymerization:Hintzer et al.2014 Ullmann Fluoropolymers DOI10.1002/14356007.a11_393.pub2;ecoinvent3.12hasPTFEemulsionpolymerizationbut3.8-3.11lackafinishedprovider. Engineeringallowancesbelowuse3.12polymerizationenergy7.5MJ+0.5kWh/kgplus3MJ+0.2kWhforming,notacopyofwholebackgroundinventory.</t>
        </is>
      </c>
    </row>
    <row r="1187">
      <c r="A1187" t="inlineStr">
        <is>
          <t>comment</t>
        </is>
      </c>
      <c r="B1187" t="inlineStr">
        <is>
          <t xml:space="preserve">Nomenclature revision, 2026-10-19. Former activity name: PTFE gasket, polymerization and forming engineering reference. Former reference product: PTFE gasket, polymerization and forming engineering reference. Activity/product labels and supplier references only; coefficients, formulas, uncertainty, declared output and unit are unchanged. Original engineering assumptions, functional-unit basis and limitations remain below.
APPROVED FINISHED AEC PTFE GASKETS, issue100, 2026-10-18. Gerloff2021 DOI10.1016/j.est.2021.102759 andPtM DOI10.1021/acssuschemeng.1c02002 SI pS12 identify144.2kgTFEinputasgasket. FinishedPTFEproperties/polymerization:Hintzer et al.2014 Ullmann Fluoropolymers DOI10.1002/14356007.a11_393.pub2;ecoinvent3.12hasPTFEemulsionpolymerizationbut3.8-3.11lackafinishedprovider. Engineeringallowancesbelowuse3.12polymerizationenergy7.5MJ+0.5kWh/kgplus3MJ+0.2kWhforming,notacopyofwholebackgroundinventory. Replace144.2kgvolatileTFEmonomerby144.2kgfinishedPTFEgasketreference,maintainingallversionbehaviorwithoneworkbookprovider. nC2F4-&gt;(C2F4)n;100%chemicalconversionthen95%finishedsolidretention(includingforming/machiningreject). Perkgfinished1/0.95=1.0526315789473684kgTFE,solidPTFEreject=0.05263157894736836kg. Thisyieldisassumed,90-100%sensitivity;notmeasuredindustrialpolymerizationyield. Aggregatemanufacture10.5MJheat+0.7kWh/kgfinishedincludespolymerizationandformingonce(5-20MJ,.35-1.4kWhsensitivity). ExistingTFEsupplyupstreamburdensretainedonce. Initiator,emulsionwater/surfactant,polymerdrying,highpressureequipment,purification,PFAS/TFEfugitiveemissionsandactualgasketshapesareunresolved;solid-rejectreferenceisnotclaimofzeroindustrialairloss. No nativePTFEpurchaseontopofmonomer,nomassivegasgasketinterpretation. FinishedAECgasketEOL144.2kgoldplasticroutepreserved;fluoropolymer-specificHFabatementnotvalidatedbygenericroute. Stacklifetimesandmetalinputsunchanged.</t>
        </is>
      </c>
    </row>
    <row r="1188">
      <c r="A1188" t="inlineStr">
        <is>
          <t>Exchanges</t>
        </is>
      </c>
    </row>
    <row r="1189">
      <c r="A1189" t="inlineStr">
        <is>
          <t>name</t>
        </is>
      </c>
      <c r="B1189" t="inlineStr">
        <is>
          <t>amount</t>
        </is>
      </c>
      <c r="C1189" t="inlineStr">
        <is>
          <t>location</t>
        </is>
      </c>
      <c r="D1189" t="inlineStr">
        <is>
          <t>unit</t>
        </is>
      </c>
      <c r="E1189" t="inlineStr">
        <is>
          <t>categories</t>
        </is>
      </c>
      <c r="F1189" t="inlineStr">
        <is>
          <t>type</t>
        </is>
      </c>
      <c r="G1189" t="inlineStr">
        <is>
          <t>reference product</t>
        </is>
      </c>
      <c r="H1189" t="inlineStr">
        <is>
          <t>comment</t>
        </is>
      </c>
      <c r="I1189" t="inlineStr">
        <is>
          <t>product</t>
        </is>
      </c>
    </row>
    <row r="1190">
      <c r="A1190" t="inlineStr">
        <is>
          <t xml:space="preserve">PTFE gasket production, polymerization and forming</t>
        </is>
      </c>
      <c r="B1190">
        <v>1</v>
      </c>
      <c r="C1190" t="inlineStr">
        <is>
          <t>GLO</t>
        </is>
      </c>
      <c r="D1190" t="inlineStr">
        <is>
          <t>kilogram</t>
        </is>
      </c>
      <c r="F1190" t="inlineStr">
        <is>
          <t>production</t>
        </is>
      </c>
      <c r="G1190" t="inlineStr">
        <is>
          <t xml:space="preserve">PTFE gasket, polymerization and forming</t>
        </is>
      </c>
      <c r="I1190" t="inlineStr">
        <is>
          <t xml:space="preserve">PTFE gasket, polymerization and forming</t>
        </is>
      </c>
    </row>
    <row r="1191">
      <c r="A1191" t="inlineStr">
        <is>
          <t>market for tetrafluoroethylene</t>
        </is>
      </c>
      <c r="B1191">
        <v>1.0526315789473684</v>
      </c>
      <c r="C1191" t="inlineStr">
        <is>
          <t>GLO</t>
        </is>
      </c>
      <c r="D1191" t="inlineStr">
        <is>
          <t>kilogram</t>
        </is>
      </c>
      <c r="F1191" t="inlineStr">
        <is>
          <t>technosphere</t>
        </is>
      </c>
      <c r="G1191" t="inlineStr">
        <is>
          <t>tetrafluoroethylene</t>
        </is>
      </c>
      <c r="I1191" t="inlineStr">
        <is>
          <t>tetrafluoroethylene</t>
        </is>
      </c>
    </row>
    <row r="1192">
      <c r="A1192" t="inlineStr">
        <is>
          <t>market for heat, district or industrial, natural gas</t>
        </is>
      </c>
      <c r="B1192">
        <v>10.5</v>
      </c>
      <c r="C1192" t="inlineStr">
        <is>
          <t>RoW</t>
        </is>
      </c>
      <c r="D1192" t="inlineStr">
        <is>
          <t>megajoule</t>
        </is>
      </c>
      <c r="F1192" t="inlineStr">
        <is>
          <t>technosphere</t>
        </is>
      </c>
      <c r="G1192" t="inlineStr">
        <is>
          <t>heat, district or industrial, natural gas</t>
        </is>
      </c>
      <c r="I1192" t="inlineStr">
        <is>
          <t>heat, district or industrial, natural gas</t>
        </is>
      </c>
    </row>
    <row r="1193">
      <c r="A1193" t="inlineStr">
        <is>
          <t>market group for electricity, medium voltage</t>
        </is>
      </c>
      <c r="B1193">
        <v>0.7</v>
      </c>
      <c r="C1193" t="inlineStr">
        <is>
          <t>GLO</t>
        </is>
      </c>
      <c r="D1193" t="inlineStr">
        <is>
          <t>kilowatt hour</t>
        </is>
      </c>
      <c r="F1193" t="inlineStr">
        <is>
          <t>technosphere</t>
        </is>
      </c>
      <c r="G1193" t="inlineStr">
        <is>
          <t>electricity, medium voltage</t>
        </is>
      </c>
      <c r="I1193" t="inlineStr">
        <is>
          <t>electricity, medium voltage</t>
        </is>
      </c>
    </row>
    <row r="1194">
      <c r="A1194" t="inlineStr">
        <is>
          <t>market for waste plastic, mixture</t>
        </is>
      </c>
      <c r="B1194">
        <v>-0.05263157894736836</v>
      </c>
      <c r="C1194" t="inlineStr">
        <is>
          <t>RoW</t>
        </is>
      </c>
      <c r="D1194" t="inlineStr">
        <is>
          <t>kilogram</t>
        </is>
      </c>
      <c r="F1194" t="inlineStr">
        <is>
          <t>technosphere</t>
        </is>
      </c>
      <c r="G1194" t="inlineStr">
        <is>
          <t>waste plastic, mixture</t>
        </is>
      </c>
      <c r="I1194" t="inlineStr">
        <is>
          <t>waste plastic, mixture</t>
        </is>
      </c>
    </row>
    <row r="1197">
      <c r="A1197" t="inlineStr">
        <is>
          <t>Activity</t>
        </is>
      </c>
      <c r="B1197" t="inlineStr">
        <is>
          <t>silicon carbide wafer production, physical vapour transport</t>
        </is>
      </c>
    </row>
    <row r="1198">
      <c r="A1198" t="inlineStr">
        <is>
          <t>location</t>
        </is>
      </c>
      <c r="B1198" t="inlineStr">
        <is>
          <t>GLO</t>
        </is>
      </c>
    </row>
    <row r="1199">
      <c r="A1199" t="inlineStr">
        <is>
          <t>production amount</t>
        </is>
      </c>
      <c r="B1199">
        <v>1</v>
      </c>
    </row>
    <row r="1200">
      <c r="A1200" t="inlineStr">
        <is>
          <t>reference product</t>
        </is>
      </c>
      <c r="B1200" t="inlineStr">
        <is>
          <t>silicon carbide wafer</t>
        </is>
      </c>
    </row>
    <row r="1201">
      <c r="A1201" t="inlineStr">
        <is>
          <t>unit</t>
        </is>
      </c>
      <c r="B1201" t="inlineStr">
        <is>
          <t>kilogram</t>
        </is>
      </c>
    </row>
    <row r="1202">
      <c r="A1202" t="inlineStr">
        <is>
          <t>source</t>
        </is>
      </c>
      <c r="B1202" t="inlineStr">
        <is>
          <t>Arvidsson and Molander 2017, DOI10.1111/jiec.12526; Warren et al.2015, DOI10.1021/acs.est.5b01627. Published PVT substrate reference.</t>
        </is>
      </c>
    </row>
    <row r="1203">
      <c r="A1203" t="inlineStr">
        <is>
          <t>comment</t>
        </is>
      </c>
      <c r="B1203" t="inlineStr">
        <is>
          <t>CONSISTENT SiC WAFER/FABRICATION BASIS, 2026-10-20. This supersedes the earlier4kWh/cm2-physical-wafer and35%yield interpretation. Warren2015 https://doi.org/10.1021/acs.est.5b01627 primary manuscript section4.1 https://www.osti.gov/servlets/purl/1855705 defines4.04kWh/cm2 of FUNCTIONAL DIE, including perimeter/nonfunctional die losses. Its100mm reference has81.07cm2/wafer,1314gooddies*3.42mm2=44.9388cm2goodarea; thus2.239456667kWh/cm2physical usable wafer. Its6.6cm boule yields47good350um wafers after kerf/polishing and bad wafers; retained wafer/boule mass=47*.035/6.6=0.2492424242. This is a published reference design, not current measured factory yield. Net consumed Acheson SiC powder is represented as the boule mass,100%net conversion; actual PVT-grade purification/charge losses remain unrepresented. Unused circulating charge is not repeatedly purchased. The wafer provider output remains1kg PHYSICAL350um wafer, not1kg of good chips. Supply its net discarded crystal/kerf once to the existing mineral waste proxy. No argon amount or direct-growth emissions is established. Spejo2023 https://doi.org/10.1016/j.pedc.2023.100050 Table1/section3 models150mm SiC MOSFET processing with520potential25mm2dies and442gooddies (85%electrical yield). These are future-maturity estimates and a3.3kV source analogue, not measured650/1200/2300V part production. Selected scenario3 front-end electricity4.99kWh/cm2GOODDIE already includes wafer utilization/yield; do NOT divide it again by0.85. Test its four published scenarios 2.50,3.01,4.99,6.02kWh/cm2. Source good-area fraction=442*.25/(pi*7.5^2)=0.62530; physical wafer input/good-die area=1/that fraction. Finished SiC mass is held fixed. Infer delivered die area from3210kg/m3 and350um unthinned-die reference, not a measured thickness; test175/100um. Thinning and cutting reject mass=physical wafer input minus retained SiC, treated once separately from upstream crystal/kerf. Failed dies are assumed bare SiC in this nominal ledger; discarded metallization and process chemicals remain unquantified. The electrical good-die yield is separate from geometry and wafer-growth losses. Linear wafer-area transfer from Warren substrate to Spejo geometry is explicit: total substrate electricity is recalculated on physical wafer area, not copied from already-yield-adjusted4.04 a second time. Add front-end electricity to any EXISTING package-assembly allowance; do not add substrate electricity again in device helpers or charge a second packaged transistor. Global electricity remains a geography proxy. No operating electricity, device counts, retained package metals/masses, voltage identities, final equipment EOL or lifetime coefficients change. This closes known electricity and nominal reject boundaries only: SiC epitaxy/etch/deposition/doping chemicals, process gas utilization/abatement, direct emissions, actual chip geometry, module packaging and industrial qualification remain open. An energy range is not evidence for toxicity completeness. No fabricated gas capture or extra silicon/DRAM chemical recipe. All parameters are static references, not a newly inferred time-learning curve. Only existing supplemental workbooks change; no runtime/YAML/native edits.
PREVIOUS NOTES (retained as history; the correction above takes precedence):
SiC SUBSTRATE MANUFACTURE, 2026-10-19. Arvidsson and Molander (2017), DOI 10.1111/jiec.12526, section Silicon Carbide Wafer Production / Physical Vapor Transport, citing Warren et al. (2015), DOI 10.1021/acs.est.5b01627: PVT substrate electricity 4.0 kWh/cm2 for a 350 micrometre wafer, density 3210 kg/m3, net wafer-material yield 0.35 including poor crystal regions, slicing and polishing. Thus per kg finished wafer: electricity 35603.0262572 kWh and Acheson SiC powder 1/0.35 = 2.85714285714 kg. Source linearly scales growth electricity with thickness; this mass-normalized reference uses its 350 micrometre basis. Unused charge recirculates internally and is not purchased again; the net discarded 1/0.35-1 kg SiC goes once to generic inert-waste disposal, with no recovery credit. This waste fate is an explicit proxy for discarded crystal/kerf. The source omits measured argon and direct growth emissions; those are unresolved, not demonstrated zero. Global electricity is a geographic proxy. This restores SUBSTRATE production instead of buying industrial SiC powder as a finished semiconductor. It does NOT include device epitaxy, lithography, implantation, metallization, die yields or package assembly. Those remain separate open boundaries; do not interpret this as a complete SiC transistor LCI or a current vendor-specific process. Retain declared finished SiC die mass, package metals/resins, part counts, service life, operating losses and EOL. Do not purchase a complete packaged power device on top. Published reference is historical: test electricity 2/4/6 kWh/cm2 and wafer yield 0.35/0.50/0.70 as illustrative process sensitivities, not measured statistics. Source https://link.springer.com/article/10.1111/jiec.12526 (CC BY 4.0); full text https://publications.lib.chalmers.se/records/fulltext/253433/local_253433.pdf . Only existing supplemental workbooks change; no runtime, native, mapping or primary/secondary-share edits.</t>
        </is>
      </c>
    </row>
    <row r="1204">
      <c r="A1204" t="inlineStr">
        <is>
          <t>Exchanges</t>
        </is>
      </c>
    </row>
    <row r="1205">
      <c r="A1205" t="inlineStr">
        <is>
          <t>name</t>
        </is>
      </c>
      <c r="B1205" t="inlineStr">
        <is>
          <t>amount</t>
        </is>
      </c>
      <c r="C1205" t="inlineStr">
        <is>
          <t>location</t>
        </is>
      </c>
      <c r="D1205" t="inlineStr">
        <is>
          <t>unit</t>
        </is>
      </c>
      <c r="E1205" t="inlineStr">
        <is>
          <t>categories</t>
        </is>
      </c>
      <c r="F1205" t="inlineStr">
        <is>
          <t>type</t>
        </is>
      </c>
      <c r="G1205" t="inlineStr">
        <is>
          <t>reference product</t>
        </is>
      </c>
      <c r="H1205" t="inlineStr">
        <is>
          <t>comment</t>
        </is>
      </c>
    </row>
    <row r="1206">
      <c r="A1206" t="inlineStr">
        <is>
          <t>silicon carbide wafer production, physical vapour transport</t>
        </is>
      </c>
      <c r="B1206">
        <v>1</v>
      </c>
      <c r="C1206" t="inlineStr">
        <is>
          <t>GLO</t>
        </is>
      </c>
      <c r="D1206" t="inlineStr">
        <is>
          <t>kilogram</t>
        </is>
      </c>
      <c r="F1206" t="inlineStr">
        <is>
          <t>production</t>
        </is>
      </c>
      <c r="G1206" t="inlineStr">
        <is>
          <t>silicon carbide wafer</t>
        </is>
      </c>
    </row>
    <row r="1207">
      <c r="A1207" t="inlineStr">
        <is>
          <t>market for silicon carbide</t>
        </is>
      </c>
      <c r="B1207">
        <v>4.012158054711246</v>
      </c>
      <c r="C1207" t="inlineStr">
        <is>
          <t>GLO</t>
        </is>
      </c>
      <c r="D1207" t="inlineStr">
        <is>
          <t>kilogram</t>
        </is>
      </c>
      <c r="F1207" t="inlineStr">
        <is>
          <t>technosphere</t>
        </is>
      </c>
      <c r="G1207" t="inlineStr">
        <is>
          <t>silicon carbide</t>
        </is>
      </c>
      <c r="H1207" t="inlineStr">
        <is>
          <t>Net feed includes crystal, slicing and polishing losses once.</t>
        </is>
      </c>
    </row>
    <row r="1208">
      <c r="A1208" t="inlineStr">
        <is>
          <t>market group for electricity, medium voltage</t>
        </is>
      </c>
      <c r="B1208">
        <v>19932.858629976276</v>
      </c>
      <c r="C1208" t="inlineStr">
        <is>
          <t>GLO</t>
        </is>
      </c>
      <c r="D1208" t="inlineStr">
        <is>
          <t>kilowatt hour</t>
        </is>
      </c>
      <c r="F1208" t="inlineStr">
        <is>
          <t>technosphere</t>
        </is>
      </c>
      <c r="G1208" t="inlineStr">
        <is>
          <t>electricity, medium voltage</t>
        </is>
      </c>
      <c r="H1208" t="inlineStr">
        <is>
          <t>4 kWh/cm2 at 350 um and 3210 kg/m3.</t>
        </is>
      </c>
    </row>
    <row r="1209">
      <c r="A1209" t="inlineStr">
        <is>
          <t>market for inert waste, for final disposal</t>
        </is>
      </c>
      <c r="B1209">
        <v>-3.0121580547112456</v>
      </c>
      <c r="C1209" t="inlineStr">
        <is>
          <t>RoW</t>
        </is>
      </c>
      <c r="D1209" t="inlineStr">
        <is>
          <t>kilogram</t>
        </is>
      </c>
      <c r="F1209" t="inlineStr">
        <is>
          <t>technosphere</t>
        </is>
      </c>
      <c r="G1209" t="inlineStr">
        <is>
          <t>inert waste, for final disposal</t>
        </is>
      </c>
      <c r="H1209" t="inlineStr">
        <is>
          <t>Generic discarded-crystal/kerf fate; no recycling credit.</t>
        </is>
      </c>
    </row>
    <row r="1212">
      <c r="A1212" t="inlineStr">
        <is>
          <t>Activity</t>
        </is>
      </c>
      <c r="B1212" t="inlineStr">
        <is>
          <t>silicon carbide half-bridge module production</t>
        </is>
      </c>
    </row>
    <row r="1213">
      <c r="A1213" t="inlineStr">
        <is>
          <t>location</t>
        </is>
      </c>
      <c r="B1213" t="inlineStr">
        <is>
          <t>GLO</t>
        </is>
      </c>
    </row>
    <row r="1214">
      <c r="A1214" t="inlineStr">
        <is>
          <t>production amount</t>
        </is>
      </c>
      <c r="B1214">
        <v>1</v>
      </c>
    </row>
    <row r="1215">
      <c r="A1215" t="inlineStr">
        <is>
          <t>reference product</t>
        </is>
      </c>
      <c r="B1215" t="inlineStr">
        <is>
          <t>silicon carbide half-bridge module</t>
        </is>
      </c>
    </row>
    <row r="1216">
      <c r="A1216" t="inlineStr">
        <is>
          <t>unit</t>
        </is>
      </c>
      <c r="B1216" t="inlineStr">
        <is>
          <t>kilogram</t>
        </is>
      </c>
    </row>
    <row r="1217">
      <c r="A1217" t="inlineStr">
        <is>
          <t>source</t>
        </is>
      </c>
      <c r="B1217" t="inlineStr">
        <is>
          <t>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t>
        </is>
      </c>
    </row>
    <row r="1218">
      <c r="A1218" t="inlineStr">
        <is>
          <t>comment</t>
        </is>
      </c>
      <c r="B1218" t="inlineStr">
        <is>
          <t>CONSISTENT SiC WAFER/FABRICATION BASIS, 2026-10-20. This supersedes the earlier4kWh/cm2-physical-wafer and35%yield interpretation. Warren2015 https://doi.org/10.1021/acs.est.5b01627 primary manuscript section4.1 https://www.osti.gov/servlets/purl/1855705 defines4.04kWh/cm2 of FUNCTIONAL DIE, including perimeter/nonfunctional die losses. Its100mm reference has81.07cm2/wafer,1314gooddies*3.42mm2=44.9388cm2goodarea; thus2.239456667kWh/cm2physical usable wafer. Its6.6cm boule yields47good350um wafers after kerf/polishing and bad wafers; retained wafer/boule mass=47*.035/6.6=0.2492424242. This is a published reference design, not current measured factory yield. Net consumed Acheson SiC powder is represented as the boule mass,100%net conversion; actual PVT-grade purification/charge losses remain unrepresented. Unused circulating charge is not repeatedly purchased. The wafer provider output remains1kg PHYSICAL350um wafer, not1kg of good chips. Supply its net discarded crystal/kerf once to the existing mineral waste proxy. No argon amount or direct-growth emissions is established. Spejo2023 https://doi.org/10.1016/j.pedc.2023.100050 Table1/section3 models150mm SiC MOSFET processing with520potential25mm2dies and442gooddies (85%electrical yield). These are future-maturity estimates and a3.3kV source analogue, not measured650/1200/2300V part production. Selected scenario3 front-end electricity4.99kWh/cm2GOODDIE already includes wafer utilization/yield; do NOT divide it again by0.85. Test its four published scenarios 2.50,3.01,4.99,6.02kWh/cm2. Source good-area fraction=442*.25/(pi*7.5^2)=0.62530; physical wafer input/good-die area=1/that fraction. Finished SiC mass is held fixed. Infer delivered die area from3210kg/m3 and350um unthinned-die reference, not a measured thickness; test175/100um. Thinning and cutting reject mass=physical wafer input minus retained SiC, treated once separately from upstream crystal/kerf. Failed dies are assumed bare SiC in this nominal ledger; discarded metallization and process chemicals remain unquantified. The electrical good-die yield is separate from geometry and wafer-growth losses. Linear wafer-area transfer from Warren substrate to Spejo geometry is explicit: total substrate electricity is recalculated on physical wafer area, not copied from already-yield-adjusted4.04 a second time. Add front-end electricity to any EXISTING package-assembly allowance; do not add substrate electricity again in device helpers or charge a second packaged transistor. Global electricity remains a geography proxy. No operating electricity, device counts, retained package metals/masses, voltage identities, final equipment EOL or lifetime coefficients change. This closes known electricity and nominal reject boundaries only: SiC epitaxy/etch/deposition/doping chemicals, process gas utilization/abatement, direct emissions, actual chip geometry, module packaging and industrial qualification remain open. An energy range is not evidence for toxicity completeness. No fabricated gas capture or extra silicon/DRAM chemical recipe. All parameters are static references, not a newly inferred time-learning curve. Only existing supplemental workbooks change; no runtime/YAML/native edits.</t>
        </is>
      </c>
    </row>
    <row r="1219">
      <c r="A1219" t="inlineStr">
        <is>
          <t>Exchanges</t>
        </is>
      </c>
    </row>
    <row r="1220">
      <c r="A1220" t="inlineStr">
        <is>
          <t>name</t>
        </is>
      </c>
      <c r="B1220" t="inlineStr">
        <is>
          <t>amount</t>
        </is>
      </c>
      <c r="C1220" t="inlineStr">
        <is>
          <t>location</t>
        </is>
      </c>
      <c r="D1220" t="inlineStr">
        <is>
          <t>unit</t>
        </is>
      </c>
      <c r="E1220" t="inlineStr">
        <is>
          <t>categories</t>
        </is>
      </c>
      <c r="F1220" t="inlineStr">
        <is>
          <t>type</t>
        </is>
      </c>
      <c r="G1220" t="inlineStr">
        <is>
          <t>reference product</t>
        </is>
      </c>
      <c r="H1220" t="inlineStr">
        <is>
          <t>comment</t>
        </is>
      </c>
      <c r="I1220" t="inlineStr">
        <is>
          <t>product</t>
        </is>
      </c>
    </row>
    <row r="1221">
      <c r="A1221" t="inlineStr">
        <is>
          <t>silicon carbide half-bridge module production</t>
        </is>
      </c>
      <c r="B1221">
        <v>1</v>
      </c>
      <c r="C1221" t="inlineStr">
        <is>
          <t>GLO</t>
        </is>
      </c>
      <c r="D1221" t="inlineStr">
        <is>
          <t>kilogram</t>
        </is>
      </c>
      <c r="F1221" t="inlineStr">
        <is>
          <t>production</t>
        </is>
      </c>
      <c r="G1221" t="inlineStr">
        <is>
          <t>silicon carbide half-bridge module</t>
        </is>
      </c>
      <c r="I1221" t="inlineStr">
        <is>
          <t>silicon carbide half-bridge module</t>
        </is>
      </c>
    </row>
    <row r="1222">
      <c r="A1222" t="inlineStr">
        <is>
          <t>market for copper, cathode</t>
        </is>
      </c>
      <c r="B1222">
        <v>0.68</v>
      </c>
      <c r="C1222" t="inlineStr">
        <is>
          <t>GLO</t>
        </is>
      </c>
      <c r="D1222" t="inlineStr">
        <is>
          <t>kilogram</t>
        </is>
      </c>
      <c r="F1222" t="inlineStr">
        <is>
          <t>technosphere</t>
        </is>
      </c>
      <c r="G1222" t="inlineStr">
        <is>
          <t>copper, cathode</t>
        </is>
      </c>
      <c r="I1222" t="inlineStr">
        <is>
          <t>copper, cathode</t>
        </is>
      </c>
    </row>
    <row r="1223">
      <c r="A1223" t="inlineStr">
        <is>
          <t>market for tin</t>
        </is>
      </c>
      <c r="B1223">
        <v>0.016</v>
      </c>
      <c r="C1223" t="inlineStr">
        <is>
          <t>GLO</t>
        </is>
      </c>
      <c r="D1223" t="inlineStr">
        <is>
          <t>kilogram</t>
        </is>
      </c>
      <c r="F1223" t="inlineStr">
        <is>
          <t>technosphere</t>
        </is>
      </c>
      <c r="G1223" t="inlineStr">
        <is>
          <t>tin</t>
        </is>
      </c>
      <c r="I1223" t="inlineStr">
        <is>
          <t>tin</t>
        </is>
      </c>
    </row>
    <row r="1224">
      <c r="A1224" t="inlineStr">
        <is>
          <t>silicon carbide wafer production, physical vapour transport</t>
        </is>
      </c>
      <c r="B1224">
        <v>0.0015992270295423158</v>
      </c>
      <c r="C1224" t="inlineStr">
        <is>
          <t>GLO</t>
        </is>
      </c>
      <c r="D1224" t="inlineStr">
        <is>
          <t>kilogram</t>
        </is>
      </c>
      <c r="F1224" t="inlineStr">
        <is>
          <t>technosphere</t>
        </is>
      </c>
      <c r="G1224" t="inlineStr">
        <is>
          <t>silicon carbide wafer</t>
        </is>
      </c>
      <c r="H1224" t="inlineStr">
        <is>
          <t>SiC SUBSTRATE MANUFACTURE, 2026-10-19. Arvidsson and Molander (2017), DOI 10.1111/jiec.12526, section Silicon Carbide Wafer Production / Physical Vapor Transport, citing Warren et al. (2015), DOI 10.1021/acs.est.5b01627: PVT substrate electricity 4.0 kWh/cm2 for a 350 micrometre wafer, density 3210 kg/m3, net wafer-material yield 0.35 including poor crystal regions, slicing and polishing. Thus per kg finished wafer: electricity 35603.0262572 kWh and Acheson SiC powder 1/0.35 = 2.85714285714 kg. Source linearly scales growth electricity with thickness; this mass-normalized reference uses its 350 micrometre basis. Unused charge recirculates internally and is not purchased again; the net discarded 1/0.35-1 kg SiC goes once to generic inert-waste disposal, with no recovery credit. This waste fate is an explicit proxy for discarded crystal/kerf. The source omits measured argon and direct growth emissions; those are unresolved, not demonstrated zero. Global electricity is a geographic proxy. This restores SUBSTRATE production instead of buying industrial SiC powder as a finished semiconductor. It does NOT include device epitaxy, lithography, implantation, metallization, die yields or package assembly. Those remain separate open boundaries; do not interpret this as a complete SiC transistor LCI or a current vendor-specific process. Retain declared finished SiC die mass, package metals/resins, part counts, service life, operating losses and EOL. Do not purchase a complete packaged power device on top. Published reference is historical: test electricity 2/4/6 kWh/cm2 and wafer yield 0.35/0.50/0.70 as illustrative process sensitivities, not measured statistics. Source https://link.springer.com/article/10.1111/jiec.12526 (CC BY 4.0); full text https://publications.lib.chalmers.se/records/fulltext/253433/local_253433.pdf . Only existing supplemental workbooks change; no runtime, native, mapping or primary/secondary-share edits.</t>
        </is>
      </c>
      <c r="I1224" t="inlineStr">
        <is>
          <t>silicon carbide wafer</t>
        </is>
      </c>
    </row>
    <row r="1225">
      <c r="A1225" t="inlineStr">
        <is>
          <t>silicon nitride production, for power modules</t>
        </is>
      </c>
      <c r="B1225">
        <v>0.009</v>
      </c>
      <c r="C1225" t="inlineStr">
        <is>
          <t>GLO</t>
        </is>
      </c>
      <c r="D1225" t="inlineStr">
        <is>
          <t>kilogram</t>
        </is>
      </c>
      <c r="F1225" t="inlineStr">
        <is>
          <t>technosphere</t>
        </is>
      </c>
      <c r="G1225" t="inlineStr">
        <is>
          <t>silicon nitride, for power modules</t>
        </is>
      </c>
      <c r="I1225" t="inlineStr">
        <is>
          <t>silicon nitride, for power modules</t>
        </is>
      </c>
    </row>
    <row r="1226">
      <c r="A1226" t="inlineStr">
        <is>
          <t>market for nickel, class 1</t>
        </is>
      </c>
      <c r="B1226">
        <v>0.001</v>
      </c>
      <c r="C1226" t="inlineStr">
        <is>
          <t>GLO</t>
        </is>
      </c>
      <c r="D1226" t="inlineStr">
        <is>
          <t>kilogram</t>
        </is>
      </c>
      <c r="F1226" t="inlineStr">
        <is>
          <t>technosphere</t>
        </is>
      </c>
      <c r="G1226" t="inlineStr">
        <is>
          <t>nickel, class 1</t>
        </is>
      </c>
      <c r="I1226" t="inlineStr">
        <is>
          <t>nickel, class 1</t>
        </is>
      </c>
    </row>
    <row r="1227">
      <c r="A1227" t="inlineStr">
        <is>
          <t>market for antimony</t>
        </is>
      </c>
      <c r="B1227">
        <v>0.001</v>
      </c>
      <c r="C1227" t="inlineStr">
        <is>
          <t>GLO</t>
        </is>
      </c>
      <c r="D1227" t="inlineStr">
        <is>
          <t>kilogram</t>
        </is>
      </c>
      <c r="F1227" t="inlineStr">
        <is>
          <t>technosphere</t>
        </is>
      </c>
      <c r="G1227" t="inlineStr">
        <is>
          <t>antimony</t>
        </is>
      </c>
      <c r="I1227" t="inlineStr">
        <is>
          <t>antimony</t>
        </is>
      </c>
    </row>
    <row r="1228">
      <c r="A1228" t="inlineStr">
        <is>
          <t>market for silver</t>
        </is>
      </c>
      <c r="B1228">
        <v>0.001</v>
      </c>
      <c r="C1228" t="inlineStr">
        <is>
          <t>GLO</t>
        </is>
      </c>
      <c r="D1228" t="inlineStr">
        <is>
          <t>kilogram</t>
        </is>
      </c>
      <c r="F1228" t="inlineStr">
        <is>
          <t>technosphere</t>
        </is>
      </c>
      <c r="G1228" t="inlineStr">
        <is>
          <t>silver</t>
        </is>
      </c>
      <c r="I1228" t="inlineStr">
        <is>
          <t>silver</t>
        </is>
      </c>
    </row>
    <row r="1229">
      <c r="A1229" t="inlineStr">
        <is>
          <t>market for silicone product</t>
        </is>
      </c>
      <c r="B1229">
        <v>0.084</v>
      </c>
      <c r="C1229" t="inlineStr">
        <is>
          <t>RER</t>
        </is>
      </c>
      <c r="D1229" t="inlineStr">
        <is>
          <t>kilogram</t>
        </is>
      </c>
      <c r="F1229" t="inlineStr">
        <is>
          <t>technosphere</t>
        </is>
      </c>
      <c r="G1229" t="inlineStr">
        <is>
          <t>silicone product</t>
        </is>
      </c>
      <c r="I1229" t="inlineStr">
        <is>
          <t>silicone product</t>
        </is>
      </c>
    </row>
    <row r="1230">
      <c r="A1230" t="inlineStr">
        <is>
          <t>market for nylon 6</t>
        </is>
      </c>
      <c r="B1230">
        <v>0.089</v>
      </c>
      <c r="C1230" t="inlineStr">
        <is>
          <t>RER</t>
        </is>
      </c>
      <c r="D1230" t="inlineStr">
        <is>
          <t>kilogram</t>
        </is>
      </c>
      <c r="F1230" t="inlineStr">
        <is>
          <t>technosphere</t>
        </is>
      </c>
      <c r="G1230" t="inlineStr">
        <is>
          <t>nylon 6</t>
        </is>
      </c>
      <c r="I1230" t="inlineStr">
        <is>
          <t>nylon 6</t>
        </is>
      </c>
    </row>
    <row r="1231">
      <c r="A1231" t="inlineStr">
        <is>
          <t>market for glass fibre</t>
        </is>
      </c>
      <c r="B1231">
        <v>0.046</v>
      </c>
      <c r="C1231" t="inlineStr">
        <is>
          <t>GLO</t>
        </is>
      </c>
      <c r="D1231" t="inlineStr">
        <is>
          <t>kilogram</t>
        </is>
      </c>
      <c r="F1231" t="inlineStr">
        <is>
          <t>technosphere</t>
        </is>
      </c>
      <c r="G1231" t="inlineStr">
        <is>
          <t>glass fibre</t>
        </is>
      </c>
      <c r="I1231" t="inlineStr">
        <is>
          <t>glass fibre</t>
        </is>
      </c>
    </row>
    <row r="1232">
      <c r="A1232" t="inlineStr">
        <is>
          <t>market for organophosphorus-compound, unspecified</t>
        </is>
      </c>
      <c r="B1232">
        <v>0.015</v>
      </c>
      <c r="C1232" t="inlineStr">
        <is>
          <t>GLO</t>
        </is>
      </c>
      <c r="D1232" t="inlineStr">
        <is>
          <t>kilogram</t>
        </is>
      </c>
      <c r="F1232" t="inlineStr">
        <is>
          <t>technosphere</t>
        </is>
      </c>
      <c r="G1232" t="inlineStr">
        <is>
          <t>organophosphorus-compound, unspecified</t>
        </is>
      </c>
      <c r="I1232" t="inlineStr">
        <is>
          <t>organophosphorus-compound, unspecified</t>
        </is>
      </c>
    </row>
    <row r="1233">
      <c r="A1233" t="inlineStr">
        <is>
          <t>market for steel, low-alloyed</t>
        </is>
      </c>
      <c r="B1233">
        <v>0.05</v>
      </c>
      <c r="C1233" t="inlineStr">
        <is>
          <t>GLO</t>
        </is>
      </c>
      <c r="D1233" t="inlineStr">
        <is>
          <t>kilogram</t>
        </is>
      </c>
      <c r="F1233" t="inlineStr">
        <is>
          <t>technosphere</t>
        </is>
      </c>
      <c r="G1233" t="inlineStr">
        <is>
          <t>steel, low-alloyed</t>
        </is>
      </c>
      <c r="I1233" t="inlineStr">
        <is>
          <t>steel, low-alloyed</t>
        </is>
      </c>
    </row>
    <row r="1234">
      <c r="A1234" t="inlineStr">
        <is>
          <t>market for carbon black</t>
        </is>
      </c>
      <c r="B1234">
        <v>0.001</v>
      </c>
      <c r="C1234" t="inlineStr">
        <is>
          <t>GLO</t>
        </is>
      </c>
      <c r="D1234" t="inlineStr">
        <is>
          <t>kilogram</t>
        </is>
      </c>
      <c r="F1234" t="inlineStr">
        <is>
          <t>technosphere</t>
        </is>
      </c>
      <c r="G1234" t="inlineStr">
        <is>
          <t>carbon black</t>
        </is>
      </c>
      <c r="I1234" t="inlineStr">
        <is>
          <t>carbon black</t>
        </is>
      </c>
    </row>
    <row r="1235">
      <c r="A1235" t="inlineStr">
        <is>
          <t>lead oxide production, for power modules</t>
        </is>
      </c>
      <c r="B1235">
        <v>1.8e-05</v>
      </c>
      <c r="C1235" t="inlineStr">
        <is>
          <t>GLO</t>
        </is>
      </c>
      <c r="D1235" t="inlineStr">
        <is>
          <t>kilogram</t>
        </is>
      </c>
      <c r="F1235" t="inlineStr">
        <is>
          <t>technosphere</t>
        </is>
      </c>
      <c r="G1235" t="inlineStr">
        <is>
          <t>lead oxide, for power modules</t>
        </is>
      </c>
      <c r="I1235" t="inlineStr">
        <is>
          <t>lead oxide, for power modules</t>
        </is>
      </c>
    </row>
    <row r="1236">
      <c r="A1236" t="inlineStr">
        <is>
          <t>market group for electricity, medium voltage</t>
        </is>
      </c>
      <c r="B1236">
        <v>44.41477525589676</v>
      </c>
      <c r="C1236" t="inlineStr">
        <is>
          <t>GLO</t>
        </is>
      </c>
      <c r="D1236" t="inlineStr">
        <is>
          <t>kilowatt hour</t>
        </is>
      </c>
      <c r="F1236" t="inlineStr">
        <is>
          <t>technosphere</t>
        </is>
      </c>
      <c r="G1236" t="inlineStr">
        <is>
          <t>electricity, medium voltage</t>
        </is>
      </c>
      <c r="I1236" t="inlineStr">
        <is>
          <t>electricity, medium voltage</t>
        </is>
      </c>
    </row>
    <row r="1237">
      <c r="A1237" t="inlineStr">
        <is>
          <t>market for inert waste, for final disposal</t>
        </is>
      </c>
      <c r="B1237">
        <v>-0.0005992270295423158</v>
      </c>
      <c r="C1237" t="inlineStr">
        <is>
          <t>RoW</t>
        </is>
      </c>
      <c r="D1237" t="inlineStr">
        <is>
          <t>kilogram</t>
        </is>
      </c>
      <c r="F1237" t="inlineStr">
        <is>
          <t>technosphere</t>
        </is>
      </c>
      <c r="G1237" t="inlineStr">
        <is>
          <t>inert waste, for final disposal</t>
        </is>
      </c>
      <c r="I1237" t="inlineStr">
        <is>
          <t>inert waste, for final disposal</t>
        </is>
      </c>
    </row>
    <row r="1241">
      <c r="A1241" t="inlineStr">
        <is>
          <t>Activity</t>
        </is>
      </c>
      <c r="B1241" t="inlineStr">
        <is>
          <t>silicon carbide switch production, electrolysis motor drive, 1200 V, TO-247</t>
        </is>
      </c>
    </row>
    <row r="1242">
      <c r="A1242" t="inlineStr">
        <is>
          <t>location</t>
        </is>
      </c>
      <c r="B1242" t="inlineStr">
        <is>
          <t>GLO</t>
        </is>
      </c>
    </row>
    <row r="1243">
      <c r="A1243" t="inlineStr">
        <is>
          <t>production amount</t>
        </is>
      </c>
      <c r="B1243">
        <v>1</v>
      </c>
    </row>
    <row r="1244">
      <c r="A1244" t="inlineStr">
        <is>
          <t>reference product</t>
        </is>
      </c>
      <c r="B1244" t="inlineStr">
        <is>
          <t>silicon carbide switch, electrolysis motor drive, 1200 V, TO-247</t>
        </is>
      </c>
    </row>
    <row r="1245">
      <c r="A1245" t="inlineStr">
        <is>
          <t>unit</t>
        </is>
      </c>
      <c r="B1245" t="inlineStr">
        <is>
          <t>unit</t>
        </is>
      </c>
    </row>
    <row r="1246">
      <c r="A1246" t="inlineStr">
        <is>
          <t>source</t>
        </is>
      </c>
      <c r="B1246" t="inlineStr">
        <is>
          <t>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t>
        </is>
      </c>
    </row>
    <row r="1247">
      <c r="A1247" t="inlineStr">
        <is>
          <t>comment</t>
        </is>
      </c>
      <c r="B1247" t="inlineStr">
        <is>
          <t>CONSISTENT SiC WAFER/FABRICATION BASIS, 2026-10-20. This supersedes the earlier4kWh/cm2-physical-wafer and35%yield interpretation. Warren2015 https://doi.org/10.1021/acs.est.5b01627 primary manuscript section4.1 https://www.osti.gov/servlets/purl/1855705 defines4.04kWh/cm2 of FUNCTIONAL DIE, including perimeter/nonfunctional die losses. Its100mm reference has81.07cm2/wafer,1314gooddies*3.42mm2=44.9388cm2goodarea; thus2.239456667kWh/cm2physical usable wafer. Its6.6cm boule yields47good350um wafers after kerf/polishing and bad wafers; retained wafer/boule mass=47*.035/6.6=0.2492424242. This is a published reference design, not current measured factory yield. Net consumed Acheson SiC powder is represented as the boule mass,100%net conversion; actual PVT-grade purification/charge losses remain unrepresented. Unused circulating charge is not repeatedly purchased. The wafer provider output remains1kg PHYSICAL350um wafer, not1kg of good chips. Supply its net discarded crystal/kerf once to the existing mineral waste proxy. No argon amount or direct-growth emissions is established. Spejo2023 https://doi.org/10.1016/j.pedc.2023.100050 Table1/section3 models150mm SiC MOSFET processing with520potential25mm2dies and442gooddies (85%electrical yield). These are future-maturity estimates and a3.3kV source analogue, not measured650/1200/2300V part production. Selected scenario3 front-end electricity4.99kWh/cm2GOODDIE already includes wafer utilization/yield; do NOT divide it again by0.85. Test its four published scenarios 2.50,3.01,4.99,6.02kWh/cm2. Source good-area fraction=442*.25/(pi*7.5^2)=0.62530; physical wafer input/good-die area=1/that fraction. Finished SiC mass is held fixed. Infer delivered die area from3210kg/m3 and350um unthinned-die reference, not a measured thickness; test175/100um. Thinning and cutting reject mass=physical wafer input minus retained SiC, treated once separately from upstream crystal/kerf. Failed dies are assumed bare SiC in this nominal ledger; discarded metallization and process chemicals remain unquantified. The electrical good-die yield is separate from geometry and wafer-growth losses. Linear wafer-area transfer from Warren substrate to Spejo geometry is explicit: total substrate electricity is recalculated on physical wafer area, not copied from already-yield-adjusted4.04 a second time. Add front-end electricity to any EXISTING package-assembly allowance; do not add substrate electricity again in device helpers or charge a second packaged transistor. Global electricity remains a geography proxy. No operating electricity, device counts, retained package metals/masses, voltage identities, final equipment EOL or lifetime coefficients change. This closes known electricity and nominal reject boundaries only: SiC epitaxy/etch/deposition/doping chemicals, process gas utilization/abatement, direct emissions, actual chip geometry, module packaging and industrial qualification remain open. An energy range is not evidence for toxicity completeness. No fabricated gas capture or extra silicon/DRAM chemical recipe. All parameters are static references, not a newly inferred time-learning curve. Only existing supplemental workbooks change; no runtime/YAML/native edits.</t>
        </is>
      </c>
    </row>
    <row r="1248">
      <c r="A1248" t="inlineStr">
        <is>
          <t>Exchanges</t>
        </is>
      </c>
    </row>
    <row r="1249">
      <c r="A1249" t="inlineStr">
        <is>
          <t>name</t>
        </is>
      </c>
      <c r="B1249" t="inlineStr">
        <is>
          <t>amount</t>
        </is>
      </c>
      <c r="C1249" t="inlineStr">
        <is>
          <t>location</t>
        </is>
      </c>
      <c r="D1249" t="inlineStr">
        <is>
          <t>unit</t>
        </is>
      </c>
      <c r="E1249" t="inlineStr">
        <is>
          <t>categories</t>
        </is>
      </c>
      <c r="F1249" t="inlineStr">
        <is>
          <t>type</t>
        </is>
      </c>
      <c r="G1249" t="inlineStr">
        <is>
          <t>reference product</t>
        </is>
      </c>
      <c r="H1249" t="inlineStr">
        <is>
          <t>comment</t>
        </is>
      </c>
      <c r="I1249" t="inlineStr">
        <is>
          <t>product</t>
        </is>
      </c>
    </row>
    <row r="1250">
      <c r="A1250" t="inlineStr">
        <is>
          <t>silicon carbide switch production, electrolysis motor drive, 1200 V, TO-247</t>
        </is>
      </c>
      <c r="B1250">
        <v>1</v>
      </c>
      <c r="C1250" t="inlineStr">
        <is>
          <t>GLO</t>
        </is>
      </c>
      <c r="D1250" t="inlineStr">
        <is>
          <t>unit</t>
        </is>
      </c>
      <c r="F1250" t="inlineStr">
        <is>
          <t>production</t>
        </is>
      </c>
      <c r="G1250" t="inlineStr">
        <is>
          <t>silicon carbide switch, electrolysis motor drive, 1200 V, TO-247</t>
        </is>
      </c>
      <c r="I1250" t="inlineStr">
        <is>
          <t>silicon carbide switch, electrolysis motor drive, 1200 V, TO-247</t>
        </is>
      </c>
    </row>
    <row r="1251">
      <c r="A1251" t="inlineStr">
        <is>
          <t>silicon carbide wafer production, physical vapour transport</t>
        </is>
      </c>
      <c r="B1251">
        <v>7.901780752968583e-06</v>
      </c>
      <c r="C1251" t="inlineStr">
        <is>
          <t>GLO</t>
        </is>
      </c>
      <c r="D1251" t="inlineStr">
        <is>
          <t>kilogram</t>
        </is>
      </c>
      <c r="F1251" t="inlineStr">
        <is>
          <t>technosphere</t>
        </is>
      </c>
      <c r="G1251" t="inlineStr">
        <is>
          <t>silicon carbide wafer</t>
        </is>
      </c>
      <c r="H1251" t="inlineStr">
        <is>
          <t>SiC SUBSTRATE MANUFACTURE, 2026-10-19. Arvidsson and Molander (2017), DOI 10.1111/jiec.12526, section Silicon Carbide Wafer Production / Physical Vapor Transport, citing Warren et al. (2015), DOI 10.1021/acs.est.5b01627: PVT substrate electricity 4.0 kWh/cm2 for a 350 micrometre wafer, density 3210 kg/m3, net wafer-material yield 0.35 including poor crystal regions, slicing and polishing. Thus per kg finished wafer: electricity 35603.0262572 kWh and Acheson SiC powder 1/0.35 = 2.85714285714 kg. Source linearly scales growth electricity with thickness; this mass-normalized reference uses its 350 micrometre basis. Unused charge recirculates internally and is not purchased again; the net discarded 1/0.35-1 kg SiC goes once to generic inert-waste disposal, with no recovery credit. This waste fate is an explicit proxy for discarded crystal/kerf. The source omits measured argon and direct growth emissions; those are unresolved, not demonstrated zero. Global electricity is a geographic proxy. This restores SUBSTRATE production instead of buying industrial SiC powder as a finished semiconductor. It does NOT include device epitaxy, lithography, implantation, metallization, die yields or package assembly. Those remain separate open boundaries; do not interpret this as a complete SiC transistor LCI or a current vendor-specific process. Retain declared finished SiC die mass, package metals/resins, part counts, service life, operating losses and EOL. Do not purchase a complete packaged power device on top. Published reference is historical: test electricity 2/4/6 kWh/cm2 and wafer yield 0.35/0.50/0.70 as illustrative process sensitivities, not measured statistics. Source https://link.springer.com/article/10.1111/jiec.12526 (CC BY 4.0); full text https://publications.lib.chalmers.se/records/fulltext/253433/local_253433.pdf . Only existing supplemental workbooks change; no runtime, native, mapping or primary/secondary-share edits.</t>
        </is>
      </c>
      <c r="I1251" t="inlineStr">
        <is>
          <t>silicon carbide wafer</t>
        </is>
      </c>
    </row>
    <row r="1252">
      <c r="A1252" t="inlineStr">
        <is>
          <t>market for phosphorus, white, liquid</t>
        </is>
      </c>
      <c r="B1252">
        <v>1.192e-06</v>
      </c>
      <c r="C1252" t="inlineStr">
        <is>
          <t>GLO</t>
        </is>
      </c>
      <c r="D1252" t="inlineStr">
        <is>
          <t>kilogram</t>
        </is>
      </c>
      <c r="F1252" t="inlineStr">
        <is>
          <t>technosphere</t>
        </is>
      </c>
      <c r="G1252" t="inlineStr">
        <is>
          <t>phosphorus, white, liquid</t>
        </is>
      </c>
      <c r="I1252" t="inlineStr">
        <is>
          <t>phosphorus, white, liquid</t>
        </is>
      </c>
    </row>
    <row r="1253">
      <c r="A1253" t="inlineStr">
        <is>
          <t>market for steel, low-alloyed</t>
        </is>
      </c>
      <c r="B1253">
        <v>3.972e-06</v>
      </c>
      <c r="C1253" t="inlineStr">
        <is>
          <t>GLO</t>
        </is>
      </c>
      <c r="D1253" t="inlineStr">
        <is>
          <t>kilogram</t>
        </is>
      </c>
      <c r="F1253" t="inlineStr">
        <is>
          <t>technosphere</t>
        </is>
      </c>
      <c r="G1253" t="inlineStr">
        <is>
          <t>steel, low-alloyed</t>
        </is>
      </c>
      <c r="I1253" t="inlineStr">
        <is>
          <t>steel, low-alloyed</t>
        </is>
      </c>
    </row>
    <row r="1254">
      <c r="A1254" t="inlineStr">
        <is>
          <t>market for copper, cathode</t>
        </is>
      </c>
      <c r="B1254">
        <v>0.003967074</v>
      </c>
      <c r="C1254" t="inlineStr">
        <is>
          <t>GLO</t>
        </is>
      </c>
      <c r="D1254" t="inlineStr">
        <is>
          <t>kilogram</t>
        </is>
      </c>
      <c r="F1254" t="inlineStr">
        <is>
          <t>technosphere</t>
        </is>
      </c>
      <c r="G1254" t="inlineStr">
        <is>
          <t>copper, cathode</t>
        </is>
      </c>
      <c r="I1254" t="inlineStr">
        <is>
          <t>copper, cathode</t>
        </is>
      </c>
    </row>
    <row r="1255">
      <c r="A1255" t="inlineStr">
        <is>
          <t>market for aluminium, primary, ingot</t>
        </is>
      </c>
      <c r="B1255">
        <v>4.257e-06</v>
      </c>
      <c r="C1255" t="inlineStr">
        <is>
          <t>RoW</t>
        </is>
      </c>
      <c r="D1255" t="inlineStr">
        <is>
          <t>kilogram</t>
        </is>
      </c>
      <c r="F1255" t="inlineStr">
        <is>
          <t>technosphere</t>
        </is>
      </c>
      <c r="G1255" t="inlineStr">
        <is>
          <t>aluminium, primary, ingot</t>
        </is>
      </c>
      <c r="I1255" t="inlineStr">
        <is>
          <t>aluminium, primary, ingot</t>
        </is>
      </c>
    </row>
    <row r="1256">
      <c r="A1256" t="inlineStr">
        <is>
          <t>market for carbon black</t>
        </is>
      </c>
      <c r="B1256">
        <v>2.0032e-05</v>
      </c>
      <c r="C1256" t="inlineStr">
        <is>
          <t>GLO</t>
        </is>
      </c>
      <c r="D1256" t="inlineStr">
        <is>
          <t>kilogram</t>
        </is>
      </c>
      <c r="F1256" t="inlineStr">
        <is>
          <t>technosphere</t>
        </is>
      </c>
      <c r="G1256" t="inlineStr">
        <is>
          <t>carbon black</t>
        </is>
      </c>
      <c r="I1256" t="inlineStr">
        <is>
          <t>carbon black</t>
        </is>
      </c>
    </row>
    <row r="1257">
      <c r="A1257" t="inlineStr">
        <is>
          <t>market for epoxy resin, liquid</t>
        </is>
      </c>
      <c r="B1257">
        <v>0.000380613</v>
      </c>
      <c r="C1257" t="inlineStr">
        <is>
          <t>RER</t>
        </is>
      </c>
      <c r="D1257" t="inlineStr">
        <is>
          <t>kilogram</t>
        </is>
      </c>
      <c r="F1257" t="inlineStr">
        <is>
          <t>technosphere</t>
        </is>
      </c>
      <c r="G1257" t="inlineStr">
        <is>
          <t>epoxy resin, liquid</t>
        </is>
      </c>
      <c r="I1257" t="inlineStr">
        <is>
          <t>epoxy resin, liquid</t>
        </is>
      </c>
    </row>
    <row r="1258">
      <c r="A1258" t="inlineStr">
        <is>
          <t>market for silica sand</t>
        </is>
      </c>
      <c r="B1258">
        <v>0.00160258</v>
      </c>
      <c r="C1258" t="inlineStr">
        <is>
          <t>GLO</t>
        </is>
      </c>
      <c r="D1258" t="inlineStr">
        <is>
          <t>kilogram</t>
        </is>
      </c>
      <c r="F1258" t="inlineStr">
        <is>
          <t>technosphere</t>
        </is>
      </c>
      <c r="G1258" t="inlineStr">
        <is>
          <t>silica sand</t>
        </is>
      </c>
      <c r="I1258" t="inlineStr">
        <is>
          <t>silica sand</t>
        </is>
      </c>
    </row>
    <row r="1259">
      <c r="A1259" t="inlineStr">
        <is>
          <t>market for tin</t>
        </is>
      </c>
      <c r="B1259">
        <v>3.3233e-05</v>
      </c>
      <c r="C1259" t="inlineStr">
        <is>
          <t>GLO</t>
        </is>
      </c>
      <c r="D1259" t="inlineStr">
        <is>
          <t>kilogram</t>
        </is>
      </c>
      <c r="F1259" t="inlineStr">
        <is>
          <t>technosphere</t>
        </is>
      </c>
      <c r="G1259" t="inlineStr">
        <is>
          <t>tin</t>
        </is>
      </c>
      <c r="I1259" t="inlineStr">
        <is>
          <t>tin</t>
        </is>
      </c>
    </row>
    <row r="1260">
      <c r="A1260" t="inlineStr">
        <is>
          <t>market for nickel, class 1</t>
        </is>
      </c>
      <c r="B1260">
        <v>2.9065e-05</v>
      </c>
      <c r="C1260" t="inlineStr">
        <is>
          <t>GLO</t>
        </is>
      </c>
      <c r="D1260" t="inlineStr">
        <is>
          <t>kilogram</t>
        </is>
      </c>
      <c r="F1260" t="inlineStr">
        <is>
          <t>technosphere</t>
        </is>
      </c>
      <c r="G1260" t="inlineStr">
        <is>
          <t>nickel, class 1</t>
        </is>
      </c>
      <c r="I1260" t="inlineStr">
        <is>
          <t>nickel, class 1</t>
        </is>
      </c>
    </row>
    <row r="1261">
      <c r="A1261" t="inlineStr">
        <is>
          <t>market for antimony</t>
        </is>
      </c>
      <c r="B1261">
        <v>2.0899999999999998e-07</v>
      </c>
      <c r="C1261" t="inlineStr">
        <is>
          <t>GLO</t>
        </is>
      </c>
      <c r="D1261" t="inlineStr">
        <is>
          <t>kilogram</t>
        </is>
      </c>
      <c r="F1261" t="inlineStr">
        <is>
          <t>technosphere</t>
        </is>
      </c>
      <c r="G1261" t="inlineStr">
        <is>
          <t>antimony</t>
        </is>
      </c>
      <c r="I1261" t="inlineStr">
        <is>
          <t>antimony</t>
        </is>
      </c>
    </row>
    <row r="1262">
      <c r="A1262" t="inlineStr">
        <is>
          <t>market for silver</t>
        </is>
      </c>
      <c r="B1262">
        <v>5.23e-07</v>
      </c>
      <c r="C1262" t="inlineStr">
        <is>
          <t>GLO</t>
        </is>
      </c>
      <c r="D1262" t="inlineStr">
        <is>
          <t>kilogram</t>
        </is>
      </c>
      <c r="F1262" t="inlineStr">
        <is>
          <t>technosphere</t>
        </is>
      </c>
      <c r="G1262" t="inlineStr">
        <is>
          <t>silver</t>
        </is>
      </c>
      <c r="I1262" t="inlineStr">
        <is>
          <t>silver</t>
        </is>
      </c>
    </row>
    <row r="1263">
      <c r="A1263" t="inlineStr">
        <is>
          <t>market group for electricity, medium voltage</t>
        </is>
      </c>
      <c r="B1263">
        <v>0.2255010955393859</v>
      </c>
      <c r="C1263" t="inlineStr">
        <is>
          <t>GLO</t>
        </is>
      </c>
      <c r="D1263" t="inlineStr">
        <is>
          <t>kilowatt hour</t>
        </is>
      </c>
      <c r="F1263" t="inlineStr">
        <is>
          <t>technosphere</t>
        </is>
      </c>
      <c r="G1263" t="inlineStr">
        <is>
          <t>electricity, medium voltage</t>
        </is>
      </c>
      <c r="I1263" t="inlineStr">
        <is>
          <t>electricity, medium voltage</t>
        </is>
      </c>
    </row>
    <row r="1264">
      <c r="A1264" t="inlineStr">
        <is>
          <t>market for inert waste, for final disposal</t>
        </is>
      </c>
      <c r="B1264">
        <v>-2.960780752968583e-06</v>
      </c>
      <c r="C1264" t="inlineStr">
        <is>
          <t>RoW</t>
        </is>
      </c>
      <c r="D1264" t="inlineStr">
        <is>
          <t>kilogram</t>
        </is>
      </c>
      <c r="F1264" t="inlineStr">
        <is>
          <t>technosphere</t>
        </is>
      </c>
      <c r="G1264" t="inlineStr">
        <is>
          <t>inert waste, for final disposal</t>
        </is>
      </c>
      <c r="I1264" t="inlineStr">
        <is>
          <t>inert waste, for final disposal</t>
        </is>
      </c>
    </row>
    <row r="1268">
      <c r="A1268" t="inlineStr">
        <is>
          <t>Activity</t>
        </is>
      </c>
      <c r="B1268" t="inlineStr">
        <is>
          <t>silicon carbide switch production, electrolysis motor drive, 650 V, TO-247</t>
        </is>
      </c>
    </row>
    <row r="1269">
      <c r="A1269" t="inlineStr">
        <is>
          <t>location</t>
        </is>
      </c>
      <c r="B1269" t="inlineStr">
        <is>
          <t>GLO</t>
        </is>
      </c>
    </row>
    <row r="1270">
      <c r="A1270" t="inlineStr">
        <is>
          <t>production amount</t>
        </is>
      </c>
      <c r="B1270">
        <v>1</v>
      </c>
    </row>
    <row r="1271">
      <c r="A1271" t="inlineStr">
        <is>
          <t>reference product</t>
        </is>
      </c>
      <c r="B1271" t="inlineStr">
        <is>
          <t>silicon carbide switch, electrolysis motor drive, 650 V, TO-247</t>
        </is>
      </c>
    </row>
    <row r="1272">
      <c r="A1272" t="inlineStr">
        <is>
          <t>unit</t>
        </is>
      </c>
      <c r="B1272" t="inlineStr">
        <is>
          <t>unit</t>
        </is>
      </c>
    </row>
    <row r="1273">
      <c r="A1273" t="inlineStr">
        <is>
          <t>source</t>
        </is>
      </c>
      <c r="B1273" t="inlineStr">
        <is>
          <t>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t>
        </is>
      </c>
    </row>
    <row r="1274">
      <c r="A1274" t="inlineStr">
        <is>
          <t>comment</t>
        </is>
      </c>
      <c r="B1274" t="inlineStr">
        <is>
          <t>CONSISTENT SiC WAFER/FABRICATION BASIS, 2026-10-20. This supersedes the earlier4kWh/cm2-physical-wafer and35%yield interpretation. Warren2015 https://doi.org/10.1021/acs.est.5b01627 primary manuscript section4.1 https://www.osti.gov/servlets/purl/1855705 defines4.04kWh/cm2 of FUNCTIONAL DIE, including perimeter/nonfunctional die losses. Its100mm reference has81.07cm2/wafer,1314gooddies*3.42mm2=44.9388cm2goodarea; thus2.239456667kWh/cm2physical usable wafer. Its6.6cm boule yields47good350um wafers after kerf/polishing and bad wafers; retained wafer/boule mass=47*.035/6.6=0.2492424242. This is a published reference design, not current measured factory yield. Net consumed Acheson SiC powder is represented as the boule mass,100%net conversion; actual PVT-grade purification/charge losses remain unrepresented. Unused circulating charge is not repeatedly purchased. The wafer provider output remains1kg PHYSICAL350um wafer, not1kg of good chips. Supply its net discarded crystal/kerf once to the existing mineral waste proxy. No argon amount or direct-growth emissions is established. Spejo2023 https://doi.org/10.1016/j.pedc.2023.100050 Table1/section3 models150mm SiC MOSFET processing with520potential25mm2dies and442gooddies (85%electrical yield). These are future-maturity estimates and a3.3kV source analogue, not measured650/1200/2300V part production. Selected scenario3 front-end electricity4.99kWh/cm2GOODDIE already includes wafer utilization/yield; do NOT divide it again by0.85. Test its four published scenarios 2.50,3.01,4.99,6.02kWh/cm2. Source good-area fraction=442*.25/(pi*7.5^2)=0.62530; physical wafer input/good-die area=1/that fraction. Finished SiC mass is held fixed. Infer delivered die area from3210kg/m3 and350um unthinned-die reference, not a measured thickness; test175/100um. Thinning and cutting reject mass=physical wafer input minus retained SiC, treated once separately from upstream crystal/kerf. Failed dies are assumed bare SiC in this nominal ledger; discarded metallization and process chemicals remain unquantified. The electrical good-die yield is separate from geometry and wafer-growth losses. Linear wafer-area transfer from Warren substrate to Spejo geometry is explicit: total substrate electricity is recalculated on physical wafer area, not copied from already-yield-adjusted4.04 a second time. Add front-end electricity to any EXISTING package-assembly allowance; do not add substrate electricity again in device helpers or charge a second packaged transistor. Global electricity remains a geography proxy. No operating electricity, device counts, retained package metals/masses, voltage identities, final equipment EOL or lifetime coefficients change. This closes known electricity and nominal reject boundaries only: SiC epitaxy/etch/deposition/doping chemicals, process gas utilization/abatement, direct emissions, actual chip geometry, module packaging and industrial qualification remain open. An energy range is not evidence for toxicity completeness. No fabricated gas capture or extra silicon/DRAM chemical recipe. All parameters are static references, not a newly inferred time-learning curve. Only existing supplemental workbooks change; no runtime/YAML/native edits.</t>
        </is>
      </c>
    </row>
    <row r="1275">
      <c r="A1275" t="inlineStr">
        <is>
          <t>Exchanges</t>
        </is>
      </c>
    </row>
    <row r="1276">
      <c r="A1276" t="inlineStr">
        <is>
          <t>name</t>
        </is>
      </c>
      <c r="B1276" t="inlineStr">
        <is>
          <t>amount</t>
        </is>
      </c>
      <c r="C1276" t="inlineStr">
        <is>
          <t>location</t>
        </is>
      </c>
      <c r="D1276" t="inlineStr">
        <is>
          <t>unit</t>
        </is>
      </c>
      <c r="E1276" t="inlineStr">
        <is>
          <t>categories</t>
        </is>
      </c>
      <c r="F1276" t="inlineStr">
        <is>
          <t>type</t>
        </is>
      </c>
      <c r="G1276" t="inlineStr">
        <is>
          <t>reference product</t>
        </is>
      </c>
      <c r="H1276" t="inlineStr">
        <is>
          <t>comment</t>
        </is>
      </c>
      <c r="I1276" t="inlineStr">
        <is>
          <t>product</t>
        </is>
      </c>
    </row>
    <row r="1277">
      <c r="A1277" t="inlineStr">
        <is>
          <t>silicon carbide switch production, electrolysis motor drive, 650 V, TO-247</t>
        </is>
      </c>
      <c r="B1277">
        <v>1</v>
      </c>
      <c r="C1277" t="inlineStr">
        <is>
          <t>GLO</t>
        </is>
      </c>
      <c r="D1277" t="inlineStr">
        <is>
          <t>unit</t>
        </is>
      </c>
      <c r="F1277" t="inlineStr">
        <is>
          <t>production</t>
        </is>
      </c>
      <c r="G1277" t="inlineStr">
        <is>
          <t>silicon carbide switch, electrolysis motor drive, 650 V, TO-247</t>
        </is>
      </c>
      <c r="I1277" t="inlineStr">
        <is>
          <t>silicon carbide switch, electrolysis motor drive, 650 V, TO-247</t>
        </is>
      </c>
    </row>
    <row r="1278">
      <c r="A1278" t="inlineStr">
        <is>
          <t>silicon carbide wafer production, physical vapour transport</t>
        </is>
      </c>
      <c r="B1278">
        <v>4.231554720168967e-06</v>
      </c>
      <c r="C1278" t="inlineStr">
        <is>
          <t>GLO</t>
        </is>
      </c>
      <c r="D1278" t="inlineStr">
        <is>
          <t>kilogram</t>
        </is>
      </c>
      <c r="F1278" t="inlineStr">
        <is>
          <t>technosphere</t>
        </is>
      </c>
      <c r="G1278" t="inlineStr">
        <is>
          <t>silicon carbide wafer</t>
        </is>
      </c>
      <c r="H1278" t="inlineStr">
        <is>
          <t>SiC SUBSTRATE MANUFACTURE, 2026-10-19. Arvidsson and Molander (2017), DOI 10.1111/jiec.12526, section Silicon Carbide Wafer Production / Physical Vapor Transport, citing Warren et al. (2015), DOI 10.1021/acs.est.5b01627: PVT substrate electricity 4.0 kWh/cm2 for a 350 micrometre wafer, density 3210 kg/m3, net wafer-material yield 0.35 including poor crystal regions, slicing and polishing. Thus per kg finished wafer: electricity 35603.0262572 kWh and Acheson SiC powder 1/0.35 = 2.85714285714 kg. Source linearly scales growth electricity with thickness; this mass-normalized reference uses its 350 micrometre basis. Unused charge recirculates internally and is not purchased again; the net discarded 1/0.35-1 kg SiC goes once to generic inert-waste disposal, with no recovery credit. This waste fate is an explicit proxy for discarded crystal/kerf. The source omits measured argon and direct growth emissions; those are unresolved, not demonstrated zero. Global electricity is a geographic proxy. This restores SUBSTRATE production instead of buying industrial SiC powder as a finished semiconductor. It does NOT include device epitaxy, lithography, implantation, metallization, die yields or package assembly. Those remain separate open boundaries; do not interpret this as a complete SiC transistor LCI or a current vendor-specific process. Retain declared finished SiC die mass, package metals/resins, part counts, service life, operating losses and EOL. Do not purchase a complete packaged power device on top. Published reference is historical: test electricity 2/4/6 kWh/cm2 and wafer yield 0.35/0.50/0.70 as illustrative process sensitivities, not measured statistics. Source https://link.springer.com/article/10.1111/jiec.12526 (CC BY 4.0); full text https://publications.lib.chalmers.se/records/fulltext/253433/local_253433.pdf . Only existing supplemental workbooks change; no runtime, native, mapping or primary/secondary-share edits.</t>
        </is>
      </c>
      <c r="I1278" t="inlineStr">
        <is>
          <t>silicon carbide wafer</t>
        </is>
      </c>
    </row>
    <row r="1279">
      <c r="A1279" t="inlineStr">
        <is>
          <t>market for phosphorus, white, liquid</t>
        </is>
      </c>
      <c r="B1279">
        <v>1.192e-06</v>
      </c>
      <c r="C1279" t="inlineStr">
        <is>
          <t>GLO</t>
        </is>
      </c>
      <c r="D1279" t="inlineStr">
        <is>
          <t>kilogram</t>
        </is>
      </c>
      <c r="F1279" t="inlineStr">
        <is>
          <t>technosphere</t>
        </is>
      </c>
      <c r="G1279" t="inlineStr">
        <is>
          <t>phosphorus, white, liquid</t>
        </is>
      </c>
      <c r="I1279" t="inlineStr">
        <is>
          <t>phosphorus, white, liquid</t>
        </is>
      </c>
    </row>
    <row r="1280">
      <c r="A1280" t="inlineStr">
        <is>
          <t>market for steel, low-alloyed</t>
        </is>
      </c>
      <c r="B1280">
        <v>3.972e-06</v>
      </c>
      <c r="C1280" t="inlineStr">
        <is>
          <t>GLO</t>
        </is>
      </c>
      <c r="D1280" t="inlineStr">
        <is>
          <t>kilogram</t>
        </is>
      </c>
      <c r="F1280" t="inlineStr">
        <is>
          <t>technosphere</t>
        </is>
      </c>
      <c r="G1280" t="inlineStr">
        <is>
          <t>steel, low-alloyed</t>
        </is>
      </c>
      <c r="I1280" t="inlineStr">
        <is>
          <t>steel, low-alloyed</t>
        </is>
      </c>
    </row>
    <row r="1281">
      <c r="A1281" t="inlineStr">
        <is>
          <t>market for copper, cathode</t>
        </is>
      </c>
      <c r="B1281">
        <v>0.003967074</v>
      </c>
      <c r="C1281" t="inlineStr">
        <is>
          <t>GLO</t>
        </is>
      </c>
      <c r="D1281" t="inlineStr">
        <is>
          <t>kilogram</t>
        </is>
      </c>
      <c r="F1281" t="inlineStr">
        <is>
          <t>technosphere</t>
        </is>
      </c>
      <c r="G1281" t="inlineStr">
        <is>
          <t>copper, cathode</t>
        </is>
      </c>
      <c r="I1281" t="inlineStr">
        <is>
          <t>copper, cathode</t>
        </is>
      </c>
    </row>
    <row r="1282">
      <c r="A1282" t="inlineStr">
        <is>
          <t>market for aluminium, primary, ingot</t>
        </is>
      </c>
      <c r="B1282">
        <v>5.601e-06</v>
      </c>
      <c r="C1282" t="inlineStr">
        <is>
          <t>RoW</t>
        </is>
      </c>
      <c r="D1282" t="inlineStr">
        <is>
          <t>kilogram</t>
        </is>
      </c>
      <c r="F1282" t="inlineStr">
        <is>
          <t>technosphere</t>
        </is>
      </c>
      <c r="G1282" t="inlineStr">
        <is>
          <t>aluminium, primary, ingot</t>
        </is>
      </c>
      <c r="I1282" t="inlineStr">
        <is>
          <t>aluminium, primary, ingot</t>
        </is>
      </c>
    </row>
    <row r="1283">
      <c r="A1283" t="inlineStr">
        <is>
          <t>market for carbon black</t>
        </is>
      </c>
      <c r="B1283">
        <v>2.0046e-05</v>
      </c>
      <c r="C1283" t="inlineStr">
        <is>
          <t>GLO</t>
        </is>
      </c>
      <c r="D1283" t="inlineStr">
        <is>
          <t>kilogram</t>
        </is>
      </c>
      <c r="F1283" t="inlineStr">
        <is>
          <t>technosphere</t>
        </is>
      </c>
      <c r="G1283" t="inlineStr">
        <is>
          <t>carbon black</t>
        </is>
      </c>
      <c r="I1283" t="inlineStr">
        <is>
          <t>carbon black</t>
        </is>
      </c>
    </row>
    <row r="1284">
      <c r="A1284" t="inlineStr">
        <is>
          <t>market for epoxy resin, liquid</t>
        </is>
      </c>
      <c r="B1284">
        <v>0.00038086799999999997</v>
      </c>
      <c r="C1284" t="inlineStr">
        <is>
          <t>RER</t>
        </is>
      </c>
      <c r="D1284" t="inlineStr">
        <is>
          <t>kilogram</t>
        </is>
      </c>
      <c r="F1284" t="inlineStr">
        <is>
          <t>technosphere</t>
        </is>
      </c>
      <c r="G1284" t="inlineStr">
        <is>
          <t>epoxy resin, liquid</t>
        </is>
      </c>
      <c r="I1284" t="inlineStr">
        <is>
          <t>epoxy resin, liquid</t>
        </is>
      </c>
    </row>
    <row r="1285">
      <c r="A1285" t="inlineStr">
        <is>
          <t>market for silica sand</t>
        </is>
      </c>
      <c r="B1285">
        <v>0.0016036569999999999</v>
      </c>
      <c r="C1285" t="inlineStr">
        <is>
          <t>GLO</t>
        </is>
      </c>
      <c r="D1285" t="inlineStr">
        <is>
          <t>kilogram</t>
        </is>
      </c>
      <c r="F1285" t="inlineStr">
        <is>
          <t>technosphere</t>
        </is>
      </c>
      <c r="G1285" t="inlineStr">
        <is>
          <t>silica sand</t>
        </is>
      </c>
      <c r="I1285" t="inlineStr">
        <is>
          <t>silica sand</t>
        </is>
      </c>
    </row>
    <row r="1286">
      <c r="A1286" t="inlineStr">
        <is>
          <t>market for tin</t>
        </is>
      </c>
      <c r="B1286">
        <v>3.2692e-05</v>
      </c>
      <c r="C1286" t="inlineStr">
        <is>
          <t>GLO</t>
        </is>
      </c>
      <c r="D1286" t="inlineStr">
        <is>
          <t>kilogram</t>
        </is>
      </c>
      <c r="F1286" t="inlineStr">
        <is>
          <t>technosphere</t>
        </is>
      </c>
      <c r="G1286" t="inlineStr">
        <is>
          <t>tin</t>
        </is>
      </c>
      <c r="I1286" t="inlineStr">
        <is>
          <t>tin</t>
        </is>
      </c>
    </row>
    <row r="1287">
      <c r="A1287" t="inlineStr">
        <is>
          <t>market for nickel, class 1</t>
        </is>
      </c>
      <c r="B1287">
        <v>2.9065e-05</v>
      </c>
      <c r="C1287" t="inlineStr">
        <is>
          <t>GLO</t>
        </is>
      </c>
      <c r="D1287" t="inlineStr">
        <is>
          <t>kilogram</t>
        </is>
      </c>
      <c r="F1287" t="inlineStr">
        <is>
          <t>technosphere</t>
        </is>
      </c>
      <c r="G1287" t="inlineStr">
        <is>
          <t>nickel, class 1</t>
        </is>
      </c>
      <c r="I1287" t="inlineStr">
        <is>
          <t>nickel, class 1</t>
        </is>
      </c>
    </row>
    <row r="1288">
      <c r="A1288" t="inlineStr">
        <is>
          <t>market for antimony</t>
        </is>
      </c>
      <c r="B1288">
        <v>1.26e-07</v>
      </c>
      <c r="C1288" t="inlineStr">
        <is>
          <t>GLO</t>
        </is>
      </c>
      <c r="D1288" t="inlineStr">
        <is>
          <t>kilogram</t>
        </is>
      </c>
      <c r="F1288" t="inlineStr">
        <is>
          <t>technosphere</t>
        </is>
      </c>
      <c r="G1288" t="inlineStr">
        <is>
          <t>antimony</t>
        </is>
      </c>
      <c r="I1288" t="inlineStr">
        <is>
          <t>antimony</t>
        </is>
      </c>
    </row>
    <row r="1289">
      <c r="A1289" t="inlineStr">
        <is>
          <t>market for silver</t>
        </is>
      </c>
      <c r="B1289">
        <v>3.14e-07</v>
      </c>
      <c r="C1289" t="inlineStr">
        <is>
          <t>GLO</t>
        </is>
      </c>
      <c r="D1289" t="inlineStr">
        <is>
          <t>kilogram</t>
        </is>
      </c>
      <c r="F1289" t="inlineStr">
        <is>
          <t>technosphere</t>
        </is>
      </c>
      <c r="G1289" t="inlineStr">
        <is>
          <t>silver</t>
        </is>
      </c>
      <c r="I1289" t="inlineStr">
        <is>
          <t>silver</t>
        </is>
      </c>
    </row>
    <row r="1290">
      <c r="A1290" t="inlineStr">
        <is>
          <t>market group for electricity, medium voltage</t>
        </is>
      </c>
      <c r="B1290">
        <v>0.12356874832710282</v>
      </c>
      <c r="C1290" t="inlineStr">
        <is>
          <t>GLO</t>
        </is>
      </c>
      <c r="D1290" t="inlineStr">
        <is>
          <t>kilowatt hour</t>
        </is>
      </c>
      <c r="F1290" t="inlineStr">
        <is>
          <t>technosphere</t>
        </is>
      </c>
      <c r="G1290" t="inlineStr">
        <is>
          <t>electricity, medium voltage</t>
        </is>
      </c>
      <c r="I1290" t="inlineStr">
        <is>
          <t>electricity, medium voltage</t>
        </is>
      </c>
    </row>
    <row r="1291">
      <c r="A1291" t="inlineStr">
        <is>
          <t>market for inert waste, for final disposal</t>
        </is>
      </c>
      <c r="B1291">
        <v>-1.5855547201689676e-06</v>
      </c>
      <c r="C1291" t="inlineStr">
        <is>
          <t>RoW</t>
        </is>
      </c>
      <c r="D1291" t="inlineStr">
        <is>
          <t>kilogram</t>
        </is>
      </c>
      <c r="F1291" t="inlineStr">
        <is>
          <t>technosphere</t>
        </is>
      </c>
      <c r="G1291" t="inlineStr">
        <is>
          <t>inert waste, for final disposal</t>
        </is>
      </c>
      <c r="I1291" t="inlineStr">
        <is>
          <t>inert waste, for final disposal</t>
        </is>
      </c>
    </row>
    <row r="1294">
      <c r="A1294" t="inlineStr">
        <is>
          <t>Activity</t>
        </is>
      </c>
      <c r="B1294" t="inlineStr">
        <is>
          <t>neodymium production, molten salt electrolysis</t>
        </is>
      </c>
    </row>
    <row r="1295">
      <c r="A1295" t="inlineStr">
        <is>
          <t>reference product</t>
        </is>
      </c>
      <c r="B1295" t="inlineStr">
        <is>
          <t>neodymium</t>
        </is>
      </c>
    </row>
    <row r="1296">
      <c r="A1296" t="inlineStr">
        <is>
          <t>unit</t>
        </is>
      </c>
      <c r="B1296" t="inlineStr">
        <is>
          <t>kilogram</t>
        </is>
      </c>
    </row>
    <row r="1297">
      <c r="A1297" t="inlineStr">
        <is>
          <t>location</t>
        </is>
      </c>
      <c r="B1297" t="inlineStr">
        <is>
          <t>CN</t>
        </is>
      </c>
    </row>
    <row r="1298">
      <c r="A1298" t="inlineStr">
        <is>
          <t>production amount</t>
        </is>
      </c>
      <c r="B1298">
        <v>1.0</v>
      </c>
    </row>
    <row r="1299">
      <c r="A1299" t="inlineStr">
        <is>
          <t>source</t>
        </is>
      </c>
      <c r="B1299" t="inlineStr">
        <is>
          <t>https://doi.org/10.1002/adem.201901206 ; https://www.osti.gov/servlets/purl/1509117</t>
        </is>
      </c>
    </row>
    <row r="1300">
      <c r="A1300" t="inlineStr">
        <is>
          <t>comment</t>
        </is>
      </c>
      <c r="B1300" t="inlineStr">
        <is>
          <t>NEODYMIUM OXIDE-TO-METAL MANUFACTURING REFERENCE, 2026-10-20. One kg nominal Nd metal at the factory gate, with integrated fluoride preparation and explicit mass/element ledgers. This is a reconstructed engineering reference, not measured factory data. Schreiber etal2020, Table1 and sections3.2.2-3.2.4, https://doi.org/10.1002/adem.201901206, supplies modern 8.5kWh/kgNd electrolysis,0.000576kgNdF3/0.000653kgLiF makeup, 14mgCF4/1.4mgC2F6,0.09kgrefractory,0.03kggraphitepot and estimated 2.7gWcathode/kgNd. Its best/middle1.13kgNd2O3 doses underfeed elemental Nd for their stated1kgmetal output; do NOT copy that imbalance. NETL2014 Rare Earth Oxide Electrolysis, https://www.osti.gov/servlets/purl/1509117, pp.4-7, describes a Lynas didymium pilot design and distinguishes assumed transfer to other REEs. This Nd-only reference does not adopt that blanket heavy-REE transfer. Select94%Nd collection as a rounded engineering reference consistent with the NETL~1.24kgNd2O3/kgNd dose, not measured industrial recovery; test90/94/98/100%. Uncollected Nd remains as oxide in solid waste. Magnet95%material retention is a separate downstream fabrication stage, not this refinery yield applied twice. Buy total oxide including precursor losses once. Preserve the source CO2:CO mass ratio0.055:0.211 but calculate absolute gas and reactive carbon quantities from oxygen liberated by the oxide actually reduced. Graphite includes reacted carbon plus0.03kgspentpot. PFC values are grams converted to kilograms. Their fluorine is explicitly supplied by NdF3 decomposition; the corresponding Nd enters metal, reducing oxide required for that fraction. LiF is not treated as a source of metallic Li. HigherPFC cases buy extra NdF3 to avoid inventing fluorine while retaining ordinary bath losses. Prepare NdF3 inline via Nd2O3+6HF-&gt;2NdF3+3H2O. Adopt95%oxide conversion as an explicit reference matching the approximately0.880kg oxide/0.044kgoxide-waste relation in the literature, but close the stoichiometry with unrounded molecular weights. The0.528kWh/kgNdF3 utility is the published direct-fluorination reference; this integrated recipe is not a wholesale copy of either inconsistent published fluorination ledger. No unexplained ammonia input/output. Prepare LiF inline from Li2CO3+2HF-&gt;2LiF+CO2+H2O at nominal complete conversion;1kWh/kgLiF utility is an explicit small-process allowance, not measured manufacture. No nonexistent finished-fluoride market or duplicate fluoride manufacture is bought. Source8.5kWh already uses kgmetal output; do not divide it by collection yield again. Fluorination feeds10%excessHF. Select dry salt-dust collection followed by99%capture of unreacted HF in a wet lime scrubber; capture and sequence are engineering choices, not demonstrated plant performance. CaO+2HF-&gt;CaF2+H2O;10%excessCaO becomes Ca(OH)2. No sulfur input exists, so no invented CaSO4 output is transferred from NETL. Retain source6.27e-5kg/kgNd dust with homogeneous NdF3/LiF loss composition; native fine-PM is a characterization proxy because the source does not establish the size/speciation distribution or individual RE-compound toxicity. Test zero/upscaled dust and capture. Source0.175kgprocess water plus reaction water goes to one negative wastewater treatment input at1000kg/m3. Captured salts,unconverted oxide,lime residues and spentcathode have one matched underground disposal reference; graphitepot and refractory have matched mineral disposal. These are treatment-class proxies, not measured leaching or hazard classification. No recovery/recycling/substitution credit. Lynas allows Mo/Wcathodes. Use an explicit same-volume Mo transfer of source2.7gW/kgNd with nominal densities10.28/19.25: 0.00144187012987kgMo/kgNd. Actual geometry and service life remain uncertain; test tenfold lower/higher consumption. Basic refractory is an unspecified refractory-class proxy. The elemental Nd/C/F/Li/Ca/H/O/Mo and aggregate material ledgers close, with unchanged refractory mass carried separately. Equipment construction, actual yields/assays,thermal integration,emissions speciation and process qualification remain uncertain. This supplies Nd reduction only; Pr/Tb/Dy/Ho and other precursor reduction and magnet alloy/powder/coating gaps are not silently declared solved. Keep existing magnet15kWh/kg for its downstream fabrication reference, separate from this reduction process. All measured magnet fractions, finished magnet dose,motor/vehicle/per-MJ quantities and finalEOL are unchanged. Existing supplemental workbook only; no runtime,YAML or active metal-indicator edits.</t>
        </is>
      </c>
    </row>
    <row r="1301">
      <c r="A1301" t="inlineStr">
        <is>
          <t>Exchanges</t>
        </is>
      </c>
    </row>
    <row r="1302">
      <c r="A1302" t="inlineStr">
        <is>
          <t>name</t>
        </is>
      </c>
      <c r="B1302" t="inlineStr">
        <is>
          <t>amount</t>
        </is>
      </c>
      <c r="C1302" t="inlineStr">
        <is>
          <t>location</t>
        </is>
      </c>
      <c r="D1302" t="inlineStr">
        <is>
          <t>unit</t>
        </is>
      </c>
      <c r="E1302" t="inlineStr">
        <is>
          <t>categories</t>
        </is>
      </c>
      <c r="F1302" t="inlineStr">
        <is>
          <t>type</t>
        </is>
      </c>
      <c r="G1302" t="inlineStr">
        <is>
          <t>reference product</t>
        </is>
      </c>
      <c r="H1302" t="inlineStr">
        <is>
          <t>comment</t>
        </is>
      </c>
    </row>
    <row r="1303">
      <c r="A1303" t="inlineStr">
        <is>
          <t>neodymium production, molten salt electrolysis</t>
        </is>
      </c>
      <c r="B1303">
        <v>1.0</v>
      </c>
      <c r="C1303" t="inlineStr">
        <is>
          <t>CN</t>
        </is>
      </c>
      <c r="D1303" t="inlineStr">
        <is>
          <t>kilogram</t>
        </is>
      </c>
      <c r="F1303" t="inlineStr">
        <is>
          <t>production</t>
        </is>
      </c>
      <c r="G1303" t="inlineStr">
        <is>
          <t>neodymium</t>
        </is>
      </c>
    </row>
    <row r="1304">
      <c r="A1304" t="inlineStr">
        <is>
          <t>market for neodymium oxide</t>
        </is>
      </c>
      <c r="B1304">
        <v>1.2412915220936207</v>
      </c>
      <c r="C1304" t="inlineStr">
        <is>
          <t>GLO</t>
        </is>
      </c>
      <c r="D1304" t="inlineStr">
        <is>
          <t>kilogram</t>
        </is>
      </c>
      <c r="F1304" t="inlineStr">
        <is>
          <t>technosphere</t>
        </is>
      </c>
      <c r="G1304" t="inlineStr">
        <is>
          <t>neodymium oxide</t>
        </is>
      </c>
    </row>
    <row r="1305">
      <c r="A1305" t="inlineStr">
        <is>
          <t>market for lithium carbonate</t>
        </is>
      </c>
      <c r="B1305">
        <v>0.0009300661975372661</v>
      </c>
      <c r="C1305" t="inlineStr">
        <is>
          <t>GLO</t>
        </is>
      </c>
      <c r="D1305" t="inlineStr">
        <is>
          <t>kilogram</t>
        </is>
      </c>
      <c r="F1305" t="inlineStr">
        <is>
          <t>technosphere</t>
        </is>
      </c>
      <c r="G1305" t="inlineStr">
        <is>
          <t>lithium carbonate</t>
        </is>
      </c>
    </row>
    <row r="1306">
      <c r="A1306" t="inlineStr">
        <is>
          <t>market for hydrogen fluoride</t>
        </is>
      </c>
      <c r="B1306">
        <v>0.0007429997805387021</v>
      </c>
      <c r="C1306" t="inlineStr">
        <is>
          <t>RoW</t>
        </is>
      </c>
      <c r="D1306" t="inlineStr">
        <is>
          <t>kilogram</t>
        </is>
      </c>
      <c r="F1306" t="inlineStr">
        <is>
          <t>technosphere</t>
        </is>
      </c>
      <c r="G1306" t="inlineStr">
        <is>
          <t>hydrogen fluoride</t>
        </is>
      </c>
    </row>
    <row r="1307">
      <c r="A1307" t="inlineStr">
        <is>
          <t>market for graphite</t>
        </is>
      </c>
      <c r="B1307">
        <v>0.13934385918953662</v>
      </c>
      <c r="C1307" t="inlineStr">
        <is>
          <t>GLO</t>
        </is>
      </c>
      <c r="D1307" t="inlineStr">
        <is>
          <t>kilogram</t>
        </is>
      </c>
      <c r="F1307" t="inlineStr">
        <is>
          <t>technosphere</t>
        </is>
      </c>
      <c r="G1307" t="inlineStr">
        <is>
          <t>graphite</t>
        </is>
      </c>
    </row>
    <row r="1308">
      <c r="A1308" t="inlineStr">
        <is>
          <t>market for quicklime, milled, loose</t>
        </is>
      </c>
      <c r="B1308">
        <v>0.00010308836218651622</v>
      </c>
      <c r="C1308" t="inlineStr">
        <is>
          <t>RoW</t>
        </is>
      </c>
      <c r="D1308" t="inlineStr">
        <is>
          <t>kilogram</t>
        </is>
      </c>
      <c r="F1308" t="inlineStr">
        <is>
          <t>technosphere</t>
        </is>
      </c>
      <c r="G1308" t="inlineStr">
        <is>
          <t>quicklime, milled, loose</t>
        </is>
      </c>
    </row>
    <row r="1309">
      <c r="A1309" t="inlineStr">
        <is>
          <t>market for water, deionised</t>
        </is>
      </c>
      <c r="B1309">
        <v>0.175</v>
      </c>
      <c r="C1309" t="inlineStr">
        <is>
          <t>RoW</t>
        </is>
      </c>
      <c r="D1309" t="inlineStr">
        <is>
          <t>kilogram</t>
        </is>
      </c>
      <c r="F1309" t="inlineStr">
        <is>
          <t>technosphere</t>
        </is>
      </c>
      <c r="G1309" t="inlineStr">
        <is>
          <t>water, deionised</t>
        </is>
      </c>
    </row>
    <row r="1310">
      <c r="A1310" t="inlineStr">
        <is>
          <t>market for molybdenum</t>
        </is>
      </c>
      <c r="B1310">
        <v>0.0014418701298701299</v>
      </c>
      <c r="C1310" t="inlineStr">
        <is>
          <t>GLO</t>
        </is>
      </c>
      <c r="D1310" t="inlineStr">
        <is>
          <t>kilogram</t>
        </is>
      </c>
      <c r="F1310" t="inlineStr">
        <is>
          <t>technosphere</t>
        </is>
      </c>
      <c r="G1310" t="inlineStr">
        <is>
          <t>molybdenum</t>
        </is>
      </c>
    </row>
    <row r="1311">
      <c r="A1311" t="inlineStr">
        <is>
          <t>market for refractory, basic, packed</t>
        </is>
      </c>
      <c r="B1311">
        <v>0.09</v>
      </c>
      <c r="C1311" t="inlineStr">
        <is>
          <t>GLO</t>
        </is>
      </c>
      <c r="D1311" t="inlineStr">
        <is>
          <t>kilogram</t>
        </is>
      </c>
      <c r="F1311" t="inlineStr">
        <is>
          <t>technosphere</t>
        </is>
      </c>
      <c r="G1311" t="inlineStr">
        <is>
          <t>refractory, basic, packed</t>
        </is>
      </c>
    </row>
    <row r="1312">
      <c r="A1312" t="inlineStr">
        <is>
          <t>market group for electricity, medium voltage</t>
        </is>
      </c>
      <c r="B1312">
        <v>8.500957128</v>
      </c>
      <c r="C1312" t="inlineStr">
        <is>
          <t>CN</t>
        </is>
      </c>
      <c r="D1312" t="inlineStr">
        <is>
          <t>kilowatt hour</t>
        </is>
      </c>
      <c r="F1312" t="inlineStr">
        <is>
          <t>technosphere</t>
        </is>
      </c>
      <c r="G1312" t="inlineStr">
        <is>
          <t>electricity, medium voltage</t>
        </is>
      </c>
    </row>
    <row r="1313">
      <c r="A1313" t="inlineStr">
        <is>
          <t>market for inert waste, for final disposal</t>
        </is>
      </c>
      <c r="B1313">
        <v>-0.12</v>
      </c>
      <c r="C1313" t="inlineStr">
        <is>
          <t>RoW</t>
        </is>
      </c>
      <c r="D1313" t="inlineStr">
        <is>
          <t>kilogram</t>
        </is>
      </c>
      <c r="F1313" t="inlineStr">
        <is>
          <t>technosphere</t>
        </is>
      </c>
      <c r="G1313" t="inlineStr">
        <is>
          <t>inert waste, for final disposal</t>
        </is>
      </c>
    </row>
    <row r="1314">
      <c r="A1314" t="inlineStr">
        <is>
          <t>market for hazardous waste, for underground deposit</t>
        </is>
      </c>
      <c r="B1314">
        <v>-0.07717668742596276</v>
      </c>
      <c r="C1314" t="inlineStr">
        <is>
          <t>RER</t>
        </is>
      </c>
      <c r="D1314" t="inlineStr">
        <is>
          <t>kilogram</t>
        </is>
      </c>
      <c r="F1314" t="inlineStr">
        <is>
          <t>technosphere</t>
        </is>
      </c>
      <c r="G1314" t="inlineStr">
        <is>
          <t>hazardous waste, for underground deposit</t>
        </is>
      </c>
    </row>
    <row r="1315">
      <c r="A1315" t="inlineStr">
        <is>
          <t>market for wastewater, average</t>
        </is>
      </c>
      <c r="B1315">
        <v>-0.00017533120662317387</v>
      </c>
      <c r="C1315" t="inlineStr">
        <is>
          <t>RoW</t>
        </is>
      </c>
      <c r="D1315" t="inlineStr">
        <is>
          <t>cubic meter</t>
        </is>
      </c>
      <c r="F1315" t="inlineStr">
        <is>
          <t>technosphere</t>
        </is>
      </c>
      <c r="G1315" t="inlineStr">
        <is>
          <t>wastewater, average</t>
        </is>
      </c>
    </row>
    <row r="1316">
      <c r="A1316" t="inlineStr">
        <is>
          <t>Carbon dioxide, fossil</t>
        </is>
      </c>
      <c r="B1316">
        <v>0.05756224388258545</v>
      </c>
      <c r="D1316" t="inlineStr">
        <is>
          <t>kilogram</t>
        </is>
      </c>
      <c r="E1316" t="inlineStr">
        <is>
          <t>air</t>
        </is>
      </c>
      <c r="F1316" t="inlineStr">
        <is>
          <t>biosphere</t>
        </is>
      </c>
    </row>
    <row r="1317">
      <c r="A1317" t="inlineStr">
        <is>
          <t>Carbon monoxide, fossil</t>
        </is>
      </c>
      <c r="B1317">
        <v>0.21870449236722184</v>
      </c>
      <c r="D1317" t="inlineStr">
        <is>
          <t>kilogram</t>
        </is>
      </c>
      <c r="E1317" t="inlineStr">
        <is>
          <t>air</t>
        </is>
      </c>
      <c r="F1317" t="inlineStr">
        <is>
          <t>biosphere</t>
        </is>
      </c>
    </row>
    <row r="1318">
      <c r="A1318" t="inlineStr">
        <is>
          <t>Methane, tetrafluoro-, R-14</t>
        </is>
      </c>
      <c r="B1318">
        <v>1.4e-05</v>
      </c>
      <c r="D1318" t="inlineStr">
        <is>
          <t>kilogram</t>
        </is>
      </c>
      <c r="E1318" t="inlineStr">
        <is>
          <t>air</t>
        </is>
      </c>
      <c r="F1318" t="inlineStr">
        <is>
          <t>biosphere</t>
        </is>
      </c>
    </row>
    <row r="1319">
      <c r="A1319" t="inlineStr">
        <is>
          <t>Ethane, hexafluoro-, HFC-116</t>
        </is>
      </c>
      <c r="B1319">
        <v>1.4e-06</v>
      </c>
      <c r="D1319" t="inlineStr">
        <is>
          <t>kilogram</t>
        </is>
      </c>
      <c r="E1319" t="inlineStr">
        <is>
          <t>air</t>
        </is>
      </c>
      <c r="F1319" t="inlineStr">
        <is>
          <t>biosphere</t>
        </is>
      </c>
    </row>
    <row r="1320">
      <c r="A1320" t="inlineStr">
        <is>
          <t>Hydrogen fluoride</t>
        </is>
      </c>
      <c r="B1320">
        <v>6.754543459442758e-07</v>
      </c>
      <c r="D1320" t="inlineStr">
        <is>
          <t>kilogram</t>
        </is>
      </c>
      <c r="E1320" t="inlineStr">
        <is>
          <t>air</t>
        </is>
      </c>
      <c r="F1320" t="inlineStr">
        <is>
          <t>biosphere</t>
        </is>
      </c>
    </row>
    <row r="1321">
      <c r="A1321" t="inlineStr">
        <is>
          <t>Particulate Matter, &lt; 2.5 um</t>
        </is>
      </c>
      <c r="B1321">
        <v>6.27e-05</v>
      </c>
      <c r="D1321" t="inlineStr">
        <is>
          <t>kilogram</t>
        </is>
      </c>
      <c r="E1321" t="inlineStr">
        <is>
          <t>air</t>
        </is>
      </c>
      <c r="F1321" t="inlineStr">
        <is>
          <t>biosphere</t>
        </is>
      </c>
    </row>
    <row r="1324">
      <c r="A1324" t="inlineStr">
        <is>
          <t>Activity</t>
        </is>
      </c>
      <c r="B1324" t="inlineStr">
        <is>
          <t>praseodymium production, molten salt electrolysis</t>
        </is>
      </c>
    </row>
    <row r="1325">
      <c r="A1325" t="inlineStr">
        <is>
          <t>reference product</t>
        </is>
      </c>
      <c r="B1325" t="inlineStr">
        <is>
          <t>praseodymium</t>
        </is>
      </c>
    </row>
    <row r="1326">
      <c r="A1326" t="inlineStr">
        <is>
          <t>unit</t>
        </is>
      </c>
      <c r="B1326" t="inlineStr">
        <is>
          <t>kilogram</t>
        </is>
      </c>
    </row>
    <row r="1327">
      <c r="A1327" t="inlineStr">
        <is>
          <t>location</t>
        </is>
      </c>
      <c r="B1327" t="inlineStr">
        <is>
          <t>CN</t>
        </is>
      </c>
    </row>
    <row r="1328">
      <c r="A1328" t="inlineStr">
        <is>
          <t>production amount</t>
        </is>
      </c>
      <c r="B1328">
        <v>1.0</v>
      </c>
    </row>
    <row r="1329">
      <c r="A1329" t="inlineStr">
        <is>
          <t>source</t>
        </is>
      </c>
      <c r="B1329" t="inlineStr">
        <is>
          <t>https://doi.org/10.1016/j.jelechem.2024.118724 ; https://doi.org/10.3390/ma18010184 ; https://doi.org/10.1016/0022-5088(85)90092-X ; https://doi.org/10.1002/adem.201901206 ; https://www.osti.gov/servlets/purl/1509117</t>
        </is>
      </c>
    </row>
    <row r="1330">
      <c r="A1330" t="inlineStr">
        <is>
          <t>comment</t>
        </is>
      </c>
      <c r="B1330" t="inlineStr">
        <is>
          <t>PRASEODYMIUM REDUCTION REFERENCE, 2026-10-20. One kg nominal Pr metal, from a Pr6O11 oxide convention consistent with the existing magnet recipe and Pr indicator. Local native metadata does not establish oxide oxidation state. This is a balanced engineering reference, NOT a measured commercial pure-Pr plant. Chen etal2024 DOI10.1016/j.jelechem.2024.118724 demonstrates Pr3+ reduction on W in LiF-PrF3-Pr6O11 and flags yield limitations. Cvetkovic etal2025 DOI10.3390/ma18010184 measures gases in Nd/Pr oxide-fluoride melts and supports higher-valence oxide/carbon chemistry, CO/CO2 and PFCs; do NOT turn its ppm peaks into unmeasured kg-per-kg industrial factors. Pr6O11 contains11oxygen/6Pr, not3oxygen/2Pr. Calculate the complete liberated oxygen and carbon-gas balance using the selected oxide; uncollected Pr is an oxide-equivalent residue, not a measured slag assay. Keep94%net metal collection as an explicit transfer of the existing light-REE engineering reference, not an observed Pr yield; test70-100%. Schreiber etal2020 DOI10.1002/adem.201901206 supports the light-REE MSE process class but quantifies Nd. Transfer its8.5kWh/kgNd toPr by144.242/140.90766 for equal trivalent-cation charge perkg; this is NOT measured Pr electricity. The higher-valence oxygen is included in the overall oxide/carbon gas balance. Test direct8.5kWh,12kWh and an11/9valence multiplier instead of asserting that same current efficiency or pre-reduction energetics is established. Transfer the Nd0.055:0.211CO2:CO mass ratio but recalculate gases from Pr-oxide oxygen. Scale Nd fluoride/LiF makeup and14mgCF4/1.4mgC2F6 by the same metal-mole ratio. Retain a fixed non-PFC bath loss and buy matched extra PrF3 for high-PFC cases. Fluorine comes fromPrF3 decomposition and its Pr joins the metal; no metallicLi is invented. These are explicit emission/bath transfers,not Pr factory data. Prepare PrF3 inline: Pr6O11+2H2-&gt;3Pr2O3+2H2O, thenPr2O3+6HF-&gt;2PrF3+3H2O. Hydrogen pre-reduction is a chosen preparation route supported by the1985oxide reduction study DOI10.1016/0022-5088(85)90092-X; it is not added to the bulk electrolysis feed. Reduce ALL fluoride-precursor oxide before95%fluorination: unconverted solids arePr2O3 and the associatedH2/reactionwater are counted. No unavailable finishedPrF3 supplier or duplicate oxide manufacture is purchased. Source3.9hydrogen,liquid,RER is the official legacy name migrating to gaseous medium-pressure merchantH2,RER in3.10+; it is a supply proxy,not extra liquefaction. Transfer0.528kWh/kgfluoride and1kWh/kgLiF utilities; add an explicit1kWh/kg fluoride-precursor-oxide pre-reduction allowance,not measured factory heating. HF feed has10%excess with96%capture reference; lime scrubbing closesCa/F/H/O. Select0.175kgprocesswater,0.03kggraphitepot,0.09kgrefractory and same-volume Mo cathode transfer of2.7gW at10.28/19.25density ratio from the existingNd architecture. Their Pr throughput/lifetimes are assumptions. Transfer6.27e-5kg salt dust withPrF3/LiF composition; generic finePM is a size/speciation proxy. Match oxide/salt/lime/cathode solids to underground disposal; graphitepot and refractory to inert disposal; process plus reactionwater to wastewater at 1000kg/m3. Disposal classes and leaching are unqualified. No recovery credit. ElementalPr/C/F/Li/Ca/H/O/Mo and aggregate mass close. Actual commercial yield,bath assay,energy,emissions,abatement,plant equipment and service life remain evidence gaps. Preserve B3 retained7.4%Pr,95%magnet fabrication retention, all other constituents,15kWh/kg downstream fabrication,finished magnet/motor/vehicle doses and finalEOL. A1 has noPr and is unchanged. Heavy-REE/Ca reduction and magnet alloy/powder/coating are separate gaps. Existing supplemental workbooks only; no active indicator definitions or primary/secondary shares changed.</t>
        </is>
      </c>
    </row>
    <row r="1331">
      <c r="A1331" t="inlineStr">
        <is>
          <t>Exchanges</t>
        </is>
      </c>
    </row>
    <row r="1332">
      <c r="A1332" t="inlineStr">
        <is>
          <t>name</t>
        </is>
      </c>
      <c r="B1332" t="inlineStr">
        <is>
          <t>amount</t>
        </is>
      </c>
      <c r="C1332" t="inlineStr">
        <is>
          <t>location</t>
        </is>
      </c>
      <c r="D1332" t="inlineStr">
        <is>
          <t>unit</t>
        </is>
      </c>
      <c r="E1332" t="inlineStr">
        <is>
          <t>categories</t>
        </is>
      </c>
      <c r="F1332" t="inlineStr">
        <is>
          <t>type</t>
        </is>
      </c>
      <c r="G1332" t="inlineStr">
        <is>
          <t>reference product</t>
        </is>
      </c>
      <c r="H1332" t="inlineStr">
        <is>
          <t>comment</t>
        </is>
      </c>
    </row>
    <row r="1333">
      <c r="A1333" t="inlineStr">
        <is>
          <t>praseodymium production, molten salt electrolysis</t>
        </is>
      </c>
      <c r="B1333">
        <v>1.0</v>
      </c>
      <c r="C1333" t="inlineStr">
        <is>
          <t>CN</t>
        </is>
      </c>
      <c r="D1333" t="inlineStr">
        <is>
          <t>kilogram</t>
        </is>
      </c>
      <c r="F1333" t="inlineStr">
        <is>
          <t>production</t>
        </is>
      </c>
      <c r="G1333" t="inlineStr">
        <is>
          <t>praseodymium</t>
        </is>
      </c>
    </row>
    <row r="1334">
      <c r="A1334" t="inlineStr">
        <is>
          <t>market for praseodymium oxide</t>
        </is>
      </c>
      <c r="B1334">
        <v>1.2857597883644067</v>
      </c>
      <c r="C1334" t="inlineStr">
        <is>
          <t>GLO</t>
        </is>
      </c>
      <c r="D1334" t="inlineStr">
        <is>
          <t>kilogram</t>
        </is>
      </c>
      <c r="F1334" t="inlineStr">
        <is>
          <t>technosphere</t>
        </is>
      </c>
      <c r="G1334" t="inlineStr">
        <is>
          <t>praseodymium oxide</t>
        </is>
      </c>
    </row>
    <row r="1335">
      <c r="A1335" t="inlineStr">
        <is>
          <t>market for lithium carbonate</t>
        </is>
      </c>
      <c r="B1335">
        <v>0.0009520746314655309</v>
      </c>
      <c r="C1335" t="inlineStr">
        <is>
          <t>GLO</t>
        </is>
      </c>
      <c r="D1335" t="inlineStr">
        <is>
          <t>kilogram</t>
        </is>
      </c>
      <c r="F1335" t="inlineStr">
        <is>
          <t>technosphere</t>
        </is>
      </c>
      <c r="G1335" t="inlineStr">
        <is>
          <t>lithium carbonate</t>
        </is>
      </c>
    </row>
    <row r="1336">
      <c r="A1336" t="inlineStr">
        <is>
          <t>market for hydrogen fluoride</t>
        </is>
      </c>
      <c r="B1336">
        <v>0.0007605816060281143</v>
      </c>
      <c r="C1336" t="inlineStr">
        <is>
          <t>RoW</t>
        </is>
      </c>
      <c r="D1336" t="inlineStr">
        <is>
          <t>kilogram</t>
        </is>
      </c>
      <c r="F1336" t="inlineStr">
        <is>
          <t>technosphere</t>
        </is>
      </c>
      <c r="G1336" t="inlineStr">
        <is>
          <t>hydrogen fluoride</t>
        </is>
      </c>
    </row>
    <row r="1337">
      <c r="A1337" t="inlineStr">
        <is>
          <t>market for hydrogen, liquid</t>
        </is>
      </c>
      <c r="B1337">
        <v>2.072607175903332e-06</v>
      </c>
      <c r="C1337" t="inlineStr">
        <is>
          <t>RER</t>
        </is>
      </c>
      <c r="D1337" t="inlineStr">
        <is>
          <t>kilogram</t>
        </is>
      </c>
      <c r="F1337" t="inlineStr">
        <is>
          <t>technosphere</t>
        </is>
      </c>
      <c r="G1337" t="inlineStr">
        <is>
          <t>hydrogen, liquid</t>
        </is>
      </c>
    </row>
    <row r="1338">
      <c r="A1338" t="inlineStr">
        <is>
          <t>market for graphite</t>
        </is>
      </c>
      <c r="B1338">
        <v>0.1668044266985518</v>
      </c>
      <c r="C1338" t="inlineStr">
        <is>
          <t>GLO</t>
        </is>
      </c>
      <c r="D1338" t="inlineStr">
        <is>
          <t>kilogram</t>
        </is>
      </c>
      <c r="F1338" t="inlineStr">
        <is>
          <t>technosphere</t>
        </is>
      </c>
      <c r="G1338" t="inlineStr">
        <is>
          <t>graphite</t>
        </is>
      </c>
    </row>
    <row r="1339">
      <c r="A1339" t="inlineStr">
        <is>
          <t>market for quicklime, milled, loose</t>
        </is>
      </c>
      <c r="B1339">
        <v>0.0001023299615597901</v>
      </c>
      <c r="C1339" t="inlineStr">
        <is>
          <t>RoW</t>
        </is>
      </c>
      <c r="D1339" t="inlineStr">
        <is>
          <t>kilogram</t>
        </is>
      </c>
      <c r="F1339" t="inlineStr">
        <is>
          <t>technosphere</t>
        </is>
      </c>
      <c r="G1339" t="inlineStr">
        <is>
          <t>quicklime, milled, loose</t>
        </is>
      </c>
    </row>
    <row r="1340">
      <c r="A1340" t="inlineStr">
        <is>
          <t>market for water, deionised</t>
        </is>
      </c>
      <c r="B1340">
        <v>0.175</v>
      </c>
      <c r="C1340" t="inlineStr">
        <is>
          <t>RoW</t>
        </is>
      </c>
      <c r="D1340" t="inlineStr">
        <is>
          <t>kilogram</t>
        </is>
      </c>
      <c r="F1340" t="inlineStr">
        <is>
          <t>technosphere</t>
        </is>
      </c>
      <c r="G1340" t="inlineStr">
        <is>
          <t>water, deionised</t>
        </is>
      </c>
    </row>
    <row r="1341">
      <c r="A1341" t="inlineStr">
        <is>
          <t>market for molybdenum</t>
        </is>
      </c>
      <c r="B1341">
        <v>0.0014418701298701299</v>
      </c>
      <c r="C1341" t="inlineStr">
        <is>
          <t>GLO</t>
        </is>
      </c>
      <c r="D1341" t="inlineStr">
        <is>
          <t>kilogram</t>
        </is>
      </c>
      <c r="F1341" t="inlineStr">
        <is>
          <t>technosphere</t>
        </is>
      </c>
      <c r="G1341" t="inlineStr">
        <is>
          <t>molybdenum</t>
        </is>
      </c>
    </row>
    <row r="1342">
      <c r="A1342" t="inlineStr">
        <is>
          <t>market for refractory, basic, packed</t>
        </is>
      </c>
      <c r="B1342">
        <v>0.09</v>
      </c>
      <c r="C1342" t="inlineStr">
        <is>
          <t>GLO</t>
        </is>
      </c>
      <c r="D1342" t="inlineStr">
        <is>
          <t>kilogram</t>
        </is>
      </c>
      <c r="F1342" t="inlineStr">
        <is>
          <t>technosphere</t>
        </is>
      </c>
      <c r="G1342" t="inlineStr">
        <is>
          <t>refractory, basic, packed</t>
        </is>
      </c>
    </row>
    <row r="1343">
      <c r="A1343" t="inlineStr">
        <is>
          <t>market group for electricity, medium voltage</t>
        </is>
      </c>
      <c r="B1343">
        <v>8.702637712370528</v>
      </c>
      <c r="C1343" t="inlineStr">
        <is>
          <t>CN</t>
        </is>
      </c>
      <c r="D1343" t="inlineStr">
        <is>
          <t>kilowatt hour</t>
        </is>
      </c>
      <c r="F1343" t="inlineStr">
        <is>
          <t>technosphere</t>
        </is>
      </c>
      <c r="G1343" t="inlineStr">
        <is>
          <t>electricity, medium voltage</t>
        </is>
      </c>
    </row>
    <row r="1344">
      <c r="A1344" t="inlineStr">
        <is>
          <t>market for inert waste, for final disposal</t>
        </is>
      </c>
      <c r="B1344">
        <v>-0.12</v>
      </c>
      <c r="C1344" t="inlineStr">
        <is>
          <t>RoW</t>
        </is>
      </c>
      <c r="D1344" t="inlineStr">
        <is>
          <t>kilogram</t>
        </is>
      </c>
      <c r="F1344" t="inlineStr">
        <is>
          <t>technosphere</t>
        </is>
      </c>
      <c r="G1344" t="inlineStr">
        <is>
          <t>inert waste, for final disposal</t>
        </is>
      </c>
    </row>
    <row r="1345">
      <c r="A1345" t="inlineStr">
        <is>
          <t>market for hazardous waste, for underground deposit</t>
        </is>
      </c>
      <c r="B1345">
        <v>-0.07986172744986104</v>
      </c>
      <c r="C1345" t="inlineStr">
        <is>
          <t>RER</t>
        </is>
      </c>
      <c r="D1345" t="inlineStr">
        <is>
          <t>kilogram</t>
        </is>
      </c>
      <c r="F1345" t="inlineStr">
        <is>
          <t>technosphere</t>
        </is>
      </c>
      <c r="G1345" t="inlineStr">
        <is>
          <t>hazardous waste, for underground deposit</t>
        </is>
      </c>
    </row>
    <row r="1346">
      <c r="A1346" t="inlineStr">
        <is>
          <t>market for wastewater, average</t>
        </is>
      </c>
      <c r="B1346">
        <v>-0.00017535672437878042</v>
      </c>
      <c r="C1346" t="inlineStr">
        <is>
          <t>RoW</t>
        </is>
      </c>
      <c r="D1346" t="inlineStr">
        <is>
          <t>cubic meter</t>
        </is>
      </c>
      <c r="F1346" t="inlineStr">
        <is>
          <t>technosphere</t>
        </is>
      </c>
      <c r="G1346" t="inlineStr">
        <is>
          <t>wastewater, average</t>
        </is>
      </c>
    </row>
    <row r="1347">
      <c r="A1347" t="inlineStr">
        <is>
          <t>Carbon dioxide, fossil</t>
        </is>
      </c>
      <c r="B1347">
        <v>0.0718926417538634</v>
      </c>
      <c r="D1347" t="inlineStr">
        <is>
          <t>kilogram</t>
        </is>
      </c>
      <c r="E1347" t="inlineStr">
        <is>
          <t>air</t>
        </is>
      </c>
      <c r="F1347" t="inlineStr">
        <is>
          <t>biosphere</t>
        </is>
      </c>
    </row>
    <row r="1348">
      <c r="A1348" t="inlineStr">
        <is>
          <t>Carbon monoxide, fossil</t>
        </is>
      </c>
      <c r="B1348">
        <v>0.2736308202504637</v>
      </c>
      <c r="D1348" t="inlineStr">
        <is>
          <t>kilogram</t>
        </is>
      </c>
      <c r="E1348" t="inlineStr">
        <is>
          <t>air</t>
        </is>
      </c>
      <c r="F1348" t="inlineStr">
        <is>
          <t>biosphere</t>
        </is>
      </c>
    </row>
    <row r="1349">
      <c r="A1349" t="inlineStr">
        <is>
          <t>Methane, tetrafluoro-, R-14</t>
        </is>
      </c>
      <c r="B1349">
        <v>1.433128617706092e-05</v>
      </c>
      <c r="D1349" t="inlineStr">
        <is>
          <t>kilogram</t>
        </is>
      </c>
      <c r="E1349" t="inlineStr">
        <is>
          <t>air</t>
        </is>
      </c>
      <c r="F1349" t="inlineStr">
        <is>
          <t>biosphere</t>
        </is>
      </c>
    </row>
    <row r="1350">
      <c r="A1350" t="inlineStr">
        <is>
          <t>Ethane, hexafluoro-, HFC-116</t>
        </is>
      </c>
      <c r="B1350">
        <v>1.433128617706092e-06</v>
      </c>
      <c r="D1350" t="inlineStr">
        <is>
          <t>kilogram</t>
        </is>
      </c>
      <c r="E1350" t="inlineStr">
        <is>
          <t>air</t>
        </is>
      </c>
      <c r="F1350" t="inlineStr">
        <is>
          <t>biosphere</t>
        </is>
      </c>
    </row>
    <row r="1351">
      <c r="A1351" t="inlineStr">
        <is>
          <t>Hydrogen fluoride</t>
        </is>
      </c>
      <c r="B1351">
        <v>2.7657512946476926e-06</v>
      </c>
      <c r="D1351" t="inlineStr">
        <is>
          <t>kilogram</t>
        </is>
      </c>
      <c r="E1351" t="inlineStr">
        <is>
          <t>air</t>
        </is>
      </c>
      <c r="F1351" t="inlineStr">
        <is>
          <t>biosphere</t>
        </is>
      </c>
    </row>
    <row r="1352">
      <c r="A1352" t="inlineStr">
        <is>
          <t>Particulate Matter, &lt; 2.5 um</t>
        </is>
      </c>
      <c r="B1352">
        <v>6.27e-05</v>
      </c>
      <c r="D1352" t="inlineStr">
        <is>
          <t>kilogram</t>
        </is>
      </c>
      <c r="E1352" t="inlineStr">
        <is>
          <t>air</t>
        </is>
      </c>
      <c r="F1352" t="inlineStr">
        <is>
          <t>biosphere</t>
        </is>
      </c>
    </row>
    <row r="1355">
      <c r="A1355" t="inlineStr">
        <is>
          <t>Activity</t>
        </is>
      </c>
      <c r="B1355" t="inlineStr">
        <is>
          <t>calcium production, aluminothermic reduction</t>
        </is>
      </c>
    </row>
    <row r="1356">
      <c r="A1356" t="inlineStr">
        <is>
          <t>reference product</t>
        </is>
      </c>
      <c r="B1356" t="inlineStr">
        <is>
          <t>calcium</t>
        </is>
      </c>
    </row>
    <row r="1357">
      <c r="A1357" t="inlineStr">
        <is>
          <t>unit</t>
        </is>
      </c>
      <c r="B1357" t="inlineStr">
        <is>
          <t>kilogram</t>
        </is>
      </c>
    </row>
    <row r="1358">
      <c r="A1358" t="inlineStr">
        <is>
          <t>location</t>
        </is>
      </c>
      <c r="B1358" t="inlineStr">
        <is>
          <t>GLO</t>
        </is>
      </c>
    </row>
    <row r="1359">
      <c r="A1359" t="inlineStr">
        <is>
          <t>production amount</t>
        </is>
      </c>
      <c r="B1359">
        <v>1.0</v>
      </c>
    </row>
    <row r="1360">
      <c r="A1360" t="inlineStr">
        <is>
          <t>source</t>
        </is>
      </c>
      <c r="B1360" t="inlineStr">
        <is>
          <t>https://bureau-industrial-transformation.jrc.ec.europa.eu/sites/default/files/2020-03/superseded_nfm_bref_1201.pdf ; https://eprints.nmlindia.org/id/eprint/4042/ ; https://patents.google.com/patent/US20230049604A1/en ; https://doi.org/10.1016/j.mtchem.2021.100608 ; https://behost.lib.iastate.edu/DR/Croat_TN798-C7x.pdf ; https://patents.google.com/patent/CN118854092B/en</t>
        </is>
      </c>
    </row>
    <row r="1361">
      <c r="A1361" t="inlineStr">
        <is>
          <t>comment</t>
        </is>
      </c>
      <c r="B1361" t="inlineStr">
        <is>
          <t>CALCIUM REDUCTANT MANUFACTURE, 2026-10-20. One kg nominal elementalCa from aluminothermic lime reduction; NOT lime bought at a metal equivalent. EC2001NonferrousBREF sections10.1.4.1.2/10.2.1,pp589/596, documents electric-resistance vacuum retorts and20-25kWh/kgmetal directenergy, in addition to upstream lime/Al manufacture. Select22.5kWh/kg as an old European process-class reference transferred to genericGLO electricity; not a measured current world mix or technology-learning forecast. Jacob/Srikanth1990 establishes3CaO.Al2O3 as the practical aluminate endpoint: 6CaO+2Al-&gt;3Ca+Ca3Al2O6. Select approximate3kgreactiveCaO+0.5kgAl perkgCa consistent with the prior-art feed context inUS20230049604A1; derive the actual species ledger rather than copying rounded2.5kgslag. Unreacted lime remains; excessAl and any lostCa undergo selected dry passivation toAl2O3/CaO using ambientoxygen. No reactive metal is sent untreated to nominal mineral disposal. Buy quicklime at selected95%CaO and nominal elementalAl ingot,aligned with the database/indicator metal convention; actual commercial assays are unspecified. Test99.7%/95%Al alternatives. Unassayed impurities are carried as unchanged bulk solid, not invented trace elements. The existing native primary-ingot commodity is a specific reductant supply reference; no primary/secondary fraction or recyclingcredit is inferred. Use the source3.9European ingot market (IAI Area,EU27 &amp;EFTA),matching the reference process region; official migration selects the current Western/CentralEurope market. This is a procurement proxy,not a world mix. Nominal reactionmetal collection100% is bookkeeping for this output-based feed reference, not an observed plant recovery; loss alternatives scale feed and passivated solids explicitly. Do not divide output-based22.5kWh by a second assumed source yield. Add0.01kg/kg generic furnace refractory with equal spent mass. Slag/impurity/refractory mass goes once to negative inert-waste disposal, an unqualified treatment-class proxy. Upstream calcination CO2 is already in quicklime; no second direct calcination emission. Ambient oxygen remains an uncharacterized mass-ledger term. Grinding/pelletizing/vacuum/heating are assigned the combined utility reference; actual powder preparation,cooling,retort hardware,gas/dust losses,productpurity and industrial qualification remain gaps. Nominal Ca/Al/O and totalmass close. This supplies the new Ho reduction step; it does not replace the existing CaO constituent in magnets without evidence of its actual chemical form. Existing supplemental workbook only.</t>
        </is>
      </c>
    </row>
    <row r="1362">
      <c r="A1362" t="inlineStr">
        <is>
          <t>Exchanges</t>
        </is>
      </c>
    </row>
    <row r="1363">
      <c r="A1363" t="inlineStr">
        <is>
          <t>name</t>
        </is>
      </c>
      <c r="B1363" t="inlineStr">
        <is>
          <t>amount</t>
        </is>
      </c>
      <c r="C1363" t="inlineStr">
        <is>
          <t>location</t>
        </is>
      </c>
      <c r="D1363" t="inlineStr">
        <is>
          <t>unit</t>
        </is>
      </c>
      <c r="E1363" t="inlineStr">
        <is>
          <t>categories</t>
        </is>
      </c>
      <c r="F1363" t="inlineStr">
        <is>
          <t>type</t>
        </is>
      </c>
      <c r="G1363" t="inlineStr">
        <is>
          <t>reference product</t>
        </is>
      </c>
      <c r="H1363" t="inlineStr">
        <is>
          <t>comment</t>
        </is>
      </c>
    </row>
    <row r="1364">
      <c r="A1364" t="inlineStr">
        <is>
          <t>calcium production, aluminothermic reduction</t>
        </is>
      </c>
      <c r="B1364">
        <v>1.0</v>
      </c>
      <c r="C1364" t="inlineStr">
        <is>
          <t>GLO</t>
        </is>
      </c>
      <c r="D1364" t="inlineStr">
        <is>
          <t>kilogram</t>
        </is>
      </c>
      <c r="F1364" t="inlineStr">
        <is>
          <t>production</t>
        </is>
      </c>
      <c r="G1364" t="inlineStr">
        <is>
          <t>calcium</t>
        </is>
      </c>
    </row>
    <row r="1365">
      <c r="A1365" t="inlineStr">
        <is>
          <t>market for quicklime, milled, loose</t>
        </is>
      </c>
      <c r="B1365">
        <v>3.1578947368421053</v>
      </c>
      <c r="C1365" t="inlineStr">
        <is>
          <t>RoW</t>
        </is>
      </c>
      <c r="D1365" t="inlineStr">
        <is>
          <t>kilogram</t>
        </is>
      </c>
      <c r="F1365" t="inlineStr">
        <is>
          <t>technosphere</t>
        </is>
      </c>
      <c r="G1365" t="inlineStr">
        <is>
          <t>quicklime, milled, loose</t>
        </is>
      </c>
    </row>
    <row r="1366">
      <c r="A1366" t="inlineStr">
        <is>
          <t>market for aluminium, primary, ingot</t>
        </is>
      </c>
      <c r="B1366">
        <v>0.5</v>
      </c>
      <c r="C1366" t="inlineStr">
        <is>
          <t>IAI Area, EU27 &amp; EFTA</t>
        </is>
      </c>
      <c r="D1366" t="inlineStr">
        <is>
          <t>kilogram</t>
        </is>
      </c>
      <c r="F1366" t="inlineStr">
        <is>
          <t>technosphere</t>
        </is>
      </c>
      <c r="G1366" t="inlineStr">
        <is>
          <t>aluminium, primary, ingot</t>
        </is>
      </c>
    </row>
    <row r="1367">
      <c r="A1367" t="inlineStr">
        <is>
          <t>market group for electricity, medium voltage</t>
        </is>
      </c>
      <c r="B1367">
        <v>22.5</v>
      </c>
      <c r="C1367" t="inlineStr">
        <is>
          <t>GLO</t>
        </is>
      </c>
      <c r="D1367" t="inlineStr">
        <is>
          <t>kilowatt hour</t>
        </is>
      </c>
      <c r="F1367" t="inlineStr">
        <is>
          <t>technosphere</t>
        </is>
      </c>
      <c r="G1367" t="inlineStr">
        <is>
          <t>electricity, medium voltage</t>
        </is>
      </c>
    </row>
    <row r="1368">
      <c r="A1368" t="inlineStr">
        <is>
          <t>market for refractory, basic, packed</t>
        </is>
      </c>
      <c r="B1368">
        <v>0.01</v>
      </c>
      <c r="C1368" t="inlineStr">
        <is>
          <t>GLO</t>
        </is>
      </c>
      <c r="D1368" t="inlineStr">
        <is>
          <t>kilogram</t>
        </is>
      </c>
      <c r="F1368" t="inlineStr">
        <is>
          <t>technosphere</t>
        </is>
      </c>
      <c r="G1368" t="inlineStr">
        <is>
          <t>refractory, basic, packed</t>
        </is>
      </c>
    </row>
    <row r="1369">
      <c r="A1369" t="inlineStr">
        <is>
          <t>market for inert waste, for final disposal</t>
        </is>
      </c>
      <c r="B1369">
        <v>-2.7134189187434643</v>
      </c>
      <c r="C1369" t="inlineStr">
        <is>
          <t>RoW</t>
        </is>
      </c>
      <c r="D1369" t="inlineStr">
        <is>
          <t>kilogram</t>
        </is>
      </c>
      <c r="F1369" t="inlineStr">
        <is>
          <t>technosphere</t>
        </is>
      </c>
      <c r="G1369" t="inlineStr">
        <is>
          <t>inert waste, for final disposal</t>
        </is>
      </c>
    </row>
    <row r="1372">
      <c r="A1372" t="inlineStr">
        <is>
          <t>Activity</t>
        </is>
      </c>
      <c r="B1372" t="inlineStr">
        <is>
          <t>holmium production, calcium reduction</t>
        </is>
      </c>
    </row>
    <row r="1373">
      <c r="A1373" t="inlineStr">
        <is>
          <t>reference product</t>
        </is>
      </c>
      <c r="B1373" t="inlineStr">
        <is>
          <t>holmium</t>
        </is>
      </c>
    </row>
    <row r="1374">
      <c r="A1374" t="inlineStr">
        <is>
          <t>unit</t>
        </is>
      </c>
      <c r="B1374" t="inlineStr">
        <is>
          <t>kilogram</t>
        </is>
      </c>
    </row>
    <row r="1375">
      <c r="A1375" t="inlineStr">
        <is>
          <t>location</t>
        </is>
      </c>
      <c r="B1375" t="inlineStr">
        <is>
          <t>GLO</t>
        </is>
      </c>
    </row>
    <row r="1376">
      <c r="A1376" t="inlineStr">
        <is>
          <t>production amount</t>
        </is>
      </c>
      <c r="B1376">
        <v>1.0</v>
      </c>
    </row>
    <row r="1377">
      <c r="A1377" t="inlineStr">
        <is>
          <t>source</t>
        </is>
      </c>
      <c r="B1377" t="inlineStr">
        <is>
          <t>https://bureau-industrial-transformation.jrc.ec.europa.eu/sites/default/files/2020-03/superseded_nfm_bref_1201.pdf ; https://eprints.nmlindia.org/id/eprint/4042/ ; https://patents.google.com/patent/US20230049604A1/en ; https://doi.org/10.1016/j.mtchem.2021.100608 ; https://behost.lib.iastate.edu/DR/Croat_TN798-C7x.pdf ; https://patents.google.com/patent/CN118854092B/en</t>
        </is>
      </c>
    </row>
    <row r="1378">
      <c r="A1378" t="inlineStr">
        <is>
          <t>comment</t>
        </is>
      </c>
      <c r="B1378" t="inlineStr">
        <is>
          <t>HOLMIUM REDUCTION REFERENCE, 2026-10-20. One kg nominal Ho metal. Use a heavy-REE fluoride/calcium route, not the Nd/Pr electrolysis inventory. Published anhydrous-fluoride research and the Ames historical calcium-route account support Ho fluoride reduction withCa and subsequent vacuum refining. No assertion of a measured commercial Ho plant or high-purity5N product. Ho2O3+6HF-&gt;2HoF3+3H2O;2HoF3+3Ca-&gt;2Ho+3CaF2. Select98%fluorination and98%net metalcollection, testing losses separately. These are engineering references: the historical97-99%calcium-route yields are not current Ho factory qualification. CN118854092B supports HF/NH4HF2 fluorination and 10-20%excessCa process windows but describes extra5Npurification; do not silently claim itsKF/NaF additives,twostage1800-2000Cdistillation or yield as this reference. Choose HF and the conventional self-fluxingCaF2 route, 10%Caexcess,10%HFexcess and99%unreactedHFcapture in a lime scrubber. Buy metallicCa from the separate balanced aluminothermic provider, including its Al,energy and residue boundary. Do not purchase lime as if it were metallicCa or buy the same lime/Al manufacture twice. Nominal unrecoveredHo and unusedCa are separated and dry-passivated to oxides with ambientoxygen before disposal. Actual segregation, recovery,passivation utilities and residue speciation remain unqualified. No recovered-metal credit or unmeasured full internal recycle. Choose6kWh/kgHo combined reduction/vacuum-refining electricity plus 0.528kWh/kgHoF3 fluorination utility as explicit allowances/fluoride analogy,not measured Ho electricity; test broad heating alternatives. Use10normalLAr/kgHo at273.15K/101325Pa (39.948g/mol),purchased through native liquidargon as a delivery proxy. UncharacterizedAr release is in the massledger only. Choose an explicit1kgmetalbatch Ta vessel: 100mmID,150mminternalheight,2mmwall/base,16650kg/m3,1000batches; divide its shell/base mass by total lifetime output. Geometry/life are assumptions,not supplier measurements. Native capacitor-grade Ta powder is an elemental feed proxy,not a purchased capacitor or finished crucible. Add20kWh/kgTa forming/sintering allowance; actual Ta grade,crucible manufacture,purity and life require qualification. W vacuum hardware and other plant equipment are not represented by a fabricated carbide-as-metal proxy; their proper inventories remain gaps. Add0.01kg/kg generic refractory and0.5kgprocesswater, both explicit allowances. Match CaF2,oxide/scrubber/cathode residues to one underground waste input; refractory to inertdisposal; process+reactionwater to wastewater at1000kg/m3. Treatment/hazard/leaching assumptions are not certified. Ho/Ca/F/H/O/Ta and aggregate mass close, including ambientair andAr. No PFC factors from a different electrolysis route are inserted. Retain both magnetHo fractions,95%magnet fabrication retention,all other constituents,downstream energy,motor/vehicle/per-MJ doses and finalEOL. The existing CaO magnetconstituent stays unchanged pending speciation. Tb/Dy reduction,actual industrial qualification and magnet alloy/powder/ coating remain open. Active indicator definitions are unchanged.</t>
        </is>
      </c>
    </row>
    <row r="1379">
      <c r="A1379" t="inlineStr">
        <is>
          <t>Exchanges</t>
        </is>
      </c>
    </row>
    <row r="1380">
      <c r="A1380" t="inlineStr">
        <is>
          <t>name</t>
        </is>
      </c>
      <c r="B1380" t="inlineStr">
        <is>
          <t>amount</t>
        </is>
      </c>
      <c r="C1380" t="inlineStr">
        <is>
          <t>location</t>
        </is>
      </c>
      <c r="D1380" t="inlineStr">
        <is>
          <t>unit</t>
        </is>
      </c>
      <c r="E1380" t="inlineStr">
        <is>
          <t>categories</t>
        </is>
      </c>
      <c r="F1380" t="inlineStr">
        <is>
          <t>type</t>
        </is>
      </c>
      <c r="G1380" t="inlineStr">
        <is>
          <t>reference product</t>
        </is>
      </c>
      <c r="H1380" t="inlineStr">
        <is>
          <t>comment</t>
        </is>
      </c>
    </row>
    <row r="1381">
      <c r="A1381" t="inlineStr">
        <is>
          <t>holmium production, calcium reduction</t>
        </is>
      </c>
      <c r="B1381">
        <v>1.0</v>
      </c>
      <c r="C1381" t="inlineStr">
        <is>
          <t>GLO</t>
        </is>
      </c>
      <c r="D1381" t="inlineStr">
        <is>
          <t>kilogram</t>
        </is>
      </c>
      <c r="F1381" t="inlineStr">
        <is>
          <t>production</t>
        </is>
      </c>
      <c r="G1381" t="inlineStr">
        <is>
          <t>holmium</t>
        </is>
      </c>
    </row>
    <row r="1382">
      <c r="A1382" t="inlineStr">
        <is>
          <t>market for holmium oxide</t>
        </is>
      </c>
      <c r="B1382">
        <v>1.1927393728956757</v>
      </c>
      <c r="C1382" t="inlineStr">
        <is>
          <t>GLO</t>
        </is>
      </c>
      <c r="D1382" t="inlineStr">
        <is>
          <t>kilogram</t>
        </is>
      </c>
      <c r="F1382" t="inlineStr">
        <is>
          <t>technosphere</t>
        </is>
      </c>
      <c r="G1382" t="inlineStr">
        <is>
          <t>holmium oxide</t>
        </is>
      </c>
    </row>
    <row r="1383">
      <c r="A1383" t="inlineStr">
        <is>
          <t>market for hydrogen fluoride</t>
        </is>
      </c>
      <c r="B1383">
        <v>0.408466413950889</v>
      </c>
      <c r="C1383" t="inlineStr">
        <is>
          <t>RoW</t>
        </is>
      </c>
      <c r="D1383" t="inlineStr">
        <is>
          <t>kilogram</t>
        </is>
      </c>
      <c r="F1383" t="inlineStr">
        <is>
          <t>technosphere</t>
        </is>
      </c>
      <c r="G1383" t="inlineStr">
        <is>
          <t>hydrogen fluoride</t>
        </is>
      </c>
    </row>
    <row r="1384">
      <c r="A1384" t="inlineStr">
        <is>
          <t>calcium production, aluminothermic reduction</t>
        </is>
      </c>
      <c r="B1384">
        <v>0.4091319365341866</v>
      </c>
      <c r="C1384" t="inlineStr">
        <is>
          <t>GLO</t>
        </is>
      </c>
      <c r="D1384" t="inlineStr">
        <is>
          <t>kilogram</t>
        </is>
      </c>
      <c r="F1384" t="inlineStr">
        <is>
          <t>technosphere</t>
        </is>
      </c>
      <c r="G1384" t="inlineStr">
        <is>
          <t>calcium</t>
        </is>
      </c>
    </row>
    <row r="1385">
      <c r="A1385" t="inlineStr">
        <is>
          <t>market for quicklime, milled, loose</t>
        </is>
      </c>
      <c r="B1385">
        <v>0.05667314409146499</v>
      </c>
      <c r="C1385" t="inlineStr">
        <is>
          <t>RoW</t>
        </is>
      </c>
      <c r="D1385" t="inlineStr">
        <is>
          <t>kilogram</t>
        </is>
      </c>
      <c r="F1385" t="inlineStr">
        <is>
          <t>technosphere</t>
        </is>
      </c>
      <c r="G1385" t="inlineStr">
        <is>
          <t>quicklime, milled, loose</t>
        </is>
      </c>
    </row>
    <row r="1386">
      <c r="A1386" t="inlineStr">
        <is>
          <t>market for water, deionised</t>
        </is>
      </c>
      <c r="B1386">
        <v>0.5</v>
      </c>
      <c r="C1386" t="inlineStr">
        <is>
          <t>RoW</t>
        </is>
      </c>
      <c r="D1386" t="inlineStr">
        <is>
          <t>kilogram</t>
        </is>
      </c>
      <c r="F1386" t="inlineStr">
        <is>
          <t>technosphere</t>
        </is>
      </c>
      <c r="G1386" t="inlineStr">
        <is>
          <t>water, deionised</t>
        </is>
      </c>
    </row>
    <row r="1387">
      <c r="A1387" t="inlineStr">
        <is>
          <t>market for tantalum powder, capacitor-grade</t>
        </is>
      </c>
      <c r="B1387">
        <v>0.0018834890967031814</v>
      </c>
      <c r="C1387" t="inlineStr">
        <is>
          <t>GLO</t>
        </is>
      </c>
      <c r="D1387" t="inlineStr">
        <is>
          <t>kilogram</t>
        </is>
      </c>
      <c r="F1387" t="inlineStr">
        <is>
          <t>technosphere</t>
        </is>
      </c>
      <c r="G1387" t="inlineStr">
        <is>
          <t>tantalum powder, capacitor-grade</t>
        </is>
      </c>
    </row>
    <row r="1388">
      <c r="A1388" t="inlineStr">
        <is>
          <t>market for argon, liquid</t>
        </is>
      </c>
      <c r="B1388">
        <v>0.01782281354481728</v>
      </c>
      <c r="C1388" t="inlineStr">
        <is>
          <t>RER</t>
        </is>
      </c>
      <c r="D1388" t="inlineStr">
        <is>
          <t>kilogram</t>
        </is>
      </c>
      <c r="F1388" t="inlineStr">
        <is>
          <t>technosphere</t>
        </is>
      </c>
      <c r="G1388" t="inlineStr">
        <is>
          <t>argon, liquid</t>
        </is>
      </c>
    </row>
    <row r="1389">
      <c r="A1389" t="inlineStr">
        <is>
          <t>market group for electricity, medium voltage</t>
        </is>
      </c>
      <c r="B1389">
        <v>6.762630714016732</v>
      </c>
      <c r="C1389" t="inlineStr">
        <is>
          <t>GLO</t>
        </is>
      </c>
      <c r="D1389" t="inlineStr">
        <is>
          <t>kilowatt hour</t>
        </is>
      </c>
      <c r="F1389" t="inlineStr">
        <is>
          <t>technosphere</t>
        </is>
      </c>
      <c r="G1389" t="inlineStr">
        <is>
          <t>electricity, medium voltage</t>
        </is>
      </c>
    </row>
    <row r="1390">
      <c r="A1390" t="inlineStr">
        <is>
          <t>market for refractory, basic, packed</t>
        </is>
      </c>
      <c r="B1390">
        <v>0.01</v>
      </c>
      <c r="C1390" t="inlineStr">
        <is>
          <t>GLO</t>
        </is>
      </c>
      <c r="D1390" t="inlineStr">
        <is>
          <t>kilogram</t>
        </is>
      </c>
      <c r="F1390" t="inlineStr">
        <is>
          <t>technosphere</t>
        </is>
      </c>
      <c r="G1390" t="inlineStr">
        <is>
          <t>refractory, basic, packed</t>
        </is>
      </c>
    </row>
    <row r="1391">
      <c r="A1391" t="inlineStr">
        <is>
          <t>market for hazardous waste, for underground deposit</t>
        </is>
      </c>
      <c r="B1391">
        <v>-0.9042583346313534</v>
      </c>
      <c r="C1391" t="inlineStr">
        <is>
          <t>RER</t>
        </is>
      </c>
      <c r="D1391" t="inlineStr">
        <is>
          <t>kilogram</t>
        </is>
      </c>
      <c r="F1391" t="inlineStr">
        <is>
          <t>technosphere</t>
        </is>
      </c>
      <c r="G1391" t="inlineStr">
        <is>
          <t>hazardous waste, for underground deposit</t>
        </is>
      </c>
    </row>
    <row r="1392">
      <c r="A1392" t="inlineStr">
        <is>
          <t>market for inert waste, for final disposal</t>
        </is>
      </c>
      <c r="B1392">
        <v>-0.01</v>
      </c>
      <c r="C1392" t="inlineStr">
        <is>
          <t>RoW</t>
        </is>
      </c>
      <c r="D1392" t="inlineStr">
        <is>
          <t>kilogram</t>
        </is>
      </c>
      <c r="F1392" t="inlineStr">
        <is>
          <t>technosphere</t>
        </is>
      </c>
      <c r="G1392" t="inlineStr">
        <is>
          <t>inert waste, for final disposal</t>
        </is>
      </c>
    </row>
    <row r="1393">
      <c r="A1393" t="inlineStr">
        <is>
          <t>market for wastewater, average</t>
        </is>
      </c>
      <c r="B1393">
        <v>-0.0006820818594946691</v>
      </c>
      <c r="C1393" t="inlineStr">
        <is>
          <t>RoW</t>
        </is>
      </c>
      <c r="D1393" t="inlineStr">
        <is>
          <t>cubic meter</t>
        </is>
      </c>
      <c r="F1393" t="inlineStr">
        <is>
          <t>technosphere</t>
        </is>
      </c>
      <c r="G1393" t="inlineStr">
        <is>
          <t>wastewater, average</t>
        </is>
      </c>
    </row>
    <row r="1394">
      <c r="A1394" t="inlineStr">
        <is>
          <t>Hydrogen fluoride</t>
        </is>
      </c>
      <c r="B1394">
        <v>0.0003713331035917181</v>
      </c>
      <c r="D1394" t="inlineStr">
        <is>
          <t>kilogram</t>
        </is>
      </c>
      <c r="E1394" t="inlineStr">
        <is>
          <t>air</t>
        </is>
      </c>
      <c r="F1394" t="inlineStr">
        <is>
          <t>biosphere</t>
        </is>
      </c>
    </row>
  </sheetData>
  <autoFilter ref="A1:T638" xr:uid="{00000000-0001-0000-0000-000000000000}"/>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07540C-5A98-C943-82C9-9BA357D77C9A}">
  <dimension ref="A1:F17"/>
  <sheetViews>
    <sheetView workbookViewId="0">
      <selection activeCell="D8" sqref="D8:E8"/>
    </sheetView>
  </sheetViews>
  <sheetFormatPr baseColWidth="10" defaultRowHeight="15" x14ac:dyDescent="0.2"/>
  <cols>
    <col min="1" max="1" width="23.83203125" bestFit="1" customWidth="1"/>
    <col min="2" max="3" width="9.1640625" bestFit="1" customWidth="1"/>
    <col min="4" max="4" width="7.1640625" bestFit="1" customWidth="1"/>
    <col min="5" max="5" width="13" customWidth="1"/>
    <col min="6" max="6" width="18.33203125" customWidth="1"/>
  </cols>
  <sheetData>
    <row r="1" spans="1:6" x14ac:dyDescent="0.2">
      <c r="A1" t="s">
        <v>434</v>
      </c>
    </row>
    <row r="2" spans="1:6" ht="16" thickBot="1" x14ac:dyDescent="0.25"/>
    <row r="3" spans="1:6" ht="16" thickBot="1" x14ac:dyDescent="0.25">
      <c r="A3" s="35"/>
      <c r="B3" s="36" t="s">
        <v>271</v>
      </c>
      <c r="C3" s="36" t="s">
        <v>393</v>
      </c>
      <c r="D3" s="36" t="s">
        <v>346</v>
      </c>
      <c r="E3" s="37" t="s">
        <v>347</v>
      </c>
      <c r="F3" s="36" t="s">
        <v>394</v>
      </c>
    </row>
    <row r="4" spans="1:6" ht="17" thickTop="1" thickBot="1" x14ac:dyDescent="0.25">
      <c r="A4" s="41" t="s">
        <v>427</v>
      </c>
      <c r="B4" s="39" t="s">
        <v>428</v>
      </c>
      <c r="C4" s="38" t="s">
        <v>430</v>
      </c>
      <c r="D4" s="56" t="s">
        <v>395</v>
      </c>
      <c r="E4" s="57"/>
      <c r="F4" s="39" t="s">
        <v>396</v>
      </c>
    </row>
    <row r="5" spans="1:6" ht="71" thickBot="1" x14ac:dyDescent="0.25">
      <c r="A5" s="46" t="s">
        <v>429</v>
      </c>
      <c r="B5" s="39">
        <v>7</v>
      </c>
      <c r="C5" s="38">
        <v>5.5</v>
      </c>
      <c r="D5" s="58">
        <v>2.5</v>
      </c>
      <c r="E5" s="59"/>
      <c r="F5" s="38" t="s">
        <v>397</v>
      </c>
    </row>
    <row r="6" spans="1:6" ht="29" thickBot="1" x14ac:dyDescent="0.25">
      <c r="A6" s="46" t="s">
        <v>398</v>
      </c>
      <c r="B6" s="49" t="s">
        <v>399</v>
      </c>
      <c r="C6" s="55"/>
      <c r="D6" s="55"/>
      <c r="E6" s="50"/>
      <c r="F6" s="40" t="s">
        <v>400</v>
      </c>
    </row>
    <row r="7" spans="1:6" ht="16" thickBot="1" x14ac:dyDescent="0.25">
      <c r="A7" s="46" t="s">
        <v>401</v>
      </c>
      <c r="B7" s="39">
        <v>27.5</v>
      </c>
      <c r="C7" s="38">
        <v>20</v>
      </c>
      <c r="D7" s="58">
        <v>20</v>
      </c>
      <c r="E7" s="59"/>
      <c r="F7" s="38" t="s">
        <v>396</v>
      </c>
    </row>
    <row r="8" spans="1:6" ht="43" thickBot="1" x14ac:dyDescent="0.25">
      <c r="A8" s="46" t="s">
        <v>402</v>
      </c>
      <c r="B8" s="39">
        <v>3</v>
      </c>
      <c r="C8" s="38">
        <v>3</v>
      </c>
      <c r="D8" s="58">
        <v>7</v>
      </c>
      <c r="E8" s="59"/>
      <c r="F8" s="38" t="s">
        <v>403</v>
      </c>
    </row>
    <row r="9" spans="1:6" ht="31" thickBot="1" x14ac:dyDescent="0.25">
      <c r="A9" s="46" t="s">
        <v>404</v>
      </c>
      <c r="B9" s="49" t="s">
        <v>431</v>
      </c>
      <c r="C9" s="55"/>
      <c r="D9" s="55"/>
      <c r="E9" s="50"/>
      <c r="F9" s="40" t="s">
        <v>405</v>
      </c>
    </row>
    <row r="10" spans="1:6" ht="71" thickBot="1" x14ac:dyDescent="0.25">
      <c r="A10" s="46" t="s">
        <v>406</v>
      </c>
      <c r="B10" s="39">
        <v>51.8</v>
      </c>
      <c r="C10" s="39">
        <v>54</v>
      </c>
      <c r="D10" s="39">
        <v>42.3</v>
      </c>
      <c r="E10" s="40">
        <v>39</v>
      </c>
      <c r="F10" s="38" t="s">
        <v>407</v>
      </c>
    </row>
    <row r="11" spans="1:6" ht="31" thickBot="1" x14ac:dyDescent="0.25">
      <c r="A11" s="46" t="s">
        <v>432</v>
      </c>
      <c r="B11" s="42">
        <v>0.64500000000000002</v>
      </c>
      <c r="C11" s="42">
        <v>0.61699999999999999</v>
      </c>
      <c r="D11" s="42">
        <v>0.78700000000000003</v>
      </c>
      <c r="E11" s="43">
        <v>0.85</v>
      </c>
      <c r="F11" s="38" t="s">
        <v>408</v>
      </c>
    </row>
    <row r="12" spans="1:6" ht="43" thickBot="1" x14ac:dyDescent="0.25">
      <c r="A12" s="46" t="s">
        <v>409</v>
      </c>
      <c r="B12" s="39"/>
      <c r="C12" s="44"/>
      <c r="D12" s="39"/>
      <c r="E12" s="40">
        <v>16</v>
      </c>
      <c r="F12" s="38" t="s">
        <v>433</v>
      </c>
    </row>
    <row r="13" spans="1:6" ht="17" thickBot="1" x14ac:dyDescent="0.25">
      <c r="A13" s="46" t="s">
        <v>411</v>
      </c>
      <c r="B13" s="39">
        <v>19.36</v>
      </c>
      <c r="C13" s="44">
        <v>18.52</v>
      </c>
      <c r="D13" s="49">
        <v>23.6</v>
      </c>
      <c r="E13" s="50"/>
      <c r="F13" s="38" t="s">
        <v>408</v>
      </c>
    </row>
    <row r="14" spans="1:6" ht="17" thickBot="1" x14ac:dyDescent="0.25">
      <c r="A14" s="46" t="s">
        <v>412</v>
      </c>
      <c r="B14" s="39">
        <v>3.7000000000000002E-3</v>
      </c>
      <c r="C14" s="45"/>
      <c r="D14" s="51"/>
      <c r="E14" s="52"/>
      <c r="F14" s="40" t="s">
        <v>413</v>
      </c>
    </row>
    <row r="15" spans="1:6" ht="16" thickBot="1" x14ac:dyDescent="0.25">
      <c r="A15" s="46" t="s">
        <v>414</v>
      </c>
      <c r="B15" s="39" t="s">
        <v>415</v>
      </c>
      <c r="C15" s="39" t="s">
        <v>416</v>
      </c>
      <c r="D15" s="49" t="s">
        <v>417</v>
      </c>
      <c r="E15" s="50"/>
      <c r="F15" s="38" t="s">
        <v>410</v>
      </c>
    </row>
    <row r="16" spans="1:6" ht="16" thickBot="1" x14ac:dyDescent="0.25">
      <c r="A16" s="46" t="s">
        <v>418</v>
      </c>
      <c r="B16" s="39" t="s">
        <v>419</v>
      </c>
      <c r="C16" s="39" t="s">
        <v>420</v>
      </c>
      <c r="D16" s="49" t="s">
        <v>421</v>
      </c>
      <c r="E16" s="50"/>
      <c r="F16" s="38" t="s">
        <v>396</v>
      </c>
    </row>
    <row r="17" spans="1:6" ht="113" thickBot="1" x14ac:dyDescent="0.25">
      <c r="A17" s="46" t="s">
        <v>422</v>
      </c>
      <c r="B17" s="39" t="s">
        <v>423</v>
      </c>
      <c r="C17" s="39" t="s">
        <v>424</v>
      </c>
      <c r="D17" s="53" t="s">
        <v>425</v>
      </c>
      <c r="E17" s="54"/>
      <c r="F17" s="40" t="s">
        <v>426</v>
      </c>
    </row>
  </sheetData>
  <mergeCells count="11">
    <mergeCell ref="B9:E9"/>
    <mergeCell ref="D4:E4"/>
    <mergeCell ref="D5:E5"/>
    <mergeCell ref="B6:E6"/>
    <mergeCell ref="D7:E7"/>
    <mergeCell ref="D8:E8"/>
    <mergeCell ref="D13:E13"/>
    <mergeCell ref="D14:E14"/>
    <mergeCell ref="D15:E15"/>
    <mergeCell ref="D16:E16"/>
    <mergeCell ref="D17:E17"/>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188E51-C45A-8344-B1B4-B0522AA36215}">
  <sheetPr filterMode="1"/>
  <dimension ref="A1:AG104"/>
  <sheetViews>
    <sheetView workbookViewId="0">
      <selection activeCell="P70" sqref="P70"/>
    </sheetView>
  </sheetViews>
  <sheetFormatPr baseColWidth="10" defaultRowHeight="15" x14ac:dyDescent="0.2"/>
  <cols>
    <col min="1" max="1" width="32.5" bestFit="1" customWidth="1"/>
    <col min="2" max="2" width="29.5" bestFit="1" customWidth="1"/>
    <col min="3" max="3" width="11" bestFit="1" customWidth="1"/>
    <col min="4" max="4" width="12.33203125" customWidth="1"/>
    <col min="5" max="5" width="8" customWidth="1"/>
    <col min="6" max="6" width="13" customWidth="1"/>
    <col min="7" max="7" width="12.33203125" customWidth="1"/>
    <col min="8" max="8" width="10" bestFit="1" customWidth="1"/>
    <col min="9" max="9" width="13.33203125" customWidth="1"/>
    <col min="10" max="10" width="9" bestFit="1" customWidth="1"/>
    <col min="11" max="11" width="9.5" bestFit="1" customWidth="1"/>
    <col min="12" max="12" width="13.83203125" customWidth="1"/>
    <col min="13" max="13" width="13" customWidth="1"/>
    <col min="14" max="15" width="13.83203125" customWidth="1"/>
    <col min="16" max="16" width="15" customWidth="1"/>
    <col min="17" max="17" width="10" bestFit="1" customWidth="1"/>
    <col min="18" max="18" width="10.6640625" bestFit="1" customWidth="1"/>
    <col min="20" max="21" width="9.1640625" bestFit="1" customWidth="1"/>
    <col min="22" max="22" width="14.6640625" customWidth="1"/>
    <col min="23" max="23" width="13.83203125" customWidth="1"/>
    <col min="24" max="24" width="14" customWidth="1"/>
    <col min="25" max="25" width="12.6640625" customWidth="1"/>
    <col min="27" max="28" width="9.6640625" bestFit="1" customWidth="1"/>
    <col min="31" max="31" width="9.5" bestFit="1" customWidth="1"/>
    <col min="32" max="33" width="9.6640625" bestFit="1" customWidth="1"/>
  </cols>
  <sheetData>
    <row r="1" spans="1:33" x14ac:dyDescent="0.2">
      <c r="A1" t="s">
        <v>434</v>
      </c>
    </row>
    <row r="3" spans="1:33" ht="68" x14ac:dyDescent="0.2">
      <c r="A3" s="30" t="s">
        <v>228</v>
      </c>
      <c r="B3" s="30" t="s">
        <v>229</v>
      </c>
      <c r="C3" s="30" t="s">
        <v>230</v>
      </c>
      <c r="D3" s="30" t="s">
        <v>231</v>
      </c>
      <c r="E3" s="30" t="s">
        <v>232</v>
      </c>
      <c r="F3" s="30" t="s">
        <v>233</v>
      </c>
      <c r="G3" s="30" t="s">
        <v>234</v>
      </c>
      <c r="H3" s="30" t="s">
        <v>235</v>
      </c>
      <c r="I3" s="30" t="s">
        <v>236</v>
      </c>
      <c r="J3" s="30" t="s">
        <v>237</v>
      </c>
      <c r="K3" s="30" t="s">
        <v>238</v>
      </c>
      <c r="L3" s="30" t="s">
        <v>239</v>
      </c>
      <c r="M3" s="30" t="s">
        <v>240</v>
      </c>
      <c r="N3" s="30" t="s">
        <v>241</v>
      </c>
      <c r="O3" s="30" t="s">
        <v>242</v>
      </c>
      <c r="P3" s="30" t="s">
        <v>243</v>
      </c>
      <c r="Q3" s="30" t="s">
        <v>244</v>
      </c>
      <c r="R3" s="30" t="s">
        <v>245</v>
      </c>
      <c r="S3" s="30" t="s">
        <v>246</v>
      </c>
      <c r="T3" s="30" t="s">
        <v>247</v>
      </c>
      <c r="U3" s="30" t="s">
        <v>248</v>
      </c>
      <c r="V3" s="30" t="s">
        <v>249</v>
      </c>
      <c r="W3" s="30" t="s">
        <v>250</v>
      </c>
      <c r="X3" s="30" t="s">
        <v>251</v>
      </c>
      <c r="Y3" s="30" t="s">
        <v>252</v>
      </c>
      <c r="Z3" s="30" t="s">
        <v>253</v>
      </c>
      <c r="AA3" s="30" t="s">
        <v>254</v>
      </c>
      <c r="AB3" s="30" t="s">
        <v>255</v>
      </c>
      <c r="AC3" s="30" t="s">
        <v>256</v>
      </c>
      <c r="AD3" s="30" t="s">
        <v>257</v>
      </c>
      <c r="AE3" s="30" t="s">
        <v>258</v>
      </c>
      <c r="AF3" s="30" t="s">
        <v>259</v>
      </c>
      <c r="AG3" s="30" t="s">
        <v>260</v>
      </c>
    </row>
    <row r="4" spans="1:33" x14ac:dyDescent="0.2">
      <c r="A4" t="s">
        <v>306</v>
      </c>
      <c r="B4" t="s">
        <v>330</v>
      </c>
      <c r="C4" t="s">
        <v>263</v>
      </c>
      <c r="D4">
        <v>40</v>
      </c>
      <c r="F4">
        <v>788</v>
      </c>
      <c r="H4" t="s">
        <v>272</v>
      </c>
      <c r="I4" s="31">
        <v>0.2512690355329949</v>
      </c>
      <c r="K4" t="s">
        <v>265</v>
      </c>
      <c r="M4">
        <v>-20</v>
      </c>
      <c r="N4">
        <v>40</v>
      </c>
      <c r="O4">
        <v>3.95</v>
      </c>
      <c r="P4" s="32">
        <f>((1000*O4)/0.08924)/1000</f>
        <v>44.262662483191392</v>
      </c>
      <c r="Q4" s="32"/>
      <c r="R4" s="33"/>
      <c r="T4">
        <v>75.900000000000006</v>
      </c>
      <c r="AA4">
        <v>4.8</v>
      </c>
      <c r="AB4">
        <v>30</v>
      </c>
      <c r="AC4">
        <v>17.96</v>
      </c>
      <c r="AD4">
        <v>199.5</v>
      </c>
      <c r="AE4" t="s">
        <v>265</v>
      </c>
    </row>
    <row r="5" spans="1:33" x14ac:dyDescent="0.2">
      <c r="A5" t="s">
        <v>306</v>
      </c>
      <c r="B5" t="s">
        <v>337</v>
      </c>
      <c r="C5" t="s">
        <v>263</v>
      </c>
      <c r="D5">
        <v>49</v>
      </c>
      <c r="F5">
        <v>988</v>
      </c>
      <c r="H5" t="s">
        <v>272</v>
      </c>
      <c r="I5" s="31">
        <v>0.20040485829959515</v>
      </c>
      <c r="K5" t="s">
        <v>265</v>
      </c>
      <c r="M5">
        <v>-20</v>
      </c>
      <c r="N5">
        <v>40</v>
      </c>
      <c r="O5">
        <v>3.95</v>
      </c>
      <c r="P5" s="32">
        <f>((1000*O5)/0.08924)/1000</f>
        <v>44.262662483191392</v>
      </c>
      <c r="Q5" s="32"/>
      <c r="R5" s="33"/>
      <c r="T5">
        <v>75.900000000000006</v>
      </c>
      <c r="AA5">
        <v>4.8</v>
      </c>
      <c r="AB5">
        <v>30</v>
      </c>
      <c r="AC5">
        <v>22.46</v>
      </c>
      <c r="AD5">
        <v>249.5</v>
      </c>
      <c r="AE5" t="s">
        <v>265</v>
      </c>
    </row>
    <row r="6" spans="1:33" hidden="1" x14ac:dyDescent="0.2">
      <c r="A6" t="s">
        <v>269</v>
      </c>
      <c r="B6" t="s">
        <v>270</v>
      </c>
      <c r="C6" t="s">
        <v>271</v>
      </c>
      <c r="F6">
        <v>2.4</v>
      </c>
      <c r="G6">
        <v>230</v>
      </c>
      <c r="H6" t="s">
        <v>272</v>
      </c>
      <c r="I6" s="31">
        <v>0.125</v>
      </c>
      <c r="J6">
        <v>3</v>
      </c>
      <c r="K6" t="s">
        <v>266</v>
      </c>
      <c r="M6">
        <v>5</v>
      </c>
      <c r="N6">
        <v>45</v>
      </c>
      <c r="O6">
        <v>4.8</v>
      </c>
      <c r="P6" s="32">
        <f>((1000*O6)/0.08924)/1000</f>
        <v>53.787539220080681</v>
      </c>
      <c r="Q6" s="32"/>
      <c r="R6" s="33"/>
      <c r="T6">
        <v>62.5</v>
      </c>
      <c r="V6">
        <v>20</v>
      </c>
      <c r="W6">
        <v>55</v>
      </c>
      <c r="X6">
        <v>20</v>
      </c>
      <c r="Y6">
        <v>30000</v>
      </c>
      <c r="AA6">
        <v>3</v>
      </c>
      <c r="AB6">
        <v>35</v>
      </c>
      <c r="AC6">
        <v>0.45</v>
      </c>
      <c r="AD6">
        <v>5</v>
      </c>
      <c r="AE6" t="s">
        <v>266</v>
      </c>
    </row>
    <row r="7" spans="1:33" hidden="1" x14ac:dyDescent="0.2">
      <c r="A7" t="s">
        <v>273</v>
      </c>
      <c r="B7" t="s">
        <v>274</v>
      </c>
      <c r="C7" t="s">
        <v>271</v>
      </c>
      <c r="F7">
        <v>3</v>
      </c>
      <c r="I7" s="31"/>
      <c r="R7" s="33"/>
      <c r="AB7">
        <v>1</v>
      </c>
      <c r="AC7">
        <v>0.04</v>
      </c>
      <c r="AD7">
        <v>0.4</v>
      </c>
      <c r="AE7" t="s">
        <v>266</v>
      </c>
    </row>
    <row r="8" spans="1:33" x14ac:dyDescent="0.2">
      <c r="A8" t="s">
        <v>306</v>
      </c>
      <c r="B8" t="s">
        <v>354</v>
      </c>
      <c r="C8" t="s">
        <v>263</v>
      </c>
      <c r="D8">
        <v>79</v>
      </c>
      <c r="F8">
        <v>1580</v>
      </c>
      <c r="H8" t="s">
        <v>272</v>
      </c>
      <c r="I8" s="31">
        <v>0.12531645569620253</v>
      </c>
      <c r="K8" t="s">
        <v>265</v>
      </c>
      <c r="M8">
        <v>-20</v>
      </c>
      <c r="N8">
        <v>40</v>
      </c>
      <c r="O8">
        <v>3.95</v>
      </c>
      <c r="P8" s="32">
        <f>((1000*O8)/0.08924)/1000</f>
        <v>44.262662483191392</v>
      </c>
      <c r="Q8" s="32"/>
      <c r="R8" s="33"/>
      <c r="T8">
        <v>75.900000000000006</v>
      </c>
      <c r="AA8">
        <v>4.8</v>
      </c>
      <c r="AB8">
        <v>30</v>
      </c>
      <c r="AC8">
        <v>35.92</v>
      </c>
      <c r="AD8">
        <v>399.1</v>
      </c>
      <c r="AE8" t="s">
        <v>265</v>
      </c>
    </row>
    <row r="9" spans="1:33" hidden="1" x14ac:dyDescent="0.2">
      <c r="A9" t="s">
        <v>273</v>
      </c>
      <c r="B9" t="s">
        <v>277</v>
      </c>
      <c r="C9" t="s">
        <v>271</v>
      </c>
      <c r="D9">
        <v>6</v>
      </c>
      <c r="F9">
        <v>9</v>
      </c>
      <c r="I9" s="31"/>
      <c r="R9" s="33"/>
      <c r="AB9">
        <v>2.5</v>
      </c>
      <c r="AC9">
        <v>0.14000000000000001</v>
      </c>
      <c r="AD9">
        <v>1.6</v>
      </c>
      <c r="AE9" t="s">
        <v>266</v>
      </c>
    </row>
    <row r="10" spans="1:33" hidden="1" x14ac:dyDescent="0.2">
      <c r="A10" t="s">
        <v>278</v>
      </c>
      <c r="B10" t="s">
        <v>279</v>
      </c>
      <c r="C10" t="s">
        <v>271</v>
      </c>
      <c r="D10">
        <v>1</v>
      </c>
      <c r="E10">
        <v>10</v>
      </c>
      <c r="F10">
        <v>10</v>
      </c>
      <c r="G10">
        <v>400</v>
      </c>
      <c r="H10" t="s">
        <v>280</v>
      </c>
      <c r="I10" s="31">
        <v>0.1</v>
      </c>
      <c r="J10">
        <v>3</v>
      </c>
      <c r="K10" t="s">
        <v>266</v>
      </c>
      <c r="L10">
        <v>8700</v>
      </c>
      <c r="M10">
        <v>5</v>
      </c>
      <c r="N10">
        <v>40</v>
      </c>
      <c r="O10">
        <v>4.8</v>
      </c>
      <c r="P10" s="32">
        <f t="shared" ref="P10:P16" si="0">((1000*O10)/0.08924)/1000</f>
        <v>53.787539220080681</v>
      </c>
      <c r="Q10" s="32"/>
      <c r="R10" s="33">
        <v>0.2</v>
      </c>
      <c r="T10">
        <v>62.5</v>
      </c>
      <c r="U10">
        <v>92.5</v>
      </c>
      <c r="V10">
        <v>20</v>
      </c>
      <c r="W10">
        <v>55</v>
      </c>
      <c r="X10">
        <v>2</v>
      </c>
      <c r="Y10">
        <v>35000</v>
      </c>
      <c r="Z10">
        <v>8760</v>
      </c>
      <c r="AA10">
        <v>3</v>
      </c>
      <c r="AB10">
        <v>35</v>
      </c>
      <c r="AC10">
        <v>0.18</v>
      </c>
      <c r="AD10">
        <v>2</v>
      </c>
      <c r="AE10" t="s">
        <v>266</v>
      </c>
      <c r="AF10">
        <v>5</v>
      </c>
      <c r="AG10">
        <v>35</v>
      </c>
    </row>
    <row r="11" spans="1:33" hidden="1" x14ac:dyDescent="0.2">
      <c r="A11" t="s">
        <v>278</v>
      </c>
      <c r="B11" t="s">
        <v>281</v>
      </c>
      <c r="C11" t="s">
        <v>271</v>
      </c>
      <c r="D11">
        <v>1</v>
      </c>
      <c r="E11">
        <v>10</v>
      </c>
      <c r="F11">
        <v>10</v>
      </c>
      <c r="G11">
        <v>400</v>
      </c>
      <c r="H11" t="s">
        <v>280</v>
      </c>
      <c r="I11" s="31">
        <v>0.1</v>
      </c>
      <c r="J11">
        <v>3</v>
      </c>
      <c r="K11" t="s">
        <v>266</v>
      </c>
      <c r="L11">
        <v>8700</v>
      </c>
      <c r="M11">
        <v>-25</v>
      </c>
      <c r="N11">
        <v>40</v>
      </c>
      <c r="O11">
        <v>4.8</v>
      </c>
      <c r="P11" s="32">
        <f t="shared" si="0"/>
        <v>53.787539220080681</v>
      </c>
      <c r="Q11" s="32"/>
      <c r="R11" s="33">
        <v>0.2</v>
      </c>
      <c r="T11">
        <v>62.5</v>
      </c>
      <c r="U11">
        <v>92.5</v>
      </c>
      <c r="V11">
        <v>20</v>
      </c>
      <c r="W11">
        <v>55</v>
      </c>
      <c r="X11">
        <v>2</v>
      </c>
      <c r="Y11">
        <v>35000</v>
      </c>
      <c r="Z11">
        <v>8760</v>
      </c>
      <c r="AA11">
        <v>3</v>
      </c>
      <c r="AB11">
        <v>35</v>
      </c>
      <c r="AC11">
        <v>0.18</v>
      </c>
      <c r="AD11">
        <v>2</v>
      </c>
      <c r="AE11" t="s">
        <v>266</v>
      </c>
      <c r="AF11">
        <v>5</v>
      </c>
      <c r="AG11">
        <v>35</v>
      </c>
    </row>
    <row r="12" spans="1:33" x14ac:dyDescent="0.2">
      <c r="A12" t="s">
        <v>306</v>
      </c>
      <c r="B12" t="s">
        <v>356</v>
      </c>
      <c r="C12" t="s">
        <v>263</v>
      </c>
      <c r="D12">
        <v>99</v>
      </c>
      <c r="F12">
        <v>1975</v>
      </c>
      <c r="H12" t="s">
        <v>272</v>
      </c>
      <c r="I12" s="31">
        <v>0.10025316455696202</v>
      </c>
      <c r="K12" t="s">
        <v>265</v>
      </c>
      <c r="M12">
        <v>-20</v>
      </c>
      <c r="N12">
        <v>40</v>
      </c>
      <c r="O12">
        <v>3.95</v>
      </c>
      <c r="P12" s="32">
        <f t="shared" si="0"/>
        <v>44.262662483191392</v>
      </c>
      <c r="Q12" s="32"/>
      <c r="R12" s="33"/>
      <c r="T12">
        <v>75.900000000000006</v>
      </c>
      <c r="AA12">
        <v>4.8</v>
      </c>
      <c r="AB12">
        <v>30</v>
      </c>
      <c r="AC12">
        <v>45</v>
      </c>
      <c r="AD12">
        <v>500</v>
      </c>
      <c r="AE12" t="s">
        <v>265</v>
      </c>
    </row>
    <row r="13" spans="1:33" x14ac:dyDescent="0.2">
      <c r="A13" t="s">
        <v>306</v>
      </c>
      <c r="B13" t="s">
        <v>373</v>
      </c>
      <c r="C13" t="s">
        <v>263</v>
      </c>
      <c r="D13">
        <v>215</v>
      </c>
      <c r="E13">
        <v>4300</v>
      </c>
      <c r="F13">
        <v>5375</v>
      </c>
      <c r="H13" t="s">
        <v>272</v>
      </c>
      <c r="I13" s="31"/>
      <c r="K13" t="s">
        <v>265</v>
      </c>
      <c r="M13">
        <v>5</v>
      </c>
      <c r="N13">
        <v>40</v>
      </c>
      <c r="O13">
        <v>4.3</v>
      </c>
      <c r="P13" s="32">
        <f t="shared" si="0"/>
        <v>48.184670551322277</v>
      </c>
      <c r="Q13" s="32"/>
      <c r="R13" s="33"/>
      <c r="T13">
        <v>69.8</v>
      </c>
      <c r="AA13">
        <v>4</v>
      </c>
      <c r="AB13">
        <v>30</v>
      </c>
      <c r="AC13">
        <v>90</v>
      </c>
      <c r="AD13">
        <v>1000</v>
      </c>
      <c r="AE13" t="s">
        <v>266</v>
      </c>
    </row>
    <row r="14" spans="1:33" x14ac:dyDescent="0.2">
      <c r="A14" t="s">
        <v>341</v>
      </c>
      <c r="B14" t="s">
        <v>342</v>
      </c>
      <c r="C14" t="s">
        <v>263</v>
      </c>
      <c r="D14">
        <v>50</v>
      </c>
      <c r="E14">
        <v>1000</v>
      </c>
      <c r="F14">
        <v>1000</v>
      </c>
      <c r="G14">
        <v>400</v>
      </c>
      <c r="H14" t="s">
        <v>280</v>
      </c>
      <c r="I14" s="31">
        <v>4.4999999999999998E-2</v>
      </c>
      <c r="J14">
        <v>30</v>
      </c>
      <c r="K14" t="s">
        <v>265</v>
      </c>
      <c r="L14">
        <v>8322</v>
      </c>
      <c r="M14">
        <v>-20</v>
      </c>
      <c r="N14">
        <v>40</v>
      </c>
      <c r="O14">
        <v>4.4000000000000004</v>
      </c>
      <c r="P14" s="32">
        <f t="shared" si="0"/>
        <v>49.305244285073961</v>
      </c>
      <c r="Q14" s="32"/>
      <c r="R14" s="33"/>
      <c r="S14">
        <v>60</v>
      </c>
      <c r="X14">
        <v>0.1</v>
      </c>
      <c r="AA14">
        <v>3.5</v>
      </c>
      <c r="AC14">
        <v>18</v>
      </c>
      <c r="AD14">
        <v>200</v>
      </c>
      <c r="AE14" t="s">
        <v>266</v>
      </c>
      <c r="AF14">
        <v>5</v>
      </c>
      <c r="AG14">
        <v>30</v>
      </c>
    </row>
    <row r="15" spans="1:33" hidden="1" x14ac:dyDescent="0.2">
      <c r="A15" t="s">
        <v>278</v>
      </c>
      <c r="B15" t="s">
        <v>285</v>
      </c>
      <c r="C15" t="s">
        <v>271</v>
      </c>
      <c r="D15">
        <v>1</v>
      </c>
      <c r="E15">
        <v>22</v>
      </c>
      <c r="F15">
        <v>22</v>
      </c>
      <c r="G15">
        <v>400</v>
      </c>
      <c r="H15" t="s">
        <v>280</v>
      </c>
      <c r="I15" s="31">
        <v>9.0909090909090912E-2</v>
      </c>
      <c r="J15">
        <v>3</v>
      </c>
      <c r="K15" t="s">
        <v>266</v>
      </c>
      <c r="L15">
        <v>8700</v>
      </c>
      <c r="M15">
        <v>5</v>
      </c>
      <c r="N15">
        <v>45</v>
      </c>
      <c r="O15">
        <v>4.8</v>
      </c>
      <c r="P15" s="32">
        <f t="shared" si="0"/>
        <v>53.787539220080681</v>
      </c>
      <c r="Q15" s="32"/>
      <c r="R15" s="33">
        <v>0.22727272727272727</v>
      </c>
      <c r="T15">
        <v>62.5</v>
      </c>
      <c r="U15">
        <v>92.5</v>
      </c>
      <c r="V15">
        <v>20</v>
      </c>
      <c r="W15">
        <v>55</v>
      </c>
      <c r="X15">
        <v>2</v>
      </c>
      <c r="Y15">
        <v>35000</v>
      </c>
      <c r="Z15">
        <v>8760</v>
      </c>
      <c r="AA15">
        <v>3</v>
      </c>
      <c r="AB15">
        <v>35</v>
      </c>
      <c r="AC15">
        <v>0.4</v>
      </c>
      <c r="AD15">
        <v>4.4000000000000004</v>
      </c>
      <c r="AE15" t="s">
        <v>266</v>
      </c>
      <c r="AF15">
        <v>5</v>
      </c>
      <c r="AG15">
        <v>35</v>
      </c>
    </row>
    <row r="16" spans="1:33" hidden="1" x14ac:dyDescent="0.2">
      <c r="A16" t="s">
        <v>278</v>
      </c>
      <c r="B16" t="s">
        <v>286</v>
      </c>
      <c r="C16" t="s">
        <v>271</v>
      </c>
      <c r="D16">
        <v>1</v>
      </c>
      <c r="E16">
        <v>22</v>
      </c>
      <c r="F16">
        <v>22</v>
      </c>
      <c r="G16">
        <v>400</v>
      </c>
      <c r="H16" t="s">
        <v>280</v>
      </c>
      <c r="I16" s="31">
        <v>9.0909090909090912E-2</v>
      </c>
      <c r="J16">
        <v>3</v>
      </c>
      <c r="K16" t="s">
        <v>266</v>
      </c>
      <c r="L16">
        <v>8700</v>
      </c>
      <c r="M16">
        <v>-25</v>
      </c>
      <c r="N16">
        <v>40</v>
      </c>
      <c r="O16">
        <v>4.8</v>
      </c>
      <c r="P16" s="32">
        <f t="shared" si="0"/>
        <v>53.787539220080681</v>
      </c>
      <c r="Q16" s="32"/>
      <c r="R16" s="33">
        <v>0.22727272727272727</v>
      </c>
      <c r="T16">
        <v>62.5</v>
      </c>
      <c r="U16">
        <v>92.5</v>
      </c>
      <c r="V16">
        <v>20</v>
      </c>
      <c r="W16">
        <v>55</v>
      </c>
      <c r="X16">
        <v>2</v>
      </c>
      <c r="Y16">
        <v>35000</v>
      </c>
      <c r="Z16">
        <v>8760</v>
      </c>
      <c r="AA16">
        <v>3</v>
      </c>
      <c r="AB16">
        <v>35</v>
      </c>
      <c r="AC16">
        <v>0.4</v>
      </c>
      <c r="AD16">
        <v>4.4000000000000004</v>
      </c>
      <c r="AE16" t="s">
        <v>266</v>
      </c>
      <c r="AF16">
        <v>5</v>
      </c>
      <c r="AG16">
        <v>35</v>
      </c>
    </row>
    <row r="17" spans="1:33" hidden="1" x14ac:dyDescent="0.2">
      <c r="A17" t="s">
        <v>273</v>
      </c>
      <c r="B17" t="s">
        <v>287</v>
      </c>
      <c r="C17" t="s">
        <v>271</v>
      </c>
      <c r="D17">
        <v>14</v>
      </c>
      <c r="F17">
        <v>26</v>
      </c>
      <c r="I17" s="31"/>
      <c r="R17" s="33"/>
      <c r="AB17">
        <v>2.5</v>
      </c>
      <c r="AC17">
        <v>0.4</v>
      </c>
      <c r="AD17">
        <v>4.4000000000000004</v>
      </c>
      <c r="AE17" t="s">
        <v>266</v>
      </c>
    </row>
    <row r="18" spans="1:33" x14ac:dyDescent="0.2">
      <c r="A18" t="s">
        <v>341</v>
      </c>
      <c r="B18" t="s">
        <v>371</v>
      </c>
      <c r="C18" t="s">
        <v>263</v>
      </c>
      <c r="D18">
        <v>250</v>
      </c>
      <c r="E18">
        <v>5000</v>
      </c>
      <c r="F18">
        <v>5000</v>
      </c>
      <c r="G18">
        <v>400</v>
      </c>
      <c r="H18" t="s">
        <v>280</v>
      </c>
      <c r="I18" s="31">
        <v>1.7999999999999999E-2</v>
      </c>
      <c r="J18">
        <v>30</v>
      </c>
      <c r="K18" t="s">
        <v>265</v>
      </c>
      <c r="L18">
        <v>8322</v>
      </c>
      <c r="M18">
        <v>-20</v>
      </c>
      <c r="N18">
        <v>40</v>
      </c>
      <c r="O18">
        <v>4.4000000000000004</v>
      </c>
      <c r="P18" s="32">
        <f t="shared" ref="P18:P25" si="1">((1000*O18)/0.08924)/1000</f>
        <v>49.305244285073961</v>
      </c>
      <c r="Q18" s="32"/>
      <c r="R18" s="33"/>
      <c r="S18">
        <v>60</v>
      </c>
      <c r="X18">
        <v>0.1</v>
      </c>
      <c r="AA18">
        <v>3.5</v>
      </c>
      <c r="AC18">
        <v>90</v>
      </c>
      <c r="AD18">
        <v>1</v>
      </c>
      <c r="AE18" t="s">
        <v>266</v>
      </c>
      <c r="AF18">
        <v>5</v>
      </c>
      <c r="AG18">
        <v>30</v>
      </c>
    </row>
    <row r="19" spans="1:33" x14ac:dyDescent="0.2">
      <c r="A19" t="s">
        <v>338</v>
      </c>
      <c r="B19" t="s">
        <v>339</v>
      </c>
      <c r="C19" t="s">
        <v>263</v>
      </c>
      <c r="F19">
        <v>1000</v>
      </c>
      <c r="G19">
        <v>400</v>
      </c>
      <c r="H19" t="s">
        <v>272</v>
      </c>
      <c r="I19" s="31"/>
      <c r="J19">
        <v>30</v>
      </c>
      <c r="M19">
        <v>-20</v>
      </c>
      <c r="N19">
        <v>40</v>
      </c>
      <c r="O19">
        <v>4.49</v>
      </c>
      <c r="P19" s="32">
        <f t="shared" si="1"/>
        <v>50.313760645450472</v>
      </c>
      <c r="Q19" s="32"/>
      <c r="R19" s="33"/>
      <c r="T19">
        <v>66.8</v>
      </c>
      <c r="Y19">
        <v>80000</v>
      </c>
      <c r="AA19">
        <v>5</v>
      </c>
      <c r="AB19">
        <v>40</v>
      </c>
      <c r="AC19">
        <v>18</v>
      </c>
      <c r="AD19">
        <v>200</v>
      </c>
    </row>
    <row r="20" spans="1:33" x14ac:dyDescent="0.2">
      <c r="A20" t="s">
        <v>357</v>
      </c>
      <c r="B20" t="s">
        <v>358</v>
      </c>
      <c r="C20" t="s">
        <v>263</v>
      </c>
      <c r="D20">
        <v>200</v>
      </c>
      <c r="E20">
        <v>2000</v>
      </c>
      <c r="F20">
        <v>2000</v>
      </c>
      <c r="G20">
        <v>400</v>
      </c>
      <c r="H20" t="s">
        <v>272</v>
      </c>
      <c r="I20" s="31">
        <v>0.15</v>
      </c>
      <c r="J20">
        <v>1</v>
      </c>
      <c r="K20" t="s">
        <v>265</v>
      </c>
      <c r="L20">
        <v>8600</v>
      </c>
      <c r="M20">
        <v>-20</v>
      </c>
      <c r="N20">
        <v>35</v>
      </c>
      <c r="O20">
        <v>4.5</v>
      </c>
      <c r="P20" s="32">
        <f t="shared" si="1"/>
        <v>50.425818018825638</v>
      </c>
      <c r="Q20" s="32"/>
      <c r="R20" s="33"/>
      <c r="T20">
        <v>66.7</v>
      </c>
      <c r="Y20">
        <v>80000</v>
      </c>
      <c r="AA20">
        <v>5</v>
      </c>
      <c r="AB20">
        <v>35</v>
      </c>
      <c r="AC20">
        <v>36</v>
      </c>
      <c r="AD20">
        <v>400</v>
      </c>
      <c r="AE20" t="s">
        <v>265</v>
      </c>
    </row>
    <row r="21" spans="1:33" x14ac:dyDescent="0.2">
      <c r="A21" t="s">
        <v>357</v>
      </c>
      <c r="B21" t="s">
        <v>367</v>
      </c>
      <c r="C21" t="s">
        <v>263</v>
      </c>
      <c r="D21">
        <v>300</v>
      </c>
      <c r="E21">
        <v>3000</v>
      </c>
      <c r="F21">
        <v>3000</v>
      </c>
      <c r="G21">
        <v>400</v>
      </c>
      <c r="H21" t="s">
        <v>272</v>
      </c>
      <c r="I21" s="31">
        <v>0.1</v>
      </c>
      <c r="J21">
        <v>1</v>
      </c>
      <c r="K21" t="s">
        <v>265</v>
      </c>
      <c r="L21">
        <v>8600</v>
      </c>
      <c r="M21">
        <v>-20</v>
      </c>
      <c r="N21">
        <v>35</v>
      </c>
      <c r="O21">
        <v>4.5</v>
      </c>
      <c r="P21" s="32">
        <f t="shared" si="1"/>
        <v>50.425818018825638</v>
      </c>
      <c r="Q21" s="32"/>
      <c r="R21" s="33"/>
      <c r="T21">
        <v>66.7</v>
      </c>
      <c r="Y21">
        <v>80000</v>
      </c>
      <c r="AA21">
        <v>5</v>
      </c>
      <c r="AB21">
        <v>35</v>
      </c>
      <c r="AC21">
        <v>54</v>
      </c>
      <c r="AD21">
        <v>600</v>
      </c>
      <c r="AE21" t="s">
        <v>265</v>
      </c>
    </row>
    <row r="22" spans="1:33" hidden="1" x14ac:dyDescent="0.2">
      <c r="A22" t="s">
        <v>278</v>
      </c>
      <c r="B22" t="s">
        <v>293</v>
      </c>
      <c r="C22" t="s">
        <v>271</v>
      </c>
      <c r="D22">
        <v>1</v>
      </c>
      <c r="E22">
        <v>43</v>
      </c>
      <c r="F22">
        <v>43</v>
      </c>
      <c r="G22">
        <v>400</v>
      </c>
      <c r="H22" t="s">
        <v>280</v>
      </c>
      <c r="I22" s="31">
        <v>9.3023255813953487E-2</v>
      </c>
      <c r="J22">
        <v>3</v>
      </c>
      <c r="K22" t="s">
        <v>266</v>
      </c>
      <c r="L22">
        <v>8700</v>
      </c>
      <c r="M22">
        <v>5</v>
      </c>
      <c r="N22">
        <v>45</v>
      </c>
      <c r="O22">
        <v>4.8</v>
      </c>
      <c r="P22" s="32">
        <f t="shared" si="1"/>
        <v>53.787539220080681</v>
      </c>
      <c r="Q22" s="32"/>
      <c r="R22" s="33">
        <v>0.2558139534883721</v>
      </c>
      <c r="T22">
        <v>62.5</v>
      </c>
      <c r="U22">
        <v>92.5</v>
      </c>
      <c r="V22">
        <v>20</v>
      </c>
      <c r="W22">
        <v>55</v>
      </c>
      <c r="X22">
        <v>2</v>
      </c>
      <c r="Y22">
        <v>35000</v>
      </c>
      <c r="Z22">
        <v>8760</v>
      </c>
      <c r="AA22">
        <v>3</v>
      </c>
      <c r="AB22">
        <v>35</v>
      </c>
      <c r="AC22">
        <v>0.8</v>
      </c>
      <c r="AD22">
        <v>8.9</v>
      </c>
      <c r="AE22" t="s">
        <v>266</v>
      </c>
      <c r="AF22">
        <v>5</v>
      </c>
      <c r="AG22">
        <v>35</v>
      </c>
    </row>
    <row r="23" spans="1:33" hidden="1" x14ac:dyDescent="0.2">
      <c r="A23" t="s">
        <v>278</v>
      </c>
      <c r="B23" t="s">
        <v>294</v>
      </c>
      <c r="C23" t="s">
        <v>271</v>
      </c>
      <c r="D23">
        <v>1</v>
      </c>
      <c r="E23">
        <v>43</v>
      </c>
      <c r="F23">
        <v>43</v>
      </c>
      <c r="G23">
        <v>400</v>
      </c>
      <c r="H23" t="s">
        <v>280</v>
      </c>
      <c r="I23" s="31">
        <v>9.3023255813953487E-2</v>
      </c>
      <c r="J23">
        <v>3</v>
      </c>
      <c r="K23" t="s">
        <v>266</v>
      </c>
      <c r="L23">
        <v>8700</v>
      </c>
      <c r="M23">
        <v>-25</v>
      </c>
      <c r="N23">
        <v>40</v>
      </c>
      <c r="O23">
        <v>4.8</v>
      </c>
      <c r="P23" s="32">
        <f t="shared" si="1"/>
        <v>53.787539220080681</v>
      </c>
      <c r="Q23" s="32"/>
      <c r="R23" s="33">
        <v>0.2558139534883721</v>
      </c>
      <c r="T23">
        <v>62.5</v>
      </c>
      <c r="U23">
        <v>92.5</v>
      </c>
      <c r="V23">
        <v>20</v>
      </c>
      <c r="W23">
        <v>55</v>
      </c>
      <c r="X23">
        <v>2</v>
      </c>
      <c r="Y23">
        <v>35000</v>
      </c>
      <c r="Z23">
        <v>8760</v>
      </c>
      <c r="AA23">
        <v>3</v>
      </c>
      <c r="AB23">
        <v>35</v>
      </c>
      <c r="AC23">
        <v>0.8</v>
      </c>
      <c r="AD23">
        <v>8.9</v>
      </c>
      <c r="AE23" t="s">
        <v>266</v>
      </c>
      <c r="AF23">
        <v>5</v>
      </c>
      <c r="AG23">
        <v>35</v>
      </c>
    </row>
    <row r="24" spans="1:33" hidden="1" x14ac:dyDescent="0.2">
      <c r="A24" t="s">
        <v>273</v>
      </c>
      <c r="B24" t="s">
        <v>295</v>
      </c>
      <c r="C24" t="s">
        <v>271</v>
      </c>
      <c r="F24">
        <v>50</v>
      </c>
      <c r="H24" t="s">
        <v>264</v>
      </c>
      <c r="I24" s="31"/>
      <c r="O24">
        <v>4.5</v>
      </c>
      <c r="P24" s="32">
        <f t="shared" si="1"/>
        <v>50.425818018825638</v>
      </c>
      <c r="Q24" s="32"/>
      <c r="R24" s="33"/>
      <c r="T24">
        <v>66.7</v>
      </c>
      <c r="AB24">
        <v>30</v>
      </c>
      <c r="AC24">
        <v>0.9</v>
      </c>
      <c r="AD24">
        <v>10</v>
      </c>
    </row>
    <row r="25" spans="1:33" x14ac:dyDescent="0.2">
      <c r="A25" t="s">
        <v>357</v>
      </c>
      <c r="B25" t="s">
        <v>368</v>
      </c>
      <c r="C25" t="s">
        <v>263</v>
      </c>
      <c r="D25">
        <v>400</v>
      </c>
      <c r="E25">
        <v>4000</v>
      </c>
      <c r="F25">
        <v>4000</v>
      </c>
      <c r="G25">
        <v>400</v>
      </c>
      <c r="H25" t="s">
        <v>272</v>
      </c>
      <c r="I25" s="31">
        <v>0.1</v>
      </c>
      <c r="J25">
        <v>1</v>
      </c>
      <c r="K25" t="s">
        <v>265</v>
      </c>
      <c r="L25">
        <v>8600</v>
      </c>
      <c r="M25">
        <v>-20</v>
      </c>
      <c r="N25">
        <v>35</v>
      </c>
      <c r="O25">
        <v>4.5</v>
      </c>
      <c r="P25" s="32">
        <f t="shared" si="1"/>
        <v>50.425818018825638</v>
      </c>
      <c r="Q25" s="32"/>
      <c r="R25" s="33"/>
      <c r="T25">
        <v>66.7</v>
      </c>
      <c r="Y25">
        <v>80000</v>
      </c>
      <c r="AA25">
        <v>5</v>
      </c>
      <c r="AB25">
        <v>35</v>
      </c>
      <c r="AC25">
        <v>72</v>
      </c>
      <c r="AD25">
        <v>800</v>
      </c>
      <c r="AE25" t="s">
        <v>265</v>
      </c>
    </row>
    <row r="26" spans="1:33" hidden="1" x14ac:dyDescent="0.2">
      <c r="A26" t="s">
        <v>273</v>
      </c>
      <c r="B26" t="s">
        <v>298</v>
      </c>
      <c r="C26" t="s">
        <v>271</v>
      </c>
      <c r="D26">
        <v>18</v>
      </c>
      <c r="F26">
        <v>60</v>
      </c>
      <c r="I26" s="31"/>
      <c r="R26" s="33"/>
      <c r="AB26">
        <v>8</v>
      </c>
      <c r="AC26">
        <v>0.9</v>
      </c>
      <c r="AD26">
        <v>10</v>
      </c>
      <c r="AE26" t="s">
        <v>266</v>
      </c>
    </row>
    <row r="27" spans="1:33" hidden="1" x14ac:dyDescent="0.2">
      <c r="A27" t="s">
        <v>278</v>
      </c>
      <c r="B27" t="s">
        <v>299</v>
      </c>
      <c r="C27" t="s">
        <v>271</v>
      </c>
      <c r="D27">
        <v>1</v>
      </c>
      <c r="E27">
        <v>86</v>
      </c>
      <c r="F27">
        <v>86</v>
      </c>
      <c r="G27">
        <v>400</v>
      </c>
      <c r="H27" t="s">
        <v>280</v>
      </c>
      <c r="I27" s="31">
        <v>9.3023255813953487E-2</v>
      </c>
      <c r="J27">
        <v>3</v>
      </c>
      <c r="K27" t="s">
        <v>266</v>
      </c>
      <c r="L27">
        <v>8700</v>
      </c>
      <c r="M27">
        <v>5</v>
      </c>
      <c r="N27">
        <v>45</v>
      </c>
      <c r="O27">
        <v>4.8</v>
      </c>
      <c r="P27" s="32">
        <f>((1000*O27)/0.08924)/1000</f>
        <v>53.787539220080681</v>
      </c>
      <c r="Q27" s="32"/>
      <c r="R27" s="33">
        <v>0.2558139534883721</v>
      </c>
      <c r="T27">
        <v>62.5</v>
      </c>
      <c r="U27">
        <v>92.5</v>
      </c>
      <c r="V27">
        <v>20</v>
      </c>
      <c r="W27">
        <v>55</v>
      </c>
      <c r="X27">
        <v>2</v>
      </c>
      <c r="Y27">
        <v>35000</v>
      </c>
      <c r="Z27">
        <v>8760</v>
      </c>
      <c r="AA27">
        <v>3</v>
      </c>
      <c r="AB27">
        <v>35</v>
      </c>
      <c r="AC27">
        <v>1.6</v>
      </c>
      <c r="AD27">
        <v>17.8</v>
      </c>
      <c r="AE27" t="s">
        <v>266</v>
      </c>
      <c r="AF27">
        <v>5</v>
      </c>
      <c r="AG27">
        <v>35</v>
      </c>
    </row>
    <row r="28" spans="1:33" hidden="1" x14ac:dyDescent="0.2">
      <c r="A28" t="s">
        <v>278</v>
      </c>
      <c r="B28" t="s">
        <v>300</v>
      </c>
      <c r="C28" t="s">
        <v>271</v>
      </c>
      <c r="D28">
        <v>1</v>
      </c>
      <c r="E28">
        <v>86</v>
      </c>
      <c r="F28">
        <v>86</v>
      </c>
      <c r="G28">
        <v>400</v>
      </c>
      <c r="H28" t="s">
        <v>280</v>
      </c>
      <c r="I28" s="31">
        <v>9.3023255813953487E-2</v>
      </c>
      <c r="J28">
        <v>3</v>
      </c>
      <c r="K28" t="s">
        <v>266</v>
      </c>
      <c r="L28">
        <v>8700</v>
      </c>
      <c r="M28">
        <v>-25</v>
      </c>
      <c r="N28">
        <v>40</v>
      </c>
      <c r="O28">
        <v>4.8</v>
      </c>
      <c r="P28" s="32">
        <f>((1000*O28)/0.08924)/1000</f>
        <v>53.787539220080681</v>
      </c>
      <c r="Q28" s="32"/>
      <c r="R28" s="33">
        <v>0.2558139534883721</v>
      </c>
      <c r="T28">
        <v>62.5</v>
      </c>
      <c r="U28">
        <v>92.5</v>
      </c>
      <c r="V28">
        <v>20</v>
      </c>
      <c r="W28">
        <v>55</v>
      </c>
      <c r="X28">
        <v>2</v>
      </c>
      <c r="Y28">
        <v>35000</v>
      </c>
      <c r="Z28">
        <v>8760</v>
      </c>
      <c r="AA28">
        <v>3</v>
      </c>
      <c r="AB28">
        <v>35</v>
      </c>
      <c r="AC28">
        <v>1.6</v>
      </c>
      <c r="AD28">
        <v>17.8</v>
      </c>
      <c r="AE28" t="s">
        <v>266</v>
      </c>
      <c r="AF28">
        <v>5</v>
      </c>
      <c r="AG28">
        <v>35</v>
      </c>
    </row>
    <row r="29" spans="1:33" hidden="1" x14ac:dyDescent="0.2">
      <c r="A29" t="s">
        <v>273</v>
      </c>
      <c r="B29" t="s">
        <v>301</v>
      </c>
      <c r="C29" t="s">
        <v>271</v>
      </c>
      <c r="F29">
        <v>100</v>
      </c>
      <c r="H29" t="s">
        <v>264</v>
      </c>
      <c r="I29" s="31"/>
      <c r="O29">
        <v>4.5</v>
      </c>
      <c r="P29" s="32">
        <f>((1000*O29)/0.08924)/1000</f>
        <v>50.425818018825638</v>
      </c>
      <c r="Q29" s="32"/>
      <c r="R29" s="33"/>
      <c r="T29">
        <v>66.7</v>
      </c>
      <c r="AB29">
        <v>30</v>
      </c>
      <c r="AC29">
        <v>1.8</v>
      </c>
      <c r="AD29">
        <v>20</v>
      </c>
    </row>
    <row r="30" spans="1:33" x14ac:dyDescent="0.2">
      <c r="A30" t="s">
        <v>357</v>
      </c>
      <c r="B30" t="s">
        <v>370</v>
      </c>
      <c r="C30" t="s">
        <v>263</v>
      </c>
      <c r="D30">
        <v>500</v>
      </c>
      <c r="E30">
        <v>5000</v>
      </c>
      <c r="F30">
        <v>5000</v>
      </c>
      <c r="G30">
        <v>400</v>
      </c>
      <c r="H30" t="s">
        <v>272</v>
      </c>
      <c r="I30" s="31">
        <v>0.08</v>
      </c>
      <c r="J30">
        <v>1</v>
      </c>
      <c r="K30" t="s">
        <v>265</v>
      </c>
      <c r="L30">
        <v>8600</v>
      </c>
      <c r="M30">
        <v>-20</v>
      </c>
      <c r="N30">
        <v>35</v>
      </c>
      <c r="O30">
        <v>4.5</v>
      </c>
      <c r="P30" s="32">
        <f>((1000*O30)/0.08924)/1000</f>
        <v>50.425818018825638</v>
      </c>
      <c r="Q30" s="32"/>
      <c r="R30" s="33"/>
      <c r="T30">
        <v>66.7</v>
      </c>
      <c r="Y30">
        <v>80000</v>
      </c>
      <c r="AA30">
        <v>5</v>
      </c>
      <c r="AB30">
        <v>35</v>
      </c>
      <c r="AC30">
        <v>90</v>
      </c>
      <c r="AD30">
        <v>1000</v>
      </c>
      <c r="AE30" t="s">
        <v>265</v>
      </c>
    </row>
    <row r="31" spans="1:33" x14ac:dyDescent="0.2">
      <c r="A31" t="s">
        <v>289</v>
      </c>
      <c r="B31" t="s">
        <v>305</v>
      </c>
      <c r="C31" t="s">
        <v>263</v>
      </c>
      <c r="D31">
        <v>10</v>
      </c>
      <c r="E31">
        <v>100</v>
      </c>
      <c r="F31">
        <v>110</v>
      </c>
      <c r="G31">
        <v>400</v>
      </c>
      <c r="H31" t="s">
        <v>272</v>
      </c>
      <c r="I31" s="31">
        <v>0.13636363636363635</v>
      </c>
      <c r="J31">
        <v>1</v>
      </c>
      <c r="K31" t="s">
        <v>265</v>
      </c>
      <c r="L31">
        <v>8410</v>
      </c>
      <c r="M31">
        <v>-20</v>
      </c>
      <c r="N31">
        <v>40</v>
      </c>
      <c r="O31">
        <v>4.67</v>
      </c>
      <c r="P31" s="32">
        <f>((1000*O31)/0.08924)/1000</f>
        <v>52.330793366203501</v>
      </c>
      <c r="Q31" s="32"/>
      <c r="R31" s="33"/>
      <c r="T31">
        <v>64.2</v>
      </c>
      <c r="V31">
        <v>5</v>
      </c>
      <c r="W31">
        <v>70</v>
      </c>
      <c r="X31">
        <v>1</v>
      </c>
      <c r="Y31">
        <v>80000</v>
      </c>
      <c r="AA31">
        <v>3.5</v>
      </c>
      <c r="AB31">
        <v>40</v>
      </c>
      <c r="AC31">
        <v>1.8</v>
      </c>
      <c r="AD31">
        <v>20</v>
      </c>
      <c r="AE31" t="s">
        <v>265</v>
      </c>
    </row>
    <row r="32" spans="1:33" x14ac:dyDescent="0.2">
      <c r="A32" t="s">
        <v>318</v>
      </c>
      <c r="B32" t="s">
        <v>340</v>
      </c>
      <c r="C32" t="s">
        <v>263</v>
      </c>
      <c r="F32">
        <v>1000</v>
      </c>
      <c r="G32">
        <v>400</v>
      </c>
      <c r="I32" s="31">
        <v>5.28E-2</v>
      </c>
      <c r="J32">
        <v>30</v>
      </c>
      <c r="M32">
        <v>-20</v>
      </c>
      <c r="N32">
        <v>40</v>
      </c>
      <c r="O32">
        <v>4.7</v>
      </c>
      <c r="P32">
        <v>53</v>
      </c>
      <c r="R32" s="33">
        <v>0.17</v>
      </c>
      <c r="S32">
        <v>57</v>
      </c>
      <c r="T32">
        <v>62.9</v>
      </c>
      <c r="U32">
        <v>90</v>
      </c>
      <c r="AA32">
        <v>5</v>
      </c>
      <c r="AB32">
        <v>30</v>
      </c>
      <c r="AD32">
        <v>200</v>
      </c>
    </row>
    <row r="33" spans="1:33" hidden="1" x14ac:dyDescent="0.2">
      <c r="A33" t="s">
        <v>306</v>
      </c>
      <c r="B33" t="s">
        <v>307</v>
      </c>
      <c r="C33" t="s">
        <v>271</v>
      </c>
      <c r="D33">
        <v>46</v>
      </c>
      <c r="F33">
        <v>115</v>
      </c>
      <c r="H33" t="s">
        <v>272</v>
      </c>
      <c r="I33" s="31">
        <v>0.46956521739130436</v>
      </c>
      <c r="K33" t="s">
        <v>265</v>
      </c>
      <c r="M33">
        <v>-20</v>
      </c>
      <c r="N33">
        <v>40</v>
      </c>
      <c r="O33">
        <v>4.9000000000000004</v>
      </c>
      <c r="P33" s="32">
        <f t="shared" ref="P33:P41" si="2">((1000*O33)/0.08924)/1000</f>
        <v>54.908112953832365</v>
      </c>
      <c r="Q33" s="32"/>
      <c r="R33" s="33"/>
      <c r="AA33">
        <v>4.8</v>
      </c>
      <c r="AB33">
        <v>10</v>
      </c>
      <c r="AC33">
        <v>0.88</v>
      </c>
      <c r="AD33">
        <v>9.6999999999999993</v>
      </c>
      <c r="AE33" t="s">
        <v>265</v>
      </c>
    </row>
    <row r="34" spans="1:33" x14ac:dyDescent="0.2">
      <c r="A34" t="s">
        <v>296</v>
      </c>
      <c r="B34" t="s">
        <v>297</v>
      </c>
      <c r="C34" t="s">
        <v>263</v>
      </c>
      <c r="D34">
        <v>10</v>
      </c>
      <c r="E34">
        <v>50</v>
      </c>
      <c r="F34">
        <v>60</v>
      </c>
      <c r="G34">
        <v>400</v>
      </c>
      <c r="H34" t="s">
        <v>280</v>
      </c>
      <c r="I34" s="31">
        <v>0.11666666666666667</v>
      </c>
      <c r="J34">
        <v>15</v>
      </c>
      <c r="K34" t="s">
        <v>265</v>
      </c>
      <c r="L34">
        <v>8650</v>
      </c>
      <c r="M34">
        <v>-40</v>
      </c>
      <c r="N34">
        <v>35</v>
      </c>
      <c r="O34">
        <v>4.8</v>
      </c>
      <c r="P34" s="32">
        <f t="shared" si="2"/>
        <v>53.787539220080681</v>
      </c>
      <c r="Q34" s="32"/>
      <c r="R34" s="33">
        <v>0.16666666666666666</v>
      </c>
      <c r="S34">
        <v>62</v>
      </c>
      <c r="T34">
        <v>62.5</v>
      </c>
      <c r="V34">
        <v>25</v>
      </c>
      <c r="W34">
        <v>75</v>
      </c>
      <c r="X34">
        <v>0.1</v>
      </c>
      <c r="Y34">
        <v>80000</v>
      </c>
      <c r="Z34">
        <v>8600</v>
      </c>
      <c r="AA34">
        <v>3.8</v>
      </c>
      <c r="AB34">
        <v>40</v>
      </c>
      <c r="AC34">
        <v>0.89</v>
      </c>
      <c r="AD34">
        <v>9.9</v>
      </c>
      <c r="AE34" t="s">
        <v>265</v>
      </c>
      <c r="AF34">
        <v>5</v>
      </c>
      <c r="AG34">
        <v>40</v>
      </c>
    </row>
    <row r="35" spans="1:33" x14ac:dyDescent="0.2">
      <c r="A35" t="s">
        <v>296</v>
      </c>
      <c r="B35" t="s">
        <v>308</v>
      </c>
      <c r="C35" t="s">
        <v>263</v>
      </c>
      <c r="D35">
        <v>20</v>
      </c>
      <c r="E35">
        <v>100</v>
      </c>
      <c r="F35">
        <v>120</v>
      </c>
      <c r="G35">
        <v>400</v>
      </c>
      <c r="H35" t="s">
        <v>280</v>
      </c>
      <c r="I35" s="31">
        <v>5.8333333333333334E-2</v>
      </c>
      <c r="J35">
        <v>15</v>
      </c>
      <c r="K35" t="s">
        <v>265</v>
      </c>
      <c r="L35">
        <v>8650</v>
      </c>
      <c r="M35">
        <v>-40</v>
      </c>
      <c r="N35">
        <v>35</v>
      </c>
      <c r="O35">
        <v>4.8</v>
      </c>
      <c r="P35" s="32">
        <f t="shared" si="2"/>
        <v>53.787539220080681</v>
      </c>
      <c r="Q35" s="32"/>
      <c r="R35" s="33">
        <v>0.16666666666666666</v>
      </c>
      <c r="S35">
        <v>62</v>
      </c>
      <c r="T35">
        <v>62.5</v>
      </c>
      <c r="V35">
        <v>25</v>
      </c>
      <c r="W35">
        <v>75</v>
      </c>
      <c r="X35">
        <v>0.1</v>
      </c>
      <c r="Y35">
        <v>80000</v>
      </c>
      <c r="Z35">
        <v>8600</v>
      </c>
      <c r="AA35">
        <v>3.8</v>
      </c>
      <c r="AB35">
        <v>40</v>
      </c>
      <c r="AC35">
        <v>1.78</v>
      </c>
      <c r="AD35">
        <v>19.8</v>
      </c>
      <c r="AE35" t="s">
        <v>265</v>
      </c>
      <c r="AF35">
        <v>5</v>
      </c>
      <c r="AG35">
        <v>40</v>
      </c>
    </row>
    <row r="36" spans="1:33" hidden="1" x14ac:dyDescent="0.2">
      <c r="A36" t="s">
        <v>306</v>
      </c>
      <c r="B36" t="s">
        <v>310</v>
      </c>
      <c r="C36" t="s">
        <v>271</v>
      </c>
      <c r="D36">
        <v>62</v>
      </c>
      <c r="F36">
        <v>155</v>
      </c>
      <c r="H36" t="s">
        <v>272</v>
      </c>
      <c r="I36" s="31">
        <v>0.34838709677419355</v>
      </c>
      <c r="K36" t="s">
        <v>265</v>
      </c>
      <c r="M36">
        <v>-20</v>
      </c>
      <c r="N36">
        <v>40</v>
      </c>
      <c r="O36">
        <v>4.9000000000000004</v>
      </c>
      <c r="P36" s="32">
        <f t="shared" si="2"/>
        <v>54.908112953832365</v>
      </c>
      <c r="Q36" s="32"/>
      <c r="R36" s="33"/>
      <c r="AA36">
        <v>4.8</v>
      </c>
      <c r="AB36">
        <v>10</v>
      </c>
      <c r="AC36">
        <v>1.33</v>
      </c>
      <c r="AD36">
        <v>14.8</v>
      </c>
      <c r="AE36" t="s">
        <v>265</v>
      </c>
    </row>
    <row r="37" spans="1:33" hidden="1" x14ac:dyDescent="0.2">
      <c r="A37" t="s">
        <v>278</v>
      </c>
      <c r="B37" t="s">
        <v>311</v>
      </c>
      <c r="C37" t="s">
        <v>271</v>
      </c>
      <c r="D37">
        <v>1</v>
      </c>
      <c r="E37">
        <v>173</v>
      </c>
      <c r="F37">
        <v>173</v>
      </c>
      <c r="G37">
        <v>400</v>
      </c>
      <c r="H37" t="s">
        <v>280</v>
      </c>
      <c r="I37" s="31">
        <v>9.2485549132947972E-2</v>
      </c>
      <c r="J37">
        <v>3</v>
      </c>
      <c r="K37" t="s">
        <v>266</v>
      </c>
      <c r="L37">
        <v>8700</v>
      </c>
      <c r="M37">
        <v>5</v>
      </c>
      <c r="N37">
        <v>45</v>
      </c>
      <c r="O37">
        <v>4.8</v>
      </c>
      <c r="P37" s="32">
        <f t="shared" si="2"/>
        <v>53.787539220080681</v>
      </c>
      <c r="Q37" s="32"/>
      <c r="R37" s="33">
        <v>0.24855491329479767</v>
      </c>
      <c r="T37">
        <v>62.5</v>
      </c>
      <c r="U37">
        <v>92.5</v>
      </c>
      <c r="V37">
        <v>20</v>
      </c>
      <c r="W37">
        <v>55</v>
      </c>
      <c r="X37">
        <v>2</v>
      </c>
      <c r="Y37">
        <v>35000</v>
      </c>
      <c r="Z37">
        <v>8760</v>
      </c>
      <c r="AA37">
        <v>3</v>
      </c>
      <c r="AB37">
        <v>35</v>
      </c>
      <c r="AC37">
        <v>3.2</v>
      </c>
      <c r="AD37">
        <v>35.6</v>
      </c>
      <c r="AE37" t="s">
        <v>266</v>
      </c>
      <c r="AF37">
        <v>5</v>
      </c>
      <c r="AG37">
        <v>35</v>
      </c>
    </row>
    <row r="38" spans="1:33" hidden="1" x14ac:dyDescent="0.2">
      <c r="A38" t="s">
        <v>278</v>
      </c>
      <c r="B38" t="s">
        <v>312</v>
      </c>
      <c r="C38" t="s">
        <v>271</v>
      </c>
      <c r="D38">
        <v>1</v>
      </c>
      <c r="E38">
        <v>173</v>
      </c>
      <c r="F38">
        <v>173</v>
      </c>
      <c r="G38">
        <v>400</v>
      </c>
      <c r="H38" t="s">
        <v>280</v>
      </c>
      <c r="I38" s="31">
        <v>9.2485549132947972E-2</v>
      </c>
      <c r="J38">
        <v>3</v>
      </c>
      <c r="K38" t="s">
        <v>266</v>
      </c>
      <c r="L38">
        <v>8700</v>
      </c>
      <c r="M38">
        <v>-25</v>
      </c>
      <c r="N38">
        <v>40</v>
      </c>
      <c r="O38">
        <v>4.8</v>
      </c>
      <c r="P38" s="32">
        <f t="shared" si="2"/>
        <v>53.787539220080681</v>
      </c>
      <c r="Q38" s="32"/>
      <c r="R38" s="33">
        <v>0.24855491329479767</v>
      </c>
      <c r="T38">
        <v>62.5</v>
      </c>
      <c r="U38">
        <v>92.5</v>
      </c>
      <c r="V38">
        <v>20</v>
      </c>
      <c r="W38">
        <v>55</v>
      </c>
      <c r="X38">
        <v>2</v>
      </c>
      <c r="Y38">
        <v>35000</v>
      </c>
      <c r="Z38">
        <v>8760</v>
      </c>
      <c r="AA38">
        <v>3</v>
      </c>
      <c r="AB38">
        <v>35</v>
      </c>
      <c r="AC38">
        <v>3.2</v>
      </c>
      <c r="AD38">
        <v>35.6</v>
      </c>
      <c r="AE38" t="s">
        <v>266</v>
      </c>
      <c r="AF38">
        <v>5</v>
      </c>
      <c r="AG38">
        <v>35</v>
      </c>
    </row>
    <row r="39" spans="1:33" x14ac:dyDescent="0.2">
      <c r="A39" t="s">
        <v>296</v>
      </c>
      <c r="B39" t="s">
        <v>313</v>
      </c>
      <c r="C39" t="s">
        <v>263</v>
      </c>
      <c r="D39">
        <v>30</v>
      </c>
      <c r="E39">
        <v>150</v>
      </c>
      <c r="F39">
        <v>180</v>
      </c>
      <c r="G39">
        <v>400</v>
      </c>
      <c r="H39" t="s">
        <v>280</v>
      </c>
      <c r="I39" s="31">
        <v>0.15555555555555556</v>
      </c>
      <c r="J39">
        <v>15</v>
      </c>
      <c r="K39" t="s">
        <v>265</v>
      </c>
      <c r="L39">
        <v>8650</v>
      </c>
      <c r="M39">
        <v>-40</v>
      </c>
      <c r="N39">
        <v>35</v>
      </c>
      <c r="O39">
        <v>4.8</v>
      </c>
      <c r="P39" s="32">
        <f t="shared" si="2"/>
        <v>53.787539220080681</v>
      </c>
      <c r="Q39" s="32"/>
      <c r="R39" s="33">
        <v>0.16666666666666666</v>
      </c>
      <c r="S39">
        <v>62</v>
      </c>
      <c r="T39">
        <v>62.5</v>
      </c>
      <c r="V39">
        <v>25</v>
      </c>
      <c r="W39">
        <v>75</v>
      </c>
      <c r="X39">
        <v>0.1</v>
      </c>
      <c r="Y39">
        <v>80000</v>
      </c>
      <c r="Z39">
        <v>8600</v>
      </c>
      <c r="AA39">
        <v>3.8</v>
      </c>
      <c r="AB39">
        <v>40</v>
      </c>
      <c r="AC39">
        <v>2.67</v>
      </c>
      <c r="AD39">
        <v>29.7</v>
      </c>
      <c r="AE39" t="s">
        <v>265</v>
      </c>
      <c r="AF39">
        <v>5</v>
      </c>
      <c r="AG39">
        <v>40</v>
      </c>
    </row>
    <row r="40" spans="1:33" x14ac:dyDescent="0.2">
      <c r="A40" t="s">
        <v>296</v>
      </c>
      <c r="B40" t="s">
        <v>315</v>
      </c>
      <c r="C40" t="s">
        <v>263</v>
      </c>
      <c r="D40">
        <v>20</v>
      </c>
      <c r="E40">
        <v>200</v>
      </c>
      <c r="F40">
        <v>240</v>
      </c>
      <c r="G40">
        <v>400</v>
      </c>
      <c r="H40" t="s">
        <v>280</v>
      </c>
      <c r="I40" s="31">
        <v>5.8333333333333334E-2</v>
      </c>
      <c r="J40">
        <v>15</v>
      </c>
      <c r="K40" t="s">
        <v>266</v>
      </c>
      <c r="L40">
        <v>8650</v>
      </c>
      <c r="M40">
        <v>-40</v>
      </c>
      <c r="N40">
        <v>35</v>
      </c>
      <c r="O40">
        <v>4.8</v>
      </c>
      <c r="P40" s="32">
        <f t="shared" si="2"/>
        <v>53.787539220080681</v>
      </c>
      <c r="Q40" s="32"/>
      <c r="R40" s="33">
        <v>0.16666666666666666</v>
      </c>
      <c r="S40">
        <v>62</v>
      </c>
      <c r="T40">
        <v>62.5</v>
      </c>
      <c r="V40">
        <v>25</v>
      </c>
      <c r="W40">
        <v>75</v>
      </c>
      <c r="X40">
        <v>0.1</v>
      </c>
      <c r="Y40">
        <v>80000</v>
      </c>
      <c r="Z40">
        <v>8600</v>
      </c>
      <c r="AA40">
        <v>3.8</v>
      </c>
      <c r="AB40">
        <v>40</v>
      </c>
      <c r="AC40">
        <v>3.56</v>
      </c>
      <c r="AD40">
        <v>39.6</v>
      </c>
      <c r="AE40" t="s">
        <v>265</v>
      </c>
      <c r="AF40">
        <v>5</v>
      </c>
      <c r="AG40">
        <v>40</v>
      </c>
    </row>
    <row r="41" spans="1:33" x14ac:dyDescent="0.2">
      <c r="A41" t="s">
        <v>296</v>
      </c>
      <c r="B41" t="s">
        <v>320</v>
      </c>
      <c r="C41" t="s">
        <v>263</v>
      </c>
      <c r="D41">
        <v>30</v>
      </c>
      <c r="E41">
        <v>300</v>
      </c>
      <c r="F41">
        <v>360</v>
      </c>
      <c r="G41">
        <v>400</v>
      </c>
      <c r="H41" t="s">
        <v>280</v>
      </c>
      <c r="I41" s="31">
        <v>3.888888888888889E-2</v>
      </c>
      <c r="J41">
        <v>15</v>
      </c>
      <c r="K41" t="s">
        <v>265</v>
      </c>
      <c r="L41">
        <v>8650</v>
      </c>
      <c r="M41">
        <v>-40</v>
      </c>
      <c r="N41">
        <v>35</v>
      </c>
      <c r="O41">
        <v>4.8</v>
      </c>
      <c r="P41" s="32">
        <f t="shared" si="2"/>
        <v>53.787539220080681</v>
      </c>
      <c r="Q41" s="32"/>
      <c r="R41" s="33">
        <v>0.16666666666666666</v>
      </c>
      <c r="S41">
        <v>62</v>
      </c>
      <c r="T41">
        <v>62.5</v>
      </c>
      <c r="V41">
        <v>25</v>
      </c>
      <c r="W41">
        <v>75</v>
      </c>
      <c r="X41">
        <v>0.1</v>
      </c>
      <c r="Y41">
        <v>80000</v>
      </c>
      <c r="Z41">
        <v>8600</v>
      </c>
      <c r="AA41">
        <v>3.8</v>
      </c>
      <c r="AB41">
        <v>40</v>
      </c>
      <c r="AC41">
        <v>5.34</v>
      </c>
      <c r="AD41">
        <v>59.3</v>
      </c>
      <c r="AE41" t="s">
        <v>265</v>
      </c>
      <c r="AF41">
        <v>5</v>
      </c>
      <c r="AG41">
        <v>40</v>
      </c>
    </row>
    <row r="42" spans="1:33" hidden="1" x14ac:dyDescent="0.2">
      <c r="A42" t="s">
        <v>316</v>
      </c>
      <c r="B42" t="s">
        <v>317</v>
      </c>
      <c r="C42" t="s">
        <v>271</v>
      </c>
      <c r="D42">
        <v>110</v>
      </c>
      <c r="F42">
        <v>275</v>
      </c>
      <c r="H42" t="s">
        <v>272</v>
      </c>
      <c r="I42" s="31">
        <v>0.19636363636363635</v>
      </c>
      <c r="K42" t="s">
        <v>265</v>
      </c>
      <c r="M42">
        <v>-20</v>
      </c>
      <c r="N42">
        <v>40</v>
      </c>
      <c r="R42" s="33"/>
      <c r="AA42">
        <v>4.8</v>
      </c>
      <c r="AB42">
        <v>10</v>
      </c>
      <c r="AC42">
        <v>2.67</v>
      </c>
      <c r="AD42">
        <v>29.6</v>
      </c>
      <c r="AE42" t="s">
        <v>265</v>
      </c>
    </row>
    <row r="43" spans="1:33" x14ac:dyDescent="0.2">
      <c r="A43" t="s">
        <v>296</v>
      </c>
      <c r="B43" t="s">
        <v>324</v>
      </c>
      <c r="C43" t="s">
        <v>263</v>
      </c>
      <c r="D43">
        <v>45</v>
      </c>
      <c r="E43">
        <v>450</v>
      </c>
      <c r="F43">
        <v>540</v>
      </c>
      <c r="G43">
        <v>400</v>
      </c>
      <c r="H43" t="s">
        <v>280</v>
      </c>
      <c r="I43" s="31">
        <v>2.5925925925925925E-2</v>
      </c>
      <c r="J43">
        <v>15</v>
      </c>
      <c r="K43" t="s">
        <v>265</v>
      </c>
      <c r="L43">
        <v>8650</v>
      </c>
      <c r="M43">
        <v>-40</v>
      </c>
      <c r="N43">
        <v>35</v>
      </c>
      <c r="O43">
        <v>4.8</v>
      </c>
      <c r="P43" s="32">
        <f t="shared" ref="P43:P49" si="3">((1000*O43)/0.08924)/1000</f>
        <v>53.787539220080681</v>
      </c>
      <c r="Q43" s="32"/>
      <c r="R43" s="33">
        <v>0.16666666666666666</v>
      </c>
      <c r="S43">
        <v>62</v>
      </c>
      <c r="T43">
        <v>62.5</v>
      </c>
      <c r="V43">
        <v>25</v>
      </c>
      <c r="W43">
        <v>75</v>
      </c>
      <c r="X43">
        <v>0.1</v>
      </c>
      <c r="Y43">
        <v>80000</v>
      </c>
      <c r="Z43">
        <v>8600</v>
      </c>
      <c r="AA43">
        <v>3.8</v>
      </c>
      <c r="AB43">
        <v>40</v>
      </c>
      <c r="AC43">
        <v>8.01</v>
      </c>
      <c r="AD43">
        <v>89</v>
      </c>
      <c r="AE43" t="s">
        <v>265</v>
      </c>
      <c r="AF43">
        <v>5</v>
      </c>
      <c r="AG43">
        <v>40</v>
      </c>
    </row>
    <row r="44" spans="1:33" x14ac:dyDescent="0.2">
      <c r="A44" t="s">
        <v>296</v>
      </c>
      <c r="B44" t="s">
        <v>329</v>
      </c>
      <c r="C44" t="s">
        <v>263</v>
      </c>
      <c r="D44">
        <v>60</v>
      </c>
      <c r="E44">
        <v>600</v>
      </c>
      <c r="F44">
        <v>720</v>
      </c>
      <c r="G44">
        <v>400</v>
      </c>
      <c r="H44" t="s">
        <v>280</v>
      </c>
      <c r="I44" s="31">
        <v>1.9444444444444445E-2</v>
      </c>
      <c r="J44">
        <v>15</v>
      </c>
      <c r="K44" t="s">
        <v>265</v>
      </c>
      <c r="L44">
        <v>8650</v>
      </c>
      <c r="M44">
        <v>-40</v>
      </c>
      <c r="N44">
        <v>35</v>
      </c>
      <c r="O44">
        <v>4.8</v>
      </c>
      <c r="P44" s="32">
        <f t="shared" si="3"/>
        <v>53.787539220080681</v>
      </c>
      <c r="Q44" s="32"/>
      <c r="R44" s="33">
        <v>0.16666666666666666</v>
      </c>
      <c r="S44">
        <v>62</v>
      </c>
      <c r="T44">
        <v>62.5</v>
      </c>
      <c r="V44">
        <v>25</v>
      </c>
      <c r="W44">
        <v>75</v>
      </c>
      <c r="X44">
        <v>0.1</v>
      </c>
      <c r="Y44">
        <v>80000</v>
      </c>
      <c r="Z44">
        <v>8600</v>
      </c>
      <c r="AA44">
        <v>3.8</v>
      </c>
      <c r="AB44">
        <v>40</v>
      </c>
      <c r="AC44">
        <v>10.68</v>
      </c>
      <c r="AD44">
        <v>118.7</v>
      </c>
      <c r="AE44" t="s">
        <v>265</v>
      </c>
      <c r="AF44">
        <v>5</v>
      </c>
      <c r="AG44">
        <v>40</v>
      </c>
    </row>
    <row r="45" spans="1:33" x14ac:dyDescent="0.2">
      <c r="A45" t="s">
        <v>296</v>
      </c>
      <c r="B45" t="s">
        <v>332</v>
      </c>
      <c r="C45" t="s">
        <v>263</v>
      </c>
      <c r="D45">
        <v>200</v>
      </c>
      <c r="E45">
        <v>750</v>
      </c>
      <c r="F45">
        <v>900</v>
      </c>
      <c r="G45">
        <v>400</v>
      </c>
      <c r="H45" t="s">
        <v>280</v>
      </c>
      <c r="I45" s="31">
        <v>3.111111111111111E-2</v>
      </c>
      <c r="J45">
        <v>15</v>
      </c>
      <c r="K45" t="s">
        <v>265</v>
      </c>
      <c r="L45">
        <v>8650</v>
      </c>
      <c r="M45">
        <v>-40</v>
      </c>
      <c r="N45">
        <v>35</v>
      </c>
      <c r="O45">
        <v>4.8</v>
      </c>
      <c r="P45" s="32">
        <f t="shared" si="3"/>
        <v>53.787539220080681</v>
      </c>
      <c r="Q45" s="32"/>
      <c r="R45" s="33">
        <v>0.16666666666666666</v>
      </c>
      <c r="S45">
        <v>62</v>
      </c>
      <c r="T45">
        <v>62.5</v>
      </c>
      <c r="V45">
        <v>25</v>
      </c>
      <c r="W45">
        <v>75</v>
      </c>
      <c r="X45">
        <v>0.1</v>
      </c>
      <c r="Y45">
        <v>80000</v>
      </c>
      <c r="Z45">
        <v>8600</v>
      </c>
      <c r="AA45">
        <v>3.8</v>
      </c>
      <c r="AB45">
        <v>40</v>
      </c>
      <c r="AC45">
        <v>13.35</v>
      </c>
      <c r="AD45">
        <v>148.30000000000001</v>
      </c>
      <c r="AE45" t="s">
        <v>265</v>
      </c>
      <c r="AF45">
        <v>5</v>
      </c>
      <c r="AG45">
        <v>40</v>
      </c>
    </row>
    <row r="46" spans="1:33" hidden="1" x14ac:dyDescent="0.2">
      <c r="A46" t="s">
        <v>273</v>
      </c>
      <c r="B46" t="s">
        <v>322</v>
      </c>
      <c r="C46" t="s">
        <v>271</v>
      </c>
      <c r="F46">
        <v>500</v>
      </c>
      <c r="H46" t="s">
        <v>264</v>
      </c>
      <c r="I46" s="31"/>
      <c r="O46">
        <v>4.5</v>
      </c>
      <c r="P46" s="32">
        <f t="shared" si="3"/>
        <v>50.425818018825638</v>
      </c>
      <c r="Q46" s="32"/>
      <c r="R46" s="33"/>
      <c r="T46">
        <v>66.7</v>
      </c>
      <c r="AB46">
        <v>30</v>
      </c>
      <c r="AC46">
        <v>9</v>
      </c>
      <c r="AD46">
        <v>100</v>
      </c>
    </row>
    <row r="47" spans="1:33" hidden="1" x14ac:dyDescent="0.2">
      <c r="A47" t="s">
        <v>278</v>
      </c>
      <c r="B47" t="s">
        <v>323</v>
      </c>
      <c r="C47" t="s">
        <v>271</v>
      </c>
      <c r="D47">
        <v>15</v>
      </c>
      <c r="E47">
        <v>504</v>
      </c>
      <c r="F47">
        <v>504</v>
      </c>
      <c r="G47">
        <v>400</v>
      </c>
      <c r="H47" t="s">
        <v>272</v>
      </c>
      <c r="I47" s="31"/>
      <c r="K47" t="s">
        <v>265</v>
      </c>
      <c r="M47">
        <v>-15</v>
      </c>
      <c r="N47">
        <v>45</v>
      </c>
      <c r="O47">
        <v>4.8</v>
      </c>
      <c r="P47" s="32">
        <f t="shared" si="3"/>
        <v>53.787539220080681</v>
      </c>
      <c r="Q47" s="32"/>
      <c r="R47" s="33">
        <v>0.32738095238095238</v>
      </c>
      <c r="T47">
        <v>62.5</v>
      </c>
      <c r="V47">
        <v>20</v>
      </c>
      <c r="W47">
        <v>55</v>
      </c>
      <c r="X47">
        <v>5</v>
      </c>
      <c r="Y47">
        <v>35000</v>
      </c>
      <c r="AA47">
        <v>3</v>
      </c>
      <c r="AB47">
        <v>35</v>
      </c>
      <c r="AC47">
        <v>9.3000000000000007</v>
      </c>
      <c r="AD47">
        <v>103.3</v>
      </c>
      <c r="AE47" t="s">
        <v>266</v>
      </c>
      <c r="AF47">
        <v>5</v>
      </c>
      <c r="AG47">
        <v>35</v>
      </c>
    </row>
    <row r="48" spans="1:33" x14ac:dyDescent="0.2">
      <c r="A48" t="s">
        <v>296</v>
      </c>
      <c r="B48" t="s">
        <v>350</v>
      </c>
      <c r="C48" t="s">
        <v>263</v>
      </c>
      <c r="D48">
        <v>200</v>
      </c>
      <c r="E48">
        <v>1000</v>
      </c>
      <c r="F48">
        <v>1200</v>
      </c>
      <c r="G48">
        <v>400</v>
      </c>
      <c r="H48" t="s">
        <v>280</v>
      </c>
      <c r="I48" s="31">
        <v>2.3333333333333334E-2</v>
      </c>
      <c r="J48">
        <v>15</v>
      </c>
      <c r="K48" t="s">
        <v>265</v>
      </c>
      <c r="L48">
        <v>8650</v>
      </c>
      <c r="M48">
        <v>-40</v>
      </c>
      <c r="N48">
        <v>35</v>
      </c>
      <c r="O48">
        <v>4.8</v>
      </c>
      <c r="P48" s="32">
        <f t="shared" si="3"/>
        <v>53.787539220080681</v>
      </c>
      <c r="Q48" s="32"/>
      <c r="R48" s="33">
        <v>0.16666666666666666</v>
      </c>
      <c r="S48">
        <v>62</v>
      </c>
      <c r="T48">
        <v>62.5</v>
      </c>
      <c r="V48">
        <v>25</v>
      </c>
      <c r="W48">
        <v>75</v>
      </c>
      <c r="X48">
        <v>0.1</v>
      </c>
      <c r="Y48">
        <v>80000</v>
      </c>
      <c r="Z48">
        <v>8600</v>
      </c>
      <c r="AA48">
        <v>3.8</v>
      </c>
      <c r="AB48">
        <v>40</v>
      </c>
      <c r="AC48">
        <v>17.8</v>
      </c>
      <c r="AD48">
        <v>197.8</v>
      </c>
      <c r="AE48" t="s">
        <v>265</v>
      </c>
      <c r="AF48">
        <v>5</v>
      </c>
      <c r="AG48">
        <v>40</v>
      </c>
    </row>
    <row r="49" spans="1:33" hidden="1" x14ac:dyDescent="0.2">
      <c r="A49" t="s">
        <v>306</v>
      </c>
      <c r="B49" t="s">
        <v>325</v>
      </c>
      <c r="C49" t="s">
        <v>271</v>
      </c>
      <c r="D49">
        <v>220</v>
      </c>
      <c r="F49">
        <v>550</v>
      </c>
      <c r="H49" t="s">
        <v>272</v>
      </c>
      <c r="I49" s="31">
        <v>0.16181818181818181</v>
      </c>
      <c r="K49" t="s">
        <v>265</v>
      </c>
      <c r="M49">
        <v>-20</v>
      </c>
      <c r="N49">
        <v>40</v>
      </c>
      <c r="O49">
        <v>5.2</v>
      </c>
      <c r="P49" s="32">
        <f t="shared" si="3"/>
        <v>58.269834155087402</v>
      </c>
      <c r="Q49" s="32"/>
      <c r="R49" s="33"/>
      <c r="AA49">
        <v>4.8</v>
      </c>
      <c r="AB49">
        <v>10</v>
      </c>
      <c r="AC49">
        <v>5.42</v>
      </c>
      <c r="AD49">
        <v>60.2</v>
      </c>
      <c r="AE49" t="s">
        <v>265</v>
      </c>
    </row>
    <row r="50" spans="1:33" hidden="1" x14ac:dyDescent="0.2">
      <c r="A50" t="s">
        <v>316</v>
      </c>
      <c r="B50" t="s">
        <v>326</v>
      </c>
      <c r="C50" t="s">
        <v>271</v>
      </c>
      <c r="D50">
        <v>270</v>
      </c>
      <c r="F50">
        <v>675</v>
      </c>
      <c r="H50" t="s">
        <v>272</v>
      </c>
      <c r="I50" s="31">
        <v>0.13185185185185186</v>
      </c>
      <c r="K50" t="s">
        <v>265</v>
      </c>
      <c r="M50">
        <v>-20</v>
      </c>
      <c r="N50">
        <v>40</v>
      </c>
      <c r="R50" s="33"/>
      <c r="AA50">
        <v>4.8</v>
      </c>
      <c r="AB50">
        <v>10</v>
      </c>
      <c r="AC50">
        <v>6.67</v>
      </c>
      <c r="AD50">
        <v>74.099999999999994</v>
      </c>
      <c r="AE50" t="s">
        <v>265</v>
      </c>
    </row>
    <row r="51" spans="1:33" x14ac:dyDescent="0.2">
      <c r="A51" t="s">
        <v>296</v>
      </c>
      <c r="B51" t="s">
        <v>355</v>
      </c>
      <c r="C51" t="s">
        <v>263</v>
      </c>
      <c r="D51">
        <v>200</v>
      </c>
      <c r="E51">
        <v>1500</v>
      </c>
      <c r="F51">
        <v>1800</v>
      </c>
      <c r="G51">
        <v>400</v>
      </c>
      <c r="H51" t="s">
        <v>280</v>
      </c>
      <c r="I51" s="31">
        <v>1.5555555555555555E-2</v>
      </c>
      <c r="J51">
        <v>15</v>
      </c>
      <c r="K51" t="s">
        <v>265</v>
      </c>
      <c r="L51">
        <v>8650</v>
      </c>
      <c r="M51">
        <v>-40</v>
      </c>
      <c r="N51">
        <v>35</v>
      </c>
      <c r="O51">
        <v>4.8</v>
      </c>
      <c r="P51" s="32">
        <f>((1000*O51)/0.08924)/1000</f>
        <v>53.787539220080681</v>
      </c>
      <c r="Q51" s="32"/>
      <c r="R51" s="33">
        <v>0.16666666666666666</v>
      </c>
      <c r="S51">
        <v>62</v>
      </c>
      <c r="T51">
        <v>62.5</v>
      </c>
      <c r="V51">
        <v>25</v>
      </c>
      <c r="W51">
        <v>75</v>
      </c>
      <c r="X51">
        <v>0.1</v>
      </c>
      <c r="Y51">
        <v>80000</v>
      </c>
      <c r="Z51">
        <v>8600</v>
      </c>
      <c r="AA51">
        <v>3.8</v>
      </c>
      <c r="AB51">
        <v>40</v>
      </c>
      <c r="AC51">
        <v>26.7</v>
      </c>
      <c r="AD51">
        <v>296.7</v>
      </c>
      <c r="AE51" t="s">
        <v>265</v>
      </c>
      <c r="AF51">
        <v>5</v>
      </c>
      <c r="AG51">
        <v>40</v>
      </c>
    </row>
    <row r="52" spans="1:33" x14ac:dyDescent="0.2">
      <c r="A52" t="s">
        <v>296</v>
      </c>
      <c r="B52" t="s">
        <v>362</v>
      </c>
      <c r="C52" t="s">
        <v>263</v>
      </c>
      <c r="D52">
        <v>200</v>
      </c>
      <c r="E52">
        <v>2000</v>
      </c>
      <c r="F52">
        <v>2400</v>
      </c>
      <c r="G52">
        <v>400</v>
      </c>
      <c r="H52" t="s">
        <v>280</v>
      </c>
      <c r="I52" s="31">
        <v>1.1666666666666667E-2</v>
      </c>
      <c r="J52">
        <v>15</v>
      </c>
      <c r="K52" t="s">
        <v>265</v>
      </c>
      <c r="L52">
        <v>8650</v>
      </c>
      <c r="M52">
        <v>-40</v>
      </c>
      <c r="N52">
        <v>35</v>
      </c>
      <c r="O52">
        <v>4.8</v>
      </c>
      <c r="P52" s="32">
        <f>((1000*O52)/0.08924)/1000</f>
        <v>53.787539220080681</v>
      </c>
      <c r="Q52" s="32"/>
      <c r="R52" s="33">
        <v>0.16666666666666666</v>
      </c>
      <c r="S52">
        <v>62</v>
      </c>
      <c r="T52">
        <v>62.5</v>
      </c>
      <c r="V52">
        <v>25</v>
      </c>
      <c r="W52">
        <v>75</v>
      </c>
      <c r="X52">
        <v>0.1</v>
      </c>
      <c r="Y52">
        <v>80000</v>
      </c>
      <c r="Z52">
        <v>8600</v>
      </c>
      <c r="AA52">
        <v>3.8</v>
      </c>
      <c r="AB52">
        <v>40</v>
      </c>
      <c r="AC52">
        <v>35.6</v>
      </c>
      <c r="AD52">
        <v>395.6</v>
      </c>
      <c r="AE52" t="s">
        <v>265</v>
      </c>
      <c r="AF52">
        <v>5</v>
      </c>
      <c r="AG52">
        <v>40</v>
      </c>
    </row>
    <row r="53" spans="1:33" x14ac:dyDescent="0.2">
      <c r="A53" t="s">
        <v>341</v>
      </c>
      <c r="B53" t="s">
        <v>377</v>
      </c>
      <c r="C53" t="s">
        <v>263</v>
      </c>
      <c r="D53">
        <v>500</v>
      </c>
      <c r="E53">
        <v>10000</v>
      </c>
      <c r="F53">
        <v>10000</v>
      </c>
      <c r="G53">
        <v>400</v>
      </c>
      <c r="H53" t="s">
        <v>280</v>
      </c>
      <c r="I53" s="31">
        <v>1.7999999999999999E-2</v>
      </c>
      <c r="J53">
        <v>30</v>
      </c>
      <c r="K53" t="s">
        <v>265</v>
      </c>
      <c r="L53">
        <v>8322</v>
      </c>
      <c r="M53">
        <v>-20</v>
      </c>
      <c r="N53">
        <v>40</v>
      </c>
      <c r="O53">
        <v>4.8</v>
      </c>
      <c r="P53" s="32">
        <f>((1000*O53)/0.08924)/1000</f>
        <v>53.787539220080681</v>
      </c>
      <c r="Q53" s="32"/>
      <c r="R53" s="33"/>
      <c r="S53">
        <v>60</v>
      </c>
      <c r="X53">
        <v>0.1</v>
      </c>
      <c r="AA53">
        <v>3.5</v>
      </c>
      <c r="AC53">
        <v>180</v>
      </c>
      <c r="AD53">
        <v>2</v>
      </c>
      <c r="AE53" t="s">
        <v>266</v>
      </c>
      <c r="AF53">
        <v>5</v>
      </c>
      <c r="AG53">
        <v>30</v>
      </c>
    </row>
    <row r="54" spans="1:33" hidden="1" x14ac:dyDescent="0.2">
      <c r="A54" t="s">
        <v>316</v>
      </c>
      <c r="B54" t="s">
        <v>331</v>
      </c>
      <c r="C54" t="s">
        <v>271</v>
      </c>
      <c r="D54">
        <v>320</v>
      </c>
      <c r="F54">
        <v>800</v>
      </c>
      <c r="H54" t="s">
        <v>272</v>
      </c>
      <c r="I54" s="31">
        <v>0.11125</v>
      </c>
      <c r="K54" t="s">
        <v>265</v>
      </c>
      <c r="M54">
        <v>-20</v>
      </c>
      <c r="N54">
        <v>40</v>
      </c>
      <c r="R54" s="33"/>
      <c r="AA54">
        <v>4.8</v>
      </c>
      <c r="AB54">
        <v>10</v>
      </c>
      <c r="AC54">
        <v>8.9600000000000009</v>
      </c>
      <c r="AD54">
        <v>99.5</v>
      </c>
      <c r="AE54" t="s">
        <v>265</v>
      </c>
    </row>
    <row r="55" spans="1:33" x14ac:dyDescent="0.2">
      <c r="A55" t="s">
        <v>341</v>
      </c>
      <c r="B55" t="s">
        <v>381</v>
      </c>
      <c r="C55" t="s">
        <v>263</v>
      </c>
      <c r="D55">
        <v>750</v>
      </c>
      <c r="E55">
        <v>15000</v>
      </c>
      <c r="F55">
        <v>15000</v>
      </c>
      <c r="G55">
        <v>400</v>
      </c>
      <c r="H55" t="s">
        <v>280</v>
      </c>
      <c r="I55" s="31">
        <v>1.7999999999999999E-2</v>
      </c>
      <c r="J55">
        <v>30</v>
      </c>
      <c r="K55" t="s">
        <v>265</v>
      </c>
      <c r="L55">
        <v>8322</v>
      </c>
      <c r="M55">
        <v>-20</v>
      </c>
      <c r="N55">
        <v>40</v>
      </c>
      <c r="O55">
        <v>4.8</v>
      </c>
      <c r="P55" s="32">
        <f t="shared" ref="P55:P63" si="4">((1000*O55)/0.08924)/1000</f>
        <v>53.787539220080681</v>
      </c>
      <c r="Q55" s="32"/>
      <c r="R55" s="33"/>
      <c r="S55">
        <v>60</v>
      </c>
      <c r="X55">
        <v>0.1</v>
      </c>
      <c r="AA55">
        <v>3.5</v>
      </c>
      <c r="AC55">
        <v>270</v>
      </c>
      <c r="AD55">
        <v>3</v>
      </c>
      <c r="AE55" t="s">
        <v>266</v>
      </c>
      <c r="AF55">
        <v>5</v>
      </c>
      <c r="AG55">
        <v>30</v>
      </c>
    </row>
    <row r="56" spans="1:33" hidden="1" x14ac:dyDescent="0.2">
      <c r="A56" t="s">
        <v>273</v>
      </c>
      <c r="B56" t="s">
        <v>333</v>
      </c>
      <c r="C56" t="s">
        <v>271</v>
      </c>
      <c r="F56">
        <v>1000</v>
      </c>
      <c r="H56" t="s">
        <v>264</v>
      </c>
      <c r="I56" s="31"/>
      <c r="O56">
        <v>4.5</v>
      </c>
      <c r="P56" s="32">
        <f t="shared" si="4"/>
        <v>50.425818018825638</v>
      </c>
      <c r="Q56" s="32"/>
      <c r="R56" s="33"/>
      <c r="T56">
        <v>66.7</v>
      </c>
      <c r="AB56">
        <v>30</v>
      </c>
      <c r="AC56">
        <v>18</v>
      </c>
      <c r="AD56">
        <v>200</v>
      </c>
    </row>
    <row r="57" spans="1:33" hidden="1" x14ac:dyDescent="0.2">
      <c r="A57" t="s">
        <v>334</v>
      </c>
      <c r="B57" t="s">
        <v>335</v>
      </c>
      <c r="C57" t="s">
        <v>271</v>
      </c>
      <c r="D57">
        <v>300</v>
      </c>
      <c r="E57">
        <v>800</v>
      </c>
      <c r="F57">
        <v>1000</v>
      </c>
      <c r="G57">
        <v>10</v>
      </c>
      <c r="H57" t="s">
        <v>272</v>
      </c>
      <c r="I57" s="31">
        <v>7.0000000000000007E-2</v>
      </c>
      <c r="J57">
        <v>20</v>
      </c>
      <c r="K57" t="s">
        <v>266</v>
      </c>
      <c r="L57">
        <v>8568</v>
      </c>
      <c r="M57">
        <v>-20</v>
      </c>
      <c r="N57">
        <v>45</v>
      </c>
      <c r="O57">
        <v>4.8</v>
      </c>
      <c r="P57" s="32">
        <f t="shared" si="4"/>
        <v>53.787539220080681</v>
      </c>
      <c r="Q57" s="32"/>
      <c r="R57" s="33">
        <v>0.33</v>
      </c>
      <c r="S57">
        <v>80</v>
      </c>
      <c r="T57">
        <v>62.5</v>
      </c>
      <c r="U57">
        <v>95.5</v>
      </c>
      <c r="V57">
        <v>40</v>
      </c>
      <c r="W57">
        <v>90</v>
      </c>
      <c r="X57">
        <v>5</v>
      </c>
      <c r="Y57">
        <v>70000</v>
      </c>
      <c r="Z57">
        <v>70000</v>
      </c>
      <c r="AA57">
        <v>2.7</v>
      </c>
      <c r="AB57">
        <v>1</v>
      </c>
      <c r="AC57">
        <v>16.82</v>
      </c>
      <c r="AD57">
        <v>186.9</v>
      </c>
      <c r="AE57" t="s">
        <v>266</v>
      </c>
      <c r="AF57">
        <v>5</v>
      </c>
      <c r="AG57">
        <v>750</v>
      </c>
    </row>
    <row r="58" spans="1:33" hidden="1" x14ac:dyDescent="0.2">
      <c r="A58" t="s">
        <v>278</v>
      </c>
      <c r="B58" t="s">
        <v>336</v>
      </c>
      <c r="C58" t="s">
        <v>271</v>
      </c>
      <c r="D58">
        <v>30</v>
      </c>
      <c r="E58">
        <v>1008</v>
      </c>
      <c r="F58">
        <v>1008</v>
      </c>
      <c r="G58">
        <v>400</v>
      </c>
      <c r="H58" t="s">
        <v>272</v>
      </c>
      <c r="I58" s="31"/>
      <c r="K58" t="s">
        <v>265</v>
      </c>
      <c r="M58">
        <v>-15</v>
      </c>
      <c r="N58">
        <v>45</v>
      </c>
      <c r="O58">
        <v>4.8</v>
      </c>
      <c r="P58" s="32">
        <f t="shared" si="4"/>
        <v>53.787539220080681</v>
      </c>
      <c r="Q58" s="32"/>
      <c r="R58" s="33">
        <v>0.32738095238095238</v>
      </c>
      <c r="T58">
        <v>62.5</v>
      </c>
      <c r="V58">
        <v>20</v>
      </c>
      <c r="W58">
        <v>55</v>
      </c>
      <c r="X58">
        <v>5</v>
      </c>
      <c r="Y58">
        <v>35000</v>
      </c>
      <c r="AA58">
        <v>3</v>
      </c>
      <c r="AB58">
        <v>35</v>
      </c>
      <c r="AC58">
        <v>18.7</v>
      </c>
      <c r="AD58">
        <v>207.8</v>
      </c>
      <c r="AE58" t="s">
        <v>266</v>
      </c>
      <c r="AF58">
        <v>5</v>
      </c>
      <c r="AG58">
        <v>35</v>
      </c>
    </row>
    <row r="59" spans="1:33" x14ac:dyDescent="0.2">
      <c r="A59" t="s">
        <v>341</v>
      </c>
      <c r="B59" t="s">
        <v>384</v>
      </c>
      <c r="C59" t="s">
        <v>263</v>
      </c>
      <c r="D59">
        <v>1000</v>
      </c>
      <c r="E59">
        <v>20000</v>
      </c>
      <c r="F59">
        <v>20000</v>
      </c>
      <c r="G59">
        <v>400</v>
      </c>
      <c r="H59" t="s">
        <v>280</v>
      </c>
      <c r="I59" s="31">
        <v>1.7999999999999999E-2</v>
      </c>
      <c r="J59">
        <v>30</v>
      </c>
      <c r="K59" t="s">
        <v>265</v>
      </c>
      <c r="L59">
        <v>8322</v>
      </c>
      <c r="M59">
        <v>-20</v>
      </c>
      <c r="N59">
        <v>40</v>
      </c>
      <c r="O59">
        <v>4.8</v>
      </c>
      <c r="P59" s="32">
        <f t="shared" si="4"/>
        <v>53.787539220080681</v>
      </c>
      <c r="Q59" s="32"/>
      <c r="R59" s="33"/>
      <c r="S59">
        <v>60</v>
      </c>
      <c r="X59">
        <v>0.1</v>
      </c>
      <c r="AA59">
        <v>3.5</v>
      </c>
      <c r="AC59">
        <v>360</v>
      </c>
      <c r="AD59">
        <v>4</v>
      </c>
      <c r="AE59" t="s">
        <v>266</v>
      </c>
      <c r="AF59">
        <v>5</v>
      </c>
      <c r="AG59">
        <v>30</v>
      </c>
    </row>
    <row r="60" spans="1:33" x14ac:dyDescent="0.2">
      <c r="A60" t="s">
        <v>261</v>
      </c>
      <c r="B60" t="s">
        <v>309</v>
      </c>
      <c r="C60" t="s">
        <v>263</v>
      </c>
      <c r="D60">
        <v>21</v>
      </c>
      <c r="E60">
        <v>100</v>
      </c>
      <c r="F60">
        <v>120</v>
      </c>
      <c r="G60">
        <v>300</v>
      </c>
      <c r="H60" t="s">
        <v>264</v>
      </c>
      <c r="I60" s="31"/>
      <c r="J60">
        <v>10</v>
      </c>
      <c r="K60" t="s">
        <v>265</v>
      </c>
      <c r="O60">
        <v>4.83</v>
      </c>
      <c r="P60" s="32">
        <f t="shared" si="4"/>
        <v>54.123711340206185</v>
      </c>
      <c r="Q60" s="32"/>
      <c r="R60" s="33"/>
      <c r="T60">
        <v>62.1</v>
      </c>
      <c r="V60">
        <v>5</v>
      </c>
      <c r="W60">
        <v>80</v>
      </c>
      <c r="X60">
        <v>0.1</v>
      </c>
      <c r="Y60">
        <v>80000</v>
      </c>
      <c r="AA60">
        <v>5.5</v>
      </c>
      <c r="AB60">
        <v>40</v>
      </c>
      <c r="AC60">
        <v>1.9</v>
      </c>
      <c r="AD60">
        <v>21.1</v>
      </c>
      <c r="AE60" t="s">
        <v>266</v>
      </c>
    </row>
    <row r="61" spans="1:33" x14ac:dyDescent="0.2">
      <c r="A61" t="s">
        <v>261</v>
      </c>
      <c r="B61" t="s">
        <v>262</v>
      </c>
      <c r="C61" t="s">
        <v>263</v>
      </c>
      <c r="D61">
        <v>300</v>
      </c>
      <c r="E61">
        <v>1500</v>
      </c>
      <c r="F61">
        <v>1800</v>
      </c>
      <c r="G61">
        <v>616</v>
      </c>
      <c r="H61" t="s">
        <v>264</v>
      </c>
      <c r="I61" s="31"/>
      <c r="J61">
        <v>10</v>
      </c>
      <c r="K61" t="s">
        <v>265</v>
      </c>
      <c r="O61">
        <v>4.8499999999999996</v>
      </c>
      <c r="P61" s="32">
        <f t="shared" si="4"/>
        <v>54.347826086956523</v>
      </c>
      <c r="Q61" s="32"/>
      <c r="R61" s="33"/>
      <c r="T61">
        <v>61.9</v>
      </c>
      <c r="V61">
        <v>5</v>
      </c>
      <c r="W61">
        <v>80</v>
      </c>
      <c r="X61">
        <v>0.1</v>
      </c>
      <c r="Y61">
        <v>80000</v>
      </c>
      <c r="AA61">
        <v>5.5</v>
      </c>
      <c r="AB61">
        <v>40</v>
      </c>
      <c r="AC61">
        <v>27.8</v>
      </c>
      <c r="AD61">
        <v>308.89999999999998</v>
      </c>
      <c r="AE61" t="s">
        <v>266</v>
      </c>
    </row>
    <row r="62" spans="1:33" x14ac:dyDescent="0.2">
      <c r="A62" t="s">
        <v>289</v>
      </c>
      <c r="B62" t="s">
        <v>348</v>
      </c>
      <c r="C62" t="s">
        <v>263</v>
      </c>
      <c r="D62">
        <v>100</v>
      </c>
      <c r="E62">
        <v>1000</v>
      </c>
      <c r="F62">
        <v>1100</v>
      </c>
      <c r="G62">
        <v>400</v>
      </c>
      <c r="H62" t="s">
        <v>272</v>
      </c>
      <c r="I62" s="31">
        <v>2.7272727272727271E-2</v>
      </c>
      <c r="J62">
        <v>3</v>
      </c>
      <c r="K62" t="s">
        <v>265</v>
      </c>
      <c r="L62">
        <v>8410</v>
      </c>
      <c r="M62">
        <v>-15</v>
      </c>
      <c r="N62">
        <v>40</v>
      </c>
      <c r="O62">
        <v>4.87</v>
      </c>
      <c r="P62" s="32">
        <f t="shared" si="4"/>
        <v>54.571940833706861</v>
      </c>
      <c r="Q62" s="32"/>
      <c r="R62" s="33"/>
      <c r="T62">
        <v>61.6</v>
      </c>
      <c r="V62">
        <v>5</v>
      </c>
      <c r="W62">
        <v>70</v>
      </c>
      <c r="X62">
        <v>1</v>
      </c>
      <c r="Y62">
        <v>80000</v>
      </c>
      <c r="AA62">
        <v>3.5</v>
      </c>
      <c r="AB62">
        <v>40</v>
      </c>
      <c r="AC62">
        <v>18</v>
      </c>
      <c r="AD62">
        <v>200</v>
      </c>
      <c r="AE62" t="s">
        <v>265</v>
      </c>
    </row>
    <row r="63" spans="1:33" hidden="1" x14ac:dyDescent="0.2">
      <c r="A63" t="s">
        <v>269</v>
      </c>
      <c r="B63" t="s">
        <v>343</v>
      </c>
      <c r="C63" t="s">
        <v>271</v>
      </c>
      <c r="D63">
        <v>30</v>
      </c>
      <c r="E63">
        <v>1008</v>
      </c>
      <c r="F63">
        <v>1058</v>
      </c>
      <c r="G63">
        <v>400</v>
      </c>
      <c r="H63" t="s">
        <v>272</v>
      </c>
      <c r="I63" s="31">
        <v>2.8071833648393194E-2</v>
      </c>
      <c r="J63">
        <v>3</v>
      </c>
      <c r="K63" t="s">
        <v>266</v>
      </c>
      <c r="M63">
        <v>5</v>
      </c>
      <c r="N63">
        <v>45</v>
      </c>
      <c r="O63">
        <v>4.8</v>
      </c>
      <c r="P63" s="32">
        <f t="shared" si="4"/>
        <v>53.787539220080681</v>
      </c>
      <c r="Q63" s="32"/>
      <c r="R63" s="33"/>
      <c r="T63">
        <v>62.5</v>
      </c>
      <c r="V63">
        <v>20</v>
      </c>
      <c r="W63">
        <v>55</v>
      </c>
      <c r="X63">
        <v>20</v>
      </c>
      <c r="Y63">
        <v>35000</v>
      </c>
      <c r="AA63">
        <v>3</v>
      </c>
      <c r="AB63">
        <v>35</v>
      </c>
      <c r="AC63">
        <v>18.75</v>
      </c>
      <c r="AD63">
        <v>208.3</v>
      </c>
      <c r="AE63" t="s">
        <v>266</v>
      </c>
    </row>
    <row r="64" spans="1:33" hidden="1" x14ac:dyDescent="0.2">
      <c r="A64" t="s">
        <v>344</v>
      </c>
      <c r="B64" t="s">
        <v>345</v>
      </c>
      <c r="C64" t="s">
        <v>346</v>
      </c>
      <c r="F64">
        <v>1100</v>
      </c>
      <c r="G64">
        <v>480</v>
      </c>
      <c r="H64" t="s">
        <v>272</v>
      </c>
      <c r="I64" s="31">
        <v>4.2237818181818189E-2</v>
      </c>
      <c r="P64">
        <v>43.8</v>
      </c>
      <c r="R64" s="33"/>
      <c r="T64" s="34">
        <f>(120/(P64*3.6))*100</f>
        <v>76.103500761035008</v>
      </c>
      <c r="AB64">
        <v>1.4</v>
      </c>
      <c r="AC64">
        <f>600/24</f>
        <v>25</v>
      </c>
    </row>
    <row r="65" spans="1:33" hidden="1" x14ac:dyDescent="0.2">
      <c r="A65" t="s">
        <v>344</v>
      </c>
      <c r="B65" t="s">
        <v>345</v>
      </c>
      <c r="C65" t="s">
        <v>347</v>
      </c>
      <c r="F65">
        <v>1100</v>
      </c>
      <c r="G65">
        <v>480</v>
      </c>
      <c r="H65" t="s">
        <v>272</v>
      </c>
      <c r="I65" s="31">
        <v>4.2237818181818189E-2</v>
      </c>
      <c r="P65">
        <v>39.4</v>
      </c>
      <c r="Q65">
        <f>(P64-P65)*3.6</f>
        <v>15.839999999999995</v>
      </c>
      <c r="R65" s="33"/>
      <c r="T65" s="34">
        <f>(120/(P65*3.6))*100</f>
        <v>84.602368866328263</v>
      </c>
      <c r="AB65">
        <v>1.4</v>
      </c>
      <c r="AC65">
        <f>600/24</f>
        <v>25</v>
      </c>
    </row>
    <row r="66" spans="1:33" x14ac:dyDescent="0.2">
      <c r="A66" t="s">
        <v>289</v>
      </c>
      <c r="B66" t="s">
        <v>290</v>
      </c>
      <c r="C66" t="s">
        <v>263</v>
      </c>
      <c r="D66">
        <v>3</v>
      </c>
      <c r="E66">
        <v>25</v>
      </c>
      <c r="F66">
        <v>28</v>
      </c>
      <c r="G66">
        <v>400</v>
      </c>
      <c r="H66" t="s">
        <v>272</v>
      </c>
      <c r="I66" s="31">
        <v>0.5357142857142857</v>
      </c>
      <c r="J66">
        <v>1</v>
      </c>
      <c r="K66" t="s">
        <v>265</v>
      </c>
      <c r="L66">
        <v>8410</v>
      </c>
      <c r="M66">
        <v>-20</v>
      </c>
      <c r="N66">
        <v>40</v>
      </c>
      <c r="O66">
        <v>4.9000000000000004</v>
      </c>
      <c r="P66" s="32">
        <f t="shared" ref="P66:P71" si="5">((1000*O66)/0.08924)/1000</f>
        <v>54.908112953832365</v>
      </c>
      <c r="Q66" s="32"/>
      <c r="R66" s="33"/>
      <c r="T66">
        <v>61.2</v>
      </c>
      <c r="V66">
        <v>20</v>
      </c>
      <c r="W66">
        <v>80</v>
      </c>
      <c r="X66">
        <v>1</v>
      </c>
      <c r="Y66">
        <v>50000</v>
      </c>
      <c r="AA66">
        <v>3.5</v>
      </c>
      <c r="AB66">
        <v>100</v>
      </c>
      <c r="AC66">
        <v>0.45</v>
      </c>
      <c r="AD66">
        <v>5</v>
      </c>
      <c r="AE66" t="s">
        <v>265</v>
      </c>
    </row>
    <row r="67" spans="1:33" x14ac:dyDescent="0.2">
      <c r="A67" t="s">
        <v>267</v>
      </c>
      <c r="B67" t="s">
        <v>268</v>
      </c>
      <c r="C67" t="s">
        <v>263</v>
      </c>
      <c r="F67">
        <v>2</v>
      </c>
      <c r="I67" s="31"/>
      <c r="O67">
        <v>5</v>
      </c>
      <c r="P67" s="32">
        <f t="shared" si="5"/>
        <v>56.028686687584042</v>
      </c>
      <c r="Q67" s="32"/>
      <c r="R67" s="33"/>
      <c r="T67">
        <v>60</v>
      </c>
      <c r="V67">
        <v>20</v>
      </c>
      <c r="W67">
        <v>80</v>
      </c>
      <c r="X67">
        <v>0.1</v>
      </c>
      <c r="Y67">
        <v>40000</v>
      </c>
      <c r="AB67">
        <v>40</v>
      </c>
      <c r="AC67">
        <v>0.05</v>
      </c>
      <c r="AD67">
        <v>0.6</v>
      </c>
    </row>
    <row r="68" spans="1:33" x14ac:dyDescent="0.2">
      <c r="A68" t="s">
        <v>267</v>
      </c>
      <c r="B68" t="s">
        <v>282</v>
      </c>
      <c r="C68" t="s">
        <v>263</v>
      </c>
      <c r="F68">
        <v>13</v>
      </c>
      <c r="I68" s="31"/>
      <c r="O68">
        <v>5</v>
      </c>
      <c r="P68" s="32">
        <f t="shared" si="5"/>
        <v>56.028686687584042</v>
      </c>
      <c r="Q68" s="32"/>
      <c r="R68" s="33"/>
      <c r="T68">
        <v>60</v>
      </c>
      <c r="V68">
        <v>20</v>
      </c>
      <c r="W68">
        <v>80</v>
      </c>
      <c r="X68">
        <v>0.1</v>
      </c>
      <c r="Y68">
        <v>40000</v>
      </c>
      <c r="AB68">
        <v>40</v>
      </c>
      <c r="AC68">
        <v>0.23</v>
      </c>
      <c r="AD68">
        <v>2.5</v>
      </c>
    </row>
    <row r="69" spans="1:33" x14ac:dyDescent="0.2">
      <c r="A69" t="s">
        <v>267</v>
      </c>
      <c r="B69" t="s">
        <v>292</v>
      </c>
      <c r="C69" t="s">
        <v>263</v>
      </c>
      <c r="F69">
        <v>35</v>
      </c>
      <c r="I69" s="31"/>
      <c r="O69">
        <v>5</v>
      </c>
      <c r="P69" s="32">
        <f t="shared" si="5"/>
        <v>56.028686687584042</v>
      </c>
      <c r="Q69" s="32"/>
      <c r="R69" s="33"/>
      <c r="T69">
        <v>60</v>
      </c>
      <c r="V69">
        <v>20</v>
      </c>
      <c r="W69">
        <v>80</v>
      </c>
      <c r="X69">
        <v>0.1</v>
      </c>
      <c r="Y69">
        <v>40000</v>
      </c>
      <c r="AB69">
        <v>40</v>
      </c>
      <c r="AC69">
        <v>0.63</v>
      </c>
      <c r="AD69">
        <v>6.9</v>
      </c>
    </row>
    <row r="70" spans="1:33" x14ac:dyDescent="0.2">
      <c r="A70" t="s">
        <v>267</v>
      </c>
      <c r="B70" t="s">
        <v>302</v>
      </c>
      <c r="C70" t="s">
        <v>263</v>
      </c>
      <c r="F70">
        <v>100</v>
      </c>
      <c r="I70" s="31"/>
      <c r="O70">
        <v>5</v>
      </c>
      <c r="P70" s="32">
        <f t="shared" si="5"/>
        <v>56.028686687584042</v>
      </c>
      <c r="Q70" s="32"/>
      <c r="R70" s="33"/>
      <c r="T70">
        <v>60</v>
      </c>
      <c r="V70">
        <v>20</v>
      </c>
      <c r="W70">
        <v>80</v>
      </c>
      <c r="X70">
        <v>0.1</v>
      </c>
      <c r="Y70">
        <v>40000</v>
      </c>
      <c r="AB70">
        <v>40</v>
      </c>
      <c r="AC70">
        <v>1.79</v>
      </c>
      <c r="AD70">
        <v>19.899999999999999</v>
      </c>
    </row>
    <row r="71" spans="1:33" hidden="1" x14ac:dyDescent="0.2">
      <c r="A71" t="s">
        <v>289</v>
      </c>
      <c r="B71" t="s">
        <v>353</v>
      </c>
      <c r="C71" t="s">
        <v>271</v>
      </c>
      <c r="D71">
        <v>300</v>
      </c>
      <c r="E71">
        <v>1200</v>
      </c>
      <c r="F71">
        <v>1500</v>
      </c>
      <c r="G71">
        <v>10</v>
      </c>
      <c r="H71" t="s">
        <v>272</v>
      </c>
      <c r="I71" s="31">
        <v>7.0000000000000007E-2</v>
      </c>
      <c r="J71">
        <v>5</v>
      </c>
      <c r="K71" t="s">
        <v>266</v>
      </c>
      <c r="L71">
        <v>8410</v>
      </c>
      <c r="M71">
        <v>-20</v>
      </c>
      <c r="N71">
        <v>45</v>
      </c>
      <c r="O71">
        <v>4.5</v>
      </c>
      <c r="P71" s="32">
        <f t="shared" si="5"/>
        <v>50.425818018825638</v>
      </c>
      <c r="Q71" s="32"/>
      <c r="R71" s="33">
        <v>0.33</v>
      </c>
      <c r="S71">
        <v>80</v>
      </c>
      <c r="T71">
        <v>66.7</v>
      </c>
      <c r="U71">
        <v>99.7</v>
      </c>
      <c r="V71">
        <v>40</v>
      </c>
      <c r="W71">
        <v>90</v>
      </c>
      <c r="X71">
        <v>5</v>
      </c>
      <c r="Y71">
        <v>80000</v>
      </c>
      <c r="Z71">
        <v>80000</v>
      </c>
      <c r="AA71">
        <v>3</v>
      </c>
      <c r="AB71">
        <v>30</v>
      </c>
      <c r="AC71">
        <v>25.23</v>
      </c>
      <c r="AD71">
        <v>280.3</v>
      </c>
      <c r="AE71" t="s">
        <v>266</v>
      </c>
      <c r="AF71">
        <v>5</v>
      </c>
      <c r="AG71">
        <v>750</v>
      </c>
    </row>
    <row r="72" spans="1:33" x14ac:dyDescent="0.2">
      <c r="A72" t="s">
        <v>275</v>
      </c>
      <c r="B72" t="s">
        <v>276</v>
      </c>
      <c r="C72" t="s">
        <v>263</v>
      </c>
      <c r="D72">
        <v>1</v>
      </c>
      <c r="E72">
        <v>6</v>
      </c>
      <c r="F72">
        <v>7</v>
      </c>
      <c r="G72">
        <v>400</v>
      </c>
      <c r="H72" t="s">
        <v>272</v>
      </c>
      <c r="I72" s="31">
        <v>0.42857142857142855</v>
      </c>
      <c r="J72">
        <v>40</v>
      </c>
      <c r="K72" t="s">
        <v>265</v>
      </c>
      <c r="L72">
        <v>8500</v>
      </c>
      <c r="M72">
        <v>5</v>
      </c>
      <c r="N72">
        <v>35</v>
      </c>
      <c r="R72" s="33"/>
      <c r="V72">
        <v>20</v>
      </c>
      <c r="W72">
        <v>65</v>
      </c>
      <c r="X72">
        <v>0.1</v>
      </c>
      <c r="Y72">
        <v>35000</v>
      </c>
      <c r="AA72">
        <v>3</v>
      </c>
      <c r="AB72">
        <v>20</v>
      </c>
      <c r="AC72">
        <v>0.1</v>
      </c>
      <c r="AD72">
        <v>1.1000000000000001</v>
      </c>
      <c r="AE72" t="s">
        <v>266</v>
      </c>
    </row>
    <row r="73" spans="1:33" x14ac:dyDescent="0.2">
      <c r="A73" t="s">
        <v>275</v>
      </c>
      <c r="B73" t="s">
        <v>283</v>
      </c>
      <c r="C73" t="s">
        <v>263</v>
      </c>
      <c r="D73">
        <v>1</v>
      </c>
      <c r="E73">
        <v>11</v>
      </c>
      <c r="F73">
        <v>14</v>
      </c>
      <c r="G73">
        <v>400</v>
      </c>
      <c r="H73" t="s">
        <v>272</v>
      </c>
      <c r="I73" s="31">
        <v>0.21428571428571427</v>
      </c>
      <c r="J73">
        <v>40</v>
      </c>
      <c r="K73" t="s">
        <v>265</v>
      </c>
      <c r="L73">
        <v>8500</v>
      </c>
      <c r="M73">
        <v>5</v>
      </c>
      <c r="N73">
        <v>35</v>
      </c>
      <c r="R73" s="33"/>
      <c r="V73">
        <v>20</v>
      </c>
      <c r="W73">
        <v>65</v>
      </c>
      <c r="X73">
        <v>0.1</v>
      </c>
      <c r="Y73">
        <v>35000</v>
      </c>
      <c r="AA73">
        <v>3</v>
      </c>
      <c r="AB73">
        <v>20</v>
      </c>
      <c r="AC73">
        <v>0.2</v>
      </c>
      <c r="AD73">
        <v>2.2000000000000002</v>
      </c>
      <c r="AE73" t="s">
        <v>266</v>
      </c>
    </row>
    <row r="74" spans="1:33" x14ac:dyDescent="0.2">
      <c r="A74" t="s">
        <v>275</v>
      </c>
      <c r="B74" t="s">
        <v>284</v>
      </c>
      <c r="C74" t="s">
        <v>263</v>
      </c>
      <c r="D74">
        <v>1</v>
      </c>
      <c r="E74">
        <v>17</v>
      </c>
      <c r="F74">
        <v>20</v>
      </c>
      <c r="G74">
        <v>400</v>
      </c>
      <c r="H74" t="s">
        <v>272</v>
      </c>
      <c r="I74" s="31">
        <v>0.15</v>
      </c>
      <c r="J74">
        <v>40</v>
      </c>
      <c r="K74" t="s">
        <v>265</v>
      </c>
      <c r="L74">
        <v>8500</v>
      </c>
      <c r="M74">
        <v>5</v>
      </c>
      <c r="N74">
        <v>35</v>
      </c>
      <c r="R74" s="33"/>
      <c r="V74">
        <v>20</v>
      </c>
      <c r="W74">
        <v>65</v>
      </c>
      <c r="X74">
        <v>0.1</v>
      </c>
      <c r="Y74">
        <v>35000</v>
      </c>
      <c r="AA74">
        <v>3</v>
      </c>
      <c r="AB74">
        <v>20</v>
      </c>
      <c r="AC74">
        <v>0.3</v>
      </c>
      <c r="AD74">
        <v>3.3</v>
      </c>
      <c r="AE74" t="s">
        <v>266</v>
      </c>
    </row>
    <row r="75" spans="1:33" x14ac:dyDescent="0.2">
      <c r="A75" t="s">
        <v>275</v>
      </c>
      <c r="B75" t="s">
        <v>288</v>
      </c>
      <c r="C75" t="s">
        <v>263</v>
      </c>
      <c r="D75">
        <v>1</v>
      </c>
      <c r="E75">
        <v>22</v>
      </c>
      <c r="F75">
        <v>27</v>
      </c>
      <c r="G75">
        <v>400</v>
      </c>
      <c r="H75" t="s">
        <v>272</v>
      </c>
      <c r="I75" s="31">
        <v>0.1111111111111111</v>
      </c>
      <c r="J75">
        <v>40</v>
      </c>
      <c r="K75" t="s">
        <v>265</v>
      </c>
      <c r="L75">
        <v>8500</v>
      </c>
      <c r="M75">
        <v>5</v>
      </c>
      <c r="N75">
        <v>35</v>
      </c>
      <c r="R75" s="33"/>
      <c r="V75">
        <v>20</v>
      </c>
      <c r="W75">
        <v>65</v>
      </c>
      <c r="X75">
        <v>0.1</v>
      </c>
      <c r="Y75">
        <v>35000</v>
      </c>
      <c r="AA75">
        <v>3</v>
      </c>
      <c r="AB75">
        <v>20</v>
      </c>
      <c r="AC75">
        <v>0.4</v>
      </c>
      <c r="AD75">
        <v>4.4000000000000004</v>
      </c>
      <c r="AE75" t="s">
        <v>266</v>
      </c>
    </row>
    <row r="76" spans="1:33" hidden="1" x14ac:dyDescent="0.2">
      <c r="A76" t="s">
        <v>273</v>
      </c>
      <c r="B76" t="s">
        <v>359</v>
      </c>
      <c r="C76" t="s">
        <v>271</v>
      </c>
      <c r="F76">
        <v>2000</v>
      </c>
      <c r="H76" t="s">
        <v>264</v>
      </c>
      <c r="I76" s="31"/>
      <c r="O76">
        <v>4.5</v>
      </c>
      <c r="P76" s="32">
        <f>((1000*O76)/0.08924)/1000</f>
        <v>50.425818018825638</v>
      </c>
      <c r="Q76" s="32"/>
      <c r="R76" s="33"/>
      <c r="T76">
        <v>66.7</v>
      </c>
      <c r="AB76">
        <v>30</v>
      </c>
      <c r="AC76">
        <v>36</v>
      </c>
      <c r="AD76">
        <v>400</v>
      </c>
    </row>
    <row r="77" spans="1:33" hidden="1" x14ac:dyDescent="0.2">
      <c r="A77" t="s">
        <v>334</v>
      </c>
      <c r="B77" t="s">
        <v>360</v>
      </c>
      <c r="C77" t="s">
        <v>271</v>
      </c>
      <c r="D77">
        <v>300</v>
      </c>
      <c r="E77">
        <v>1600</v>
      </c>
      <c r="F77">
        <v>2000</v>
      </c>
      <c r="G77">
        <v>10</v>
      </c>
      <c r="H77" t="s">
        <v>272</v>
      </c>
      <c r="I77" s="31">
        <v>5.2499999999999998E-2</v>
      </c>
      <c r="J77">
        <v>20</v>
      </c>
      <c r="K77" t="s">
        <v>266</v>
      </c>
      <c r="L77">
        <v>8568</v>
      </c>
      <c r="M77">
        <v>-20</v>
      </c>
      <c r="N77">
        <v>45</v>
      </c>
      <c r="O77">
        <v>4.8</v>
      </c>
      <c r="P77" s="32">
        <f>((1000*O77)/0.08924)/1000</f>
        <v>53.787539220080681</v>
      </c>
      <c r="Q77" s="32"/>
      <c r="R77" s="33">
        <v>0.33</v>
      </c>
      <c r="S77">
        <v>80</v>
      </c>
      <c r="T77">
        <v>62.5</v>
      </c>
      <c r="U77">
        <v>95.5</v>
      </c>
      <c r="V77">
        <v>40</v>
      </c>
      <c r="W77">
        <v>90</v>
      </c>
      <c r="X77">
        <v>5</v>
      </c>
      <c r="Y77">
        <v>70000</v>
      </c>
      <c r="Z77">
        <v>70000</v>
      </c>
      <c r="AA77">
        <v>2.7</v>
      </c>
      <c r="AB77">
        <v>1</v>
      </c>
      <c r="AC77">
        <v>33.64</v>
      </c>
      <c r="AD77">
        <v>373.8</v>
      </c>
      <c r="AE77" t="s">
        <v>266</v>
      </c>
      <c r="AF77">
        <v>5</v>
      </c>
      <c r="AG77">
        <v>750</v>
      </c>
    </row>
    <row r="78" spans="1:33" x14ac:dyDescent="0.2">
      <c r="A78" t="s">
        <v>275</v>
      </c>
      <c r="B78" t="s">
        <v>291</v>
      </c>
      <c r="C78" t="s">
        <v>263</v>
      </c>
      <c r="D78">
        <v>1</v>
      </c>
      <c r="E78">
        <v>27</v>
      </c>
      <c r="F78">
        <v>33</v>
      </c>
      <c r="G78">
        <v>400</v>
      </c>
      <c r="H78" t="s">
        <v>272</v>
      </c>
      <c r="I78" s="31">
        <v>9.0909090909090912E-2</v>
      </c>
      <c r="J78">
        <v>40</v>
      </c>
      <c r="K78" t="s">
        <v>265</v>
      </c>
      <c r="L78">
        <v>8500</v>
      </c>
      <c r="M78">
        <v>5</v>
      </c>
      <c r="N78">
        <v>35</v>
      </c>
      <c r="R78" s="33"/>
      <c r="V78">
        <v>20</v>
      </c>
      <c r="W78">
        <v>65</v>
      </c>
      <c r="X78">
        <v>0.1</v>
      </c>
      <c r="Y78">
        <v>35000</v>
      </c>
      <c r="AA78">
        <v>3</v>
      </c>
      <c r="AB78">
        <v>20</v>
      </c>
      <c r="AC78">
        <v>0.5</v>
      </c>
      <c r="AD78">
        <v>5.6</v>
      </c>
      <c r="AE78" t="s">
        <v>266</v>
      </c>
    </row>
    <row r="79" spans="1:33" x14ac:dyDescent="0.2">
      <c r="A79" t="s">
        <v>303</v>
      </c>
      <c r="B79" t="s">
        <v>304</v>
      </c>
      <c r="C79" t="s">
        <v>263</v>
      </c>
      <c r="D79">
        <v>12</v>
      </c>
      <c r="E79">
        <v>100</v>
      </c>
      <c r="F79">
        <v>105</v>
      </c>
      <c r="G79">
        <v>400</v>
      </c>
      <c r="H79" t="s">
        <v>272</v>
      </c>
      <c r="I79" s="31">
        <v>6.6666666666666666E-2</v>
      </c>
      <c r="J79">
        <v>40</v>
      </c>
      <c r="K79" t="s">
        <v>266</v>
      </c>
      <c r="L79">
        <v>8600</v>
      </c>
      <c r="M79">
        <v>5</v>
      </c>
      <c r="N79">
        <v>45</v>
      </c>
      <c r="R79" s="33"/>
      <c r="AB79">
        <v>30</v>
      </c>
      <c r="AC79">
        <v>1.75</v>
      </c>
      <c r="AD79">
        <v>19.399999999999999</v>
      </c>
      <c r="AE79" t="s">
        <v>266</v>
      </c>
    </row>
    <row r="80" spans="1:33" hidden="1" x14ac:dyDescent="0.2">
      <c r="A80" t="s">
        <v>363</v>
      </c>
      <c r="B80" t="s">
        <v>364</v>
      </c>
      <c r="C80" t="s">
        <v>347</v>
      </c>
      <c r="D80">
        <v>135</v>
      </c>
      <c r="F80">
        <v>2475</v>
      </c>
      <c r="H80" t="s">
        <v>272</v>
      </c>
      <c r="I80" s="31">
        <v>0.12121212121212122</v>
      </c>
      <c r="M80">
        <v>-20</v>
      </c>
      <c r="N80">
        <v>40</v>
      </c>
      <c r="O80">
        <v>3.6</v>
      </c>
      <c r="P80" s="32">
        <f>((1000*O80)/0.08924)/1000</f>
        <v>40.340654415060513</v>
      </c>
      <c r="Q80" s="32">
        <v>16</v>
      </c>
      <c r="R80" s="33"/>
      <c r="T80" s="34">
        <f>(120/(P80*3.6))*100</f>
        <v>82.629629629629633</v>
      </c>
      <c r="AB80">
        <v>4.5</v>
      </c>
      <c r="AC80">
        <v>67.5</v>
      </c>
      <c r="AD80">
        <v>750</v>
      </c>
    </row>
    <row r="81" spans="1:33" x14ac:dyDescent="0.2">
      <c r="A81" t="s">
        <v>303</v>
      </c>
      <c r="B81" t="s">
        <v>314</v>
      </c>
      <c r="C81" t="s">
        <v>263</v>
      </c>
      <c r="D81">
        <v>24</v>
      </c>
      <c r="E81">
        <v>200</v>
      </c>
      <c r="F81">
        <v>210</v>
      </c>
      <c r="G81">
        <v>400</v>
      </c>
      <c r="H81" t="s">
        <v>272</v>
      </c>
      <c r="I81" s="31">
        <v>6.6666666666666666E-2</v>
      </c>
      <c r="J81">
        <v>40</v>
      </c>
      <c r="K81" t="s">
        <v>266</v>
      </c>
      <c r="L81">
        <v>8600</v>
      </c>
      <c r="M81">
        <v>5</v>
      </c>
      <c r="N81">
        <v>45</v>
      </c>
      <c r="R81" s="33"/>
      <c r="AB81">
        <v>30</v>
      </c>
      <c r="AC81">
        <v>3.5</v>
      </c>
      <c r="AD81">
        <v>38.9</v>
      </c>
      <c r="AE81" t="s">
        <v>266</v>
      </c>
    </row>
    <row r="82" spans="1:33" hidden="1" x14ac:dyDescent="0.2">
      <c r="A82" t="s">
        <v>334</v>
      </c>
      <c r="B82" t="s">
        <v>366</v>
      </c>
      <c r="C82" t="s">
        <v>271</v>
      </c>
      <c r="D82">
        <v>300</v>
      </c>
      <c r="E82">
        <v>2400</v>
      </c>
      <c r="F82">
        <v>3000</v>
      </c>
      <c r="G82">
        <v>10</v>
      </c>
      <c r="H82" t="s">
        <v>272</v>
      </c>
      <c r="I82" s="31">
        <v>3.5000000000000003E-2</v>
      </c>
      <c r="J82">
        <v>5</v>
      </c>
      <c r="K82" t="s">
        <v>266</v>
      </c>
      <c r="L82">
        <v>8568</v>
      </c>
      <c r="M82">
        <v>-20</v>
      </c>
      <c r="N82">
        <v>45</v>
      </c>
      <c r="O82">
        <v>4.5</v>
      </c>
      <c r="P82" s="32">
        <f>((1000*O82)/0.08924)/1000</f>
        <v>50.425818018825638</v>
      </c>
      <c r="Q82" s="32"/>
      <c r="R82" s="33">
        <v>0.33</v>
      </c>
      <c r="S82">
        <v>80</v>
      </c>
      <c r="T82">
        <v>66.7</v>
      </c>
      <c r="U82">
        <v>99.7</v>
      </c>
      <c r="V82">
        <v>40</v>
      </c>
      <c r="W82">
        <v>90</v>
      </c>
      <c r="X82">
        <v>5</v>
      </c>
      <c r="Y82">
        <v>80000</v>
      </c>
      <c r="Z82">
        <v>80000</v>
      </c>
      <c r="AA82">
        <v>3</v>
      </c>
      <c r="AB82">
        <v>30</v>
      </c>
      <c r="AC82">
        <v>50.46</v>
      </c>
      <c r="AD82">
        <v>560.70000000000005</v>
      </c>
      <c r="AE82" t="s">
        <v>266</v>
      </c>
      <c r="AF82">
        <v>5</v>
      </c>
      <c r="AG82">
        <v>750</v>
      </c>
    </row>
    <row r="83" spans="1:33" x14ac:dyDescent="0.2">
      <c r="A83" t="s">
        <v>318</v>
      </c>
      <c r="B83" t="s">
        <v>319</v>
      </c>
      <c r="C83" t="s">
        <v>263</v>
      </c>
      <c r="D83">
        <v>40</v>
      </c>
      <c r="E83">
        <v>225</v>
      </c>
      <c r="F83">
        <v>330</v>
      </c>
      <c r="G83">
        <v>400</v>
      </c>
      <c r="H83" t="s">
        <v>272</v>
      </c>
      <c r="I83" s="31">
        <v>4.2424242424242427E-2</v>
      </c>
      <c r="J83">
        <v>30</v>
      </c>
      <c r="K83" t="s">
        <v>265</v>
      </c>
      <c r="L83">
        <v>8322</v>
      </c>
      <c r="M83">
        <v>-15</v>
      </c>
      <c r="N83">
        <v>30</v>
      </c>
      <c r="R83" s="33"/>
      <c r="X83">
        <v>0.1</v>
      </c>
      <c r="AA83">
        <v>5</v>
      </c>
      <c r="AB83">
        <v>30</v>
      </c>
      <c r="AC83">
        <v>4.2300000000000004</v>
      </c>
      <c r="AD83">
        <v>47</v>
      </c>
      <c r="AE83" t="s">
        <v>265</v>
      </c>
    </row>
    <row r="84" spans="1:33" x14ac:dyDescent="0.2">
      <c r="A84" t="s">
        <v>303</v>
      </c>
      <c r="B84" t="s">
        <v>321</v>
      </c>
      <c r="C84" t="s">
        <v>263</v>
      </c>
      <c r="D84">
        <v>48</v>
      </c>
      <c r="E84">
        <v>400</v>
      </c>
      <c r="F84">
        <v>420</v>
      </c>
      <c r="G84">
        <v>400</v>
      </c>
      <c r="H84" t="s">
        <v>272</v>
      </c>
      <c r="I84" s="31">
        <v>6.4285714285714279E-2</v>
      </c>
      <c r="J84">
        <v>40</v>
      </c>
      <c r="K84" t="s">
        <v>266</v>
      </c>
      <c r="L84">
        <v>8600</v>
      </c>
      <c r="M84">
        <v>5</v>
      </c>
      <c r="N84">
        <v>45</v>
      </c>
      <c r="R84" s="33"/>
      <c r="AB84">
        <v>30</v>
      </c>
      <c r="AC84">
        <v>7</v>
      </c>
      <c r="AD84">
        <v>77.8</v>
      </c>
      <c r="AE84" t="s">
        <v>266</v>
      </c>
    </row>
    <row r="85" spans="1:33" hidden="1" x14ac:dyDescent="0.2">
      <c r="A85" t="s">
        <v>273</v>
      </c>
      <c r="B85" t="s">
        <v>369</v>
      </c>
      <c r="C85" t="s">
        <v>271</v>
      </c>
      <c r="F85">
        <v>4000</v>
      </c>
      <c r="H85" t="s">
        <v>264</v>
      </c>
      <c r="I85" s="31"/>
      <c r="O85">
        <v>4.5</v>
      </c>
      <c r="P85" s="32">
        <f>((1000*O85)/0.08924)/1000</f>
        <v>50.425818018825638</v>
      </c>
      <c r="Q85" s="32"/>
      <c r="R85" s="33"/>
      <c r="T85">
        <v>66.7</v>
      </c>
      <c r="AB85">
        <v>30</v>
      </c>
      <c r="AC85">
        <v>72</v>
      </c>
      <c r="AD85">
        <v>800</v>
      </c>
    </row>
    <row r="86" spans="1:33" x14ac:dyDescent="0.2">
      <c r="A86" t="s">
        <v>327</v>
      </c>
      <c r="B86" t="s">
        <v>328</v>
      </c>
      <c r="C86" t="s">
        <v>263</v>
      </c>
      <c r="F86">
        <v>700</v>
      </c>
      <c r="G86">
        <v>400</v>
      </c>
      <c r="H86" t="s">
        <v>272</v>
      </c>
      <c r="I86" s="31"/>
      <c r="J86">
        <v>1</v>
      </c>
      <c r="K86" t="s">
        <v>265</v>
      </c>
      <c r="R86" s="33"/>
      <c r="AA86">
        <v>5</v>
      </c>
      <c r="AB86">
        <v>20</v>
      </c>
      <c r="AC86">
        <v>11</v>
      </c>
      <c r="AD86">
        <v>122.2</v>
      </c>
      <c r="AE86" t="s">
        <v>265</v>
      </c>
    </row>
    <row r="87" spans="1:33" x14ac:dyDescent="0.2">
      <c r="A87" t="s">
        <v>303</v>
      </c>
      <c r="B87" t="s">
        <v>349</v>
      </c>
      <c r="C87" t="s">
        <v>263</v>
      </c>
      <c r="D87">
        <v>131</v>
      </c>
      <c r="E87">
        <v>1100</v>
      </c>
      <c r="F87">
        <v>1155</v>
      </c>
      <c r="G87">
        <v>400</v>
      </c>
      <c r="H87" t="s">
        <v>272</v>
      </c>
      <c r="I87" s="31">
        <v>4.7619047619047616E-2</v>
      </c>
      <c r="J87">
        <v>40</v>
      </c>
      <c r="K87" t="s">
        <v>266</v>
      </c>
      <c r="L87">
        <v>8600</v>
      </c>
      <c r="M87">
        <v>-20</v>
      </c>
      <c r="N87">
        <v>40</v>
      </c>
      <c r="R87" s="33"/>
      <c r="AB87">
        <v>30</v>
      </c>
      <c r="AC87">
        <v>20</v>
      </c>
      <c r="AD87">
        <v>222.2</v>
      </c>
      <c r="AE87" t="s">
        <v>266</v>
      </c>
    </row>
    <row r="88" spans="1:33" x14ac:dyDescent="0.2">
      <c r="A88" t="s">
        <v>327</v>
      </c>
      <c r="B88" t="s">
        <v>351</v>
      </c>
      <c r="C88" t="s">
        <v>263</v>
      </c>
      <c r="F88">
        <v>1390</v>
      </c>
      <c r="G88">
        <v>11000</v>
      </c>
      <c r="H88" t="s">
        <v>272</v>
      </c>
      <c r="I88" s="31"/>
      <c r="K88" t="s">
        <v>265</v>
      </c>
      <c r="R88" s="33"/>
      <c r="AA88">
        <v>5</v>
      </c>
      <c r="AB88">
        <v>20</v>
      </c>
      <c r="AC88">
        <v>22</v>
      </c>
      <c r="AD88">
        <v>244.4</v>
      </c>
      <c r="AE88" t="s">
        <v>265</v>
      </c>
    </row>
    <row r="89" spans="1:33" x14ac:dyDescent="0.2">
      <c r="A89" t="s">
        <v>318</v>
      </c>
      <c r="B89" t="s">
        <v>352</v>
      </c>
      <c r="C89" t="s">
        <v>263</v>
      </c>
      <c r="D89">
        <v>200</v>
      </c>
      <c r="E89">
        <v>1000</v>
      </c>
      <c r="F89">
        <v>1400</v>
      </c>
      <c r="G89">
        <v>568</v>
      </c>
      <c r="H89" t="s">
        <v>272</v>
      </c>
      <c r="I89" s="31">
        <v>0.02</v>
      </c>
      <c r="J89">
        <v>30</v>
      </c>
      <c r="K89" t="s">
        <v>265</v>
      </c>
      <c r="L89">
        <v>8322</v>
      </c>
      <c r="M89">
        <v>-20</v>
      </c>
      <c r="N89">
        <v>40</v>
      </c>
      <c r="R89" s="33"/>
      <c r="X89">
        <v>0.1</v>
      </c>
      <c r="AA89">
        <v>5</v>
      </c>
      <c r="AB89">
        <v>30</v>
      </c>
      <c r="AC89">
        <v>18.899999999999999</v>
      </c>
      <c r="AD89">
        <v>210</v>
      </c>
      <c r="AE89" t="s">
        <v>265</v>
      </c>
    </row>
    <row r="90" spans="1:33" hidden="1" x14ac:dyDescent="0.2">
      <c r="A90" t="s">
        <v>374</v>
      </c>
      <c r="B90" t="s">
        <v>375</v>
      </c>
      <c r="C90" t="s">
        <v>347</v>
      </c>
      <c r="F90">
        <v>10000</v>
      </c>
      <c r="G90">
        <v>800</v>
      </c>
      <c r="H90" t="s">
        <v>264</v>
      </c>
      <c r="I90" s="31">
        <v>0</v>
      </c>
      <c r="M90">
        <v>-20</v>
      </c>
      <c r="N90">
        <v>45</v>
      </c>
      <c r="P90">
        <v>38.700000000000003</v>
      </c>
      <c r="Q90">
        <f>4.7*3.6</f>
        <v>16.920000000000002</v>
      </c>
      <c r="R90" s="33"/>
      <c r="T90" s="34">
        <f>(120/(P90*3.6))*100</f>
        <v>86.132644272179135</v>
      </c>
      <c r="Y90">
        <f>8760*5</f>
        <v>43800</v>
      </c>
      <c r="AB90">
        <v>1.004</v>
      </c>
      <c r="AC90">
        <v>259</v>
      </c>
    </row>
    <row r="91" spans="1:33" hidden="1" x14ac:dyDescent="0.2">
      <c r="A91" t="s">
        <v>374</v>
      </c>
      <c r="B91" t="s">
        <v>376</v>
      </c>
      <c r="C91" t="s">
        <v>346</v>
      </c>
      <c r="F91">
        <v>10000</v>
      </c>
      <c r="G91">
        <v>800</v>
      </c>
      <c r="H91" t="s">
        <v>264</v>
      </c>
      <c r="I91" s="31">
        <v>0</v>
      </c>
      <c r="M91">
        <v>-20</v>
      </c>
      <c r="N91">
        <v>45</v>
      </c>
      <c r="P91">
        <v>48.8</v>
      </c>
      <c r="R91" s="33"/>
      <c r="T91" s="34">
        <f>(120/(P91*3.6))*100</f>
        <v>68.30601092896174</v>
      </c>
      <c r="AB91">
        <v>1.004</v>
      </c>
      <c r="AC91">
        <v>259</v>
      </c>
    </row>
    <row r="92" spans="1:33" x14ac:dyDescent="0.2">
      <c r="A92" t="s">
        <v>327</v>
      </c>
      <c r="B92" t="s">
        <v>361</v>
      </c>
      <c r="C92" t="s">
        <v>263</v>
      </c>
      <c r="F92">
        <v>2350</v>
      </c>
      <c r="G92">
        <v>11000</v>
      </c>
      <c r="H92" t="s">
        <v>272</v>
      </c>
      <c r="I92" s="31"/>
      <c r="K92" t="s">
        <v>265</v>
      </c>
      <c r="R92" s="33"/>
      <c r="AA92">
        <v>5</v>
      </c>
      <c r="AB92">
        <v>20</v>
      </c>
      <c r="AC92">
        <v>36</v>
      </c>
      <c r="AD92">
        <v>400</v>
      </c>
      <c r="AE92" t="s">
        <v>265</v>
      </c>
    </row>
    <row r="93" spans="1:33" x14ac:dyDescent="0.2">
      <c r="A93" t="s">
        <v>341</v>
      </c>
      <c r="B93" t="s">
        <v>365</v>
      </c>
      <c r="C93" t="s">
        <v>263</v>
      </c>
      <c r="D93">
        <v>125</v>
      </c>
      <c r="E93">
        <v>2500</v>
      </c>
      <c r="F93">
        <v>2500</v>
      </c>
      <c r="G93">
        <v>400</v>
      </c>
      <c r="H93" t="s">
        <v>280</v>
      </c>
      <c r="I93" s="31">
        <v>2.4E-2</v>
      </c>
      <c r="J93">
        <v>30</v>
      </c>
      <c r="K93" t="s">
        <v>265</v>
      </c>
      <c r="L93">
        <v>8322</v>
      </c>
      <c r="M93">
        <v>-20</v>
      </c>
      <c r="N93">
        <v>40</v>
      </c>
      <c r="R93" s="33"/>
      <c r="S93">
        <v>60</v>
      </c>
      <c r="X93">
        <v>0.1</v>
      </c>
      <c r="AA93">
        <v>3.5</v>
      </c>
      <c r="AC93">
        <v>45</v>
      </c>
      <c r="AD93">
        <v>500</v>
      </c>
      <c r="AE93" t="s">
        <v>266</v>
      </c>
      <c r="AF93">
        <v>5</v>
      </c>
      <c r="AG93">
        <v>30</v>
      </c>
    </row>
    <row r="94" spans="1:33" hidden="1" x14ac:dyDescent="0.2">
      <c r="A94" t="s">
        <v>379</v>
      </c>
      <c r="B94" t="s">
        <v>380</v>
      </c>
      <c r="C94" t="s">
        <v>271</v>
      </c>
      <c r="D94">
        <v>4192</v>
      </c>
      <c r="F94">
        <v>10481</v>
      </c>
      <c r="H94" t="s">
        <v>272</v>
      </c>
      <c r="I94" s="31">
        <v>4.2934834462360461E-2</v>
      </c>
      <c r="M94">
        <v>5</v>
      </c>
      <c r="N94">
        <v>40</v>
      </c>
      <c r="O94">
        <v>4.7</v>
      </c>
      <c r="P94" s="32">
        <f>((1000*O94)/0.08924)/1000</f>
        <v>52.666965486328998</v>
      </c>
      <c r="Q94" s="32"/>
      <c r="R94" s="33"/>
      <c r="T94">
        <v>63.8</v>
      </c>
      <c r="W94">
        <v>85</v>
      </c>
      <c r="Y94">
        <v>90000</v>
      </c>
      <c r="AA94">
        <v>2.6</v>
      </c>
      <c r="AB94">
        <v>30</v>
      </c>
      <c r="AC94">
        <v>200.7</v>
      </c>
      <c r="AD94">
        <v>2230</v>
      </c>
    </row>
    <row r="95" spans="1:33" x14ac:dyDescent="0.2">
      <c r="A95" t="s">
        <v>338</v>
      </c>
      <c r="B95" t="s">
        <v>372</v>
      </c>
      <c r="C95" t="s">
        <v>263</v>
      </c>
      <c r="F95">
        <v>5000</v>
      </c>
      <c r="H95" t="s">
        <v>272</v>
      </c>
      <c r="I95" s="31">
        <v>2.4E-2</v>
      </c>
      <c r="J95">
        <v>30</v>
      </c>
      <c r="M95">
        <v>-20</v>
      </c>
      <c r="N95">
        <v>40</v>
      </c>
      <c r="R95" s="33"/>
      <c r="AA95">
        <v>5</v>
      </c>
      <c r="AB95">
        <v>40</v>
      </c>
      <c r="AC95">
        <v>90</v>
      </c>
      <c r="AD95">
        <v>1000</v>
      </c>
    </row>
    <row r="96" spans="1:33" hidden="1" x14ac:dyDescent="0.2">
      <c r="A96" t="s">
        <v>382</v>
      </c>
      <c r="B96" t="s">
        <v>383</v>
      </c>
      <c r="C96" t="s">
        <v>271</v>
      </c>
      <c r="D96">
        <v>1800</v>
      </c>
      <c r="F96">
        <v>18000</v>
      </c>
      <c r="H96" t="s">
        <v>264</v>
      </c>
      <c r="I96" s="31">
        <v>0</v>
      </c>
      <c r="O96">
        <v>4.5</v>
      </c>
      <c r="P96" s="32">
        <f>((1000*O96)/0.08924)/1000</f>
        <v>50.425818018825638</v>
      </c>
      <c r="Q96" s="32"/>
      <c r="R96" s="33"/>
      <c r="T96">
        <v>66.7</v>
      </c>
      <c r="W96">
        <v>90</v>
      </c>
      <c r="AA96">
        <v>3</v>
      </c>
      <c r="AB96">
        <v>0</v>
      </c>
      <c r="AC96">
        <v>360</v>
      </c>
      <c r="AD96">
        <v>4000</v>
      </c>
      <c r="AE96" t="s">
        <v>266</v>
      </c>
    </row>
    <row r="97" spans="1:33" x14ac:dyDescent="0.2">
      <c r="A97" t="s">
        <v>327</v>
      </c>
      <c r="B97" t="s">
        <v>378</v>
      </c>
      <c r="C97" t="s">
        <v>263</v>
      </c>
      <c r="F97">
        <v>10070</v>
      </c>
      <c r="G97">
        <v>11000</v>
      </c>
      <c r="H97" t="s">
        <v>272</v>
      </c>
      <c r="I97" s="31"/>
      <c r="K97" t="s">
        <v>266</v>
      </c>
      <c r="R97" s="33"/>
      <c r="AA97">
        <v>5</v>
      </c>
      <c r="AB97">
        <v>20</v>
      </c>
      <c r="AC97">
        <v>168.75</v>
      </c>
      <c r="AD97">
        <v>1875</v>
      </c>
      <c r="AE97" t="s">
        <v>266</v>
      </c>
    </row>
    <row r="98" spans="1:33" x14ac:dyDescent="0.2">
      <c r="A98" t="s">
        <v>341</v>
      </c>
      <c r="B98" t="s">
        <v>385</v>
      </c>
      <c r="C98" t="s">
        <v>263</v>
      </c>
      <c r="G98">
        <v>400</v>
      </c>
      <c r="H98" t="s">
        <v>280</v>
      </c>
      <c r="I98" s="31"/>
      <c r="J98">
        <v>30</v>
      </c>
      <c r="K98" t="s">
        <v>265</v>
      </c>
      <c r="L98">
        <v>8322</v>
      </c>
      <c r="M98">
        <v>-20</v>
      </c>
      <c r="N98">
        <v>40</v>
      </c>
      <c r="R98" s="33"/>
      <c r="S98">
        <v>60</v>
      </c>
      <c r="X98">
        <v>0.1</v>
      </c>
      <c r="AA98">
        <v>3.5</v>
      </c>
      <c r="AE98" t="s">
        <v>266</v>
      </c>
      <c r="AF98">
        <v>5</v>
      </c>
      <c r="AG98">
        <v>30</v>
      </c>
    </row>
    <row r="99" spans="1:33" x14ac:dyDescent="0.2">
      <c r="A99" t="s">
        <v>338</v>
      </c>
      <c r="B99" t="s">
        <v>386</v>
      </c>
      <c r="C99" t="s">
        <v>263</v>
      </c>
      <c r="G99">
        <v>64</v>
      </c>
      <c r="I99" s="31"/>
      <c r="R99" s="33"/>
      <c r="V99">
        <v>5</v>
      </c>
      <c r="W99">
        <v>70</v>
      </c>
      <c r="Y99">
        <v>80000</v>
      </c>
      <c r="AC99">
        <v>4.5</v>
      </c>
      <c r="AD99">
        <v>50</v>
      </c>
    </row>
    <row r="100" spans="1:33" x14ac:dyDescent="0.2">
      <c r="A100" t="s">
        <v>338</v>
      </c>
      <c r="B100" t="s">
        <v>387</v>
      </c>
      <c r="C100" t="s">
        <v>263</v>
      </c>
      <c r="G100">
        <v>260</v>
      </c>
      <c r="I100" s="31"/>
      <c r="R100" s="33"/>
      <c r="V100">
        <v>5</v>
      </c>
      <c r="W100">
        <v>70</v>
      </c>
      <c r="Y100">
        <v>80000</v>
      </c>
      <c r="AC100">
        <v>18</v>
      </c>
      <c r="AD100">
        <v>200</v>
      </c>
    </row>
    <row r="101" spans="1:33" x14ac:dyDescent="0.2">
      <c r="A101" t="s">
        <v>338</v>
      </c>
      <c r="B101" t="s">
        <v>388</v>
      </c>
      <c r="C101" t="s">
        <v>263</v>
      </c>
      <c r="G101">
        <v>54</v>
      </c>
      <c r="I101" s="31"/>
      <c r="M101">
        <v>5</v>
      </c>
      <c r="N101">
        <v>70</v>
      </c>
      <c r="R101" s="33"/>
      <c r="Y101">
        <v>80000</v>
      </c>
      <c r="AC101">
        <v>0.9</v>
      </c>
      <c r="AD101">
        <v>10</v>
      </c>
    </row>
    <row r="102" spans="1:33" x14ac:dyDescent="0.2">
      <c r="A102" t="s">
        <v>338</v>
      </c>
      <c r="B102" t="s">
        <v>389</v>
      </c>
      <c r="C102" t="s">
        <v>263</v>
      </c>
      <c r="G102">
        <v>163</v>
      </c>
      <c r="I102" s="31"/>
      <c r="M102">
        <v>5</v>
      </c>
      <c r="N102">
        <v>70</v>
      </c>
      <c r="R102" s="33"/>
      <c r="Y102">
        <v>80000</v>
      </c>
      <c r="AC102">
        <v>2.7</v>
      </c>
      <c r="AD102">
        <v>30</v>
      </c>
    </row>
    <row r="103" spans="1:33" x14ac:dyDescent="0.2">
      <c r="A103" t="s">
        <v>390</v>
      </c>
      <c r="B103" t="s">
        <v>391</v>
      </c>
      <c r="C103" t="s">
        <v>263</v>
      </c>
      <c r="I103" s="31"/>
      <c r="J103">
        <v>10</v>
      </c>
      <c r="R103" s="33"/>
      <c r="AA103">
        <v>5</v>
      </c>
      <c r="AC103">
        <v>100</v>
      </c>
      <c r="AD103">
        <v>1111</v>
      </c>
    </row>
    <row r="104" spans="1:33" x14ac:dyDescent="0.2">
      <c r="A104" t="s">
        <v>390</v>
      </c>
      <c r="B104" t="s">
        <v>392</v>
      </c>
      <c r="C104" t="s">
        <v>263</v>
      </c>
      <c r="I104" s="31"/>
      <c r="J104">
        <v>10</v>
      </c>
      <c r="R104" s="33"/>
      <c r="AA104">
        <v>5</v>
      </c>
      <c r="AC104">
        <v>2000</v>
      </c>
      <c r="AD104">
        <v>22222</v>
      </c>
    </row>
  </sheetData>
  <autoFilter ref="A3:AG104" xr:uid="{69188E51-C45A-8344-B1B4-B0522AA36215}">
    <filterColumn colId="2">
      <filters>
        <filter val="PEM"/>
      </filters>
    </filterColumn>
    <sortState xmlns:xlrd2="http://schemas.microsoft.com/office/spreadsheetml/2017/richdata2" ref="A4:AG104">
      <sortCondition ref="P3:P104"/>
    </sortState>
  </autoFilter>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lci</vt:lpstr>
      <vt:lpstr>Final specifications</vt:lpstr>
      <vt:lpstr>Manufacturers' data</vt:lpstr>
    </vt:vector>
  </TitlesOfParts>
  <Company>PSI - Paul Scherrer Institut</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Terlouw Tom Mike</dc:creator>
  <cp:lastModifiedBy>Romain Sacchi</cp:lastModifiedBy>
  <dcterms:created xsi:type="dcterms:W3CDTF">2020-12-17T11:52:00Z</dcterms:created>
  <dcterms:modified xsi:type="dcterms:W3CDTF">2025-09-26T09:12:41Z</dcterms:modified>
</cp:coreProperties>
</file>