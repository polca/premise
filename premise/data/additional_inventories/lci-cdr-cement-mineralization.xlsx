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F921F65B-8B69-634E-A81A-26020F9F03B9}" xr6:coauthVersionLast="47" xr6:coauthVersionMax="47" xr10:uidLastSave="{00000000-0000-0000-0000-000000000000}"/>
  <bookViews>
    <workbookView xWindow="4440" yWindow="760" windowWidth="25800" windowHeight="18880" xr2:uid="{00000000-000D-0000-FFFF-FFFF00000000}"/>
  </bookViews>
  <sheets>
    <sheet name="cement mineralization" sheetId="1" r:id="rId1"/>
  </sheets>
  <definedNames>
    <definedName name="_xlnm._FilterDatabase" localSheetId="0" hidden="1">'cement mineralization'!$A$1:$O$87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B88" i="1"/>
  <c r="B25" i="1"/>
  <c r="B24" i="1"/>
  <c r="B23" i="1"/>
  <c r="B84" i="1"/>
  <c r="B86" i="1"/>
  <c r="B85" i="1"/>
  <c r="J78" i="1"/>
  <c r="I78" i="1"/>
  <c r="F78" i="1"/>
  <c r="J77" i="1"/>
  <c r="I77" i="1"/>
  <c r="I76" i="1"/>
  <c r="J76" i="1"/>
  <c r="F77" i="1"/>
  <c r="F76" i="1"/>
  <c r="B75" i="1"/>
  <c r="F75" i="1" s="1"/>
  <c r="B83" i="1"/>
  <c r="F56" i="1"/>
  <c r="B62" i="1"/>
  <c r="F55" i="1"/>
  <c r="F74" i="1"/>
  <c r="B45" i="1"/>
  <c r="B38" i="1"/>
  <c r="F38" i="1" s="1"/>
  <c r="B37" i="1"/>
  <c r="G21" i="1"/>
  <c r="J12" i="1"/>
  <c r="I12" i="1"/>
  <c r="B12" i="1"/>
  <c r="F12" i="1" s="1"/>
  <c r="B20" i="1"/>
  <c r="F11" i="1"/>
  <c r="B87" i="1" l="1"/>
  <c r="J75" i="1"/>
  <c r="I75" i="1"/>
  <c r="B44" i="1"/>
  <c r="I37" i="1"/>
  <c r="J37" i="1"/>
  <c r="J38" i="1"/>
  <c r="F37" i="1"/>
  <c r="I38" i="1"/>
  <c r="B22" i="1"/>
  <c r="G82" i="1" l="1"/>
  <c r="G61" i="1" s="1"/>
  <c r="A82" i="1"/>
  <c r="A61" i="1" s="1"/>
  <c r="B61" i="1"/>
  <c r="B63" i="1" s="1"/>
  <c r="G43" i="1"/>
  <c r="G60" i="1"/>
  <c r="G42" i="1"/>
  <c r="A43" i="1"/>
  <c r="A60" i="1"/>
  <c r="A21" i="1"/>
  <c r="A42" i="1"/>
  <c r="A18" i="1"/>
</calcChain>
</file>

<file path=xl/sharedStrings.xml><?xml version="1.0" encoding="utf-8"?>
<sst xmlns="http://schemas.openxmlformats.org/spreadsheetml/2006/main" count="290" uniqueCount="117">
  <si>
    <t>Activity</t>
  </si>
  <si>
    <t>comment</t>
  </si>
  <si>
    <t>location</t>
  </si>
  <si>
    <t>RER</t>
  </si>
  <si>
    <t>reference product</t>
  </si>
  <si>
    <t>carbon dioxide, captured</t>
  </si>
  <si>
    <t>unit</t>
  </si>
  <si>
    <t>kilogram</t>
  </si>
  <si>
    <t>Exchanges</t>
  </si>
  <si>
    <t>name</t>
  </si>
  <si>
    <t>amount</t>
  </si>
  <si>
    <t>categories</t>
  </si>
  <si>
    <t>type</t>
  </si>
  <si>
    <t>uncertainty type</t>
  </si>
  <si>
    <t>loc</t>
  </si>
  <si>
    <t>scale</t>
  </si>
  <si>
    <t>shape</t>
  </si>
  <si>
    <t>minimum</t>
  </si>
  <si>
    <t>maximum</t>
  </si>
  <si>
    <t>production</t>
  </si>
  <si>
    <t>technosphere</t>
  </si>
  <si>
    <t>ton kilometer</t>
  </si>
  <si>
    <t>database</t>
  </si>
  <si>
    <t>GLO</t>
  </si>
  <si>
    <t>market for transport, freight, lorry, unspecified</t>
  </si>
  <si>
    <t>Carbon dioxide, in air</t>
  </si>
  <si>
    <t>biosphere</t>
  </si>
  <si>
    <t>cement mineralization</t>
  </si>
  <si>
    <t>carbon dioxide, captured and stored, in crushed concrete, via cement mineralization</t>
  </si>
  <si>
    <t>This dataset models the uptake of 1 kg of atmospheric CO2 via storage in crushed concrete by cement mineralization.
The inventory data is primary data collected from Neustark AG. The process developed and demonstrated in the project enables permanent CO₂ storage in recycled concrete aggregates (RCA) and in concrete slurry (mixing water). It operates at the Kästli Bau recycling and concrete plant using two integrated carbonation systems. In the DemoUpCARMA WP2 project, CO₂ is permanently stored through mineral carbonation of demolition concrete at an industrial scale. Captured biogenic CO₂ from a wastewater treatment plant is liquefied, transported, and injected into recycled concrete aggregates (RCA) and concrete slurry at the Kästli Bau recycling plant. In sealed silos, the injected CO₂ reacts with calcium-bearing cement hydrates in moist RCA, forming solid calcium carbonate (CaCO₃) that permanently fixes the CO₂ while improving the concrete’s compressive strength. Similarly, in the slurry carbonation system, CO₂ dissolves in the alkaline wash water, reacts with dissolved calcium ions, and precipitates as CaCO₃. Overall, about 13 kg CO₂ per ton of RCA and 25 kg CO₂ per m³ of slurry are stored, with an energy use of ~320 kWh per t CO₂ removed and a net removal efficiency above 90%. Life cycle assessment confirms the process achieves durable CO₂ sequestration while reducing the environmental footprint of concrete production.
Source: DemoUpCARMA – WP2 Final Report: Demonstration of CO₂ Utilization and Storage in Concrete (Swiss Federal Office of Energy, 2023).</t>
  </si>
  <si>
    <t>Carbon dioxide, non-fossil</t>
  </si>
  <si>
    <t>air</t>
  </si>
  <si>
    <t>CO2 loss</t>
  </si>
  <si>
    <t>market group for electricity, low voltage</t>
  </si>
  <si>
    <t>kilowatt hour</t>
  </si>
  <si>
    <t>carbon dioxide evaporation, for cement mineralization</t>
  </si>
  <si>
    <t>Input of CO2 to store in crushed concrete</t>
  </si>
  <si>
    <t>carbon dioxide transport, for cement mineralization</t>
  </si>
  <si>
    <t>carbon dioxide, evaporated</t>
  </si>
  <si>
    <t>carbon dioxide, transported</t>
  </si>
  <si>
    <t>transport</t>
  </si>
  <si>
    <t>Transport from CO2 emitter to concrete mixing plant</t>
  </si>
  <si>
    <t>carbon dioxide liquefaction, at biogas upgrading plant</t>
  </si>
  <si>
    <t>carbon dioxide, liquefied</t>
  </si>
  <si>
    <t>Refrigerant input</t>
  </si>
  <si>
    <t>Refrigerant loss</t>
  </si>
  <si>
    <t>Parameters</t>
  </si>
  <si>
    <t>comment formula</t>
  </si>
  <si>
    <t>[-]</t>
  </si>
  <si>
    <t>kg/kg</t>
  </si>
  <si>
    <t>mineralization</t>
  </si>
  <si>
    <t>formula</t>
  </si>
  <si>
    <t>container_elec_use_per_h</t>
  </si>
  <si>
    <t>kWh/h</t>
  </si>
  <si>
    <t>residence_time</t>
  </si>
  <si>
    <t>Crushed concrete residence time in pressurized container.</t>
  </si>
  <si>
    <t>kg_concrete_per_kg_co2</t>
  </si>
  <si>
    <t>Mass of concrete needed per kg of CO2 stored.</t>
  </si>
  <si>
    <t>(residence_time*container_elec_user_per_h)*(1/20000)*kg_concrete_per_kg_co2</t>
  </si>
  <si>
    <t>Electricity to operation the pressurized container.</t>
  </si>
  <si>
    <t>market for steel, chromium steel 18/8</t>
  </si>
  <si>
    <t>steel, chromium steel 18/8</t>
  </si>
  <si>
    <t>electricity, low voltage</t>
  </si>
  <si>
    <t>electronics production, for control units</t>
  </si>
  <si>
    <t>electronics, for control units</t>
  </si>
  <si>
    <t>air compressor production, screw-type compressor, 300kW</t>
  </si>
  <si>
    <t>air compressor, screw-type compressor, 300kW</t>
  </si>
  <si>
    <t>Electricity use by the container, per hour.</t>
  </si>
  <si>
    <t>CO2 loss during mineralization.</t>
  </si>
  <si>
    <t>share_atmospheric_reboiler</t>
  </si>
  <si>
    <t>share_electric_reboiler</t>
  </si>
  <si>
    <t>atm_reboiler_elec_use</t>
  </si>
  <si>
    <t>elec_reboiler_elec_use</t>
  </si>
  <si>
    <t>kWh/kg CO2</t>
  </si>
  <si>
    <t>Electricity use.</t>
  </si>
  <si>
    <t>Electricity use of atmospheric or electric reboiler.</t>
  </si>
  <si>
    <t>(share_atmospheric_reboiler*atm_reboiler_elec_use)+(share_electric_reboiler*elec_reboiler_elec_use)</t>
  </si>
  <si>
    <t>Proxy for steel input to manufacture the container.</t>
  </si>
  <si>
    <t>hour</t>
  </si>
  <si>
    <t>Proxy for steel input to manufacture the reboiler. Lifetime of 5 years. Plant output of 30'000 tons crushed concrete.</t>
  </si>
  <si>
    <t>plant_distance</t>
  </si>
  <si>
    <t>km</t>
  </si>
  <si>
    <t>Distance between biogas upgrding plant and concrete mixing plant.</t>
  </si>
  <si>
    <t>(plant_distance*(1/1000))</t>
  </si>
  <si>
    <t>liquefaction_elec_use</t>
  </si>
  <si>
    <t>Electricity use to liquefy CO2.</t>
  </si>
  <si>
    <t>refrigerant_use</t>
  </si>
  <si>
    <t>refrigerant_loss</t>
  </si>
  <si>
    <t>kg/lifetime</t>
  </si>
  <si>
    <t>Refrigerant use per plant lifetime.</t>
  </si>
  <si>
    <t>Refrigerant loss per plant lifetime.</t>
  </si>
  <si>
    <t>lifetime_liquefaction</t>
  </si>
  <si>
    <t>kg CO2</t>
  </si>
  <si>
    <t>Liquefied CO2 over plant lifetime.</t>
  </si>
  <si>
    <t>Electricity use for liquefaction.</t>
  </si>
  <si>
    <t>(1/lifetime_liquefaction)</t>
  </si>
  <si>
    <t>(refrigerant_use/lifetime_liquefaction)</t>
  </si>
  <si>
    <t>(refrigerant_loss/lifetime_liquefaction)</t>
  </si>
  <si>
    <t>Proxy for steel input to manufacture the liquefaction plant. Lifetime of 20 years. Plant output of 42 mtons CO2 liquefied.</t>
  </si>
  <si>
    <t>1,1,1,2-Tetrafluoroethane</t>
  </si>
  <si>
    <t>This dataset models the evaporation of CO2 using a reboiler, for CO2 via storage in crushed concrete by cement mineralization.
The inventory data is primary data collected from Neustark AG. The process developed and demonstrated in the project enables permanent CO₂ storage in recycled concrete aggregates (RCA) and in concrete slurry (mixing water). It operates at the Kästli Bau recycling and concrete plant using two integrated carbonation systems. In the DemoUpCARMA WP2 project, CO₂ is permanently stored through mineral carbonation of demolition concrete at an industrial scale. Captured biogenic CO₂ from a wastewater treatment plant is liquefied, transported, and injected into recycled concrete aggregates (RCA) and concrete slurry at the Kästli Bau recycling plant. In sealed silos, the injected CO₂ reacts with calcium-bearing cement hydrates in moist RCA, forming solid calcium carbonate (CaCO₃) that permanently fixes the CO₂ while improving the concrete’s compressive strength. Similarly, in the slurry carbonation system, CO₂ dissolves in the alkaline wash water, reacts with dissolved calcium ions, and precipitates as CaCO₃. Overall, about 13 kg CO₂ per ton of RCA and 25 kg CO₂ per m³ of slurry are stored, with an energy use of ~320 kWh per t CO₂ removed and a net removal efficiency above 90%. Life cycle assessment confirms the process achieves durable CO₂ sequestration while reducing the environmental footprint of concrete production.
Source: DemoUpCARMA – WP2 Final Report: Demonstration of CO₂ Utilization and Storage in Concrete (Swiss Federal Office of Energy, 2023).</t>
  </si>
  <si>
    <t>This dataset models the transport of 1 kg of atmospheric CO2 to a concrete mixing plant for CO2 via storage in crushed concrete by cement mineralization.
The inventory data is primary data collected from Neustark AG. The process developed and demonstrated in the project enables permanent CO₂ storage in recycled concrete aggregates (RCA) and in concrete slurry (mixing water). It operates at the Kästli Bau recycling and concrete plant using two integrated carbonation systems. In the DemoUpCARMA WP2 project, CO₂ is permanently stored through mineral carbonation of demolition concrete at an industrial scale. Captured biogenic CO₂ from a wastewater treatment plant is liquefied, transported, and injected into recycled concrete aggregates (RCA) and concrete slurry at the Kästli Bau recycling plant. In sealed silos, the injected CO₂ reacts with calcium-bearing cement hydrates in moist RCA, forming solid calcium carbonate (CaCO₃) that permanently fixes the CO₂ while improving the concrete’s compressive strength. Similarly, in the slurry carbonation system, CO₂ dissolves in the alkaline wash water, reacts with dissolved calcium ions, and precipitates as CaCO₃. Overall, about 13 kg CO₂ per ton of RCA and 25 kg CO₂ per m³ of slurry are stored, with an energy use of ~320 kWh per t CO₂ removed and a net removal efficiency above 90%. Life cycle assessment confirms the process achieves durable CO₂ sequestration while reducing the environmental footprint of concrete production.
Source: DemoUpCARMA – WP2 Final Report: Demonstration of CO₂ Utilization and Storage in Concrete (Swiss Federal Office of Energy, 2023).</t>
  </si>
  <si>
    <t>This dataset models the liquefaction of 1 kg of CO2 from a biogas upgrding plant, for CO2 storage via storage in crushed concrete by cement mineralization.
The inventory data is primary data collected from Neustark AG. The process developed and demonstrated in the project enables permanent CO₂ storage in recycled concrete aggregates (RCA) and in concrete slurry (mixing water). It operates at the Kästli Bau recycling and concrete plant using two integrated carbonation systems. In the DemoUpCARMA WP2 project, CO₂ is permanently stored through mineral carbonation of demolition concrete at an industrial scale. Captured biogenic CO₂ from a wastewater treatment plant is liquefied, transported, and injected into recycled concrete aggregates (RCA) and concrete slurry at the Kästli Bau recycling plant. In sealed silos, the injected CO₂ reacts with calcium-bearing cement hydrates in moist RCA, forming solid calcium carbonate (CaCO₃) that permanently fixes the CO₂ while improving the concrete’s compressive strength. Similarly, in the slurry carbonation system, CO₂ dissolves in the alkaline wash water, reacts with dissolved calcium ions, and precipitates as CaCO₃. Overall, about 13 kg CO₂ per ton of RCA and 25 kg CO₂ per m³ of slurry are stored, with an energy use of ~320 kWh per t CO₂ removed and a net removal efficiency above 90%. Life cycle assessment confirms the process achieves durable CO₂ sequestration while reducing the environmental footprint of concrete production.
Source: DemoUpCARMA – WP2 Final Report: Demonstration of CO₂ Utilization and Storage in Concrete (Swiss Federal Office of Energy, 2023).</t>
  </si>
  <si>
    <t>natural resource::in air</t>
  </si>
  <si>
    <t>transport, freight, lorry, diesel, unspecified</t>
  </si>
  <si>
    <t>market for tetrafluoroethane, R134a</t>
  </si>
  <si>
    <t>tetrafluoroethane, R134a</t>
  </si>
  <si>
    <t>mineralization_co2_loss_rate</t>
  </si>
  <si>
    <t>(1/(1-mineralization_co2_loss_rate))-1</t>
  </si>
  <si>
    <t>transport_co2_loss_rate</t>
  </si>
  <si>
    <t>(1/(1-transport_co2_loss_rate))</t>
  </si>
  <si>
    <t>(1/(1-transport_co2_loss_rate))-1</t>
  </si>
  <si>
    <t>liquefaction_co2_loss_rate</t>
  </si>
  <si>
    <t>(1/(1-liquefaction_co2_loss_rate))-1</t>
  </si>
  <si>
    <t>Biogenic CO2 from the biogas upgrading plant.</t>
  </si>
  <si>
    <t>evaporation</t>
  </si>
  <si>
    <t>liquefaction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</si>
</sst>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00"/>
  </numFmts>
  <fonts count="5" x14ac:knownFonts="1">
    <font>
      <sz val="11"/>
      <color theme="1"/>
      <name val="Calibri"/>
      <family val="2"/>
      <scheme val="minor"/>
    </font>
    <font>
      <sz val="12"/>
      <color theme="1"/>
      <name val="Calibri"/>
      <family val="2"/>
      <scheme val="minor"/>
    </font>
    <font>
      <b/>
      <sz val="11"/>
      <name val="Calibri (Body)"/>
    </font>
    <font>
      <sz val="11"/>
      <color theme="1"/>
      <name val="Calibri (Body)"/>
    </font>
    <font>
      <b/>
      <sz val="11"/>
      <color theme="1"/>
      <name val="Calibri (Body)"/>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2" fillId="0" borderId="0" xfId="0" applyFont="1" applyAlignment="1">
      <alignment horizontal="left" vertical="top"/>
    </xf>
    <xf numFmtId="0" fontId="2" fillId="0" borderId="0" xfId="0" applyFont="1" applyAlignment="1">
      <alignment horizontal="center" vertical="top"/>
    </xf>
    <xf numFmtId="0" fontId="3" fillId="0" borderId="0" xfId="0" applyFont="1" applyAlignment="1">
      <alignment horizontal="left"/>
    </xf>
    <xf numFmtId="0" fontId="3" fillId="0" borderId="0" xfId="0" applyFont="1"/>
    <xf numFmtId="0" fontId="4" fillId="0" borderId="0" xfId="0" applyFont="1"/>
    <xf numFmtId="0" fontId="4" fillId="0" borderId="0" xfId="1" applyFont="1"/>
    <xf numFmtId="0" fontId="3" fillId="0" borderId="0" xfId="1" applyFont="1"/>
    <xf numFmtId="2" fontId="3" fillId="0" borderId="0" xfId="1" applyNumberFormat="1" applyFont="1"/>
    <xf numFmtId="11" fontId="3" fillId="0" borderId="0" xfId="1" applyNumberFormat="1" applyFont="1"/>
    <xf numFmtId="164" fontId="3" fillId="0" borderId="0" xfId="0" applyNumberFormat="1" applyFont="1"/>
    <xf numFmtId="11" fontId="3" fillId="0" borderId="0" xfId="0" applyNumberFormat="1" applyFont="1"/>
    <xf numFmtId="165" fontId="3" fillId="0" borderId="0" xfId="0" applyNumberFormat="1" applyFont="1"/>
    <xf numFmtId="166" fontId="3" fillId="0" borderId="0" xfId="0" applyNumberFormat="1" applyFont="1"/>
  </cellXfs>
  <cellStyles count="2">
    <cellStyle name="Normal" xfId="0" builtinId="0"/>
    <cellStyle name="Normal 2" xfId="1" xr:uid="{F813F2AF-5763-614C-8E45-167920799B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8"/>
  <sheetViews>
    <sheetView tabSelected="1" topLeftCell="A2" zoomScale="165" zoomScaleNormal="289" workbookViewId="0">
      <selection activeCell="B22" sqref="B22"/>
    </sheetView>
  </sheetViews>
  <sheetFormatPr baseColWidth="10" defaultColWidth="8.83203125" defaultRowHeight="15" x14ac:dyDescent="0.2"/>
  <cols>
    <col min="1" max="1" width="50.6640625" style="4" customWidth="1"/>
    <col min="2" max="2" width="17.33203125" style="4" customWidth="1"/>
    <col min="3" max="3" width="13.33203125" style="4" customWidth="1"/>
    <col min="4" max="16384" width="8.83203125" style="4"/>
  </cols>
  <sheetData>
    <row r="1" spans="1:14" x14ac:dyDescent="0.2">
      <c r="A1" s="1" t="s">
        <v>22</v>
      </c>
      <c r="B1" s="1" t="s">
        <v>27</v>
      </c>
      <c r="C1" s="2"/>
      <c r="D1" s="2"/>
      <c r="E1" s="2"/>
      <c r="F1" s="2"/>
      <c r="G1" s="2"/>
      <c r="H1" s="2"/>
      <c r="I1" s="2"/>
      <c r="J1" s="2"/>
      <c r="K1" s="2"/>
      <c r="L1" s="2"/>
      <c r="M1" s="2"/>
      <c r="N1" s="2"/>
    </row>
    <row r="3" spans="1:14" x14ac:dyDescent="0.2">
      <c r="A3" s="5" t="s">
        <v>0</v>
      </c>
      <c r="B3" s="5" t="s">
        <v>28</v>
      </c>
      <c r="C3" s="5"/>
      <c r="D3" s="5"/>
      <c r="E3" s="5"/>
      <c r="F3" s="5"/>
      <c r="G3" s="5"/>
      <c r="H3" s="5"/>
      <c r="I3" s="5"/>
      <c r="J3" s="5"/>
      <c r="K3" s="5"/>
      <c r="L3" s="5"/>
      <c r="M3" s="5"/>
      <c r="N3" s="5"/>
    </row>
    <row r="4" spans="1:14" x14ac:dyDescent="0.2">
      <c r="A4" s="4" t="s">
        <v>1</v>
      </c>
      <c r="B4" s="3" t="s">
        <v>29</v>
      </c>
    </row>
    <row r="5" spans="1:14" x14ac:dyDescent="0.2">
      <c r="A5" s="4" t="s">
        <v>2</v>
      </c>
      <c r="B5" s="4" t="s">
        <v>3</v>
      </c>
    </row>
    <row r="6" spans="1:14" x14ac:dyDescent="0.2">
      <c r="A6" s="4" t="s">
        <v>4</v>
      </c>
      <c r="B6" s="4" t="s">
        <v>5</v>
      </c>
    </row>
    <row r="7" spans="1:14" x14ac:dyDescent="0.2">
      <c r="A7" s="4" t="s">
        <v>6</v>
      </c>
      <c r="B7" s="4" t="s">
        <v>7</v>
      </c>
    </row>
    <row r="9" spans="1:14" s="7" customFormat="1" x14ac:dyDescent="0.2">
      <c r="A9" s="6" t="s">
        <v>46</v>
      </c>
      <c r="B9" s="7" t="s">
        <v>50</v>
      </c>
    </row>
    <row r="10" spans="1:14" s="7" customFormat="1" x14ac:dyDescent="0.2">
      <c r="A10" s="6" t="s">
        <v>9</v>
      </c>
      <c r="B10" s="6" t="s">
        <v>10</v>
      </c>
      <c r="C10" s="6" t="s">
        <v>6</v>
      </c>
      <c r="D10" s="6" t="s">
        <v>47</v>
      </c>
      <c r="E10" s="6" t="s">
        <v>13</v>
      </c>
      <c r="F10" s="6" t="s">
        <v>14</v>
      </c>
      <c r="G10" s="6" t="s">
        <v>15</v>
      </c>
      <c r="H10" s="6" t="s">
        <v>16</v>
      </c>
      <c r="I10" s="6" t="s">
        <v>17</v>
      </c>
      <c r="J10" s="6" t="s">
        <v>18</v>
      </c>
    </row>
    <row r="11" spans="1:14" s="7" customFormat="1" x14ac:dyDescent="0.2">
      <c r="A11" s="7" t="s">
        <v>107</v>
      </c>
      <c r="B11" s="7">
        <v>0.05</v>
      </c>
      <c r="C11" s="7" t="s">
        <v>48</v>
      </c>
      <c r="D11" s="7" t="s">
        <v>68</v>
      </c>
      <c r="E11" s="7">
        <v>5</v>
      </c>
      <c r="F11" s="7">
        <f>B11</f>
        <v>0.05</v>
      </c>
      <c r="I11" s="7">
        <v>2.5000000000000001E-2</v>
      </c>
      <c r="J11" s="7">
        <v>7.4999999999999997E-2</v>
      </c>
    </row>
    <row r="12" spans="1:14" s="7" customFormat="1" x14ac:dyDescent="0.2">
      <c r="A12" s="7" t="s">
        <v>52</v>
      </c>
      <c r="B12" s="8">
        <f>13800/8760</f>
        <v>1.5753424657534247</v>
      </c>
      <c r="C12" s="7" t="s">
        <v>53</v>
      </c>
      <c r="D12" s="7" t="s">
        <v>67</v>
      </c>
      <c r="E12" s="7">
        <v>5</v>
      </c>
      <c r="F12" s="8">
        <f>B12</f>
        <v>1.5753424657534247</v>
      </c>
      <c r="G12" s="8"/>
      <c r="H12" s="8"/>
      <c r="I12" s="8">
        <f>12000/8760</f>
        <v>1.3698630136986301</v>
      </c>
      <c r="J12" s="8">
        <f>17000/8760</f>
        <v>1.9406392694063928</v>
      </c>
    </row>
    <row r="13" spans="1:14" s="7" customFormat="1" x14ac:dyDescent="0.2">
      <c r="A13" s="7" t="s">
        <v>54</v>
      </c>
      <c r="B13" s="7">
        <v>5</v>
      </c>
      <c r="C13" s="7" t="s">
        <v>78</v>
      </c>
      <c r="D13" s="7" t="s">
        <v>55</v>
      </c>
      <c r="E13" s="7">
        <v>5</v>
      </c>
      <c r="I13" s="7">
        <v>3</v>
      </c>
      <c r="J13" s="7">
        <v>8</v>
      </c>
    </row>
    <row r="14" spans="1:14" s="7" customFormat="1" x14ac:dyDescent="0.2">
      <c r="A14" s="7" t="s">
        <v>56</v>
      </c>
      <c r="B14" s="7">
        <v>73</v>
      </c>
      <c r="C14" s="7" t="s">
        <v>49</v>
      </c>
      <c r="D14" s="7" t="s">
        <v>57</v>
      </c>
      <c r="E14" s="7">
        <v>5</v>
      </c>
      <c r="I14" s="7">
        <v>60</v>
      </c>
      <c r="J14" s="7">
        <v>100</v>
      </c>
    </row>
    <row r="15" spans="1:14" s="7" customFormat="1" x14ac:dyDescent="0.2">
      <c r="B15" s="9"/>
    </row>
    <row r="16" spans="1:14" x14ac:dyDescent="0.2">
      <c r="A16" s="5" t="s">
        <v>8</v>
      </c>
    </row>
    <row r="17" spans="1:15" x14ac:dyDescent="0.2">
      <c r="A17" s="5" t="s">
        <v>9</v>
      </c>
      <c r="B17" s="5" t="s">
        <v>10</v>
      </c>
      <c r="C17" s="5" t="s">
        <v>11</v>
      </c>
      <c r="D17" s="5" t="s">
        <v>2</v>
      </c>
      <c r="E17" s="5" t="s">
        <v>6</v>
      </c>
      <c r="F17" s="5" t="s">
        <v>12</v>
      </c>
      <c r="G17" s="5" t="s">
        <v>4</v>
      </c>
      <c r="H17" s="5" t="s">
        <v>1</v>
      </c>
      <c r="I17" s="5" t="s">
        <v>51</v>
      </c>
      <c r="J17" s="5"/>
      <c r="K17" s="5"/>
      <c r="L17" s="5"/>
      <c r="M17" s="5"/>
      <c r="N17" s="5"/>
      <c r="O17" s="5"/>
    </row>
    <row r="18" spans="1:15" x14ac:dyDescent="0.2">
      <c r="A18" s="4" t="str">
        <f>B3</f>
        <v>carbon dioxide, captured and stored, in crushed concrete, via cement mineralization</v>
      </c>
      <c r="B18" s="4">
        <v>1</v>
      </c>
      <c r="D18" s="4" t="s">
        <v>3</v>
      </c>
      <c r="E18" s="4" t="s">
        <v>7</v>
      </c>
      <c r="F18" s="4" t="s">
        <v>19</v>
      </c>
      <c r="G18" s="4" t="s">
        <v>5</v>
      </c>
    </row>
    <row r="20" spans="1:15" x14ac:dyDescent="0.2">
      <c r="A20" s="4" t="s">
        <v>30</v>
      </c>
      <c r="B20" s="10">
        <f>(1/(1-B11))-1</f>
        <v>5.2631578947368363E-2</v>
      </c>
      <c r="C20" s="4" t="s">
        <v>31</v>
      </c>
      <c r="E20" s="4" t="s">
        <v>7</v>
      </c>
      <c r="F20" s="4" t="s">
        <v>26</v>
      </c>
      <c r="H20" s="4" t="s">
        <v>32</v>
      </c>
      <c r="I20" s="4" t="s">
        <v>108</v>
      </c>
    </row>
    <row r="21" spans="1:15" x14ac:dyDescent="0.2">
      <c r="A21" s="4" t="str">
        <f>B27</f>
        <v>carbon dioxide evaporation, for cement mineralization</v>
      </c>
      <c r="B21" s="10">
        <f>1+B20</f>
        <v>1.0526315789473684</v>
      </c>
      <c r="D21" s="4" t="s">
        <v>3</v>
      </c>
      <c r="E21" s="4" t="s">
        <v>7</v>
      </c>
      <c r="F21" s="4" t="s">
        <v>20</v>
      </c>
      <c r="G21" s="4" t="str">
        <f>B30</f>
        <v>carbon dioxide, evaporated</v>
      </c>
      <c r="H21" s="4" t="s">
        <v>36</v>
      </c>
    </row>
    <row r="22" spans="1:15" x14ac:dyDescent="0.2">
      <c r="A22" s="4" t="s">
        <v>33</v>
      </c>
      <c r="B22" s="10">
        <f>(B12*B13)*(1/20000)*B14</f>
        <v>2.8750000000000001E-2</v>
      </c>
      <c r="D22" s="4" t="s">
        <v>3</v>
      </c>
      <c r="E22" s="4" t="s">
        <v>34</v>
      </c>
      <c r="F22" s="4" t="s">
        <v>20</v>
      </c>
      <c r="G22" s="4" t="s">
        <v>62</v>
      </c>
      <c r="H22" s="4" t="s">
        <v>59</v>
      </c>
      <c r="I22" s="4" t="s">
        <v>58</v>
      </c>
    </row>
    <row r="23" spans="1:15" x14ac:dyDescent="0.2">
      <c r="A23" s="4" t="s">
        <v>60</v>
      </c>
      <c r="B23" s="11">
        <f>0.00049/1000</f>
        <v>4.8999999999999997E-7</v>
      </c>
      <c r="D23" s="4" t="s">
        <v>23</v>
      </c>
      <c r="E23" s="4" t="s">
        <v>7</v>
      </c>
      <c r="F23" s="4" t="s">
        <v>20</v>
      </c>
      <c r="G23" s="4" t="s">
        <v>61</v>
      </c>
      <c r="H23" s="4" t="s">
        <v>77</v>
      </c>
    </row>
    <row r="24" spans="1:15" x14ac:dyDescent="0.2">
      <c r="A24" s="4" t="s">
        <v>63</v>
      </c>
      <c r="B24" s="11">
        <f>0.00049/1000</f>
        <v>4.8999999999999997E-7</v>
      </c>
      <c r="D24" s="4" t="s">
        <v>3</v>
      </c>
      <c r="E24" s="4" t="s">
        <v>7</v>
      </c>
      <c r="F24" s="4" t="s">
        <v>20</v>
      </c>
      <c r="G24" s="4" t="s">
        <v>64</v>
      </c>
    </row>
    <row r="25" spans="1:15" x14ac:dyDescent="0.2">
      <c r="A25" s="4" t="s">
        <v>65</v>
      </c>
      <c r="B25" s="11">
        <f>0.00049/1000</f>
        <v>4.8999999999999997E-7</v>
      </c>
      <c r="D25" s="4" t="s">
        <v>3</v>
      </c>
      <c r="E25" s="4" t="s">
        <v>6</v>
      </c>
      <c r="F25" s="4" t="s">
        <v>20</v>
      </c>
      <c r="G25" s="4" t="s">
        <v>66</v>
      </c>
    </row>
    <row r="27" spans="1:15" x14ac:dyDescent="0.2">
      <c r="A27" s="5" t="s">
        <v>0</v>
      </c>
      <c r="B27" s="5" t="s">
        <v>35</v>
      </c>
      <c r="C27" s="5"/>
      <c r="D27" s="5"/>
      <c r="E27" s="5"/>
      <c r="F27" s="5"/>
      <c r="G27" s="5"/>
      <c r="H27" s="5"/>
      <c r="I27" s="5"/>
      <c r="J27" s="5"/>
      <c r="K27" s="5"/>
      <c r="L27" s="5"/>
      <c r="M27" s="5"/>
      <c r="N27" s="5"/>
    </row>
    <row r="28" spans="1:15" x14ac:dyDescent="0.2">
      <c r="A28" s="4" t="s">
        <v>1</v>
      </c>
      <c r="B28" s="3" t="s">
        <v>100</v>
      </c>
    </row>
    <row r="29" spans="1:15" x14ac:dyDescent="0.2">
      <c r="A29" s="4" t="s">
        <v>2</v>
      </c>
      <c r="B29" s="4" t="s">
        <v>3</v>
      </c>
    </row>
    <row r="30" spans="1:15" x14ac:dyDescent="0.2">
      <c r="A30" s="4" t="s">
        <v>4</v>
      </c>
      <c r="B30" s="4" t="s">
        <v>38</v>
      </c>
    </row>
    <row r="31" spans="1:15" x14ac:dyDescent="0.2">
      <c r="A31" s="4" t="s">
        <v>6</v>
      </c>
      <c r="B31" s="4" t="s">
        <v>7</v>
      </c>
    </row>
    <row r="33" spans="1:15" s="7" customFormat="1" x14ac:dyDescent="0.2">
      <c r="A33" s="6" t="s">
        <v>46</v>
      </c>
      <c r="B33" s="7" t="s">
        <v>115</v>
      </c>
    </row>
    <row r="34" spans="1:15" s="6" customFormat="1" x14ac:dyDescent="0.2">
      <c r="A34" s="6" t="s">
        <v>9</v>
      </c>
      <c r="B34" s="6" t="s">
        <v>10</v>
      </c>
      <c r="C34" s="6" t="s">
        <v>6</v>
      </c>
      <c r="D34" s="6" t="s">
        <v>47</v>
      </c>
      <c r="E34" s="6" t="s">
        <v>13</v>
      </c>
      <c r="F34" s="6" t="s">
        <v>14</v>
      </c>
      <c r="G34" s="6" t="s">
        <v>15</v>
      </c>
      <c r="H34" s="6" t="s">
        <v>16</v>
      </c>
      <c r="I34" s="6" t="s">
        <v>17</v>
      </c>
      <c r="J34" s="6" t="s">
        <v>18</v>
      </c>
    </row>
    <row r="35" spans="1:15" s="7" customFormat="1" x14ac:dyDescent="0.2">
      <c r="A35" s="7" t="s">
        <v>69</v>
      </c>
      <c r="B35" s="7">
        <v>0.5</v>
      </c>
      <c r="C35" s="7" t="s">
        <v>48</v>
      </c>
    </row>
    <row r="36" spans="1:15" s="7" customFormat="1" x14ac:dyDescent="0.2">
      <c r="A36" s="7" t="s">
        <v>70</v>
      </c>
      <c r="B36" s="7">
        <v>0.5</v>
      </c>
      <c r="C36" s="7" t="s">
        <v>48</v>
      </c>
    </row>
    <row r="37" spans="1:15" s="7" customFormat="1" x14ac:dyDescent="0.2">
      <c r="A37" s="7" t="s">
        <v>71</v>
      </c>
      <c r="B37" s="7">
        <f>6/1000</f>
        <v>6.0000000000000001E-3</v>
      </c>
      <c r="C37" s="7" t="s">
        <v>73</v>
      </c>
      <c r="D37" s="7" t="s">
        <v>74</v>
      </c>
      <c r="E37" s="7">
        <v>5</v>
      </c>
      <c r="F37" s="7">
        <f>B37</f>
        <v>6.0000000000000001E-3</v>
      </c>
      <c r="I37" s="7">
        <f>B37*0.8</f>
        <v>4.8000000000000004E-3</v>
      </c>
      <c r="J37" s="7">
        <f>B37*1.2</f>
        <v>7.1999999999999998E-3</v>
      </c>
    </row>
    <row r="38" spans="1:15" s="7" customFormat="1" x14ac:dyDescent="0.2">
      <c r="A38" s="7" t="s">
        <v>72</v>
      </c>
      <c r="B38" s="7">
        <f>30/1000</f>
        <v>0.03</v>
      </c>
      <c r="C38" s="7" t="s">
        <v>73</v>
      </c>
      <c r="D38" s="7" t="s">
        <v>74</v>
      </c>
      <c r="E38" s="7">
        <v>5</v>
      </c>
      <c r="F38" s="7">
        <f>B38</f>
        <v>0.03</v>
      </c>
      <c r="I38" s="7">
        <f>B38*0.8</f>
        <v>2.4E-2</v>
      </c>
      <c r="J38" s="7">
        <f>B38*1.2</f>
        <v>3.5999999999999997E-2</v>
      </c>
    </row>
    <row r="39" spans="1:15" s="7" customFormat="1" x14ac:dyDescent="0.2">
      <c r="B39" s="9"/>
    </row>
    <row r="40" spans="1:15" x14ac:dyDescent="0.2">
      <c r="A40" s="5" t="s">
        <v>8</v>
      </c>
    </row>
    <row r="41" spans="1:15" x14ac:dyDescent="0.2">
      <c r="A41" s="5" t="s">
        <v>9</v>
      </c>
      <c r="B41" s="5" t="s">
        <v>10</v>
      </c>
      <c r="C41" s="5" t="s">
        <v>11</v>
      </c>
      <c r="D41" s="5" t="s">
        <v>2</v>
      </c>
      <c r="E41" s="5" t="s">
        <v>6</v>
      </c>
      <c r="F41" s="5" t="s">
        <v>12</v>
      </c>
      <c r="G41" s="5" t="s">
        <v>4</v>
      </c>
      <c r="H41" s="5" t="s">
        <v>1</v>
      </c>
      <c r="I41" s="5" t="s">
        <v>51</v>
      </c>
      <c r="J41" s="5"/>
      <c r="K41" s="5"/>
      <c r="L41" s="5"/>
      <c r="M41" s="5"/>
      <c r="N41" s="5"/>
      <c r="O41" s="5"/>
    </row>
    <row r="42" spans="1:15" x14ac:dyDescent="0.2">
      <c r="A42" s="4" t="str">
        <f>B27</f>
        <v>carbon dioxide evaporation, for cement mineralization</v>
      </c>
      <c r="B42" s="4">
        <v>1</v>
      </c>
      <c r="D42" s="4" t="s">
        <v>3</v>
      </c>
      <c r="E42" s="4" t="s">
        <v>7</v>
      </c>
      <c r="F42" s="4" t="s">
        <v>19</v>
      </c>
      <c r="G42" s="4" t="str">
        <f>B30</f>
        <v>carbon dioxide, evaporated</v>
      </c>
    </row>
    <row r="43" spans="1:15" x14ac:dyDescent="0.2">
      <c r="A43" s="4" t="str">
        <f>B47</f>
        <v>carbon dioxide transport, for cement mineralization</v>
      </c>
      <c r="B43" s="4">
        <v>1</v>
      </c>
      <c r="D43" s="4" t="s">
        <v>3</v>
      </c>
      <c r="E43" s="4" t="s">
        <v>7</v>
      </c>
      <c r="F43" s="4" t="s">
        <v>20</v>
      </c>
      <c r="G43" s="4" t="str">
        <f>B50</f>
        <v>carbon dioxide, transported</v>
      </c>
    </row>
    <row r="44" spans="1:15" x14ac:dyDescent="0.2">
      <c r="A44" s="4" t="s">
        <v>33</v>
      </c>
      <c r="B44" s="4">
        <f>(B35*B37)+(B36*B38)</f>
        <v>1.7999999999999999E-2</v>
      </c>
      <c r="D44" s="4" t="s">
        <v>3</v>
      </c>
      <c r="E44" s="4" t="s">
        <v>34</v>
      </c>
      <c r="F44" s="4" t="s">
        <v>20</v>
      </c>
      <c r="G44" s="4" t="s">
        <v>62</v>
      </c>
      <c r="H44" s="4" t="s">
        <v>75</v>
      </c>
      <c r="I44" s="4" t="s">
        <v>76</v>
      </c>
    </row>
    <row r="45" spans="1:15" x14ac:dyDescent="0.2">
      <c r="A45" s="4" t="s">
        <v>60</v>
      </c>
      <c r="B45" s="11">
        <f>0.000702/1000</f>
        <v>7.0200000000000001E-7</v>
      </c>
      <c r="D45" s="4" t="s">
        <v>23</v>
      </c>
      <c r="E45" s="4" t="s">
        <v>7</v>
      </c>
      <c r="F45" s="4" t="s">
        <v>20</v>
      </c>
      <c r="G45" s="4" t="s">
        <v>61</v>
      </c>
      <c r="H45" s="4" t="s">
        <v>79</v>
      </c>
    </row>
    <row r="47" spans="1:15" x14ac:dyDescent="0.2">
      <c r="A47" s="5" t="s">
        <v>0</v>
      </c>
      <c r="B47" s="5" t="s">
        <v>37</v>
      </c>
      <c r="C47" s="5"/>
      <c r="D47" s="5"/>
      <c r="E47" s="5"/>
      <c r="F47" s="5"/>
      <c r="G47" s="5"/>
      <c r="H47" s="5"/>
      <c r="I47" s="5"/>
      <c r="J47" s="5"/>
      <c r="K47" s="5"/>
      <c r="L47" s="5"/>
      <c r="M47" s="5"/>
      <c r="N47" s="5"/>
    </row>
    <row r="48" spans="1:15" x14ac:dyDescent="0.2">
      <c r="A48" s="4" t="s">
        <v>1</v>
      </c>
      <c r="B48" s="3" t="s">
        <v>101</v>
      </c>
    </row>
    <row r="49" spans="1:15" x14ac:dyDescent="0.2">
      <c r="A49" s="4" t="s">
        <v>2</v>
      </c>
      <c r="B49" s="4" t="s">
        <v>3</v>
      </c>
    </row>
    <row r="50" spans="1:15" x14ac:dyDescent="0.2">
      <c r="A50" s="4" t="s">
        <v>4</v>
      </c>
      <c r="B50" s="4" t="s">
        <v>39</v>
      </c>
    </row>
    <row r="51" spans="1:15" x14ac:dyDescent="0.2">
      <c r="A51" s="4" t="s">
        <v>6</v>
      </c>
      <c r="B51" s="4" t="s">
        <v>7</v>
      </c>
    </row>
    <row r="53" spans="1:15" s="7" customFormat="1" x14ac:dyDescent="0.2">
      <c r="A53" s="6" t="s">
        <v>46</v>
      </c>
      <c r="B53" s="7" t="s">
        <v>40</v>
      </c>
    </row>
    <row r="54" spans="1:15" s="6" customFormat="1" x14ac:dyDescent="0.2">
      <c r="A54" s="6" t="s">
        <v>9</v>
      </c>
      <c r="B54" s="6" t="s">
        <v>10</v>
      </c>
      <c r="C54" s="6" t="s">
        <v>6</v>
      </c>
      <c r="D54" s="6" t="s">
        <v>47</v>
      </c>
      <c r="E54" s="6" t="s">
        <v>13</v>
      </c>
      <c r="F54" s="6" t="s">
        <v>14</v>
      </c>
      <c r="G54" s="6" t="s">
        <v>15</v>
      </c>
      <c r="H54" s="6" t="s">
        <v>16</v>
      </c>
      <c r="I54" s="6" t="s">
        <v>17</v>
      </c>
      <c r="J54" s="6" t="s">
        <v>18</v>
      </c>
    </row>
    <row r="55" spans="1:15" s="7" customFormat="1" x14ac:dyDescent="0.2">
      <c r="A55" s="7" t="s">
        <v>109</v>
      </c>
      <c r="B55" s="7">
        <v>0.05</v>
      </c>
      <c r="C55" s="7" t="s">
        <v>48</v>
      </c>
      <c r="D55" s="7" t="s">
        <v>68</v>
      </c>
      <c r="E55" s="7">
        <v>5</v>
      </c>
      <c r="F55" s="7">
        <f>B55</f>
        <v>0.05</v>
      </c>
      <c r="I55" s="7">
        <v>2.5000000000000001E-2</v>
      </c>
      <c r="J55" s="7">
        <v>7.4999999999999997E-2</v>
      </c>
    </row>
    <row r="56" spans="1:15" s="7" customFormat="1" x14ac:dyDescent="0.2">
      <c r="A56" s="7" t="s">
        <v>80</v>
      </c>
      <c r="B56" s="7">
        <v>20</v>
      </c>
      <c r="C56" s="7" t="s">
        <v>81</v>
      </c>
      <c r="D56" s="7" t="s">
        <v>82</v>
      </c>
      <c r="E56" s="7">
        <v>5</v>
      </c>
      <c r="F56" s="7">
        <f>B56</f>
        <v>20</v>
      </c>
      <c r="I56" s="7">
        <v>10</v>
      </c>
      <c r="J56" s="7">
        <v>50</v>
      </c>
    </row>
    <row r="57" spans="1:15" s="7" customFormat="1" x14ac:dyDescent="0.2">
      <c r="B57" s="9"/>
    </row>
    <row r="58" spans="1:15" x14ac:dyDescent="0.2">
      <c r="A58" s="5" t="s">
        <v>8</v>
      </c>
    </row>
    <row r="59" spans="1:15" x14ac:dyDescent="0.2">
      <c r="A59" s="5" t="s">
        <v>9</v>
      </c>
      <c r="B59" s="5" t="s">
        <v>10</v>
      </c>
      <c r="C59" s="5" t="s">
        <v>11</v>
      </c>
      <c r="D59" s="5" t="s">
        <v>2</v>
      </c>
      <c r="E59" s="5" t="s">
        <v>6</v>
      </c>
      <c r="F59" s="5" t="s">
        <v>12</v>
      </c>
      <c r="G59" s="5" t="s">
        <v>4</v>
      </c>
      <c r="H59" s="5" t="s">
        <v>1</v>
      </c>
      <c r="I59" s="5" t="s">
        <v>51</v>
      </c>
      <c r="J59" s="5"/>
      <c r="K59" s="5"/>
      <c r="L59" s="5"/>
      <c r="M59" s="5"/>
      <c r="N59" s="5"/>
      <c r="O59" s="5"/>
    </row>
    <row r="60" spans="1:15" x14ac:dyDescent="0.2">
      <c r="A60" s="4" t="str">
        <f>B47</f>
        <v>carbon dioxide transport, for cement mineralization</v>
      </c>
      <c r="B60" s="4">
        <v>1</v>
      </c>
      <c r="D60" s="4" t="s">
        <v>3</v>
      </c>
      <c r="E60" s="4" t="s">
        <v>7</v>
      </c>
      <c r="F60" s="4" t="s">
        <v>19</v>
      </c>
      <c r="G60" s="4" t="str">
        <f>B50</f>
        <v>carbon dioxide, transported</v>
      </c>
    </row>
    <row r="61" spans="1:15" x14ac:dyDescent="0.2">
      <c r="A61" s="4" t="str">
        <f>A82</f>
        <v>carbon dioxide liquefaction, at biogas upgrading plant</v>
      </c>
      <c r="B61" s="12">
        <f>1+B62</f>
        <v>1.0526315789473684</v>
      </c>
      <c r="D61" s="4" t="s">
        <v>3</v>
      </c>
      <c r="E61" s="4" t="s">
        <v>7</v>
      </c>
      <c r="F61" s="4" t="s">
        <v>20</v>
      </c>
      <c r="G61" s="4" t="str">
        <f>G82</f>
        <v>carbon dioxide, liquefied</v>
      </c>
      <c r="I61" s="4" t="s">
        <v>110</v>
      </c>
    </row>
    <row r="62" spans="1:15" x14ac:dyDescent="0.2">
      <c r="A62" s="4" t="s">
        <v>30</v>
      </c>
      <c r="B62" s="12">
        <f>(1/(1-B55))-1</f>
        <v>5.2631578947368363E-2</v>
      </c>
      <c r="C62" s="4" t="s">
        <v>31</v>
      </c>
      <c r="E62" s="4" t="s">
        <v>7</v>
      </c>
      <c r="F62" s="4" t="s">
        <v>26</v>
      </c>
      <c r="H62" s="4" t="s">
        <v>32</v>
      </c>
      <c r="I62" s="4" t="s">
        <v>111</v>
      </c>
    </row>
    <row r="63" spans="1:15" x14ac:dyDescent="0.2">
      <c r="A63" s="4" t="s">
        <v>24</v>
      </c>
      <c r="B63" s="13">
        <f>(B61/1000)*B56</f>
        <v>2.1052631578947368E-2</v>
      </c>
      <c r="D63" s="4" t="s">
        <v>3</v>
      </c>
      <c r="E63" s="4" t="s">
        <v>21</v>
      </c>
      <c r="F63" s="4" t="s">
        <v>20</v>
      </c>
      <c r="G63" s="4" t="s">
        <v>104</v>
      </c>
      <c r="H63" s="4" t="s">
        <v>41</v>
      </c>
      <c r="I63" s="4" t="s">
        <v>83</v>
      </c>
    </row>
    <row r="66" spans="1:14" x14ac:dyDescent="0.2">
      <c r="A66" s="5" t="s">
        <v>0</v>
      </c>
      <c r="B66" s="5" t="s">
        <v>42</v>
      </c>
      <c r="C66" s="5"/>
      <c r="D66" s="5"/>
      <c r="E66" s="5"/>
      <c r="F66" s="5"/>
      <c r="G66" s="5"/>
      <c r="H66" s="5"/>
      <c r="I66" s="5"/>
      <c r="J66" s="5"/>
      <c r="K66" s="5"/>
      <c r="L66" s="5"/>
      <c r="M66" s="5"/>
      <c r="N66" s="5"/>
    </row>
    <row r="67" spans="1:14" x14ac:dyDescent="0.2">
      <c r="A67" s="4" t="s">
        <v>1</v>
      </c>
      <c r="B67" s="3" t="s">
        <v>102</v>
      </c>
    </row>
    <row r="68" spans="1:14" x14ac:dyDescent="0.2">
      <c r="A68" s="4" t="s">
        <v>2</v>
      </c>
      <c r="B68" s="4" t="s">
        <v>3</v>
      </c>
    </row>
    <row r="69" spans="1:14" x14ac:dyDescent="0.2">
      <c r="A69" s="4" t="s">
        <v>4</v>
      </c>
      <c r="B69" s="4" t="s">
        <v>43</v>
      </c>
    </row>
    <row r="70" spans="1:14" x14ac:dyDescent="0.2">
      <c r="A70" s="4" t="s">
        <v>6</v>
      </c>
      <c r="B70" s="4" t="s">
        <v>7</v>
      </c>
    </row>
    <row r="72" spans="1:14" s="7" customFormat="1" x14ac:dyDescent="0.2">
      <c r="A72" s="6" t="s">
        <v>46</v>
      </c>
      <c r="B72" s="7" t="s">
        <v>116</v>
      </c>
    </row>
    <row r="73" spans="1:14" s="6" customFormat="1" x14ac:dyDescent="0.2">
      <c r="A73" s="6" t="s">
        <v>9</v>
      </c>
      <c r="B73" s="6" t="s">
        <v>10</v>
      </c>
      <c r="C73" s="6" t="s">
        <v>6</v>
      </c>
      <c r="D73" s="6" t="s">
        <v>47</v>
      </c>
      <c r="E73" s="6" t="s">
        <v>13</v>
      </c>
      <c r="F73" s="6" t="s">
        <v>14</v>
      </c>
      <c r="G73" s="6" t="s">
        <v>15</v>
      </c>
      <c r="H73" s="6" t="s">
        <v>16</v>
      </c>
      <c r="I73" s="6" t="s">
        <v>17</v>
      </c>
      <c r="J73" s="6" t="s">
        <v>18</v>
      </c>
    </row>
    <row r="74" spans="1:14" s="7" customFormat="1" x14ac:dyDescent="0.2">
      <c r="A74" s="7" t="s">
        <v>112</v>
      </c>
      <c r="B74" s="7">
        <v>0.05</v>
      </c>
      <c r="C74" s="7" t="s">
        <v>48</v>
      </c>
      <c r="D74" s="7" t="s">
        <v>68</v>
      </c>
      <c r="E74" s="7">
        <v>5</v>
      </c>
      <c r="F74" s="7">
        <f>B74</f>
        <v>0.05</v>
      </c>
      <c r="I74" s="7">
        <v>2.5000000000000001E-2</v>
      </c>
      <c r="J74" s="7">
        <v>7.4999999999999997E-2</v>
      </c>
    </row>
    <row r="75" spans="1:14" s="7" customFormat="1" x14ac:dyDescent="0.2">
      <c r="A75" s="7" t="s">
        <v>84</v>
      </c>
      <c r="B75" s="7">
        <f>230/1000</f>
        <v>0.23</v>
      </c>
      <c r="C75" s="7" t="s">
        <v>73</v>
      </c>
      <c r="D75" s="7" t="s">
        <v>85</v>
      </c>
      <c r="E75" s="7">
        <v>5</v>
      </c>
      <c r="F75" s="7">
        <f>B75</f>
        <v>0.23</v>
      </c>
      <c r="I75" s="7">
        <f>B75*0.9</f>
        <v>0.20700000000000002</v>
      </c>
      <c r="J75" s="7">
        <f>B75*1.2</f>
        <v>0.27600000000000002</v>
      </c>
    </row>
    <row r="76" spans="1:14" s="7" customFormat="1" x14ac:dyDescent="0.2">
      <c r="A76" s="7" t="s">
        <v>86</v>
      </c>
      <c r="B76" s="7">
        <v>165</v>
      </c>
      <c r="C76" s="7" t="s">
        <v>88</v>
      </c>
      <c r="D76" s="7" t="s">
        <v>89</v>
      </c>
      <c r="E76" s="7">
        <v>5</v>
      </c>
      <c r="F76" s="7">
        <f>B76</f>
        <v>165</v>
      </c>
      <c r="I76" s="7">
        <f>B76*0.8</f>
        <v>132</v>
      </c>
      <c r="J76" s="7">
        <f>B76*1.2</f>
        <v>198</v>
      </c>
    </row>
    <row r="77" spans="1:14" s="7" customFormat="1" x14ac:dyDescent="0.2">
      <c r="A77" s="7" t="s">
        <v>87</v>
      </c>
      <c r="B77" s="7">
        <v>55</v>
      </c>
      <c r="C77" s="7" t="s">
        <v>88</v>
      </c>
      <c r="D77" s="7" t="s">
        <v>90</v>
      </c>
      <c r="E77" s="7">
        <v>5</v>
      </c>
      <c r="F77" s="7">
        <f>B77</f>
        <v>55</v>
      </c>
      <c r="I77" s="7">
        <f>B77*0.8</f>
        <v>44</v>
      </c>
      <c r="J77" s="7">
        <f>B77*1.2</f>
        <v>66</v>
      </c>
    </row>
    <row r="78" spans="1:14" s="7" customFormat="1" x14ac:dyDescent="0.2">
      <c r="A78" s="7" t="s">
        <v>91</v>
      </c>
      <c r="B78" s="9">
        <v>42000000</v>
      </c>
      <c r="C78" s="7" t="s">
        <v>92</v>
      </c>
      <c r="D78" s="7" t="s">
        <v>93</v>
      </c>
      <c r="E78" s="7">
        <v>5</v>
      </c>
      <c r="F78" s="7">
        <f>B78</f>
        <v>42000000</v>
      </c>
      <c r="I78" s="7">
        <f>B78*0.8</f>
        <v>33600000</v>
      </c>
      <c r="J78" s="7">
        <f>B78*1.2</f>
        <v>50400000</v>
      </c>
    </row>
    <row r="79" spans="1:14" s="7" customFormat="1" x14ac:dyDescent="0.2">
      <c r="B79" s="9"/>
    </row>
    <row r="80" spans="1:14" x14ac:dyDescent="0.2">
      <c r="A80" s="5" t="s">
        <v>8</v>
      </c>
    </row>
    <row r="81" spans="1:15" x14ac:dyDescent="0.2">
      <c r="A81" s="5" t="s">
        <v>9</v>
      </c>
      <c r="B81" s="5" t="s">
        <v>10</v>
      </c>
      <c r="C81" s="5" t="s">
        <v>11</v>
      </c>
      <c r="D81" s="5" t="s">
        <v>2</v>
      </c>
      <c r="E81" s="5" t="s">
        <v>6</v>
      </c>
      <c r="F81" s="5" t="s">
        <v>12</v>
      </c>
      <c r="G81" s="5" t="s">
        <v>4</v>
      </c>
      <c r="H81" s="5" t="s">
        <v>1</v>
      </c>
      <c r="I81" s="5" t="s">
        <v>51</v>
      </c>
      <c r="J81" s="5"/>
      <c r="K81" s="5"/>
      <c r="L81" s="5"/>
      <c r="M81" s="5"/>
      <c r="N81" s="5"/>
      <c r="O81" s="5"/>
    </row>
    <row r="82" spans="1:15" x14ac:dyDescent="0.2">
      <c r="A82" s="4" t="str">
        <f>B66</f>
        <v>carbon dioxide liquefaction, at biogas upgrading plant</v>
      </c>
      <c r="B82" s="4">
        <v>1</v>
      </c>
      <c r="D82" s="4" t="s">
        <v>3</v>
      </c>
      <c r="E82" s="4" t="s">
        <v>7</v>
      </c>
      <c r="F82" s="4" t="s">
        <v>19</v>
      </c>
      <c r="G82" s="4" t="str">
        <f>B69</f>
        <v>carbon dioxide, liquefied</v>
      </c>
    </row>
    <row r="83" spans="1:15" x14ac:dyDescent="0.2">
      <c r="A83" s="4" t="s">
        <v>30</v>
      </c>
      <c r="B83" s="12">
        <f>(1/(1-B74))-1</f>
        <v>5.2631578947368363E-2</v>
      </c>
      <c r="C83" s="4" t="s">
        <v>31</v>
      </c>
      <c r="E83" s="4" t="s">
        <v>7</v>
      </c>
      <c r="F83" s="4" t="s">
        <v>26</v>
      </c>
      <c r="H83" s="4" t="s">
        <v>32</v>
      </c>
      <c r="I83" s="4" t="s">
        <v>113</v>
      </c>
    </row>
    <row r="84" spans="1:15" x14ac:dyDescent="0.2">
      <c r="A84" s="4" t="s">
        <v>60</v>
      </c>
      <c r="B84" s="11">
        <f>(1/B78)</f>
        <v>2.380952380952381E-8</v>
      </c>
      <c r="D84" s="4" t="s">
        <v>23</v>
      </c>
      <c r="E84" s="4" t="s">
        <v>7</v>
      </c>
      <c r="F84" s="4" t="s">
        <v>20</v>
      </c>
      <c r="G84" s="4" t="s">
        <v>61</v>
      </c>
      <c r="H84" s="4" t="s">
        <v>98</v>
      </c>
      <c r="I84" s="4" t="s">
        <v>95</v>
      </c>
    </row>
    <row r="85" spans="1:15" x14ac:dyDescent="0.2">
      <c r="A85" s="4" t="s">
        <v>105</v>
      </c>
      <c r="B85" s="11">
        <f>(B76/B78)</f>
        <v>3.9285714285714288E-6</v>
      </c>
      <c r="D85" s="4" t="s">
        <v>23</v>
      </c>
      <c r="E85" s="4" t="s">
        <v>7</v>
      </c>
      <c r="F85" s="4" t="s">
        <v>20</v>
      </c>
      <c r="G85" s="4" t="s">
        <v>106</v>
      </c>
      <c r="H85" s="4" t="s">
        <v>44</v>
      </c>
      <c r="I85" s="4" t="s">
        <v>96</v>
      </c>
    </row>
    <row r="86" spans="1:15" x14ac:dyDescent="0.2">
      <c r="A86" s="4" t="s">
        <v>99</v>
      </c>
      <c r="B86" s="11">
        <f>(B77/B78)</f>
        <v>1.3095238095238096E-6</v>
      </c>
      <c r="C86" s="4" t="s">
        <v>31</v>
      </c>
      <c r="E86" s="4" t="s">
        <v>7</v>
      </c>
      <c r="F86" s="4" t="s">
        <v>26</v>
      </c>
      <c r="H86" s="4" t="s">
        <v>45</v>
      </c>
      <c r="I86" s="4" t="s">
        <v>97</v>
      </c>
    </row>
    <row r="87" spans="1:15" x14ac:dyDescent="0.2">
      <c r="A87" s="4" t="s">
        <v>33</v>
      </c>
      <c r="B87" s="4">
        <f>B75</f>
        <v>0.23</v>
      </c>
      <c r="D87" s="4" t="s">
        <v>3</v>
      </c>
      <c r="E87" s="4" t="s">
        <v>34</v>
      </c>
      <c r="F87" s="4" t="s">
        <v>20</v>
      </c>
      <c r="G87" s="4" t="s">
        <v>62</v>
      </c>
      <c r="H87" s="4" t="s">
        <v>94</v>
      </c>
      <c r="I87" s="4" t="s">
        <v>84</v>
      </c>
    </row>
    <row r="88" spans="1:15" x14ac:dyDescent="0.2">
      <c r="A88" s="4" t="s">
        <v>25</v>
      </c>
      <c r="B88" s="12">
        <f>1+B83</f>
        <v>1.0526315789473684</v>
      </c>
      <c r="C88" s="4" t="s">
        <v>103</v>
      </c>
      <c r="E88" s="4" t="s">
        <v>7</v>
      </c>
      <c r="F88" s="4" t="s">
        <v>26</v>
      </c>
      <c r="H88" s="4" t="s">
        <v>114</v>
      </c>
    </row>
  </sheetData>
  <autoFilter ref="A1:O8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cement mineralization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Romain Sacchi</cp:lastModifiedBy>
  <dcterms:created xsi:type="dcterms:W3CDTF">2025-11-06T16:13:33Z</dcterms:created>
  <dcterms:modified xsi:type="dcterms:W3CDTF">2025-11-28T08:50:33Z</dcterms:modified>
</cp:coreProperties>
</file>