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8800" windowHeight="1886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'Sheet1'!$A$1:$K$115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tabSelected="1" topLeftCell="A32" workbookViewId="0">
      <selection activeCell="A49" sqref="A49"/>
    </sheetView>
  </sheetViews>
  <sheetFormatPr baseColWidth="10" defaultColWidth="8.83203125" defaultRowHeight="15"/>
  <cols>
    <col width="71.6640625" bestFit="1" customWidth="1" min="1" max="1"/>
  </cols>
  <sheetData>
    <row r="1" ht="16" customHeight="1">
      <c r="A1" s="1" t="inlineStr">
        <is>
          <t>Database</t>
        </is>
      </c>
      <c r="B1" s="1" t="inlineStr">
        <is>
          <t>CHP CCS</t>
        </is>
      </c>
    </row>
    <row r="2" ht="16" customHeight="1">
      <c r="A2" s="1" t="n"/>
      <c r="B2" s="1" t="n"/>
    </row>
    <row r="3" ht="16" customHeight="1">
      <c r="A3" s="1" t="inlineStr">
        <is>
          <t>Activity</t>
        </is>
      </c>
      <c r="B3" s="1" t="inlineStr">
        <is>
          <t>electricity production, at co-generation hard coal-fired power plant, post, pipeline 200km, storage 1000m</t>
        </is>
      </c>
    </row>
    <row r="4">
      <c r="A4" t="inlineStr">
        <is>
          <t>location</t>
        </is>
      </c>
      <c r="B4" t="inlineStr">
        <is>
          <t>RER</t>
        </is>
      </c>
    </row>
    <row r="5">
      <c r="A5" t="inlineStr">
        <is>
          <t>production amount</t>
        </is>
      </c>
      <c r="B5" t="n">
        <v>1</v>
      </c>
    </row>
    <row r="6" ht="16" customHeight="1">
      <c r="A6" s="2" t="inlineStr">
        <is>
          <t>source</t>
        </is>
      </c>
      <c r="B6" t="inlineStr">
        <is>
          <t>Adapted from ecoinvent CHP datasets. Added 9% energy penalty caused by CCS based on Volkart et al. 2013.</t>
        </is>
      </c>
    </row>
    <row r="7">
      <c r="A7" t="inlineStr">
        <is>
          <t>reference product</t>
        </is>
      </c>
      <c r="B7" t="inlineStr">
        <is>
          <t>electricity, high voltage</t>
        </is>
      </c>
    </row>
    <row r="8">
      <c r="A8" t="inlineStr">
        <is>
          <t>type</t>
        </is>
      </c>
      <c r="B8" t="inlineStr">
        <is>
          <t>process</t>
        </is>
      </c>
    </row>
    <row r="9">
      <c r="A9" t="inlineStr">
        <is>
          <t>unit</t>
        </is>
      </c>
      <c r="B9" t="inlineStr">
        <is>
          <t>kilowatt hour</t>
        </is>
      </c>
    </row>
    <row r="10">
      <c r="A10" t="inlineStr">
        <is>
          <t>comment</t>
        </is>
      </c>
      <c r="B10" t="inlineStr">
        <is>
          <t>Grossly adapted from Volkart et al. 2013 to ecoinvent CHP datasets. 90% CO2 capture efficiency. Added 9% energy penalty based on Volkart et al. 2013.</t>
        </is>
      </c>
    </row>
    <row r="11" ht="16" customHeight="1">
      <c r="A11" s="1" t="inlineStr">
        <is>
          <t>Exchanges</t>
        </is>
      </c>
    </row>
    <row r="12">
      <c r="A12" t="inlineStr">
        <is>
          <t>name</t>
        </is>
      </c>
      <c r="B12" t="inlineStr">
        <is>
          <t>amount</t>
        </is>
      </c>
      <c r="C12" t="inlineStr">
        <is>
          <t>location</t>
        </is>
      </c>
      <c r="D12" t="inlineStr">
        <is>
          <t>unit</t>
        </is>
      </c>
      <c r="E12" t="inlineStr">
        <is>
          <t>categories</t>
        </is>
      </c>
      <c r="F12" t="inlineStr">
        <is>
          <t>type</t>
        </is>
      </c>
      <c r="G12" t="inlineStr">
        <is>
          <t>uncertainty type</t>
        </is>
      </c>
      <c r="H12" t="inlineStr">
        <is>
          <t>loc</t>
        </is>
      </c>
      <c r="I12" t="inlineStr">
        <is>
          <t>allocation</t>
        </is>
      </c>
      <c r="J12" t="inlineStr">
        <is>
          <t>comment</t>
        </is>
      </c>
      <c r="K12" t="inlineStr">
        <is>
          <t>reference product</t>
        </is>
      </c>
    </row>
    <row r="13">
      <c r="A13" t="inlineStr">
        <is>
          <t>electricity production, at co-generation hard coal-fired power plant, post, pipeline 200km, storage 1000m</t>
        </is>
      </c>
      <c r="B13" t="n">
        <v>1</v>
      </c>
      <c r="C13" t="inlineStr">
        <is>
          <t>RER</t>
        </is>
      </c>
      <c r="D13" t="inlineStr">
        <is>
          <t>kilowatt hour</t>
        </is>
      </c>
      <c r="E13" t="inlineStr">
        <is>
          <t>CCS Europe 2025::Hard coal</t>
        </is>
      </c>
      <c r="F13" t="inlineStr">
        <is>
          <t>production</t>
        </is>
      </c>
      <c r="I13" t="n">
        <v>100</v>
      </c>
      <c r="J13" t="inlineStr"/>
      <c r="K13" t="inlineStr">
        <is>
          <t>electricity, high voltage</t>
        </is>
      </c>
    </row>
    <row r="14">
      <c r="A14" t="inlineStr">
        <is>
          <t>heat and power co-generation, hard coal</t>
        </is>
      </c>
      <c r="B14" t="n">
        <v>1.09</v>
      </c>
      <c r="C14" t="inlineStr">
        <is>
          <t>DE</t>
        </is>
      </c>
      <c r="D14" t="inlineStr">
        <is>
          <t>kilowatt hour</t>
        </is>
      </c>
      <c r="E14" t="inlineStr">
        <is>
          <t>Materials/fuels</t>
        </is>
      </c>
      <c r="F14" t="inlineStr">
        <is>
          <t>technosphere</t>
        </is>
      </c>
      <c r="J14" t="inlineStr"/>
      <c r="K14" t="inlineStr">
        <is>
          <t>electricity, high voltage</t>
        </is>
      </c>
    </row>
    <row r="15">
      <c r="A15" t="inlineStr">
        <is>
          <t>carbon dioxide, captured from hard coal-fired power plant, oxy, pipeline 200km, storage 1000m</t>
        </is>
      </c>
      <c r="B15">
        <f>0.959905605811721*B14*0.9</f>
        <v>0.94166739930129839</v>
      </c>
      <c r="C15" t="inlineStr">
        <is>
          <t>RER</t>
        </is>
      </c>
      <c r="D15" t="inlineStr">
        <is>
          <t>kilogram</t>
        </is>
      </c>
      <c r="F15" t="inlineStr">
        <is>
          <t>technosphere</t>
        </is>
      </c>
      <c r="K15" t="inlineStr">
        <is>
          <t>carbon dioxide, captured from hard coal-fired power plant, oxy, pipeline 200km, storage 1000m</t>
        </is>
      </c>
    </row>
    <row r="16">
      <c r="A16" t="inlineStr">
        <is>
          <t>Carbon dioxide, fossil</t>
        </is>
      </c>
      <c r="B16">
        <f>B15*-1</f>
        <v>-0.94166739930129839</v>
      </c>
      <c r="D16" t="inlineStr">
        <is>
          <t>kilogram</t>
        </is>
      </c>
      <c r="E16" t="inlineStr">
        <is>
          <t>air</t>
        </is>
      </c>
      <c r="F16" t="inlineStr">
        <is>
          <t>biosphere</t>
        </is>
      </c>
      <c r="J16" t="inlineStr">
        <is>
          <t>This amount is here to partially cancel the fossil CO2 emissions.</t>
        </is>
      </c>
    </row>
    <row r="17"/>
    <row r="18" ht="16" customHeight="1">
      <c r="A18" s="1" t="inlineStr">
        <is>
          <t>Activity</t>
        </is>
      </c>
      <c r="B18" s="1" t="inlineStr">
        <is>
          <t>heat production, at co-generation hard coal-fired power plant, post, pipeline 200km, storage 1000m</t>
        </is>
      </c>
    </row>
    <row r="19">
      <c r="A19" t="inlineStr">
        <is>
          <t>location</t>
        </is>
      </c>
      <c r="B19" t="inlineStr">
        <is>
          <t>RER</t>
        </is>
      </c>
    </row>
    <row r="20">
      <c r="A20" t="inlineStr">
        <is>
          <t>production amount</t>
        </is>
      </c>
      <c r="B20" t="n">
        <v>1</v>
      </c>
    </row>
    <row r="21">
      <c r="A21" t="inlineStr">
        <is>
          <t>reference product</t>
        </is>
      </c>
      <c r="B21" t="inlineStr">
        <is>
          <t>heat, district or industrial, other than natural gas</t>
        </is>
      </c>
    </row>
    <row r="22">
      <c r="A22" t="inlineStr">
        <is>
          <t>type</t>
        </is>
      </c>
      <c r="B22" t="inlineStr">
        <is>
          <t>process</t>
        </is>
      </c>
    </row>
    <row r="23">
      <c r="A23" t="inlineStr">
        <is>
          <t>unit</t>
        </is>
      </c>
      <c r="B23" t="inlineStr">
        <is>
          <t>megajoule</t>
        </is>
      </c>
    </row>
    <row r="24">
      <c r="A24" t="inlineStr">
        <is>
          <t>comment</t>
        </is>
      </c>
      <c r="B24" t="inlineStr">
        <is>
          <t>Grossly adapted from Volkart et al. 2013 to ecoinvent CHP datasets. 90% CO2 capture efficiency. Added 9% energy penalty based on Volkart et al. 2013.</t>
        </is>
      </c>
    </row>
    <row r="25" ht="16" customHeight="1">
      <c r="A25" s="1" t="inlineStr">
        <is>
          <t>Exchanges</t>
        </is>
      </c>
    </row>
    <row r="26">
      <c r="A26" t="inlineStr">
        <is>
          <t>name</t>
        </is>
      </c>
      <c r="B26" t="inlineStr">
        <is>
          <t>amount</t>
        </is>
      </c>
      <c r="C26" t="inlineStr">
        <is>
          <t>location</t>
        </is>
      </c>
      <c r="D26" t="inlineStr">
        <is>
          <t>unit</t>
        </is>
      </c>
      <c r="E26" t="inlineStr">
        <is>
          <t>categories</t>
        </is>
      </c>
      <c r="F26" t="inlineStr">
        <is>
          <t>type</t>
        </is>
      </c>
      <c r="G26" t="inlineStr">
        <is>
          <t>uncertainty type</t>
        </is>
      </c>
      <c r="H26" t="inlineStr">
        <is>
          <t>loc</t>
        </is>
      </c>
      <c r="I26" t="inlineStr">
        <is>
          <t>allocation</t>
        </is>
      </c>
      <c r="J26" t="inlineStr">
        <is>
          <t>comment</t>
        </is>
      </c>
      <c r="K26" t="inlineStr">
        <is>
          <t>reference product</t>
        </is>
      </c>
    </row>
    <row r="27">
      <c r="A27" t="inlineStr">
        <is>
          <t>heat production, at co-generation hard coal-fired power plant, post, pipeline 200km, storage 1000m</t>
        </is>
      </c>
      <c r="B27" t="n">
        <v>1</v>
      </c>
      <c r="C27" t="inlineStr">
        <is>
          <t>RER</t>
        </is>
      </c>
      <c r="D27" t="inlineStr">
        <is>
          <t>megajoule</t>
        </is>
      </c>
      <c r="E27" t="inlineStr">
        <is>
          <t>CCS Europe 2025::Hard coal</t>
        </is>
      </c>
      <c r="F27" t="inlineStr">
        <is>
          <t>production</t>
        </is>
      </c>
      <c r="I27" t="n">
        <v>100</v>
      </c>
      <c r="J27" t="inlineStr"/>
      <c r="K27" t="inlineStr">
        <is>
          <t>heat, district or industrial, other than natural gas</t>
        </is>
      </c>
    </row>
    <row r="28">
      <c r="A28" t="inlineStr">
        <is>
          <t>heat and power co-generation, hard coal</t>
        </is>
      </c>
      <c r="B28" t="n">
        <v>1.09</v>
      </c>
      <c r="C28" t="inlineStr">
        <is>
          <t>DE</t>
        </is>
      </c>
      <c r="D28" t="inlineStr">
        <is>
          <t>megajoule</t>
        </is>
      </c>
      <c r="E28" t="inlineStr">
        <is>
          <t>Materials/fuels</t>
        </is>
      </c>
      <c r="F28" t="inlineStr">
        <is>
          <t>technosphere</t>
        </is>
      </c>
      <c r="J28" t="inlineStr"/>
      <c r="K28" t="inlineStr">
        <is>
          <t>heat, district or industrial, other than natural gas</t>
        </is>
      </c>
    </row>
    <row r="29">
      <c r="A29" t="inlineStr">
        <is>
          <t>carbon dioxide, captured from hard coal-fired power plant, oxy, pipeline 200km, storage 1000m</t>
        </is>
      </c>
      <c r="B29">
        <f>0.049115*B28*0.9</f>
        <v>4.8181815000000003E-2</v>
      </c>
      <c r="C29" t="inlineStr">
        <is>
          <t>RER</t>
        </is>
      </c>
      <c r="D29" t="inlineStr">
        <is>
          <t>kilogram</t>
        </is>
      </c>
      <c r="F29" t="inlineStr">
        <is>
          <t>technosphere</t>
        </is>
      </c>
      <c r="K29" t="inlineStr">
        <is>
          <t>carbon dioxide, captured from hard coal-fired power plant, oxy, pipeline 200km, storage 1000m</t>
        </is>
      </c>
    </row>
    <row r="30">
      <c r="A30" t="inlineStr">
        <is>
          <t>Carbon dioxide, fossil</t>
        </is>
      </c>
      <c r="B30">
        <f>B29*-1</f>
        <v>-4.8181815000000003E-2</v>
      </c>
      <c r="D30" t="inlineStr">
        <is>
          <t>kilogram</t>
        </is>
      </c>
      <c r="E30" t="inlineStr">
        <is>
          <t>air</t>
        </is>
      </c>
      <c r="F30" t="inlineStr">
        <is>
          <t>biosphere</t>
        </is>
      </c>
      <c r="J30" t="inlineStr">
        <is>
          <t>This amount is here to partially cancel the fossil CO2 emissions.</t>
        </is>
      </c>
    </row>
    <row r="31"/>
    <row r="32" ht="16" customHeight="1">
      <c r="A32" s="1" t="inlineStr">
        <is>
          <t>Activity</t>
        </is>
      </c>
      <c r="B32" s="1" t="inlineStr">
        <is>
          <t>electricity production, at co-generation wood-fired power plant, post, pipeline 200km, storage 1000m</t>
        </is>
      </c>
    </row>
    <row r="33">
      <c r="A33" t="inlineStr">
        <is>
          <t>location</t>
        </is>
      </c>
      <c r="B33" t="inlineStr">
        <is>
          <t>RER</t>
        </is>
      </c>
    </row>
    <row r="34">
      <c r="A34" t="inlineStr">
        <is>
          <t>production amount</t>
        </is>
      </c>
      <c r="B34" t="n">
        <v>1</v>
      </c>
    </row>
    <row r="35">
      <c r="A35" t="inlineStr">
        <is>
          <t>comment</t>
        </is>
      </c>
      <c r="B35" t="inlineStr">
        <is>
          <t>Grossly adapted from Volkart et al. 2013 to ecoinvent CHP datasets. 90% CO2 capture efficiency. Added 10% energy penalty based on Volkart et al. 2013.</t>
        </is>
      </c>
    </row>
    <row r="36">
      <c r="A36" t="inlineStr">
        <is>
          <t>reference product</t>
        </is>
      </c>
      <c r="B36" t="inlineStr">
        <is>
          <t>electricity, high voltage</t>
        </is>
      </c>
    </row>
    <row r="37">
      <c r="A37" t="inlineStr">
        <is>
          <t>type</t>
        </is>
      </c>
      <c r="B37" t="inlineStr">
        <is>
          <t>process</t>
        </is>
      </c>
    </row>
    <row r="38">
      <c r="A38" t="inlineStr">
        <is>
          <t>unit</t>
        </is>
      </c>
      <c r="B38" t="inlineStr">
        <is>
          <t>kilowatt hour</t>
        </is>
      </c>
    </row>
    <row r="39" ht="16" customHeight="1">
      <c r="A39" s="1" t="inlineStr">
        <is>
          <t>Exchanges</t>
        </is>
      </c>
    </row>
    <row r="40">
      <c r="A40" t="inlineStr">
        <is>
          <t>name</t>
        </is>
      </c>
      <c r="B40" t="inlineStr">
        <is>
          <t>amount</t>
        </is>
      </c>
      <c r="C40" t="inlineStr">
        <is>
          <t>location</t>
        </is>
      </c>
      <c r="D40" t="inlineStr">
        <is>
          <t>unit</t>
        </is>
      </c>
      <c r="E40" t="inlineStr">
        <is>
          <t>categories</t>
        </is>
      </c>
      <c r="F40" t="inlineStr">
        <is>
          <t>type</t>
        </is>
      </c>
      <c r="G40" t="inlineStr">
        <is>
          <t>uncertainty type</t>
        </is>
      </c>
      <c r="H40" t="inlineStr">
        <is>
          <t>loc</t>
        </is>
      </c>
      <c r="I40" t="inlineStr">
        <is>
          <t>allocation</t>
        </is>
      </c>
      <c r="J40" t="inlineStr">
        <is>
          <t>comment</t>
        </is>
      </c>
      <c r="K40" t="inlineStr">
        <is>
          <t>reference product</t>
        </is>
      </c>
    </row>
    <row r="41">
      <c r="A41" t="inlineStr">
        <is>
          <t>electricity production, at co-generation wood-fired power plant, post, pipeline 200km, storage 1000m</t>
        </is>
      </c>
      <c r="B41" t="n">
        <v>1</v>
      </c>
      <c r="C41" t="inlineStr">
        <is>
          <t>RER</t>
        </is>
      </c>
      <c r="D41" t="inlineStr">
        <is>
          <t>kilowatt hour</t>
        </is>
      </c>
      <c r="E41" t="inlineStr">
        <is>
          <t>CCS Europe 2025::Hard coal</t>
        </is>
      </c>
      <c r="F41" t="inlineStr">
        <is>
          <t>production</t>
        </is>
      </c>
      <c r="I41" t="n">
        <v>100</v>
      </c>
      <c r="J41" t="inlineStr"/>
      <c r="K41" t="inlineStr">
        <is>
          <t>electricity, high voltage</t>
        </is>
      </c>
    </row>
    <row r="42">
      <c r="A42" t="inlineStr">
        <is>
          <t>heat and power co-generation, wood chips, 6667 kW</t>
        </is>
      </c>
      <c r="B42" t="n">
        <v>1.1</v>
      </c>
      <c r="C42" t="inlineStr">
        <is>
          <t>CH</t>
        </is>
      </c>
      <c r="D42" t="inlineStr">
        <is>
          <t>kilowatt hour</t>
        </is>
      </c>
      <c r="E42" t="inlineStr">
        <is>
          <t>Materials/fuels</t>
        </is>
      </c>
      <c r="F42" t="inlineStr">
        <is>
          <t>technosphere</t>
        </is>
      </c>
      <c r="J42" t="inlineStr"/>
      <c r="K42" t="inlineStr">
        <is>
          <t>electricity, high voltage</t>
        </is>
      </c>
    </row>
    <row r="43">
      <c r="A43" t="inlineStr">
        <is>
          <t>carbon dioxide, captured at wood burning power plant 20 MW post, pipeline 200km, storage 1000m</t>
        </is>
      </c>
      <c r="B43">
        <f>1.52680607295885*B42*0.9</f>
        <v>1.5115380122292617</v>
      </c>
      <c r="C43" t="inlineStr">
        <is>
          <t>RER</t>
        </is>
      </c>
      <c r="D43" t="inlineStr">
        <is>
          <t>kilogram</t>
        </is>
      </c>
      <c r="F43" t="inlineStr">
        <is>
          <t>technosphere</t>
        </is>
      </c>
      <c r="K43" t="inlineStr">
        <is>
          <t>carbon dioxide, captured at wood burning power plant 20 MW post, pipeline 200km, storage 1000m</t>
        </is>
      </c>
    </row>
    <row r="44">
      <c r="A44" t="inlineStr">
        <is>
          <t>Carbon dioxide, non-fossil</t>
        </is>
      </c>
      <c r="B44">
        <f>B43*-1</f>
        <v>-1.5115380122292617</v>
      </c>
      <c r="D44" t="inlineStr">
        <is>
          <t>kilogram</t>
        </is>
      </c>
      <c r="E44" t="inlineStr">
        <is>
          <t>air</t>
        </is>
      </c>
      <c r="F44" t="inlineStr">
        <is>
          <t>biosphere</t>
        </is>
      </c>
      <c r="J44" t="inlineStr">
        <is>
          <t>This amount is here to partially cancel the non-fossil CO2 emissions.</t>
        </is>
      </c>
    </row>
    <row r="45"/>
    <row r="46" ht="16" customHeight="1">
      <c r="A46" s="1" t="inlineStr">
        <is>
          <t>Activity</t>
        </is>
      </c>
      <c r="B46" s="1" t="inlineStr">
        <is>
          <t>heat production, at co-generation wood-fired power plant, post, pipeline 200km, storage 1000m</t>
        </is>
      </c>
    </row>
    <row r="47">
      <c r="A47" t="inlineStr">
        <is>
          <t>location</t>
        </is>
      </c>
      <c r="B47" t="inlineStr">
        <is>
          <t>RER</t>
        </is>
      </c>
    </row>
    <row r="48">
      <c r="A48" t="inlineStr">
        <is>
          <t>production amount</t>
        </is>
      </c>
      <c r="B48" t="n">
        <v>1</v>
      </c>
    </row>
    <row r="49">
      <c r="A49" t="inlineStr">
        <is>
          <t>reference product</t>
        </is>
      </c>
      <c r="B49" t="inlineStr">
        <is>
          <t>heat, district or industrial, other than natural gas</t>
        </is>
      </c>
    </row>
    <row r="50">
      <c r="A50" t="inlineStr">
        <is>
          <t>type</t>
        </is>
      </c>
      <c r="B50" t="inlineStr">
        <is>
          <t>process</t>
        </is>
      </c>
    </row>
    <row r="51">
      <c r="A51" t="inlineStr">
        <is>
          <t>unit</t>
        </is>
      </c>
      <c r="B51" t="inlineStr">
        <is>
          <t>megajoule</t>
        </is>
      </c>
    </row>
    <row r="52">
      <c r="A52" t="inlineStr">
        <is>
          <t>comment</t>
        </is>
      </c>
      <c r="B52" t="inlineStr">
        <is>
          <t>Grossly adapted from Volkart et al. 2013 to ecoinvent CHP datasets. 90% CO2 capture efficiency. Added 10% energy penalty based on Volkart et al. 2013.</t>
        </is>
      </c>
    </row>
    <row r="53" ht="16" customHeight="1">
      <c r="A53" s="1" t="inlineStr">
        <is>
          <t>Exchanges</t>
        </is>
      </c>
    </row>
    <row r="54">
      <c r="A54" t="inlineStr">
        <is>
          <t>name</t>
        </is>
      </c>
      <c r="B54" t="inlineStr">
        <is>
          <t>amount</t>
        </is>
      </c>
      <c r="C54" t="inlineStr">
        <is>
          <t>location</t>
        </is>
      </c>
      <c r="D54" t="inlineStr">
        <is>
          <t>unit</t>
        </is>
      </c>
      <c r="E54" t="inlineStr">
        <is>
          <t>categories</t>
        </is>
      </c>
      <c r="F54" t="inlineStr">
        <is>
          <t>type</t>
        </is>
      </c>
      <c r="G54" t="inlineStr">
        <is>
          <t>uncertainty type</t>
        </is>
      </c>
      <c r="H54" t="inlineStr">
        <is>
          <t>loc</t>
        </is>
      </c>
      <c r="I54" t="inlineStr">
        <is>
          <t>allocation</t>
        </is>
      </c>
      <c r="J54" t="inlineStr">
        <is>
          <t>comment</t>
        </is>
      </c>
      <c r="K54" t="inlineStr">
        <is>
          <t>reference product</t>
        </is>
      </c>
    </row>
    <row r="55">
      <c r="A55" t="inlineStr">
        <is>
          <t>heat production, at co-generation wood-fired power plant, post, pipeline 200km, storage 1000m</t>
        </is>
      </c>
      <c r="B55" t="n">
        <v>1</v>
      </c>
      <c r="C55" t="inlineStr">
        <is>
          <t>RER</t>
        </is>
      </c>
      <c r="D55" t="inlineStr">
        <is>
          <t>megajoule</t>
        </is>
      </c>
      <c r="E55" t="inlineStr">
        <is>
          <t>CCS Europe 2025::Hard coal</t>
        </is>
      </c>
      <c r="F55" t="inlineStr">
        <is>
          <t>production</t>
        </is>
      </c>
      <c r="I55" t="n">
        <v>100</v>
      </c>
      <c r="J55" t="inlineStr"/>
      <c r="K55" t="inlineStr">
        <is>
          <t>heat, district or industrial, other than natural gas</t>
        </is>
      </c>
    </row>
    <row r="56">
      <c r="A56" t="inlineStr">
        <is>
          <t>heat and power co-generation, wood chips, 6667 kW</t>
        </is>
      </c>
      <c r="B56" t="n">
        <v>1.1</v>
      </c>
      <c r="C56" t="inlineStr">
        <is>
          <t>CH</t>
        </is>
      </c>
      <c r="D56" t="inlineStr">
        <is>
          <t>megajoule</t>
        </is>
      </c>
      <c r="E56" t="inlineStr">
        <is>
          <t>Materials/fuels</t>
        </is>
      </c>
      <c r="F56" t="inlineStr">
        <is>
          <t>technosphere</t>
        </is>
      </c>
      <c r="J56" t="inlineStr"/>
      <c r="K56" t="inlineStr">
        <is>
          <t>heat, district or industrial, other than natural gas</t>
        </is>
      </c>
    </row>
    <row r="57">
      <c r="A57" t="inlineStr">
        <is>
          <t>carbon dioxide, captured at wood burning power plant 20 MW post, pipeline 200km, storage 1000m</t>
        </is>
      </c>
      <c r="B57">
        <f>0.071962*B56*0.9</f>
        <v>7.1242379999999994E-2</v>
      </c>
      <c r="C57" t="inlineStr">
        <is>
          <t>RER</t>
        </is>
      </c>
      <c r="D57" t="inlineStr">
        <is>
          <t>kilogram</t>
        </is>
      </c>
      <c r="F57" t="inlineStr">
        <is>
          <t>technosphere</t>
        </is>
      </c>
      <c r="K57" t="inlineStr">
        <is>
          <t>carbon dioxide, captured at wood burning power plant 20 MW post, pipeline 200km, storage 1000m</t>
        </is>
      </c>
    </row>
    <row r="58">
      <c r="A58" t="inlineStr">
        <is>
          <t>Carbon dioxide, non-fossil</t>
        </is>
      </c>
      <c r="B58">
        <f>B57*-1</f>
        <v>-7.1242379999999994E-2</v>
      </c>
      <c r="D58" t="inlineStr">
        <is>
          <t>kilogram</t>
        </is>
      </c>
      <c r="E58" t="inlineStr">
        <is>
          <t>air</t>
        </is>
      </c>
      <c r="F58" t="inlineStr">
        <is>
          <t>biosphere</t>
        </is>
      </c>
      <c r="J58" t="inlineStr">
        <is>
          <t>This amount is here to partially cancel the non-fossil CO2 emissions.</t>
        </is>
      </c>
    </row>
    <row r="59"/>
    <row r="60" ht="16" customHeight="1">
      <c r="A60" s="1" t="inlineStr">
        <is>
          <t>Activity</t>
        </is>
      </c>
      <c r="B60" s="1" t="inlineStr">
        <is>
          <t>electricity production, at co-generation natural gas-fired power plant, post, pipeline 200km, storage 1000m</t>
        </is>
      </c>
    </row>
    <row r="61">
      <c r="A61" t="inlineStr">
        <is>
          <t>location</t>
        </is>
      </c>
      <c r="B61" t="inlineStr">
        <is>
          <t>RER</t>
        </is>
      </c>
    </row>
    <row r="62">
      <c r="A62" t="inlineStr">
        <is>
          <t>production amount</t>
        </is>
      </c>
      <c r="B62" t="n">
        <v>1</v>
      </c>
    </row>
    <row r="63">
      <c r="A63" t="inlineStr">
        <is>
          <t>comment</t>
        </is>
      </c>
      <c r="B63" t="inlineStr">
        <is>
          <t>Grossly adapted from Volkart et al. 2013 to ecoinvent CHP datasets. 90% CO2 capture efficiency. Added 8% energy penalty based on Volkart et al. 2013.</t>
        </is>
      </c>
    </row>
    <row r="64">
      <c r="A64" t="inlineStr">
        <is>
          <t>reference product</t>
        </is>
      </c>
      <c r="B64" t="inlineStr">
        <is>
          <t>electricity, high voltage</t>
        </is>
      </c>
    </row>
    <row r="65">
      <c r="A65" t="inlineStr">
        <is>
          <t>type</t>
        </is>
      </c>
      <c r="B65" t="inlineStr">
        <is>
          <t>process</t>
        </is>
      </c>
    </row>
    <row r="66">
      <c r="A66" t="inlineStr">
        <is>
          <t>unit</t>
        </is>
      </c>
      <c r="B66" t="inlineStr">
        <is>
          <t>kilowatt hour</t>
        </is>
      </c>
    </row>
    <row r="67" ht="16" customHeight="1">
      <c r="A67" s="1" t="inlineStr">
        <is>
          <t>Exchanges</t>
        </is>
      </c>
    </row>
    <row r="68">
      <c r="A68" t="inlineStr">
        <is>
          <t>name</t>
        </is>
      </c>
      <c r="B68" t="inlineStr">
        <is>
          <t>amount</t>
        </is>
      </c>
      <c r="C68" t="inlineStr">
        <is>
          <t>location</t>
        </is>
      </c>
      <c r="D68" t="inlineStr">
        <is>
          <t>unit</t>
        </is>
      </c>
      <c r="E68" t="inlineStr">
        <is>
          <t>categories</t>
        </is>
      </c>
      <c r="F68" t="inlineStr">
        <is>
          <t>type</t>
        </is>
      </c>
      <c r="G68" t="inlineStr">
        <is>
          <t>uncertainty type</t>
        </is>
      </c>
      <c r="H68" t="inlineStr">
        <is>
          <t>loc</t>
        </is>
      </c>
      <c r="I68" t="inlineStr">
        <is>
          <t>allocation</t>
        </is>
      </c>
      <c r="J68" t="inlineStr">
        <is>
          <t>comment</t>
        </is>
      </c>
      <c r="K68" t="inlineStr">
        <is>
          <t>reference product</t>
        </is>
      </c>
    </row>
    <row r="69">
      <c r="A69" t="inlineStr">
        <is>
          <t>electricity production, at co-generation natural gas-fired power plant, post, pipeline 200km, storage 1000m</t>
        </is>
      </c>
      <c r="B69" t="n">
        <v>1</v>
      </c>
      <c r="C69" t="inlineStr">
        <is>
          <t>RER</t>
        </is>
      </c>
      <c r="D69" t="inlineStr">
        <is>
          <t>kilowatt hour</t>
        </is>
      </c>
      <c r="E69" t="inlineStr">
        <is>
          <t>CCS Europe 2025::Hard coal</t>
        </is>
      </c>
      <c r="F69" t="inlineStr">
        <is>
          <t>production</t>
        </is>
      </c>
      <c r="I69" t="n">
        <v>100</v>
      </c>
      <c r="J69" t="inlineStr"/>
      <c r="K69" t="inlineStr">
        <is>
          <t>electricity, high voltage</t>
        </is>
      </c>
    </row>
    <row r="70">
      <c r="A70" t="inlineStr">
        <is>
          <t>heat and power co-generation, natural gas, conventional power plant, 100MW electrical</t>
        </is>
      </c>
      <c r="B70" t="n">
        <v>1.08</v>
      </c>
      <c r="C70" t="inlineStr">
        <is>
          <t>DE</t>
        </is>
      </c>
      <c r="D70" t="inlineStr">
        <is>
          <t>kilowatt hour</t>
        </is>
      </c>
      <c r="E70" t="inlineStr">
        <is>
          <t>Materials/fuels</t>
        </is>
      </c>
      <c r="F70" t="inlineStr">
        <is>
          <t>technosphere</t>
        </is>
      </c>
      <c r="J70" t="inlineStr"/>
      <c r="K70" t="inlineStr">
        <is>
          <t>electricity, high voltage</t>
        </is>
      </c>
    </row>
    <row r="71">
      <c r="A71" t="inlineStr">
        <is>
          <t>carbon dioxide, captured from natural gas, post, 200km pipeline, storage 1000m</t>
        </is>
      </c>
      <c r="B71">
        <f>0.44052*B70*0.9</f>
        <v>0.42818544000000008</v>
      </c>
      <c r="C71" t="inlineStr">
        <is>
          <t>RER</t>
        </is>
      </c>
      <c r="D71" t="inlineStr">
        <is>
          <t>kilogram</t>
        </is>
      </c>
      <c r="F71" t="inlineStr">
        <is>
          <t>technosphere</t>
        </is>
      </c>
      <c r="K71" t="inlineStr">
        <is>
          <t>carbon dioxide, captured from natural gas, post, 200km pipeline, storage 1000m</t>
        </is>
      </c>
    </row>
    <row r="72">
      <c r="A72" t="inlineStr">
        <is>
          <t>Carbon dioxide, fossil</t>
        </is>
      </c>
      <c r="B72">
        <f>B71*-1</f>
        <v>-0.42818544000000008</v>
      </c>
      <c r="D72" t="inlineStr">
        <is>
          <t>kilogram</t>
        </is>
      </c>
      <c r="E72" t="inlineStr">
        <is>
          <t>air</t>
        </is>
      </c>
      <c r="F72" t="inlineStr">
        <is>
          <t>biosphere</t>
        </is>
      </c>
      <c r="J72" t="inlineStr">
        <is>
          <t>This amount is here to partially cancel the fossil CO2 emissions.</t>
        </is>
      </c>
    </row>
    <row r="73"/>
    <row r="74" ht="16" customHeight="1">
      <c r="A74" s="1" t="inlineStr">
        <is>
          <t>Activity</t>
        </is>
      </c>
      <c r="B74" s="1" t="inlineStr">
        <is>
          <t>heat production, at co-generation natural gas-fired power plant, post, pipeline 200km, storage 1000m</t>
        </is>
      </c>
    </row>
    <row r="75">
      <c r="A75" t="inlineStr">
        <is>
          <t>location</t>
        </is>
      </c>
      <c r="B75" t="inlineStr">
        <is>
          <t>RER</t>
        </is>
      </c>
    </row>
    <row r="76">
      <c r="A76" t="inlineStr">
        <is>
          <t>production amount</t>
        </is>
      </c>
      <c r="B76" t="n">
        <v>1</v>
      </c>
    </row>
    <row r="77">
      <c r="A77" t="inlineStr">
        <is>
          <t>reference product</t>
        </is>
      </c>
      <c r="B77" t="inlineStr">
        <is>
          <t>heat, district or industrial, natural gas</t>
        </is>
      </c>
    </row>
    <row r="78">
      <c r="A78" t="inlineStr">
        <is>
          <t>type</t>
        </is>
      </c>
      <c r="B78" t="inlineStr">
        <is>
          <t>process</t>
        </is>
      </c>
    </row>
    <row r="79">
      <c r="A79" t="inlineStr">
        <is>
          <t>unit</t>
        </is>
      </c>
      <c r="B79" t="inlineStr">
        <is>
          <t>megajoule</t>
        </is>
      </c>
    </row>
    <row r="80">
      <c r="A80" t="inlineStr">
        <is>
          <t>comment</t>
        </is>
      </c>
      <c r="B80" t="inlineStr">
        <is>
          <t>Grossly adapted from Volkart et al. 2013 to ecoinvent CHP datasets. 90% CO2 capture efficiency. Added 8% energy penalty based on Volkart et al. 2013.</t>
        </is>
      </c>
    </row>
    <row r="81" ht="16" customHeight="1">
      <c r="A81" s="1" t="inlineStr">
        <is>
          <t>Exchanges</t>
        </is>
      </c>
    </row>
    <row r="82">
      <c r="A82" t="inlineStr">
        <is>
          <t>name</t>
        </is>
      </c>
      <c r="B82" t="inlineStr">
        <is>
          <t>amount</t>
        </is>
      </c>
      <c r="C82" t="inlineStr">
        <is>
          <t>location</t>
        </is>
      </c>
      <c r="D82" t="inlineStr">
        <is>
          <t>unit</t>
        </is>
      </c>
      <c r="E82" t="inlineStr">
        <is>
          <t>categories</t>
        </is>
      </c>
      <c r="F82" t="inlineStr">
        <is>
          <t>type</t>
        </is>
      </c>
      <c r="G82" t="inlineStr">
        <is>
          <t>uncertainty type</t>
        </is>
      </c>
      <c r="H82" t="inlineStr">
        <is>
          <t>loc</t>
        </is>
      </c>
      <c r="I82" t="inlineStr">
        <is>
          <t>allocation</t>
        </is>
      </c>
      <c r="J82" t="inlineStr">
        <is>
          <t>comment</t>
        </is>
      </c>
      <c r="K82" t="inlineStr">
        <is>
          <t>reference product</t>
        </is>
      </c>
    </row>
    <row r="83">
      <c r="A83" t="inlineStr">
        <is>
          <t>heat production, at co-generation natural gas-fired power plant, post, pipeline 200km, storage 1000m</t>
        </is>
      </c>
      <c r="B83" t="n">
        <v>1</v>
      </c>
      <c r="C83" t="inlineStr">
        <is>
          <t>RER</t>
        </is>
      </c>
      <c r="D83" t="inlineStr">
        <is>
          <t>megajoule</t>
        </is>
      </c>
      <c r="E83" t="inlineStr">
        <is>
          <t>CCS Europe 2025::Hard coal</t>
        </is>
      </c>
      <c r="F83" t="inlineStr">
        <is>
          <t>production</t>
        </is>
      </c>
      <c r="I83" t="n">
        <v>100</v>
      </c>
      <c r="J83" t="inlineStr"/>
      <c r="K83" t="inlineStr">
        <is>
          <t>heat, district or industrial, natural gas</t>
        </is>
      </c>
    </row>
    <row r="84">
      <c r="A84" t="inlineStr">
        <is>
          <t>heat and power co-generation, natural gas, conventional power plant, 100MW electrical</t>
        </is>
      </c>
      <c r="B84" t="n">
        <v>1.08</v>
      </c>
      <c r="C84" t="inlineStr">
        <is>
          <t>DE</t>
        </is>
      </c>
      <c r="D84" t="inlineStr">
        <is>
          <t>megajoule</t>
        </is>
      </c>
      <c r="E84" t="inlineStr">
        <is>
          <t>Materials/fuels</t>
        </is>
      </c>
      <c r="F84" t="inlineStr">
        <is>
          <t>technosphere</t>
        </is>
      </c>
      <c r="J84" t="inlineStr"/>
      <c r="K84" t="inlineStr">
        <is>
          <t>heat, district or industrial, natural gas</t>
        </is>
      </c>
    </row>
    <row r="85">
      <c r="A85" t="inlineStr">
        <is>
          <t>carbon dioxide, captured from natural gas, post, 200km pipeline, storage 1000m</t>
        </is>
      </c>
      <c r="B85">
        <f>0.022542*B84*0.9</f>
        <v>2.1910823999999999E-2</v>
      </c>
      <c r="C85" t="inlineStr">
        <is>
          <t>RER</t>
        </is>
      </c>
      <c r="D85" t="inlineStr">
        <is>
          <t>kilogram</t>
        </is>
      </c>
      <c r="F85" t="inlineStr">
        <is>
          <t>technosphere</t>
        </is>
      </c>
      <c r="K85" t="inlineStr">
        <is>
          <t>carbon dioxide, captured from natural gas, post, 200km pipeline, storage 1000m</t>
        </is>
      </c>
    </row>
    <row r="86">
      <c r="A86" t="inlineStr">
        <is>
          <t>Carbon dioxide, fossil</t>
        </is>
      </c>
      <c r="B86">
        <f>B85*-1</f>
        <v>-2.1910823999999999E-2</v>
      </c>
      <c r="D86" t="inlineStr">
        <is>
          <t>kilogram</t>
        </is>
      </c>
      <c r="E86" t="inlineStr">
        <is>
          <t>air</t>
        </is>
      </c>
      <c r="F86" t="inlineStr">
        <is>
          <t>biosphere</t>
        </is>
      </c>
      <c r="J86" t="inlineStr">
        <is>
          <t>This amount is here to partially cancel the fossil CO2 emissions.</t>
        </is>
      </c>
    </row>
    <row r="87"/>
    <row r="88" ht="16" customHeight="1">
      <c r="A88" s="1" t="inlineStr">
        <is>
          <t>Activity</t>
        </is>
      </c>
      <c r="B88" s="1" t="inlineStr">
        <is>
          <t>electricity production, at co-generation oil-fired power plant, post, pipeline 200km, storage 1000m</t>
        </is>
      </c>
    </row>
    <row r="89">
      <c r="A89" t="inlineStr">
        <is>
          <t>location</t>
        </is>
      </c>
      <c r="B89" t="inlineStr">
        <is>
          <t>RER</t>
        </is>
      </c>
    </row>
    <row r="90">
      <c r="A90" t="inlineStr">
        <is>
          <t>production amount</t>
        </is>
      </c>
      <c r="B90" t="n">
        <v>1</v>
      </c>
    </row>
    <row r="91">
      <c r="A91" t="inlineStr">
        <is>
          <t>reference product</t>
        </is>
      </c>
      <c r="B91" t="inlineStr">
        <is>
          <t>electricity, high voltage</t>
        </is>
      </c>
    </row>
    <row r="92">
      <c r="A92" t="inlineStr">
        <is>
          <t>comment</t>
        </is>
      </c>
      <c r="B92" t="inlineStr">
        <is>
          <t>Grossly adapted from Volkart et al. 2013 to ecoinvent CHP datasets. 90% CO2 capture efficiency. Added 9% energy penalty based on Volkart et al. 2013.</t>
        </is>
      </c>
    </row>
    <row r="93">
      <c r="A93" t="inlineStr">
        <is>
          <t>type</t>
        </is>
      </c>
      <c r="B93" t="inlineStr">
        <is>
          <t>process</t>
        </is>
      </c>
    </row>
    <row r="94">
      <c r="A94" t="inlineStr">
        <is>
          <t>unit</t>
        </is>
      </c>
      <c r="B94" t="inlineStr">
        <is>
          <t>kilowatt hour</t>
        </is>
      </c>
    </row>
    <row r="95" ht="16" customHeight="1">
      <c r="A95" s="1" t="inlineStr">
        <is>
          <t>Exchanges</t>
        </is>
      </c>
    </row>
    <row r="96">
      <c r="A96" t="inlineStr">
        <is>
          <t>name</t>
        </is>
      </c>
      <c r="B96" t="inlineStr">
        <is>
          <t>amount</t>
        </is>
      </c>
      <c r="C96" t="inlineStr">
        <is>
          <t>location</t>
        </is>
      </c>
      <c r="D96" t="inlineStr">
        <is>
          <t>unit</t>
        </is>
      </c>
      <c r="E96" t="inlineStr">
        <is>
          <t>categories</t>
        </is>
      </c>
      <c r="F96" t="inlineStr">
        <is>
          <t>type</t>
        </is>
      </c>
      <c r="G96" t="inlineStr">
        <is>
          <t>uncertainty type</t>
        </is>
      </c>
      <c r="H96" t="inlineStr">
        <is>
          <t>loc</t>
        </is>
      </c>
      <c r="I96" t="inlineStr">
        <is>
          <t>allocation</t>
        </is>
      </c>
      <c r="J96" t="inlineStr">
        <is>
          <t>comment</t>
        </is>
      </c>
      <c r="K96" t="inlineStr">
        <is>
          <t>reference product</t>
        </is>
      </c>
    </row>
    <row r="97">
      <c r="A97" t="inlineStr">
        <is>
          <t>electricity production, at co-generation oil-fired power plant, post, pipeline 200km, storage 1000m</t>
        </is>
      </c>
      <c r="B97" t="n">
        <v>1</v>
      </c>
      <c r="C97" t="inlineStr">
        <is>
          <t>RER</t>
        </is>
      </c>
      <c r="D97" t="inlineStr">
        <is>
          <t>kilowatt hour</t>
        </is>
      </c>
      <c r="E97" t="inlineStr">
        <is>
          <t>CCS Europe 2025::Hard coal</t>
        </is>
      </c>
      <c r="F97" t="inlineStr">
        <is>
          <t>production</t>
        </is>
      </c>
      <c r="I97" t="n">
        <v>100</v>
      </c>
      <c r="J97" t="inlineStr"/>
      <c r="K97" t="inlineStr">
        <is>
          <t>electricity, high voltage</t>
        </is>
      </c>
    </row>
    <row r="98">
      <c r="A98" t="inlineStr">
        <is>
          <t>heat and power co-generation, oil</t>
        </is>
      </c>
      <c r="B98" t="n">
        <v>1.09</v>
      </c>
      <c r="C98" t="inlineStr">
        <is>
          <t>DE</t>
        </is>
      </c>
      <c r="D98" t="inlineStr">
        <is>
          <t>kilowatt hour</t>
        </is>
      </c>
      <c r="E98" t="inlineStr">
        <is>
          <t>Materials/fuels</t>
        </is>
      </c>
      <c r="F98" t="inlineStr">
        <is>
          <t>technosphere</t>
        </is>
      </c>
      <c r="J98" t="inlineStr"/>
      <c r="K98" t="inlineStr">
        <is>
          <t>electricity, high voltage</t>
        </is>
      </c>
    </row>
    <row r="99">
      <c r="A99" t="inlineStr">
        <is>
          <t>carbon dioxide, captured from hard coal-fired power plant, post, pipeline 200km, storage 1000m</t>
        </is>
      </c>
      <c r="B99">
        <f>0.58378*B98*0.9</f>
        <v>0.57268817999999999</v>
      </c>
      <c r="C99" t="inlineStr">
        <is>
          <t>RER</t>
        </is>
      </c>
      <c r="D99" t="inlineStr">
        <is>
          <t>kilogram</t>
        </is>
      </c>
      <c r="F99" t="inlineStr">
        <is>
          <t>technosphere</t>
        </is>
      </c>
      <c r="K99" t="inlineStr">
        <is>
          <t>carbon dioxide, captured from hard coal-fired power plant, post, pipeline 200km, storage 1000m</t>
        </is>
      </c>
    </row>
    <row r="100">
      <c r="A100" t="inlineStr">
        <is>
          <t>Carbon dioxide, fossil</t>
        </is>
      </c>
      <c r="B100">
        <f>B99*-1</f>
        <v>-0.57268817999999999</v>
      </c>
      <c r="D100" t="inlineStr">
        <is>
          <t>kilogram</t>
        </is>
      </c>
      <c r="E100" t="inlineStr">
        <is>
          <t>air</t>
        </is>
      </c>
      <c r="F100" t="inlineStr">
        <is>
          <t>biosphere</t>
        </is>
      </c>
      <c r="J100" t="inlineStr">
        <is>
          <t>This amount is here to partially cancel the fossil CO2 emissions.</t>
        </is>
      </c>
    </row>
    <row r="101"/>
    <row r="102" ht="16" customHeight="1">
      <c r="A102" s="1" t="inlineStr">
        <is>
          <t>Activity</t>
        </is>
      </c>
      <c r="B102" s="1" t="inlineStr">
        <is>
          <t>heat production, at co-generation oil-fired power plant, post, pipeline 200km, storage 1000m</t>
        </is>
      </c>
    </row>
    <row r="103">
      <c r="A103" t="inlineStr">
        <is>
          <t>location</t>
        </is>
      </c>
      <c r="B103" t="inlineStr">
        <is>
          <t>RER</t>
        </is>
      </c>
    </row>
    <row r="104">
      <c r="A104" t="inlineStr">
        <is>
          <t>production amount</t>
        </is>
      </c>
      <c r="B104" t="n">
        <v>1</v>
      </c>
    </row>
    <row r="105">
      <c r="A105" t="inlineStr">
        <is>
          <t>reference product</t>
        </is>
      </c>
      <c r="B105" t="inlineStr">
        <is>
          <t>heat, district or industrial, other than natural gas</t>
        </is>
      </c>
    </row>
    <row r="106">
      <c r="A106" t="inlineStr">
        <is>
          <t>type</t>
        </is>
      </c>
      <c r="B106" t="inlineStr">
        <is>
          <t>process</t>
        </is>
      </c>
    </row>
    <row r="107">
      <c r="A107" t="inlineStr">
        <is>
          <t>unit</t>
        </is>
      </c>
      <c r="B107" t="inlineStr">
        <is>
          <t>megajoule</t>
        </is>
      </c>
    </row>
    <row r="108">
      <c r="A108" t="inlineStr">
        <is>
          <t>comment</t>
        </is>
      </c>
      <c r="B108" t="inlineStr">
        <is>
          <t>Grossly adapted from Volkart et al. 2013 to ecoinvent CHP datasets. 90% CO2 capture efficiency. Added 9% energy penalty based on Volkart et al. 2013.</t>
        </is>
      </c>
    </row>
    <row r="109" ht="16" customHeight="1">
      <c r="A109" s="1" t="inlineStr">
        <is>
          <t>Exchanges</t>
        </is>
      </c>
    </row>
    <row r="110">
      <c r="A110" t="inlineStr">
        <is>
          <t>name</t>
        </is>
      </c>
      <c r="B110" t="inlineStr">
        <is>
          <t>amount</t>
        </is>
      </c>
      <c r="C110" t="inlineStr">
        <is>
          <t>location</t>
        </is>
      </c>
      <c r="D110" t="inlineStr">
        <is>
          <t>unit</t>
        </is>
      </c>
      <c r="E110" t="inlineStr">
        <is>
          <t>categories</t>
        </is>
      </c>
      <c r="F110" t="inlineStr">
        <is>
          <t>type</t>
        </is>
      </c>
      <c r="G110" t="inlineStr">
        <is>
          <t>uncertainty type</t>
        </is>
      </c>
      <c r="H110" t="inlineStr">
        <is>
          <t>loc</t>
        </is>
      </c>
      <c r="I110" t="inlineStr">
        <is>
          <t>allocation</t>
        </is>
      </c>
      <c r="J110" t="inlineStr">
        <is>
          <t>comment</t>
        </is>
      </c>
      <c r="K110" t="inlineStr">
        <is>
          <t>reference product</t>
        </is>
      </c>
    </row>
    <row r="111">
      <c r="A111" t="inlineStr">
        <is>
          <t>heat production, at co-generation oil-fired power plant, post, pipeline 200km, storage 1000m</t>
        </is>
      </c>
      <c r="B111" t="n">
        <v>1</v>
      </c>
      <c r="C111" t="inlineStr">
        <is>
          <t>RER</t>
        </is>
      </c>
      <c r="D111" t="inlineStr">
        <is>
          <t>megajoule</t>
        </is>
      </c>
      <c r="E111" t="inlineStr">
        <is>
          <t>CCS Europe 2025::Hard coal</t>
        </is>
      </c>
      <c r="F111" t="inlineStr">
        <is>
          <t>production</t>
        </is>
      </c>
      <c r="I111" t="n">
        <v>100</v>
      </c>
      <c r="J111" t="inlineStr"/>
      <c r="K111" t="inlineStr">
        <is>
          <t>heat, district or industrial, other than natural gas</t>
        </is>
      </c>
    </row>
    <row r="112">
      <c r="A112" t="inlineStr">
        <is>
          <t>heat and power co-generation, oil</t>
        </is>
      </c>
      <c r="B112" t="n">
        <v>1.09</v>
      </c>
      <c r="C112" t="inlineStr">
        <is>
          <t>DE</t>
        </is>
      </c>
      <c r="D112" t="inlineStr">
        <is>
          <t>megajoule</t>
        </is>
      </c>
      <c r="E112" t="inlineStr">
        <is>
          <t>Materials/fuels</t>
        </is>
      </c>
      <c r="F112" t="inlineStr">
        <is>
          <t>technosphere</t>
        </is>
      </c>
      <c r="J112" t="inlineStr"/>
      <c r="K112" t="inlineStr">
        <is>
          <t>heat, district or industrial, other than natural gas</t>
        </is>
      </c>
    </row>
    <row r="113">
      <c r="A113" t="inlineStr">
        <is>
          <t>carbon dioxide, captured from hard coal-fired power plant, post, pipeline 200km, storage 1000m</t>
        </is>
      </c>
      <c r="B113">
        <f>0.02987*B112*0.9</f>
        <v>2.9302470000000004E-2</v>
      </c>
      <c r="C113" t="inlineStr">
        <is>
          <t>RER</t>
        </is>
      </c>
      <c r="D113" t="inlineStr">
        <is>
          <t>kilogram</t>
        </is>
      </c>
      <c r="F113" t="inlineStr">
        <is>
          <t>technosphere</t>
        </is>
      </c>
      <c r="K113" t="inlineStr">
        <is>
          <t>carbon dioxide, captured from hard coal-fired power plant, post, pipeline 200km, storage 1000m</t>
        </is>
      </c>
    </row>
    <row r="114">
      <c r="A114" t="inlineStr">
        <is>
          <t>Carbon dioxide, fossil</t>
        </is>
      </c>
      <c r="B114">
        <f>B113*-1</f>
        <v>-2.9302470000000004E-2</v>
      </c>
      <c r="D114" t="inlineStr">
        <is>
          <t>kilogram</t>
        </is>
      </c>
      <c r="E114" t="inlineStr">
        <is>
          <t>air</t>
        </is>
      </c>
      <c r="F114" t="inlineStr">
        <is>
          <t>biosphere</t>
        </is>
      </c>
      <c r="J114" t="inlineStr">
        <is>
          <t>This amount is here to partially cancel the fossil CO2 emissions.</t>
        </is>
      </c>
    </row>
  </sheetData>
  <autoFilter ref="A1:K115"/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Sacchi Romain</dc:creator>
  <dcterms:created xmlns:dcterms="http://purl.org/dc/terms/" xmlns:xsi="http://www.w3.org/2001/XMLSchema-instance" xsi:type="dcterms:W3CDTF">2020-12-08T11:39:31Z</dcterms:created>
  <dcterms:modified xmlns:dcterms="http://purl.org/dc/terms/" xmlns:xsi="http://www.w3.org/2001/XMLSchema-instance" xsi:type="dcterms:W3CDTF">2026-07-07T13:56:47Z</dcterms:modified>
  <cp:lastModifiedBy>Romain Sacchi</cp:lastModifiedBy>
</cp:coreProperties>
</file>