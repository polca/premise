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760" windowWidth="30240" windowHeight="18880" tabRatio="600" firstSheet="0" activeTab="1" autoFilterDateGrouping="1"/>
  </bookViews>
  <sheets>
    <sheet xmlns:r="http://schemas.openxmlformats.org/officeDocument/2006/relationships" name="MTG Process description" sheetId="1" state="visible" r:id="rId1"/>
    <sheet xmlns:r="http://schemas.openxmlformats.org/officeDocument/2006/relationships" name="LCI" sheetId="2" state="visible" r:id="rId2"/>
  </sheets>
  <definedNames>
    <definedName name="_xlnm._FilterDatabase" localSheetId="1" hidden="1">'LCI'!$A$1:$K$332</definedName>
  </definedNames>
  <calcPr calcId="191029" fullCalcOnLoad="1"/>
</workbook>
</file>

<file path=xl/styles.xml><?xml version="1.0" encoding="utf-8"?>
<styleSheet xmlns="http://schemas.openxmlformats.org/spreadsheetml/2006/main">
  <numFmts count="3">
    <numFmt numFmtId="164" formatCode="0.000"/>
    <numFmt numFmtId="165" formatCode="_ [$€-2]\ * #,##0.00_ ;_ [$€-2]\ * \-#,##0.00_ ;_ [$€-2]\ * &quot;-&quot;??_ ;_ @_ "/>
    <numFmt numFmtId="166" formatCode="0.0%"/>
  </numFmts>
  <fonts count="9">
    <font>
      <name val="Calibri"/>
      <family val="2"/>
      <color theme="1"/>
      <sz val="11"/>
      <scheme val="minor"/>
    </font>
    <font>
      <name val="Calibri"/>
      <family val="2"/>
      <color theme="1"/>
      <sz val="12"/>
      <scheme val="minor"/>
    </font>
    <font>
      <name val="Calibri"/>
      <family val="2"/>
      <b val="1"/>
      <color theme="1"/>
      <sz val="11"/>
      <scheme val="minor"/>
    </font>
    <font>
      <name val="Calibri"/>
      <family val="2"/>
      <b val="1"/>
      <color theme="1"/>
      <sz val="12"/>
      <scheme val="minor"/>
    </font>
    <font>
      <name val="Calibri"/>
      <family val="2"/>
      <color theme="1"/>
      <sz val="12"/>
      <scheme val="minor"/>
    </font>
    <font>
      <name val="Calibri"/>
      <family val="2"/>
      <color theme="1"/>
      <sz val="11"/>
      <scheme val="minor"/>
    </font>
    <font>
      <name val="Calibri"/>
      <family val="2"/>
      <color theme="10"/>
      <sz val="11"/>
      <u val="single"/>
      <scheme val="minor"/>
    </font>
    <font>
      <name val="Calibri"/>
      <family val="2"/>
      <b val="1"/>
      <color theme="1"/>
      <sz val="11"/>
      <u val="single"/>
      <scheme val="minor"/>
    </font>
    <font>
      <name val="Calibri"/>
      <family val="2"/>
      <b val="1"/>
      <color rgb="FFFF0000"/>
      <sz val="11"/>
      <scheme val="minor"/>
    </font>
  </fonts>
  <fills count="4">
    <fill>
      <patternFill/>
    </fill>
    <fill>
      <patternFill patternType="gray125"/>
    </fill>
    <fill>
      <patternFill patternType="solid">
        <fgColor theme="9" tint="0.7999816888943144"/>
        <bgColor indexed="64"/>
      </patternFill>
    </fill>
    <fill>
      <patternFill patternType="solid">
        <fgColor theme="8" tint="0.7999816888943144"/>
        <bgColor indexed="64"/>
      </patternFill>
    </fill>
  </fills>
  <borders count="4">
    <border>
      <left/>
      <right/>
      <top/>
      <bottom/>
      <diagonal/>
    </border>
    <border>
      <left style="medium">
        <color auto="1"/>
      </left>
      <right style="medium">
        <color auto="1"/>
      </right>
      <top style="medium">
        <color auto="1"/>
      </top>
      <bottom/>
      <diagonal/>
    </border>
    <border>
      <left style="medium">
        <color auto="1"/>
      </left>
      <right style="medium">
        <color auto="1"/>
      </right>
      <top/>
      <bottom/>
      <diagonal/>
    </border>
    <border>
      <left style="medium">
        <color auto="1"/>
      </left>
      <right style="medium">
        <color auto="1"/>
      </right>
      <top/>
      <bottom style="medium">
        <color auto="1"/>
      </bottom>
      <diagonal/>
    </border>
  </borders>
  <cellStyleXfs count="3">
    <xf numFmtId="0" fontId="5" fillId="0" borderId="0"/>
    <xf numFmtId="9" fontId="5" fillId="0" borderId="0"/>
    <xf numFmtId="0" fontId="6" fillId="0" borderId="0"/>
  </cellStyleXfs>
  <cellXfs count="30">
    <xf numFmtId="0" fontId="0" fillId="0" borderId="0" pivotButton="0" quotePrefix="0" xfId="0"/>
    <xf numFmtId="0" fontId="3" fillId="0" borderId="0" pivotButton="0" quotePrefix="0" xfId="0"/>
    <xf numFmtId="0" fontId="2" fillId="0" borderId="0" pivotButton="0" quotePrefix="0" xfId="0"/>
    <xf numFmtId="0" fontId="4" fillId="0" borderId="0" pivotButton="0" quotePrefix="0" xfId="0"/>
    <xf numFmtId="164" fontId="0" fillId="0" borderId="0" pivotButton="0" quotePrefix="0" xfId="0"/>
    <xf numFmtId="11" fontId="0" fillId="0" borderId="0" pivotButton="0" quotePrefix="0" xfId="0"/>
    <xf numFmtId="0" fontId="6" fillId="0" borderId="0" pivotButton="0" quotePrefix="0" xfId="2"/>
    <xf numFmtId="0" fontId="6" fillId="0" borderId="0" pivotButton="0" quotePrefix="0" xfId="2"/>
    <xf numFmtId="0" fontId="7" fillId="0" borderId="0" pivotButton="0" quotePrefix="0" xfId="0"/>
    <xf numFmtId="0" fontId="0" fillId="2" borderId="0" pivotButton="0" quotePrefix="0" xfId="0"/>
    <xf numFmtId="2" fontId="2" fillId="2" borderId="0" pivotButton="0" quotePrefix="0" xfId="0"/>
    <xf numFmtId="0" fontId="0" fillId="2" borderId="1" pivotButton="0" quotePrefix="0" xfId="0"/>
    <xf numFmtId="2" fontId="0" fillId="2" borderId="0" pivotButton="0" quotePrefix="0" xfId="0"/>
    <xf numFmtId="9" fontId="0" fillId="2" borderId="0" pivotButton="0" quotePrefix="0" xfId="1"/>
    <xf numFmtId="164" fontId="8" fillId="2" borderId="0" pivotButton="0" quotePrefix="0" xfId="0"/>
    <xf numFmtId="0" fontId="0" fillId="2" borderId="2" pivotButton="0" quotePrefix="0" xfId="0"/>
    <xf numFmtId="164" fontId="0" fillId="2" borderId="0" pivotButton="0" quotePrefix="0" xfId="0"/>
    <xf numFmtId="0" fontId="0" fillId="2" borderId="3" pivotButton="0" quotePrefix="0" xfId="0"/>
    <xf numFmtId="2" fontId="0" fillId="0" borderId="0" pivotButton="0" quotePrefix="0" xfId="0"/>
    <xf numFmtId="9" fontId="0" fillId="0" borderId="0" pivotButton="0" quotePrefix="0" xfId="1"/>
    <xf numFmtId="0" fontId="0" fillId="3" borderId="0" pivotButton="0" quotePrefix="0" xfId="0"/>
    <xf numFmtId="0" fontId="2" fillId="3" borderId="0" pivotButton="0" quotePrefix="0" xfId="0"/>
    <xf numFmtId="0" fontId="0" fillId="3" borderId="1" pivotButton="0" quotePrefix="0" xfId="0"/>
    <xf numFmtId="165" fontId="0" fillId="3" borderId="0" pivotButton="0" quotePrefix="0" xfId="0"/>
    <xf numFmtId="166" fontId="0" fillId="3" borderId="0" pivotButton="0" quotePrefix="0" xfId="1"/>
    <xf numFmtId="2" fontId="8" fillId="3" borderId="0" pivotButton="0" quotePrefix="0" xfId="0"/>
    <xf numFmtId="2" fontId="0" fillId="3" borderId="0" pivotButton="0" quotePrefix="0" xfId="0"/>
    <xf numFmtId="0" fontId="0" fillId="3" borderId="2" pivotButton="0" quotePrefix="0" xfId="0"/>
    <xf numFmtId="0" fontId="0" fillId="3" borderId="3" pivotButton="0" quotePrefix="0" xfId="0"/>
    <xf numFmtId="0" fontId="1" fillId="0" borderId="0" pivotButton="0" quotePrefix="0" xfId="0"/>
  </cellXfs>
  <cellStyles count="3">
    <cellStyle name="Normal" xfId="0" builtinId="0"/>
    <cellStyle name="Per cent" xfId="1" builtinId="5"/>
    <cellStyle name="Hyperlink" xfId="2"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Relationships xmlns="http://schemas.openxmlformats.org/package/2006/relationships"><Relationship Type="http://schemas.openxmlformats.org/officeDocument/2006/relationships/hyperlink" Target="https://www.fvv-net.de/fileadmin/user_upload/medien/materialien/FVV-Kraftstoffstudie_LBST_2013-10-30.pdf" TargetMode="External" Id="rId1"/><Relationship Type="http://schemas.openxmlformats.org/officeDocument/2006/relationships/hyperlink" Target="https://www.fvv-net.de/fileadmin/user_upload/medien/materialien/FVV-Kraftstoffstudie_LBST_2013-10-30.pdf" TargetMode="External" Id="rId2"/><Relationship Type="http://schemas.openxmlformats.org/officeDocument/2006/relationships/hyperlink" Target="https://www.fvv-net.de/fileadmin/user_upload/medien/materialien/FVV-Kraftstoffstudie_LBST_2013-10-30.pdf" TargetMode="External" Id="rId3"/><Relationship Type="http://schemas.openxmlformats.org/officeDocument/2006/relationships/hyperlink" Target="https://www.fvv-net.de/fileadmin/user_upload/medien/materialien/FVV-Kraftstoffstudie_LBST_2013-10-30.pdf" TargetMode="External" Id="rId4"/><Relationship Type="http://schemas.openxmlformats.org/officeDocument/2006/relationships/hyperlink" Target="https://www.fvv-net.de/fileadmin/user_upload/medien/materialien/FVV-Kraftstoffstudie_LBST_2013-10-30.pdf" TargetMode="External" Id="rId5"/><Relationship Type="http://schemas.openxmlformats.org/officeDocument/2006/relationships/hyperlink" Target="https://www.fvv-net.de/fileadmin/user_upload/medien/materialien/FVV-Kraftstoffstudie_LBST_2013-10-30.pdf" TargetMode="External" Id="rId6"/><Relationship Type="http://schemas.openxmlformats.org/officeDocument/2006/relationships/hyperlink" Target="https://www.fvv-net.de/fileadmin/user_upload/medien/materialien/FVV-Kraftstoffstudie_LBST_2013-10-30.pdf" TargetMode="External" Id="rId7"/><Relationship Type="http://schemas.openxmlformats.org/officeDocument/2006/relationships/hyperlink" Target="https://www.fvv-net.de/fileadmin/user_upload/medien/materialien/FVV-Kraftstoffstudie_LBST_2013-10-30.pdf" TargetMode="External" Id="rId8"/></Relationships>
</file>

<file path=xl/worksheets/sheet1.xml><?xml version="1.0" encoding="utf-8"?>
<worksheet xmlns="http://schemas.openxmlformats.org/spreadsheetml/2006/main">
  <sheetPr>
    <outlinePr summaryBelow="1" summaryRight="1"/>
    <pageSetUpPr/>
  </sheetPr>
  <dimension ref="A1:K42"/>
  <sheetViews>
    <sheetView topLeftCell="A13" zoomScale="85" zoomScaleNormal="85" workbookViewId="0">
      <selection activeCell="A6" sqref="A6"/>
    </sheetView>
  </sheetViews>
  <sheetFormatPr baseColWidth="10" defaultColWidth="8.83203125" defaultRowHeight="15"/>
  <cols>
    <col width="27.33203125" bestFit="1" customWidth="1" min="1" max="1"/>
    <col width="12.33203125" bestFit="1" customWidth="1" min="3" max="3"/>
    <col width="8.6640625" bestFit="1" customWidth="1" min="4" max="4"/>
    <col width="24.83203125" bestFit="1" customWidth="1" min="5" max="5"/>
    <col width="18.5" bestFit="1" customWidth="1" min="6" max="6"/>
    <col width="32.1640625" bestFit="1" customWidth="1" min="7" max="7"/>
    <col width="32.6640625" bestFit="1" customWidth="1" min="8" max="8"/>
    <col width="25.83203125" customWidth="1" min="9" max="9"/>
    <col width="26" bestFit="1" customWidth="1" min="10" max="10"/>
    <col width="22.33203125" bestFit="1" customWidth="1" min="11" max="11"/>
  </cols>
  <sheetData>
    <row r="1">
      <c r="A1" t="inlineStr">
        <is>
          <t>skip</t>
        </is>
      </c>
    </row>
    <row r="2">
      <c r="A2" t="inlineStr">
        <is>
          <t>source for methanol production</t>
        </is>
      </c>
      <c r="B2" t="inlineStr">
        <is>
          <t>Comparative well-to-wheel life cycle assessment of OME3–5 synfuel production via the power-to-liquid pathway, Hank et al. 2019. https://doi.org/10.1039/C9SE00658C</t>
        </is>
      </c>
    </row>
    <row r="3">
      <c r="A3" t="inlineStr">
        <is>
          <t>source for MTO</t>
        </is>
      </c>
      <c r="B3" s="7" t="inlineStr">
        <is>
          <t>https://www.fvv-net.de/fileadmin/user_upload/medien/materialien/FVV-Kraftstoffstudie_LBST_2013-10-30.pdf</t>
        </is>
      </c>
    </row>
    <row r="4"/>
    <row r="5"/>
    <row r="6">
      <c r="A6" s="2" t="inlineStr">
        <is>
          <t>Methanol-to-Olefins (MTO)</t>
        </is>
      </c>
    </row>
    <row r="7"/>
    <row r="8">
      <c r="A8" s="2" t="inlineStr">
        <is>
          <t>Energy-based allocation</t>
        </is>
      </c>
      <c r="B8" s="8" t="inlineStr">
        <is>
          <t>Optimized for diesel and kerosene production</t>
        </is>
      </c>
    </row>
    <row r="9">
      <c r="A9" s="9" t="n"/>
      <c r="B9" s="9" t="n"/>
      <c r="C9" s="9" t="inlineStr">
        <is>
          <t>LHV [MJ/kg]</t>
        </is>
      </c>
      <c r="D9" s="9" t="inlineStr">
        <is>
          <t>Mass [kg]</t>
        </is>
      </c>
      <c r="E9" s="9" t="inlineStr">
        <is>
          <t>Energy produced [MJ]</t>
        </is>
      </c>
      <c r="F9" s="9" t="inlineStr">
        <is>
          <t>Energy produced [%]</t>
        </is>
      </c>
      <c r="G9" s="9" t="inlineStr">
        <is>
          <t>Mass methanol, allocated [kg/kg fuel]</t>
        </is>
      </c>
      <c r="H9" s="9" t="inlineStr">
        <is>
          <t>CO2 captured from methanol [kg/kg]</t>
        </is>
      </c>
      <c r="I9" s="9" t="inlineStr">
        <is>
          <t>CO2 content of fuel [kg CO2/kg]</t>
        </is>
      </c>
      <c r="J9" s="9" t="inlineStr">
        <is>
          <t>Carbon correction [kg/kg]</t>
        </is>
      </c>
    </row>
    <row r="10">
      <c r="A10" s="9" t="inlineStr">
        <is>
          <t>Methanol</t>
        </is>
      </c>
      <c r="B10" s="9" t="n"/>
      <c r="C10" s="9" t="n">
        <v>19</v>
      </c>
      <c r="D10" s="10" t="n">
        <v>2.26</v>
      </c>
      <c r="E10" s="9" t="n"/>
      <c r="F10" s="9" t="n"/>
      <c r="G10" s="9" t="n"/>
      <c r="H10" s="9" t="n">
        <v>1.55</v>
      </c>
      <c r="I10" s="9" t="n"/>
      <c r="J10" s="9" t="n"/>
    </row>
    <row r="11" ht="16" customHeight="1" thickBot="1">
      <c r="A11" s="9" t="n"/>
      <c r="B11" s="9" t="n"/>
      <c r="C11" s="9" t="n"/>
      <c r="D11" s="9" t="n"/>
      <c r="E11" s="9" t="n"/>
      <c r="F11" s="9" t="n"/>
      <c r="G11" s="9" t="n"/>
      <c r="H11" s="9" t="n"/>
      <c r="I11" s="9" t="n"/>
      <c r="J11" s="9" t="n"/>
    </row>
    <row r="12">
      <c r="A12" s="9" t="inlineStr">
        <is>
          <t>Diesel</t>
        </is>
      </c>
      <c r="B12" s="9" t="n"/>
      <c r="C12" s="9" t="n">
        <v>44</v>
      </c>
      <c r="D12" s="11" t="n">
        <v>0.365</v>
      </c>
      <c r="E12" s="12">
        <f>D12*C12</f>
        <v>16.059999999999999</v>
      </c>
      <c r="F12" s="13">
        <f>E12/SUM($E$12:$E$15)</f>
        <v>0.36968151224138407</v>
      </c>
      <c r="G12" s="14">
        <f>F12*$D$10/D12</f>
        <v>2.2889868977137753</v>
      </c>
      <c r="H12" s="12">
        <f>-$H$10*G12</f>
        <v>-3.5479296914563516</v>
      </c>
      <c r="I12" s="12" t="n">
        <v>3.16</v>
      </c>
      <c r="J12" s="12">
        <f>I12+H12</f>
        <v>-0.38792969145635148</v>
      </c>
    </row>
    <row r="13">
      <c r="A13" s="9" t="inlineStr">
        <is>
          <t>LPG</t>
        </is>
      </c>
      <c r="B13" s="9" t="n"/>
      <c r="C13" s="9" t="n">
        <v>45.5</v>
      </c>
      <c r="D13" s="15" t="n">
        <v>0.08599999999999999</v>
      </c>
      <c r="E13" s="12">
        <f>D13*C13</f>
        <v>3.9129999999999998</v>
      </c>
      <c r="F13" s="13">
        <f>E13/SUM($E$12:$E$15)</f>
        <v>9.0072463100905095E-2</v>
      </c>
      <c r="G13" s="16">
        <f>F13*$D$10/D13</f>
        <v>2.3670205419540173</v>
      </c>
      <c r="H13" s="12">
        <f>-$H$10*G13</f>
        <v>-3.6688818400287269</v>
      </c>
      <c r="I13" s="12" t="n">
        <v>3.01</v>
      </c>
      <c r="J13" s="12">
        <f>I13+H13</f>
        <v>-0.65888184002872707</v>
      </c>
    </row>
    <row r="14">
      <c r="A14" s="9" t="inlineStr">
        <is>
          <t>Gasoline</t>
        </is>
      </c>
      <c r="B14" s="9" t="n"/>
      <c r="C14" s="9" t="n">
        <v>43.4</v>
      </c>
      <c r="D14" s="15" t="n">
        <v>0.103</v>
      </c>
      <c r="E14" s="12">
        <f>D14*C14</f>
        <v>4.4701999999999993</v>
      </c>
      <c r="F14" s="13">
        <f>E14/SUM($E$12:$E$15)</f>
        <v>0.10289852403620392</v>
      </c>
      <c r="G14" s="16">
        <f>F14*$D$10/D14</f>
        <v>2.2577734400176781</v>
      </c>
      <c r="H14" s="12">
        <f>-$H$10*G14</f>
        <v>-3.4995488320274011</v>
      </c>
      <c r="I14" s="12" t="n">
        <v>3.14</v>
      </c>
      <c r="J14" s="12">
        <f>I14+H14</f>
        <v>-0.35954883202740096</v>
      </c>
    </row>
    <row r="15" ht="16" customHeight="1" thickBot="1">
      <c r="A15" s="9" t="inlineStr">
        <is>
          <t>Kerosene</t>
        </is>
      </c>
      <c r="B15" s="9" t="n"/>
      <c r="C15" s="9" t="n">
        <v>42.6</v>
      </c>
      <c r="D15" s="17" t="n">
        <v>0.446</v>
      </c>
      <c r="E15" s="12">
        <f>D15*C15</f>
        <v>18.999600000000001</v>
      </c>
      <c r="F15" s="13">
        <f>E15/SUM($E$12:$E$15)</f>
        <v>0.43734750062150696</v>
      </c>
      <c r="G15" s="14">
        <f>F15*$D$10/D15</f>
        <v>2.2161554964228825</v>
      </c>
      <c r="H15" s="12">
        <f>-$H$10*G15</f>
        <v>-3.4350410194554679</v>
      </c>
      <c r="I15" s="12" t="n">
        <v>3</v>
      </c>
      <c r="J15" s="12">
        <f>I15+H15</f>
        <v>-0.43504101945546791</v>
      </c>
    </row>
    <row r="16">
      <c r="E16" s="18" t="n"/>
      <c r="F16" s="19" t="n"/>
      <c r="G16" s="18" t="n"/>
      <c r="H16" s="18" t="n"/>
      <c r="I16" s="18" t="n"/>
      <c r="J16" s="18" t="n"/>
    </row>
    <row r="17">
      <c r="A17" s="2" t="inlineStr">
        <is>
          <t>Energy-based allocation</t>
        </is>
      </c>
      <c r="B17" s="8" t="inlineStr">
        <is>
          <t>Optimized for gasoline production</t>
        </is>
      </c>
    </row>
    <row r="18">
      <c r="A18" s="9" t="n"/>
      <c r="B18" s="9" t="n"/>
      <c r="C18" s="9" t="inlineStr">
        <is>
          <t>LHV [MJ/kg]</t>
        </is>
      </c>
      <c r="D18" s="9" t="inlineStr">
        <is>
          <t>Mass [kg]</t>
        </is>
      </c>
      <c r="E18" s="9" t="inlineStr">
        <is>
          <t>Energy produced [MJ]</t>
        </is>
      </c>
      <c r="F18" s="9" t="inlineStr">
        <is>
          <t>Energy produced [%]</t>
        </is>
      </c>
      <c r="G18" s="9" t="inlineStr">
        <is>
          <t>Mass methanol, allocated [kg/kg fuel]</t>
        </is>
      </c>
      <c r="H18" s="9" t="inlineStr">
        <is>
          <t>CO2 captured from methanol [kg/kg]</t>
        </is>
      </c>
      <c r="I18" s="9" t="inlineStr">
        <is>
          <t>CO2 content of fuel [kg CO2/kg]</t>
        </is>
      </c>
      <c r="J18" s="9" t="inlineStr">
        <is>
          <t>Carbon correction [kg/kg]</t>
        </is>
      </c>
    </row>
    <row r="19">
      <c r="A19" s="9" t="inlineStr">
        <is>
          <t>Methanol</t>
        </is>
      </c>
      <c r="B19" s="9" t="n"/>
      <c r="C19" s="9" t="n">
        <v>19</v>
      </c>
      <c r="D19" s="10" t="n">
        <v>2.26</v>
      </c>
      <c r="E19" s="9" t="n"/>
      <c r="F19" s="9" t="n"/>
      <c r="G19" s="9" t="n"/>
      <c r="H19" s="9" t="n">
        <v>1.55</v>
      </c>
      <c r="I19" s="9" t="n"/>
      <c r="J19" s="9" t="n"/>
    </row>
    <row r="20" ht="16" customHeight="1" thickBot="1">
      <c r="A20" s="9" t="n"/>
      <c r="B20" s="9" t="n"/>
      <c r="C20" s="9" t="n"/>
      <c r="D20" s="9" t="n"/>
      <c r="E20" s="9" t="n"/>
      <c r="F20" s="9" t="n"/>
      <c r="G20" s="9" t="n"/>
      <c r="H20" s="9" t="n"/>
      <c r="I20" s="9" t="n"/>
      <c r="J20" s="9" t="n"/>
    </row>
    <row r="21">
      <c r="A21" s="9" t="inlineStr">
        <is>
          <t>Diesel</t>
        </is>
      </c>
      <c r="B21" s="9" t="n"/>
      <c r="C21" s="9" t="n">
        <v>44</v>
      </c>
      <c r="D21" s="11" t="n">
        <v>0.183</v>
      </c>
      <c r="E21" s="12">
        <f>D21*C21</f>
        <v>8.0519999999999996</v>
      </c>
      <c r="F21" s="13">
        <f>E21/SUM($E$21:$E$24)</f>
        <v>0.18519540737469639</v>
      </c>
      <c r="G21" s="16">
        <f>F21*$D$19/D21</f>
        <v>2.28711268123942</v>
      </c>
      <c r="H21" s="12">
        <f>-$H$19*G21</f>
        <v>-3.5450246559211012</v>
      </c>
      <c r="I21" s="12" t="n">
        <v>3.16</v>
      </c>
      <c r="J21" s="12">
        <f>I21+H21</f>
        <v>-0.38502465592110102</v>
      </c>
    </row>
    <row r="22">
      <c r="A22" s="9" t="inlineStr">
        <is>
          <t>LPG</t>
        </is>
      </c>
      <c r="B22" s="9" t="n"/>
      <c r="C22" s="9" t="n">
        <v>45.5</v>
      </c>
      <c r="D22" s="15" t="n">
        <v>0.08599999999999999</v>
      </c>
      <c r="E22" s="12">
        <f>D22*C22</f>
        <v>3.9129999999999998</v>
      </c>
      <c r="F22" s="13">
        <f>E22/SUM($E$21:$E$24)</f>
        <v>8.9998712004121587E-2</v>
      </c>
      <c r="G22" s="16">
        <f>F22*$D$19/D22</f>
        <v>2.3650824317362185</v>
      </c>
      <c r="H22" s="12">
        <f>-$H$19*G22</f>
        <v>-3.6658777691911388</v>
      </c>
      <c r="I22" s="12" t="n">
        <v>3.01</v>
      </c>
      <c r="J22" s="12">
        <f>I22+H22</f>
        <v>-0.65587776919113905</v>
      </c>
    </row>
    <row r="23">
      <c r="A23" s="9" t="inlineStr">
        <is>
          <t>Gasoline</t>
        </is>
      </c>
      <c r="B23" s="9" t="n"/>
      <c r="C23" s="9" t="n">
        <v>43.4</v>
      </c>
      <c r="D23" s="15" t="n">
        <v>0.466</v>
      </c>
      <c r="E23" s="12">
        <f>D23*C23</f>
        <v>20.224399999999999</v>
      </c>
      <c r="F23" s="13">
        <f>E23/SUM($E$21:$E$24)</f>
        <v>0.46515971148892321</v>
      </c>
      <c r="G23" s="14">
        <f>F23*$D$19/D23</f>
        <v>2.2559247810407004</v>
      </c>
      <c r="H23" s="12">
        <f>-$H$19*G23</f>
        <v>-3.4966834106130857</v>
      </c>
      <c r="I23" s="12" t="n">
        <v>3.14</v>
      </c>
      <c r="J23" s="12">
        <f>I23+H23</f>
        <v>-0.35668341061308562</v>
      </c>
    </row>
    <row r="24" ht="16" customHeight="1" thickBot="1">
      <c r="A24" s="9" t="inlineStr">
        <is>
          <t>Kerosene</t>
        </is>
      </c>
      <c r="B24" s="9" t="n"/>
      <c r="C24" s="9" t="n">
        <v>42.6</v>
      </c>
      <c r="D24" s="17" t="n">
        <v>0.265</v>
      </c>
      <c r="E24" s="12">
        <f>D24*C24</f>
        <v>11.289000000000001</v>
      </c>
      <c r="F24" s="13">
        <f>E24/SUM($E$21:$E$24)</f>
        <v>0.2596461691322588</v>
      </c>
      <c r="G24" s="16">
        <f>F24*$D$19/D24</f>
        <v>2.2143409141090751</v>
      </c>
      <c r="H24" s="12">
        <f>-$H$19*G24</f>
        <v>-3.4322284168690667</v>
      </c>
      <c r="I24" s="12" t="n">
        <v>3</v>
      </c>
      <c r="J24" s="12">
        <f>I24+H24</f>
        <v>-0.43222841686906666</v>
      </c>
    </row>
    <row r="25"/>
    <row r="26">
      <c r="A26" s="2" t="inlineStr">
        <is>
          <t>Economic-based allocation</t>
        </is>
      </c>
      <c r="B26" s="8" t="inlineStr">
        <is>
          <t>Optimized for diesel and kerosene production</t>
        </is>
      </c>
    </row>
    <row r="27">
      <c r="A27" s="20" t="n"/>
      <c r="B27" s="20" t="n"/>
      <c r="C27" s="20" t="inlineStr">
        <is>
          <t>LHV [MJ/kg]</t>
        </is>
      </c>
      <c r="D27" s="20" t="inlineStr">
        <is>
          <t>Mass [kg]</t>
        </is>
      </c>
      <c r="E27" s="20" t="inlineStr">
        <is>
          <t>Unitary price [Euro_2005/kg]</t>
        </is>
      </c>
      <c r="F27" s="20" t="inlineStr">
        <is>
          <t>Turnover [Euro_2005]</t>
        </is>
      </c>
      <c r="G27" s="20" t="inlineStr">
        <is>
          <t>Revenue produced [%]</t>
        </is>
      </c>
      <c r="H27" s="20" t="inlineStr">
        <is>
          <t>Mass methanol, allocated [kg methanol/kg fuel]</t>
        </is>
      </c>
      <c r="I27" s="20" t="inlineStr">
        <is>
          <t>CO2 captured from methanol [kg/kg]</t>
        </is>
      </c>
      <c r="J27" s="20" t="inlineStr">
        <is>
          <t>CO2 content of fuel [kg CO2/kg]</t>
        </is>
      </c>
      <c r="K27" s="20" t="inlineStr">
        <is>
          <t>Carbon correction [kg/kg]</t>
        </is>
      </c>
    </row>
    <row r="28">
      <c r="A28" s="20" t="inlineStr">
        <is>
          <t>Methanol</t>
        </is>
      </c>
      <c r="B28" s="20" t="n"/>
      <c r="C28" s="20" t="n">
        <v>19</v>
      </c>
      <c r="D28" s="21" t="n">
        <v>2.26</v>
      </c>
      <c r="E28" s="20" t="n"/>
      <c r="F28" s="20" t="n"/>
      <c r="G28" s="20" t="n"/>
      <c r="H28" s="20" t="n"/>
      <c r="I28" s="20" t="n">
        <v>1.55</v>
      </c>
      <c r="J28" s="20" t="n"/>
      <c r="K28" s="20" t="n"/>
    </row>
    <row r="29" ht="16" customHeight="1" thickBot="1">
      <c r="A29" s="20" t="n"/>
      <c r="B29" s="20" t="n"/>
      <c r="C29" s="20" t="n"/>
      <c r="D29" s="20" t="n"/>
      <c r="E29" s="20" t="n"/>
      <c r="F29" s="20" t="n"/>
      <c r="G29" s="20" t="n"/>
      <c r="H29" s="20" t="n"/>
      <c r="I29" s="20" t="n"/>
      <c r="J29" s="20" t="n"/>
      <c r="K29" s="20" t="n"/>
    </row>
    <row r="30">
      <c r="A30" s="20" t="inlineStr">
        <is>
          <t>Diesel</t>
        </is>
      </c>
      <c r="B30" s="20" t="n"/>
      <c r="C30" s="20" t="n">
        <v>44</v>
      </c>
      <c r="D30" s="22" t="n">
        <v>0.365</v>
      </c>
      <c r="E30" s="23" t="n">
        <v>0.4</v>
      </c>
      <c r="F30" s="23">
        <f>E30*D30</f>
        <v>0.14599999999999999</v>
      </c>
      <c r="G30" s="24">
        <f>F30/SUM($F$30:$F$33)</f>
        <v>0.38761130550673545</v>
      </c>
      <c r="H30" s="25">
        <f>G30*$D$28/D30</f>
        <v>2.4000042477951289</v>
      </c>
      <c r="I30" s="26">
        <f>-$I$28*H30</f>
        <v>-3.7200065840824497</v>
      </c>
      <c r="J30" s="20" t="n">
        <v>3.16</v>
      </c>
      <c r="K30" s="26">
        <f>J30+I30</f>
        <v>-0.56000658408244952</v>
      </c>
    </row>
    <row r="31">
      <c r="A31" s="20" t="inlineStr">
        <is>
          <t>LPG</t>
        </is>
      </c>
      <c r="B31" s="20" t="n"/>
      <c r="C31" s="20" t="n">
        <v>45.5</v>
      </c>
      <c r="D31" s="27" t="n">
        <v>0.08599999999999999</v>
      </c>
      <c r="E31" s="23" t="n">
        <v>0.276</v>
      </c>
      <c r="F31" s="23">
        <f>E31*D31</f>
        <v>2.3736E-2</v>
      </c>
      <c r="G31" s="24">
        <f>F31/SUM($F$30:$F$33)</f>
        <v>6.3016040736355292E-2</v>
      </c>
      <c r="H31" s="26">
        <f>G31*$D$28/D31</f>
        <v>1.656002930978639</v>
      </c>
      <c r="I31" s="26">
        <f>-$I$28*H31</f>
        <v>-2.5668045430168904</v>
      </c>
      <c r="J31" s="26" t="n">
        <v>3.01</v>
      </c>
      <c r="K31" s="26">
        <f>J31+I31</f>
        <v>0.44319545698310936</v>
      </c>
    </row>
    <row r="32">
      <c r="A32" s="20" t="inlineStr">
        <is>
          <t>Gasoline</t>
        </is>
      </c>
      <c r="B32" s="20" t="n"/>
      <c r="C32" s="20" t="n">
        <v>43.4</v>
      </c>
      <c r="D32" s="27" t="n">
        <v>0.103</v>
      </c>
      <c r="E32" s="23" t="n">
        <v>0.71</v>
      </c>
      <c r="F32" s="23">
        <f>E32*D32</f>
        <v>7.3129999999999987E-2</v>
      </c>
      <c r="G32" s="24">
        <f>F32/SUM($F$30:$F$33)</f>
        <v>0.19415078610758602</v>
      </c>
      <c r="H32" s="26">
        <f>G32*$D$28/D32</f>
        <v>4.2600075398363533</v>
      </c>
      <c r="I32" s="26">
        <f>-$I$28*H32</f>
        <v>-6.6030116867463482</v>
      </c>
      <c r="J32" s="26" t="n">
        <v>3.14</v>
      </c>
      <c r="K32" s="26">
        <f>J32+I32</f>
        <v>-3.4630116867463481</v>
      </c>
    </row>
    <row r="33" ht="16" customHeight="1" thickBot="1">
      <c r="A33" s="20" t="inlineStr">
        <is>
          <t>Kerosene</t>
        </is>
      </c>
      <c r="B33" s="20" t="n"/>
      <c r="C33" s="20" t="n">
        <v>42.6</v>
      </c>
      <c r="D33" s="28" t="n">
        <v>0.446</v>
      </c>
      <c r="E33" s="23" t="n">
        <v>0.3</v>
      </c>
      <c r="F33" s="23">
        <f>E33*D33</f>
        <v>0.1338</v>
      </c>
      <c r="G33" s="24">
        <f>F33/SUM($F$30:$F$33)</f>
        <v>0.35522186764932334</v>
      </c>
      <c r="H33" s="25">
        <f>G33*$D$28/D33</f>
        <v>1.8000031858463468</v>
      </c>
      <c r="I33" s="26">
        <f>-$I$28*H33</f>
        <v>-2.7900049380618377</v>
      </c>
      <c r="J33" s="20" t="n">
        <v>3</v>
      </c>
      <c r="K33" s="26">
        <f>J33+I33</f>
        <v>0.20999506193816231</v>
      </c>
    </row>
    <row r="34"/>
    <row r="35">
      <c r="A35" s="2" t="inlineStr">
        <is>
          <t>Economic-based allocation</t>
        </is>
      </c>
      <c r="B35" s="8" t="inlineStr">
        <is>
          <t>Optimized for gasoline production</t>
        </is>
      </c>
    </row>
    <row r="36">
      <c r="A36" s="20" t="n"/>
      <c r="B36" s="20" t="n"/>
      <c r="C36" s="20" t="inlineStr">
        <is>
          <t>LHV [MJ/kg]</t>
        </is>
      </c>
      <c r="D36" s="20" t="inlineStr">
        <is>
          <t>Mass [kg]</t>
        </is>
      </c>
      <c r="E36" s="20" t="inlineStr">
        <is>
          <t>Unitary price [Euro_2005/kg]</t>
        </is>
      </c>
      <c r="F36" s="20" t="inlineStr">
        <is>
          <t>Turnover [Euro_2005]</t>
        </is>
      </c>
      <c r="G36" s="20" t="inlineStr">
        <is>
          <t>Revenue produced [%]</t>
        </is>
      </c>
      <c r="H36" s="20" t="inlineStr">
        <is>
          <t>Mass methanol, allocated [kg methanol/kg fuel]</t>
        </is>
      </c>
      <c r="I36" s="20" t="inlineStr">
        <is>
          <t>CO2 captured from methanol [kg/kg]</t>
        </is>
      </c>
      <c r="J36" s="20" t="inlineStr">
        <is>
          <t>CO2 content of fuel [kg CO2/kg]</t>
        </is>
      </c>
      <c r="K36" s="20" t="inlineStr">
        <is>
          <t>Carbon correction [kg/kg]</t>
        </is>
      </c>
    </row>
    <row r="37">
      <c r="A37" s="20" t="inlineStr">
        <is>
          <t>Methanol</t>
        </is>
      </c>
      <c r="B37" s="20" t="n"/>
      <c r="C37" s="20" t="n">
        <v>19</v>
      </c>
      <c r="D37" s="21" t="n">
        <v>2.26</v>
      </c>
      <c r="E37" s="20" t="n"/>
      <c r="F37" s="20" t="n"/>
      <c r="G37" s="20" t="n"/>
      <c r="H37" s="20" t="n"/>
      <c r="I37" s="20" t="n">
        <v>1.55</v>
      </c>
      <c r="J37" s="20" t="n"/>
      <c r="K37" s="20" t="n"/>
    </row>
    <row r="38" ht="16" customHeight="1" thickBot="1">
      <c r="A38" s="20" t="n"/>
      <c r="B38" s="20" t="n"/>
      <c r="C38" s="20" t="n"/>
      <c r="D38" s="20" t="n"/>
      <c r="E38" s="20" t="n"/>
      <c r="F38" s="20" t="n"/>
      <c r="G38" s="20" t="n"/>
      <c r="H38" s="20" t="n"/>
      <c r="I38" s="20" t="n"/>
      <c r="J38" s="20" t="n"/>
      <c r="K38" s="20" t="n"/>
    </row>
    <row r="39">
      <c r="A39" s="20" t="inlineStr">
        <is>
          <t>Diesel</t>
        </is>
      </c>
      <c r="B39" s="20" t="n"/>
      <c r="C39" s="20" t="n">
        <v>44</v>
      </c>
      <c r="D39" s="22" t="n">
        <v>0.183</v>
      </c>
      <c r="E39" s="23" t="n">
        <v>0.4</v>
      </c>
      <c r="F39" s="23">
        <f>E39*D39</f>
        <v>7.3200000000000001E-2</v>
      </c>
      <c r="G39" s="24">
        <f>F39/SUM($F$30:$F$33)</f>
        <v>0.19433662714447286</v>
      </c>
      <c r="H39" s="26">
        <f>G39*$D$37/D39</f>
        <v>2.4000042477951293</v>
      </c>
      <c r="I39" s="26">
        <f>-$I$28*H39</f>
        <v>-3.7200065840824506</v>
      </c>
      <c r="J39" s="20" t="n">
        <v>3.16</v>
      </c>
      <c r="K39" s="26">
        <f>J39+I39</f>
        <v>-0.56000658408245041</v>
      </c>
    </row>
    <row r="40">
      <c r="A40" s="20" t="inlineStr">
        <is>
          <t>LPG</t>
        </is>
      </c>
      <c r="B40" s="20" t="n"/>
      <c r="C40" s="20" t="n">
        <v>45.5</v>
      </c>
      <c r="D40" s="27" t="n">
        <v>0.08599999999999999</v>
      </c>
      <c r="E40" s="23" t="n">
        <v>0.276</v>
      </c>
      <c r="F40" s="23">
        <f>E40*D40</f>
        <v>2.3736E-2</v>
      </c>
      <c r="G40" s="24">
        <f>F40/SUM($F$30:$F$33)</f>
        <v>6.3016040736355292E-2</v>
      </c>
      <c r="H40" s="26">
        <f>G40*$D$37/D40</f>
        <v>1.656002930978639</v>
      </c>
      <c r="I40" s="26">
        <f>-$I$28*H40</f>
        <v>-2.5668045430168904</v>
      </c>
      <c r="J40" s="26" t="n">
        <v>3.01</v>
      </c>
      <c r="K40" s="26">
        <f>J40+I40</f>
        <v>0.44319545698310936</v>
      </c>
    </row>
    <row r="41">
      <c r="A41" s="20" t="inlineStr">
        <is>
          <t>Gasoline</t>
        </is>
      </c>
      <c r="B41" s="20" t="n"/>
      <c r="C41" s="20" t="n">
        <v>43.4</v>
      </c>
      <c r="D41" s="27" t="n">
        <v>0.466</v>
      </c>
      <c r="E41" s="23" t="n">
        <v>0.71</v>
      </c>
      <c r="F41" s="23">
        <f>E41*D41</f>
        <v>0.33085999999999999</v>
      </c>
      <c r="G41" s="24">
        <f>F41/SUM($F$30:$F$33)</f>
        <v>0.87839093520519518</v>
      </c>
      <c r="H41" s="25">
        <f>G41*$D$37/D41</f>
        <v>4.2600075398363533</v>
      </c>
      <c r="I41" s="26">
        <f>-$I$28*H41</f>
        <v>-6.6030116867463482</v>
      </c>
      <c r="J41" s="26" t="n">
        <v>3.14</v>
      </c>
      <c r="K41" s="26">
        <f>J41+I41</f>
        <v>-3.4630116867463481</v>
      </c>
    </row>
    <row r="42" ht="16" customHeight="1" thickBot="1">
      <c r="A42" s="20" t="inlineStr">
        <is>
          <t>Kerosene</t>
        </is>
      </c>
      <c r="B42" s="20" t="n"/>
      <c r="C42" s="20" t="n">
        <v>42.6</v>
      </c>
      <c r="D42" s="28" t="n">
        <v>0.265</v>
      </c>
      <c r="E42" s="23" t="n">
        <v>0.3</v>
      </c>
      <c r="F42" s="23">
        <f>E42*D42</f>
        <v>7.9500000000000001E-2</v>
      </c>
      <c r="G42" s="24">
        <f>F42/SUM($F$30:$F$33)</f>
        <v>0.21106232046428405</v>
      </c>
      <c r="H42" s="26">
        <f>G42*$D$37/D42</f>
        <v>1.8000031858463468</v>
      </c>
      <c r="I42" s="26">
        <f>-$I$28*H42</f>
        <v>-2.7900049380618377</v>
      </c>
      <c r="J42" s="20" t="n">
        <v>3</v>
      </c>
      <c r="K42" s="26">
        <f>J42+I42</f>
        <v>0.20999506193816231</v>
      </c>
    </row>
  </sheetData>
  <pageMargins left="0.7" right="0.7" top="0.75" bottom="0.75" header="0.3" footer="0.3"/>
</worksheet>
</file>

<file path=xl/worksheets/sheet2.xml><?xml version="1.0" encoding="utf-8"?>
<worksheet xmlns="http://schemas.openxmlformats.org/spreadsheetml/2006/main" xmlns:ns1="http://schemas.openxmlformats.org/officeDocument/2006/relationships">
  <sheetPr filterMode="1">
    <outlinePr summaryBelow="1" summaryRight="1"/>
    <pageSetUpPr/>
  </sheetPr>
  <dimension ref="A1:K332"/>
  <sheetViews>
    <sheetView tabSelected="1" workbookViewId="0">
      <selection activeCell="H201" sqref="H201"/>
    </sheetView>
  </sheetViews>
  <sheetFormatPr baseColWidth="10" defaultColWidth="8.83203125" defaultRowHeight="15"/>
  <cols>
    <col width="59.33203125" bestFit="1" customWidth="1" min="1" max="1"/>
    <col width="14" bestFit="1" customWidth="1" min="2" max="2"/>
    <col width="8.5" customWidth="1" min="3" max="3"/>
    <col width="12.33203125" bestFit="1" customWidth="1" min="4" max="4"/>
    <col width="42.1640625" bestFit="1" customWidth="1" min="7" max="7"/>
    <col width="38.1640625" customWidth="1" min="8" max="8"/>
  </cols>
  <sheetData>
    <row r="1">
      <c r="A1" t="inlineStr">
        <is>
          <t>database</t>
        </is>
      </c>
      <c r="B1" t="inlineStr">
        <is>
          <t>Methanol-based fuels from coal</t>
        </is>
      </c>
    </row>
    <row r="2" hidden="1"/>
    <row r="3" hidden="1" ht="16" customHeight="1">
      <c r="A3" s="1" t="inlineStr">
        <is>
          <t>Activity</t>
        </is>
      </c>
      <c r="B3" s="1" t="inlineStr">
        <is>
          <t>liquefied petroleum gas production, synthetic, from methanol, hydrogen from coal gasification, economic allocation, at fuelling station</t>
        </is>
      </c>
    </row>
    <row r="4" hidden="1">
      <c r="A4" t="inlineStr">
        <is>
          <t>location</t>
        </is>
      </c>
      <c r="B4" t="inlineStr">
        <is>
          <t>RER</t>
        </is>
      </c>
    </row>
    <row r="5" hidden="1">
      <c r="A5" t="inlineStr">
        <is>
          <t>production amount</t>
        </is>
      </c>
      <c r="B5" t="n">
        <v>1</v>
      </c>
    </row>
    <row r="6" hidden="1" ht="16" customHeight="1">
      <c r="A6" t="inlineStr">
        <is>
          <t>reference product</t>
        </is>
      </c>
      <c r="B6" s="3" t="inlineStr">
        <is>
          <t>liquefied petroleum gas, synthetic, vehicle grade</t>
        </is>
      </c>
    </row>
    <row r="7" hidden="1">
      <c r="A7" t="inlineStr">
        <is>
          <t>type</t>
        </is>
      </c>
      <c r="B7" t="inlineStr">
        <is>
          <t>process</t>
        </is>
      </c>
    </row>
    <row r="8" hidden="1">
      <c r="A8" t="inlineStr">
        <is>
          <t>unit</t>
        </is>
      </c>
      <c r="B8" t="inlineStr">
        <is>
          <t>kilogram</t>
        </is>
      </c>
    </row>
    <row r="9" hidden="1" ht="16" customHeight="1">
      <c r="A9" s="1" t="inlineStr">
        <is>
          <t>Exchanges</t>
        </is>
      </c>
    </row>
    <row r="10" hidden="1">
      <c r="A10" t="inlineStr">
        <is>
          <t>name</t>
        </is>
      </c>
      <c r="B10" t="inlineStr">
        <is>
          <t>amount</t>
        </is>
      </c>
      <c r="C10" t="inlineStr">
        <is>
          <t>location</t>
        </is>
      </c>
      <c r="D10" t="inlineStr">
        <is>
          <t>unit</t>
        </is>
      </c>
      <c r="E10" t="inlineStr">
        <is>
          <t>categories</t>
        </is>
      </c>
      <c r="F10" t="inlineStr">
        <is>
          <t>type</t>
        </is>
      </c>
      <c r="G10" t="inlineStr">
        <is>
          <t>uncertainty type</t>
        </is>
      </c>
      <c r="H10" t="inlineStr">
        <is>
          <t>loc</t>
        </is>
      </c>
      <c r="I10" t="inlineStr">
        <is>
          <t>allocation</t>
        </is>
      </c>
      <c r="J10" t="inlineStr">
        <is>
          <t>comment</t>
        </is>
      </c>
      <c r="K10" t="inlineStr">
        <is>
          <t>reference product</t>
        </is>
      </c>
    </row>
    <row r="11" hidden="1">
      <c r="A11" t="inlineStr">
        <is>
          <t>liquefied petroleum gas production, synthetic, from methanol, hydrogen from coal gasification, economic allocation, at fuelling station</t>
        </is>
      </c>
      <c r="B11" t="n">
        <v>1</v>
      </c>
      <c r="C11" t="inlineStr">
        <is>
          <t>RER</t>
        </is>
      </c>
      <c r="D11" t="inlineStr">
        <is>
          <t>kilogram</t>
        </is>
      </c>
      <c r="F11" t="inlineStr">
        <is>
          <t>production</t>
        </is>
      </c>
      <c r="I11" t="n">
        <v>100</v>
      </c>
      <c r="J11" t="inlineStr"/>
      <c r="K11" t="inlineStr">
        <is>
          <t>liquefied petroleum gas, synthetic, vehicle grade</t>
        </is>
      </c>
    </row>
    <row r="12" hidden="1">
      <c r="A12" t="inlineStr">
        <is>
          <t>liquefied petroleum gas production, from methanol, hydrogen from coal gasification, economic allocation</t>
        </is>
      </c>
      <c r="B12" t="n">
        <v>1.00057</v>
      </c>
      <c r="C12" t="inlineStr">
        <is>
          <t>RER</t>
        </is>
      </c>
      <c r="D12" t="inlineStr">
        <is>
          <t>kilogram</t>
        </is>
      </c>
      <c r="F12" t="inlineStr">
        <is>
          <t>technosphere</t>
        </is>
      </c>
      <c r="K12" t="inlineStr">
        <is>
          <t>liquefied petroleum gas, synthetic</t>
        </is>
      </c>
    </row>
    <row r="13" hidden="1">
      <c r="A13" t="inlineStr">
        <is>
          <t>market group for electricity, low voltage</t>
        </is>
      </c>
      <c r="B13" t="n">
        <v>0.0067</v>
      </c>
      <c r="C13" t="inlineStr">
        <is>
          <t>RER</t>
        </is>
      </c>
      <c r="D13" t="inlineStr">
        <is>
          <t>kilowatt hour</t>
        </is>
      </c>
      <c r="F13" t="inlineStr">
        <is>
          <t>technosphere</t>
        </is>
      </c>
      <c r="K13" t="inlineStr">
        <is>
          <t>electricity, low voltage</t>
        </is>
      </c>
    </row>
    <row r="14" hidden="1">
      <c r="A14" t="inlineStr">
        <is>
          <t>market for fly ash and scrubber sludge</t>
        </is>
      </c>
      <c r="B14" t="n">
        <v>-0.000168</v>
      </c>
      <c r="C14" t="inlineStr">
        <is>
          <t>Europe without Switzerland</t>
        </is>
      </c>
      <c r="D14" t="inlineStr">
        <is>
          <t>kilogram</t>
        </is>
      </c>
      <c r="F14" t="inlineStr">
        <is>
          <t>technosphere</t>
        </is>
      </c>
      <c r="K14" t="inlineStr">
        <is>
          <t>fly ash and scrubber sludge</t>
        </is>
      </c>
    </row>
    <row r="15" hidden="1">
      <c r="A15" t="inlineStr">
        <is>
          <t>market for heat, central or small-scale, other than natural gas</t>
        </is>
      </c>
      <c r="B15" s="5" t="n">
        <v>0.000584</v>
      </c>
      <c r="C15" t="inlineStr">
        <is>
          <t>CH</t>
        </is>
      </c>
      <c r="D15" t="inlineStr">
        <is>
          <t>megajoule</t>
        </is>
      </c>
      <c r="F15" t="inlineStr">
        <is>
          <t>technosphere</t>
        </is>
      </c>
      <c r="K15" t="inlineStr">
        <is>
          <t>heat, central or small-scale, other than natural gas</t>
        </is>
      </c>
    </row>
    <row r="16" hidden="1">
      <c r="A16" t="inlineStr">
        <is>
          <t>infrastructure construction, for regional distribution of oil product</t>
        </is>
      </c>
      <c r="B16" s="5" t="n">
        <v>2.6e-10</v>
      </c>
      <c r="C16" t="inlineStr">
        <is>
          <t>RER</t>
        </is>
      </c>
      <c r="D16" t="inlineStr">
        <is>
          <t>unit</t>
        </is>
      </c>
      <c r="F16" t="inlineStr">
        <is>
          <t>technosphere</t>
        </is>
      </c>
      <c r="K16" t="inlineStr">
        <is>
          <t>infrastructure, for regional distribution of oil product</t>
        </is>
      </c>
    </row>
    <row r="17" hidden="1">
      <c r="A17" t="inlineStr">
        <is>
          <t>market for municipal solid waste</t>
        </is>
      </c>
      <c r="B17" s="5" t="n">
        <v>-6.27e-06</v>
      </c>
      <c r="C17" t="inlineStr">
        <is>
          <t>CH</t>
        </is>
      </c>
      <c r="D17" t="inlineStr">
        <is>
          <t>kilogram</t>
        </is>
      </c>
      <c r="F17" t="inlineStr">
        <is>
          <t>technosphere</t>
        </is>
      </c>
      <c r="K17" t="inlineStr">
        <is>
          <t>municipal solid waste</t>
        </is>
      </c>
    </row>
    <row r="18" hidden="1">
      <c r="A18" t="inlineStr">
        <is>
          <t>market for rainwater mineral oil storage</t>
        </is>
      </c>
      <c r="B18" s="5" t="n">
        <v>-7.499999999999999e-05</v>
      </c>
      <c r="C18" t="inlineStr">
        <is>
          <t>Europe without Switzerland</t>
        </is>
      </c>
      <c r="D18" t="inlineStr">
        <is>
          <t>cubic meter</t>
        </is>
      </c>
      <c r="F18" t="inlineStr">
        <is>
          <t>technosphere</t>
        </is>
      </c>
      <c r="K18" t="inlineStr">
        <is>
          <t>rainwater mineral oil storage</t>
        </is>
      </c>
    </row>
    <row r="19" hidden="1">
      <c r="A19" t="inlineStr">
        <is>
          <t>market for tap water</t>
        </is>
      </c>
      <c r="B19" s="5" t="n">
        <v>0.0006890000000000001</v>
      </c>
      <c r="C19" t="inlineStr">
        <is>
          <t>Europe without Switzerland</t>
        </is>
      </c>
      <c r="D19" t="inlineStr">
        <is>
          <t>kilogram</t>
        </is>
      </c>
      <c r="F19" t="inlineStr">
        <is>
          <t>technosphere</t>
        </is>
      </c>
      <c r="K19" t="inlineStr">
        <is>
          <t>tap water</t>
        </is>
      </c>
    </row>
    <row r="20" hidden="1">
      <c r="A20" t="inlineStr">
        <is>
          <t>market for transport, freight train</t>
        </is>
      </c>
      <c r="B20" t="n">
        <v>0.0336</v>
      </c>
      <c r="C20" t="inlineStr">
        <is>
          <t>Europe without Switzerland</t>
        </is>
      </c>
      <c r="D20" t="inlineStr">
        <is>
          <t>ton kilometer</t>
        </is>
      </c>
      <c r="F20" t="inlineStr">
        <is>
          <t>technosphere</t>
        </is>
      </c>
      <c r="K20" t="inlineStr">
        <is>
          <t>transport, freight train</t>
        </is>
      </c>
    </row>
    <row r="21" hidden="1">
      <c r="A21" t="inlineStr">
        <is>
          <t>market for transport, freight, lorry, unspecified</t>
        </is>
      </c>
      <c r="B21" t="n">
        <v>0.0326</v>
      </c>
      <c r="C21" t="inlineStr">
        <is>
          <t>RER</t>
        </is>
      </c>
      <c r="D21" t="inlineStr">
        <is>
          <t>ton kilometer</t>
        </is>
      </c>
      <c r="F21" t="inlineStr">
        <is>
          <t>technosphere</t>
        </is>
      </c>
      <c r="K21" t="inlineStr">
        <is>
          <t>transport, freight, lorry, unspecified</t>
        </is>
      </c>
    </row>
    <row r="22" hidden="1">
      <c r="A22" t="inlineStr">
        <is>
          <t>treatment of wastewater, average, capacity 1E9l/year</t>
        </is>
      </c>
      <c r="B22" s="5" t="n">
        <v>-6.89e-07</v>
      </c>
      <c r="C22" t="inlineStr">
        <is>
          <t>Europe without Switzerland</t>
        </is>
      </c>
      <c r="D22" t="inlineStr">
        <is>
          <t>cubic meter</t>
        </is>
      </c>
      <c r="F22" t="inlineStr">
        <is>
          <t>technosphere</t>
        </is>
      </c>
      <c r="K22" t="inlineStr">
        <is>
          <t>wastewater, average</t>
        </is>
      </c>
    </row>
    <row r="23" hidden="1">
      <c r="B23" s="5" t="n"/>
    </row>
    <row r="24" hidden="1" ht="16" customHeight="1">
      <c r="A24" s="1" t="inlineStr">
        <is>
          <t>Activity</t>
        </is>
      </c>
      <c r="B24" s="1" t="inlineStr">
        <is>
          <t>kerosene production, synthetic, from methanol, hydrogen from coal gasification, economic allocation, at fuelling station</t>
        </is>
      </c>
    </row>
    <row r="25" hidden="1">
      <c r="A25" t="inlineStr">
        <is>
          <t>location</t>
        </is>
      </c>
      <c r="B25" t="inlineStr">
        <is>
          <t>RER</t>
        </is>
      </c>
    </row>
    <row r="26" hidden="1">
      <c r="A26" t="inlineStr">
        <is>
          <t>production amount</t>
        </is>
      </c>
      <c r="B26" t="n">
        <v>1</v>
      </c>
    </row>
    <row r="27" hidden="1" ht="16" customHeight="1">
      <c r="A27" t="inlineStr">
        <is>
          <t>reference product</t>
        </is>
      </c>
      <c r="B27" s="3" t="inlineStr">
        <is>
          <t>kerosene, synthetic, vehicle grade</t>
        </is>
      </c>
    </row>
    <row r="28" hidden="1">
      <c r="A28" t="inlineStr">
        <is>
          <t>type</t>
        </is>
      </c>
      <c r="B28" t="inlineStr">
        <is>
          <t>process</t>
        </is>
      </c>
    </row>
    <row r="29" hidden="1">
      <c r="A29" t="inlineStr">
        <is>
          <t>unit</t>
        </is>
      </c>
      <c r="B29" t="inlineStr">
        <is>
          <t>kilogram</t>
        </is>
      </c>
    </row>
    <row r="30" hidden="1" ht="16" customHeight="1">
      <c r="A30" s="1" t="inlineStr">
        <is>
          <t>Exchanges</t>
        </is>
      </c>
    </row>
    <row r="31" hidden="1">
      <c r="A31" t="inlineStr">
        <is>
          <t>name</t>
        </is>
      </c>
      <c r="B31" t="inlineStr">
        <is>
          <t>amount</t>
        </is>
      </c>
      <c r="C31" t="inlineStr">
        <is>
          <t>location</t>
        </is>
      </c>
      <c r="D31" t="inlineStr">
        <is>
          <t>unit</t>
        </is>
      </c>
      <c r="E31" t="inlineStr">
        <is>
          <t>categories</t>
        </is>
      </c>
      <c r="F31" t="inlineStr">
        <is>
          <t>type</t>
        </is>
      </c>
      <c r="G31" t="inlineStr">
        <is>
          <t>uncertainty type</t>
        </is>
      </c>
      <c r="H31" t="inlineStr">
        <is>
          <t>loc</t>
        </is>
      </c>
      <c r="I31" t="inlineStr">
        <is>
          <t>allocation</t>
        </is>
      </c>
      <c r="J31" t="inlineStr">
        <is>
          <t>comment</t>
        </is>
      </c>
      <c r="K31" t="inlineStr">
        <is>
          <t>reference product</t>
        </is>
      </c>
    </row>
    <row r="32" hidden="1">
      <c r="A32" t="inlineStr">
        <is>
          <t>kerosene production, synthetic, from methanol, hydrogen from coal gasification, economic allocation, at fuelling station</t>
        </is>
      </c>
      <c r="B32" t="n">
        <v>1</v>
      </c>
      <c r="C32" t="inlineStr">
        <is>
          <t>RER</t>
        </is>
      </c>
      <c r="D32" t="inlineStr">
        <is>
          <t>kilogram</t>
        </is>
      </c>
      <c r="F32" t="inlineStr">
        <is>
          <t>production</t>
        </is>
      </c>
      <c r="I32" t="n">
        <v>100</v>
      </c>
      <c r="J32" t="inlineStr"/>
      <c r="K32" t="inlineStr">
        <is>
          <t>kerosene, synthetic, vehicle grade</t>
        </is>
      </c>
    </row>
    <row r="33" hidden="1">
      <c r="A33" t="inlineStr">
        <is>
          <t>kerosene production, from methanol, hydrogen from coal gasification, economic allocation</t>
        </is>
      </c>
      <c r="B33" t="n">
        <v>1.00057</v>
      </c>
      <c r="C33" t="inlineStr">
        <is>
          <t>RER</t>
        </is>
      </c>
      <c r="D33" t="inlineStr">
        <is>
          <t>kilogram</t>
        </is>
      </c>
      <c r="F33" t="inlineStr">
        <is>
          <t>technosphere</t>
        </is>
      </c>
      <c r="K33" t="inlineStr">
        <is>
          <t>kerosene, synthetic</t>
        </is>
      </c>
    </row>
    <row r="34" hidden="1">
      <c r="A34" t="inlineStr">
        <is>
          <t>market group for electricity, low voltage</t>
        </is>
      </c>
      <c r="B34" t="n">
        <v>0.0067</v>
      </c>
      <c r="C34" t="inlineStr">
        <is>
          <t>RER</t>
        </is>
      </c>
      <c r="D34" t="inlineStr">
        <is>
          <t>kilowatt hour</t>
        </is>
      </c>
      <c r="F34" t="inlineStr">
        <is>
          <t>technosphere</t>
        </is>
      </c>
      <c r="K34" t="inlineStr">
        <is>
          <t>electricity, low voltage</t>
        </is>
      </c>
    </row>
    <row r="35" hidden="1">
      <c r="A35" t="inlineStr">
        <is>
          <t>market for fly ash and scrubber sludge</t>
        </is>
      </c>
      <c r="B35" t="n">
        <v>-0.000168</v>
      </c>
      <c r="C35" t="inlineStr">
        <is>
          <t>Europe without Switzerland</t>
        </is>
      </c>
      <c r="D35" t="inlineStr">
        <is>
          <t>kilogram</t>
        </is>
      </c>
      <c r="F35" t="inlineStr">
        <is>
          <t>technosphere</t>
        </is>
      </c>
      <c r="K35" t="inlineStr">
        <is>
          <t>fly ash and scrubber sludge</t>
        </is>
      </c>
    </row>
    <row r="36" hidden="1">
      <c r="A36" t="inlineStr">
        <is>
          <t>market for heat, central or small-scale, other than natural gas</t>
        </is>
      </c>
      <c r="B36" s="5" t="n">
        <v>0.000584</v>
      </c>
      <c r="C36" t="inlineStr">
        <is>
          <t>CH</t>
        </is>
      </c>
      <c r="D36" t="inlineStr">
        <is>
          <t>megajoule</t>
        </is>
      </c>
      <c r="F36" t="inlineStr">
        <is>
          <t>technosphere</t>
        </is>
      </c>
      <c r="K36" t="inlineStr">
        <is>
          <t>heat, central or small-scale, other than natural gas</t>
        </is>
      </c>
    </row>
    <row r="37" hidden="1">
      <c r="A37" t="inlineStr">
        <is>
          <t>infrastructure construction, for regional distribution of oil product</t>
        </is>
      </c>
      <c r="B37" s="5" t="n">
        <v>2.6e-10</v>
      </c>
      <c r="C37" t="inlineStr">
        <is>
          <t>RER</t>
        </is>
      </c>
      <c r="D37" t="inlineStr">
        <is>
          <t>unit</t>
        </is>
      </c>
      <c r="F37" t="inlineStr">
        <is>
          <t>technosphere</t>
        </is>
      </c>
      <c r="K37" t="inlineStr">
        <is>
          <t>infrastructure, for regional distribution of oil product</t>
        </is>
      </c>
    </row>
    <row r="38" hidden="1">
      <c r="A38" t="inlineStr">
        <is>
          <t>market for municipal solid waste</t>
        </is>
      </c>
      <c r="B38" s="5" t="n">
        <v>-6.27e-06</v>
      </c>
      <c r="C38" t="inlineStr">
        <is>
          <t>CH</t>
        </is>
      </c>
      <c r="D38" t="inlineStr">
        <is>
          <t>kilogram</t>
        </is>
      </c>
      <c r="F38" t="inlineStr">
        <is>
          <t>technosphere</t>
        </is>
      </c>
      <c r="K38" t="inlineStr">
        <is>
          <t>municipal solid waste</t>
        </is>
      </c>
    </row>
    <row r="39" hidden="1">
      <c r="A39" t="inlineStr">
        <is>
          <t>market for rainwater mineral oil storage</t>
        </is>
      </c>
      <c r="B39" s="5" t="n">
        <v>-7.499999999999999e-05</v>
      </c>
      <c r="C39" t="inlineStr">
        <is>
          <t>Europe without Switzerland</t>
        </is>
      </c>
      <c r="D39" t="inlineStr">
        <is>
          <t>cubic meter</t>
        </is>
      </c>
      <c r="F39" t="inlineStr">
        <is>
          <t>technosphere</t>
        </is>
      </c>
      <c r="K39" t="inlineStr">
        <is>
          <t>rainwater mineral oil storage</t>
        </is>
      </c>
    </row>
    <row r="40" hidden="1">
      <c r="A40" t="inlineStr">
        <is>
          <t>market for tap water</t>
        </is>
      </c>
      <c r="B40" s="5" t="n">
        <v>0.0006890000000000001</v>
      </c>
      <c r="C40" t="inlineStr">
        <is>
          <t>Europe without Switzerland</t>
        </is>
      </c>
      <c r="D40" t="inlineStr">
        <is>
          <t>kilogram</t>
        </is>
      </c>
      <c r="F40" t="inlineStr">
        <is>
          <t>technosphere</t>
        </is>
      </c>
      <c r="K40" t="inlineStr">
        <is>
          <t>tap water</t>
        </is>
      </c>
    </row>
    <row r="41" hidden="1">
      <c r="A41" t="inlineStr">
        <is>
          <t>market for transport, freight train</t>
        </is>
      </c>
      <c r="B41" t="n">
        <v>0.0336</v>
      </c>
      <c r="C41" t="inlineStr">
        <is>
          <t>Europe without Switzerland</t>
        </is>
      </c>
      <c r="D41" t="inlineStr">
        <is>
          <t>ton kilometer</t>
        </is>
      </c>
      <c r="F41" t="inlineStr">
        <is>
          <t>technosphere</t>
        </is>
      </c>
      <c r="K41" t="inlineStr">
        <is>
          <t>transport, freight train</t>
        </is>
      </c>
    </row>
    <row r="42" hidden="1">
      <c r="A42" t="inlineStr">
        <is>
          <t>market for transport, freight, lorry, unspecified</t>
        </is>
      </c>
      <c r="B42" t="n">
        <v>0.0326</v>
      </c>
      <c r="C42" t="inlineStr">
        <is>
          <t>RER</t>
        </is>
      </c>
      <c r="D42" t="inlineStr">
        <is>
          <t>ton kilometer</t>
        </is>
      </c>
      <c r="F42" t="inlineStr">
        <is>
          <t>technosphere</t>
        </is>
      </c>
      <c r="K42" t="inlineStr">
        <is>
          <t>transport, freight, lorry, unspecified</t>
        </is>
      </c>
    </row>
    <row r="43" hidden="1">
      <c r="A43" t="inlineStr">
        <is>
          <t>treatment of wastewater, average, capacity 1E9l/year</t>
        </is>
      </c>
      <c r="B43" s="5" t="n">
        <v>-6.89e-07</v>
      </c>
      <c r="C43" t="inlineStr">
        <is>
          <t>Europe without Switzerland</t>
        </is>
      </c>
      <c r="D43" t="inlineStr">
        <is>
          <t>cubic meter</t>
        </is>
      </c>
      <c r="F43" t="inlineStr">
        <is>
          <t>technosphere</t>
        </is>
      </c>
      <c r="K43" t="inlineStr">
        <is>
          <t>wastewater, average</t>
        </is>
      </c>
    </row>
    <row r="44" hidden="1">
      <c r="B44" s="5" t="n"/>
    </row>
    <row r="45" hidden="1" ht="16" customHeight="1">
      <c r="A45" s="1" t="inlineStr">
        <is>
          <t>Activity</t>
        </is>
      </c>
      <c r="B45" s="1" t="inlineStr">
        <is>
          <t>diesel production, synthetic, from methanol, hydrogen from coal gasification, economic allocation, at fuelling station</t>
        </is>
      </c>
    </row>
    <row r="46" hidden="1">
      <c r="A46" t="inlineStr">
        <is>
          <t>location</t>
        </is>
      </c>
      <c r="B46" t="inlineStr">
        <is>
          <t>RER</t>
        </is>
      </c>
    </row>
    <row r="47" hidden="1">
      <c r="A47" t="inlineStr">
        <is>
          <t>production amount</t>
        </is>
      </c>
      <c r="B47" t="n">
        <v>1</v>
      </c>
    </row>
    <row r="48" hidden="1" ht="16" customHeight="1">
      <c r="A48" t="inlineStr">
        <is>
          <t>reference product</t>
        </is>
      </c>
      <c r="B48" s="3" t="inlineStr">
        <is>
          <t>diesel, synthetic, vehicle grade</t>
        </is>
      </c>
    </row>
    <row r="49" hidden="1">
      <c r="A49" t="inlineStr">
        <is>
          <t>type</t>
        </is>
      </c>
      <c r="B49" t="inlineStr">
        <is>
          <t>process</t>
        </is>
      </c>
    </row>
    <row r="50" hidden="1">
      <c r="A50" t="inlineStr">
        <is>
          <t>unit</t>
        </is>
      </c>
      <c r="B50" t="inlineStr">
        <is>
          <t>kilogram</t>
        </is>
      </c>
    </row>
    <row r="51" hidden="1" ht="16" customHeight="1">
      <c r="A51" s="1" t="inlineStr">
        <is>
          <t>Exchanges</t>
        </is>
      </c>
    </row>
    <row r="52" hidden="1">
      <c r="A52" t="inlineStr">
        <is>
          <t>name</t>
        </is>
      </c>
      <c r="B52" t="inlineStr">
        <is>
          <t>amount</t>
        </is>
      </c>
      <c r="C52" t="inlineStr">
        <is>
          <t>location</t>
        </is>
      </c>
      <c r="D52" t="inlineStr">
        <is>
          <t>unit</t>
        </is>
      </c>
      <c r="E52" t="inlineStr">
        <is>
          <t>categories</t>
        </is>
      </c>
      <c r="F52" t="inlineStr">
        <is>
          <t>type</t>
        </is>
      </c>
      <c r="G52" t="inlineStr">
        <is>
          <t>uncertainty type</t>
        </is>
      </c>
      <c r="H52" t="inlineStr">
        <is>
          <t>loc</t>
        </is>
      </c>
      <c r="I52" t="inlineStr">
        <is>
          <t>allocation</t>
        </is>
      </c>
      <c r="J52" t="inlineStr">
        <is>
          <t>comment</t>
        </is>
      </c>
      <c r="K52" t="inlineStr">
        <is>
          <t>reference product</t>
        </is>
      </c>
    </row>
    <row r="53" hidden="1">
      <c r="A53" t="inlineStr">
        <is>
          <t>diesel production, synthetic, from methanol, hydrogen from coal gasification, economic allocation, at fuelling station</t>
        </is>
      </c>
      <c r="B53" t="n">
        <v>1</v>
      </c>
      <c r="C53" t="inlineStr">
        <is>
          <t>RER</t>
        </is>
      </c>
      <c r="D53" t="inlineStr">
        <is>
          <t>kilogram</t>
        </is>
      </c>
      <c r="F53" t="inlineStr">
        <is>
          <t>production</t>
        </is>
      </c>
      <c r="I53" t="n">
        <v>100</v>
      </c>
      <c r="J53" t="inlineStr"/>
      <c r="K53" t="inlineStr">
        <is>
          <t>diesel, synthetic, vehicle grade</t>
        </is>
      </c>
    </row>
    <row r="54" hidden="1">
      <c r="A54" t="inlineStr">
        <is>
          <t>diesel production, from methanol, hydrogen from coal gasification, economic allocation</t>
        </is>
      </c>
      <c r="B54" t="n">
        <v>1.00057</v>
      </c>
      <c r="C54" t="inlineStr">
        <is>
          <t>RER</t>
        </is>
      </c>
      <c r="D54" t="inlineStr">
        <is>
          <t>kilogram</t>
        </is>
      </c>
      <c r="F54" t="inlineStr">
        <is>
          <t>technosphere</t>
        </is>
      </c>
      <c r="K54" t="inlineStr">
        <is>
          <t>diesel, synthetic</t>
        </is>
      </c>
    </row>
    <row r="55" hidden="1">
      <c r="A55" t="inlineStr">
        <is>
          <t>market group for electricity, low voltage</t>
        </is>
      </c>
      <c r="B55" t="n">
        <v>0.0067</v>
      </c>
      <c r="C55" t="inlineStr">
        <is>
          <t>RER</t>
        </is>
      </c>
      <c r="D55" t="inlineStr">
        <is>
          <t>kilowatt hour</t>
        </is>
      </c>
      <c r="F55" t="inlineStr">
        <is>
          <t>technosphere</t>
        </is>
      </c>
      <c r="K55" t="inlineStr">
        <is>
          <t>electricity, low voltage</t>
        </is>
      </c>
    </row>
    <row r="56" hidden="1">
      <c r="A56" t="inlineStr">
        <is>
          <t>market for fly ash and scrubber sludge</t>
        </is>
      </c>
      <c r="B56" t="n">
        <v>-0.000168</v>
      </c>
      <c r="C56" t="inlineStr">
        <is>
          <t>Europe without Switzerland</t>
        </is>
      </c>
      <c r="D56" t="inlineStr">
        <is>
          <t>kilogram</t>
        </is>
      </c>
      <c r="F56" t="inlineStr">
        <is>
          <t>technosphere</t>
        </is>
      </c>
      <c r="K56" t="inlineStr">
        <is>
          <t>fly ash and scrubber sludge</t>
        </is>
      </c>
    </row>
    <row r="57" hidden="1">
      <c r="A57" t="inlineStr">
        <is>
          <t>market for heat, central or small-scale, other than natural gas</t>
        </is>
      </c>
      <c r="B57" s="5" t="n">
        <v>0.000584</v>
      </c>
      <c r="C57" t="inlineStr">
        <is>
          <t>CH</t>
        </is>
      </c>
      <c r="D57" t="inlineStr">
        <is>
          <t>megajoule</t>
        </is>
      </c>
      <c r="F57" t="inlineStr">
        <is>
          <t>technosphere</t>
        </is>
      </c>
      <c r="K57" t="inlineStr">
        <is>
          <t>heat, central or small-scale, other than natural gas</t>
        </is>
      </c>
    </row>
    <row r="58" hidden="1">
      <c r="A58" t="inlineStr">
        <is>
          <t>infrastructure construction, for regional distribution of oil product</t>
        </is>
      </c>
      <c r="B58" s="5" t="n">
        <v>2.6e-10</v>
      </c>
      <c r="C58" t="inlineStr">
        <is>
          <t>RER</t>
        </is>
      </c>
      <c r="D58" t="inlineStr">
        <is>
          <t>unit</t>
        </is>
      </c>
      <c r="F58" t="inlineStr">
        <is>
          <t>technosphere</t>
        </is>
      </c>
      <c r="K58" t="inlineStr">
        <is>
          <t>infrastructure, for regional distribution of oil product</t>
        </is>
      </c>
    </row>
    <row r="59" hidden="1">
      <c r="A59" t="inlineStr">
        <is>
          <t>market for municipal solid waste</t>
        </is>
      </c>
      <c r="B59" s="5" t="n">
        <v>-6.27e-06</v>
      </c>
      <c r="C59" t="inlineStr">
        <is>
          <t>CH</t>
        </is>
      </c>
      <c r="D59" t="inlineStr">
        <is>
          <t>kilogram</t>
        </is>
      </c>
      <c r="F59" t="inlineStr">
        <is>
          <t>technosphere</t>
        </is>
      </c>
      <c r="K59" t="inlineStr">
        <is>
          <t>municipal solid waste</t>
        </is>
      </c>
    </row>
    <row r="60" hidden="1">
      <c r="A60" t="inlineStr">
        <is>
          <t>market for rainwater mineral oil storage</t>
        </is>
      </c>
      <c r="B60" s="5" t="n">
        <v>-7.499999999999999e-05</v>
      </c>
      <c r="C60" t="inlineStr">
        <is>
          <t>Europe without Switzerland</t>
        </is>
      </c>
      <c r="D60" t="inlineStr">
        <is>
          <t>cubic meter</t>
        </is>
      </c>
      <c r="F60" t="inlineStr">
        <is>
          <t>technosphere</t>
        </is>
      </c>
      <c r="K60" t="inlineStr">
        <is>
          <t>rainwater mineral oil storage</t>
        </is>
      </c>
    </row>
    <row r="61" hidden="1">
      <c r="A61" t="inlineStr">
        <is>
          <t>market for tap water</t>
        </is>
      </c>
      <c r="B61" s="5" t="n">
        <v>0.0006890000000000001</v>
      </c>
      <c r="C61" t="inlineStr">
        <is>
          <t>Europe without Switzerland</t>
        </is>
      </c>
      <c r="D61" t="inlineStr">
        <is>
          <t>kilogram</t>
        </is>
      </c>
      <c r="F61" t="inlineStr">
        <is>
          <t>technosphere</t>
        </is>
      </c>
      <c r="K61" t="inlineStr">
        <is>
          <t>tap water</t>
        </is>
      </c>
    </row>
    <row r="62" hidden="1">
      <c r="A62" t="inlineStr">
        <is>
          <t>market for transport, freight train</t>
        </is>
      </c>
      <c r="B62" t="n">
        <v>0.0336</v>
      </c>
      <c r="C62" t="inlineStr">
        <is>
          <t>Europe without Switzerland</t>
        </is>
      </c>
      <c r="D62" t="inlineStr">
        <is>
          <t>ton kilometer</t>
        </is>
      </c>
      <c r="F62" t="inlineStr">
        <is>
          <t>technosphere</t>
        </is>
      </c>
      <c r="K62" t="inlineStr">
        <is>
          <t>transport, freight train</t>
        </is>
      </c>
    </row>
    <row r="63" hidden="1">
      <c r="A63" t="inlineStr">
        <is>
          <t>market for transport, freight, lorry, unspecified</t>
        </is>
      </c>
      <c r="B63" t="n">
        <v>0.0326</v>
      </c>
      <c r="C63" t="inlineStr">
        <is>
          <t>RER</t>
        </is>
      </c>
      <c r="D63" t="inlineStr">
        <is>
          <t>ton kilometer</t>
        </is>
      </c>
      <c r="F63" t="inlineStr">
        <is>
          <t>technosphere</t>
        </is>
      </c>
      <c r="K63" t="inlineStr">
        <is>
          <t>transport, freight, lorry, unspecified</t>
        </is>
      </c>
    </row>
    <row r="64" hidden="1">
      <c r="A64" t="inlineStr">
        <is>
          <t>treatment of wastewater, average, capacity 1E9l/year</t>
        </is>
      </c>
      <c r="B64" s="5" t="n">
        <v>-6.89e-07</v>
      </c>
      <c r="C64" t="inlineStr">
        <is>
          <t>Europe without Switzerland</t>
        </is>
      </c>
      <c r="D64" t="inlineStr">
        <is>
          <t>cubic meter</t>
        </is>
      </c>
      <c r="F64" t="inlineStr">
        <is>
          <t>technosphere</t>
        </is>
      </c>
      <c r="K64" t="inlineStr">
        <is>
          <t>wastewater, average</t>
        </is>
      </c>
    </row>
    <row r="65" hidden="1">
      <c r="B65" s="5" t="n"/>
    </row>
    <row r="66" hidden="1" ht="16" customHeight="1">
      <c r="A66" s="1" t="inlineStr">
        <is>
          <t>Activity</t>
        </is>
      </c>
      <c r="B66" s="1" t="inlineStr">
        <is>
          <t>gasoline production, synthetic, from methanol, hydrogen from coal gasification, economic allocation, at fuelling station</t>
        </is>
      </c>
    </row>
    <row r="67" hidden="1">
      <c r="A67" t="inlineStr">
        <is>
          <t>location</t>
        </is>
      </c>
      <c r="B67" t="inlineStr">
        <is>
          <t>RER</t>
        </is>
      </c>
    </row>
    <row r="68" hidden="1">
      <c r="A68" t="inlineStr">
        <is>
          <t>production amount</t>
        </is>
      </c>
      <c r="B68" t="n">
        <v>1</v>
      </c>
    </row>
    <row r="69" hidden="1" ht="16" customHeight="1">
      <c r="A69" t="inlineStr">
        <is>
          <t>reference product</t>
        </is>
      </c>
      <c r="B69" s="3" t="inlineStr">
        <is>
          <t>gasoline, synthetic, vehicle grade</t>
        </is>
      </c>
    </row>
    <row r="70" hidden="1">
      <c r="A70" t="inlineStr">
        <is>
          <t>type</t>
        </is>
      </c>
      <c r="B70" t="inlineStr">
        <is>
          <t>process</t>
        </is>
      </c>
    </row>
    <row r="71" hidden="1">
      <c r="A71" t="inlineStr">
        <is>
          <t>unit</t>
        </is>
      </c>
      <c r="B71" t="inlineStr">
        <is>
          <t>kilogram</t>
        </is>
      </c>
    </row>
    <row r="72" hidden="1" ht="16" customHeight="1">
      <c r="A72" s="1" t="inlineStr">
        <is>
          <t>Exchanges</t>
        </is>
      </c>
    </row>
    <row r="73" hidden="1">
      <c r="A73" t="inlineStr">
        <is>
          <t>name</t>
        </is>
      </c>
      <c r="B73" t="inlineStr">
        <is>
          <t>amount</t>
        </is>
      </c>
      <c r="C73" t="inlineStr">
        <is>
          <t>location</t>
        </is>
      </c>
      <c r="D73" t="inlineStr">
        <is>
          <t>unit</t>
        </is>
      </c>
      <c r="E73" t="inlineStr">
        <is>
          <t>categories</t>
        </is>
      </c>
      <c r="F73" t="inlineStr">
        <is>
          <t>type</t>
        </is>
      </c>
      <c r="G73" t="inlineStr">
        <is>
          <t>uncertainty type</t>
        </is>
      </c>
      <c r="H73" t="inlineStr">
        <is>
          <t>loc</t>
        </is>
      </c>
      <c r="I73" t="inlineStr">
        <is>
          <t>allocation</t>
        </is>
      </c>
      <c r="J73" t="inlineStr">
        <is>
          <t>comment</t>
        </is>
      </c>
      <c r="K73" t="inlineStr">
        <is>
          <t>reference product</t>
        </is>
      </c>
    </row>
    <row r="74" hidden="1">
      <c r="A74" t="inlineStr">
        <is>
          <t>gasoline production, synthetic, from methanol, hydrogen from coal gasification, economic allocation, at fuelling station</t>
        </is>
      </c>
      <c r="B74" t="n">
        <v>1</v>
      </c>
      <c r="C74" t="inlineStr">
        <is>
          <t>RER</t>
        </is>
      </c>
      <c r="D74" t="inlineStr">
        <is>
          <t>kilogram</t>
        </is>
      </c>
      <c r="F74" t="inlineStr">
        <is>
          <t>production</t>
        </is>
      </c>
      <c r="I74" t="n">
        <v>100</v>
      </c>
      <c r="J74" t="inlineStr"/>
      <c r="K74" t="inlineStr">
        <is>
          <t>gasoline, synthetic, vehicle grade</t>
        </is>
      </c>
    </row>
    <row r="75" hidden="1">
      <c r="A75" t="inlineStr">
        <is>
          <t>gasoline production, from methanol, hydrogen from coal gasification, economic allocation</t>
        </is>
      </c>
      <c r="B75" t="n">
        <v>1.00057</v>
      </c>
      <c r="C75" t="inlineStr">
        <is>
          <t>RER</t>
        </is>
      </c>
      <c r="D75" t="inlineStr">
        <is>
          <t>kilogram</t>
        </is>
      </c>
      <c r="F75" t="inlineStr">
        <is>
          <t>technosphere</t>
        </is>
      </c>
      <c r="K75" t="inlineStr">
        <is>
          <t>Gasoline, synthetic</t>
        </is>
      </c>
    </row>
    <row r="76" hidden="1">
      <c r="A76" t="inlineStr">
        <is>
          <t>market group for electricity, low voltage</t>
        </is>
      </c>
      <c r="B76" t="n">
        <v>0.0067</v>
      </c>
      <c r="C76" t="inlineStr">
        <is>
          <t>RER</t>
        </is>
      </c>
      <c r="D76" t="inlineStr">
        <is>
          <t>kilowatt hour</t>
        </is>
      </c>
      <c r="F76" t="inlineStr">
        <is>
          <t>technosphere</t>
        </is>
      </c>
      <c r="K76" t="inlineStr">
        <is>
          <t>electricity, low voltage</t>
        </is>
      </c>
    </row>
    <row r="77" hidden="1">
      <c r="A77" t="inlineStr">
        <is>
          <t>market for fly ash and scrubber sludge</t>
        </is>
      </c>
      <c r="B77" t="n">
        <v>-0.000168</v>
      </c>
      <c r="C77" t="inlineStr">
        <is>
          <t>Europe without Switzerland</t>
        </is>
      </c>
      <c r="D77" t="inlineStr">
        <is>
          <t>kilogram</t>
        </is>
      </c>
      <c r="F77" t="inlineStr">
        <is>
          <t>technosphere</t>
        </is>
      </c>
      <c r="K77" t="inlineStr">
        <is>
          <t>fly ash and scrubber sludge</t>
        </is>
      </c>
    </row>
    <row r="78" hidden="1">
      <c r="A78" t="inlineStr">
        <is>
          <t>market for heat, central or small-scale, other than natural gas</t>
        </is>
      </c>
      <c r="B78" s="5" t="n">
        <v>0.000584</v>
      </c>
      <c r="C78" t="inlineStr">
        <is>
          <t>CH</t>
        </is>
      </c>
      <c r="D78" t="inlineStr">
        <is>
          <t>megajoule</t>
        </is>
      </c>
      <c r="F78" t="inlineStr">
        <is>
          <t>technosphere</t>
        </is>
      </c>
      <c r="K78" t="inlineStr">
        <is>
          <t>heat, central or small-scale, other than natural gas</t>
        </is>
      </c>
    </row>
    <row r="79" hidden="1">
      <c r="A79" t="inlineStr">
        <is>
          <t>infrastructure construction, for regional distribution of oil product</t>
        </is>
      </c>
      <c r="B79" s="5" t="n">
        <v>2.6e-10</v>
      </c>
      <c r="C79" t="inlineStr">
        <is>
          <t>RER</t>
        </is>
      </c>
      <c r="D79" t="inlineStr">
        <is>
          <t>unit</t>
        </is>
      </c>
      <c r="F79" t="inlineStr">
        <is>
          <t>technosphere</t>
        </is>
      </c>
      <c r="K79" t="inlineStr">
        <is>
          <t>infrastructure, for regional distribution of oil product</t>
        </is>
      </c>
    </row>
    <row r="80" hidden="1">
      <c r="A80" t="inlineStr">
        <is>
          <t>market for municipal solid waste</t>
        </is>
      </c>
      <c r="B80" s="5" t="n">
        <v>-6.27e-06</v>
      </c>
      <c r="C80" t="inlineStr">
        <is>
          <t>CH</t>
        </is>
      </c>
      <c r="D80" t="inlineStr">
        <is>
          <t>kilogram</t>
        </is>
      </c>
      <c r="F80" t="inlineStr">
        <is>
          <t>technosphere</t>
        </is>
      </c>
      <c r="K80" t="inlineStr">
        <is>
          <t>municipal solid waste</t>
        </is>
      </c>
    </row>
    <row r="81" hidden="1">
      <c r="A81" t="inlineStr">
        <is>
          <t>market for rainwater mineral oil storage</t>
        </is>
      </c>
      <c r="B81" s="5" t="n">
        <v>-7.499999999999999e-05</v>
      </c>
      <c r="C81" t="inlineStr">
        <is>
          <t>Europe without Switzerland</t>
        </is>
      </c>
      <c r="D81" t="inlineStr">
        <is>
          <t>cubic meter</t>
        </is>
      </c>
      <c r="F81" t="inlineStr">
        <is>
          <t>technosphere</t>
        </is>
      </c>
      <c r="K81" t="inlineStr">
        <is>
          <t>rainwater mineral oil storage</t>
        </is>
      </c>
    </row>
    <row r="82" hidden="1">
      <c r="A82" t="inlineStr">
        <is>
          <t>market for tap water</t>
        </is>
      </c>
      <c r="B82" s="5" t="n">
        <v>0.0006890000000000001</v>
      </c>
      <c r="C82" t="inlineStr">
        <is>
          <t>Europe without Switzerland</t>
        </is>
      </c>
      <c r="D82" t="inlineStr">
        <is>
          <t>kilogram</t>
        </is>
      </c>
      <c r="F82" t="inlineStr">
        <is>
          <t>technosphere</t>
        </is>
      </c>
      <c r="K82" t="inlineStr">
        <is>
          <t>tap water</t>
        </is>
      </c>
    </row>
    <row r="83" hidden="1">
      <c r="A83" t="inlineStr">
        <is>
          <t>market for transport, freight train</t>
        </is>
      </c>
      <c r="B83" t="n">
        <v>0.0336</v>
      </c>
      <c r="C83" t="inlineStr">
        <is>
          <t>Europe without Switzerland</t>
        </is>
      </c>
      <c r="D83" t="inlineStr">
        <is>
          <t>ton kilometer</t>
        </is>
      </c>
      <c r="F83" t="inlineStr">
        <is>
          <t>technosphere</t>
        </is>
      </c>
      <c r="K83" t="inlineStr">
        <is>
          <t>transport, freight train</t>
        </is>
      </c>
    </row>
    <row r="84" hidden="1">
      <c r="A84" t="inlineStr">
        <is>
          <t>market for transport, freight, lorry, unspecified</t>
        </is>
      </c>
      <c r="B84" t="n">
        <v>0.0326</v>
      </c>
      <c r="C84" t="inlineStr">
        <is>
          <t>RER</t>
        </is>
      </c>
      <c r="D84" t="inlineStr">
        <is>
          <t>ton kilometer</t>
        </is>
      </c>
      <c r="F84" t="inlineStr">
        <is>
          <t>technosphere</t>
        </is>
      </c>
      <c r="K84" t="inlineStr">
        <is>
          <t>transport, freight, lorry, unspecified</t>
        </is>
      </c>
    </row>
    <row r="85" hidden="1">
      <c r="A85" t="inlineStr">
        <is>
          <t>treatment of wastewater, average, capacity 1E9l/year</t>
        </is>
      </c>
      <c r="B85" s="5" t="n">
        <v>-6.89e-07</v>
      </c>
      <c r="C85" t="inlineStr">
        <is>
          <t>Europe without Switzerland</t>
        </is>
      </c>
      <c r="D85" t="inlineStr">
        <is>
          <t>cubic meter</t>
        </is>
      </c>
      <c r="F85" t="inlineStr">
        <is>
          <t>technosphere</t>
        </is>
      </c>
      <c r="K85" t="inlineStr">
        <is>
          <t>wastewater, average</t>
        </is>
      </c>
    </row>
    <row r="86" hidden="1">
      <c r="B86" s="5" t="n"/>
    </row>
    <row r="87" hidden="1">
      <c r="B87" s="5" t="n"/>
    </row>
    <row r="88" hidden="1" ht="16" customHeight="1">
      <c r="A88" s="1" t="inlineStr">
        <is>
          <t>Activity</t>
        </is>
      </c>
      <c r="B88" s="1" t="inlineStr">
        <is>
          <t>liquefied petroleum gas production, synthetic, from methanol, hydrogen from coal gasification, energy allocation, at fuelling station</t>
        </is>
      </c>
    </row>
    <row r="89" hidden="1">
      <c r="A89" t="inlineStr">
        <is>
          <t>location</t>
        </is>
      </c>
      <c r="B89" t="inlineStr">
        <is>
          <t>RER</t>
        </is>
      </c>
    </row>
    <row r="90" hidden="1">
      <c r="A90" t="inlineStr">
        <is>
          <t>production amount</t>
        </is>
      </c>
      <c r="B90" t="n">
        <v>1</v>
      </c>
    </row>
    <row r="91" hidden="1" ht="16" customHeight="1">
      <c r="A91" t="inlineStr">
        <is>
          <t>reference product</t>
        </is>
      </c>
      <c r="B91" s="3" t="inlineStr">
        <is>
          <t>liquefied petroleum gas, synthetic, vehicle grade</t>
        </is>
      </c>
    </row>
    <row r="92" hidden="1">
      <c r="A92" t="inlineStr">
        <is>
          <t>type</t>
        </is>
      </c>
      <c r="B92" t="inlineStr">
        <is>
          <t>process</t>
        </is>
      </c>
    </row>
    <row r="93" hidden="1">
      <c r="A93" t="inlineStr">
        <is>
          <t>unit</t>
        </is>
      </c>
      <c r="B93" t="inlineStr">
        <is>
          <t>kilogram</t>
        </is>
      </c>
    </row>
    <row r="94" hidden="1" ht="16" customHeight="1">
      <c r="A94" s="1" t="inlineStr">
        <is>
          <t>Exchanges</t>
        </is>
      </c>
    </row>
    <row r="95" hidden="1">
      <c r="A95" t="inlineStr">
        <is>
          <t>name</t>
        </is>
      </c>
      <c r="B95" t="inlineStr">
        <is>
          <t>amount</t>
        </is>
      </c>
      <c r="C95" t="inlineStr">
        <is>
          <t>location</t>
        </is>
      </c>
      <c r="D95" t="inlineStr">
        <is>
          <t>unit</t>
        </is>
      </c>
      <c r="E95" t="inlineStr">
        <is>
          <t>categories</t>
        </is>
      </c>
      <c r="F95" t="inlineStr">
        <is>
          <t>type</t>
        </is>
      </c>
      <c r="G95" t="inlineStr">
        <is>
          <t>uncertainty type</t>
        </is>
      </c>
      <c r="H95" t="inlineStr">
        <is>
          <t>loc</t>
        </is>
      </c>
      <c r="I95" t="inlineStr">
        <is>
          <t>allocation</t>
        </is>
      </c>
      <c r="J95" t="inlineStr">
        <is>
          <t>comment</t>
        </is>
      </c>
      <c r="K95" t="inlineStr">
        <is>
          <t>reference product</t>
        </is>
      </c>
    </row>
    <row r="96" hidden="1">
      <c r="A96" t="inlineStr">
        <is>
          <t>liquefied petroleum gas production, synthetic, from methanol, hydrogen from coal gasification, energy allocation, at fuelling station</t>
        </is>
      </c>
      <c r="B96" t="n">
        <v>1</v>
      </c>
      <c r="C96" t="inlineStr">
        <is>
          <t>RER</t>
        </is>
      </c>
      <c r="D96" t="inlineStr">
        <is>
          <t>kilogram</t>
        </is>
      </c>
      <c r="F96" t="inlineStr">
        <is>
          <t>production</t>
        </is>
      </c>
      <c r="I96" t="n">
        <v>100</v>
      </c>
      <c r="J96" t="inlineStr"/>
      <c r="K96" t="inlineStr">
        <is>
          <t>liquefied petroleum gas, synthetic, vehicle grade</t>
        </is>
      </c>
    </row>
    <row r="97" hidden="1">
      <c r="A97" t="inlineStr">
        <is>
          <t>liquefied petroleum gas production, from methanol, hydrogen from coal gasification, energy allocation</t>
        </is>
      </c>
      <c r="B97" t="n">
        <v>1.00057</v>
      </c>
      <c r="C97" t="inlineStr">
        <is>
          <t>RER</t>
        </is>
      </c>
      <c r="D97" t="inlineStr">
        <is>
          <t>kilogram</t>
        </is>
      </c>
      <c r="F97" t="inlineStr">
        <is>
          <t>technosphere</t>
        </is>
      </c>
      <c r="K97" t="inlineStr">
        <is>
          <t>liquefied petroleum gas, synthetic</t>
        </is>
      </c>
    </row>
    <row r="98" hidden="1">
      <c r="A98" t="inlineStr">
        <is>
          <t>market group for electricity, low voltage</t>
        </is>
      </c>
      <c r="B98" t="n">
        <v>0.0067</v>
      </c>
      <c r="C98" t="inlineStr">
        <is>
          <t>RER</t>
        </is>
      </c>
      <c r="D98" t="inlineStr">
        <is>
          <t>kilowatt hour</t>
        </is>
      </c>
      <c r="F98" t="inlineStr">
        <is>
          <t>technosphere</t>
        </is>
      </c>
      <c r="K98" t="inlineStr">
        <is>
          <t>electricity, low voltage</t>
        </is>
      </c>
    </row>
    <row r="99" hidden="1">
      <c r="A99" t="inlineStr">
        <is>
          <t>market for fly ash and scrubber sludge</t>
        </is>
      </c>
      <c r="B99" t="n">
        <v>-0.000168</v>
      </c>
      <c r="C99" t="inlineStr">
        <is>
          <t>Europe without Switzerland</t>
        </is>
      </c>
      <c r="D99" t="inlineStr">
        <is>
          <t>kilogram</t>
        </is>
      </c>
      <c r="F99" t="inlineStr">
        <is>
          <t>technosphere</t>
        </is>
      </c>
      <c r="K99" t="inlineStr">
        <is>
          <t>fly ash and scrubber sludge</t>
        </is>
      </c>
    </row>
    <row r="100" hidden="1">
      <c r="A100" t="inlineStr">
        <is>
          <t>market for heat, central or small-scale, other than natural gas</t>
        </is>
      </c>
      <c r="B100" s="5" t="n">
        <v>0.000584</v>
      </c>
      <c r="C100" t="inlineStr">
        <is>
          <t>CH</t>
        </is>
      </c>
      <c r="D100" t="inlineStr">
        <is>
          <t>megajoule</t>
        </is>
      </c>
      <c r="F100" t="inlineStr">
        <is>
          <t>technosphere</t>
        </is>
      </c>
      <c r="K100" t="inlineStr">
        <is>
          <t>heat, central or small-scale, other than natural gas</t>
        </is>
      </c>
    </row>
    <row r="101" hidden="1">
      <c r="A101" t="inlineStr">
        <is>
          <t>infrastructure construction, for regional distribution of oil product</t>
        </is>
      </c>
      <c r="B101" s="5" t="n">
        <v>2.6e-10</v>
      </c>
      <c r="C101" t="inlineStr">
        <is>
          <t>RER</t>
        </is>
      </c>
      <c r="D101" t="inlineStr">
        <is>
          <t>unit</t>
        </is>
      </c>
      <c r="F101" t="inlineStr">
        <is>
          <t>technosphere</t>
        </is>
      </c>
      <c r="K101" t="inlineStr">
        <is>
          <t>infrastructure, for regional distribution of oil product</t>
        </is>
      </c>
    </row>
    <row r="102" hidden="1">
      <c r="A102" t="inlineStr">
        <is>
          <t>market for municipal solid waste</t>
        </is>
      </c>
      <c r="B102" s="5" t="n">
        <v>-6.27e-06</v>
      </c>
      <c r="C102" t="inlineStr">
        <is>
          <t>CH</t>
        </is>
      </c>
      <c r="D102" t="inlineStr">
        <is>
          <t>kilogram</t>
        </is>
      </c>
      <c r="F102" t="inlineStr">
        <is>
          <t>technosphere</t>
        </is>
      </c>
      <c r="K102" t="inlineStr">
        <is>
          <t>municipal solid waste</t>
        </is>
      </c>
    </row>
    <row r="103" hidden="1">
      <c r="A103" t="inlineStr">
        <is>
          <t>market for rainwater mineral oil storage</t>
        </is>
      </c>
      <c r="B103" s="5" t="n">
        <v>-7.499999999999999e-05</v>
      </c>
      <c r="C103" t="inlineStr">
        <is>
          <t>Europe without Switzerland</t>
        </is>
      </c>
      <c r="D103" t="inlineStr">
        <is>
          <t>cubic meter</t>
        </is>
      </c>
      <c r="F103" t="inlineStr">
        <is>
          <t>technosphere</t>
        </is>
      </c>
      <c r="K103" t="inlineStr">
        <is>
          <t>rainwater mineral oil storage</t>
        </is>
      </c>
    </row>
    <row r="104" hidden="1">
      <c r="A104" t="inlineStr">
        <is>
          <t>market for tap water</t>
        </is>
      </c>
      <c r="B104" s="5" t="n">
        <v>0.0006890000000000001</v>
      </c>
      <c r="C104" t="inlineStr">
        <is>
          <t>Europe without Switzerland</t>
        </is>
      </c>
      <c r="D104" t="inlineStr">
        <is>
          <t>kilogram</t>
        </is>
      </c>
      <c r="F104" t="inlineStr">
        <is>
          <t>technosphere</t>
        </is>
      </c>
      <c r="K104" t="inlineStr">
        <is>
          <t>tap water</t>
        </is>
      </c>
    </row>
    <row r="105" hidden="1">
      <c r="A105" t="inlineStr">
        <is>
          <t>market for transport, freight train</t>
        </is>
      </c>
      <c r="B105" t="n">
        <v>0.0336</v>
      </c>
      <c r="C105" t="inlineStr">
        <is>
          <t>Europe without Switzerland</t>
        </is>
      </c>
      <c r="D105" t="inlineStr">
        <is>
          <t>ton kilometer</t>
        </is>
      </c>
      <c r="F105" t="inlineStr">
        <is>
          <t>technosphere</t>
        </is>
      </c>
      <c r="K105" t="inlineStr">
        <is>
          <t>transport, freight train</t>
        </is>
      </c>
    </row>
    <row r="106" hidden="1">
      <c r="A106" t="inlineStr">
        <is>
          <t>market for transport, freight, lorry, unspecified</t>
        </is>
      </c>
      <c r="B106" t="n">
        <v>0.0326</v>
      </c>
      <c r="C106" t="inlineStr">
        <is>
          <t>RER</t>
        </is>
      </c>
      <c r="D106" t="inlineStr">
        <is>
          <t>ton kilometer</t>
        </is>
      </c>
      <c r="F106" t="inlineStr">
        <is>
          <t>technosphere</t>
        </is>
      </c>
      <c r="K106" t="inlineStr">
        <is>
          <t>transport, freight, lorry, unspecified</t>
        </is>
      </c>
    </row>
    <row r="107" hidden="1">
      <c r="A107" t="inlineStr">
        <is>
          <t>treatment of wastewater, average, capacity 1E9l/year</t>
        </is>
      </c>
      <c r="B107" s="5" t="n">
        <v>-6.89e-07</v>
      </c>
      <c r="C107" t="inlineStr">
        <is>
          <t>Europe without Switzerland</t>
        </is>
      </c>
      <c r="D107" t="inlineStr">
        <is>
          <t>cubic meter</t>
        </is>
      </c>
      <c r="F107" t="inlineStr">
        <is>
          <t>technosphere</t>
        </is>
      </c>
      <c r="K107" t="inlineStr">
        <is>
          <t>wastewater, average</t>
        </is>
      </c>
    </row>
    <row r="108" hidden="1">
      <c r="B108" s="5" t="n"/>
    </row>
    <row r="109" hidden="1" ht="16" customHeight="1">
      <c r="A109" s="1" t="inlineStr">
        <is>
          <t>Activity</t>
        </is>
      </c>
      <c r="B109" s="1" t="inlineStr">
        <is>
          <t>kerosene production, synthetic, from methanol, hydrogen from coal gasification, energy allocation, at fuelling station</t>
        </is>
      </c>
    </row>
    <row r="110" hidden="1">
      <c r="A110" t="inlineStr">
        <is>
          <t>location</t>
        </is>
      </c>
      <c r="B110" t="inlineStr">
        <is>
          <t>RER</t>
        </is>
      </c>
    </row>
    <row r="111" hidden="1">
      <c r="A111" t="inlineStr">
        <is>
          <t>production amount</t>
        </is>
      </c>
      <c r="B111" t="n">
        <v>1</v>
      </c>
    </row>
    <row r="112" hidden="1" ht="16" customHeight="1">
      <c r="A112" t="inlineStr">
        <is>
          <t>reference product</t>
        </is>
      </c>
      <c r="B112" s="3" t="inlineStr">
        <is>
          <t>kerosene, synthetic, vehicle grade</t>
        </is>
      </c>
    </row>
    <row r="113" hidden="1">
      <c r="A113" t="inlineStr">
        <is>
          <t>type</t>
        </is>
      </c>
      <c r="B113" t="inlineStr">
        <is>
          <t>process</t>
        </is>
      </c>
    </row>
    <row r="114" hidden="1">
      <c r="A114" t="inlineStr">
        <is>
          <t>unit</t>
        </is>
      </c>
      <c r="B114" t="inlineStr">
        <is>
          <t>kilogram</t>
        </is>
      </c>
    </row>
    <row r="115" hidden="1" ht="16" customHeight="1">
      <c r="A115" s="1" t="inlineStr">
        <is>
          <t>Exchanges</t>
        </is>
      </c>
    </row>
    <row r="116" hidden="1">
      <c r="A116" t="inlineStr">
        <is>
          <t>name</t>
        </is>
      </c>
      <c r="B116" t="inlineStr">
        <is>
          <t>amount</t>
        </is>
      </c>
      <c r="C116" t="inlineStr">
        <is>
          <t>location</t>
        </is>
      </c>
      <c r="D116" t="inlineStr">
        <is>
          <t>unit</t>
        </is>
      </c>
      <c r="E116" t="inlineStr">
        <is>
          <t>categories</t>
        </is>
      </c>
      <c r="F116" t="inlineStr">
        <is>
          <t>type</t>
        </is>
      </c>
      <c r="G116" t="inlineStr">
        <is>
          <t>uncertainty type</t>
        </is>
      </c>
      <c r="H116" t="inlineStr">
        <is>
          <t>loc</t>
        </is>
      </c>
      <c r="I116" t="inlineStr">
        <is>
          <t>allocation</t>
        </is>
      </c>
      <c r="J116" t="inlineStr">
        <is>
          <t>comment</t>
        </is>
      </c>
      <c r="K116" t="inlineStr">
        <is>
          <t>reference product</t>
        </is>
      </c>
    </row>
    <row r="117" hidden="1">
      <c r="A117" t="inlineStr">
        <is>
          <t>kerosene production, synthetic, from methanol, hydrogen from coal gasification, energy allocation, at fuelling station</t>
        </is>
      </c>
      <c r="B117" t="n">
        <v>1</v>
      </c>
      <c r="C117" t="inlineStr">
        <is>
          <t>RER</t>
        </is>
      </c>
      <c r="D117" t="inlineStr">
        <is>
          <t>kilogram</t>
        </is>
      </c>
      <c r="F117" t="inlineStr">
        <is>
          <t>production</t>
        </is>
      </c>
      <c r="I117" t="n">
        <v>100</v>
      </c>
      <c r="J117" t="inlineStr"/>
      <c r="K117" t="inlineStr">
        <is>
          <t>kerosene, synthetic, vehicle grade</t>
        </is>
      </c>
    </row>
    <row r="118" hidden="1">
      <c r="A118" t="inlineStr">
        <is>
          <t>kerosene production, from methanol, hydrogen from coal gasification, energy allocation</t>
        </is>
      </c>
      <c r="B118" t="n">
        <v>1.00057</v>
      </c>
      <c r="C118" t="inlineStr">
        <is>
          <t>RER</t>
        </is>
      </c>
      <c r="D118" t="inlineStr">
        <is>
          <t>kilogram</t>
        </is>
      </c>
      <c r="F118" t="inlineStr">
        <is>
          <t>technosphere</t>
        </is>
      </c>
      <c r="K118" t="inlineStr">
        <is>
          <t>kerosene, synthetic</t>
        </is>
      </c>
    </row>
    <row r="119" hidden="1">
      <c r="A119" t="inlineStr">
        <is>
          <t>market group for electricity, low voltage</t>
        </is>
      </c>
      <c r="B119" t="n">
        <v>0.0067</v>
      </c>
      <c r="C119" t="inlineStr">
        <is>
          <t>RER</t>
        </is>
      </c>
      <c r="D119" t="inlineStr">
        <is>
          <t>kilowatt hour</t>
        </is>
      </c>
      <c r="F119" t="inlineStr">
        <is>
          <t>technosphere</t>
        </is>
      </c>
      <c r="K119" t="inlineStr">
        <is>
          <t>electricity, low voltage</t>
        </is>
      </c>
    </row>
    <row r="120" hidden="1">
      <c r="A120" t="inlineStr">
        <is>
          <t>market for fly ash and scrubber sludge</t>
        </is>
      </c>
      <c r="B120" t="n">
        <v>-0.000168</v>
      </c>
      <c r="C120" t="inlineStr">
        <is>
          <t>Europe without Switzerland</t>
        </is>
      </c>
      <c r="D120" t="inlineStr">
        <is>
          <t>kilogram</t>
        </is>
      </c>
      <c r="F120" t="inlineStr">
        <is>
          <t>technosphere</t>
        </is>
      </c>
      <c r="K120" t="inlineStr">
        <is>
          <t>fly ash and scrubber sludge</t>
        </is>
      </c>
    </row>
    <row r="121" hidden="1">
      <c r="A121" t="inlineStr">
        <is>
          <t>market for heat, central or small-scale, other than natural gas</t>
        </is>
      </c>
      <c r="B121" s="5" t="n">
        <v>0.000584</v>
      </c>
      <c r="C121" t="inlineStr">
        <is>
          <t>CH</t>
        </is>
      </c>
      <c r="D121" t="inlineStr">
        <is>
          <t>megajoule</t>
        </is>
      </c>
      <c r="F121" t="inlineStr">
        <is>
          <t>technosphere</t>
        </is>
      </c>
      <c r="K121" t="inlineStr">
        <is>
          <t>heat, central or small-scale, other than natural gas</t>
        </is>
      </c>
    </row>
    <row r="122" hidden="1">
      <c r="A122" t="inlineStr">
        <is>
          <t>infrastructure construction, for regional distribution of oil product</t>
        </is>
      </c>
      <c r="B122" s="5" t="n">
        <v>2.6e-10</v>
      </c>
      <c r="C122" t="inlineStr">
        <is>
          <t>RER</t>
        </is>
      </c>
      <c r="D122" t="inlineStr">
        <is>
          <t>unit</t>
        </is>
      </c>
      <c r="F122" t="inlineStr">
        <is>
          <t>technosphere</t>
        </is>
      </c>
      <c r="K122" t="inlineStr">
        <is>
          <t>infrastructure, for regional distribution of oil product</t>
        </is>
      </c>
    </row>
    <row r="123" hidden="1">
      <c r="A123" t="inlineStr">
        <is>
          <t>market for municipal solid waste</t>
        </is>
      </c>
      <c r="B123" s="5" t="n">
        <v>-6.27e-06</v>
      </c>
      <c r="C123" t="inlineStr">
        <is>
          <t>CH</t>
        </is>
      </c>
      <c r="D123" t="inlineStr">
        <is>
          <t>kilogram</t>
        </is>
      </c>
      <c r="F123" t="inlineStr">
        <is>
          <t>technosphere</t>
        </is>
      </c>
      <c r="K123" t="inlineStr">
        <is>
          <t>municipal solid waste</t>
        </is>
      </c>
    </row>
    <row r="124" hidden="1">
      <c r="A124" t="inlineStr">
        <is>
          <t>market for rainwater mineral oil storage</t>
        </is>
      </c>
      <c r="B124" s="5" t="n">
        <v>-7.499999999999999e-05</v>
      </c>
      <c r="C124" t="inlineStr">
        <is>
          <t>Europe without Switzerland</t>
        </is>
      </c>
      <c r="D124" t="inlineStr">
        <is>
          <t>cubic meter</t>
        </is>
      </c>
      <c r="F124" t="inlineStr">
        <is>
          <t>technosphere</t>
        </is>
      </c>
      <c r="K124" t="inlineStr">
        <is>
          <t>rainwater mineral oil storage</t>
        </is>
      </c>
    </row>
    <row r="125" hidden="1">
      <c r="A125" t="inlineStr">
        <is>
          <t>market for tap water</t>
        </is>
      </c>
      <c r="B125" s="5" t="n">
        <v>0.0006890000000000001</v>
      </c>
      <c r="C125" t="inlineStr">
        <is>
          <t>Europe without Switzerland</t>
        </is>
      </c>
      <c r="D125" t="inlineStr">
        <is>
          <t>kilogram</t>
        </is>
      </c>
      <c r="F125" t="inlineStr">
        <is>
          <t>technosphere</t>
        </is>
      </c>
      <c r="K125" t="inlineStr">
        <is>
          <t>tap water</t>
        </is>
      </c>
    </row>
    <row r="126" hidden="1">
      <c r="A126" t="inlineStr">
        <is>
          <t>market for transport, freight train</t>
        </is>
      </c>
      <c r="B126" t="n">
        <v>0.0336</v>
      </c>
      <c r="C126" t="inlineStr">
        <is>
          <t>Europe without Switzerland</t>
        </is>
      </c>
      <c r="D126" t="inlineStr">
        <is>
          <t>ton kilometer</t>
        </is>
      </c>
      <c r="F126" t="inlineStr">
        <is>
          <t>technosphere</t>
        </is>
      </c>
      <c r="K126" t="inlineStr">
        <is>
          <t>transport, freight train</t>
        </is>
      </c>
    </row>
    <row r="127" hidden="1">
      <c r="A127" t="inlineStr">
        <is>
          <t>market for transport, freight, lorry, unspecified</t>
        </is>
      </c>
      <c r="B127" t="n">
        <v>0.0326</v>
      </c>
      <c r="C127" t="inlineStr">
        <is>
          <t>RER</t>
        </is>
      </c>
      <c r="D127" t="inlineStr">
        <is>
          <t>ton kilometer</t>
        </is>
      </c>
      <c r="F127" t="inlineStr">
        <is>
          <t>technosphere</t>
        </is>
      </c>
      <c r="K127" t="inlineStr">
        <is>
          <t>transport, freight, lorry, unspecified</t>
        </is>
      </c>
    </row>
    <row r="128" hidden="1">
      <c r="A128" t="inlineStr">
        <is>
          <t>treatment of wastewater, average, capacity 1E9l/year</t>
        </is>
      </c>
      <c r="B128" s="5" t="n">
        <v>-6.89e-07</v>
      </c>
      <c r="C128" t="inlineStr">
        <is>
          <t>Europe without Switzerland</t>
        </is>
      </c>
      <c r="D128" t="inlineStr">
        <is>
          <t>cubic meter</t>
        </is>
      </c>
      <c r="F128" t="inlineStr">
        <is>
          <t>technosphere</t>
        </is>
      </c>
      <c r="K128" t="inlineStr">
        <is>
          <t>wastewater, average</t>
        </is>
      </c>
    </row>
    <row r="129" hidden="1">
      <c r="B129" s="5" t="n"/>
    </row>
    <row r="130" hidden="1" ht="16" customHeight="1">
      <c r="A130" s="1" t="inlineStr">
        <is>
          <t>Activity</t>
        </is>
      </c>
      <c r="B130" s="1" t="inlineStr">
        <is>
          <t>diesel production, synthetic, from methanol, hydrogen from coal gasification, energy allocation, at fuelling station</t>
        </is>
      </c>
    </row>
    <row r="131" hidden="1">
      <c r="A131" t="inlineStr">
        <is>
          <t>location</t>
        </is>
      </c>
      <c r="B131" t="inlineStr">
        <is>
          <t>RER</t>
        </is>
      </c>
    </row>
    <row r="132" hidden="1">
      <c r="A132" t="inlineStr">
        <is>
          <t>production amount</t>
        </is>
      </c>
      <c r="B132" t="n">
        <v>1</v>
      </c>
    </row>
    <row r="133" hidden="1" ht="16" customHeight="1">
      <c r="A133" t="inlineStr">
        <is>
          <t>reference product</t>
        </is>
      </c>
      <c r="B133" s="3" t="inlineStr">
        <is>
          <t>diesel, synthetic, vehicle grade</t>
        </is>
      </c>
    </row>
    <row r="134" hidden="1">
      <c r="A134" t="inlineStr">
        <is>
          <t>type</t>
        </is>
      </c>
      <c r="B134" t="inlineStr">
        <is>
          <t>process</t>
        </is>
      </c>
    </row>
    <row r="135" hidden="1">
      <c r="A135" t="inlineStr">
        <is>
          <t>unit</t>
        </is>
      </c>
      <c r="B135" t="inlineStr">
        <is>
          <t>kilogram</t>
        </is>
      </c>
    </row>
    <row r="136" hidden="1" ht="16" customHeight="1">
      <c r="A136" s="1" t="inlineStr">
        <is>
          <t>Exchanges</t>
        </is>
      </c>
    </row>
    <row r="137" hidden="1">
      <c r="A137" t="inlineStr">
        <is>
          <t>name</t>
        </is>
      </c>
      <c r="B137" t="inlineStr">
        <is>
          <t>amount</t>
        </is>
      </c>
      <c r="C137" t="inlineStr">
        <is>
          <t>location</t>
        </is>
      </c>
      <c r="D137" t="inlineStr">
        <is>
          <t>unit</t>
        </is>
      </c>
      <c r="E137" t="inlineStr">
        <is>
          <t>categories</t>
        </is>
      </c>
      <c r="F137" t="inlineStr">
        <is>
          <t>type</t>
        </is>
      </c>
      <c r="G137" t="inlineStr">
        <is>
          <t>uncertainty type</t>
        </is>
      </c>
      <c r="H137" t="inlineStr">
        <is>
          <t>loc</t>
        </is>
      </c>
      <c r="I137" t="inlineStr">
        <is>
          <t>allocation</t>
        </is>
      </c>
      <c r="J137" t="inlineStr">
        <is>
          <t>comment</t>
        </is>
      </c>
      <c r="K137" t="inlineStr">
        <is>
          <t>reference product</t>
        </is>
      </c>
    </row>
    <row r="138" hidden="1">
      <c r="A138" t="inlineStr">
        <is>
          <t>diesel production, synthetic, from methanol, hydrogen from coal gasification, energy allocation, at fuelling station</t>
        </is>
      </c>
      <c r="B138" t="n">
        <v>1</v>
      </c>
      <c r="C138" t="inlineStr">
        <is>
          <t>RER</t>
        </is>
      </c>
      <c r="D138" t="inlineStr">
        <is>
          <t>kilogram</t>
        </is>
      </c>
      <c r="F138" t="inlineStr">
        <is>
          <t>production</t>
        </is>
      </c>
      <c r="I138" t="n">
        <v>100</v>
      </c>
      <c r="J138" t="inlineStr"/>
      <c r="K138" t="inlineStr">
        <is>
          <t>diesel, synthetic, vehicle grade</t>
        </is>
      </c>
    </row>
    <row r="139" hidden="1">
      <c r="A139" t="inlineStr">
        <is>
          <t>diesel production, from methanol, hydrogen from coal gasification, energy allocation</t>
        </is>
      </c>
      <c r="B139" t="n">
        <v>1.00057</v>
      </c>
      <c r="C139" t="inlineStr">
        <is>
          <t>RER</t>
        </is>
      </c>
      <c r="D139" t="inlineStr">
        <is>
          <t>kilogram</t>
        </is>
      </c>
      <c r="F139" t="inlineStr">
        <is>
          <t>technosphere</t>
        </is>
      </c>
      <c r="K139" t="inlineStr">
        <is>
          <t>diesel, synthetic</t>
        </is>
      </c>
    </row>
    <row r="140" hidden="1">
      <c r="A140" t="inlineStr">
        <is>
          <t>market group for electricity, low voltage</t>
        </is>
      </c>
      <c r="B140" t="n">
        <v>0.0067</v>
      </c>
      <c r="C140" t="inlineStr">
        <is>
          <t>RER</t>
        </is>
      </c>
      <c r="D140" t="inlineStr">
        <is>
          <t>kilowatt hour</t>
        </is>
      </c>
      <c r="F140" t="inlineStr">
        <is>
          <t>technosphere</t>
        </is>
      </c>
      <c r="K140" t="inlineStr">
        <is>
          <t>electricity, low voltage</t>
        </is>
      </c>
    </row>
    <row r="141" hidden="1">
      <c r="A141" t="inlineStr">
        <is>
          <t>market for fly ash and scrubber sludge</t>
        </is>
      </c>
      <c r="B141" t="n">
        <v>-0.000168</v>
      </c>
      <c r="C141" t="inlineStr">
        <is>
          <t>Europe without Switzerland</t>
        </is>
      </c>
      <c r="D141" t="inlineStr">
        <is>
          <t>kilogram</t>
        </is>
      </c>
      <c r="F141" t="inlineStr">
        <is>
          <t>technosphere</t>
        </is>
      </c>
      <c r="K141" t="inlineStr">
        <is>
          <t>fly ash and scrubber sludge</t>
        </is>
      </c>
    </row>
    <row r="142" hidden="1">
      <c r="A142" t="inlineStr">
        <is>
          <t>market for heat, central or small-scale, other than natural gas</t>
        </is>
      </c>
      <c r="B142" s="5" t="n">
        <v>0.000584</v>
      </c>
      <c r="C142" t="inlineStr">
        <is>
          <t>CH</t>
        </is>
      </c>
      <c r="D142" t="inlineStr">
        <is>
          <t>megajoule</t>
        </is>
      </c>
      <c r="F142" t="inlineStr">
        <is>
          <t>technosphere</t>
        </is>
      </c>
      <c r="K142" t="inlineStr">
        <is>
          <t>heat, central or small-scale, other than natural gas</t>
        </is>
      </c>
    </row>
    <row r="143" hidden="1">
      <c r="A143" t="inlineStr">
        <is>
          <t>infrastructure construction, for regional distribution of oil product</t>
        </is>
      </c>
      <c r="B143" s="5" t="n">
        <v>2.6e-10</v>
      </c>
      <c r="C143" t="inlineStr">
        <is>
          <t>RER</t>
        </is>
      </c>
      <c r="D143" t="inlineStr">
        <is>
          <t>unit</t>
        </is>
      </c>
      <c r="F143" t="inlineStr">
        <is>
          <t>technosphere</t>
        </is>
      </c>
      <c r="K143" t="inlineStr">
        <is>
          <t>infrastructure, for regional distribution of oil product</t>
        </is>
      </c>
    </row>
    <row r="144" hidden="1">
      <c r="A144" t="inlineStr">
        <is>
          <t>market for municipal solid waste</t>
        </is>
      </c>
      <c r="B144" s="5" t="n">
        <v>-6.27e-06</v>
      </c>
      <c r="C144" t="inlineStr">
        <is>
          <t>CH</t>
        </is>
      </c>
      <c r="D144" t="inlineStr">
        <is>
          <t>kilogram</t>
        </is>
      </c>
      <c r="F144" t="inlineStr">
        <is>
          <t>technosphere</t>
        </is>
      </c>
      <c r="K144" t="inlineStr">
        <is>
          <t>municipal solid waste</t>
        </is>
      </c>
    </row>
    <row r="145" hidden="1">
      <c r="A145" t="inlineStr">
        <is>
          <t>market for rainwater mineral oil storage</t>
        </is>
      </c>
      <c r="B145" s="5" t="n">
        <v>-7.499999999999999e-05</v>
      </c>
      <c r="C145" t="inlineStr">
        <is>
          <t>Europe without Switzerland</t>
        </is>
      </c>
      <c r="D145" t="inlineStr">
        <is>
          <t>cubic meter</t>
        </is>
      </c>
      <c r="F145" t="inlineStr">
        <is>
          <t>technosphere</t>
        </is>
      </c>
      <c r="K145" t="inlineStr">
        <is>
          <t>rainwater mineral oil storage</t>
        </is>
      </c>
    </row>
    <row r="146" hidden="1">
      <c r="A146" t="inlineStr">
        <is>
          <t>market for tap water</t>
        </is>
      </c>
      <c r="B146" s="5" t="n">
        <v>0.0006890000000000001</v>
      </c>
      <c r="C146" t="inlineStr">
        <is>
          <t>Europe without Switzerland</t>
        </is>
      </c>
      <c r="D146" t="inlineStr">
        <is>
          <t>kilogram</t>
        </is>
      </c>
      <c r="F146" t="inlineStr">
        <is>
          <t>technosphere</t>
        </is>
      </c>
      <c r="K146" t="inlineStr">
        <is>
          <t>tap water</t>
        </is>
      </c>
    </row>
    <row r="147" hidden="1">
      <c r="A147" t="inlineStr">
        <is>
          <t>market for transport, freight train</t>
        </is>
      </c>
      <c r="B147" t="n">
        <v>0.0336</v>
      </c>
      <c r="C147" t="inlineStr">
        <is>
          <t>Europe without Switzerland</t>
        </is>
      </c>
      <c r="D147" t="inlineStr">
        <is>
          <t>ton kilometer</t>
        </is>
      </c>
      <c r="F147" t="inlineStr">
        <is>
          <t>technosphere</t>
        </is>
      </c>
      <c r="K147" t="inlineStr">
        <is>
          <t>transport, freight train</t>
        </is>
      </c>
    </row>
    <row r="148" hidden="1">
      <c r="A148" t="inlineStr">
        <is>
          <t>market for transport, freight, lorry, unspecified</t>
        </is>
      </c>
      <c r="B148" t="n">
        <v>0.0326</v>
      </c>
      <c r="C148" t="inlineStr">
        <is>
          <t>RER</t>
        </is>
      </c>
      <c r="D148" t="inlineStr">
        <is>
          <t>ton kilometer</t>
        </is>
      </c>
      <c r="F148" t="inlineStr">
        <is>
          <t>technosphere</t>
        </is>
      </c>
      <c r="K148" t="inlineStr">
        <is>
          <t>transport, freight, lorry, unspecified</t>
        </is>
      </c>
    </row>
    <row r="149" hidden="1">
      <c r="A149" t="inlineStr">
        <is>
          <t>treatment of wastewater, average, capacity 1E9l/year</t>
        </is>
      </c>
      <c r="B149" s="5" t="n">
        <v>-6.89e-07</v>
      </c>
      <c r="C149" t="inlineStr">
        <is>
          <t>Europe without Switzerland</t>
        </is>
      </c>
      <c r="D149" t="inlineStr">
        <is>
          <t>cubic meter</t>
        </is>
      </c>
      <c r="F149" t="inlineStr">
        <is>
          <t>technosphere</t>
        </is>
      </c>
      <c r="K149" t="inlineStr">
        <is>
          <t>wastewater, average</t>
        </is>
      </c>
    </row>
    <row r="150" hidden="1">
      <c r="B150" s="5" t="n"/>
    </row>
    <row r="151" hidden="1" ht="16" customHeight="1">
      <c r="A151" s="1" t="inlineStr">
        <is>
          <t>Activity</t>
        </is>
      </c>
      <c r="B151" s="1" t="inlineStr">
        <is>
          <t>gasoline production, synthetic, from methanol, hydrogen from coal gasification, energy allocation, at fuelling station</t>
        </is>
      </c>
    </row>
    <row r="152" hidden="1">
      <c r="A152" t="inlineStr">
        <is>
          <t>location</t>
        </is>
      </c>
      <c r="B152" t="inlineStr">
        <is>
          <t>RER</t>
        </is>
      </c>
    </row>
    <row r="153" hidden="1">
      <c r="A153" t="inlineStr">
        <is>
          <t>production amount</t>
        </is>
      </c>
      <c r="B153" t="n">
        <v>1</v>
      </c>
    </row>
    <row r="154" hidden="1" ht="16" customHeight="1">
      <c r="A154" t="inlineStr">
        <is>
          <t>reference product</t>
        </is>
      </c>
      <c r="B154" s="3" t="inlineStr">
        <is>
          <t>gasoline, synthetic, vehicle grade</t>
        </is>
      </c>
    </row>
    <row r="155" hidden="1">
      <c r="A155" t="inlineStr">
        <is>
          <t>type</t>
        </is>
      </c>
      <c r="B155" t="inlineStr">
        <is>
          <t>process</t>
        </is>
      </c>
    </row>
    <row r="156" hidden="1">
      <c r="A156" t="inlineStr">
        <is>
          <t>unit</t>
        </is>
      </c>
      <c r="B156" t="inlineStr">
        <is>
          <t>kilogram</t>
        </is>
      </c>
    </row>
    <row r="157" hidden="1" ht="16" customHeight="1">
      <c r="A157" s="1" t="inlineStr">
        <is>
          <t>Exchanges</t>
        </is>
      </c>
    </row>
    <row r="158" hidden="1">
      <c r="A158" t="inlineStr">
        <is>
          <t>name</t>
        </is>
      </c>
      <c r="B158" t="inlineStr">
        <is>
          <t>amount</t>
        </is>
      </c>
      <c r="C158" t="inlineStr">
        <is>
          <t>location</t>
        </is>
      </c>
      <c r="D158" t="inlineStr">
        <is>
          <t>unit</t>
        </is>
      </c>
      <c r="E158" t="inlineStr">
        <is>
          <t>categories</t>
        </is>
      </c>
      <c r="F158" t="inlineStr">
        <is>
          <t>type</t>
        </is>
      </c>
      <c r="G158" t="inlineStr">
        <is>
          <t>uncertainty type</t>
        </is>
      </c>
      <c r="H158" t="inlineStr">
        <is>
          <t>loc</t>
        </is>
      </c>
      <c r="I158" t="inlineStr">
        <is>
          <t>allocation</t>
        </is>
      </c>
      <c r="J158" t="inlineStr">
        <is>
          <t>comment</t>
        </is>
      </c>
      <c r="K158" t="inlineStr">
        <is>
          <t>reference product</t>
        </is>
      </c>
    </row>
    <row r="159" hidden="1">
      <c r="A159" t="inlineStr">
        <is>
          <t>gasoline production, synthetic, from methanol, hydrogen from coal gasification, energy allocation, at fuelling station</t>
        </is>
      </c>
      <c r="B159" t="n">
        <v>1</v>
      </c>
      <c r="C159" t="inlineStr">
        <is>
          <t>RER</t>
        </is>
      </c>
      <c r="D159" t="inlineStr">
        <is>
          <t>kilogram</t>
        </is>
      </c>
      <c r="F159" t="inlineStr">
        <is>
          <t>production</t>
        </is>
      </c>
      <c r="I159" t="n">
        <v>100</v>
      </c>
      <c r="J159" t="inlineStr"/>
      <c r="K159" t="inlineStr">
        <is>
          <t>gasoline, synthetic, vehicle grade</t>
        </is>
      </c>
    </row>
    <row r="160" hidden="1">
      <c r="A160" t="inlineStr">
        <is>
          <t>gasoline production, from methanol, hydrogen from coal gasification, energy allocation</t>
        </is>
      </c>
      <c r="B160" t="n">
        <v>1.00057</v>
      </c>
      <c r="C160" t="inlineStr">
        <is>
          <t>RER</t>
        </is>
      </c>
      <c r="D160" t="inlineStr">
        <is>
          <t>kilogram</t>
        </is>
      </c>
      <c r="F160" t="inlineStr">
        <is>
          <t>technosphere</t>
        </is>
      </c>
      <c r="K160" t="inlineStr">
        <is>
          <t>Gasoline, synthetic</t>
        </is>
      </c>
    </row>
    <row r="161" hidden="1">
      <c r="A161" t="inlineStr">
        <is>
          <t>market group for electricity, low voltage</t>
        </is>
      </c>
      <c r="B161" t="n">
        <v>0.0067</v>
      </c>
      <c r="C161" t="inlineStr">
        <is>
          <t>RER</t>
        </is>
      </c>
      <c r="D161" t="inlineStr">
        <is>
          <t>kilowatt hour</t>
        </is>
      </c>
      <c r="F161" t="inlineStr">
        <is>
          <t>technosphere</t>
        </is>
      </c>
      <c r="K161" t="inlineStr">
        <is>
          <t>electricity, low voltage</t>
        </is>
      </c>
    </row>
    <row r="162" hidden="1">
      <c r="A162" t="inlineStr">
        <is>
          <t>market for fly ash and scrubber sludge</t>
        </is>
      </c>
      <c r="B162" t="n">
        <v>-0.000168</v>
      </c>
      <c r="C162" t="inlineStr">
        <is>
          <t>Europe without Switzerland</t>
        </is>
      </c>
      <c r="D162" t="inlineStr">
        <is>
          <t>kilogram</t>
        </is>
      </c>
      <c r="F162" t="inlineStr">
        <is>
          <t>technosphere</t>
        </is>
      </c>
      <c r="K162" t="inlineStr">
        <is>
          <t>fly ash and scrubber sludge</t>
        </is>
      </c>
    </row>
    <row r="163" hidden="1">
      <c r="A163" t="inlineStr">
        <is>
          <t>market for heat, central or small-scale, other than natural gas</t>
        </is>
      </c>
      <c r="B163" s="5" t="n">
        <v>0.000584</v>
      </c>
      <c r="C163" t="inlineStr">
        <is>
          <t>CH</t>
        </is>
      </c>
      <c r="D163" t="inlineStr">
        <is>
          <t>megajoule</t>
        </is>
      </c>
      <c r="F163" t="inlineStr">
        <is>
          <t>technosphere</t>
        </is>
      </c>
      <c r="K163" t="inlineStr">
        <is>
          <t>heat, central or small-scale, other than natural gas</t>
        </is>
      </c>
    </row>
    <row r="164" hidden="1">
      <c r="A164" t="inlineStr">
        <is>
          <t>infrastructure construction, for regional distribution of oil product</t>
        </is>
      </c>
      <c r="B164" s="5" t="n">
        <v>2.6e-10</v>
      </c>
      <c r="C164" t="inlineStr">
        <is>
          <t>RER</t>
        </is>
      </c>
      <c r="D164" t="inlineStr">
        <is>
          <t>unit</t>
        </is>
      </c>
      <c r="F164" t="inlineStr">
        <is>
          <t>technosphere</t>
        </is>
      </c>
      <c r="K164" t="inlineStr">
        <is>
          <t>infrastructure, for regional distribution of oil product</t>
        </is>
      </c>
    </row>
    <row r="165" hidden="1">
      <c r="A165" t="inlineStr">
        <is>
          <t>market for municipal solid waste</t>
        </is>
      </c>
      <c r="B165" s="5" t="n">
        <v>-6.27e-06</v>
      </c>
      <c r="C165" t="inlineStr">
        <is>
          <t>CH</t>
        </is>
      </c>
      <c r="D165" t="inlineStr">
        <is>
          <t>kilogram</t>
        </is>
      </c>
      <c r="F165" t="inlineStr">
        <is>
          <t>technosphere</t>
        </is>
      </c>
      <c r="K165" t="inlineStr">
        <is>
          <t>municipal solid waste</t>
        </is>
      </c>
    </row>
    <row r="166" hidden="1">
      <c r="A166" t="inlineStr">
        <is>
          <t>market for rainwater mineral oil storage</t>
        </is>
      </c>
      <c r="B166" s="5" t="n">
        <v>-7.499999999999999e-05</v>
      </c>
      <c r="C166" t="inlineStr">
        <is>
          <t>Europe without Switzerland</t>
        </is>
      </c>
      <c r="D166" t="inlineStr">
        <is>
          <t>cubic meter</t>
        </is>
      </c>
      <c r="F166" t="inlineStr">
        <is>
          <t>technosphere</t>
        </is>
      </c>
      <c r="K166" t="inlineStr">
        <is>
          <t>rainwater mineral oil storage</t>
        </is>
      </c>
    </row>
    <row r="167" hidden="1">
      <c r="A167" t="inlineStr">
        <is>
          <t>market for tap water</t>
        </is>
      </c>
      <c r="B167" s="5" t="n">
        <v>0.0006890000000000001</v>
      </c>
      <c r="C167" t="inlineStr">
        <is>
          <t>Europe without Switzerland</t>
        </is>
      </c>
      <c r="D167" t="inlineStr">
        <is>
          <t>kilogram</t>
        </is>
      </c>
      <c r="F167" t="inlineStr">
        <is>
          <t>technosphere</t>
        </is>
      </c>
      <c r="K167" t="inlineStr">
        <is>
          <t>tap water</t>
        </is>
      </c>
    </row>
    <row r="168" hidden="1">
      <c r="A168" t="inlineStr">
        <is>
          <t>market for transport, freight train</t>
        </is>
      </c>
      <c r="B168" t="n">
        <v>0.0336</v>
      </c>
      <c r="C168" t="inlineStr">
        <is>
          <t>Europe without Switzerland</t>
        </is>
      </c>
      <c r="D168" t="inlineStr">
        <is>
          <t>ton kilometer</t>
        </is>
      </c>
      <c r="F168" t="inlineStr">
        <is>
          <t>technosphere</t>
        </is>
      </c>
      <c r="K168" t="inlineStr">
        <is>
          <t>transport, freight train</t>
        </is>
      </c>
    </row>
    <row r="169" hidden="1">
      <c r="A169" t="inlineStr">
        <is>
          <t>market for transport, freight, lorry, unspecified</t>
        </is>
      </c>
      <c r="B169" t="n">
        <v>0.0326</v>
      </c>
      <c r="C169" t="inlineStr">
        <is>
          <t>RER</t>
        </is>
      </c>
      <c r="D169" t="inlineStr">
        <is>
          <t>ton kilometer</t>
        </is>
      </c>
      <c r="F169" t="inlineStr">
        <is>
          <t>technosphere</t>
        </is>
      </c>
      <c r="K169" t="inlineStr">
        <is>
          <t>transport, freight, lorry, unspecified</t>
        </is>
      </c>
    </row>
    <row r="170" hidden="1">
      <c r="A170" t="inlineStr">
        <is>
          <t>treatment of wastewater, average, capacity 1E9l/year</t>
        </is>
      </c>
      <c r="B170" s="5" t="n">
        <v>-6.89e-07</v>
      </c>
      <c r="C170" t="inlineStr">
        <is>
          <t>Europe without Switzerland</t>
        </is>
      </c>
      <c r="D170" t="inlineStr">
        <is>
          <t>cubic meter</t>
        </is>
      </c>
      <c r="F170" t="inlineStr">
        <is>
          <t>technosphere</t>
        </is>
      </c>
      <c r="K170" t="inlineStr">
        <is>
          <t>wastewater, average</t>
        </is>
      </c>
    </row>
    <row r="171" hidden="1">
      <c r="B171" s="5" t="n"/>
    </row>
    <row r="172" hidden="1">
      <c r="B172" s="5" t="n"/>
    </row>
    <row r="173" hidden="1">
      <c r="A173" s="2" t="inlineStr">
        <is>
          <t>Activity</t>
        </is>
      </c>
      <c r="B173" s="2" t="inlineStr">
        <is>
          <t>kerosene production, from methanol, hydrogen from coal gasification, energy allocation</t>
        </is>
      </c>
    </row>
    <row r="174" hidden="1">
      <c r="A174" t="inlineStr">
        <is>
          <t>production amount</t>
        </is>
      </c>
      <c r="B174" t="n">
        <v>1</v>
      </c>
    </row>
    <row r="175" hidden="1">
      <c r="A175" t="inlineStr">
        <is>
          <t>reference product</t>
        </is>
      </c>
      <c r="B175" t="inlineStr">
        <is>
          <t>kerosene, synthetic</t>
        </is>
      </c>
    </row>
    <row r="176" hidden="1">
      <c r="A176" t="inlineStr">
        <is>
          <t>type</t>
        </is>
      </c>
      <c r="B176" t="inlineStr">
        <is>
          <t>process</t>
        </is>
      </c>
    </row>
    <row r="177" hidden="1">
      <c r="A177" t="inlineStr">
        <is>
          <t>unit</t>
        </is>
      </c>
      <c r="B177" t="inlineStr">
        <is>
          <t>kilogram</t>
        </is>
      </c>
    </row>
    <row r="178" hidden="1">
      <c r="A178" t="inlineStr">
        <is>
          <t>location</t>
        </is>
      </c>
      <c r="B178" t="inlineStr">
        <is>
          <t>RER</t>
        </is>
      </c>
    </row>
    <row r="179" hidden="1">
      <c r="A179" t="inlineStr">
        <is>
          <t>comment</t>
        </is>
      </c>
      <c r="B179" t="inlineStr">
        <is>
          <t>CO2 emission factor: 3 kg/kg fuel. Co-product of Methanol-to-kerosene process. Methanol from hydrogen and CO. CO from direct air capture. Co-produced together with gasoline, LPG and diesel, but optimized for kerosene production. Allocation key for kerosene: 44%.</t>
        </is>
      </c>
    </row>
    <row r="180" hidden="1">
      <c r="A180" t="inlineStr">
        <is>
          <t>source</t>
        </is>
      </c>
      <c r="B180" s="7" t="inlineStr">
        <is>
          <t>https://www.fvv-net.de/fileadmin/user_upload/medien/materialien/FVV-Kraftstoffstudie_LBST_2013-10-30.pdf</t>
        </is>
      </c>
    </row>
    <row r="181" hidden="1">
      <c r="A181" s="2" t="inlineStr">
        <is>
          <t>Exchanges</t>
        </is>
      </c>
    </row>
    <row r="182" hidden="1">
      <c r="A182" s="2" t="inlineStr">
        <is>
          <t>name</t>
        </is>
      </c>
      <c r="B182" s="2" t="inlineStr">
        <is>
          <t>amount</t>
        </is>
      </c>
      <c r="C182" s="2" t="inlineStr">
        <is>
          <t>location</t>
        </is>
      </c>
      <c r="D182" s="2" t="inlineStr">
        <is>
          <t>unit</t>
        </is>
      </c>
      <c r="E182" s="2" t="inlineStr">
        <is>
          <t>categories</t>
        </is>
      </c>
      <c r="F182" s="2" t="inlineStr">
        <is>
          <t>type</t>
        </is>
      </c>
      <c r="G182" s="2" t="inlineStr">
        <is>
          <t>database</t>
        </is>
      </c>
      <c r="H182" s="2" t="inlineStr">
        <is>
          <t>reference product</t>
        </is>
      </c>
      <c r="I182" s="2" t="inlineStr">
        <is>
          <t>comment</t>
        </is>
      </c>
    </row>
    <row r="183" hidden="1">
      <c r="A183" t="inlineStr">
        <is>
          <t>kerosene production, from methanol, hydrogen from coal gasification, energy allocation</t>
        </is>
      </c>
      <c r="B183" t="n">
        <v>1</v>
      </c>
      <c r="C183" t="inlineStr">
        <is>
          <t>RER</t>
        </is>
      </c>
      <c r="D183" t="inlineStr">
        <is>
          <t>kilogram</t>
        </is>
      </c>
      <c r="E183" s="2" t="n"/>
      <c r="F183" t="inlineStr">
        <is>
          <t>production</t>
        </is>
      </c>
      <c r="G183" t="inlineStr">
        <is>
          <t>Methanol-based fuels</t>
        </is>
      </c>
      <c r="H183" t="inlineStr">
        <is>
          <t>kerosene, synthetic</t>
        </is>
      </c>
    </row>
    <row r="184" hidden="1">
      <c r="A184" t="inlineStr">
        <is>
          <t>methanol distillation, hydrogen from coal gasification</t>
        </is>
      </c>
      <c r="B184" s="4" t="n">
        <v>2.373</v>
      </c>
      <c r="C184" t="inlineStr">
        <is>
          <t>RER</t>
        </is>
      </c>
      <c r="D184" t="inlineStr">
        <is>
          <t>kilogram</t>
        </is>
      </c>
      <c r="F184" t="inlineStr">
        <is>
          <t>technosphere</t>
        </is>
      </c>
      <c r="G184" t="inlineStr">
        <is>
          <t>Methanol-based fuels</t>
        </is>
      </c>
      <c r="H184" t="inlineStr">
        <is>
          <t>methanol, purified</t>
        </is>
      </c>
    </row>
    <row r="185" hidden="1">
      <c r="A185" t="inlineStr">
        <is>
          <t>market group for electricity, low voltage</t>
        </is>
      </c>
      <c r="B185" s="4">
        <f>18.4/1000*B184</f>
        <v>4.3663200000000006E-2</v>
      </c>
      <c r="C185" t="inlineStr">
        <is>
          <t>RER</t>
        </is>
      </c>
      <c r="D185" t="inlineStr">
        <is>
          <t>kilowatt hour</t>
        </is>
      </c>
      <c r="F185" t="inlineStr">
        <is>
          <t>technosphere</t>
        </is>
      </c>
      <c r="G185" t="inlineStr">
        <is>
          <t>ecoinvent</t>
        </is>
      </c>
      <c r="H185" t="inlineStr">
        <is>
          <t>electricity, low voltage</t>
        </is>
      </c>
    </row>
    <row r="186" ht="16" customHeight="1">
      <c r="A186" s="29" t="inlineStr">
        <is>
          <t>hydrogen production, coal gasification</t>
        </is>
      </c>
      <c r="B186" s="4">
        <f>0.01*B184</f>
        <v>2.3730000000000001E-2</v>
      </c>
      <c r="C186" t="inlineStr">
        <is>
          <t>RoW</t>
        </is>
      </c>
      <c r="D186" t="inlineStr">
        <is>
          <t>kilogram</t>
        </is>
      </c>
      <c r="F186" t="inlineStr">
        <is>
          <t>technosphere</t>
        </is>
      </c>
      <c r="G186" t="inlineStr">
        <is>
          <t>ecoinvent</t>
        </is>
      </c>
      <c r="H186" s="29" t="inlineStr">
        <is>
          <t>hydrogen, gaseous, low pressure</t>
        </is>
      </c>
      <c r="I186" t="inlineStr">
        <is>
          <t>hydrogen, 4kg per ton of methanol processed</t>
        </is>
      </c>
    </row>
    <row r="187" hidden="1">
      <c r="B187" s="4" t="n"/>
    </row>
    <row r="188" hidden="1">
      <c r="A188" s="2" t="inlineStr">
        <is>
          <t>Activity</t>
        </is>
      </c>
      <c r="B188" s="2" t="inlineStr">
        <is>
          <t>kerosene production, from methanol, hydrogen from coal gasification, economic allocation</t>
        </is>
      </c>
    </row>
    <row r="189" hidden="1">
      <c r="A189" t="inlineStr">
        <is>
          <t>production amount</t>
        </is>
      </c>
      <c r="B189" t="n">
        <v>1</v>
      </c>
    </row>
    <row r="190" hidden="1">
      <c r="A190" t="inlineStr">
        <is>
          <t>reference product</t>
        </is>
      </c>
      <c r="B190" t="inlineStr">
        <is>
          <t>kerosene, synthetic</t>
        </is>
      </c>
    </row>
    <row r="191" hidden="1">
      <c r="A191" t="inlineStr">
        <is>
          <t>type</t>
        </is>
      </c>
      <c r="B191" t="inlineStr">
        <is>
          <t>process</t>
        </is>
      </c>
    </row>
    <row r="192" hidden="1">
      <c r="A192" t="inlineStr">
        <is>
          <t>unit</t>
        </is>
      </c>
      <c r="B192" t="inlineStr">
        <is>
          <t>kilogram</t>
        </is>
      </c>
    </row>
    <row r="193" hidden="1">
      <c r="A193" t="inlineStr">
        <is>
          <t>location</t>
        </is>
      </c>
      <c r="B193" t="inlineStr">
        <is>
          <t>RER</t>
        </is>
      </c>
    </row>
    <row r="194" hidden="1">
      <c r="A194" t="inlineStr">
        <is>
          <t>comment</t>
        </is>
      </c>
      <c r="B194" t="inlineStr">
        <is>
          <t>CO2 emission factor: 3 kg/kg fuel. Co-product of Methanol-to-kerosene process. Methanol from hydrogen and CO. CO from direct air capture. Co-produced together with gasoline, LPG and diesel, but optimized for kerosene production. Allocation key for kerosene: 35.5%.</t>
        </is>
      </c>
    </row>
    <row r="195" hidden="1">
      <c r="A195" t="inlineStr">
        <is>
          <t>source</t>
        </is>
      </c>
      <c r="B195" s="7" t="inlineStr">
        <is>
          <t>https://www.fvv-net.de/fileadmin/user_upload/medien/materialien/FVV-Kraftstoffstudie_LBST_2013-10-30.pdf</t>
        </is>
      </c>
    </row>
    <row r="196" hidden="1">
      <c r="A196" s="2" t="inlineStr">
        <is>
          <t>Exchanges</t>
        </is>
      </c>
    </row>
    <row r="197" hidden="1">
      <c r="A197" s="2" t="inlineStr">
        <is>
          <t>name</t>
        </is>
      </c>
      <c r="B197" s="2" t="inlineStr">
        <is>
          <t>amount</t>
        </is>
      </c>
      <c r="C197" s="2" t="inlineStr">
        <is>
          <t>location</t>
        </is>
      </c>
      <c r="D197" s="2" t="inlineStr">
        <is>
          <t>unit</t>
        </is>
      </c>
      <c r="E197" s="2" t="inlineStr">
        <is>
          <t>categories</t>
        </is>
      </c>
      <c r="F197" s="2" t="inlineStr">
        <is>
          <t>type</t>
        </is>
      </c>
      <c r="G197" s="2" t="inlineStr">
        <is>
          <t>database</t>
        </is>
      </c>
      <c r="H197" s="2" t="inlineStr">
        <is>
          <t>reference product</t>
        </is>
      </c>
      <c r="I197" s="2" t="inlineStr">
        <is>
          <t>comment</t>
        </is>
      </c>
    </row>
    <row r="198" hidden="1">
      <c r="A198" t="inlineStr">
        <is>
          <t>kerosene production, from methanol, hydrogen from coal gasification, economic allocation</t>
        </is>
      </c>
      <c r="B198" t="n">
        <v>1</v>
      </c>
      <c r="C198" t="inlineStr">
        <is>
          <t>RER</t>
        </is>
      </c>
      <c r="D198" t="inlineStr">
        <is>
          <t>kilogram</t>
        </is>
      </c>
      <c r="E198" s="2" t="n"/>
      <c r="F198" t="inlineStr">
        <is>
          <t>production</t>
        </is>
      </c>
      <c r="G198" t="inlineStr">
        <is>
          <t>Methanol-based fuels</t>
        </is>
      </c>
      <c r="H198" t="inlineStr">
        <is>
          <t>kerosene, synthetic</t>
        </is>
      </c>
    </row>
    <row r="199" hidden="1">
      <c r="A199" t="inlineStr">
        <is>
          <t>methanol distillation, hydrogen from coal gasification</t>
        </is>
      </c>
      <c r="B199" s="4" t="n">
        <v>1.93</v>
      </c>
      <c r="C199" t="inlineStr">
        <is>
          <t>RER</t>
        </is>
      </c>
      <c r="D199" t="inlineStr">
        <is>
          <t>kilogram</t>
        </is>
      </c>
      <c r="F199" t="inlineStr">
        <is>
          <t>technosphere</t>
        </is>
      </c>
      <c r="G199" t="inlineStr">
        <is>
          <t>Methanol-based fuels</t>
        </is>
      </c>
      <c r="H199" t="inlineStr">
        <is>
          <t>methanol, purified</t>
        </is>
      </c>
    </row>
    <row r="200" hidden="1">
      <c r="A200" t="inlineStr">
        <is>
          <t>market group for electricity, low voltage</t>
        </is>
      </c>
      <c r="B200" s="4">
        <f>18.4/1000*B199</f>
        <v>3.5511999999999995E-2</v>
      </c>
      <c r="C200" t="inlineStr">
        <is>
          <t>RER</t>
        </is>
      </c>
      <c r="D200" t="inlineStr">
        <is>
          <t>kilowatt hour</t>
        </is>
      </c>
      <c r="F200" t="inlineStr">
        <is>
          <t>technosphere</t>
        </is>
      </c>
      <c r="G200" t="inlineStr">
        <is>
          <t>ecoinvent</t>
        </is>
      </c>
      <c r="H200" t="inlineStr">
        <is>
          <t>electricity, low voltage</t>
        </is>
      </c>
    </row>
    <row r="201" ht="16" customHeight="1">
      <c r="A201" s="29" t="inlineStr">
        <is>
          <t>hydrogen production, coal gasification</t>
        </is>
      </c>
      <c r="B201" s="4">
        <f>0.01*B199</f>
        <v>1.9300000000000001E-2</v>
      </c>
      <c r="C201" t="inlineStr">
        <is>
          <t>RoW</t>
        </is>
      </c>
      <c r="D201" t="inlineStr">
        <is>
          <t>kilogram</t>
        </is>
      </c>
      <c r="F201" t="inlineStr">
        <is>
          <t>technosphere</t>
        </is>
      </c>
      <c r="G201" t="inlineStr">
        <is>
          <t>ecoinvent</t>
        </is>
      </c>
      <c r="H201" s="29" t="inlineStr">
        <is>
          <t>hydrogen, gaseous, low pressure</t>
        </is>
      </c>
      <c r="I201" t="inlineStr">
        <is>
          <t>hydrogen, 4kg per ton of methanol processed</t>
        </is>
      </c>
    </row>
    <row r="202" hidden="1">
      <c r="B202" s="4" t="n"/>
    </row>
    <row r="203" hidden="1">
      <c r="A203" s="2" t="inlineStr">
        <is>
          <t>Activity</t>
        </is>
      </c>
      <c r="B203" s="2" t="inlineStr">
        <is>
          <t>diesel production, from methanol, hydrogen from coal gasification, energy allocation</t>
        </is>
      </c>
    </row>
    <row r="204" hidden="1">
      <c r="A204" t="inlineStr">
        <is>
          <t>production amount</t>
        </is>
      </c>
      <c r="B204" t="n">
        <v>1</v>
      </c>
    </row>
    <row r="205" hidden="1">
      <c r="A205" t="inlineStr">
        <is>
          <t>reference product</t>
        </is>
      </c>
      <c r="B205" t="inlineStr">
        <is>
          <t>diesel, synthetic</t>
        </is>
      </c>
    </row>
    <row r="206" hidden="1">
      <c r="A206" t="inlineStr">
        <is>
          <t>type</t>
        </is>
      </c>
      <c r="B206" t="inlineStr">
        <is>
          <t>process</t>
        </is>
      </c>
    </row>
    <row r="207" hidden="1">
      <c r="A207" t="inlineStr">
        <is>
          <t>unit</t>
        </is>
      </c>
      <c r="B207" t="inlineStr">
        <is>
          <t>kilogram</t>
        </is>
      </c>
    </row>
    <row r="208" hidden="1">
      <c r="A208" t="inlineStr">
        <is>
          <t>location</t>
        </is>
      </c>
      <c r="B208" t="inlineStr">
        <is>
          <t>RER</t>
        </is>
      </c>
    </row>
    <row r="209" hidden="1">
      <c r="A209" t="inlineStr">
        <is>
          <t>comment</t>
        </is>
      </c>
      <c r="B209" t="inlineStr">
        <is>
          <t>CO2 emission factor: 3.16 kg/kg fuel. Co-product of Methanol-to-diesel process. Methanol from hydrogen and CO. CO from direct air capture. Co-produced together with gasoline, LPG and kerosene, but optimized for diesel production. Allocation key for diesel: 37%.</t>
        </is>
      </c>
    </row>
    <row r="210" hidden="1">
      <c r="A210" t="inlineStr">
        <is>
          <t>source</t>
        </is>
      </c>
      <c r="B210" s="7" t="inlineStr">
        <is>
          <t>https://www.fvv-net.de/fileadmin/user_upload/medien/materialien/FVV-Kraftstoffstudie_LBST_2013-10-30.pdf</t>
        </is>
      </c>
    </row>
    <row r="211" hidden="1">
      <c r="A211" s="2" t="inlineStr">
        <is>
          <t>Exchanges</t>
        </is>
      </c>
    </row>
    <row r="212" hidden="1">
      <c r="A212" s="2" t="inlineStr">
        <is>
          <t>name</t>
        </is>
      </c>
      <c r="B212" s="2" t="inlineStr">
        <is>
          <t>amount</t>
        </is>
      </c>
      <c r="C212" s="2" t="inlineStr">
        <is>
          <t>location</t>
        </is>
      </c>
      <c r="D212" s="2" t="inlineStr">
        <is>
          <t>unit</t>
        </is>
      </c>
      <c r="E212" s="2" t="inlineStr">
        <is>
          <t>categories</t>
        </is>
      </c>
      <c r="F212" s="2" t="inlineStr">
        <is>
          <t>type</t>
        </is>
      </c>
      <c r="G212" s="2" t="inlineStr">
        <is>
          <t>database</t>
        </is>
      </c>
      <c r="H212" s="2" t="inlineStr">
        <is>
          <t>reference product</t>
        </is>
      </c>
      <c r="I212" s="2" t="inlineStr">
        <is>
          <t>comment</t>
        </is>
      </c>
    </row>
    <row r="213" hidden="1">
      <c r="A213" t="inlineStr">
        <is>
          <t>diesel production, from methanol, hydrogen from coal gasification, energy allocation</t>
        </is>
      </c>
      <c r="B213" t="n">
        <v>1</v>
      </c>
      <c r="C213" t="inlineStr">
        <is>
          <t>RER</t>
        </is>
      </c>
      <c r="D213" t="inlineStr">
        <is>
          <t>kilogram</t>
        </is>
      </c>
      <c r="E213" s="2" t="n"/>
      <c r="F213" t="inlineStr">
        <is>
          <t>production</t>
        </is>
      </c>
      <c r="G213" t="inlineStr">
        <is>
          <t>Methanol-based fuels</t>
        </is>
      </c>
      <c r="H213" t="inlineStr">
        <is>
          <t>diesel, synthetic</t>
        </is>
      </c>
    </row>
    <row r="214" hidden="1">
      <c r="A214" t="inlineStr">
        <is>
          <t>methanol distillation, hydrogen from coal gasification</t>
        </is>
      </c>
      <c r="B214" s="4" t="n">
        <v>2.451</v>
      </c>
      <c r="C214" t="inlineStr">
        <is>
          <t>RER</t>
        </is>
      </c>
      <c r="D214" t="inlineStr">
        <is>
          <t>kilogram</t>
        </is>
      </c>
      <c r="F214" t="inlineStr">
        <is>
          <t>technosphere</t>
        </is>
      </c>
      <c r="G214" t="inlineStr">
        <is>
          <t>Methanol-based fuels</t>
        </is>
      </c>
      <c r="H214" t="inlineStr">
        <is>
          <t>methanol, purified</t>
        </is>
      </c>
    </row>
    <row r="215" hidden="1">
      <c r="A215" t="inlineStr">
        <is>
          <t>market group for electricity, low voltage</t>
        </is>
      </c>
      <c r="B215" s="4">
        <f>18.4/1000*B214</f>
        <v>4.5098400000000004E-2</v>
      </c>
      <c r="C215" t="inlineStr">
        <is>
          <t>RER</t>
        </is>
      </c>
      <c r="D215" t="inlineStr">
        <is>
          <t>kilowatt hour</t>
        </is>
      </c>
      <c r="F215" t="inlineStr">
        <is>
          <t>technosphere</t>
        </is>
      </c>
      <c r="G215" t="inlineStr">
        <is>
          <t>ecoinvent</t>
        </is>
      </c>
      <c r="H215" t="inlineStr">
        <is>
          <t>electricity, low voltage</t>
        </is>
      </c>
    </row>
    <row r="216" ht="16" customHeight="1">
      <c r="A216" s="29" t="inlineStr">
        <is>
          <t>hydrogen production, coal gasification</t>
        </is>
      </c>
      <c r="B216" s="4">
        <f>0.01*B214</f>
        <v>2.4510000000000001E-2</v>
      </c>
      <c r="C216" t="inlineStr">
        <is>
          <t>RoW</t>
        </is>
      </c>
      <c r="D216" t="inlineStr">
        <is>
          <t>kilogram</t>
        </is>
      </c>
      <c r="F216" t="inlineStr">
        <is>
          <t>technosphere</t>
        </is>
      </c>
      <c r="G216" t="inlineStr">
        <is>
          <t>ecoinvent</t>
        </is>
      </c>
      <c r="H216" s="29" t="inlineStr">
        <is>
          <t>hydrogen, gaseous, low pressure</t>
        </is>
      </c>
      <c r="I216" t="inlineStr">
        <is>
          <t>hydrogen, 4kg per ton of methanol processed</t>
        </is>
      </c>
    </row>
    <row r="217" hidden="1">
      <c r="B217" s="4" t="n"/>
    </row>
    <row r="218" hidden="1">
      <c r="A218" s="2" t="inlineStr">
        <is>
          <t>Activity</t>
        </is>
      </c>
      <c r="B218" s="2" t="inlineStr">
        <is>
          <t>diesel production, from methanol, hydrogen from coal gasification, economic allocation</t>
        </is>
      </c>
    </row>
    <row r="219" hidden="1">
      <c r="A219" t="inlineStr">
        <is>
          <t>production amount</t>
        </is>
      </c>
      <c r="B219" t="n">
        <v>1</v>
      </c>
    </row>
    <row r="220" hidden="1">
      <c r="A220" t="inlineStr">
        <is>
          <t>reference product</t>
        </is>
      </c>
      <c r="B220" t="inlineStr">
        <is>
          <t>diesel, synthetic</t>
        </is>
      </c>
    </row>
    <row r="221" hidden="1">
      <c r="A221" t="inlineStr">
        <is>
          <t>type</t>
        </is>
      </c>
      <c r="B221" t="inlineStr">
        <is>
          <t>process</t>
        </is>
      </c>
    </row>
    <row r="222" hidden="1">
      <c r="A222" t="inlineStr">
        <is>
          <t>unit</t>
        </is>
      </c>
      <c r="B222" t="inlineStr">
        <is>
          <t>kilogram</t>
        </is>
      </c>
    </row>
    <row r="223" hidden="1">
      <c r="A223" t="inlineStr">
        <is>
          <t>location</t>
        </is>
      </c>
      <c r="B223" t="inlineStr">
        <is>
          <t>RER</t>
        </is>
      </c>
    </row>
    <row r="224" hidden="1">
      <c r="A224" t="inlineStr">
        <is>
          <t>comment</t>
        </is>
      </c>
      <c r="B224" t="inlineStr">
        <is>
          <t>CO2 emission factor: 3.16 kg/kg fuel. Co-product of Methanol-to-diesel process. Methanol from hydrogen and CO. CO from direct air capture. Co-produced together with diesel, LPG and kerosene, but optimized for diesel production. Allocation key for diesel: 38.8%.</t>
        </is>
      </c>
    </row>
    <row r="225" hidden="1">
      <c r="A225" t="inlineStr">
        <is>
          <t>source</t>
        </is>
      </c>
      <c r="B225" s="7" t="inlineStr">
        <is>
          <t>https://www.fvv-net.de/fileadmin/user_upload/medien/materialien/FVV-Kraftstoffstudie_LBST_2013-10-30.pdf</t>
        </is>
      </c>
    </row>
    <row r="226" hidden="1">
      <c r="A226" s="2" t="inlineStr">
        <is>
          <t>Exchanges</t>
        </is>
      </c>
    </row>
    <row r="227" hidden="1">
      <c r="A227" s="2" t="inlineStr">
        <is>
          <t>name</t>
        </is>
      </c>
      <c r="B227" s="2" t="inlineStr">
        <is>
          <t>amount</t>
        </is>
      </c>
      <c r="C227" s="2" t="inlineStr">
        <is>
          <t>location</t>
        </is>
      </c>
      <c r="D227" s="2" t="inlineStr">
        <is>
          <t>unit</t>
        </is>
      </c>
      <c r="E227" s="2" t="inlineStr">
        <is>
          <t>categories</t>
        </is>
      </c>
      <c r="F227" s="2" t="inlineStr">
        <is>
          <t>type</t>
        </is>
      </c>
      <c r="G227" s="2" t="inlineStr">
        <is>
          <t>database</t>
        </is>
      </c>
      <c r="H227" s="2" t="inlineStr">
        <is>
          <t>reference product</t>
        </is>
      </c>
      <c r="I227" s="2" t="inlineStr">
        <is>
          <t>comment</t>
        </is>
      </c>
    </row>
    <row r="228" hidden="1">
      <c r="A228" t="inlineStr">
        <is>
          <t>diesel production, from methanol, hydrogen from coal gasification, economic allocation</t>
        </is>
      </c>
      <c r="B228" t="n">
        <v>1</v>
      </c>
      <c r="C228" t="inlineStr">
        <is>
          <t>RER</t>
        </is>
      </c>
      <c r="D228" t="inlineStr">
        <is>
          <t>kilogram</t>
        </is>
      </c>
      <c r="E228" s="2" t="n"/>
      <c r="F228" t="inlineStr">
        <is>
          <t>production</t>
        </is>
      </c>
      <c r="G228" t="inlineStr">
        <is>
          <t>Methanol-based fuels</t>
        </is>
      </c>
      <c r="H228" t="inlineStr">
        <is>
          <t>diesel, synthetic</t>
        </is>
      </c>
    </row>
    <row r="229" hidden="1">
      <c r="A229" t="inlineStr">
        <is>
          <t>methanol distillation, hydrogen from coal gasification</t>
        </is>
      </c>
      <c r="B229" s="4" t="n">
        <v>2.57</v>
      </c>
      <c r="C229" t="inlineStr">
        <is>
          <t>RER</t>
        </is>
      </c>
      <c r="D229" t="inlineStr">
        <is>
          <t>kilogram</t>
        </is>
      </c>
      <c r="F229" t="inlineStr">
        <is>
          <t>technosphere</t>
        </is>
      </c>
      <c r="G229" t="inlineStr">
        <is>
          <t>Methanol-based fuels</t>
        </is>
      </c>
      <c r="H229" t="inlineStr">
        <is>
          <t>methanol, purified</t>
        </is>
      </c>
    </row>
    <row r="230" hidden="1">
      <c r="A230" t="inlineStr">
        <is>
          <t>market group for electricity, low voltage</t>
        </is>
      </c>
      <c r="B230" s="4">
        <f>18.4/1000*B229</f>
        <v>4.7287999999999997E-2</v>
      </c>
      <c r="C230" t="inlineStr">
        <is>
          <t>RER</t>
        </is>
      </c>
      <c r="D230" t="inlineStr">
        <is>
          <t>kilowatt hour</t>
        </is>
      </c>
      <c r="F230" t="inlineStr">
        <is>
          <t>technosphere</t>
        </is>
      </c>
      <c r="G230" t="inlineStr">
        <is>
          <t>ecoinvent</t>
        </is>
      </c>
      <c r="H230" t="inlineStr">
        <is>
          <t>electricity, low voltage</t>
        </is>
      </c>
    </row>
    <row r="231" ht="16" customHeight="1">
      <c r="A231" s="29" t="inlineStr">
        <is>
          <t>hydrogen production, coal gasification</t>
        </is>
      </c>
      <c r="B231" s="4">
        <f>0.01*B229</f>
        <v>2.5700000000000001E-2</v>
      </c>
      <c r="C231" t="inlineStr">
        <is>
          <t>RoW</t>
        </is>
      </c>
      <c r="D231" t="inlineStr">
        <is>
          <t>kilogram</t>
        </is>
      </c>
      <c r="F231" t="inlineStr">
        <is>
          <t>technosphere</t>
        </is>
      </c>
      <c r="G231" t="inlineStr">
        <is>
          <t>ecoinvent</t>
        </is>
      </c>
      <c r="H231" s="29" t="inlineStr">
        <is>
          <t>hydrogen, gaseous, low pressure</t>
        </is>
      </c>
      <c r="I231" t="inlineStr">
        <is>
          <t>hydrogen, 4kg per ton of methanol processed</t>
        </is>
      </c>
    </row>
    <row r="232" hidden="1">
      <c r="B232" s="4" t="n"/>
    </row>
    <row r="233" hidden="1">
      <c r="B233" s="4" t="n"/>
    </row>
    <row r="234" hidden="1">
      <c r="A234" s="2" t="inlineStr">
        <is>
          <t>Activity</t>
        </is>
      </c>
      <c r="B234" s="2" t="inlineStr">
        <is>
          <t>gasoline production, from methanol, hydrogen from coal gasification, energy allocation</t>
        </is>
      </c>
    </row>
    <row r="235" hidden="1">
      <c r="A235" t="inlineStr">
        <is>
          <t>production amount</t>
        </is>
      </c>
      <c r="B235" t="n">
        <v>1</v>
      </c>
    </row>
    <row r="236" hidden="1">
      <c r="A236" t="inlineStr">
        <is>
          <t>reference product</t>
        </is>
      </c>
      <c r="B236" t="inlineStr">
        <is>
          <t>gasoline, synthetic</t>
        </is>
      </c>
    </row>
    <row r="237" hidden="1">
      <c r="A237" t="inlineStr">
        <is>
          <t>type</t>
        </is>
      </c>
      <c r="B237" t="inlineStr">
        <is>
          <t>process</t>
        </is>
      </c>
    </row>
    <row r="238" hidden="1">
      <c r="A238" t="inlineStr">
        <is>
          <t>unit</t>
        </is>
      </c>
      <c r="B238" t="inlineStr">
        <is>
          <t>kilogram</t>
        </is>
      </c>
    </row>
    <row r="239" hidden="1">
      <c r="A239" t="inlineStr">
        <is>
          <t>location</t>
        </is>
      </c>
      <c r="B239" t="inlineStr">
        <is>
          <t>RER</t>
        </is>
      </c>
    </row>
    <row r="240" hidden="1">
      <c r="A240" t="inlineStr">
        <is>
          <t>comment</t>
        </is>
      </c>
      <c r="B240" t="inlineStr">
        <is>
          <t>CO2 emission factor: 3.14 kg/kg fuel. Co-product of Methanol-to-Gasoline process. Methanol from hydrogen and CO. CO from direct air capture. Co-produced together with diesel, LPG and kerosene, but optimized for gasoline production. Allocation key for gasoline: 47%.</t>
        </is>
      </c>
    </row>
    <row r="241" hidden="1">
      <c r="A241" t="inlineStr">
        <is>
          <t>source</t>
        </is>
      </c>
      <c r="B241" s="7" t="inlineStr">
        <is>
          <t>https://www.fvv-net.de/fileadmin/user_upload/medien/materialien/FVV-Kraftstoffstudie_LBST_2013-10-30.pdf</t>
        </is>
      </c>
    </row>
    <row r="242" hidden="1">
      <c r="A242" s="2" t="inlineStr">
        <is>
          <t>Exchanges</t>
        </is>
      </c>
    </row>
    <row r="243" hidden="1">
      <c r="A243" s="2" t="inlineStr">
        <is>
          <t>name</t>
        </is>
      </c>
      <c r="B243" s="2" t="inlineStr">
        <is>
          <t>amount</t>
        </is>
      </c>
      <c r="C243" s="2" t="inlineStr">
        <is>
          <t>location</t>
        </is>
      </c>
      <c r="D243" s="2" t="inlineStr">
        <is>
          <t>unit</t>
        </is>
      </c>
      <c r="E243" s="2" t="inlineStr">
        <is>
          <t>categories</t>
        </is>
      </c>
      <c r="F243" s="2" t="inlineStr">
        <is>
          <t>type</t>
        </is>
      </c>
      <c r="G243" s="2" t="inlineStr">
        <is>
          <t>database</t>
        </is>
      </c>
      <c r="H243" s="2" t="inlineStr">
        <is>
          <t>reference product</t>
        </is>
      </c>
      <c r="I243" s="2" t="inlineStr">
        <is>
          <t>comment</t>
        </is>
      </c>
    </row>
    <row r="244" hidden="1">
      <c r="A244" t="inlineStr">
        <is>
          <t>gasoline production, from methanol, hydrogen from coal gasification, energy allocation</t>
        </is>
      </c>
      <c r="B244" t="n">
        <v>1</v>
      </c>
      <c r="C244" t="inlineStr">
        <is>
          <t>RER</t>
        </is>
      </c>
      <c r="D244" t="inlineStr">
        <is>
          <t>kilogram</t>
        </is>
      </c>
      <c r="E244" s="2" t="n"/>
      <c r="F244" t="inlineStr">
        <is>
          <t>production</t>
        </is>
      </c>
      <c r="G244" t="inlineStr">
        <is>
          <t>Methanol-based fuels</t>
        </is>
      </c>
      <c r="H244" t="inlineStr">
        <is>
          <t>gasoline, synthetic</t>
        </is>
      </c>
    </row>
    <row r="245" hidden="1">
      <c r="A245" t="inlineStr">
        <is>
          <t>methanol distillation, hydrogen from coal gasification</t>
        </is>
      </c>
      <c r="B245" s="4" t="n">
        <v>2.371</v>
      </c>
      <c r="C245" t="inlineStr">
        <is>
          <t>RER</t>
        </is>
      </c>
      <c r="D245" t="inlineStr">
        <is>
          <t>kilogram</t>
        </is>
      </c>
      <c r="F245" t="inlineStr">
        <is>
          <t>technosphere</t>
        </is>
      </c>
      <c r="G245" t="inlineStr">
        <is>
          <t>Methanol-based fuels</t>
        </is>
      </c>
      <c r="H245" t="inlineStr">
        <is>
          <t>methanol, purified</t>
        </is>
      </c>
    </row>
    <row r="246" hidden="1">
      <c r="A246" t="inlineStr">
        <is>
          <t>market group for electricity, low voltage</t>
        </is>
      </c>
      <c r="B246" s="4">
        <f>18.4/1000*B245</f>
        <v>4.3626399999999996E-2</v>
      </c>
      <c r="C246" t="inlineStr">
        <is>
          <t>RER</t>
        </is>
      </c>
      <c r="D246" t="inlineStr">
        <is>
          <t>kilowatt hour</t>
        </is>
      </c>
      <c r="F246" t="inlineStr">
        <is>
          <t>technosphere</t>
        </is>
      </c>
      <c r="G246" t="inlineStr">
        <is>
          <t>ecoinvent</t>
        </is>
      </c>
      <c r="H246" t="inlineStr">
        <is>
          <t>electricity, low voltage</t>
        </is>
      </c>
    </row>
    <row r="247" ht="16" customHeight="1">
      <c r="A247" s="29" t="inlineStr">
        <is>
          <t>hydrogen production, coal gasification</t>
        </is>
      </c>
      <c r="B247" s="4">
        <f>0.01*B245</f>
        <v>2.3710000000000002E-2</v>
      </c>
      <c r="C247" t="inlineStr">
        <is>
          <t>RoW</t>
        </is>
      </c>
      <c r="D247" t="inlineStr">
        <is>
          <t>kilogram</t>
        </is>
      </c>
      <c r="F247" t="inlineStr">
        <is>
          <t>technosphere</t>
        </is>
      </c>
      <c r="G247" t="inlineStr">
        <is>
          <t>ecoinvent</t>
        </is>
      </c>
      <c r="H247" s="29" t="inlineStr">
        <is>
          <t>hydrogen, gaseous, low pressure</t>
        </is>
      </c>
      <c r="I247" t="inlineStr">
        <is>
          <t>hydrogen, 4kg per ton of methanol processed</t>
        </is>
      </c>
    </row>
    <row r="248" hidden="1">
      <c r="B248" s="4" t="n"/>
    </row>
    <row r="249" hidden="1">
      <c r="A249" s="2" t="inlineStr">
        <is>
          <t>Activity</t>
        </is>
      </c>
      <c r="B249" s="2" t="inlineStr">
        <is>
          <t>gasoline production, from methanol, hydrogen from coal gasification, economic allocation</t>
        </is>
      </c>
    </row>
    <row r="250" hidden="1">
      <c r="A250" t="inlineStr">
        <is>
          <t>production amount</t>
        </is>
      </c>
      <c r="B250" t="n">
        <v>1</v>
      </c>
    </row>
    <row r="251" hidden="1">
      <c r="A251" t="inlineStr">
        <is>
          <t>reference product</t>
        </is>
      </c>
      <c r="B251" t="inlineStr">
        <is>
          <t>gasoline, synthetic</t>
        </is>
      </c>
    </row>
    <row r="252" hidden="1">
      <c r="A252" t="inlineStr">
        <is>
          <t>type</t>
        </is>
      </c>
      <c r="B252" t="inlineStr">
        <is>
          <t>process</t>
        </is>
      </c>
    </row>
    <row r="253" hidden="1">
      <c r="A253" t="inlineStr">
        <is>
          <t>unit</t>
        </is>
      </c>
      <c r="B253" t="inlineStr">
        <is>
          <t>kilogram</t>
        </is>
      </c>
    </row>
    <row r="254" hidden="1">
      <c r="A254" t="inlineStr">
        <is>
          <t>location</t>
        </is>
      </c>
      <c r="B254" t="inlineStr">
        <is>
          <t>RER</t>
        </is>
      </c>
    </row>
    <row r="255" hidden="1">
      <c r="A255" t="inlineStr">
        <is>
          <t>comment</t>
        </is>
      </c>
      <c r="B255" t="inlineStr">
        <is>
          <t>CO2 emission factor: 3.14 kg/kg fuel. Co-product of Methanol-to-Gasoline process. Methanol from hydrogen and CO. CO from direct air capture. Co-produced together with diesel, LPG and kerosene, but optimized for gasoline production. Allocation key for gasoline: 87.8%.</t>
        </is>
      </c>
    </row>
    <row r="256" hidden="1">
      <c r="A256" t="inlineStr">
        <is>
          <t>source</t>
        </is>
      </c>
      <c r="B256" s="7" t="inlineStr">
        <is>
          <t>https://www.fvv-net.de/fileadmin/user_upload/medien/materialien/FVV-Kraftstoffstudie_LBST_2013-10-30.pdf</t>
        </is>
      </c>
    </row>
    <row r="257" hidden="1">
      <c r="A257" s="2" t="inlineStr">
        <is>
          <t>Exchanges</t>
        </is>
      </c>
    </row>
    <row r="258" hidden="1">
      <c r="A258" s="2" t="inlineStr">
        <is>
          <t>name</t>
        </is>
      </c>
      <c r="B258" s="2" t="inlineStr">
        <is>
          <t>amount</t>
        </is>
      </c>
      <c r="C258" s="2" t="inlineStr">
        <is>
          <t>location</t>
        </is>
      </c>
      <c r="D258" s="2" t="inlineStr">
        <is>
          <t>unit</t>
        </is>
      </c>
      <c r="E258" s="2" t="inlineStr">
        <is>
          <t>categories</t>
        </is>
      </c>
      <c r="F258" s="2" t="inlineStr">
        <is>
          <t>type</t>
        </is>
      </c>
      <c r="G258" s="2" t="inlineStr">
        <is>
          <t>database</t>
        </is>
      </c>
      <c r="H258" s="2" t="inlineStr">
        <is>
          <t>reference product</t>
        </is>
      </c>
      <c r="I258" s="2" t="inlineStr">
        <is>
          <t>comment</t>
        </is>
      </c>
    </row>
    <row r="259" hidden="1">
      <c r="A259" t="inlineStr">
        <is>
          <t>gasoline production, from methanol, hydrogen from coal gasification, economic allocation</t>
        </is>
      </c>
      <c r="B259" t="n">
        <v>1</v>
      </c>
      <c r="C259" t="inlineStr">
        <is>
          <t>RER</t>
        </is>
      </c>
      <c r="D259" t="inlineStr">
        <is>
          <t>kilogram</t>
        </is>
      </c>
      <c r="E259" s="2" t="n"/>
      <c r="F259" t="inlineStr">
        <is>
          <t>production</t>
        </is>
      </c>
      <c r="G259" t="inlineStr">
        <is>
          <t>Methanol-based fuels</t>
        </is>
      </c>
      <c r="H259" t="inlineStr">
        <is>
          <t>gasoline, synthetic</t>
        </is>
      </c>
    </row>
    <row r="260" hidden="1">
      <c r="A260" t="inlineStr">
        <is>
          <t>methanol distillation, hydrogen from coal gasification</t>
        </is>
      </c>
      <c r="B260" s="4" t="n">
        <v>4.56</v>
      </c>
      <c r="C260" t="inlineStr">
        <is>
          <t>RER</t>
        </is>
      </c>
      <c r="D260" t="inlineStr">
        <is>
          <t>kilogram</t>
        </is>
      </c>
      <c r="F260" t="inlineStr">
        <is>
          <t>technosphere</t>
        </is>
      </c>
      <c r="G260" t="inlineStr">
        <is>
          <t>Methanol-based fuels</t>
        </is>
      </c>
      <c r="H260" t="inlineStr">
        <is>
          <t>methanol, purified</t>
        </is>
      </c>
    </row>
    <row r="261" hidden="1">
      <c r="A261" t="inlineStr">
        <is>
          <t>market group for electricity, low voltage</t>
        </is>
      </c>
      <c r="B261" s="4">
        <f>18.4/1000*B260</f>
        <v>8.3903999999999992E-2</v>
      </c>
      <c r="C261" t="inlineStr">
        <is>
          <t>RER</t>
        </is>
      </c>
      <c r="D261" t="inlineStr">
        <is>
          <t>kilowatt hour</t>
        </is>
      </c>
      <c r="F261" t="inlineStr">
        <is>
          <t>technosphere</t>
        </is>
      </c>
      <c r="G261" t="inlineStr">
        <is>
          <t>ecoinvent</t>
        </is>
      </c>
      <c r="H261" t="inlineStr">
        <is>
          <t>electricity, low voltage</t>
        </is>
      </c>
    </row>
    <row r="262" ht="16" customHeight="1">
      <c r="A262" s="29" t="inlineStr">
        <is>
          <t>hydrogen production, coal gasification</t>
        </is>
      </c>
      <c r="B262" s="4">
        <f>0.01*B260</f>
        <v>4.5599999999999995E-2</v>
      </c>
      <c r="C262" t="inlineStr">
        <is>
          <t>RoW</t>
        </is>
      </c>
      <c r="D262" t="inlineStr">
        <is>
          <t>kilogram</t>
        </is>
      </c>
      <c r="F262" t="inlineStr">
        <is>
          <t>technosphere</t>
        </is>
      </c>
      <c r="G262" t="inlineStr">
        <is>
          <t>ecoinvent</t>
        </is>
      </c>
      <c r="H262" s="29" t="inlineStr">
        <is>
          <t>hydrogen, gaseous, low pressure</t>
        </is>
      </c>
      <c r="I262" t="inlineStr">
        <is>
          <t>hydrogen, 4kg per ton of methanol processed</t>
        </is>
      </c>
    </row>
    <row r="263" hidden="1">
      <c r="B263" s="4" t="n"/>
    </row>
    <row r="264" hidden="1">
      <c r="B264" s="4" t="n"/>
    </row>
    <row r="265" hidden="1">
      <c r="A265" s="2" t="inlineStr">
        <is>
          <t>Activity</t>
        </is>
      </c>
      <c r="B265" s="2" t="inlineStr">
        <is>
          <t>liquefied petroleum gas production, from methanol, hydrogen from coal gasification, energy allocation</t>
        </is>
      </c>
    </row>
    <row r="266" hidden="1">
      <c r="A266" t="inlineStr">
        <is>
          <t>production amount</t>
        </is>
      </c>
      <c r="B266" t="n">
        <v>1</v>
      </c>
    </row>
    <row r="267" hidden="1">
      <c r="A267" t="inlineStr">
        <is>
          <t>reference product</t>
        </is>
      </c>
      <c r="B267" t="inlineStr">
        <is>
          <t>liquefied petroleum gas, synthetic</t>
        </is>
      </c>
    </row>
    <row r="268" hidden="1">
      <c r="A268" t="inlineStr">
        <is>
          <t>type</t>
        </is>
      </c>
      <c r="B268" t="inlineStr">
        <is>
          <t>process</t>
        </is>
      </c>
    </row>
    <row r="269" hidden="1">
      <c r="A269" t="inlineStr">
        <is>
          <t>unit</t>
        </is>
      </c>
      <c r="B269" t="inlineStr">
        <is>
          <t>kilogram</t>
        </is>
      </c>
    </row>
    <row r="270" hidden="1">
      <c r="A270" t="inlineStr">
        <is>
          <t>location</t>
        </is>
      </c>
      <c r="B270" t="inlineStr">
        <is>
          <t>RER</t>
        </is>
      </c>
    </row>
    <row r="271" hidden="1">
      <c r="A271" t="inlineStr">
        <is>
          <t>comment</t>
        </is>
      </c>
      <c r="B271" t="inlineStr">
        <is>
          <t>CO2 emission factor: 3.01 kg/kg fuel. Co-product of Methanol-to-Gasoline process. Methanol from hydrogen and CO. CO from direct air capture. Co-produced together with diesel, gasoline and kerosene, but optimized for diesel and kerosene. Allocation key for LPG: 9%.</t>
        </is>
      </c>
    </row>
    <row r="272" hidden="1">
      <c r="A272" t="inlineStr">
        <is>
          <t>source</t>
        </is>
      </c>
      <c r="B272" s="7" t="inlineStr">
        <is>
          <t>https://www.fvv-net.de/fileadmin/user_upload/medien/materialien/FVV-Kraftstoffstudie_LBST_2013-10-30.pdf</t>
        </is>
      </c>
    </row>
    <row r="273" hidden="1">
      <c r="A273" s="2" t="inlineStr">
        <is>
          <t>Exchanges</t>
        </is>
      </c>
    </row>
    <row r="274" hidden="1">
      <c r="A274" s="2" t="inlineStr">
        <is>
          <t>name</t>
        </is>
      </c>
      <c r="B274" s="2" t="inlineStr">
        <is>
          <t>amount</t>
        </is>
      </c>
      <c r="C274" s="2" t="inlineStr">
        <is>
          <t>location</t>
        </is>
      </c>
      <c r="D274" s="2" t="inlineStr">
        <is>
          <t>unit</t>
        </is>
      </c>
      <c r="E274" s="2" t="inlineStr">
        <is>
          <t>categories</t>
        </is>
      </c>
      <c r="F274" s="2" t="inlineStr">
        <is>
          <t>type</t>
        </is>
      </c>
      <c r="G274" s="2" t="inlineStr">
        <is>
          <t>database</t>
        </is>
      </c>
      <c r="H274" s="2" t="inlineStr">
        <is>
          <t>reference product</t>
        </is>
      </c>
      <c r="I274" s="2" t="inlineStr">
        <is>
          <t>comment</t>
        </is>
      </c>
    </row>
    <row r="275" hidden="1">
      <c r="A275" t="inlineStr">
        <is>
          <t>liquefied petroleum gas production, from methanol, hydrogen from coal gasification, energy allocation</t>
        </is>
      </c>
      <c r="B275" t="n">
        <v>1</v>
      </c>
      <c r="C275" t="inlineStr">
        <is>
          <t>RER</t>
        </is>
      </c>
      <c r="D275" t="inlineStr">
        <is>
          <t>kilogram</t>
        </is>
      </c>
      <c r="E275" s="2" t="n"/>
      <c r="F275" t="inlineStr">
        <is>
          <t>production</t>
        </is>
      </c>
      <c r="G275" t="inlineStr">
        <is>
          <t>Methanol-based fuels</t>
        </is>
      </c>
      <c r="H275" t="inlineStr">
        <is>
          <t>liquefied petroleum gas, synthetic</t>
        </is>
      </c>
    </row>
    <row r="276" hidden="1">
      <c r="A276" t="inlineStr">
        <is>
          <t>methanol distillation, hydrogen from coal gasification</t>
        </is>
      </c>
      <c r="B276" s="4" t="n">
        <v>2.535</v>
      </c>
      <c r="C276" t="inlineStr">
        <is>
          <t>RER</t>
        </is>
      </c>
      <c r="D276" t="inlineStr">
        <is>
          <t>kilogram</t>
        </is>
      </c>
      <c r="F276" t="inlineStr">
        <is>
          <t>technosphere</t>
        </is>
      </c>
      <c r="G276" t="inlineStr">
        <is>
          <t>Methanol-based fuels</t>
        </is>
      </c>
      <c r="H276" t="inlineStr">
        <is>
          <t>methanol, purified</t>
        </is>
      </c>
    </row>
    <row r="277" hidden="1">
      <c r="A277" t="inlineStr">
        <is>
          <t>market group for electricity, low voltage</t>
        </is>
      </c>
      <c r="B277" s="4">
        <f>18.4/1000*B276</f>
        <v>4.6644000000000005E-2</v>
      </c>
      <c r="C277" t="inlineStr">
        <is>
          <t>RER</t>
        </is>
      </c>
      <c r="D277" t="inlineStr">
        <is>
          <t>kilowatt hour</t>
        </is>
      </c>
      <c r="F277" t="inlineStr">
        <is>
          <t>technosphere</t>
        </is>
      </c>
      <c r="G277" t="inlineStr">
        <is>
          <t>ecoinvent</t>
        </is>
      </c>
      <c r="H277" t="inlineStr">
        <is>
          <t>electricity, low voltage</t>
        </is>
      </c>
    </row>
    <row r="278" ht="16" customHeight="1">
      <c r="A278" s="29" t="inlineStr">
        <is>
          <t>hydrogen production, coal gasification</t>
        </is>
      </c>
      <c r="B278" s="4">
        <f>0.01*B276</f>
        <v>2.5350000000000001E-2</v>
      </c>
      <c r="C278" t="inlineStr">
        <is>
          <t>RoW</t>
        </is>
      </c>
      <c r="D278" t="inlineStr">
        <is>
          <t>kilogram</t>
        </is>
      </c>
      <c r="F278" t="inlineStr">
        <is>
          <t>technosphere</t>
        </is>
      </c>
      <c r="G278" t="inlineStr">
        <is>
          <t>ecoinvent</t>
        </is>
      </c>
      <c r="H278" s="29" t="inlineStr">
        <is>
          <t>hydrogen, gaseous, low pressure</t>
        </is>
      </c>
      <c r="I278" t="inlineStr">
        <is>
          <t>hydrogen, 4kg per ton of methanol processed</t>
        </is>
      </c>
    </row>
    <row r="279" hidden="1">
      <c r="B279" s="4" t="n"/>
    </row>
    <row r="280" hidden="1">
      <c r="A280" s="2" t="inlineStr">
        <is>
          <t>Activity</t>
        </is>
      </c>
      <c r="B280" s="2" t="inlineStr">
        <is>
          <t>liquefied petroleum gas production, from methanol, hydrogen from coal gasification, economic allocation</t>
        </is>
      </c>
    </row>
    <row r="281" hidden="1">
      <c r="A281" t="inlineStr">
        <is>
          <t>production amount</t>
        </is>
      </c>
      <c r="B281" t="n">
        <v>1</v>
      </c>
    </row>
    <row r="282" hidden="1">
      <c r="A282" t="inlineStr">
        <is>
          <t>reference product</t>
        </is>
      </c>
      <c r="B282" t="inlineStr">
        <is>
          <t>liquefied petroleum gas, synthetic</t>
        </is>
      </c>
    </row>
    <row r="283" hidden="1">
      <c r="A283" t="inlineStr">
        <is>
          <t>type</t>
        </is>
      </c>
      <c r="B283" t="inlineStr">
        <is>
          <t>process</t>
        </is>
      </c>
    </row>
    <row r="284" hidden="1">
      <c r="A284" t="inlineStr">
        <is>
          <t>unit</t>
        </is>
      </c>
      <c r="B284" t="inlineStr">
        <is>
          <t>kilogram</t>
        </is>
      </c>
    </row>
    <row r="285" hidden="1">
      <c r="A285" t="inlineStr">
        <is>
          <t>location</t>
        </is>
      </c>
      <c r="B285" t="inlineStr">
        <is>
          <t>RER</t>
        </is>
      </c>
    </row>
    <row r="286" hidden="1">
      <c r="A286" t="inlineStr">
        <is>
          <t>comment</t>
        </is>
      </c>
      <c r="B286" t="inlineStr">
        <is>
          <t>CO2 emission factor: 3.01 kg/kg fuel. Co-product of Methanol-to-Gasoline process. Methanol from hydrogen and CO. CO from direct air capture. Co-produced together with diesel, gasoline and kerosene, but optimized for diesel and kerosene. Allocation key for LPG: 6.3%.</t>
        </is>
      </c>
    </row>
    <row r="287" hidden="1">
      <c r="A287" t="inlineStr">
        <is>
          <t>source</t>
        </is>
      </c>
      <c r="B287" s="7" t="inlineStr">
        <is>
          <t>https://www.fvv-net.de/fileadmin/user_upload/medien/materialien/FVV-Kraftstoffstudie_LBST_2013-10-30.pdf</t>
        </is>
      </c>
    </row>
    <row r="288" hidden="1">
      <c r="A288" s="2" t="inlineStr">
        <is>
          <t>Exchanges</t>
        </is>
      </c>
    </row>
    <row r="289" hidden="1">
      <c r="A289" s="2" t="inlineStr">
        <is>
          <t>name</t>
        </is>
      </c>
      <c r="B289" s="2" t="inlineStr">
        <is>
          <t>amount</t>
        </is>
      </c>
      <c r="C289" s="2" t="inlineStr">
        <is>
          <t>location</t>
        </is>
      </c>
      <c r="D289" s="2" t="inlineStr">
        <is>
          <t>unit</t>
        </is>
      </c>
      <c r="E289" s="2" t="inlineStr">
        <is>
          <t>categories</t>
        </is>
      </c>
      <c r="F289" s="2" t="inlineStr">
        <is>
          <t>type</t>
        </is>
      </c>
      <c r="G289" s="2" t="inlineStr">
        <is>
          <t>database</t>
        </is>
      </c>
      <c r="H289" s="2" t="inlineStr">
        <is>
          <t>reference product</t>
        </is>
      </c>
      <c r="I289" s="2" t="inlineStr">
        <is>
          <t>comment</t>
        </is>
      </c>
    </row>
    <row r="290" hidden="1">
      <c r="A290" t="inlineStr">
        <is>
          <t>liquefied petroleum gas production, from methanol, hydrogen from coal gasification, economic allocation</t>
        </is>
      </c>
      <c r="B290" t="n">
        <v>1</v>
      </c>
      <c r="C290" t="inlineStr">
        <is>
          <t>RER</t>
        </is>
      </c>
      <c r="D290" t="inlineStr">
        <is>
          <t>kilogram</t>
        </is>
      </c>
      <c r="E290" s="2" t="n"/>
      <c r="F290" t="inlineStr">
        <is>
          <t>production</t>
        </is>
      </c>
      <c r="G290" t="inlineStr">
        <is>
          <t>Methanol-based fuels</t>
        </is>
      </c>
      <c r="H290" t="inlineStr">
        <is>
          <t>liquefied petroleum gas, synthetic</t>
        </is>
      </c>
    </row>
    <row r="291" hidden="1">
      <c r="A291" t="inlineStr">
        <is>
          <t>methanol distillation, hydrogen from coal gasification</t>
        </is>
      </c>
      <c r="B291" s="4" t="n">
        <v>1.77</v>
      </c>
      <c r="C291" t="inlineStr">
        <is>
          <t>RER</t>
        </is>
      </c>
      <c r="D291" t="inlineStr">
        <is>
          <t>kilogram</t>
        </is>
      </c>
      <c r="F291" t="inlineStr">
        <is>
          <t>technosphere</t>
        </is>
      </c>
      <c r="G291" t="inlineStr">
        <is>
          <t>Methanol-based fuels</t>
        </is>
      </c>
      <c r="H291" t="inlineStr">
        <is>
          <t>methanol, purified</t>
        </is>
      </c>
    </row>
    <row r="292" hidden="1">
      <c r="A292" t="inlineStr">
        <is>
          <t>market group for electricity, low voltage</t>
        </is>
      </c>
      <c r="B292" s="4">
        <f>18.4/1000*B291</f>
        <v>3.2568E-2</v>
      </c>
      <c r="C292" t="inlineStr">
        <is>
          <t>RER</t>
        </is>
      </c>
      <c r="D292" t="inlineStr">
        <is>
          <t>kilowatt hour</t>
        </is>
      </c>
      <c r="F292" t="inlineStr">
        <is>
          <t>technosphere</t>
        </is>
      </c>
      <c r="G292" t="inlineStr">
        <is>
          <t>ecoinvent</t>
        </is>
      </c>
      <c r="H292" t="inlineStr">
        <is>
          <t>electricity, low voltage</t>
        </is>
      </c>
    </row>
    <row r="293" ht="16" customHeight="1">
      <c r="A293" s="29" t="inlineStr">
        <is>
          <t>hydrogen production, coal gasification</t>
        </is>
      </c>
      <c r="B293" s="4">
        <f>0.01*B291</f>
        <v>1.77E-2</v>
      </c>
      <c r="C293" t="inlineStr">
        <is>
          <t>RoW</t>
        </is>
      </c>
      <c r="D293" t="inlineStr">
        <is>
          <t>kilogram</t>
        </is>
      </c>
      <c r="F293" t="inlineStr">
        <is>
          <t>technosphere</t>
        </is>
      </c>
      <c r="G293" t="inlineStr">
        <is>
          <t>ecoinvent</t>
        </is>
      </c>
      <c r="H293" s="29" t="inlineStr">
        <is>
          <t>hydrogen, gaseous, low pressure</t>
        </is>
      </c>
      <c r="I293" t="inlineStr">
        <is>
          <t>hydrogen, 4kg per ton of methanol processed</t>
        </is>
      </c>
    </row>
    <row r="294" hidden="1">
      <c r="B294" s="4" t="n"/>
    </row>
    <row r="295" hidden="1">
      <c r="A295" s="2" t="inlineStr">
        <is>
          <t>Activity</t>
        </is>
      </c>
      <c r="B295" s="2" t="inlineStr">
        <is>
          <t>methanol distillation, hydrogen from coal gasification</t>
        </is>
      </c>
    </row>
    <row r="296" hidden="1">
      <c r="A296" t="inlineStr">
        <is>
          <t>production amount</t>
        </is>
      </c>
      <c r="B296" t="n">
        <v>1</v>
      </c>
    </row>
    <row r="297" hidden="1">
      <c r="A297" t="inlineStr">
        <is>
          <t>comment</t>
        </is>
      </c>
      <c r="B297" t="inlineStr">
        <is>
          <t>LHV: 19.9 MJ/kg</t>
        </is>
      </c>
    </row>
    <row r="298" hidden="1">
      <c r="A298" t="inlineStr">
        <is>
          <t>reference product</t>
        </is>
      </c>
      <c r="B298" t="inlineStr">
        <is>
          <t>methanol, purified</t>
        </is>
      </c>
    </row>
    <row r="299" hidden="1">
      <c r="A299" t="inlineStr">
        <is>
          <t>type</t>
        </is>
      </c>
      <c r="B299" t="inlineStr">
        <is>
          <t>process</t>
        </is>
      </c>
    </row>
    <row r="300" hidden="1">
      <c r="A300" t="inlineStr">
        <is>
          <t>unit</t>
        </is>
      </c>
      <c r="B300" t="inlineStr">
        <is>
          <t>kilogram</t>
        </is>
      </c>
    </row>
    <row r="301" hidden="1">
      <c r="A301" t="inlineStr">
        <is>
          <t>source</t>
        </is>
      </c>
      <c r="B301" t="inlineStr">
        <is>
          <t>Methanol process adapted from Comparative well-to-wheel life cycle assessment of OME3–5 synfuel production via the power-to-liquid pathway, Hank et al. 2019. https://doi.org/10.1039/C9SE00658C</t>
        </is>
      </c>
    </row>
    <row r="302" hidden="1">
      <c r="A302" t="inlineStr">
        <is>
          <t>location</t>
        </is>
      </c>
      <c r="B302" t="inlineStr">
        <is>
          <t>RER</t>
        </is>
      </c>
    </row>
    <row r="303" hidden="1">
      <c r="A303" t="inlineStr">
        <is>
          <t>comment</t>
        </is>
      </c>
      <c r="B303" t="inlineStr">
        <is>
          <t>Adapted from Comparative well-to-wheel life cycle assessment of OME3–5 synfuel production via the power-to-liquid pathway, Hank et al. 2019</t>
        </is>
      </c>
    </row>
    <row r="304" hidden="1">
      <c r="A304" t="inlineStr">
        <is>
          <t>source</t>
        </is>
      </c>
      <c r="B304" t="inlineStr">
        <is>
          <t>Comparative well-to-wheel life cycle assessment of OME3–5 synfuel production via the power-to-liquid pathway. Christoph Hank, Lukas Lazar, Franz Mantei, Mohamed Ouda, Robin J. White, Tom Smolinka, Achim Schaadt, Christopher Hebling and Hans-Martin Henning. 2019. https://doi.org/10.1039/C9SE00658C</t>
        </is>
      </c>
    </row>
    <row r="305" hidden="1">
      <c r="A305" s="2" t="inlineStr">
        <is>
          <t>Exchanges</t>
        </is>
      </c>
    </row>
    <row r="306" hidden="1">
      <c r="A306" s="2" t="inlineStr">
        <is>
          <t>name</t>
        </is>
      </c>
      <c r="B306" s="2" t="inlineStr">
        <is>
          <t>amount</t>
        </is>
      </c>
      <c r="C306" s="2" t="inlineStr">
        <is>
          <t>location</t>
        </is>
      </c>
      <c r="D306" s="2" t="inlineStr">
        <is>
          <t>unit</t>
        </is>
      </c>
      <c r="E306" s="2" t="inlineStr">
        <is>
          <t>categories</t>
        </is>
      </c>
      <c r="F306" s="2" t="inlineStr">
        <is>
          <t>type</t>
        </is>
      </c>
      <c r="G306" s="2" t="inlineStr">
        <is>
          <t>reference product</t>
        </is>
      </c>
      <c r="H306" s="2" t="n"/>
    </row>
    <row r="307" hidden="1">
      <c r="A307" t="inlineStr">
        <is>
          <t>methanol synthesis, hydrogen from coal gasification</t>
        </is>
      </c>
      <c r="B307" t="n">
        <v>1</v>
      </c>
      <c r="C307" t="inlineStr">
        <is>
          <t>RER</t>
        </is>
      </c>
      <c r="D307" t="inlineStr">
        <is>
          <t>kilogram</t>
        </is>
      </c>
      <c r="F307" t="inlineStr">
        <is>
          <t>technosphere</t>
        </is>
      </c>
      <c r="G307" t="inlineStr">
        <is>
          <t>methanol, unpurified</t>
        </is>
      </c>
    </row>
    <row r="308" hidden="1">
      <c r="A308" t="inlineStr">
        <is>
          <t>methanol distillation, hydrogen from coal gasification</t>
        </is>
      </c>
      <c r="B308" t="n">
        <v>1</v>
      </c>
      <c r="C308" t="inlineStr">
        <is>
          <t>RER</t>
        </is>
      </c>
      <c r="D308" t="inlineStr">
        <is>
          <t>kilogram</t>
        </is>
      </c>
      <c r="F308" t="inlineStr">
        <is>
          <t>production</t>
        </is>
      </c>
      <c r="G308" t="inlineStr">
        <is>
          <t>methanol, purified</t>
        </is>
      </c>
    </row>
    <row r="309" hidden="1">
      <c r="A309" t="inlineStr">
        <is>
          <t>steam production, as energy carrier, in chemical industry</t>
        </is>
      </c>
      <c r="B309" t="n">
        <v>3.509803027737619</v>
      </c>
      <c r="C309" t="inlineStr">
        <is>
          <t>RoW</t>
        </is>
      </c>
      <c r="D309" t="inlineStr">
        <is>
          <t>megajoule</t>
        </is>
      </c>
      <c r="F309" t="inlineStr">
        <is>
          <t>technosphere</t>
        </is>
      </c>
      <c r="G309" t="inlineStr">
        <is>
          <t>heat, from steam, in chemical industry</t>
        </is>
      </c>
    </row>
    <row r="310" hidden="1">
      <c r="A310" t="inlineStr">
        <is>
          <t>Carbon dioxide, fossil</t>
        </is>
      </c>
      <c r="B310">
        <f>5870/44900</f>
        <v>0.13073496659242761</v>
      </c>
      <c r="D310" t="inlineStr">
        <is>
          <t>kilogram</t>
        </is>
      </c>
      <c r="E310" t="inlineStr">
        <is>
          <t>air</t>
        </is>
      </c>
      <c r="F310" t="inlineStr">
        <is>
          <t>biosphere</t>
        </is>
      </c>
    </row>
    <row r="311" hidden="1">
      <c r="A311" t="inlineStr">
        <is>
          <t>Carbon monoxide, fossil</t>
        </is>
      </c>
      <c r="B311" t="n">
        <v>1.669406311911098e-06</v>
      </c>
      <c r="D311" t="inlineStr">
        <is>
          <t>kilogram</t>
        </is>
      </c>
      <c r="E311" t="inlineStr">
        <is>
          <t>air</t>
        </is>
      </c>
      <c r="F311" t="inlineStr">
        <is>
          <t>biosphere</t>
        </is>
      </c>
    </row>
    <row r="312" hidden="1">
      <c r="A312" t="inlineStr">
        <is>
          <t>methanol production facility, construction</t>
        </is>
      </c>
      <c r="B312" t="n">
        <v>12.4568278943279</v>
      </c>
      <c r="C312" t="inlineStr">
        <is>
          <t>RER</t>
        </is>
      </c>
      <c r="D312" t="inlineStr">
        <is>
          <t>unit</t>
        </is>
      </c>
      <c r="F312" t="inlineStr">
        <is>
          <t>technosphere</t>
        </is>
      </c>
      <c r="G312" t="inlineStr">
        <is>
          <t>methanol production facility, construction</t>
        </is>
      </c>
    </row>
    <row r="313" hidden="1"/>
    <row r="314" hidden="1" ht="16" customHeight="1">
      <c r="A314" s="1" t="inlineStr">
        <is>
          <t>Activity</t>
        </is>
      </c>
      <c r="B314" s="2" t="inlineStr">
        <is>
          <t>methanol synthesis, hydrogen from coal gasification</t>
        </is>
      </c>
    </row>
    <row r="315" hidden="1">
      <c r="A315" t="inlineStr">
        <is>
          <t>production amount</t>
        </is>
      </c>
      <c r="B315" t="n">
        <v>1</v>
      </c>
    </row>
    <row r="316" hidden="1">
      <c r="A316" t="inlineStr">
        <is>
          <t>reference product</t>
        </is>
      </c>
      <c r="B316" t="inlineStr">
        <is>
          <t>methanol, unpurified</t>
        </is>
      </c>
    </row>
    <row r="317" hidden="1">
      <c r="A317" t="inlineStr">
        <is>
          <t>type</t>
        </is>
      </c>
      <c r="B317" t="inlineStr">
        <is>
          <t>process</t>
        </is>
      </c>
    </row>
    <row r="318" hidden="1">
      <c r="A318" t="inlineStr">
        <is>
          <t>unit</t>
        </is>
      </c>
      <c r="B318" t="inlineStr">
        <is>
          <t>kilogram</t>
        </is>
      </c>
    </row>
    <row r="319" hidden="1">
      <c r="A319" t="inlineStr">
        <is>
          <t>location</t>
        </is>
      </c>
      <c r="B319" t="inlineStr">
        <is>
          <t>RER</t>
        </is>
      </c>
    </row>
    <row r="320" hidden="1">
      <c r="A320" t="inlineStr">
        <is>
          <t>comment</t>
        </is>
      </c>
      <c r="B320" t="inlineStr">
        <is>
          <t>Adapted from Comparative well-to-wheel life cycle assessment of OME3–5 synfuel production via the power-to-liquid pathway, Hank et al. 2019
The hydrogen process (coal gasification) releases 18.024 kg CO2 per kg H2. Here, 0.139 kg H2 are needed, corresponding to 2.5 kg CO2 released from the gasification process.
1.69 kg out of the 2.5 kg CO2 are redirected as CO2 input in the methanol synthesis process. This means that these 1.69 kg are not emitted.
Hence, a 1.69 kg CO2 correction is added.</t>
        </is>
      </c>
    </row>
    <row r="321" hidden="1">
      <c r="A321" t="inlineStr">
        <is>
          <t>source</t>
        </is>
      </c>
      <c r="B321" t="inlineStr">
        <is>
          <t>Comparative well-to-wheel life cycle assessment of OME3–5 synfuel production via the power-to-liquid pathway. Christoph Hank, Lukas Lazar, Franz Mantei, Mohamed Ouda, Robin J. White, Tom Smolinka, Achim Schaadt, Christopher Hebling and Hans-Martin Henning. 2019. https://doi.org/10.1039/C9SE00658C</t>
        </is>
      </c>
    </row>
    <row r="322" hidden="1" ht="16" customHeight="1">
      <c r="A322" s="1" t="inlineStr">
        <is>
          <t>Exchanges</t>
        </is>
      </c>
    </row>
    <row r="323" hidden="1">
      <c r="A323" t="inlineStr">
        <is>
          <t>name</t>
        </is>
      </c>
      <c r="B323" t="inlineStr">
        <is>
          <t>amount</t>
        </is>
      </c>
      <c r="C323" t="inlineStr">
        <is>
          <t>location</t>
        </is>
      </c>
      <c r="D323" t="inlineStr">
        <is>
          <t>unit</t>
        </is>
      </c>
      <c r="E323" t="inlineStr">
        <is>
          <t>categories</t>
        </is>
      </c>
      <c r="F323" t="inlineStr">
        <is>
          <t>type</t>
        </is>
      </c>
      <c r="G323" t="inlineStr">
        <is>
          <t>reference product</t>
        </is>
      </c>
    </row>
    <row r="324" hidden="1">
      <c r="A324" t="inlineStr">
        <is>
          <t>methanol production facility, construction</t>
        </is>
      </c>
      <c r="B324">
        <f>12.89</f>
        <v>12.89</v>
      </c>
      <c r="C324" t="inlineStr">
        <is>
          <t>RER</t>
        </is>
      </c>
      <c r="D324" t="inlineStr">
        <is>
          <t>unit</t>
        </is>
      </c>
      <c r="F324" t="inlineStr">
        <is>
          <t>technosphere</t>
        </is>
      </c>
      <c r="G324" t="inlineStr">
        <is>
          <t>methanol production facility, construction</t>
        </is>
      </c>
    </row>
    <row r="325" hidden="1">
      <c r="A325" t="inlineStr">
        <is>
          <t>methanol synthesis, hydrogen from coal gasification</t>
        </is>
      </c>
      <c r="B325" t="n">
        <v>1</v>
      </c>
      <c r="C325" t="inlineStr">
        <is>
          <t>RER</t>
        </is>
      </c>
      <c r="D325" t="inlineStr">
        <is>
          <t>kilogram</t>
        </is>
      </c>
      <c r="F325" t="inlineStr">
        <is>
          <t>production</t>
        </is>
      </c>
      <c r="G325" t="inlineStr">
        <is>
          <t>methanol, unpurified</t>
        </is>
      </c>
    </row>
    <row r="326" hidden="1">
      <c r="A326" t="inlineStr">
        <is>
          <t>market for tap water</t>
        </is>
      </c>
      <c r="B326" s="4">
        <f>((3090000*1000)/44900000)</f>
        <v>68.819599109131403</v>
      </c>
      <c r="C326" t="inlineStr">
        <is>
          <t>Europe without Switzerland</t>
        </is>
      </c>
      <c r="D326" t="inlineStr">
        <is>
          <t>kilogram</t>
        </is>
      </c>
      <c r="F326" t="inlineStr">
        <is>
          <t>technosphere</t>
        </is>
      </c>
      <c r="G326" t="inlineStr">
        <is>
          <t>tap water</t>
        </is>
      </c>
    </row>
    <row r="327" hidden="1">
      <c r="A327" t="inlineStr">
        <is>
          <t>market group for electricity, low voltage</t>
        </is>
      </c>
      <c r="B327" s="4">
        <f>(13600*1000)/44900000</f>
        <v>0.30289532293986637</v>
      </c>
      <c r="C327" t="inlineStr">
        <is>
          <t>RER</t>
        </is>
      </c>
      <c r="D327" t="inlineStr">
        <is>
          <t>kilowatt hour</t>
        </is>
      </c>
      <c r="F327" t="inlineStr">
        <is>
          <t>technosphere</t>
        </is>
      </c>
      <c r="G327" t="inlineStr">
        <is>
          <t>electricity, low voltage</t>
        </is>
      </c>
    </row>
    <row r="328" hidden="1">
      <c r="A328" t="inlineStr">
        <is>
          <t>market for zinc oxide</t>
        </is>
      </c>
      <c r="B328" s="4">
        <f>356/44900000</f>
        <v>7.9287305122494425E-6</v>
      </c>
      <c r="C328" t="inlineStr">
        <is>
          <t>GLO</t>
        </is>
      </c>
      <c r="D328" t="inlineStr">
        <is>
          <t>kilogram</t>
        </is>
      </c>
      <c r="F328" t="inlineStr">
        <is>
          <t>technosphere</t>
        </is>
      </c>
      <c r="G328" t="inlineStr">
        <is>
          <t>zinc oxide</t>
        </is>
      </c>
    </row>
    <row r="329" hidden="1">
      <c r="A329" t="inlineStr">
        <is>
          <t>market for copper oxide</t>
        </is>
      </c>
      <c r="B329" s="4">
        <f>949/44900000</f>
        <v>2.11358574610245E-5</v>
      </c>
      <c r="C329" t="inlineStr">
        <is>
          <t>GLO</t>
        </is>
      </c>
      <c r="D329" t="inlineStr">
        <is>
          <t>kilogram</t>
        </is>
      </c>
      <c r="F329" t="inlineStr">
        <is>
          <t>technosphere</t>
        </is>
      </c>
      <c r="G329" t="inlineStr">
        <is>
          <t>copper oxide</t>
        </is>
      </c>
    </row>
    <row r="330" hidden="1">
      <c r="A330" t="inlineStr">
        <is>
          <t>market for aluminium oxide, metallurgical</t>
        </is>
      </c>
      <c r="B330" s="4">
        <f>178/44900000</f>
        <v>3.9643652561247212E-6</v>
      </c>
      <c r="C330" t="inlineStr">
        <is>
          <t>IAI Area, EU27 &amp; EFTA</t>
        </is>
      </c>
      <c r="D330" t="inlineStr">
        <is>
          <t>kilogram</t>
        </is>
      </c>
      <c r="F330" t="inlineStr">
        <is>
          <t>technosphere</t>
        </is>
      </c>
      <c r="G330" t="inlineStr">
        <is>
          <t>aluminium oxide, metallurgical</t>
        </is>
      </c>
    </row>
    <row r="331" ht="16" customHeight="1">
      <c r="A331" s="29" t="inlineStr">
        <is>
          <t>hydrogen production, coal gasification</t>
        </is>
      </c>
      <c r="B331" s="4">
        <f>6240000/44900000</f>
        <v>0.13897550111358575</v>
      </c>
      <c r="C331" t="inlineStr">
        <is>
          <t>RoW</t>
        </is>
      </c>
      <c r="D331" t="inlineStr">
        <is>
          <t>kilogram</t>
        </is>
      </c>
      <c r="F331" t="inlineStr">
        <is>
          <t>technosphere</t>
        </is>
      </c>
      <c r="G331" s="29" t="inlineStr">
        <is>
          <t>hydrogen, gaseous, low pressure</t>
        </is>
      </c>
    </row>
    <row r="332" hidden="1" ht="16" customHeight="1">
      <c r="A332" s="3" t="inlineStr">
        <is>
          <t>Carbon dioxide, fossil</t>
        </is>
      </c>
      <c r="B332" s="4" t="n">
        <v>-1.69</v>
      </c>
      <c r="D332" t="inlineStr">
        <is>
          <t>kilogram</t>
        </is>
      </c>
      <c r="E332" t="inlineStr">
        <is>
          <t>air</t>
        </is>
      </c>
      <c r="F332" t="inlineStr">
        <is>
          <t>biosphere</t>
        </is>
      </c>
      <c r="G332" s="3" t="n"/>
    </row>
  </sheetData>
  <autoFilter ref="A1:K332">
    <filterColumn colId="0" hiddenButton="0" showButton="1">
      <filters>
        <filter val="hydrogen production, coal gasification"/>
        <filter val="hydrogen production, gaseous, 30 bar, from hard coal gasification and reforming, at coal gasification plant"/>
      </filters>
    </filterColumn>
  </autoFilter>
  <hyperlinks>
    <hyperlink ref="B180" ns1:id="rId1"/>
    <hyperlink ref="B195" ns1:id="rId2"/>
    <hyperlink ref="B210" ns1:id="rId3"/>
    <hyperlink ref="B225" ns1:id="rId4"/>
    <hyperlink ref="B241" ns1:id="rId5"/>
    <hyperlink ref="B256" ns1:id="rId6"/>
    <hyperlink ref="B272" ns1:id="rId7"/>
    <hyperlink ref="B287" ns1:id="rId8"/>
  </hyperlinks>
  <pageMargins left="0.7" right="0.7" top="0.75" bottom="0.75" header="0.3" footer="0.3"/>
  <pageSetup orientation="portrait" paperSize="9" horizontalDpi="300" verticalDpi="300"/>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Romain Sacchi</dc:creator>
  <dcterms:created xmlns:dcterms="http://purl.org/dc/terms/" xmlns:xsi="http://www.w3.org/2001/XMLSchema-instance" xsi:type="dcterms:W3CDTF">2020-03-27T18:42:39Z</dcterms:created>
  <dcterms:modified xmlns:dcterms="http://purl.org/dc/terms/" xmlns:xsi="http://www.w3.org/2001/XMLSchema-instance" xsi:type="dcterms:W3CDTF">2026-07-07T13:56:55Z</dcterms:modified>
  <cp:lastModifiedBy>Romain Sacchi</cp:lastModifiedBy>
</cp:coreProperties>
</file>