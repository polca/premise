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4" i="1"/>
  <c r="H185" i="1"/>
  <c r="H186" i="1"/>
  <c r="H187" i="1"/>
  <c r="H182" i="1"/>
  <c r="H162" i="1"/>
  <c r="H163" i="1"/>
  <c r="H165" i="1"/>
  <c r="H166" i="1"/>
  <c r="H168" i="1"/>
  <c r="H159" i="1"/>
  <c r="H222" i="1" l="1"/>
  <c r="H241" i="1"/>
  <c r="H223" i="1"/>
  <c r="H215" i="1"/>
  <c r="H220" i="1"/>
  <c r="H221" i="1"/>
  <c r="H219" i="1"/>
  <c r="H240" i="1"/>
  <c r="H226" i="1"/>
  <c r="H218" i="1"/>
  <c r="H217" i="1"/>
  <c r="H224" i="1"/>
  <c r="H244" i="1"/>
  <c r="H245" i="1"/>
  <c r="H243"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B161" i="1"/>
  <c r="H161" i="1" s="1"/>
  <c r="B160" i="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<sst xmlns="http://schemas.openxmlformats.org/spreadsheetml/2006/main" count="1709" uniqueCount="281">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</sst>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631"/>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is>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0.0</v>
      </c>
      <c r="C14" t="s">
        <v>9</v>
      </c>
      <c r="E14" t="s">
        <v>5</v>
      </c>
      <c r="F14" t="s">
        <v>27</v>
      </c>
      <c r="G14" t="s">
        <v>28</v>
      </c>
      <c r="H14" t="s">
        <v>29</v>
      </c>
    </row>
    <row r="15" spans="1:8" x14ac:dyDescent="0.2">
      <c r="A15" t="s">
        <v>57</v>
      </c>
      <c r="B15" s="6">
        <v>0.07880613362541074</v>
      </c>
      <c r="C15" t="s">
        <v>9</v>
      </c>
      <c r="E15" t="s">
        <v>48</v>
      </c>
      <c r="F15" t="s">
        <v>27</v>
      </c>
      <c r="G15" t="s">
        <v>58</v>
      </c>
      <c r="H15" t="s">
        <v>256</v>
      </c>
    </row>
    <row r="16" spans="1:8" x14ac:dyDescent="0.2">
      <c r="A16" t="s">
        <v>19</v>
      </c>
      <c r="B16" s="6">
        <v>0.01823658269441402</v>
      </c>
      <c r="C16" t="s">
        <v>9</v>
      </c>
      <c r="E16" t="s">
        <v>48</v>
      </c>
      <c r="F16" t="s">
        <v>27</v>
      </c>
      <c r="G16" t="s">
        <v>41</v>
      </c>
    </row>
    <row r="17" spans="1:20" x14ac:dyDescent="0.2">
      <c r="A17" t="s">
        <v>20</v>
      </c>
      <c r="B17" s="6">
        <v>0.11648411829134721</v>
      </c>
      <c r="C17" t="s">
        <v>9</v>
      </c>
      <c r="E17" t="s">
        <v>48</v>
      </c>
      <c r="F17" t="s">
        <v>27</v>
      </c>
      <c r="G17" t="s">
        <v>33</v>
      </c>
    </row>
    <row r="18" spans="1:20" x14ac:dyDescent="0.2">
      <c r="A18" t="s">
        <v>21</v>
      </c>
      <c r="B18" s="6">
        <v>0.10602409638554217</v>
      </c>
      <c r="C18" t="s">
        <v>9</v>
      </c>
      <c r="E18" t="s">
        <v>48</v>
      </c>
      <c r="F18" t="s">
        <v>27</v>
      </c>
      <c r="G18" t="s">
        <v>34</v>
      </c>
    </row>
    <row r="19" spans="1:20" x14ac:dyDescent="0.2">
      <c r="A19" t="s">
        <v>22</v>
      </c>
      <c r="B19" s="6">
        <v>0.21407447973713037</v>
      </c>
      <c r="C19" t="s">
        <v>9</v>
      </c>
      <c r="E19" t="s">
        <v>48</v>
      </c>
      <c r="F19" t="s">
        <v>27</v>
      </c>
      <c r="G19" t="s">
        <v>38</v>
      </c>
    </row>
    <row r="20" spans="1:20" x14ac:dyDescent="0.2">
      <c r="A20" t="s">
        <v>39</v>
      </c>
      <c r="B20" s="6">
        <v>0.01598582883723446</v>
      </c>
      <c r="C20" t="s">
        <v>9</v>
      </c>
      <c r="E20" t="s">
        <v>48</v>
      </c>
      <c r="F20" t="s">
        <v>27</v>
      </c>
      <c r="G20" t="s">
        <v>40</v>
      </c>
    </row>
    <row r="21" spans="1:20" x14ac:dyDescent="0.2">
      <c r="A21" t="s">
        <v>31</v>
      </c>
      <c r="B21" s="6">
        <v>0.3077272051167633</v>
      </c>
      <c r="C21" t="s">
        <v>9</v>
      </c>
      <c r="E21" t="s">
        <v>5</v>
      </c>
      <c r="F21" t="s">
        <v>27</v>
      </c>
      <c r="G21" t="s">
        <v>32</v>
      </c>
      <c r="H21" t="s">
        <v>30</v>
      </c>
    </row>
    <row r="22" spans="1:20" x14ac:dyDescent="0.2">
      <c r="A22" t="s">
        <v>169</v>
      </c>
      <c r="B22" s="6">
        <v>0.048466593647316536</v>
      </c>
      <c r="C22" t="s">
        <v>9</v>
      </c>
      <c r="E22" t="s">
        <v>48</v>
      </c>
      <c r="F22" t="s">
        <v>27</v>
      </c>
      <c r="G22" t="s">
        <v>35</v>
      </c>
    </row>
    <row r="23" spans="1:20" x14ac:dyDescent="0.2">
      <c r="A23" t="s">
        <v>23</v>
      </c>
      <c r="B23" s="6">
        <v>0.03663745892661556</v>
      </c>
      <c r="C23" t="s">
        <v>9</v>
      </c>
      <c r="E23" t="s">
        <v>48</v>
      </c>
      <c r="F23" t="s">
        <v>27</v>
      </c>
      <c r="G23" t="s">
        <v>36</v>
      </c>
    </row>
    <row r="24" spans="1:20" x14ac:dyDescent="0.2">
      <c r="A24" t="s">
        <v>24</v>
      </c>
      <c r="B24" s="6">
        <v>0.05750273822562979</v>
      </c>
      <c r="C24" t="s">
        <v>9</v>
      </c>
      <c r="E24" t="s">
        <v>48</v>
      </c>
      <c r="F24" t="s">
        <v>27</v>
      </c>
      <c r="G24" t="s">
        <v>37</v>
      </c>
    </row>
    <row r="27" spans="1:20" ht="16" x14ac:dyDescent="0.2">
      <c r="A27" s="2" t="s">
        <v>2</v>
      </c>
      <c r="B27" s="2" t="s">
        <v>19</v>
      </c>
    </row>
    <row r="28" spans="1:20" x14ac:dyDescent="0.2">
      <c r="A28" t="s">
        <v>3</v>
      </c>
      <c r="B28"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
PREVIOUS SOURCE NOTES:
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is>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t="n">
        <f>-268.03/1000</f>
        <v>-0.26803</v>
      </c>
      <c r="C51" t="s">
        <v>9</v>
      </c>
      <c r="E51" t="s">
        <v>63</v>
      </c>
      <c r="F51" t="s">
        <v>27</v>
      </c>
      <c r="G51" t="s">
        <v>76</v>
      </c>
      <c r="H51"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t>
        </is>
      </c>
    </row>
    <row r="52">
      <c r="A52" t="inlineStr">
        <is>
          <t>Carbon dioxide, fossil</t>
        </is>
      </c>
      <c r="B52" t="n">
        <f>5.505/1000</f>
        <v>0.0055049999999999995</v>
      </c>
      <c r="C52" t="inlineStr">
        <is>
          <t>kilogram</t>
        </is>
      </c>
      <c r="D52" t="inlineStr">
        <is>
          <t>air::unspecified</t>
        </is>
      </c>
      <c r="F52" t="inlineStr">
        <is>
          <t>biosphere</t>
        </is>
      </c>
      <c r="H52" t="inlineStr">
        <is>
          <t>Restored omitted Table S6 emission: 5.505 g CO2 per 1 kg CNT = 5.505/1000 kg/kg; positive biosphere emission, separate from the 268.03 g inert-waste delivery. Carbon dioxide, fossil, air/unspecified is an explicit mapping convention for the industrial CO feed; the source gives generic inorganic CO2 to air without carbon-origin or subcompartment detail. The source process carbon balance, off-gas recovery and yields remain unvalidated. See dataset comment for citation and limitations.</t>
        </is>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1</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COLLECTOR FACILITY SOURCE OMISSION, 2026-10-18. Wang et al. (2020), DOI 10.1016/j.jclepro.2020.121339, supporting information Table S10 lists 1.5E-10 pieces RER aluminium casting plant per kg aluminium current collector. Add the existing RER aluminium casting facility construction supplier at 1.5E-10 unit/kg in blank exchange row 147. This restores the source infrastructure proxy; it does not validate the casting/rolling facility design, manufacturing yield or the unresolved 0.825 kg aluminium feed per kg output. Keep aluminium feed, sheet rolling, transport and all other coefficients unchanged.
PREVIOUS NOTES (retained as history; the correction above takes precedence):
 Source: Originally from Wang, F., Deng, Y., &amp; Yuan, C. (2020). Life cycle assessment of lithium oxygen battery for electric vehicles. Journal of Cleaner Production, 264, 121339. https://doi.org/10.1016/j.jclepro.2020.121339</t>
        </is>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1</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7">
      <c r="A147" t="inlineStr">
        <is>
          <t>aluminium casting facility construction</t>
        </is>
      </c>
      <c r="B147">
        <v>1.5e-10</v>
      </c>
      <c r="C147" t="inlineStr">
        <is>
          <t>unit</t>
        </is>
      </c>
      <c r="E147" t="inlineStr">
        <is>
          <t>RER</t>
        </is>
      </c>
      <c r="F147" t="inlineStr">
        <is>
          <t>technosphere</t>
        </is>
      </c>
      <c r="G147" t="inlineStr">
        <is>
          <t>aluminium casting facility</t>
        </is>
      </c>
      <c r="H147" t="inlineStr">
        <is>
          <t>Wang et al. (2020), DOI 10.1016/j.jclepro.2020.121339, SI Table S10: 1.5E-10 RER aluminium casting plant units/kg collector. Source facility proxy; no measured design or manufacturing-yield validation.</t>
        </is>
      </c>
    </row>
    <row r="149" spans="1:8" ht="16" x14ac:dyDescent="0.2">
      <c r="A149" s="2" t="s">
        <v>2</v>
      </c>
      <c r="B149" s="2" t="s">
        <v>24</v>
      </c>
    </row>
    <row r="150" spans="1:8" ht="16" x14ac:dyDescent="0.2">
      <c r="A150" s="7" t="s">
        <v>3</v>
      </c>
      <c r="B150" s="7" t="inlineStr">
        <is>
          <t xml:space="preserve">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Source: Originally from Wang, F., Deng, Y., &amp; Yuan, C. (2020). Life cycle assessment of lithium oxygen battery for electric vehicles. Journal of Cleaner Production, 264, 121339. https://doi.org/10.1016/j.jclepro.2020.121339 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0.23238095238095238</v>
      </c>
      <c r="C159" t="s">
        <v>9</v>
      </c>
      <c r="E159" t="s">
        <v>110</v>
      </c>
      <c r="F159" t="s">
        <v>27</v>
      </c>
      <c r="G159" t="s">
        <v>109</v>
      </c>
      <c r="H159">
        <f>184*B$24*B159</f>
        <v>8.6525999999999996</v>
      </c>
    </row>
    <row r="160" spans="1:8" x14ac:dyDescent="0.2">
      <c r="A160" t="inlineStr">
        <is>
          <t>market for aluminium, wrought alloy</t>
        </is>
      </c>
      <c r="B160">
        <f>0</f>
        <v>0</v>
      </c>
      <c r="C160" t="s">
        <v>9</v>
      </c>
      <c r="E160" t="inlineStr">
        <is>
          <t>GLO</t>
        </is>
      </c>
      <c r="F160" t="s">
        <v>27</v>
      </c>
      <c r="G160" t="inlineStr">
        <is>
          <t>aluminium, wrought alloy</t>
        </is>
      </c>
      <c r="H160"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61" spans="1:8" x14ac:dyDescent="0.2">
      <c r="A161" t="s">
        <v>114</v>
      </c>
      <c r="B161">
        <f>0.0000000000349</f>
        <v>3.4899999999999997E-11</v>
      </c>
      <c r="C161" t="s">
        <v>8</v>
      </c>
      <c r="E161" t="s">
        <v>48</v>
      </c>
      <c r="F161" t="s">
        <v>27</v>
      </c>
      <c r="G161" t="s">
        <v>115</v>
      </c>
      <c r="H161">
        <f t="shared" si="0" ref="H161:H163">184*B$24*B161</f>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0.7676190476190476</v>
      </c>
      <c r="C163" t="s">
        <v>9</v>
      </c>
      <c r="E163" t="s">
        <v>5</v>
      </c>
      <c r="F163" t="s">
        <v>27</v>
      </c>
      <c r="G163" t="s">
        <v>117</v>
      </c>
      <c r="H163">
        <f t="shared" si="0"/>
        <v>7.477943999999999</v>
      </c>
    </row>
    <row r="164" spans="1:8" x14ac:dyDescent="0.2">
      <c r="A164" t="inlineStr">
        <is>
          <t>market for copper, cathode</t>
        </is>
      </c>
      <c r="B164">
        <f>0</f>
        <v>0</v>
      </c>
      <c r="C164" t="s">
        <v>9</v>
      </c>
      <c r="E164" t="inlineStr">
        <is>
          <t>GLO</t>
        </is>
      </c>
      <c r="F164" t="s">
        <v>27</v>
      </c>
      <c r="G164" t="inlineStr">
        <is>
          <t>copper, cathode</t>
        </is>
      </c>
      <c r="H164" t="inlineStr">
        <is>
          <t>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65" spans="1:8" x14ac:dyDescent="0.2">
      <c r="A165" t="s">
        <v>120</v>
      </c>
      <c r="B165">
        <v>0.23238095238095238</v>
      </c>
      <c r="C165" t="s">
        <v>9</v>
      </c>
      <c r="E165" t="s">
        <v>5</v>
      </c>
      <c r="F165" t="s">
        <v>27</v>
      </c>
      <c r="G165" t="s">
        <v>111</v>
      </c>
      <c r="H165">
        <f t="shared" si="4" ref="H165:H169">184*B$24*B165</f>
        <v>2.4332159999999998</v>
      </c>
    </row>
    <row r="166" spans="1:8" x14ac:dyDescent="0.2">
      <c r="A166" t="s">
        <v>106</v>
      </c>
      <c r="B166">
        <v>0.7676190476190476</v>
      </c>
      <c r="C166" t="s">
        <v>9</v>
      </c>
      <c r="E166" t="s">
        <v>5</v>
      </c>
      <c r="F166" t="s">
        <v>27</v>
      </c>
      <c r="G166" t="s">
        <v>107</v>
      </c>
      <c r="H166">
        <f t="shared" si="4"/>
        <v>8.0547839999999997</v>
      </c>
    </row>
    <row r="167" spans="1:8" x14ac:dyDescent="0.2">
      <c r="A167" t="s">
        <v>87</v>
      </c>
      <c r="B167" t="n">
        <v>2.0</v>
      </c>
      <c r="C167" t="s">
        <v>88</v>
      </c>
      <c r="E167" t="s">
        <v>63</v>
      </c>
      <c r="F167" t="s">
        <v>27</v>
      </c>
      <c r="G167" t="s">
        <v>89</v>
      </c>
      <c r="H167" t="inlineStr">
        <is>
          <t>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=184*B$24*B167; previous cached value = 2.0976.</t>
        </is>
      </c>
    </row>
    <row r="168" spans="1:8" x14ac:dyDescent="0.2">
      <c r="A168" t="s">
        <v>90</v>
      </c>
      <c r="B168">
        <v>0.1</v>
      </c>
      <c r="C168" t="s">
        <v>88</v>
      </c>
      <c r="E168" t="s">
        <v>48</v>
      </c>
      <c r="F168" t="s">
        <v>27</v>
      </c>
      <c r="G168" t="s">
        <v>91</v>
      </c>
      <c r="H168">
        <f t="shared" si="4"/>
        <v>1.0488</v>
      </c>
    </row>
    <row r="169" spans="1:8" x14ac:dyDescent="0.2">
      <c r="A169" t="s">
        <v>121</v>
      </c>
      <c r="B169">
        <f>0</f>
        <v>0</v>
      </c>
      <c r="C169" t="s">
        <v>9</v>
      </c>
      <c r="E169" t="s">
        <v>63</v>
      </c>
      <c r="F169" t="s">
        <v>27</v>
      </c>
      <c r="G169" t="s">
        <v>122</v>
      </c>
      <c r="H169">
        <f t="shared" si="4"/>
        <v>-0.18878399999999998</v>
      </c>
    </row>
    <row r="172" spans="1:8" ht="16" x14ac:dyDescent="0.2">
      <c r="A172" s="2" t="s">
        <v>2</v>
      </c>
      <c r="B172" s="2" t="s">
        <v>23</v>
      </c>
    </row>
    <row r="173" spans="1:8" ht="16" x14ac:dyDescent="0.2">
      <c r="A173" s="7" t="s">
        <v>3</v>
      </c>
      <c r="B173" s="7" t="inlineStr">
        <is>
          <t> Source: Originally from Wang, F., Deng, Y., &amp; Yuan, C. (2020). Life cycle assessment of lithium oxygen battery for electric vehicles. Journal of Cleaner Production, 264, 121339. https://doi.org/10.1016/j.jclepro.2020.121339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inlineStr">
        <is>
          <t>market for aluminium, wrought alloy</t>
        </is>
      </c>
      <c r="B183">
        <v>0.129</v>
      </c>
      <c r="C183" t="s">
        <v>9</v>
      </c>
      <c r="E183" t="inlineStr">
        <is>
          <t>GLO</t>
        </is>
      </c>
      <c r="F183" t="s">
        <v>27</v>
      </c>
      <c r="G183" t="inlineStr">
        <is>
          <t>aluminium, wrought alloy</t>
        </is>
      </c>
      <c r="H183"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84" spans="1:8" x14ac:dyDescent="0.2">
      <c r="A184" t="s">
        <v>123</v>
      </c>
      <c r="B184">
        <v>0.20599999999999999</v>
      </c>
      <c r="C184" t="s">
        <v>9</v>
      </c>
      <c r="E184" t="s">
        <v>5</v>
      </c>
      <c r="F184" t="s">
        <v>27</v>
      </c>
      <c r="G184" t="s">
        <v>124</v>
      </c>
      <c r="H184">
        <f t="shared" si="1" ref="H184:H188">184*B$23*B184</f>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 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0.2860071758072783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0.5197334700153767</v>
      </c>
      <c r="C217" t="s">
        <v>9</v>
      </c>
      <c r="E217" t="s">
        <v>110</v>
      </c>
      <c r="F217" t="s">
        <v>27</v>
      </c>
      <c r="G217" t="s">
        <v>109</v>
      </c>
      <c r="H217">
        <f t="shared" si="2"/>
        <v>4.1352803738317755E-2</v>
      </c>
    </row>
    <row r="218" spans="1:8" x14ac:dyDescent="0.2">
      <c r="A218" t="s">
        <v>133</v>
      </c>
      <c r="B218">
        <v>0.14915427985648386</v>
      </c>
      <c r="C218" t="s">
        <v>9</v>
      </c>
      <c r="E218" t="s">
        <v>48</v>
      </c>
      <c r="F218" t="s">
        <v>27</v>
      </c>
      <c r="G218" t="s">
        <v>133</v>
      </c>
      <c r="H218">
        <f t="shared" si="2"/>
        <v>5.7643302180685361E-3</v>
      </c>
    </row>
    <row r="219" spans="1:8" x14ac:dyDescent="0.2">
      <c r="A219" t="s">
        <v>134</v>
      </c>
      <c r="B219">
        <v>0.4760917282583603</v>
      </c>
      <c r="C219" t="s">
        <v>135</v>
      </c>
      <c r="E219" t="s">
        <v>48</v>
      </c>
      <c r="F219" t="s">
        <v>27</v>
      </c>
      <c r="G219" t="s">
        <v>134</v>
      </c>
      <c r="H219">
        <f t="shared" si="2"/>
        <v>3.0074766355140187E-2</v>
      </c>
    </row>
    <row r="220" spans="1:8" x14ac:dyDescent="0.2">
      <c r="A220" t="s">
        <v>168</v>
      </c>
      <c r="B220">
        <v>0.03434136340338288</v>
      </c>
      <c r="C220" t="s">
        <v>9</v>
      </c>
      <c r="E220" t="s">
        <v>5</v>
      </c>
      <c r="F220" t="s">
        <v>27</v>
      </c>
      <c r="G220" t="s">
        <v>167</v>
      </c>
      <c r="H220">
        <f t="shared" si="2"/>
        <v>2.4561059190031155E-3</v>
      </c>
    </row>
    <row r="221" spans="1:8" x14ac:dyDescent="0.2">
      <c r="A221" t="s">
        <v>136</v>
      </c>
      <c r="B221">
        <v>0.2860071758072783</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0.010763710917478214</v>
      </c>
      <c r="C223" t="s">
        <v>9</v>
      </c>
      <c r="E223" t="s">
        <v>48</v>
      </c>
      <c r="F223" t="s">
        <v>27</v>
      </c>
      <c r="G223" t="s">
        <v>139</v>
      </c>
      <c r="H223">
        <f t="shared" si="2"/>
        <v>3.3583489096573214E-3</v>
      </c>
    </row>
    <row r="224" spans="1:8" x14ac:dyDescent="0.2">
      <c r="A224" t="s">
        <v>120</v>
      </c>
      <c r="B224">
        <v>0.5197334700153767</v>
      </c>
      <c r="C224" t="s">
        <v>9</v>
      </c>
      <c r="E224" t="s">
        <v>5</v>
      </c>
      <c r="F224" t="s">
        <v>27</v>
      </c>
      <c r="G224" t="s">
        <v>111</v>
      </c>
      <c r="H224">
        <f t="shared" si="2"/>
        <v>3.2831619937694706E-2</v>
      </c>
    </row>
    <row r="225" spans="1:8" x14ac:dyDescent="0.2">
      <c r="A225" t="s">
        <v>87</v>
      </c>
      <c r="B225" t="n">
        <v>2.0</v>
      </c>
      <c r="C225" t="s">
        <v>88</v>
      </c>
      <c r="E225" t="s">
        <v>63</v>
      </c>
      <c r="F225" t="s">
        <v>27</v>
      </c>
      <c r="G225" t="s">
        <v>89</v>
      </c>
      <c r="H225" t="inlineStr">
        <is>
          <t>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=B$279*B225; previous cached value = 0.010024922118380063.</t>
        </is>
      </c>
    </row>
    <row r="226" spans="1:8" x14ac:dyDescent="0.2">
      <c r="A226" t="s">
        <v>90</v>
      </c>
      <c r="B226">
        <v>0.1</v>
      </c>
      <c r="C226" t="s">
        <v>88</v>
      </c>
      <c r="E226" t="s">
        <v>48</v>
      </c>
      <c r="F226" t="s">
        <v>27</v>
      </c>
      <c r="G226" t="s">
        <v>91</v>
      </c>
      <c r="H226">
        <f t="shared" si="2"/>
        <v>5.0124610591900315E-3</v>
      </c>
    </row>
    <row r="227" spans="1:8" x14ac:dyDescent="0.2">
      <c r="A227" t="s">
        <v>121</v>
      </c>
      <c r="B227">
        <f>0</f>
        <v>0</v>
      </c>
      <c r="C227" t="s">
        <v>9</v>
      </c>
      <c r="E227" t="s">
        <v>63</v>
      </c>
      <c r="F227" t="s">
        <v>27</v>
      </c>
      <c r="G227" t="s">
        <v>122</v>
      </c>
      <c r="H227">
        <f t="shared" si="2"/>
        <v>-9.7742990654205615E-3</v>
      </c>
    </row>
    <row r="228">
      <c r="A228" t="inlineStr">
        <is>
          <t>market for copper, cathode</t>
        </is>
      </c>
      <c r="B228">
        <v>0.14915427985648386</v>
      </c>
      <c r="C228" t="inlineStr">
        <is>
          <t>kilogram</t>
        </is>
      </c>
      <c r="E228" t="inlineStr">
        <is>
          <t>GLO</t>
        </is>
      </c>
      <c r="F228" t="inlineStr">
        <is>
          <t>technosphere</t>
        </is>
      </c>
      <c r="G228" t="inlineStr">
        <is>
          <t>copper, cathode</t>
        </is>
      </c>
      <c r="H228" t="inlineStr">
        <is>
          <t>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29">
      <c r="A229" t="inlineStr">
        <is>
          <t>market for polypropylene, granulate</t>
        </is>
      </c>
      <c r="B229">
        <v>0.010763710917478214</v>
      </c>
      <c r="C229" t="inlineStr">
        <is>
          <t>kilogram</t>
        </is>
      </c>
      <c r="E229" t="inlineStr">
        <is>
          <t>GLO</t>
        </is>
      </c>
      <c r="F229" t="inlineStr">
        <is>
          <t>technosphere</t>
        </is>
      </c>
      <c r="G229" t="inlineStr">
        <is>
          <t>polypropylene, granulate</t>
        </is>
      </c>
      <c r="H229" t="inlineStr">
        <is>
          <t>S3 spacer material: PP engineering proxy; retained mass.</t>
        </is>
      </c>
    </row>
    <row r="230" spans="1:8" ht="16" x14ac:dyDescent="0.2">
      <c r="A230" s="2" t="s">
        <v>2</v>
      </c>
      <c r="B230" s="2" t="s">
        <v>140</v>
      </c>
    </row>
    <row r="231" spans="1:8" x14ac:dyDescent="0.2">
      <c r="A231" t="s">
        <v>3</v>
      </c>
      <c r="B231"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SOURCE NOTES:
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is>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0.9239752690634303</v>
      </c>
      <c r="C241" t="s">
        <v>9</v>
      </c>
      <c r="E241" t="s">
        <v>110</v>
      </c>
      <c r="F241" t="s">
        <v>27</v>
      </c>
      <c r="G241" t="s">
        <v>109</v>
      </c>
      <c r="H241" s="6">
        <f t="shared" ref="H241:H247" si="3">B241*B$280</f>
        <v>9.2626168224299046E-2</v>
      </c>
    </row>
    <row r="242" spans="1:8" x14ac:dyDescent="0.2">
      <c r="A242" t="s">
        <v>85</v>
      </c>
      <c r="B242" s="3" t="n">
        <v>2.87e-11</v>
      </c>
      <c r="C242" t="s">
        <v>8</v>
      </c>
      <c r="E242" t="s">
        <v>5</v>
      </c>
      <c r="F242" t="s">
        <v>27</v>
      </c>
      <c r="G242" t="s">
        <v>86</v>
      </c>
      <c r="H242" s="6" t="inlineStr">
        <is>
          <t>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EXCHANGE COMMENT (historical calculation only, not a model input): =B242*B$280; previous cached value = 3.1212211838006227e-12.</t>
        </is>
      </c>
    </row>
    <row r="243" spans="1:8" x14ac:dyDescent="0.2">
      <c r="A243" t="s">
        <v>142</v>
      </c>
      <c r="B243">
        <v>0.9239752690634303</v>
      </c>
      <c r="C243" t="s">
        <v>9</v>
      </c>
      <c r="E243" t="s">
        <v>5</v>
      </c>
      <c r="F243" t="s">
        <v>27</v>
      </c>
      <c r="G243" t="s">
        <v>143</v>
      </c>
      <c r="H243" s="6">
        <f t="shared" si="3"/>
        <v>0.10093445482866042</v>
      </c>
    </row>
    <row r="244" spans="1:8" x14ac:dyDescent="0.2">
      <c r="A244" t="s">
        <v>144</v>
      </c>
      <c r="B244" s="3">
        <v>0.05541561712846347</v>
      </c>
      <c r="C244" t="s">
        <v>9</v>
      </c>
      <c r="E244" t="s">
        <v>5</v>
      </c>
      <c r="F244" t="s">
        <v>27</v>
      </c>
      <c r="G244" t="s">
        <v>145</v>
      </c>
      <c r="H244" s="6">
        <f t="shared" si="3"/>
        <v>3.5927725856697819E-3</v>
      </c>
    </row>
    <row r="245" spans="1:8" x14ac:dyDescent="0.2">
      <c r="A245" t="s">
        <v>146</v>
      </c>
      <c r="B245">
        <v>0.05541561712846347</v>
      </c>
      <c r="C245" t="s">
        <v>9</v>
      </c>
      <c r="E245" t="s">
        <v>48</v>
      </c>
      <c r="F245" t="s">
        <v>27</v>
      </c>
      <c r="G245" t="s">
        <v>146</v>
      </c>
      <c r="H245" s="6">
        <f t="shared" si="3"/>
        <v>9.8801246105918988E-3</v>
      </c>
    </row>
    <row r="246" spans="1:8" x14ac:dyDescent="0.2">
      <c r="A246" t="s">
        <v>87</v>
      </c>
      <c r="B246" t="n">
        <v>2.0</v>
      </c>
      <c r="C246" t="s">
        <v>88</v>
      </c>
      <c r="E246" t="s">
        <v>63</v>
      </c>
      <c r="F246" t="s">
        <v>27</v>
      </c>
      <c r="G246" t="s">
        <v>89</v>
      </c>
      <c r="H246" s="6" t="inlineStr">
        <is>
          <t>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=B246*B$280; previous cached value = 0.022454828660436136.</t>
        </is>
      </c>
    </row>
    <row r="247" spans="1:8" x14ac:dyDescent="0.2">
      <c r="A247" t="s">
        <v>90</v>
      </c>
      <c r="B247">
        <v>0.1</v>
      </c>
      <c r="C247" t="s">
        <v>88</v>
      </c>
      <c r="E247" t="s">
        <v>48</v>
      </c>
      <c r="F247" t="s">
        <v>27</v>
      </c>
      <c r="G247" t="s">
        <v>91</v>
      </c>
      <c r="H247" s="6">
        <f t="shared" si="3"/>
        <v>1.1227414330218068E-2</v>
      </c>
    </row>
    <row r="248" spans="1:8" x14ac:dyDescent="0.2">
      <c r="A248" t="inlineStr">
        <is>
          <t xml:space="preserve">resistance heating alloy production, nickel-chromium, NiCr80/20</t>
        </is>
      </c>
      <c r="B248">
        <f>0.004579803068468056</f>
        <v>0.004579803068468056</v>
      </c>
      <c r="C248" t="s">
        <v>9</v>
      </c>
      <c r="E248" t="inlineStr">
        <is>
          <t>GLO</t>
        </is>
      </c>
      <c r="F248" t="s">
        <v>27</v>
      </c>
      <c r="G248" t="inlineStr">
        <is>
          <t xml:space="preserve">resistance heating alloy, nickel-chromium, NiCr80/20</t>
        </is>
      </c>
      <c r="H248" s="6">
        <f>B248*B$280</f>
        <v>-8.6451090342679112E-3</v>
      </c>
    </row>
    <row r="249">
      <c r="A249" t="inlineStr">
        <is>
          <t>market for copper, cathode</t>
        </is>
      </c>
      <c r="B249">
        <v>0.016029310739638192</v>
      </c>
      <c r="C249" t="inlineStr">
        <is>
          <t>kilogram</t>
        </is>
      </c>
      <c r="E249" t="inlineStr">
        <is>
          <t>GLO</t>
        </is>
      </c>
      <c r="F249" t="inlineStr">
        <is>
          <t>technosphere</t>
        </is>
      </c>
      <c r="G249" t="inlineStr">
        <is>
          <t>copper, cathode</t>
        </is>
      </c>
      <c r="H249" t="inlineStr">
        <is>
          <t>S3 pack connection copper;100percent retention reference.</t>
        </is>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PREVIOUS NOTES (retained as history; the correction above takes precedence):
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is>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0.5469522240527184</f>
        <v>0.5469522240527184</v>
      </c>
      <c r="C278" t="s">
        <v>9</v>
      </c>
      <c r="E278" t="s">
        <v>5</v>
      </c>
      <c r="F278" t="s">
        <v>27</v>
      </c>
      <c r="G278" t="s">
        <v>270</v>
      </c>
      <c r="H278" t="s">
        <v>269</v>
      </c>
    </row>
    <row r="279" spans="1:8" x14ac:dyDescent="0.2">
      <c r="A279" t="s">
        <v>131</v>
      </c>
      <c r="B279">
        <f>0.05843941890070392</f>
        <v>0.05843941890070392</v>
      </c>
      <c r="C279" t="s">
        <v>9</v>
      </c>
      <c r="E279" t="s">
        <v>48</v>
      </c>
      <c r="F279" t="s">
        <v>27</v>
      </c>
      <c r="G279" t="s">
        <v>132</v>
      </c>
    </row>
    <row r="280" spans="1:8" x14ac:dyDescent="0.2">
      <c r="A280" t="s">
        <v>140</v>
      </c>
      <c r="B280">
        <f>0.13080724876441518</f>
        <v>0.13080724876441518</v>
      </c>
      <c r="C280" t="s">
        <v>9</v>
      </c>
      <c r="E280" t="s">
        <v>48</v>
      </c>
      <c r="F280" t="s">
        <v>27</v>
      </c>
      <c r="G280" t="s">
        <v>141</v>
      </c>
    </row>
    <row r="281" spans="1:8" x14ac:dyDescent="0.2">
      <c r="A281" t="s">
        <v>128</v>
      </c>
      <c r="B281">
        <f>0.16474464579901155</f>
        <v>0.16474464579901155</v>
      </c>
      <c r="C281" t="s">
        <v>9</v>
      </c>
      <c r="E281" t="s">
        <v>48</v>
      </c>
      <c r="F281" t="s">
        <v>27</v>
      </c>
      <c r="G281" t="s">
        <v>127</v>
      </c>
    </row>
    <row r="282" spans="1:8" x14ac:dyDescent="0.2">
      <c r="A282" t="inlineStr">
        <is>
          <t xml:space="preserve">battery central control and protection unit production</t>
        </is>
      </c>
      <c r="B282">
        <f>0.002651932002076728</f>
        <v>0.002651932002076728</v>
      </c>
      <c r="C282" t="inlineStr">
        <is>
          <t>unit</t>
        </is>
      </c>
      <c r="E282" t="inlineStr">
        <is>
          <t>GLO</t>
        </is>
      </c>
      <c r="F282" t="s">
        <v>27</v>
      </c>
      <c r="G282" t="inlineStr">
        <is>
          <t xml:space="preserve">battery central control and protection unit</t>
        </is>
      </c>
    </row>
    <row r="283" spans="1:8" x14ac:dyDescent="0.2">
      <c r="A283" t="inlineStr">
        <is>
          <t xml:space="preserve">battery cooling system production, lithium-oxygen</t>
        </is>
      </c>
      <c r="B283">
        <f>0.08707503369776846</f>
        <v>0.08707503369776846</v>
      </c>
      <c r="C283" t="s">
        <v>9</v>
      </c>
      <c r="E283" t="inlineStr">
        <is>
          <t>GLO</t>
        </is>
      </c>
      <c r="F283" t="s">
        <v>27</v>
      </c>
      <c r="G283" t="inlineStr">
        <is>
          <t xml:space="preserve">battery cooling system, lithium-oxygen</t>
        </is>
      </c>
    </row>
    <row r="284" spans="1:8" ht="16" x14ac:dyDescent="0.2">
      <c r="A284" s="7" t="s">
        <v>147</v>
      </c>
      <c r="B284">
        <f>0</f>
        <v>0</v>
      </c>
      <c r="C284" t="s">
        <v>9</v>
      </c>
      <c r="E284" t="s">
        <v>48</v>
      </c>
      <c r="F284" t="s">
        <v>27</v>
      </c>
      <c r="G284" t="s">
        <v>148</v>
      </c>
      <c r="H284" t="inlineStr">
        <is>
          <t>Disabled duplicate treatment fragment: original formula -1/321 kg waste/kg battery; now zero. The capacity market applies the complete mass through the existing LiO2-specific recycling activity. See activity comment for source and limits.</t>
        </is>
      </c>
    </row>
    <row r="286" spans="1:8" ht="16" x14ac:dyDescent="0.2">
      <c r="A286" s="2" t="s">
        <v>2</v>
      </c>
      <c r="B286" s="2" t="s">
        <v>271</v>
      </c>
    </row>
    <row r="287" spans="1:8" x14ac:dyDescent="0.2">
      <c r="A287" t="s">
        <v>3</v>
      </c>
      <c r="B287"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is>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inlineStr">
        <is>
          <t>Retrieved from Ellingsen et al. (2013). Source: Originally from Wang, F., Deng, Y., &amp; Yuan, C. (2020). Life cycle assessment of lithium oxygen battery for electric vehicles. Journal of Cleaner Production, 264, 121339. https://doi.org/10.1016/j.jclepro.2020.121339 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 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inlineStr">
        <is>
          <t>market for aluminium, wrought alloy</t>
        </is>
      </c>
      <c r="B400" s="3">
        <v>0.12</v>
      </c>
      <c r="C400" t="s">
        <v>9</v>
      </c>
      <c r="E400" t="inlineStr">
        <is>
          <t>GLO</t>
        </is>
      </c>
      <c r="F400" t="s">
        <v>27</v>
      </c>
      <c r="G400" t="inlineStr">
        <is>
          <t>aluminium, wrought alloy</t>
        </is>
      </c>
      <c r="H400" t="inlineStr">
        <is>
          <t>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inlineStr">
        <is>
          <t>market for copper, cathode</t>
        </is>
      </c>
      <c r="B405" s="3">
        <f>41/1000</f>
        <v>0.041</v>
      </c>
      <c r="C405" t="s">
        <v>9</v>
      </c>
      <c r="E405" t="inlineStr">
        <is>
          <t>GLO</t>
        </is>
      </c>
      <c r="F405" t="s">
        <v>27</v>
      </c>
      <c r="G405" t="inlineStr">
        <is>
          <t>copper, cathode</t>
        </is>
      </c>
      <c r="H405" t="inlineStr">
        <is>
          <t>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t>
        </is>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row r="544">
      <c r="A544" t="inlineStr">
        <is>
          <t>Activity</t>
        </is>
      </c>
      <c r="B544" t="inlineStr">
        <is>
          <t xml:space="preserve">resistance heating alloy production, nickel-chromium, NiCr80/20</t>
        </is>
      </c>
    </row>
    <row r="545">
      <c r="A545" t="inlineStr">
        <is>
          <t>location</t>
        </is>
      </c>
      <c r="B545" t="inlineStr">
        <is>
          <t>GLO</t>
        </is>
      </c>
    </row>
    <row r="546">
      <c r="A546" t="inlineStr">
        <is>
          <t>production amount</t>
        </is>
      </c>
      <c r="B546">
        <v>1</v>
      </c>
    </row>
    <row r="547">
      <c r="A547" t="inlineStr">
        <is>
          <t>reference product</t>
        </is>
      </c>
      <c r="B547" t="inlineStr">
        <is>
          <t xml:space="preserve">resistance heating alloy, nickel-chromium, NiCr80/20</t>
        </is>
      </c>
    </row>
    <row r="548">
      <c r="A548" t="inlineStr">
        <is>
          <t>unit</t>
        </is>
      </c>
      <c r="B548" t="inlineStr">
        <is>
          <t>kilogram</t>
        </is>
      </c>
    </row>
    <row r="549">
      <c r="A549" t="inlineStr">
        <is>
          <t>source</t>
        </is>
      </c>
      <c r="B549" t="inlineStr">
        <is>
          <t>Wang,Deng,Yuan2020 DOI10.1016/j.jclepro.2020.121339, SI TablesS3/S4/S5/S16; Kanthal resistance-wire datasheet https://www.kanthal.com/products/datasheets/material-datasheets/wire/resistance-heating-wire-and-resistance-wire/nikrothal-80/</t>
        </is>
      </c>
    </row>
    <row r="550">
      <c r="A550" t="inlineStr">
        <is>
          <t>comment</t>
        </is>
      </c>
      <c r="B550" t="inlineStr">
        <is>
          <t xml:space="preserve">Nomenclature revision, 2026-10-19. Former activity name: resistance heating alloy, binary NiCr80/20 engineering reference. Former reference product: resistance heating alloy, binary NiCr80/20 engineering reference. Activity/product labels and supplier references only; coefficients, formulas, uncertainty, declared output and unit are unchanged. Original engineering assumptions, functional-unit basis and limitations remain below.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51">
      <c r="A551" t="inlineStr">
        <is>
          <t>Exchanges</t>
        </is>
      </c>
    </row>
    <row r="552">
      <c r="A552" t="inlineStr">
        <is>
          <t>name</t>
        </is>
      </c>
      <c r="B552" t="inlineStr">
        <is>
          <t>amount</t>
        </is>
      </c>
      <c r="C552" t="inlineStr">
        <is>
          <t>location</t>
        </is>
      </c>
      <c r="D552" t="inlineStr">
        <is>
          <t>unit</t>
        </is>
      </c>
      <c r="E552" t="inlineStr">
        <is>
          <t>categories</t>
        </is>
      </c>
      <c r="F552" t="inlineStr">
        <is>
          <t>type</t>
        </is>
      </c>
      <c r="G552" t="inlineStr">
        <is>
          <t>reference product</t>
        </is>
      </c>
      <c r="H552" t="inlineStr">
        <is>
          <t>comment</t>
        </is>
      </c>
    </row>
    <row r="553">
      <c r="A553" t="inlineStr">
        <is>
          <t xml:space="preserve">resistance heating alloy production, nickel-chromium, NiCr80/20</t>
        </is>
      </c>
      <c r="B553">
        <v>1</v>
      </c>
      <c r="C553" t="inlineStr">
        <is>
          <t>GLO</t>
        </is>
      </c>
      <c r="D553" t="inlineStr">
        <is>
          <t>kilogram</t>
        </is>
      </c>
      <c r="F553" t="inlineStr">
        <is>
          <t>production</t>
        </is>
      </c>
      <c r="G553" t="inlineStr">
        <is>
          <t xml:space="preserve">resistance heating alloy, nickel-chromium, NiCr80/20</t>
        </is>
      </c>
    </row>
    <row r="554">
      <c r="A554" t="inlineStr">
        <is>
          <t>market for nickel, class 1</t>
        </is>
      </c>
      <c r="B554">
        <v>0.8</v>
      </c>
      <c r="C554" t="inlineStr">
        <is>
          <t>GLO</t>
        </is>
      </c>
      <c r="D554" t="inlineStr">
        <is>
          <t>kilogram</t>
        </is>
      </c>
      <c r="F554" t="inlineStr">
        <is>
          <t>technosphere</t>
        </is>
      </c>
      <c r="G554" t="inlineStr">
        <is>
          <t>nickel, class 1</t>
        </is>
      </c>
    </row>
    <row r="555">
      <c r="A555" t="inlineStr">
        <is>
          <t>market for chromium</t>
        </is>
      </c>
      <c r="B555">
        <v>0.2</v>
      </c>
      <c r="C555" t="inlineStr">
        <is>
          <t>GLO</t>
        </is>
      </c>
      <c r="D555" t="inlineStr">
        <is>
          <t>kilogram</t>
        </is>
      </c>
      <c r="F555" t="inlineStr">
        <is>
          <t>technosphere</t>
        </is>
      </c>
      <c r="G555" t="inlineStr">
        <is>
          <t>chromium</t>
        </is>
      </c>
    </row>
    <row r="556">
      <c r="A556" t="inlineStr">
        <is>
          <t>metal working, average for metal product manufacturing</t>
        </is>
      </c>
      <c r="B556">
        <v>1</v>
      </c>
      <c r="C556" t="inlineStr">
        <is>
          <t>RER</t>
        </is>
      </c>
      <c r="D556" t="inlineStr">
        <is>
          <t>kilogram</t>
        </is>
      </c>
      <c r="F556" t="inlineStr">
        <is>
          <t>technosphere</t>
        </is>
      </c>
      <c r="G556" t="inlineStr">
        <is>
          <t>metal working, average for metal product manufacturing</t>
        </is>
      </c>
    </row>
    <row r="559">
      <c r="A559" t="inlineStr">
        <is>
          <t>Activity</t>
        </is>
      </c>
      <c r="B559" t="inlineStr">
        <is>
          <t xml:space="preserve">battery cooling system production, lithium-oxygen</t>
        </is>
      </c>
    </row>
    <row r="560">
      <c r="A560" t="inlineStr">
        <is>
          <t>location</t>
        </is>
      </c>
      <c r="B560" t="inlineStr">
        <is>
          <t>GLO</t>
        </is>
      </c>
    </row>
    <row r="561">
      <c r="A561" t="inlineStr">
        <is>
          <t>production amount</t>
        </is>
      </c>
      <c r="B561">
        <v>1</v>
      </c>
    </row>
    <row r="562">
      <c r="A562" t="inlineStr">
        <is>
          <t>reference product</t>
        </is>
      </c>
      <c r="B562" t="inlineStr">
        <is>
          <t xml:space="preserve">battery cooling system, lithium-oxygen</t>
        </is>
      </c>
    </row>
    <row r="563">
      <c r="A563" t="inlineStr">
        <is>
          <t>unit</t>
        </is>
      </c>
      <c r="B563" t="inlineStr">
        <is>
          <t>kilogram</t>
        </is>
      </c>
    </row>
    <row r="564">
      <c r="A564" t="inlineStr">
        <is>
          <t>source</t>
        </is>
      </c>
      <c r="B564" t="inlineStr">
        <is>
          <t>Wang,Deng,Yuan2020 DOI10.1016/j.jclepro.2020.121339, SI TablesS3/S4/S5/S16; Kanthal resistance-wire datasheet https://www.kanthal.com/products/datasheets/material-datasheets/wire/resistance-heating-wire-and-resistance-wire/nikrothal-80/</t>
        </is>
      </c>
    </row>
    <row r="565">
      <c r="A565" t="inlineStr">
        <is>
          <t>comment</t>
        </is>
      </c>
      <c r="B565" t="inlineStr">
        <is>
          <t xml:space="preserve">Nomenclature revision, 2026-10-19. Former activity name: cooling system, Li-O2 S3 engineering reference. Former reference product: cooling system, Li-O2 S3 engineering reference. Activity/product labels and supplier references only; coefficients, formulas, uncertainty, declared output and unit are unchanged. Original engineering assumptions, functional-unit basis and limitations remain below.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66">
      <c r="A566" t="inlineStr">
        <is>
          <t>Exchanges</t>
        </is>
      </c>
    </row>
    <row r="567">
      <c r="A567" t="inlineStr">
        <is>
          <t>name</t>
        </is>
      </c>
      <c r="B567" t="inlineStr">
        <is>
          <t>amount</t>
        </is>
      </c>
      <c r="C567" t="inlineStr">
        <is>
          <t>location</t>
        </is>
      </c>
      <c r="D567" t="inlineStr">
        <is>
          <t>unit</t>
        </is>
      </c>
      <c r="E567" t="inlineStr">
        <is>
          <t>categories</t>
        </is>
      </c>
      <c r="F567" t="inlineStr">
        <is>
          <t>type</t>
        </is>
      </c>
      <c r="G567" t="inlineStr">
        <is>
          <t>reference product</t>
        </is>
      </c>
      <c r="H567" t="inlineStr">
        <is>
          <t>comment</t>
        </is>
      </c>
    </row>
    <row r="568">
      <c r="A568" t="inlineStr">
        <is>
          <t xml:space="preserve">battery cooling system production, lithium-oxygen</t>
        </is>
      </c>
      <c r="B568">
        <v>1</v>
      </c>
      <c r="C568" t="inlineStr">
        <is>
          <t>GLO</t>
        </is>
      </c>
      <c r="D568" t="inlineStr">
        <is>
          <t>kilogram</t>
        </is>
      </c>
      <c r="F568" t="inlineStr">
        <is>
          <t>production</t>
        </is>
      </c>
      <c r="G568" t="inlineStr">
        <is>
          <t xml:space="preserve">battery cooling system, lithium-oxygen</t>
        </is>
      </c>
    </row>
    <row r="569">
      <c r="A569" t="inlineStr">
        <is>
          <t>market for aluminium, wrought alloy</t>
        </is>
      </c>
      <c r="B569">
        <v>0.24079807361541108</v>
      </c>
      <c r="C569" t="inlineStr">
        <is>
          <t>GLO</t>
        </is>
      </c>
      <c r="D569" t="inlineStr">
        <is>
          <t>kilogram</t>
        </is>
      </c>
      <c r="F569" t="inlineStr">
        <is>
          <t>technosphere</t>
        </is>
      </c>
      <c r="G569" t="inlineStr">
        <is>
          <t>aluminium, wrought alloy</t>
        </is>
      </c>
    </row>
    <row r="570">
      <c r="A570" t="inlineStr">
        <is>
          <t>ethylene glycol production</t>
        </is>
      </c>
      <c r="B570">
        <v>0.7592019263845889</v>
      </c>
      <c r="C570" t="inlineStr">
        <is>
          <t>RER</t>
        </is>
      </c>
      <c r="D570" t="inlineStr">
        <is>
          <t>kilogram</t>
        </is>
      </c>
      <c r="F570" t="inlineStr">
        <is>
          <t>technosphere</t>
        </is>
      </c>
      <c r="G570" t="inlineStr">
        <is>
          <t>ethylene glycol</t>
        </is>
      </c>
    </row>
    <row r="571">
      <c r="A571" t="inlineStr">
        <is>
          <t>metal working, average for aluminium product manufacturing</t>
        </is>
      </c>
      <c r="B571">
        <v>0.24079807361541108</v>
      </c>
      <c r="C571" t="inlineStr">
        <is>
          <t>RER</t>
        </is>
      </c>
      <c r="D571" t="inlineStr">
        <is>
          <t>kilogram</t>
        </is>
      </c>
      <c r="F571" t="inlineStr">
        <is>
          <t>technosphere</t>
        </is>
      </c>
      <c r="G571" t="inlineStr">
        <is>
          <t>metal working, average for aluminium product manufacturing</t>
        </is>
      </c>
    </row>
    <row r="574">
      <c r="A574" t="inlineStr">
        <is>
          <t>Activity</t>
        </is>
      </c>
      <c r="B574" t="inlineStr">
        <is>
          <t xml:space="preserve">battery pack production, lithium-oxygen, without auxiliaries</t>
        </is>
      </c>
    </row>
    <row r="575">
      <c r="A575" t="inlineStr">
        <is>
          <t>location</t>
        </is>
      </c>
      <c r="B575" t="inlineStr">
        <is>
          <t>GLO</t>
        </is>
      </c>
    </row>
    <row r="576">
      <c r="A576" t="inlineStr">
        <is>
          <t>production amount</t>
        </is>
      </c>
      <c r="B576">
        <v>1</v>
      </c>
    </row>
    <row r="577">
      <c r="A577" t="inlineStr">
        <is>
          <t>reference product</t>
        </is>
      </c>
      <c r="B577" t="inlineStr">
        <is>
          <t xml:space="preserve">battery pack, lithium-oxygen, without auxiliaries</t>
        </is>
      </c>
    </row>
    <row r="578">
      <c r="A578" t="inlineStr">
        <is>
          <t>unit</t>
        </is>
      </c>
      <c r="B578" t="inlineStr">
        <is>
          <t>kilogram</t>
        </is>
      </c>
    </row>
    <row r="579">
      <c r="A579" t="inlineStr">
        <is>
          <t>source</t>
        </is>
      </c>
      <c r="B579" t="inlineStr">
        <is>
          <t>Wang,Deng,Yuan2020 DOI10.1016/j.jclepro.2020.121339, SI TablesS3/S4/S5/S16; Kanthal resistance-wire datasheet https://www.kanthal.com/products/datasheets/material-datasheets/wire/resistance-heating-wire-and-resistance-wire/nikrothal-80/</t>
        </is>
      </c>
    </row>
    <row r="580">
      <c r="A580" t="inlineStr">
        <is>
          <t>comment</t>
        </is>
      </c>
      <c r="B580" t="inlineStr">
        <is>
          <t xml:space="preserve">Nomenclature revision, 2026-10-19. Former activity name: market for battery hardware, Li-oxygen, engineering reference. Former reference product: battery hardware, Li-oxygen, engineering reference. Activity/product labels and supplier references only; coefficients, formulas, uncertainty, declared output and unit are unchanged. Original engineering assumptions, functional-unit basis and limitations remain below.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81">
      <c r="A581" t="inlineStr">
        <is>
          <t>Exchanges</t>
        </is>
      </c>
    </row>
    <row r="582">
      <c r="A582" t="inlineStr">
        <is>
          <t>name</t>
        </is>
      </c>
      <c r="B582" t="inlineStr">
        <is>
          <t>amount</t>
        </is>
      </c>
      <c r="C582" t="inlineStr">
        <is>
          <t>location</t>
        </is>
      </c>
      <c r="D582" t="inlineStr">
        <is>
          <t>unit</t>
        </is>
      </c>
      <c r="E582" t="inlineStr">
        <is>
          <t>categories</t>
        </is>
      </c>
      <c r="F582" t="inlineStr">
        <is>
          <t>type</t>
        </is>
      </c>
      <c r="G582" t="inlineStr">
        <is>
          <t>reference product</t>
        </is>
      </c>
      <c r="H582" t="inlineStr">
        <is>
          <t>comment</t>
        </is>
      </c>
    </row>
    <row r="583">
      <c r="A583" t="inlineStr">
        <is>
          <t xml:space="preserve">battery pack production, lithium-oxygen, without auxiliaries</t>
        </is>
      </c>
      <c r="B583">
        <v>1</v>
      </c>
      <c r="C583" t="inlineStr">
        <is>
          <t>GLO</t>
        </is>
      </c>
      <c r="D583" t="inlineStr">
        <is>
          <t>kilogram</t>
        </is>
      </c>
      <c r="F583" t="inlineStr">
        <is>
          <t>production</t>
        </is>
      </c>
      <c r="G583" t="inlineStr">
        <is>
          <t xml:space="preserve">battery pack, lithium-oxygen, without auxiliaries</t>
        </is>
      </c>
    </row>
    <row r="584">
      <c r="A584" t="inlineStr">
        <is>
          <t>battery cell production, Li-O2</t>
        </is>
      </c>
      <c r="B584">
        <v>0.7429408414028806</v>
      </c>
      <c r="C584" t="inlineStr">
        <is>
          <t>GLO</t>
        </is>
      </c>
      <c r="D584" t="inlineStr">
        <is>
          <t>kilogram</t>
        </is>
      </c>
      <c r="F584" t="inlineStr">
        <is>
          <t>technosphere</t>
        </is>
      </c>
      <c r="G584" t="inlineStr">
        <is>
          <t>battery cell</t>
        </is>
      </c>
    </row>
    <row r="585">
      <c r="A585" t="inlineStr">
        <is>
          <t>module packaging, for Li-O2 battery</t>
        </is>
      </c>
      <c r="B585">
        <v>0.07937993327365939</v>
      </c>
      <c r="C585" t="inlineStr">
        <is>
          <t>RER</t>
        </is>
      </c>
      <c r="D585" t="inlineStr">
        <is>
          <t>kilogram</t>
        </is>
      </c>
      <c r="F585" t="inlineStr">
        <is>
          <t>technosphere</t>
        </is>
      </c>
      <c r="G585" t="inlineStr">
        <is>
          <t>module packaging</t>
        </is>
      </c>
    </row>
    <row r="586">
      <c r="A586" t="inlineStr">
        <is>
          <t>pack packaging, for Li-O2 battery</t>
        </is>
      </c>
      <c r="B586">
        <v>0.17767922532346003</v>
      </c>
      <c r="C586" t="inlineStr">
        <is>
          <t>RER</t>
        </is>
      </c>
      <c r="D586" t="inlineStr">
        <is>
          <t>kilogram</t>
        </is>
      </c>
      <c r="F586" t="inlineStr">
        <is>
          <t>technosphere</t>
        </is>
      </c>
      <c r="G586" t="inlineStr">
        <is>
          <t>pack packaging</t>
        </is>
      </c>
    </row>
    <row r="589">
      <c r="A589" t="inlineStr">
        <is>
          <t>Activity</t>
        </is>
      </c>
      <c r="B589" t="inlineStr">
        <is>
          <t xml:space="preserve">battery auxiliaries supply and end-of-life treatment, lithium-oxygen</t>
        </is>
      </c>
    </row>
    <row r="590">
      <c r="A590" t="inlineStr">
        <is>
          <t>location</t>
        </is>
      </c>
      <c r="B590" t="inlineStr">
        <is>
          <t>GLO</t>
        </is>
      </c>
    </row>
    <row r="591">
      <c r="A591" t="inlineStr">
        <is>
          <t>production amount</t>
        </is>
      </c>
      <c r="B591">
        <v>1</v>
      </c>
    </row>
    <row r="592">
      <c r="A592" t="inlineStr">
        <is>
          <t>reference product</t>
        </is>
      </c>
      <c r="B592" t="inlineStr">
        <is>
          <t xml:space="preserve">battery auxiliaries supply and end-of-life treatment, lithium-oxygen</t>
        </is>
      </c>
    </row>
    <row r="593">
      <c r="A593" t="inlineStr">
        <is>
          <t>unit</t>
        </is>
      </c>
      <c r="B593" t="inlineStr">
        <is>
          <t>unit</t>
        </is>
      </c>
    </row>
    <row r="594">
      <c r="A594" t="inlineStr">
        <is>
          <t>source</t>
        </is>
      </c>
      <c r="B594" t="inlineStr">
        <is>
          <t>Wang,Deng,Yuan2020 DOI10.1016/j.jclepro.2020.121339, SI TablesS3/S4/S5/S16; Kanthal resistance-wire datasheet https://www.kanthal.com/products/datasheets/material-datasheets/wire/resistance-heating-wire-and-resistance-wire/nikrothal-80/</t>
        </is>
      </c>
    </row>
    <row r="595">
      <c r="A595" t="inlineStr">
        <is>
          <t>comment</t>
        </is>
      </c>
      <c r="B595" t="inlineStr">
        <is>
          <t xml:space="preserve">Nomenclature revision, 2026-10-19. Former activity name: battery auxiliary lifecycle, Li-O2 engineering reference. Former reference product: battery auxiliary lifecycle, Li-O2 engineering reference. Activity/product labels and supplier references only; coefficients, formulas, uncertainty, declared output and unit are unchanged. Original engineering assumptions, functional-unit basis and limitations remain below.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96">
      <c r="A596" t="inlineStr">
        <is>
          <t>Exchanges</t>
        </is>
      </c>
    </row>
    <row r="597">
      <c r="A597" t="inlineStr">
        <is>
          <t>name</t>
        </is>
      </c>
      <c r="B597" t="inlineStr">
        <is>
          <t>amount</t>
        </is>
      </c>
      <c r="C597" t="inlineStr">
        <is>
          <t>location</t>
        </is>
      </c>
      <c r="D597" t="inlineStr">
        <is>
          <t>unit</t>
        </is>
      </c>
      <c r="E597" t="inlineStr">
        <is>
          <t>categories</t>
        </is>
      </c>
      <c r="F597" t="inlineStr">
        <is>
          <t>type</t>
        </is>
      </c>
      <c r="G597" t="inlineStr">
        <is>
          <t>reference product</t>
        </is>
      </c>
      <c r="H597" t="inlineStr">
        <is>
          <t>comment</t>
        </is>
      </c>
    </row>
    <row r="598">
      <c r="A598" t="inlineStr">
        <is>
          <t xml:space="preserve">battery auxiliaries supply and end-of-life treatment, lithium-oxygen</t>
        </is>
      </c>
      <c r="B598">
        <v>1</v>
      </c>
      <c r="C598" t="inlineStr">
        <is>
          <t>GLO</t>
        </is>
      </c>
      <c r="D598" t="inlineStr">
        <is>
          <t>unit</t>
        </is>
      </c>
      <c r="F598" t="inlineStr">
        <is>
          <t>production</t>
        </is>
      </c>
      <c r="G598" t="inlineStr">
        <is>
          <t xml:space="preserve">battery auxiliaries supply and end-of-life treatment, lithium-oxygen</t>
        </is>
      </c>
    </row>
    <row r="599">
      <c r="A599" t="inlineStr">
        <is>
          <t>oxygen tank production, for Li-O2 battery</t>
        </is>
      </c>
      <c r="B599">
        <v>55</v>
      </c>
      <c r="C599" t="inlineStr">
        <is>
          <t>RER</t>
        </is>
      </c>
      <c r="D599" t="inlineStr">
        <is>
          <t>kilogram</t>
        </is>
      </c>
      <c r="F599" t="inlineStr">
        <is>
          <t>technosphere</t>
        </is>
      </c>
      <c r="G599" t="inlineStr">
        <is>
          <t>oxygen tank</t>
        </is>
      </c>
    </row>
    <row r="600">
      <c r="A600" t="inlineStr">
        <is>
          <t xml:space="preserve">battery central control and protection unit production</t>
        </is>
      </c>
      <c r="B600">
        <v>0.8853474988933157</v>
      </c>
      <c r="C600" t="inlineStr">
        <is>
          <t>GLO</t>
        </is>
      </c>
      <c r="D600" t="inlineStr">
        <is>
          <t>unit</t>
        </is>
      </c>
      <c r="F600" t="inlineStr">
        <is>
          <t>technosphere</t>
        </is>
      </c>
      <c r="G600" t="inlineStr">
        <is>
          <t xml:space="preserve">battery central control and protection unit</t>
        </is>
      </c>
    </row>
    <row r="601">
      <c r="A601" t="inlineStr">
        <is>
          <t xml:space="preserve">battery cooling system production, lithium-oxygen</t>
        </is>
      </c>
      <c r="B601">
        <v>29.07</v>
      </c>
      <c r="C601" t="inlineStr">
        <is>
          <t>GLO</t>
        </is>
      </c>
      <c r="D601" t="inlineStr">
        <is>
          <t>kilogram</t>
        </is>
      </c>
      <c r="F601" t="inlineStr">
        <is>
          <t>technosphere</t>
        </is>
      </c>
      <c r="G601" t="inlineStr">
        <is>
          <t xml:space="preserve">battery cooling system, lithium-oxygen</t>
        </is>
      </c>
    </row>
    <row r="602">
      <c r="A602" t="inlineStr">
        <is>
          <t>treatment of LiO2 battery, for recycling</t>
        </is>
      </c>
      <c r="B602">
        <v>-88.07</v>
      </c>
      <c r="C602" t="inlineStr">
        <is>
          <t>RER</t>
        </is>
      </c>
      <c r="D602" t="inlineStr">
        <is>
          <t>kilogram</t>
        </is>
      </c>
      <c r="F602" t="inlineStr">
        <is>
          <t>technosphere</t>
        </is>
      </c>
      <c r="G602" t="inlineStr">
        <is>
          <t>waste LiO2 battery</t>
        </is>
      </c>
    </row>
    <row r="605">
      <c r="A605" t="inlineStr">
        <is>
          <t>Activity</t>
        </is>
      </c>
      <c r="B605" t="inlineStr">
        <is>
          <t xml:space="preserve">market for battery cell, Li-ion, Li-O2, including end-of-life treatment</t>
        </is>
      </c>
    </row>
    <row r="606">
      <c r="A606" t="inlineStr">
        <is>
          <t>location</t>
        </is>
      </c>
      <c r="B606" t="inlineStr">
        <is>
          <t>GLO</t>
        </is>
      </c>
    </row>
    <row r="607">
      <c r="A607" t="inlineStr">
        <is>
          <t>production amount</t>
        </is>
      </c>
      <c r="B607">
        <v>1</v>
      </c>
    </row>
    <row r="608">
      <c r="A608" t="inlineStr">
        <is>
          <t>reference product</t>
        </is>
      </c>
      <c r="B608" t="inlineStr">
        <is>
          <t xml:space="preserve">battery cell, Li-ion, Li-O2, including end-of-life treatment</t>
        </is>
      </c>
    </row>
    <row r="609">
      <c r="A609" t="inlineStr">
        <is>
          <t>unit</t>
        </is>
      </c>
      <c r="B609" t="inlineStr">
        <is>
          <t>kilogram</t>
        </is>
      </c>
    </row>
    <row r="610">
      <c r="A610" t="inlineStr">
        <is>
          <t>source</t>
        </is>
      </c>
      <c r="B610"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611">
      <c r="A611" t="inlineStr">
        <is>
          <t>comment</t>
        </is>
      </c>
      <c r="B611" t="inlineStr">
        <is>
          <t xml:space="preserve">Nomenclature revision, 2026-10-19. Former activity name: market for battery cells, Li-ion, Li-O2, density-scaled reference. Former reference product: market for battery cells, Li-ion, Li-O2, density-scaled reference. Activity/product labels and supplier references only; coefficients, formulas, uncertainty, declared output and unit are unchanged. Original engineering assumptions, functional-unit basis and limitations remain below.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612">
      <c r="A612" t="inlineStr">
        <is>
          <t>Exchanges</t>
        </is>
      </c>
    </row>
    <row r="613">
      <c r="A613" t="inlineStr">
        <is>
          <t>name</t>
        </is>
      </c>
      <c r="B613" t="inlineStr">
        <is>
          <t>amount</t>
        </is>
      </c>
      <c r="C613" t="inlineStr">
        <is>
          <t>location</t>
        </is>
      </c>
      <c r="D613" t="inlineStr">
        <is>
          <t>unit</t>
        </is>
      </c>
      <c r="E613" t="inlineStr">
        <is>
          <t>categories</t>
        </is>
      </c>
      <c r="F613" t="inlineStr">
        <is>
          <t>type</t>
        </is>
      </c>
      <c r="G613" t="inlineStr">
        <is>
          <t>reference product</t>
        </is>
      </c>
      <c r="H613" t="inlineStr">
        <is>
          <t>comment</t>
        </is>
      </c>
      <c r="I613" t="inlineStr">
        <is>
          <t>product</t>
        </is>
      </c>
    </row>
    <row r="614">
      <c r="A614" t="inlineStr">
        <is>
          <t xml:space="preserve">market for battery cell, Li-ion, Li-O2, including end-of-life treatment</t>
        </is>
      </c>
      <c r="B614">
        <v>1</v>
      </c>
      <c r="C614" t="inlineStr">
        <is>
          <t>GLO</t>
        </is>
      </c>
      <c r="D614" t="inlineStr">
        <is>
          <t>kilogram</t>
        </is>
      </c>
      <c r="F614" t="inlineStr">
        <is>
          <t>production</t>
        </is>
      </c>
      <c r="G614" t="inlineStr">
        <is>
          <t xml:space="preserve">battery cell, Li-ion, Li-O2, including end-of-life treatment</t>
        </is>
      </c>
      <c r="I614" t="inlineStr">
        <is>
          <t xml:space="preserve">battery cell, Li-ion, Li-O2, including end-of-life treatment</t>
        </is>
      </c>
    </row>
    <row r="615">
      <c r="A615" t="inlineStr">
        <is>
          <t>battery cell production, Li-O2</t>
        </is>
      </c>
      <c r="B615">
        <v>1</v>
      </c>
      <c r="C615" t="inlineStr">
        <is>
          <t>GLO</t>
        </is>
      </c>
      <c r="D615" t="inlineStr">
        <is>
          <t>kilogram</t>
        </is>
      </c>
      <c r="F615" t="inlineStr">
        <is>
          <t>technosphere</t>
        </is>
      </c>
      <c r="G615" t="inlineStr">
        <is>
          <t>battery cell</t>
        </is>
      </c>
      <c r="I615" t="inlineStr">
        <is>
          <t>battery cell</t>
        </is>
      </c>
    </row>
    <row r="616">
      <c r="A616" t="inlineStr">
        <is>
          <t>treatment of LiO2 battery, for recycling</t>
        </is>
      </c>
      <c r="B616">
        <v>-1</v>
      </c>
      <c r="C616" t="inlineStr">
        <is>
          <t>RER</t>
        </is>
      </c>
      <c r="D616" t="inlineStr">
        <is>
          <t>kilogram</t>
        </is>
      </c>
      <c r="F616" t="inlineStr">
        <is>
          <t>technosphere</t>
        </is>
      </c>
      <c r="G616" t="inlineStr">
        <is>
          <t>waste LiO2 battery</t>
        </is>
      </c>
      <c r="I616" t="inlineStr">
        <is>
          <t>waste LiO2 battery</t>
        </is>
      </c>
    </row>
    <row r="619">
      <c r="A619" t="inlineStr">
        <is>
          <t>Activity</t>
        </is>
      </c>
      <c r="B619" t="inlineStr">
        <is>
          <t xml:space="preserve">battery pack component production and end-of-life treatment, Li-ion, Li-O2, without cells and controls</t>
        </is>
      </c>
    </row>
    <row r="620">
      <c r="A620" t="inlineStr">
        <is>
          <t>location</t>
        </is>
      </c>
      <c r="B620" t="inlineStr">
        <is>
          <t>GLO</t>
        </is>
      </c>
    </row>
    <row r="621">
      <c r="A621" t="inlineStr">
        <is>
          <t>production amount</t>
        </is>
      </c>
      <c r="B621">
        <v>1</v>
      </c>
    </row>
    <row r="622">
      <c r="A622" t="inlineStr">
        <is>
          <t>reference product</t>
        </is>
      </c>
      <c r="B622" t="inlineStr">
        <is>
          <t xml:space="preserve">battery pack components, Li-ion, Li-O2, without cells and controls</t>
        </is>
      </c>
    </row>
    <row r="623">
      <c r="A623" t="inlineStr">
        <is>
          <t>unit</t>
        </is>
      </c>
      <c r="B623" t="inlineStr">
        <is>
          <t>unit</t>
        </is>
      </c>
    </row>
    <row r="624">
      <c r="A624" t="inlineStr">
        <is>
          <t>source</t>
        </is>
      </c>
      <c r="B624"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625">
      <c r="A625" t="inlineStr">
        <is>
          <t>comment</t>
        </is>
      </c>
      <c r="B625" t="inlineStr">
        <is>
          <t xml:space="preserve">Nomenclature revision, 2026-10-19. Former activity name: battery fixed noncell hardware, Li-ion, Li-O2, baseline-kWh reference. Former reference product: battery fixed noncell hardware, Li-ion, Li-O2, baseline-kWh reference. Activity/product labels and supplier references only; coefficients, formulas, uncertainty, declared output and unit are unchanged. Original engineering assumptions, functional-unit basis and limitations remain below.
The reference remains the non-cell component package attributed to one baseline nominal kWh, not one complete physical battery pack.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626">
      <c r="A626" t="inlineStr">
        <is>
          <t>Exchanges</t>
        </is>
      </c>
    </row>
    <row r="627">
      <c r="A627" t="inlineStr">
        <is>
          <t>name</t>
        </is>
      </c>
      <c r="B627" t="inlineStr">
        <is>
          <t>amount</t>
        </is>
      </c>
      <c r="C627" t="inlineStr">
        <is>
          <t>location</t>
        </is>
      </c>
      <c r="D627" t="inlineStr">
        <is>
          <t>unit</t>
        </is>
      </c>
      <c r="E627" t="inlineStr">
        <is>
          <t>categories</t>
        </is>
      </c>
      <c r="F627" t="inlineStr">
        <is>
          <t>type</t>
        </is>
      </c>
      <c r="G627" t="inlineStr">
        <is>
          <t>reference product</t>
        </is>
      </c>
      <c r="H627" t="inlineStr">
        <is>
          <t>comment</t>
        </is>
      </c>
      <c r="I627" t="inlineStr">
        <is>
          <t>product</t>
        </is>
      </c>
    </row>
    <row r="628">
      <c r="A628" t="inlineStr">
        <is>
          <t xml:space="preserve">battery pack component production and end-of-life treatment, Li-ion, Li-O2, without cells and controls</t>
        </is>
      </c>
      <c r="B628">
        <v>1</v>
      </c>
      <c r="C628" t="inlineStr">
        <is>
          <t>GLO</t>
        </is>
      </c>
      <c r="D628" t="inlineStr">
        <is>
          <t>unit</t>
        </is>
      </c>
      <c r="F628" t="inlineStr">
        <is>
          <t>production</t>
        </is>
      </c>
      <c r="G628" t="inlineStr">
        <is>
          <t xml:space="preserve">battery pack components, Li-ion, Li-O2, without cells and controls</t>
        </is>
      </c>
      <c r="I628" t="inlineStr">
        <is>
          <t xml:space="preserve">battery pack components, Li-ion, Li-O2, without cells and controls</t>
        </is>
      </c>
    </row>
    <row r="629">
      <c r="A629" t="inlineStr">
        <is>
          <t>module packaging, for Li-O2 battery</t>
        </is>
      </c>
      <c r="B629">
        <v>0.307244094488189</v>
      </c>
      <c r="C629" t="inlineStr">
        <is>
          <t>RER</t>
        </is>
      </c>
      <c r="D629" t="inlineStr">
        <is>
          <t>kilogram</t>
        </is>
      </c>
      <c r="F629" t="inlineStr">
        <is>
          <t>technosphere</t>
        </is>
      </c>
      <c r="G629" t="inlineStr">
        <is>
          <t>module packaging</t>
        </is>
      </c>
      <c r="I629" t="inlineStr">
        <is>
          <t>module packaging</t>
        </is>
      </c>
    </row>
    <row r="630">
      <c r="A630" t="inlineStr">
        <is>
          <t>pack packaging, for Li-O2 battery</t>
        </is>
      </c>
      <c r="B630">
        <v>0.6877165354330709</v>
      </c>
      <c r="C630" t="inlineStr">
        <is>
          <t>RER</t>
        </is>
      </c>
      <c r="D630" t="inlineStr">
        <is>
          <t>kilogram</t>
        </is>
      </c>
      <c r="F630" t="inlineStr">
        <is>
          <t>technosphere</t>
        </is>
      </c>
      <c r="G630" t="inlineStr">
        <is>
          <t>pack packaging</t>
        </is>
      </c>
      <c r="I630" t="inlineStr">
        <is>
          <t>pack packaging</t>
        </is>
      </c>
    </row>
    <row r="631">
      <c r="A631" t="inlineStr">
        <is>
          <t>treatment of LiO2 battery, for recycling</t>
        </is>
      </c>
      <c r="B631">
        <v>-0.9949606299212597</v>
      </c>
      <c r="C631" t="inlineStr">
        <is>
          <t>RER</t>
        </is>
      </c>
      <c r="D631" t="inlineStr">
        <is>
          <t>kilogram</t>
        </is>
      </c>
      <c r="F631" t="inlineStr">
        <is>
          <t>technosphere</t>
        </is>
      </c>
      <c r="G631" t="inlineStr">
        <is>
          <t>waste LiO2 battery</t>
        </is>
      </c>
      <c r="I631" t="inlineStr">
        <is>
          <t>waste LiO2 battery</t>
        </is>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