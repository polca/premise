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mc:AlternateContent xmlns:mc="http://schemas.openxmlformats.org/markup-compatibility/2006">
    <mc:Choice Requires="x15">
      <x15ac:absPath xmlns:x15ac="http://schemas.microsoft.com/office/spreadsheetml/2010/11/ac" url="/Users/romain/GitHub/premise/premise/data/additional_inventories/"/>
    </mc:Choice>
  </mc:AlternateContent>
  <xr:revisionPtr revIDLastSave="0" documentId="13_ncr:1_{33A44D40-4903-1D46-8935-660A807501ED}" xr6:coauthVersionLast="47" xr6:coauthVersionMax="47" xr10:uidLastSave="{00000000-0000-0000-0000-000000000000}"/>
  <bookViews>
    <workbookView xWindow="38240" yWindow="-600" windowWidth="25800" windowHeight="18880" xr2:uid="{00000000-000D-0000-FFFF-FFFF00000000}"/>
  </bookViews>
  <sheets>
    <sheet name="Battery - LiO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5" i="1" l="1"/>
  <c r="B164" i="1"/>
  <c r="G296" i="1"/>
  <c r="A295" i="1"/>
  <c r="G295" i="1"/>
  <c r="E295" i="1"/>
  <c r="B279" i="1"/>
  <c r="H216" i="1" s="1"/>
  <c r="B278" i="1"/>
  <c r="B284" i="1"/>
  <c r="B283" i="1"/>
  <c r="H451" i="1" s="1"/>
  <c r="B282" i="1"/>
  <c r="B281" i="1"/>
  <c r="B280" i="1"/>
  <c r="H247" i="1" s="1"/>
  <c r="B313" i="1"/>
  <c r="B201" i="1"/>
  <c r="B112" i="1"/>
  <c r="G534" i="1"/>
  <c r="E534" i="1"/>
  <c r="C534" i="1"/>
  <c r="A534" i="1"/>
  <c r="G516" i="1"/>
  <c r="E516" i="1"/>
  <c r="C516" i="1"/>
  <c r="A516" i="1"/>
  <c r="G499" i="1"/>
  <c r="E499" i="1"/>
  <c r="C499" i="1"/>
  <c r="A499" i="1"/>
  <c r="G482" i="1"/>
  <c r="E482" i="1"/>
  <c r="C482" i="1"/>
  <c r="A482" i="1"/>
  <c r="A465" i="1"/>
  <c r="G465" i="1"/>
  <c r="E465" i="1"/>
  <c r="C465" i="1"/>
  <c r="G445" i="1"/>
  <c r="E445" i="1"/>
  <c r="C445" i="1"/>
  <c r="A445" i="1"/>
  <c r="G427" i="1"/>
  <c r="E427" i="1"/>
  <c r="C427" i="1"/>
  <c r="A427" i="1"/>
  <c r="G398" i="1"/>
  <c r="E398" i="1"/>
  <c r="C398" i="1"/>
  <c r="A398" i="1"/>
  <c r="G381" i="1"/>
  <c r="E381" i="1"/>
  <c r="C381" i="1"/>
  <c r="A381" i="1"/>
  <c r="G356" i="1"/>
  <c r="E356" i="1"/>
  <c r="C356" i="1"/>
  <c r="A356" i="1"/>
  <c r="G338" i="1"/>
  <c r="E338" i="1"/>
  <c r="C338" i="1"/>
  <c r="A338" i="1"/>
  <c r="G311" i="1"/>
  <c r="E311" i="1"/>
  <c r="C311" i="1"/>
  <c r="A311" i="1"/>
  <c r="H183" i="1"/>
  <c r="H184" i="1"/>
  <c r="H185" i="1"/>
  <c r="H186" i="1"/>
  <c r="H187" i="1"/>
  <c r="H182" i="1"/>
  <c r="H162" i="1"/>
  <c r="H163" i="1"/>
  <c r="H165" i="1"/>
  <c r="H166" i="1"/>
  <c r="H167" i="1"/>
  <c r="H168" i="1"/>
  <c r="H159" i="1"/>
  <c r="H222" i="1" l="1"/>
  <c r="H241" i="1"/>
  <c r="H223" i="1"/>
  <c r="H215" i="1"/>
  <c r="H220" i="1"/>
  <c r="H221" i="1"/>
  <c r="H219" i="1"/>
  <c r="H240" i="1"/>
  <c r="H226" i="1"/>
  <c r="H218" i="1"/>
  <c r="H225" i="1"/>
  <c r="H217" i="1"/>
  <c r="H246" i="1"/>
  <c r="H224" i="1"/>
  <c r="H244" i="1"/>
  <c r="H245" i="1"/>
  <c r="H243" i="1"/>
  <c r="H242" i="1"/>
  <c r="G277" i="1"/>
  <c r="E277" i="1"/>
  <c r="G259" i="1" l="1"/>
  <c r="E259" i="1"/>
  <c r="C259" i="1"/>
  <c r="A259" i="1"/>
  <c r="B248" i="1"/>
  <c r="H248" i="1" s="1"/>
  <c r="G239" i="1"/>
  <c r="E239" i="1"/>
  <c r="C239" i="1"/>
  <c r="A239" i="1"/>
  <c r="B227" i="1"/>
  <c r="H227" i="1" s="1"/>
  <c r="G214" i="1"/>
  <c r="E214" i="1"/>
  <c r="C214" i="1"/>
  <c r="A214" i="1"/>
  <c r="G200" i="1"/>
  <c r="E200" i="1"/>
  <c r="C200" i="1"/>
  <c r="A200" i="1"/>
  <c r="B188" i="1"/>
  <c r="H188" i="1" s="1"/>
  <c r="C181" i="1"/>
  <c r="G181" i="1"/>
  <c r="E181" i="1"/>
  <c r="A181" i="1"/>
  <c r="B169" i="1"/>
  <c r="H169" i="1" s="1"/>
  <c r="B161" i="1"/>
  <c r="H161" i="1" s="1"/>
  <c r="B160" i="1"/>
  <c r="H160" i="1" s="1"/>
  <c r="G158" i="1"/>
  <c r="E158" i="1"/>
  <c r="C158" i="1"/>
  <c r="A158" i="1"/>
  <c r="G142" i="1"/>
  <c r="E142" i="1"/>
  <c r="C142" i="1"/>
  <c r="A142" i="1"/>
  <c r="G125" i="1"/>
  <c r="E125" i="1"/>
  <c r="C125" i="1"/>
  <c r="A125" i="1"/>
  <c r="G109" i="1"/>
  <c r="E109" i="1"/>
  <c r="C109" i="1"/>
  <c r="A109" i="1"/>
  <c r="G95" i="1"/>
  <c r="E95" i="1"/>
  <c r="C95" i="1"/>
  <c r="A95" i="1"/>
  <c r="G83" i="1"/>
  <c r="E83" i="1"/>
  <c r="C83" i="1"/>
  <c r="A83" i="1"/>
  <c r="B71" i="1"/>
  <c r="G63" i="1"/>
  <c r="E63" i="1"/>
  <c r="C63" i="1"/>
  <c r="A63" i="1"/>
  <c r="B51" i="1"/>
  <c r="B50" i="1"/>
  <c r="B49" i="1"/>
  <c r="B45" i="1"/>
  <c r="B44" i="1"/>
  <c r="B43" i="1"/>
  <c r="B42" i="1"/>
  <c r="B41" i="1"/>
  <c r="B39" i="1"/>
  <c r="B38" i="1"/>
  <c r="B37" i="1"/>
  <c r="G36" i="1"/>
  <c r="E36" i="1"/>
  <c r="C36" i="1"/>
  <c r="A36" i="1"/>
  <c r="E13" i="1"/>
  <c r="C13" i="1"/>
  <c r="G13" i="1"/>
  <c r="A13" i="1"/>
</calcChain>
</file>

<file path=xl/sharedStrings.xml><?xml version="1.0" encoding="utf-8"?>
<sst xmlns="http://schemas.openxmlformats.org/spreadsheetml/2006/main" count="1709" uniqueCount="281">
  <si>
    <t>Database</t>
  </si>
  <si>
    <t>battery_lithium-oxygen</t>
  </si>
  <si>
    <t>Activity</t>
  </si>
  <si>
    <t>comment</t>
  </si>
  <si>
    <t>location</t>
  </si>
  <si>
    <t>GLO</t>
  </si>
  <si>
    <t>production amount</t>
  </si>
  <si>
    <t>reference product</t>
  </si>
  <si>
    <t>unit</t>
  </si>
  <si>
    <t>kilogram</t>
  </si>
  <si>
    <t>source</t>
  </si>
  <si>
    <t>Exchanges</t>
  </si>
  <si>
    <t>name</t>
  </si>
  <si>
    <t>amount</t>
  </si>
  <si>
    <t>categories</t>
  </si>
  <si>
    <t>type</t>
  </si>
  <si>
    <t>Originally from Wang, F., Deng, Y., &amp; Yuan, C. (2020). Life cycle assessment of lithium oxygen battery for electric vehicles. Journal of Cleaner Production, 264, 121339. https://doi.org/10.1016/j.jclepro.2020.121339</t>
  </si>
  <si>
    <t>battery cell production, Li-O2</t>
  </si>
  <si>
    <t>production</t>
  </si>
  <si>
    <t>CNT production, for Li-O2 battery</t>
  </si>
  <si>
    <t>aluminium current collector production, for Li-O2 battery</t>
  </si>
  <si>
    <t>lithium metal production, for Li-O2 battery</t>
  </si>
  <si>
    <t>copper current collector production, for Li-O2 battery</t>
  </si>
  <si>
    <t>multilayer film production, for Li-O2 battery</t>
  </si>
  <si>
    <t>terminals production, for Li-O2 battery</t>
  </si>
  <si>
    <t>market for polyvinylfluoride</t>
  </si>
  <si>
    <t>market for polyvinylfluoride, dispersion</t>
  </si>
  <si>
    <t>technosphere</t>
  </si>
  <si>
    <t>polyvinylfluoride, dispersion</t>
  </si>
  <si>
    <t>binder</t>
  </si>
  <si>
    <t>TEGDME</t>
  </si>
  <si>
    <t>market for ethylene glycol dimethyl ether</t>
  </si>
  <si>
    <t>ethylene glycol dimethyl ether</t>
  </si>
  <si>
    <t>aluminium current collector</t>
  </si>
  <si>
    <t>lithium metal</t>
  </si>
  <si>
    <t>separator</t>
  </si>
  <si>
    <t>multilayer film</t>
  </si>
  <si>
    <t>terminals</t>
  </si>
  <si>
    <t>copper current collector</t>
  </si>
  <si>
    <t>electrolyte production, for Li-O2 battery</t>
  </si>
  <si>
    <t>electrolyte</t>
  </si>
  <si>
    <t>CNT</t>
  </si>
  <si>
    <t>market for cobalt</t>
  </si>
  <si>
    <t>cobalt</t>
  </si>
  <si>
    <t>market for silica sand</t>
  </si>
  <si>
    <t>silica sand</t>
  </si>
  <si>
    <t>hydrochloric acid, without water, in 30% solution state</t>
  </si>
  <si>
    <t>market for hydrochloric acid, without water, in 30% solution state</t>
  </si>
  <si>
    <t>RER</t>
  </si>
  <si>
    <t>market for carbon monoxide</t>
  </si>
  <si>
    <t>carbon monoxide</t>
  </si>
  <si>
    <t>ethoxylated alcohol (AE3)</t>
  </si>
  <si>
    <t>market for ethoxylated alcohol (AE3)</t>
  </si>
  <si>
    <t>market for molybdenum</t>
  </si>
  <si>
    <t>molybdenum</t>
  </si>
  <si>
    <t>market for monoethanolamine</t>
  </si>
  <si>
    <t>monoethanolamine</t>
  </si>
  <si>
    <t>market for oxygen, liquid</t>
  </si>
  <si>
    <t>oxygen, liquid</t>
  </si>
  <si>
    <t>sodium hydroxide, without water, in 50% solution state</t>
  </si>
  <si>
    <t>market for sodium hydroxide, without water, in 50% solution state</t>
  </si>
  <si>
    <t>market for water, deionised</t>
  </si>
  <si>
    <t>water, deionised</t>
  </si>
  <si>
    <t>Europe without Switzerland</t>
  </si>
  <si>
    <t>market group for electricity, medium voltage</t>
  </si>
  <si>
    <t>electricity, medium voltage</t>
  </si>
  <si>
    <t>kilowatt hour</t>
  </si>
  <si>
    <t>market for heat, district or industrial, natural gas</t>
  </si>
  <si>
    <t>heat, district or industrial, natural gas</t>
  </si>
  <si>
    <t>megajoule</t>
  </si>
  <si>
    <t>market for wastewater, average</t>
  </si>
  <si>
    <t>cubic meter</t>
  </si>
  <si>
    <t>wastewater, average</t>
  </si>
  <si>
    <t>treatment of spent solvent mixture, hazardous waste incineration</t>
  </si>
  <si>
    <t>spent solvent mixture</t>
  </si>
  <si>
    <t>treatment of inert waste, sanitary landfill</t>
  </si>
  <si>
    <t>inert waste</t>
  </si>
  <si>
    <t>market for lithium</t>
  </si>
  <si>
    <t>lithium</t>
  </si>
  <si>
    <t>market for extrusion, plastic film</t>
  </si>
  <si>
    <t>extrusion, plastic film</t>
  </si>
  <si>
    <t>film extrusion process, lithium</t>
  </si>
  <si>
    <t>surface production process, lithium</t>
  </si>
  <si>
    <t>film extrusion, lithium</t>
  </si>
  <si>
    <t>surface production, lithium</t>
  </si>
  <si>
    <t>market for metal working factory</t>
  </si>
  <si>
    <t>metal working factory</t>
  </si>
  <si>
    <t>market for transport, freight train</t>
  </si>
  <si>
    <t>ton kilometer</t>
  </si>
  <si>
    <t>transport, freight train</t>
  </si>
  <si>
    <t>market for transport, freight, lorry 16-32 metric ton, EURO6</t>
  </si>
  <si>
    <t>transport, freight, lorry 16-32 metric ton, EURO6</t>
  </si>
  <si>
    <t>CH</t>
  </si>
  <si>
    <t>market for process-specific burdens, sanitary landfill</t>
  </si>
  <si>
    <t>process-specific burdens, sanitary landfill</t>
  </si>
  <si>
    <t>lithium chloride</t>
  </si>
  <si>
    <t>market for lithium chloride</t>
  </si>
  <si>
    <t>market for sodium perchlorate</t>
  </si>
  <si>
    <t>sodium perchlorate</t>
  </si>
  <si>
    <t>market group for electricity, high voltage</t>
  </si>
  <si>
    <t>electricity, high voltage</t>
  </si>
  <si>
    <t>Solids, inorganic</t>
  </si>
  <si>
    <t>water</t>
  </si>
  <si>
    <t>biosphere</t>
  </si>
  <si>
    <t>market for copper concentrate, sulfide ore</t>
  </si>
  <si>
    <t>copper concentrate, sulfide ore</t>
  </si>
  <si>
    <t>market for sheet rolling, copper</t>
  </si>
  <si>
    <t>sheet rolling, copper</t>
  </si>
  <si>
    <t>market for aluminium, primary, ingot</t>
  </si>
  <si>
    <t>aluminium, primary, ingot</t>
  </si>
  <si>
    <t>IAI Area, EU27 &amp; EFTA</t>
  </si>
  <si>
    <t>sheet rolling, aluminium</t>
  </si>
  <si>
    <t>market for aluminium scrap, new</t>
  </si>
  <si>
    <t>aluminium scrap, new</t>
  </si>
  <si>
    <t>aluminium casting facility construction</t>
  </si>
  <si>
    <t>aluminium casting facility</t>
  </si>
  <si>
    <t>market for copper, cathode</t>
  </si>
  <si>
    <t>copper, cathode</t>
  </si>
  <si>
    <t>market for scrap copper</t>
  </si>
  <si>
    <t>scrap copper</t>
  </si>
  <si>
    <t>market for sheet rolling, aluminium</t>
  </si>
  <si>
    <t>market group for municipal solid waste</t>
  </si>
  <si>
    <t>municipal solid waste</t>
  </si>
  <si>
    <t>market for polypropylene, granulate</t>
  </si>
  <si>
    <t>polypropylene, granulate</t>
  </si>
  <si>
    <t>market for polyethylene terephthalate, granulate, amorphous</t>
  </si>
  <si>
    <t>polyethylene terephthalate, granulate, amorphous</t>
  </si>
  <si>
    <t>oxygen tank</t>
  </si>
  <si>
    <t>oxygen tank production, for Li-O2 battery</t>
  </si>
  <si>
    <t>market for aluminium alloy, AlMg3</t>
  </si>
  <si>
    <t>aluminium alloy, AlMg3</t>
  </si>
  <si>
    <t>module packaging, for Li-O2 battery</t>
  </si>
  <si>
    <t>module packaging</t>
  </si>
  <si>
    <t>wire drawing, copper</t>
  </si>
  <si>
    <t>anodising, aluminium sheet</t>
  </si>
  <si>
    <t>square meter</t>
  </si>
  <si>
    <t>injection moulding</t>
  </si>
  <si>
    <t>plastic processing factory construction</t>
  </si>
  <si>
    <t>plastic processing factory</t>
  </si>
  <si>
    <t>polymer foaming</t>
  </si>
  <si>
    <t>pack packaging, for Li-O2 battery</t>
  </si>
  <si>
    <t>pack packaging</t>
  </si>
  <si>
    <t>market for casting, aluminium, lost-wax</t>
  </si>
  <si>
    <t>casting, aluminium, lost-wax</t>
  </si>
  <si>
    <t>market for steel, low-alloyed</t>
  </si>
  <si>
    <t>steel, low-alloyed</t>
  </si>
  <si>
    <t>sheet rolling, steel</t>
  </si>
  <si>
    <t>treatment of LiO2 battery, for recycling</t>
  </si>
  <si>
    <t>waste LiO2 battery</t>
  </si>
  <si>
    <t>market for nitrogen, liquid</t>
  </si>
  <si>
    <t>nitrogen, liquid</t>
  </si>
  <si>
    <t>treatment of waste electric and electronic equipment, shredding</t>
  </si>
  <si>
    <t>waste electric and electronic equipment</t>
  </si>
  <si>
    <t>market for chemical, inorganic</t>
  </si>
  <si>
    <t>chemical, inorganic</t>
  </si>
  <si>
    <t>lime production, hydrated, packed</t>
  </si>
  <si>
    <t>lime, hydrated, packed</t>
  </si>
  <si>
    <t>market for sulfuric acid</t>
  </si>
  <si>
    <t>sulfuric acid</t>
  </si>
  <si>
    <t>market for tetraethyl orthosilicate</t>
  </si>
  <si>
    <t>tetraethyl orthosilicate</t>
  </si>
  <si>
    <t>battery, Li-O2</t>
  </si>
  <si>
    <t>battery production, Li-O2</t>
  </si>
  <si>
    <t>market for acrylonitrile-butadiene-styrene copolymer</t>
  </si>
  <si>
    <t>acrylonitrile-butadiene-styrene copolymer</t>
  </si>
  <si>
    <t>BMS</t>
  </si>
  <si>
    <t>cooling system</t>
  </si>
  <si>
    <t>printed wiring board, through-hole mounted, unspecified, Pb free</t>
  </si>
  <si>
    <t>market for printed wiring board, through-hole mounted, unspecified, Pb free</t>
  </si>
  <si>
    <t>separator manufacturing, for Li-O2 battery</t>
  </si>
  <si>
    <t>Original source stated wrong unit: MJ. No conversion has been made and now the old value is expressed as kWh</t>
  </si>
  <si>
    <t>market for hexafluoroethane</t>
  </si>
  <si>
    <t>hexafluoroethane</t>
  </si>
  <si>
    <t>market for packaging film, low density polyethylene</t>
  </si>
  <si>
    <t>packaging film, low density polyethylene</t>
  </si>
  <si>
    <t>market for acetone, liquid</t>
  </si>
  <si>
    <t>acetone, liquid</t>
  </si>
  <si>
    <t>fleece production, polyethylene</t>
  </si>
  <si>
    <t>fleece, polyethylene</t>
  </si>
  <si>
    <t>heat production, natural gas, at industrial furnace &gt;100kW</t>
  </si>
  <si>
    <t>phthalic anhydride production</t>
  </si>
  <si>
    <t>phthalic anhydride</t>
  </si>
  <si>
    <t>polyvinylfluoride</t>
  </si>
  <si>
    <t>chemical factory construction, organics</t>
  </si>
  <si>
    <t>chemical factory, organics</t>
  </si>
  <si>
    <t>treatment of residue from shredder fraction from manual dismantling, municipal waste incineration</t>
  </si>
  <si>
    <t>residue from shredder fraction from manual dismantling</t>
  </si>
  <si>
    <t>Heat, waste</t>
  </si>
  <si>
    <t>air</t>
  </si>
  <si>
    <t>Acetone</t>
  </si>
  <si>
    <t>BMS production, for Li-O2 battery</t>
  </si>
  <si>
    <t>IBIS</t>
  </si>
  <si>
    <t>IBIS fasteners</t>
  </si>
  <si>
    <t>high voltage system</t>
  </si>
  <si>
    <t>low voltage system</t>
  </si>
  <si>
    <t>IBIS production, for Li-O2 battery</t>
  </si>
  <si>
    <t>IBIS fasteners production, for Li-O2 battery</t>
  </si>
  <si>
    <t>high voltage system production, for Li-O2 battery</t>
  </si>
  <si>
    <t>low voltage system production, for Li-O2 battery</t>
  </si>
  <si>
    <t>market for transport, freight, lorry &gt;32 metric ton, EURO6</t>
  </si>
  <si>
    <t>acrylonitrile-butadiene-styrene copolymer production</t>
  </si>
  <si>
    <t>market for integrated circuit, logic type</t>
  </si>
  <si>
    <t>integrated circuit, logic type</t>
  </si>
  <si>
    <t>market for electric connector, wire clamp</t>
  </si>
  <si>
    <t>electric connector, wire clamp</t>
  </si>
  <si>
    <t>polyethylene terephthalate production, granulate, amorphous</t>
  </si>
  <si>
    <t>market for nylon 6</t>
  </si>
  <si>
    <t>nylon 6</t>
  </si>
  <si>
    <t>market for brass</t>
  </si>
  <si>
    <t>brass</t>
  </si>
  <si>
    <t>metal working, average for steel product manufacturing</t>
  </si>
  <si>
    <t>casting, brass</t>
  </si>
  <si>
    <t>market for electronic component factory</t>
  </si>
  <si>
    <t>electronic component factory</t>
  </si>
  <si>
    <t>transport, freight, lorry &gt;32 metric ton, EURO6</t>
  </si>
  <si>
    <t>fixings</t>
  </si>
  <si>
    <t>metal working factory construction</t>
  </si>
  <si>
    <t>market for aluminium, in mixed metal scrap</t>
  </si>
  <si>
    <t>aluminium, in mixed metal scrap</t>
  </si>
  <si>
    <t>market for nylon 6-6</t>
  </si>
  <si>
    <t>nylon 6-6</t>
  </si>
  <si>
    <t>synthetic rubber production</t>
  </si>
  <si>
    <t>synthetic rubber</t>
  </si>
  <si>
    <t>market for polyphenylene sulfide</t>
  </si>
  <si>
    <t>polyphenylene sulfide</t>
  </si>
  <si>
    <t>market for tin</t>
  </si>
  <si>
    <t>tin</t>
  </si>
  <si>
    <t>market for cable, ribbon cable, 20-pin, with plugs</t>
  </si>
  <si>
    <t>cable, ribbon cable, 20-pin, with plugs</t>
  </si>
  <si>
    <t>metal working, average for metal product manufacturing</t>
  </si>
  <si>
    <t>metal working, average for aluminium product manufacturing</t>
  </si>
  <si>
    <t>metal working, average for copper product manufacturing</t>
  </si>
  <si>
    <t>market for electronic component, passive, unspecified</t>
  </si>
  <si>
    <t>electronic component, passive, unspecified</t>
  </si>
  <si>
    <t>cooling system production, for Li-O2 battery</t>
  </si>
  <si>
    <t>radiator production, for Li-O2 battery</t>
  </si>
  <si>
    <t>manifolds production, for Li-O2 battery</t>
  </si>
  <si>
    <t>clamps and fasteners production, for Li-O2 battery</t>
  </si>
  <si>
    <t>pipe fitting production, for Li-O2 battery</t>
  </si>
  <si>
    <t>thermal pad production, for Li-O2 battery</t>
  </si>
  <si>
    <t>ethylene glycol production</t>
  </si>
  <si>
    <t>ethylene glycol</t>
  </si>
  <si>
    <t>radiator</t>
  </si>
  <si>
    <t>manifolds</t>
  </si>
  <si>
    <t>clamps and fasteners</t>
  </si>
  <si>
    <t>pipe fitting</t>
  </si>
  <si>
    <t>thermal pad</t>
  </si>
  <si>
    <t>polyvinylchloride production, bulk polymerisation</t>
  </si>
  <si>
    <t>polyvinylchloride, bulk polymerised</t>
  </si>
  <si>
    <t>glass fibre production</t>
  </si>
  <si>
    <t>glass fibre</t>
  </si>
  <si>
    <t>silicon, electronics grade</t>
  </si>
  <si>
    <t>silicon production, electronics grade</t>
  </si>
  <si>
    <t>DE</t>
  </si>
  <si>
    <t>format</t>
  </si>
  <si>
    <t>Excel</t>
  </si>
  <si>
    <t>proxy - gaseous oxygen was not found in Ecoinvent</t>
  </si>
  <si>
    <t>Retrieved from Ellingsen et al. (2013). Source: Originally from Wang, F., Deng, Y., &amp; Yuan, C. (2020). Life cycle assessment of lithium oxygen battery for electric vehicles. Journal of Cleaner Production, 264, 121339. https://doi.org/10.1016/j.jclepro.2020.121339</t>
  </si>
  <si>
    <t>Retrieved from Ellingsen et al. (2013). For thermal management the battery is equipped with a cooling system. The cooling system is made of six sub-components: radiator, manifolds, clamps &amp; fasteners, pipe fitting, thermal gap pad, and coolant (Miljøbil Grenland 2012). The aluminum radiator is the main component of the cooling system. As a medium of convective heat the cooling system includes a glycol coolant, which is contained within aluminum manifolds. Steel clamps, and pipe fittings of plastic and rubber are used for sealing. Thermal conductivity is further ensured with the use of a thermal gap pad made of fiberglasSreinforced filler and polymer. Infrastructure is the same as Miljøbil’s facility required for the assembly of the battery. No energy or processes are included as assembly of cooling system is performed by manually. It has been assumed that the coolant circulating in the manifolds is ethylene glycol. Source: Originally from Wang, F., Deng, Y., &amp; Yuan, C. (2020). Life cycle assessment of lithium oxygen battery for electric vehicles. Journal of Cleaner Production, 264, 121339. https://doi.org/10.1016/j.jclepro.2020.121339</t>
  </si>
  <si>
    <t>Retrieved from Ellingsen et al. (2013). Thee BMS includes battery module boards (BMBs), Integrated Battery Interface System (IBIS), fasteners, high voltage (HV) system, and low voltage system (Miljøbil Grenland 2012). In each battery there are 12 BMBs, one for each module. BMBs are placed under module lids, situated between the two rows of busbars. The BMBs monitor the battery cells for voltage and temperature limits, whereas the IBIS acts as a master controller for the BMBs, as well as overseeing the battery charge and discharge strategies Miljøbil Grenland (2012).  Source: Originally from Wang, F., Deng, Y., &amp; Yuan, C. (2020). Life cycle assessment of lithium oxygen battery for electric vehicles. Journal of Cleaner Production, 264, 121339. https://doi.org/10.1016/j.jclepro.2020.121339</t>
  </si>
  <si>
    <t>Retrieved from Li et al. (2014). Source: Originally from Wang, F., Deng, Y., &amp; Yuan, C. (2020). Life cycle assessment of lithium oxygen battery for electric vehicles. Journal of Cleaner Production, 264, 121339. https://doi.org/10.1016/j.jclepro.2020.121339</t>
  </si>
  <si>
    <t>The hydrometallurgical method is employed as the recycling method for EoL treatment of the Li-O2 battery. The hydrometallurgical method has been applied for recycling both conventional and next-generation LIBs (Deng et al., 2017a; Hawkins et al., 2013; Dunn et al., 2015). The inventory data for the Li-O2 battery recycling are directly adopted from literature (Deng et al., 2017a). Source: Originally from Wang, F., Deng, Y., &amp; Yuan, C. (2020). Life cycle assessment of lithium oxygen battery for electric vehicles. Journal of Cleaner Production, 264, 121339. https://doi.org/10.1016/j.jclepro.2020.121339</t>
  </si>
  <si>
    <t>The module and pack packagings are modelled based on the results from BatPaC method. The aluminum and copper films are produced by the sheet rolling with a 98.2% material efficiency. As for the steel film, cold rolling is modelled with 99% material efficiency (Green, 2007). Source: Originally from Wang, F., Deng, Y., &amp; Yuan, C. (2020). Life cycle assessment of lithium oxygen battery for electric vehicles. Journal of Cleaner Production, 264, 121339. https://doi.org/10.1016/j.jclepro.2020.121339</t>
  </si>
  <si>
    <t xml:space="preserve"> Source: Originally from Wang, F., Deng, Y., &amp; Yuan, C. (2020). Life cycle assessment of lithium oxygen battery for electric vehicles. Journal of Cleaner Production, 264, 121339. https://doi.org/10.1016/j.jclepro.2020.121339</t>
  </si>
  <si>
    <t>The electrolyte consists of lithium perchlorate (LiClO4) salt in tetraethylene glycol dimethyl ether (TEGDME) solvent. For production of the electrolyte for the Li-O2 battery, LiClO4 and TEGDME is magnetically stirred. LiClO4 can be obtained by a reaction of sodium perchlorate (NaClO4) and lithium chloride (LiCl) with 3 kWh electricity per kg perchlorate input (Vogt et al., 2000). The amounts are obtained by stoichiometric calculation. In addition, TEGDME is assumed to be produced through reaction of ethylene oxide (C2H4O) and dimethyl ether (C2H6O), and with energy use, emissions and waste at the same level as in production of ethylene glycol dimethylether (C4H10O2), which are directly obtained from the Gabi software and Ecoinvent database. Source: Originally from Wang, F., Deng, Y., &amp; Yuan, C. (2020). Life cycle assessment of lithium oxygen battery for electric vehicles. Journal of Cleaner Production, 264, 121339. https://doi.org/10.1016/j.jclepro.2020.121339</t>
  </si>
  <si>
    <t>The life cycle inventory for the lithium metal anode synthesis, compiled from literature (Deng et al., 2017a), considers inventories for productions of both the lithium film and the protection layer. Two manufacturing processes are needed to produce the lithium film: 1) extrusion of lithium film into a slit and 2) cold-rolling of the lithium film for the thickness reduction (Hovsepian, 1973). Source: Originally from Wang, F., Deng, Y., &amp; Yuan, C. (2020). Life cycle assessment of lithium oxygen battery for electric vehicles. Journal of Cleaner Production, 264, 121339. https://doi.org/10.1016/j.jclepro.2020.121339</t>
  </si>
  <si>
    <t>The inventory for the CNT synthesis is obtained from literatures (Deng et al., 2017a; Weil et al., 2013). Source: Originally from Wang, F., Deng, Y., &amp; Yuan, C. (2020). Life cycle assessment of lithium oxygen battery for electric vehicles. Journal of Cleaner Production, 264, 121339. https://doi.org/10.1016/j.jclepro.2020.121339</t>
  </si>
  <si>
    <t>The material efficiencies in the Li-O2 battery cell manufacturing are assumed to be the same with those in the conventional LIB cell manufacturing, that is 92% for positive and negative electrodes, 98% for the separator, and 94% for the electrolyte (Deng et al., 2017a). The Li-O2 battery system is configured with a capacity of 63.5 kWh and contains Li-O2 pouch cells, a BMS, a cooling system, a module packaging, a pack packaging, and an oxygen tank. Source: Originally from Wang, F., Deng, Y., &amp; Yuan, C. (2020). Life cycle assessment of lithium oxygen battery for electric vehicles. Journal of Cleaner Production, 264, 121339. https://doi.org/10.1016/j.jclepro.2020.121339</t>
  </si>
  <si>
    <t>Battery system mass: 321 kg</t>
  </si>
  <si>
    <t>Values taken from Fig 3</t>
  </si>
  <si>
    <t>battery cell</t>
  </si>
  <si>
    <t>market for battery, Li-oxygen, Li-O2</t>
  </si>
  <si>
    <t>market group for transport, freight train</t>
  </si>
  <si>
    <t>transport, freight, inland waterways, barge</t>
  </si>
  <si>
    <t>market group for transport, freight, inland waterways, barge</t>
  </si>
  <si>
    <t>transport, freight, sea, container ship</t>
  </si>
  <si>
    <t>market for transport, freight, sea, container ship</t>
  </si>
  <si>
    <t>market group for transport, freight, lorry, unspecified</t>
  </si>
  <si>
    <t>transport, freight, lorry, unspecified</t>
  </si>
  <si>
    <t>System: 63.5kWh Li-O2 || Mass (excl. O2 tanks): 267 kg || Battery energy density: 238 Wh/kg || System energy density (incl. O2 tanks): 198 Wh/kg || Battery lifetime: 305 kWh/kg (1.76 MJ/km x 2e5 km / 321 kg). Source: Originally from Wang, F., Deng, Y., &amp; Yuan, C. (2020). Life cycle assessment of lithium oxygen battery for electric vehicles. Journal of Cleaner Production, 264, 121339. https://doi.org/10.1016/j.jclepro.2020.121339</t>
  </si>
  <si>
    <t>System: 63.5kWh Li-O2 || System mass (incl. O2 tanks: 322 kg || Battery Mass (excl. O2 tanks): 267 kg || Battery energy density: 238 Wh/kg || System energy density: 198 Wh/kg || Battery lifetime: 305 kWh/kg (1.76 MJ/km x 2e5 km / 321 kg). Source: Originally from Wang, F., Deng, Y., &amp; Yuan, C. (2020). Life cycle assessment of lithium oxygen battery for electric vehicles. Journal of Cleaner Production, 264, 121339. https://doi.org/10.1016/j.jclepro.2020.121339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</si>
</sst>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5" formatCode="0.00000"/>
  </numFmts>
  <fonts count="7" x14ac:knownFonts="1">
    <font>
      <sz val="11"/>
      <color theme="1"/>
      <name val="Calibri"/>
      <family val="2"/>
      <scheme val="minor"/>
    </font>
    <font>
      <b/>
      <sz val="11"/>
      <color theme="1"/>
      <name val="Calibri"/>
      <family val="2"/>
      <scheme val="minor"/>
    </font>
    <font>
      <b/>
      <sz val="12"/>
      <color theme="1"/>
      <name val="Calibri"/>
      <family val="2"/>
      <scheme val="minor"/>
    </font>
    <font>
      <sz val="10"/>
      <name val="Arial"/>
      <family val="2"/>
    </font>
    <font>
      <sz val="10"/>
      <name val="Arial"/>
      <family val="2"/>
    </font>
    <font>
      <i/>
      <sz val="11"/>
      <color rgb="FF7F7F7F"/>
      <name val="Calibri"/>
      <family val="2"/>
      <charset val="134"/>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8">
    <xf numFmtId="0" fontId="0" fillId="0" borderId="0"/>
    <xf numFmtId="0" fontId="3" fillId="0" borderId="0"/>
    <xf numFmtId="43" fontId="4" fillId="0" borderId="0" applyFont="0" applyFill="0" applyBorder="0" applyAlignment="0" applyProtection="0"/>
    <xf numFmtId="9" fontId="4" fillId="0" borderId="0" applyFon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0" fontId="5" fillId="0" borderId="0" applyNumberFormat="0" applyFill="0" applyBorder="0" applyAlignment="0" applyProtection="0">
      <alignment vertical="center"/>
    </xf>
  </cellStyleXfs>
  <cellXfs count="8">
    <xf numFmtId="0" fontId="0" fillId="0" borderId="0" xfId="0"/>
    <xf numFmtId="0" fontId="1" fillId="0" borderId="0" xfId="0" applyFont="1"/>
    <xf numFmtId="0" fontId="2" fillId="0" borderId="0" xfId="0" applyFont="1"/>
    <xf numFmtId="11" fontId="0" fillId="0" borderId="0" xfId="0" applyNumberFormat="1"/>
    <xf numFmtId="165" fontId="0" fillId="0" borderId="0" xfId="0" applyNumberFormat="1"/>
    <xf numFmtId="43" fontId="0" fillId="0" borderId="0" xfId="0" applyNumberFormat="1"/>
    <xf numFmtId="2" fontId="0" fillId="0" borderId="0" xfId="0" applyNumberFormat="1"/>
    <xf numFmtId="0" fontId="6" fillId="0" borderId="0" xfId="0" applyFont="1"/>
  </cellXfs>
  <cellStyles count="8">
    <cellStyle name="Comma 2" xfId="2" xr:uid="{BFB9EBE1-8E08-45F4-B233-19C97FB6383E}"/>
    <cellStyle name="Currency 2" xfId="6" xr:uid="{62DD0185-3D6A-4C68-AD16-7CA89AEDFE88}"/>
    <cellStyle name="Currency 3" xfId="5" xr:uid="{9B161BA4-521A-41D6-936D-831E281BBC47}"/>
    <cellStyle name="Normal" xfId="0" builtinId="0"/>
    <cellStyle name="Normal 2" xfId="4" xr:uid="{5FB60D3A-D79C-49EA-BE96-63C62F6CFBC9}"/>
    <cellStyle name="Normal 3" xfId="1" xr:uid="{9C267BA8-DD30-48AD-92DA-0CF6251E1A08}"/>
    <cellStyle name="Percent 2" xfId="3" xr:uid="{9470A2B0-F720-439F-9B56-9B45A6EC3D70}"/>
    <cellStyle name="解释性文本 2" xfId="7" xr:uid="{5C8C2361-C7E4-478B-BDF1-BEC4B7B404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1"/>
  <sheetViews>
    <sheetView tabSelected="1" topLeftCell="A144" zoomScale="115" zoomScaleNormal="115" workbookViewId="0">
      <selection activeCell="A164" sqref="A164"/>
    </sheetView>
  </sheetViews>
  <sheetFormatPr baseColWidth="10" defaultColWidth="8.83203125" defaultRowHeight="15" x14ac:dyDescent="0.2"/>
  <cols>
    <col min="1" max="1" width="52.5" bestFit="1" customWidth="1"/>
    <col min="2" max="2" width="32.33203125" customWidth="1"/>
    <col min="3" max="3" width="12.83203125" bestFit="1" customWidth="1"/>
    <col min="4" max="4" width="18.5" customWidth="1"/>
    <col min="5" max="5" width="26.1640625" bestFit="1" customWidth="1"/>
    <col min="6" max="6" width="13.5" bestFit="1" customWidth="1"/>
    <col min="7" max="7" width="27.1640625" bestFit="1" customWidth="1"/>
    <col min="8" max="8" width="42.6640625" customWidth="1"/>
  </cols>
  <sheetData>
    <row r="1" spans="1:8" x14ac:dyDescent="0.2">
      <c r="A1" s="1" t="s">
        <v>0</v>
      </c>
      <c r="B1" t="s">
        <v>1</v>
      </c>
    </row>
    <row r="2" spans="1:8" x14ac:dyDescent="0.2">
      <c r="A2" s="1" t="s">
        <v>254</v>
      </c>
      <c r="B2" t="s">
        <v>255</v>
      </c>
    </row>
    <row r="4" spans="1:8" ht="16" x14ac:dyDescent="0.2">
      <c r="A4" s="2" t="s">
        <v>2</v>
      </c>
      <c r="B4" s="2" t="s">
        <v>17</v>
      </c>
    </row>
    <row r="5" spans="1:8" x14ac:dyDescent="0.2">
      <c r="A5" t="s">
        <v>3</v>
      </c>
      <c r="B5" t="s">
        <v>267</v>
      </c>
    </row>
    <row r="6" spans="1:8" x14ac:dyDescent="0.2">
      <c r="A6" t="s">
        <v>4</v>
      </c>
      <c r="B6" t="s">
        <v>5</v>
      </c>
    </row>
    <row r="7" spans="1:8" x14ac:dyDescent="0.2">
      <c r="A7" t="s">
        <v>6</v>
      </c>
      <c r="B7">
        <v>1</v>
      </c>
    </row>
    <row r="8" spans="1:8" x14ac:dyDescent="0.2">
      <c r="A8" t="s">
        <v>7</v>
      </c>
      <c r="B8" t="s">
        <v>270</v>
      </c>
    </row>
    <row r="9" spans="1:8" x14ac:dyDescent="0.2">
      <c r="A9" t="s">
        <v>8</v>
      </c>
      <c r="B9" t="s">
        <v>9</v>
      </c>
    </row>
    <row r="10" spans="1:8" x14ac:dyDescent="0.2">
      <c r="A10" t="s">
        <v>10</v>
      </c>
      <c r="B10" t="s">
        <v>16</v>
      </c>
    </row>
    <row r="11" spans="1:8" x14ac:dyDescent="0.2">
      <c r="A11" s="1" t="s">
        <v>11</v>
      </c>
      <c r="B11" s="1"/>
      <c r="C11" s="1"/>
      <c r="D11" s="1"/>
      <c r="E11" s="1"/>
      <c r="F11" s="1"/>
      <c r="G11" s="1"/>
      <c r="H11" s="1"/>
    </row>
    <row r="12" spans="1:8" x14ac:dyDescent="0.2">
      <c r="A12" s="1" t="s">
        <v>12</v>
      </c>
      <c r="B12" s="1" t="s">
        <v>13</v>
      </c>
      <c r="C12" s="1" t="s">
        <v>8</v>
      </c>
      <c r="D12" s="1" t="s">
        <v>14</v>
      </c>
      <c r="E12" s="1" t="s">
        <v>4</v>
      </c>
      <c r="F12" s="1" t="s">
        <v>15</v>
      </c>
      <c r="G12" s="1" t="s">
        <v>7</v>
      </c>
      <c r="H12" s="1" t="s">
        <v>3</v>
      </c>
    </row>
    <row r="13" spans="1:8" x14ac:dyDescent="0.2">
      <c r="A13" t="str">
        <f>B4</f>
        <v>battery cell production, Li-O2</v>
      </c>
      <c r="B13" s="6">
        <v>1</v>
      </c>
      <c r="C13" t="str">
        <f>B9</f>
        <v>kilogram</v>
      </c>
      <c r="E13" t="str">
        <f>B6</f>
        <v>GLO</v>
      </c>
      <c r="F13" t="s">
        <v>18</v>
      </c>
      <c r="G13" t="str">
        <f>B8</f>
        <v>battery cell</v>
      </c>
    </row>
    <row r="14" spans="1:8" x14ac:dyDescent="0.2">
      <c r="A14" t="s">
        <v>26</v>
      </c>
      <c r="B14" s="6">
        <v>6.9900000000000005E-5</v>
      </c>
      <c r="C14" t="s">
        <v>9</v>
      </c>
      <c r="E14" t="s">
        <v>5</v>
      </c>
      <c r="F14" t="s">
        <v>27</v>
      </c>
      <c r="G14" t="s">
        <v>28</v>
      </c>
      <c r="H14" t="s">
        <v>29</v>
      </c>
    </row>
    <row r="15" spans="1:8" x14ac:dyDescent="0.2">
      <c r="A15" t="s">
        <v>57</v>
      </c>
      <c r="B15" s="6">
        <v>7.9000000000000001E-2</v>
      </c>
      <c r="C15" t="s">
        <v>9</v>
      </c>
      <c r="E15" t="s">
        <v>48</v>
      </c>
      <c r="F15" t="s">
        <v>27</v>
      </c>
      <c r="G15" t="s">
        <v>58</v>
      </c>
      <c r="H15" t="s">
        <v>256</v>
      </c>
    </row>
    <row r="16" spans="1:8" x14ac:dyDescent="0.2">
      <c r="A16" t="s">
        <v>19</v>
      </c>
      <c r="B16" s="6">
        <v>1.7999999999999999E-2</v>
      </c>
      <c r="C16" t="s">
        <v>9</v>
      </c>
      <c r="E16" t="s">
        <v>48</v>
      </c>
      <c r="F16" t="s">
        <v>27</v>
      </c>
      <c r="G16" t="s">
        <v>41</v>
      </c>
    </row>
    <row r="17" spans="1:20" x14ac:dyDescent="0.2">
      <c r="A17" t="s">
        <v>20</v>
      </c>
      <c r="B17" s="6">
        <v>0.11600000000000001</v>
      </c>
      <c r="C17" t="s">
        <v>9</v>
      </c>
      <c r="E17" t="s">
        <v>48</v>
      </c>
      <c r="F17" t="s">
        <v>27</v>
      </c>
      <c r="G17" t="s">
        <v>33</v>
      </c>
    </row>
    <row r="18" spans="1:20" x14ac:dyDescent="0.2">
      <c r="A18" t="s">
        <v>21</v>
      </c>
      <c r="B18" s="6">
        <v>0.106</v>
      </c>
      <c r="C18" t="s">
        <v>9</v>
      </c>
      <c r="E18" t="s">
        <v>48</v>
      </c>
      <c r="F18" t="s">
        <v>27</v>
      </c>
      <c r="G18" t="s">
        <v>34</v>
      </c>
    </row>
    <row r="19" spans="1:20" x14ac:dyDescent="0.2">
      <c r="A19" t="s">
        <v>22</v>
      </c>
      <c r="B19" s="6">
        <v>0.214</v>
      </c>
      <c r="C19" t="s">
        <v>9</v>
      </c>
      <c r="E19" t="s">
        <v>48</v>
      </c>
      <c r="F19" t="s">
        <v>27</v>
      </c>
      <c r="G19" t="s">
        <v>38</v>
      </c>
    </row>
    <row r="20" spans="1:20" x14ac:dyDescent="0.2">
      <c r="A20" t="s">
        <v>39</v>
      </c>
      <c r="B20" s="6">
        <v>1.6E-2</v>
      </c>
      <c r="C20" t="s">
        <v>9</v>
      </c>
      <c r="E20" t="s">
        <v>48</v>
      </c>
      <c r="F20" t="s">
        <v>27</v>
      </c>
      <c r="G20" t="s">
        <v>40</v>
      </c>
    </row>
    <row r="21" spans="1:20" x14ac:dyDescent="0.2">
      <c r="A21" t="s">
        <v>31</v>
      </c>
      <c r="B21" s="6">
        <v>0.308</v>
      </c>
      <c r="C21" t="s">
        <v>9</v>
      </c>
      <c r="E21" t="s">
        <v>5</v>
      </c>
      <c r="F21" t="s">
        <v>27</v>
      </c>
      <c r="G21" t="s">
        <v>32</v>
      </c>
      <c r="H21" t="s">
        <v>30</v>
      </c>
    </row>
    <row r="22" spans="1:20" x14ac:dyDescent="0.2">
      <c r="A22" t="s">
        <v>169</v>
      </c>
      <c r="B22" s="6">
        <v>4.8000000000000001E-2</v>
      </c>
      <c r="C22" t="s">
        <v>9</v>
      </c>
      <c r="E22" t="s">
        <v>48</v>
      </c>
      <c r="F22" t="s">
        <v>27</v>
      </c>
      <c r="G22" t="s">
        <v>35</v>
      </c>
    </row>
    <row r="23" spans="1:20" x14ac:dyDescent="0.2">
      <c r="A23" t="s">
        <v>23</v>
      </c>
      <c r="B23" s="6">
        <v>3.6999999999999998E-2</v>
      </c>
      <c r="C23" t="s">
        <v>9</v>
      </c>
      <c r="E23" t="s">
        <v>48</v>
      </c>
      <c r="F23" t="s">
        <v>27</v>
      </c>
      <c r="G23" t="s">
        <v>36</v>
      </c>
    </row>
    <row r="24" spans="1:20" x14ac:dyDescent="0.2">
      <c r="A24" t="s">
        <v>24</v>
      </c>
      <c r="B24" s="6">
        <v>5.7000000000000002E-2</v>
      </c>
      <c r="C24" t="s">
        <v>9</v>
      </c>
      <c r="E24" t="s">
        <v>48</v>
      </c>
      <c r="F24" t="s">
        <v>27</v>
      </c>
      <c r="G24" t="s">
        <v>37</v>
      </c>
    </row>
    <row r="27" spans="1:20" ht="16" x14ac:dyDescent="0.2">
      <c r="A27" s="2" t="s">
        <v>2</v>
      </c>
      <c r="B27" s="2" t="s">
        <v>19</v>
      </c>
    </row>
    <row r="28" spans="1:20" x14ac:dyDescent="0.2">
      <c r="A28" t="s">
        <v>3</v>
      </c>
      <c r="B28" t="s">
        <v>266</v>
      </c>
    </row>
    <row r="29" spans="1:20" x14ac:dyDescent="0.2">
      <c r="A29" t="s">
        <v>4</v>
      </c>
      <c r="B29" t="s">
        <v>48</v>
      </c>
    </row>
    <row r="30" spans="1:20" x14ac:dyDescent="0.2">
      <c r="A30" t="s">
        <v>6</v>
      </c>
      <c r="B30">
        <v>1</v>
      </c>
    </row>
    <row r="31" spans="1:20" x14ac:dyDescent="0.2">
      <c r="A31" t="s">
        <v>7</v>
      </c>
      <c r="B31" t="s">
        <v>41</v>
      </c>
    </row>
    <row r="32" spans="1:20" x14ac:dyDescent="0.2">
      <c r="A32" t="s">
        <v>8</v>
      </c>
      <c r="B32" t="s">
        <v>9</v>
      </c>
      <c r="T32" s="4"/>
    </row>
    <row r="33" spans="1:20" x14ac:dyDescent="0.2">
      <c r="A33" t="s">
        <v>10</v>
      </c>
      <c r="B33" t="s">
        <v>16</v>
      </c>
      <c r="T33" s="4"/>
    </row>
    <row r="34" spans="1:20" x14ac:dyDescent="0.2">
      <c r="A34" s="1" t="s">
        <v>11</v>
      </c>
      <c r="B34" s="1"/>
      <c r="C34" s="1"/>
      <c r="D34" s="1"/>
      <c r="E34" s="1"/>
      <c r="F34" s="1"/>
      <c r="G34" s="1"/>
      <c r="H34" s="1"/>
    </row>
    <row r="35" spans="1:20" x14ac:dyDescent="0.2">
      <c r="A35" s="1" t="s">
        <v>12</v>
      </c>
      <c r="B35" s="1" t="s">
        <v>13</v>
      </c>
      <c r="C35" s="1" t="s">
        <v>8</v>
      </c>
      <c r="D35" s="1" t="s">
        <v>14</v>
      </c>
      <c r="E35" s="1" t="s">
        <v>4</v>
      </c>
      <c r="F35" s="1" t="s">
        <v>15</v>
      </c>
      <c r="G35" s="1" t="s">
        <v>7</v>
      </c>
      <c r="H35" s="1" t="s">
        <v>3</v>
      </c>
    </row>
    <row r="36" spans="1:20" x14ac:dyDescent="0.2">
      <c r="A36" t="str">
        <f>B27</f>
        <v>CNT production, for Li-O2 battery</v>
      </c>
      <c r="B36" s="6">
        <v>1</v>
      </c>
      <c r="C36" t="str">
        <f>B32</f>
        <v>kilogram</v>
      </c>
      <c r="E36" t="str">
        <f>B29</f>
        <v>RER</v>
      </c>
      <c r="F36" t="s">
        <v>18</v>
      </c>
      <c r="G36" t="str">
        <f>B31</f>
        <v>CNT</v>
      </c>
    </row>
    <row r="37" spans="1:20" x14ac:dyDescent="0.2">
      <c r="A37" t="s">
        <v>42</v>
      </c>
      <c r="B37" s="6">
        <f>31.93/1000</f>
        <v>3.193E-2</v>
      </c>
      <c r="C37" t="s">
        <v>9</v>
      </c>
      <c r="E37" t="s">
        <v>5</v>
      </c>
      <c r="F37" t="s">
        <v>27</v>
      </c>
      <c r="G37" t="s">
        <v>43</v>
      </c>
      <c r="T37" s="6"/>
    </row>
    <row r="38" spans="1:20" x14ac:dyDescent="0.2">
      <c r="A38" t="s">
        <v>44</v>
      </c>
      <c r="B38" s="6">
        <f>2.18/1000</f>
        <v>2.1800000000000001E-3</v>
      </c>
      <c r="C38" t="s">
        <v>9</v>
      </c>
      <c r="E38" t="s">
        <v>5</v>
      </c>
      <c r="F38" t="s">
        <v>27</v>
      </c>
      <c r="G38" t="s">
        <v>45</v>
      </c>
    </row>
    <row r="39" spans="1:20" x14ac:dyDescent="0.2">
      <c r="A39" t="s">
        <v>47</v>
      </c>
      <c r="B39" s="6">
        <f>6.55/1000</f>
        <v>6.5499999999999994E-3</v>
      </c>
      <c r="C39" t="s">
        <v>9</v>
      </c>
      <c r="E39" t="s">
        <v>48</v>
      </c>
      <c r="F39" t="s">
        <v>27</v>
      </c>
      <c r="G39" t="s">
        <v>46</v>
      </c>
    </row>
    <row r="40" spans="1:20" x14ac:dyDescent="0.2">
      <c r="A40" t="s">
        <v>49</v>
      </c>
      <c r="B40" s="6">
        <v>5.8336100000000002</v>
      </c>
      <c r="C40" t="s">
        <v>9</v>
      </c>
      <c r="E40" t="s">
        <v>48</v>
      </c>
      <c r="F40" t="s">
        <v>27</v>
      </c>
      <c r="G40" t="s">
        <v>50</v>
      </c>
    </row>
    <row r="41" spans="1:20" x14ac:dyDescent="0.2">
      <c r="A41" t="s">
        <v>52</v>
      </c>
      <c r="B41" s="6">
        <f>56.34/1000</f>
        <v>5.6340000000000001E-2</v>
      </c>
      <c r="C41" t="s">
        <v>9</v>
      </c>
      <c r="E41" t="s">
        <v>48</v>
      </c>
      <c r="F41" t="s">
        <v>27</v>
      </c>
      <c r="G41" t="s">
        <v>51</v>
      </c>
    </row>
    <row r="42" spans="1:20" x14ac:dyDescent="0.2">
      <c r="A42" t="s">
        <v>53</v>
      </c>
      <c r="B42" s="6">
        <f>31.93/1000</f>
        <v>3.193E-2</v>
      </c>
      <c r="C42" t="s">
        <v>9</v>
      </c>
      <c r="E42" t="s">
        <v>5</v>
      </c>
      <c r="F42" t="s">
        <v>27</v>
      </c>
      <c r="G42" t="s">
        <v>54</v>
      </c>
    </row>
    <row r="43" spans="1:20" x14ac:dyDescent="0.2">
      <c r="A43" t="s">
        <v>55</v>
      </c>
      <c r="B43" s="6">
        <f>14.35/1000</f>
        <v>1.435E-2</v>
      </c>
      <c r="C43" t="s">
        <v>9</v>
      </c>
      <c r="E43" t="s">
        <v>5</v>
      </c>
      <c r="F43" t="s">
        <v>27</v>
      </c>
      <c r="G43" t="s">
        <v>56</v>
      </c>
    </row>
    <row r="44" spans="1:20" x14ac:dyDescent="0.2">
      <c r="A44" t="s">
        <v>57</v>
      </c>
      <c r="B44" s="6">
        <f>15.13/1000</f>
        <v>1.5130000000000001E-2</v>
      </c>
      <c r="C44" t="s">
        <v>9</v>
      </c>
      <c r="E44" t="s">
        <v>48</v>
      </c>
      <c r="F44" t="s">
        <v>27</v>
      </c>
      <c r="G44" t="s">
        <v>58</v>
      </c>
    </row>
    <row r="45" spans="1:20" x14ac:dyDescent="0.2">
      <c r="A45" t="s">
        <v>60</v>
      </c>
      <c r="B45" s="6">
        <f>30.66/1000</f>
        <v>3.066E-2</v>
      </c>
      <c r="C45" t="s">
        <v>9</v>
      </c>
      <c r="E45" t="s">
        <v>5</v>
      </c>
      <c r="F45" t="s">
        <v>27</v>
      </c>
      <c r="G45" t="s">
        <v>59</v>
      </c>
    </row>
    <row r="46" spans="1:20" x14ac:dyDescent="0.2">
      <c r="A46" t="s">
        <v>61</v>
      </c>
      <c r="B46" s="6">
        <v>1.20146</v>
      </c>
      <c r="C46" t="s">
        <v>9</v>
      </c>
      <c r="E46" t="s">
        <v>63</v>
      </c>
      <c r="F46" t="s">
        <v>27</v>
      </c>
      <c r="G46" t="s">
        <v>62</v>
      </c>
    </row>
    <row r="47" spans="1:20" x14ac:dyDescent="0.2">
      <c r="A47" t="s">
        <v>64</v>
      </c>
      <c r="B47" s="6">
        <v>0.65</v>
      </c>
      <c r="C47" t="s">
        <v>66</v>
      </c>
      <c r="E47" t="s">
        <v>63</v>
      </c>
      <c r="F47" t="s">
        <v>27</v>
      </c>
      <c r="G47" t="s">
        <v>65</v>
      </c>
    </row>
    <row r="48" spans="1:20" x14ac:dyDescent="0.2">
      <c r="A48" t="s">
        <v>67</v>
      </c>
      <c r="B48" s="6">
        <v>58.09</v>
      </c>
      <c r="C48" t="s">
        <v>69</v>
      </c>
      <c r="E48" t="s">
        <v>63</v>
      </c>
      <c r="F48" t="s">
        <v>27</v>
      </c>
      <c r="G48" t="s">
        <v>68</v>
      </c>
    </row>
    <row r="49" spans="1:8" x14ac:dyDescent="0.2">
      <c r="A49" t="s">
        <v>70</v>
      </c>
      <c r="B49" s="6">
        <f>-0.43697/1000</f>
        <v>-4.3697000000000001E-4</v>
      </c>
      <c r="C49" t="s">
        <v>71</v>
      </c>
      <c r="E49" t="s">
        <v>63</v>
      </c>
      <c r="F49" t="s">
        <v>27</v>
      </c>
      <c r="G49" t="s">
        <v>72</v>
      </c>
    </row>
    <row r="50" spans="1:8" x14ac:dyDescent="0.2">
      <c r="A50" t="s">
        <v>73</v>
      </c>
      <c r="B50" s="6">
        <f>-14.35/1000</f>
        <v>-1.435E-2</v>
      </c>
      <c r="C50" t="s">
        <v>9</v>
      </c>
      <c r="E50" t="s">
        <v>63</v>
      </c>
      <c r="F50" t="s">
        <v>27</v>
      </c>
      <c r="G50" t="s">
        <v>74</v>
      </c>
    </row>
    <row r="51" spans="1:8" x14ac:dyDescent="0.2">
      <c r="A51" t="s">
        <v>75</v>
      </c>
      <c r="B51" s="6">
        <f>-5.505/1000</f>
        <v>-5.5049999999999995E-3</v>
      </c>
      <c r="C51" t="s">
        <v>9</v>
      </c>
      <c r="E51" t="s">
        <v>63</v>
      </c>
      <c r="F51" t="s">
        <v>27</v>
      </c>
      <c r="G51" t="s">
        <v>76</v>
      </c>
    </row>
    <row r="54" spans="1:8" ht="16" x14ac:dyDescent="0.2">
      <c r="A54" s="2" t="s">
        <v>2</v>
      </c>
      <c r="B54" s="2" t="s">
        <v>21</v>
      </c>
    </row>
    <row r="55" spans="1:8" x14ac:dyDescent="0.2">
      <c r="A55" t="s">
        <v>3</v>
      </c>
      <c r="B55" t="s">
        <v>265</v>
      </c>
    </row>
    <row r="56" spans="1:8" x14ac:dyDescent="0.2">
      <c r="A56" t="s">
        <v>4</v>
      </c>
      <c r="B56" t="s">
        <v>48</v>
      </c>
    </row>
    <row r="57" spans="1:8" x14ac:dyDescent="0.2">
      <c r="A57" t="s">
        <v>6</v>
      </c>
      <c r="B57">
        <v>1</v>
      </c>
    </row>
    <row r="58" spans="1:8" x14ac:dyDescent="0.2">
      <c r="A58" t="s">
        <v>7</v>
      </c>
      <c r="B58" t="s">
        <v>34</v>
      </c>
    </row>
    <row r="59" spans="1:8" x14ac:dyDescent="0.2">
      <c r="A59" t="s">
        <v>8</v>
      </c>
      <c r="B59" t="s">
        <v>9</v>
      </c>
    </row>
    <row r="60" spans="1:8" x14ac:dyDescent="0.2">
      <c r="A60" t="s">
        <v>10</v>
      </c>
      <c r="B60" t="s">
        <v>16</v>
      </c>
    </row>
    <row r="61" spans="1:8" x14ac:dyDescent="0.2">
      <c r="A61" s="1" t="s">
        <v>11</v>
      </c>
      <c r="B61" s="1"/>
      <c r="C61" s="1"/>
      <c r="D61" s="1"/>
      <c r="E61" s="1"/>
      <c r="F61" s="1"/>
      <c r="G61" s="1"/>
      <c r="H61" s="1"/>
    </row>
    <row r="62" spans="1:8" x14ac:dyDescent="0.2">
      <c r="A62" s="1" t="s">
        <v>12</v>
      </c>
      <c r="B62" s="1" t="s">
        <v>13</v>
      </c>
      <c r="C62" s="1" t="s">
        <v>8</v>
      </c>
      <c r="D62" s="1" t="s">
        <v>14</v>
      </c>
      <c r="E62" s="1" t="s">
        <v>4</v>
      </c>
      <c r="F62" s="1" t="s">
        <v>15</v>
      </c>
      <c r="G62" s="1" t="s">
        <v>7</v>
      </c>
      <c r="H62" s="1" t="s">
        <v>3</v>
      </c>
    </row>
    <row r="63" spans="1:8" x14ac:dyDescent="0.2">
      <c r="A63" t="str">
        <f>B54</f>
        <v>lithium metal production, for Li-O2 battery</v>
      </c>
      <c r="B63" s="3">
        <v>1</v>
      </c>
      <c r="C63" t="str">
        <f>B59</f>
        <v>kilogram</v>
      </c>
      <c r="E63" t="str">
        <f>B56</f>
        <v>RER</v>
      </c>
      <c r="F63" t="s">
        <v>18</v>
      </c>
      <c r="G63" t="str">
        <f>B58</f>
        <v>lithium metal</v>
      </c>
    </row>
    <row r="64" spans="1:8" x14ac:dyDescent="0.2">
      <c r="A64" t="s">
        <v>159</v>
      </c>
      <c r="B64" s="3">
        <v>0.16500000000000001</v>
      </c>
      <c r="C64" t="s">
        <v>9</v>
      </c>
      <c r="E64" t="s">
        <v>5</v>
      </c>
      <c r="F64" t="s">
        <v>27</v>
      </c>
      <c r="G64" t="s">
        <v>160</v>
      </c>
    </row>
    <row r="65" spans="1:7" x14ac:dyDescent="0.2">
      <c r="A65" t="s">
        <v>77</v>
      </c>
      <c r="B65" s="3">
        <v>1.038</v>
      </c>
      <c r="C65" t="s">
        <v>9</v>
      </c>
      <c r="E65" t="s">
        <v>5</v>
      </c>
      <c r="F65" t="s">
        <v>27</v>
      </c>
      <c r="G65" t="s">
        <v>78</v>
      </c>
    </row>
    <row r="66" spans="1:7" x14ac:dyDescent="0.2">
      <c r="A66" t="s">
        <v>81</v>
      </c>
      <c r="B66" s="3">
        <v>1</v>
      </c>
      <c r="C66" t="s">
        <v>9</v>
      </c>
      <c r="E66" t="s">
        <v>48</v>
      </c>
      <c r="F66" t="s">
        <v>27</v>
      </c>
      <c r="G66" t="s">
        <v>83</v>
      </c>
    </row>
    <row r="67" spans="1:7" x14ac:dyDescent="0.2">
      <c r="A67" t="s">
        <v>82</v>
      </c>
      <c r="B67" s="3">
        <v>1</v>
      </c>
      <c r="C67" t="s">
        <v>9</v>
      </c>
      <c r="E67" t="s">
        <v>48</v>
      </c>
      <c r="F67" t="s">
        <v>27</v>
      </c>
      <c r="G67" t="s">
        <v>84</v>
      </c>
    </row>
    <row r="68" spans="1:7" x14ac:dyDescent="0.2">
      <c r="A68" t="s">
        <v>85</v>
      </c>
      <c r="B68" s="3">
        <v>4.6000000000000001E-10</v>
      </c>
      <c r="C68" t="s">
        <v>8</v>
      </c>
      <c r="E68" t="s">
        <v>5</v>
      </c>
      <c r="F68" t="s">
        <v>27</v>
      </c>
      <c r="G68" t="s">
        <v>86</v>
      </c>
    </row>
    <row r="69" spans="1:7" x14ac:dyDescent="0.2">
      <c r="A69" t="s">
        <v>87</v>
      </c>
      <c r="B69" s="3">
        <v>0.2</v>
      </c>
      <c r="C69" t="s">
        <v>88</v>
      </c>
      <c r="E69" t="s">
        <v>63</v>
      </c>
      <c r="F69" t="s">
        <v>27</v>
      </c>
      <c r="G69" t="s">
        <v>89</v>
      </c>
    </row>
    <row r="70" spans="1:7" x14ac:dyDescent="0.2">
      <c r="A70" t="s">
        <v>90</v>
      </c>
      <c r="B70" s="3">
        <v>0.1</v>
      </c>
      <c r="C70" t="s">
        <v>88</v>
      </c>
      <c r="E70" t="s">
        <v>48</v>
      </c>
      <c r="F70" t="s">
        <v>27</v>
      </c>
      <c r="G70" t="s">
        <v>91</v>
      </c>
    </row>
    <row r="71" spans="1:7" x14ac:dyDescent="0.2">
      <c r="A71" t="s">
        <v>93</v>
      </c>
      <c r="B71" s="3">
        <f>-38/1000</f>
        <v>-3.7999999999999999E-2</v>
      </c>
      <c r="C71" t="s">
        <v>9</v>
      </c>
      <c r="E71" t="s">
        <v>92</v>
      </c>
      <c r="F71" t="s">
        <v>27</v>
      </c>
      <c r="G71" t="s">
        <v>94</v>
      </c>
    </row>
    <row r="74" spans="1:7" ht="16" x14ac:dyDescent="0.2">
      <c r="A74" s="2" t="s">
        <v>2</v>
      </c>
      <c r="B74" s="2" t="s">
        <v>81</v>
      </c>
    </row>
    <row r="75" spans="1:7" ht="16" x14ac:dyDescent="0.2">
      <c r="A75" s="7" t="s">
        <v>3</v>
      </c>
      <c r="B75" s="7" t="s">
        <v>263</v>
      </c>
    </row>
    <row r="76" spans="1:7" x14ac:dyDescent="0.2">
      <c r="A76" t="s">
        <v>4</v>
      </c>
      <c r="B76" t="s">
        <v>48</v>
      </c>
    </row>
    <row r="77" spans="1:7" x14ac:dyDescent="0.2">
      <c r="A77" t="s">
        <v>6</v>
      </c>
      <c r="B77">
        <v>1</v>
      </c>
    </row>
    <row r="78" spans="1:7" x14ac:dyDescent="0.2">
      <c r="A78" t="s">
        <v>7</v>
      </c>
      <c r="B78" t="s">
        <v>83</v>
      </c>
    </row>
    <row r="79" spans="1:7" x14ac:dyDescent="0.2">
      <c r="A79" t="s">
        <v>8</v>
      </c>
      <c r="B79" t="s">
        <v>9</v>
      </c>
    </row>
    <row r="80" spans="1:7" x14ac:dyDescent="0.2">
      <c r="A80" t="s">
        <v>10</v>
      </c>
      <c r="B80" t="s">
        <v>16</v>
      </c>
    </row>
    <row r="81" spans="1:8" x14ac:dyDescent="0.2">
      <c r="A81" s="1" t="s">
        <v>11</v>
      </c>
      <c r="B81" s="1"/>
      <c r="C81" s="1"/>
      <c r="D81" s="1"/>
      <c r="E81" s="1"/>
      <c r="F81" s="1"/>
      <c r="G81" s="1"/>
      <c r="H81" s="1"/>
    </row>
    <row r="82" spans="1:8" x14ac:dyDescent="0.2">
      <c r="A82" s="1" t="s">
        <v>12</v>
      </c>
      <c r="B82" s="1" t="s">
        <v>13</v>
      </c>
      <c r="C82" s="1" t="s">
        <v>8</v>
      </c>
      <c r="D82" s="1" t="s">
        <v>14</v>
      </c>
      <c r="E82" s="1" t="s">
        <v>4</v>
      </c>
      <c r="F82" s="1" t="s">
        <v>15</v>
      </c>
      <c r="G82" s="1" t="s">
        <v>7</v>
      </c>
      <c r="H82" s="1" t="s">
        <v>3</v>
      </c>
    </row>
    <row r="83" spans="1:8" x14ac:dyDescent="0.2">
      <c r="A83" t="str">
        <f>B74</f>
        <v>film extrusion process, lithium</v>
      </c>
      <c r="B83" s="3">
        <v>1</v>
      </c>
      <c r="C83" t="str">
        <f>B79</f>
        <v>kilogram</v>
      </c>
      <c r="E83" t="str">
        <f>B76</f>
        <v>RER</v>
      </c>
      <c r="F83" t="s">
        <v>18</v>
      </c>
      <c r="G83" t="str">
        <f>B78</f>
        <v>film extrusion, lithium</v>
      </c>
    </row>
    <row r="84" spans="1:8" x14ac:dyDescent="0.2">
      <c r="A84" t="s">
        <v>64</v>
      </c>
      <c r="B84" s="3">
        <v>0.45</v>
      </c>
      <c r="C84" t="s">
        <v>66</v>
      </c>
      <c r="E84" t="s">
        <v>63</v>
      </c>
      <c r="F84" t="s">
        <v>27</v>
      </c>
      <c r="G84" t="s">
        <v>65</v>
      </c>
    </row>
    <row r="86" spans="1:8" ht="16" x14ac:dyDescent="0.2">
      <c r="A86" s="2" t="s">
        <v>2</v>
      </c>
      <c r="B86" s="2" t="s">
        <v>82</v>
      </c>
    </row>
    <row r="87" spans="1:8" ht="16" x14ac:dyDescent="0.2">
      <c r="A87" s="7" t="s">
        <v>3</v>
      </c>
      <c r="B87" s="7" t="s">
        <v>263</v>
      </c>
    </row>
    <row r="88" spans="1:8" x14ac:dyDescent="0.2">
      <c r="A88" t="s">
        <v>4</v>
      </c>
      <c r="B88" t="s">
        <v>48</v>
      </c>
    </row>
    <row r="89" spans="1:8" x14ac:dyDescent="0.2">
      <c r="A89" t="s">
        <v>6</v>
      </c>
      <c r="B89">
        <v>1</v>
      </c>
    </row>
    <row r="90" spans="1:8" x14ac:dyDescent="0.2">
      <c r="A90" t="s">
        <v>7</v>
      </c>
      <c r="B90" t="s">
        <v>84</v>
      </c>
    </row>
    <row r="91" spans="1:8" x14ac:dyDescent="0.2">
      <c r="A91" t="s">
        <v>8</v>
      </c>
      <c r="B91" t="s">
        <v>9</v>
      </c>
    </row>
    <row r="92" spans="1:8" x14ac:dyDescent="0.2">
      <c r="A92" t="s">
        <v>10</v>
      </c>
      <c r="B92" t="s">
        <v>16</v>
      </c>
    </row>
    <row r="93" spans="1:8" x14ac:dyDescent="0.2">
      <c r="A93" s="1" t="s">
        <v>11</v>
      </c>
      <c r="B93" s="1"/>
      <c r="C93" s="1"/>
      <c r="D93" s="1"/>
      <c r="E93" s="1"/>
      <c r="F93" s="1"/>
      <c r="G93" s="1"/>
      <c r="H93" s="1"/>
    </row>
    <row r="94" spans="1:8" x14ac:dyDescent="0.2">
      <c r="A94" s="1" t="s">
        <v>12</v>
      </c>
      <c r="B94" s="1" t="s">
        <v>13</v>
      </c>
      <c r="C94" s="1" t="s">
        <v>8</v>
      </c>
      <c r="D94" s="1" t="s">
        <v>14</v>
      </c>
      <c r="E94" s="1" t="s">
        <v>4</v>
      </c>
      <c r="F94" s="1" t="s">
        <v>15</v>
      </c>
      <c r="G94" s="1" t="s">
        <v>7</v>
      </c>
      <c r="H94" s="1" t="s">
        <v>3</v>
      </c>
    </row>
    <row r="95" spans="1:8" x14ac:dyDescent="0.2">
      <c r="A95" t="str">
        <f>B86</f>
        <v>surface production process, lithium</v>
      </c>
      <c r="B95" s="3">
        <v>1</v>
      </c>
      <c r="C95" t="str">
        <f>B91</f>
        <v>kilogram</v>
      </c>
      <c r="E95" t="str">
        <f>B88</f>
        <v>RER</v>
      </c>
      <c r="F95" t="s">
        <v>18</v>
      </c>
      <c r="G95" t="str">
        <f>B90</f>
        <v>surface production, lithium</v>
      </c>
    </row>
    <row r="96" spans="1:8" x14ac:dyDescent="0.2">
      <c r="A96" t="s">
        <v>64</v>
      </c>
      <c r="B96" s="3">
        <v>13.9</v>
      </c>
      <c r="C96" t="s">
        <v>66</v>
      </c>
      <c r="E96" t="s">
        <v>63</v>
      </c>
      <c r="F96" t="s">
        <v>27</v>
      </c>
      <c r="G96" t="s">
        <v>65</v>
      </c>
    </row>
    <row r="97" spans="1:8" x14ac:dyDescent="0.2">
      <c r="A97" t="s">
        <v>67</v>
      </c>
      <c r="B97" s="3">
        <v>166.8</v>
      </c>
      <c r="C97" t="s">
        <v>69</v>
      </c>
      <c r="E97" t="s">
        <v>63</v>
      </c>
      <c r="F97" t="s">
        <v>27</v>
      </c>
      <c r="G97" t="s">
        <v>68</v>
      </c>
    </row>
    <row r="100" spans="1:8" ht="16" x14ac:dyDescent="0.2">
      <c r="A100" s="2" t="s">
        <v>2</v>
      </c>
      <c r="B100" s="2" t="s">
        <v>39</v>
      </c>
    </row>
    <row r="101" spans="1:8" x14ac:dyDescent="0.2">
      <c r="A101" t="s">
        <v>3</v>
      </c>
      <c r="B101" t="s">
        <v>264</v>
      </c>
    </row>
    <row r="102" spans="1:8" x14ac:dyDescent="0.2">
      <c r="A102" t="s">
        <v>4</v>
      </c>
      <c r="B102" t="s">
        <v>48</v>
      </c>
    </row>
    <row r="103" spans="1:8" x14ac:dyDescent="0.2">
      <c r="A103" t="s">
        <v>6</v>
      </c>
      <c r="B103">
        <v>1</v>
      </c>
    </row>
    <row r="104" spans="1:8" x14ac:dyDescent="0.2">
      <c r="A104" t="s">
        <v>7</v>
      </c>
      <c r="B104" t="s">
        <v>40</v>
      </c>
    </row>
    <row r="105" spans="1:8" x14ac:dyDescent="0.2">
      <c r="A105" t="s">
        <v>8</v>
      </c>
      <c r="B105" t="s">
        <v>9</v>
      </c>
    </row>
    <row r="106" spans="1:8" x14ac:dyDescent="0.2">
      <c r="A106" t="s">
        <v>10</v>
      </c>
      <c r="B106" t="s">
        <v>16</v>
      </c>
    </row>
    <row r="107" spans="1:8" x14ac:dyDescent="0.2">
      <c r="A107" s="1" t="s">
        <v>11</v>
      </c>
      <c r="B107" s="1"/>
      <c r="C107" s="1"/>
      <c r="D107" s="1"/>
      <c r="E107" s="1"/>
      <c r="F107" s="1"/>
      <c r="G107" s="1"/>
    </row>
    <row r="108" spans="1:8" x14ac:dyDescent="0.2">
      <c r="A108" s="1" t="s">
        <v>12</v>
      </c>
      <c r="B108" s="1" t="s">
        <v>13</v>
      </c>
      <c r="C108" s="1" t="s">
        <v>8</v>
      </c>
      <c r="D108" s="1" t="s">
        <v>14</v>
      </c>
      <c r="E108" s="1" t="s">
        <v>4</v>
      </c>
      <c r="F108" s="1" t="s">
        <v>15</v>
      </c>
      <c r="G108" s="1" t="s">
        <v>7</v>
      </c>
      <c r="H108" s="1" t="s">
        <v>3</v>
      </c>
    </row>
    <row r="109" spans="1:8" x14ac:dyDescent="0.2">
      <c r="A109" t="str">
        <f>B100</f>
        <v>electrolyte production, for Li-O2 battery</v>
      </c>
      <c r="B109" s="3">
        <v>1</v>
      </c>
      <c r="C109" t="str">
        <f>B105</f>
        <v>kilogram</v>
      </c>
      <c r="E109" t="str">
        <f>B102</f>
        <v>RER</v>
      </c>
      <c r="F109" t="s">
        <v>18</v>
      </c>
      <c r="G109" t="str">
        <f>B104</f>
        <v>electrolyte</v>
      </c>
    </row>
    <row r="110" spans="1:8" x14ac:dyDescent="0.2">
      <c r="A110" t="s">
        <v>96</v>
      </c>
      <c r="B110" s="3">
        <v>0.39800000000000002</v>
      </c>
      <c r="C110" t="s">
        <v>9</v>
      </c>
      <c r="E110" t="s">
        <v>5</v>
      </c>
      <c r="F110" t="s">
        <v>27</v>
      </c>
      <c r="G110" t="s">
        <v>95</v>
      </c>
    </row>
    <row r="111" spans="1:8" x14ac:dyDescent="0.2">
      <c r="A111" t="s">
        <v>97</v>
      </c>
      <c r="B111" s="3">
        <v>1.151</v>
      </c>
      <c r="C111" t="s">
        <v>9</v>
      </c>
      <c r="E111" t="s">
        <v>5</v>
      </c>
      <c r="F111" t="s">
        <v>27</v>
      </c>
      <c r="G111" t="s">
        <v>98</v>
      </c>
    </row>
    <row r="112" spans="1:8" x14ac:dyDescent="0.2">
      <c r="A112" t="s">
        <v>99</v>
      </c>
      <c r="B112">
        <f>10.8/3.6</f>
        <v>3</v>
      </c>
      <c r="C112" t="s">
        <v>66</v>
      </c>
      <c r="E112" t="s">
        <v>63</v>
      </c>
      <c r="F112" t="s">
        <v>27</v>
      </c>
      <c r="G112" t="s">
        <v>100</v>
      </c>
    </row>
    <row r="113" spans="1:8" x14ac:dyDescent="0.2">
      <c r="A113" t="s">
        <v>101</v>
      </c>
      <c r="B113" s="3">
        <v>0.54900000000000004</v>
      </c>
      <c r="C113" t="s">
        <v>9</v>
      </c>
      <c r="D113" t="s">
        <v>102</v>
      </c>
      <c r="F113" t="s">
        <v>103</v>
      </c>
    </row>
    <row r="116" spans="1:8" ht="16" x14ac:dyDescent="0.2">
      <c r="A116" s="2" t="s">
        <v>2</v>
      </c>
      <c r="B116" s="2" t="s">
        <v>22</v>
      </c>
    </row>
    <row r="117" spans="1:8" ht="16" x14ac:dyDescent="0.2">
      <c r="A117" s="7" t="s">
        <v>3</v>
      </c>
      <c r="B117" s="7" t="inlineStr">
        <is>
          <t> Source: Originally from Wang, F., Deng, Y., &amp; Yuan, C. (2020). Life cycle assessment of lithium oxygen battery for electric vehicles. Journal of Cleaner Production, 264, 121339. https://doi.org/10.1016/j.jclepro.2020.121339 Local Li-O2 collector supplier-identity correction, 2026-10-17 (approved). Wang, Deng and Yuan (2020), Life cycle assessment of lithium oxygen battery for electric vehicles, DOI 10.1016/j.jclepro.2020.121339, supplementary Table S9: Life cycle inventory of 1 kg copper current collector. https://ars.els-cdn.com/content/image/1-s2.0-S095965262031386X-mmc2.docx The source lists Copper, primary, 713 g, linked to RNA: copper production, primary, ecoinvent. Replace the incorrect copper-concentrate input with market for copper, cathode, GLO; product copper, cathode. This is a refined-metal market proxy, not the identical historical primary-production dataset. Its existing supplier mix is retained; no source-specific primary/secondary fraction or future share is inferred or imposed. Retain 713/1000 = 0.713 kg feed per 1 kg declared collector output. The source coefficient leaves an apparent 0.287 kg direct-feed deficit for a nominal 1 kg copper collector before considering rolling-chain replacement losses and other fabrication flows; its complete copper balance and manufacturing yield remain unresolved. The 1 kg sheet-rolling service is processing demand, not evidence of an additional 1 kg main copper feed. No automatic increase to 1 kg, output rescaling, extra refining process or yield factor is applied. Other source/mapping, component and whole-battery mass-basis issues remain open. This corrects one supplier identity and does not validate the full collector or Li-O2 battery recipe.</t>
        </is>
      </c>
    </row>
    <row r="118" spans="1:8" x14ac:dyDescent="0.2">
      <c r="A118" t="s">
        <v>4</v>
      </c>
      <c r="B118" t="s">
        <v>48</v>
      </c>
    </row>
    <row r="119" spans="1:8" x14ac:dyDescent="0.2">
      <c r="A119" t="s">
        <v>6</v>
      </c>
      <c r="B119">
        <v>1</v>
      </c>
    </row>
    <row r="120" spans="1:8" x14ac:dyDescent="0.2">
      <c r="A120" t="s">
        <v>7</v>
      </c>
      <c r="B120" t="s">
        <v>38</v>
      </c>
    </row>
    <row r="121" spans="1:8" x14ac:dyDescent="0.2">
      <c r="A121" t="s">
        <v>8</v>
      </c>
      <c r="B121" t="s">
        <v>9</v>
      </c>
    </row>
    <row r="122" spans="1:8" x14ac:dyDescent="0.2">
      <c r="A122" t="s">
        <v>10</v>
      </c>
      <c r="B122" t="s">
        <v>16</v>
      </c>
    </row>
    <row r="123" spans="1:8" x14ac:dyDescent="0.2">
      <c r="A123" s="1" t="s">
        <v>11</v>
      </c>
      <c r="B123" s="1"/>
      <c r="C123" s="1"/>
      <c r="D123" s="1"/>
      <c r="E123" s="1"/>
      <c r="F123" s="1"/>
      <c r="G123" s="1"/>
    </row>
    <row r="124" spans="1:8" x14ac:dyDescent="0.2">
      <c r="A124" s="1" t="s">
        <v>12</v>
      </c>
      <c r="B124" s="1" t="s">
        <v>13</v>
      </c>
      <c r="C124" s="1" t="s">
        <v>8</v>
      </c>
      <c r="D124" s="1" t="s">
        <v>14</v>
      </c>
      <c r="E124" s="1" t="s">
        <v>4</v>
      </c>
      <c r="F124" s="1" t="s">
        <v>15</v>
      </c>
      <c r="G124" s="1" t="s">
        <v>7</v>
      </c>
      <c r="H124" s="1" t="s">
        <v>3</v>
      </c>
    </row>
    <row r="125" spans="1:8" x14ac:dyDescent="0.2">
      <c r="A125" t="str">
        <f>B116</f>
        <v>copper current collector production, for Li-O2 battery</v>
      </c>
      <c r="B125" s="3">
        <v>1</v>
      </c>
      <c r="C125" t="str">
        <f>B121</f>
        <v>kilogram</v>
      </c>
      <c r="E125" t="str">
        <f>B118</f>
        <v>RER</v>
      </c>
      <c r="F125" t="s">
        <v>18</v>
      </c>
      <c r="G125" t="str">
        <f>B120</f>
        <v>copper current collector</v>
      </c>
    </row>
    <row r="126" spans="1:8" x14ac:dyDescent="0.2">
      <c r="A126" t="inlineStr">
        <is>
          <t>market for copper, cathode</t>
        </is>
      </c>
      <c r="B126" s="3">
        <v>0.71299999999999997</v>
      </c>
      <c r="C126" t="s">
        <v>9</v>
      </c>
      <c r="E126" t="s">
        <v>5</v>
      </c>
      <c r="F126" t="s">
        <v>27</v>
      </c>
      <c r="G126" t="inlineStr">
        <is>
          <t>copper, cathode</t>
        </is>
      </c>
      <c r="H126" t="inlineStr">
        <is>
          <t>Local Li-O2 collector supplier-identity correction, 2026-10-17 (approved). Wang, Deng and Yuan (2020), Life cycle assessment of lithium oxygen battery for electric vehicles, DOI 10.1016/j.jclepro.2020.121339, supplementary Table S9: Life cycle inventory of 1 kg copper current collector. https://ars.els-cdn.com/content/image/1-s2.0-S095965262031386X-mmc2.docx The source lists Copper, primary, 713 g, linked to RNA: copper production, primary, ecoinvent. Replace the incorrect copper-concentrate input with market for copper, cathode, GLO; product copper, cathode. This is a refined-metal market proxy, not the identical historical primary-production dataset. Its existing supplier mix is retained; no source-specific primary/secondary fraction or future share is inferred or imposed. Retain 713/1000 = 0.713 kg feed per 1 kg declared collector output. The source coefficient leaves an apparent 0.287 kg direct-feed deficit for a nominal 1 kg copper collector before considering rolling-chain replacement losses and other fabrication flows; its complete copper balance and manufacturing yield remain unresolved. The 1 kg sheet-rolling service is processing demand, not evidence of an additional 1 kg main copper feed. No automatic increase to 1 kg, output rescaling, extra refining process or yield factor is applied. Other source/mapping, component and whole-battery mass-basis issues remain open. This corrects one supplier identity and does not validate the full collector or Li-O2 battery recipe.</t>
        </is>
      </c>
    </row>
    <row r="127" spans="1:8" x14ac:dyDescent="0.2">
      <c r="A127" t="s">
        <v>85</v>
      </c>
      <c r="B127" s="3">
        <v>4.6000000000000001E-10</v>
      </c>
      <c r="C127" t="s">
        <v>8</v>
      </c>
      <c r="E127" t="s">
        <v>5</v>
      </c>
      <c r="F127" t="s">
        <v>27</v>
      </c>
      <c r="G127" t="s">
        <v>86</v>
      </c>
    </row>
    <row r="128" spans="1:8" x14ac:dyDescent="0.2">
      <c r="A128" t="s">
        <v>106</v>
      </c>
      <c r="B128" s="3">
        <v>1</v>
      </c>
      <c r="C128" t="s">
        <v>9</v>
      </c>
      <c r="E128" t="s">
        <v>5</v>
      </c>
      <c r="F128" t="s">
        <v>27</v>
      </c>
      <c r="G128" t="s">
        <v>107</v>
      </c>
    </row>
    <row r="129" spans="1:8" x14ac:dyDescent="0.2">
      <c r="A129" t="s">
        <v>87</v>
      </c>
      <c r="B129" s="3">
        <v>0.2</v>
      </c>
      <c r="C129" t="s">
        <v>88</v>
      </c>
      <c r="E129" t="s">
        <v>63</v>
      </c>
      <c r="F129" t="s">
        <v>27</v>
      </c>
      <c r="G129" t="s">
        <v>89</v>
      </c>
    </row>
    <row r="130" spans="1:8" x14ac:dyDescent="0.2">
      <c r="A130" t="s">
        <v>90</v>
      </c>
      <c r="B130" s="3">
        <v>0.1</v>
      </c>
      <c r="C130" t="s">
        <v>88</v>
      </c>
      <c r="E130" t="s">
        <v>48</v>
      </c>
      <c r="F130" t="s">
        <v>27</v>
      </c>
      <c r="G130" t="s">
        <v>91</v>
      </c>
    </row>
    <row r="133" spans="1:8" ht="16" x14ac:dyDescent="0.2">
      <c r="A133" s="2" t="s">
        <v>2</v>
      </c>
      <c r="B133" s="2" t="s">
        <v>20</v>
      </c>
    </row>
    <row r="134" spans="1:8" ht="16" x14ac:dyDescent="0.2">
      <c r="A134" s="7" t="s">
        <v>3</v>
      </c>
      <c r="B134" s="7" t="s">
        <v>263</v>
      </c>
    </row>
    <row r="135" spans="1:8" x14ac:dyDescent="0.2">
      <c r="A135" t="s">
        <v>4</v>
      </c>
      <c r="B135" t="s">
        <v>48</v>
      </c>
    </row>
    <row r="136" spans="1:8" x14ac:dyDescent="0.2">
      <c r="A136" t="s">
        <v>6</v>
      </c>
      <c r="B136">
        <v>1</v>
      </c>
    </row>
    <row r="137" spans="1:8" x14ac:dyDescent="0.2">
      <c r="A137" t="s">
        <v>7</v>
      </c>
      <c r="B137" t="s">
        <v>33</v>
      </c>
    </row>
    <row r="138" spans="1:8" x14ac:dyDescent="0.2">
      <c r="A138" t="s">
        <v>8</v>
      </c>
      <c r="B138" t="s">
        <v>9</v>
      </c>
    </row>
    <row r="139" spans="1:8" x14ac:dyDescent="0.2">
      <c r="A139" t="s">
        <v>10</v>
      </c>
      <c r="B139" t="s">
        <v>16</v>
      </c>
    </row>
    <row r="140" spans="1:8" x14ac:dyDescent="0.2">
      <c r="A140" s="1" t="s">
        <v>11</v>
      </c>
      <c r="B140" s="1"/>
      <c r="C140" s="1"/>
      <c r="D140" s="1"/>
      <c r="E140" s="1"/>
      <c r="F140" s="1"/>
      <c r="G140" s="1"/>
    </row>
    <row r="141" spans="1:8" x14ac:dyDescent="0.2">
      <c r="A141" s="1" t="s">
        <v>12</v>
      </c>
      <c r="B141" s="1" t="s">
        <v>13</v>
      </c>
      <c r="C141" s="1" t="s">
        <v>8</v>
      </c>
      <c r="D141" s="1" t="s">
        <v>14</v>
      </c>
      <c r="E141" s="1" t="s">
        <v>4</v>
      </c>
      <c r="F141" s="1" t="s">
        <v>15</v>
      </c>
      <c r="G141" s="1" t="s">
        <v>7</v>
      </c>
      <c r="H141" s="1" t="s">
        <v>3</v>
      </c>
    </row>
    <row r="142" spans="1:8" x14ac:dyDescent="0.2">
      <c r="A142" t="str">
        <f>B133</f>
        <v>aluminium current collector production, for Li-O2 battery</v>
      </c>
      <c r="B142" s="3">
        <v>1</v>
      </c>
      <c r="C142" t="str">
        <f>B138</f>
        <v>kilogram</v>
      </c>
      <c r="E142" t="str">
        <f>B135</f>
        <v>RER</v>
      </c>
      <c r="F142" t="s">
        <v>18</v>
      </c>
      <c r="G142" t="str">
        <f>B137</f>
        <v>aluminium current collector</v>
      </c>
    </row>
    <row r="143" spans="1:8" x14ac:dyDescent="0.2">
      <c r="A143" t="s">
        <v>108</v>
      </c>
      <c r="B143" s="3">
        <v>0.82499999999999996</v>
      </c>
      <c r="C143" t="s">
        <v>9</v>
      </c>
      <c r="E143" t="s">
        <v>110</v>
      </c>
      <c r="F143" t="s">
        <v>27</v>
      </c>
      <c r="G143" t="s">
        <v>109</v>
      </c>
    </row>
    <row r="144" spans="1:8" x14ac:dyDescent="0.2">
      <c r="A144" t="s">
        <v>111</v>
      </c>
      <c r="B144" s="3">
        <v>1</v>
      </c>
      <c r="C144" t="s">
        <v>9</v>
      </c>
      <c r="E144" t="s">
        <v>48</v>
      </c>
      <c r="F144" t="s">
        <v>27</v>
      </c>
      <c r="G144" t="s">
        <v>111</v>
      </c>
    </row>
    <row r="145" spans="1:8" x14ac:dyDescent="0.2">
      <c r="A145" t="s">
        <v>87</v>
      </c>
      <c r="B145" s="3">
        <v>0.2</v>
      </c>
      <c r="C145" t="s">
        <v>88</v>
      </c>
      <c r="E145" t="s">
        <v>63</v>
      </c>
      <c r="F145" t="s">
        <v>27</v>
      </c>
      <c r="G145" t="s">
        <v>89</v>
      </c>
    </row>
    <row r="146" spans="1:8" x14ac:dyDescent="0.2">
      <c r="A146" t="s">
        <v>90</v>
      </c>
      <c r="B146" s="3">
        <v>0.1</v>
      </c>
      <c r="C146" t="s">
        <v>88</v>
      </c>
      <c r="E146" t="s">
        <v>48</v>
      </c>
      <c r="F146" t="s">
        <v>27</v>
      </c>
      <c r="G146" t="s">
        <v>91</v>
      </c>
    </row>
    <row r="149" spans="1:8" ht="16" x14ac:dyDescent="0.2">
      <c r="A149" s="2" t="s">
        <v>2</v>
      </c>
      <c r="B149" s="2" t="s">
        <v>24</v>
      </c>
    </row>
    <row r="150" spans="1:8" ht="16" x14ac:dyDescent="0.2">
      <c r="A150" s="7" t="s">
        <v>3</v>
      </c>
      <c r="B150" s="7" t="inlineStr">
        <is>
          <t> Source: Originally from Wang, F., Deng, Y., &amp; Yuan, C. (2020). Life cycle assessment of lithium oxygen battery for electric vehicles. Journal of Cleaner Production, 264, 121339. https://doi.org/10.1016/j.jclepro.2020.121339 Local Li-O2 terminal copper input correction, 2026-10-17 (approved). Wang, Deng and Yuan (2020), DOI 10.1016/j.jclepro.2020.121339, supplementary Table S11: Life cycle inventory of 1 kg terminals, https://ars.els-cdn.com/content/image/1-s2.0-S095965262031386X-mmc2.docx. The Copper ingot, secondary row is a positive 234 g input, linked to RER: copper, secondary, at refinery. Replace the negative -0.234 kg scrap-copper output with a positive 234/1000 = 0.234 kg refined-metal input from market for copper, cathode, GLO. The existing separate 0.713 kg source-primary copper input is retained; combined direct refined copper demand becomes 0.713 + 0.234 = 0.947 kg per kg declared terminals. The cathode market is a refined-product proxy and does not reproduce the source secondary-only supplier. Its existing mix is used without inferring or imposing primary/secondary content or future shares. No additional scrap-recycling credit or explicit refining process is introduced. The source table also lists 0.825 + 0.045 kg aluminium inputs and only 0.018 kg solid waste per 1 kg terminals; the resulting 1.817 kg gross metal-input basis, fabrication yields, unreported outflows and aluminium-scrap-versus-ingot mapping remain unresolved. No blanket normalization or yield correction follows from the sign repair. Other numerical inputs, output, transport and rolling services are retained. The former numeric calculation in this comment cell (=184*B$24*B164) is replaced by this source documentation. This corrects one material identity and flow direction, not the complete terminal or battery recipe.</t>
        </is>
      </c>
    </row>
    <row r="151" spans="1:8" x14ac:dyDescent="0.2">
      <c r="A151" t="s">
        <v>4</v>
      </c>
      <c r="B151" t="s">
        <v>48</v>
      </c>
    </row>
    <row r="152" spans="1:8" x14ac:dyDescent="0.2">
      <c r="A152" t="s">
        <v>6</v>
      </c>
      <c r="B152">
        <v>1</v>
      </c>
    </row>
    <row r="153" spans="1:8" x14ac:dyDescent="0.2">
      <c r="A153" t="s">
        <v>7</v>
      </c>
      <c r="B153" t="s">
        <v>37</v>
      </c>
    </row>
    <row r="154" spans="1:8" x14ac:dyDescent="0.2">
      <c r="A154" t="s">
        <v>8</v>
      </c>
      <c r="B154" t="s">
        <v>9</v>
      </c>
    </row>
    <row r="155" spans="1:8" x14ac:dyDescent="0.2">
      <c r="A155" t="s">
        <v>10</v>
      </c>
      <c r="B155" t="s">
        <v>16</v>
      </c>
    </row>
    <row r="156" spans="1:8" x14ac:dyDescent="0.2">
      <c r="A156" s="1" t="s">
        <v>11</v>
      </c>
      <c r="B156" s="1"/>
      <c r="C156" s="1"/>
      <c r="D156" s="1"/>
      <c r="E156" s="1"/>
      <c r="F156" s="1"/>
      <c r="G156" s="1"/>
    </row>
    <row r="157" spans="1:8" x14ac:dyDescent="0.2">
      <c r="A157" s="1" t="s">
        <v>12</v>
      </c>
      <c r="B157" s="1" t="s">
        <v>13</v>
      </c>
      <c r="C157" s="1" t="s">
        <v>8</v>
      </c>
      <c r="D157" s="1" t="s">
        <v>14</v>
      </c>
      <c r="E157" s="1" t="s">
        <v>4</v>
      </c>
      <c r="F157" s="1" t="s">
        <v>15</v>
      </c>
      <c r="G157" s="1" t="s">
        <v>7</v>
      </c>
      <c r="H157" s="1" t="s">
        <v>3</v>
      </c>
    </row>
    <row r="158" spans="1:8" x14ac:dyDescent="0.2">
      <c r="A158" t="str">
        <f>B149</f>
        <v>terminals production, for Li-O2 battery</v>
      </c>
      <c r="B158">
        <v>1</v>
      </c>
      <c r="C158" t="str">
        <f>B154</f>
        <v>kilogram</v>
      </c>
      <c r="E158" t="str">
        <f>B151</f>
        <v>RER</v>
      </c>
      <c r="F158" t="s">
        <v>18</v>
      </c>
      <c r="G158" t="str">
        <f>B153</f>
        <v>terminals</v>
      </c>
    </row>
    <row r="159" spans="1:8" x14ac:dyDescent="0.2">
      <c r="A159" t="s">
        <v>108</v>
      </c>
      <c r="B159">
        <v>0.82499999999999996</v>
      </c>
      <c r="C159" t="s">
        <v>9</v>
      </c>
      <c r="E159" t="s">
        <v>110</v>
      </c>
      <c r="F159" t="s">
        <v>27</v>
      </c>
      <c r="G159" t="s">
        <v>109</v>
      </c>
      <c r="H159">
        <f>184*B$24*B159</f>
        <v>8.6525999999999996</v>
      </c>
    </row>
    <row r="160" spans="1:8" x14ac:dyDescent="0.2">
      <c r="A160" t="s">
        <v>112</v>
      </c>
      <c r="B160">
        <f>45/1000</f>
        <v>4.4999999999999998E-2</v>
      </c>
      <c r="C160" t="s">
        <v>9</v>
      </c>
      <c r="E160" t="s">
        <v>48</v>
      </c>
      <c r="F160" t="s">
        <v>27</v>
      </c>
      <c r="G160" t="s">
        <v>113</v>
      </c>
      <c r="H160">
        <f t="shared" ref="H160:H163" si="0">184*B$24*B160</f>
        <v>0.47195999999999994</v>
      </c>
    </row>
    <row r="161" spans="1:8" x14ac:dyDescent="0.2">
      <c r="A161" t="s">
        <v>114</v>
      </c>
      <c r="B161">
        <f>0.0000000000349</f>
        <v>3.4899999999999997E-11</v>
      </c>
      <c r="C161" t="s">
        <v>8</v>
      </c>
      <c r="E161" t="s">
        <v>48</v>
      </c>
      <c r="F161" t="s">
        <v>27</v>
      </c>
      <c r="G161" t="s">
        <v>115</v>
      </c>
      <c r="H161">
        <f t="shared" si="0"/>
        <v>3.6603119999999994E-10</v>
      </c>
    </row>
    <row r="162" spans="1:8" x14ac:dyDescent="0.2">
      <c r="A162" t="s">
        <v>85</v>
      </c>
      <c r="B162" s="3">
        <v>3.5300000000000002E-10</v>
      </c>
      <c r="C162" t="s">
        <v>8</v>
      </c>
      <c r="E162" t="s">
        <v>5</v>
      </c>
      <c r="F162" t="s">
        <v>27</v>
      </c>
      <c r="G162" t="s">
        <v>86</v>
      </c>
      <c r="H162">
        <f t="shared" si="0"/>
        <v>3.702264E-9</v>
      </c>
    </row>
    <row r="163" spans="1:8" x14ac:dyDescent="0.2">
      <c r="A163" t="s">
        <v>116</v>
      </c>
      <c r="B163">
        <v>0.71299999999999997</v>
      </c>
      <c r="C163" t="s">
        <v>9</v>
      </c>
      <c r="E163" t="s">
        <v>5</v>
      </c>
      <c r="F163" t="s">
        <v>27</v>
      </c>
      <c r="G163" t="s">
        <v>117</v>
      </c>
      <c r="H163">
        <f t="shared" si="0"/>
        <v>7.477943999999999</v>
      </c>
    </row>
    <row r="164" spans="1:8" x14ac:dyDescent="0.2">
      <c r="A164" t="inlineStr">
        <is>
          <t>market for copper, cathode</t>
        </is>
      </c>
      <c r="B164">
        <f>234/1000</f>
        <v>0.234</v>
      </c>
      <c r="C164" t="s">
        <v>9</v>
      </c>
      <c r="E164" t="inlineStr">
        <is>
          <t>GLO</t>
        </is>
      </c>
      <c r="F164" t="s">
        <v>27</v>
      </c>
      <c r="G164" t="inlineStr">
        <is>
          <t>copper, cathode</t>
        </is>
      </c>
      <c r="H164" t="inlineStr">
        <is>
          <t>Local Li-O2 terminal copper input correction, 2026-10-17 (approved). Wang, Deng and Yuan (2020), DOI 10.1016/j.jclepro.2020.121339, supplementary Table S11: Life cycle inventory of 1 kg terminals, https://ars.els-cdn.com/content/image/1-s2.0-S095965262031386X-mmc2.docx. The Copper ingot, secondary row is a positive 234 g input, linked to RER: copper, secondary, at refinery. Replace the negative -0.234 kg scrap-copper output with a positive 234/1000 = 0.234 kg refined-metal input from market for copper, cathode, GLO. The existing separate 0.713 kg source-primary copper input is retained; combined direct refined copper demand becomes 0.713 + 0.234 = 0.947 kg per kg declared terminals. The cathode market is a refined-product proxy and does not reproduce the source secondary-only supplier. Its existing mix is used without inferring or imposing primary/secondary content or future shares. No additional scrap-recycling credit or explicit refining process is introduced. The source table also lists 0.825 + 0.045 kg aluminium inputs and only 0.018 kg solid waste per 1 kg terminals; the resulting 1.817 kg gross metal-input basis, fabrication yields, unreported outflows and aluminium-scrap-versus-ingot mapping remain unresolved. No blanket normalization or yield correction follows from the sign repair. Other numerical inputs, output, transport and rolling services are retained. The former numeric calculation in this comment cell (=184*B$24*B164) is replaced by this source documentation. This corrects one material identity and flow direction, not the complete terminal or battery recipe.</t>
        </is>
      </c>
    </row>
    <row r="165" spans="1:8" x14ac:dyDescent="0.2">
      <c r="A165" t="s">
        <v>120</v>
      </c>
      <c r="B165">
        <v>0.23200000000000001</v>
      </c>
      <c r="C165" t="s">
        <v>9</v>
      </c>
      <c r="E165" t="s">
        <v>5</v>
      </c>
      <c r="F165" t="s">
        <v>27</v>
      </c>
      <c r="G165" t="s">
        <v>111</v>
      </c>
      <c r="H165">
        <f t="shared" si="4" ref="H165:H169">184*B$24*B165</f>
        <v>2.4332159999999998</v>
      </c>
    </row>
    <row r="166" spans="1:8" x14ac:dyDescent="0.2">
      <c r="A166" t="s">
        <v>106</v>
      </c>
      <c r="B166">
        <v>0.76800000000000002</v>
      </c>
      <c r="C166" t="s">
        <v>9</v>
      </c>
      <c r="E166" t="s">
        <v>5</v>
      </c>
      <c r="F166" t="s">
        <v>27</v>
      </c>
      <c r="G166" t="s">
        <v>107</v>
      </c>
      <c r="H166">
        <f t="shared" si="4"/>
        <v>8.0547839999999997</v>
      </c>
    </row>
    <row r="167" spans="1:8" x14ac:dyDescent="0.2">
      <c r="A167" t="s">
        <v>87</v>
      </c>
      <c r="B167">
        <v>0.2</v>
      </c>
      <c r="C167" t="s">
        <v>88</v>
      </c>
      <c r="E167" t="s">
        <v>63</v>
      </c>
      <c r="F167" t="s">
        <v>27</v>
      </c>
      <c r="G167" t="s">
        <v>89</v>
      </c>
      <c r="H167">
        <f t="shared" si="4"/>
        <v>2.0975999999999999</v>
      </c>
    </row>
    <row r="168" spans="1:8" x14ac:dyDescent="0.2">
      <c r="A168" t="s">
        <v>90</v>
      </c>
      <c r="B168">
        <v>0.1</v>
      </c>
      <c r="C168" t="s">
        <v>88</v>
      </c>
      <c r="E168" t="s">
        <v>48</v>
      </c>
      <c r="F168" t="s">
        <v>27</v>
      </c>
      <c r="G168" t="s">
        <v>91</v>
      </c>
      <c r="H168">
        <f t="shared" si="4"/>
        <v>1.0488</v>
      </c>
    </row>
    <row r="169" spans="1:8" x14ac:dyDescent="0.2">
      <c r="A169" t="s">
        <v>121</v>
      </c>
      <c r="B169">
        <f>-18/1000</f>
        <v>-1.7999999999999999E-2</v>
      </c>
      <c r="C169" t="s">
        <v>9</v>
      </c>
      <c r="E169" t="s">
        <v>63</v>
      </c>
      <c r="F169" t="s">
        <v>27</v>
      </c>
      <c r="G169" t="s">
        <v>122</v>
      </c>
      <c r="H169">
        <f t="shared" si="4"/>
        <v>-0.18878399999999998</v>
      </c>
    </row>
    <row r="172" spans="1:8" ht="16" x14ac:dyDescent="0.2">
      <c r="A172" s="2" t="s">
        <v>2</v>
      </c>
      <c r="B172" s="2" t="s">
        <v>23</v>
      </c>
    </row>
    <row r="173" spans="1:8" ht="16" x14ac:dyDescent="0.2">
      <c r="A173" s="7" t="s">
        <v>3</v>
      </c>
      <c r="B173" s="7" t="s">
        <v>263</v>
      </c>
    </row>
    <row r="174" spans="1:8" x14ac:dyDescent="0.2">
      <c r="A174" t="s">
        <v>4</v>
      </c>
      <c r="B174" t="s">
        <v>48</v>
      </c>
    </row>
    <row r="175" spans="1:8" x14ac:dyDescent="0.2">
      <c r="A175" t="s">
        <v>6</v>
      </c>
      <c r="B175">
        <v>1</v>
      </c>
    </row>
    <row r="176" spans="1:8" x14ac:dyDescent="0.2">
      <c r="A176" t="s">
        <v>7</v>
      </c>
      <c r="B176" t="s">
        <v>36</v>
      </c>
    </row>
    <row r="177" spans="1:8" x14ac:dyDescent="0.2">
      <c r="A177" t="s">
        <v>8</v>
      </c>
      <c r="B177" t="s">
        <v>9</v>
      </c>
    </row>
    <row r="178" spans="1:8" x14ac:dyDescent="0.2">
      <c r="A178" t="s">
        <v>10</v>
      </c>
      <c r="B178" t="s">
        <v>16</v>
      </c>
    </row>
    <row r="179" spans="1:8" x14ac:dyDescent="0.2">
      <c r="A179" s="1" t="s">
        <v>11</v>
      </c>
      <c r="B179" s="1"/>
      <c r="C179" s="1"/>
      <c r="D179" s="1"/>
      <c r="E179" s="1"/>
      <c r="F179" s="1"/>
      <c r="G179" s="1"/>
    </row>
    <row r="180" spans="1:8" x14ac:dyDescent="0.2">
      <c r="A180" s="1" t="s">
        <v>12</v>
      </c>
      <c r="B180" s="1" t="s">
        <v>13</v>
      </c>
      <c r="C180" s="1" t="s">
        <v>8</v>
      </c>
      <c r="D180" s="1" t="s">
        <v>14</v>
      </c>
      <c r="E180" s="1" t="s">
        <v>4</v>
      </c>
      <c r="F180" s="1" t="s">
        <v>15</v>
      </c>
      <c r="G180" s="1" t="s">
        <v>7</v>
      </c>
      <c r="H180" s="1" t="s">
        <v>3</v>
      </c>
    </row>
    <row r="181" spans="1:8" x14ac:dyDescent="0.2">
      <c r="A181" t="str">
        <f>B172</f>
        <v>multilayer film production, for Li-O2 battery</v>
      </c>
      <c r="B181">
        <v>1</v>
      </c>
      <c r="C181" t="str">
        <f>B177</f>
        <v>kilogram</v>
      </c>
      <c r="E181" t="str">
        <f>B174</f>
        <v>RER</v>
      </c>
      <c r="F181" t="s">
        <v>18</v>
      </c>
      <c r="G181" t="str">
        <f>B176</f>
        <v>multilayer film</v>
      </c>
    </row>
    <row r="182" spans="1:8" x14ac:dyDescent="0.2">
      <c r="A182" t="s">
        <v>108</v>
      </c>
      <c r="B182">
        <v>0.55000000000000004</v>
      </c>
      <c r="C182" t="s">
        <v>9</v>
      </c>
      <c r="E182" t="s">
        <v>110</v>
      </c>
      <c r="F182" t="s">
        <v>27</v>
      </c>
      <c r="G182" t="s">
        <v>109</v>
      </c>
      <c r="H182">
        <f>184*B$23*B182</f>
        <v>3.7444000000000002</v>
      </c>
    </row>
    <row r="183" spans="1:8" x14ac:dyDescent="0.2">
      <c r="A183" t="s">
        <v>112</v>
      </c>
      <c r="B183">
        <v>0.129</v>
      </c>
      <c r="C183" t="s">
        <v>9</v>
      </c>
      <c r="E183" t="s">
        <v>48</v>
      </c>
      <c r="F183" t="s">
        <v>27</v>
      </c>
      <c r="G183" t="s">
        <v>113</v>
      </c>
      <c r="H183">
        <f t="shared" ref="H183:H188" si="1">184*B$23*B183</f>
        <v>0.87823200000000001</v>
      </c>
    </row>
    <row r="184" spans="1:8" x14ac:dyDescent="0.2">
      <c r="A184" t="s">
        <v>123</v>
      </c>
      <c r="B184">
        <v>0.20599999999999999</v>
      </c>
      <c r="C184" t="s">
        <v>9</v>
      </c>
      <c r="E184" t="s">
        <v>5</v>
      </c>
      <c r="F184" t="s">
        <v>27</v>
      </c>
      <c r="G184" t="s">
        <v>124</v>
      </c>
      <c r="H184">
        <f t="shared" si="1"/>
        <v>1.4024479999999999</v>
      </c>
    </row>
    <row r="185" spans="1:8" x14ac:dyDescent="0.2">
      <c r="A185" t="s">
        <v>125</v>
      </c>
      <c r="B185">
        <v>0.13700000000000001</v>
      </c>
      <c r="C185" t="s">
        <v>9</v>
      </c>
      <c r="E185" t="s">
        <v>5</v>
      </c>
      <c r="F185" t="s">
        <v>27</v>
      </c>
      <c r="G185" t="s">
        <v>126</v>
      </c>
      <c r="H185">
        <f t="shared" si="1"/>
        <v>0.93269600000000008</v>
      </c>
    </row>
    <row r="186" spans="1:8" x14ac:dyDescent="0.2">
      <c r="A186" t="s">
        <v>120</v>
      </c>
      <c r="B186">
        <v>0.66700000000000004</v>
      </c>
      <c r="C186" t="s">
        <v>9</v>
      </c>
      <c r="E186" t="s">
        <v>5</v>
      </c>
      <c r="F186" t="s">
        <v>27</v>
      </c>
      <c r="G186" t="s">
        <v>111</v>
      </c>
      <c r="H186">
        <f t="shared" si="1"/>
        <v>4.5409360000000003</v>
      </c>
    </row>
    <row r="187" spans="1:8" x14ac:dyDescent="0.2">
      <c r="A187" t="s">
        <v>79</v>
      </c>
      <c r="B187">
        <v>0.33300000000000002</v>
      </c>
      <c r="C187" t="s">
        <v>9</v>
      </c>
      <c r="E187" t="s">
        <v>5</v>
      </c>
      <c r="F187" t="s">
        <v>27</v>
      </c>
      <c r="G187" t="s">
        <v>80</v>
      </c>
      <c r="H187">
        <f t="shared" si="1"/>
        <v>2.267064</v>
      </c>
    </row>
    <row r="188" spans="1:8" x14ac:dyDescent="0.2">
      <c r="A188" t="s">
        <v>121</v>
      </c>
      <c r="B188">
        <f>-21/1000</f>
        <v>-2.1000000000000001E-2</v>
      </c>
      <c r="C188" t="s">
        <v>9</v>
      </c>
      <c r="E188" t="s">
        <v>63</v>
      </c>
      <c r="F188" t="s">
        <v>27</v>
      </c>
      <c r="G188" t="s">
        <v>122</v>
      </c>
      <c r="H188">
        <f t="shared" si="1"/>
        <v>-0.14296800000000001</v>
      </c>
    </row>
    <row r="191" spans="1:8" ht="16" x14ac:dyDescent="0.2">
      <c r="A191" s="2" t="s">
        <v>2</v>
      </c>
      <c r="B191" s="2" t="s">
        <v>128</v>
      </c>
    </row>
    <row r="192" spans="1:8" ht="16" x14ac:dyDescent="0.2">
      <c r="A192" s="7" t="s">
        <v>3</v>
      </c>
      <c r="B192" s="7" t="s">
        <v>263</v>
      </c>
    </row>
    <row r="193" spans="1:8" x14ac:dyDescent="0.2">
      <c r="A193" t="s">
        <v>4</v>
      </c>
      <c r="B193" t="s">
        <v>48</v>
      </c>
    </row>
    <row r="194" spans="1:8" x14ac:dyDescent="0.2">
      <c r="A194" t="s">
        <v>6</v>
      </c>
      <c r="B194">
        <v>1</v>
      </c>
    </row>
    <row r="195" spans="1:8" x14ac:dyDescent="0.2">
      <c r="A195" t="s">
        <v>7</v>
      </c>
      <c r="B195" t="s">
        <v>127</v>
      </c>
    </row>
    <row r="196" spans="1:8" x14ac:dyDescent="0.2">
      <c r="A196" t="s">
        <v>8</v>
      </c>
      <c r="B196" t="s">
        <v>9</v>
      </c>
    </row>
    <row r="197" spans="1:8" x14ac:dyDescent="0.2">
      <c r="A197" t="s">
        <v>10</v>
      </c>
      <c r="B197" t="s">
        <v>16</v>
      </c>
    </row>
    <row r="198" spans="1:8" x14ac:dyDescent="0.2">
      <c r="A198" s="1" t="s">
        <v>11</v>
      </c>
      <c r="B198" s="1"/>
      <c r="C198" s="1"/>
      <c r="D198" s="1"/>
      <c r="E198" s="1"/>
      <c r="F198" s="1"/>
      <c r="G198" s="1"/>
    </row>
    <row r="199" spans="1:8" x14ac:dyDescent="0.2">
      <c r="A199" s="1" t="s">
        <v>12</v>
      </c>
      <c r="B199" s="1" t="s">
        <v>13</v>
      </c>
      <c r="C199" s="1" t="s">
        <v>8</v>
      </c>
      <c r="D199" s="1" t="s">
        <v>14</v>
      </c>
      <c r="E199" s="1" t="s">
        <v>4</v>
      </c>
      <c r="F199" s="1" t="s">
        <v>15</v>
      </c>
      <c r="G199" s="1" t="s">
        <v>7</v>
      </c>
      <c r="H199" s="1" t="s">
        <v>3</v>
      </c>
    </row>
    <row r="200" spans="1:8" x14ac:dyDescent="0.2">
      <c r="A200" t="str">
        <f>B191</f>
        <v>oxygen tank production, for Li-O2 battery</v>
      </c>
      <c r="B200">
        <v>1</v>
      </c>
      <c r="C200" t="str">
        <f>B196</f>
        <v>kilogram</v>
      </c>
      <c r="E200" t="str">
        <f>B193</f>
        <v>RER</v>
      </c>
      <c r="F200" t="s">
        <v>18</v>
      </c>
      <c r="G200" t="str">
        <f>B195</f>
        <v>oxygen tank</v>
      </c>
    </row>
    <row r="201" spans="1:8" x14ac:dyDescent="0.2">
      <c r="A201" t="s">
        <v>64</v>
      </c>
      <c r="B201">
        <f>0.236/3.6</f>
        <v>6.5555555555555547E-2</v>
      </c>
      <c r="C201" t="s">
        <v>66</v>
      </c>
      <c r="E201" t="s">
        <v>63</v>
      </c>
      <c r="F201" t="s">
        <v>27</v>
      </c>
      <c r="G201" t="s">
        <v>65</v>
      </c>
    </row>
    <row r="202" spans="1:8" x14ac:dyDescent="0.2">
      <c r="A202" t="s">
        <v>129</v>
      </c>
      <c r="B202">
        <v>1</v>
      </c>
      <c r="C202" t="s">
        <v>9</v>
      </c>
      <c r="E202" t="s">
        <v>5</v>
      </c>
      <c r="F202" t="s">
        <v>27</v>
      </c>
      <c r="G202" t="s">
        <v>130</v>
      </c>
    </row>
    <row r="205" spans="1:8" ht="16" x14ac:dyDescent="0.2">
      <c r="A205" s="2" t="s">
        <v>2</v>
      </c>
      <c r="B205" s="2" t="s">
        <v>131</v>
      </c>
    </row>
    <row r="206" spans="1:8" x14ac:dyDescent="0.2">
      <c r="A206" t="s">
        <v>3</v>
      </c>
      <c r="B206" t="inlineStr">
        <is>
          <t>The module and pack packagings are modelled based on the results from BatPaC method. The aluminum and copper films are produced by the sheet rolling with a 98.2% material efficiency. As for the steel film, cold rolling is modelled with 99% material efficiency (Green, 2007). Source: Originally from Wang, F., Deng, Y., &amp; Yuan, C. (2020). Life cycle assessment of lithium oxygen battery for electric vehicles. Journal of Cleaner Production, 264, 121339. https://doi.org/10.1016/j.jclepro.2020.121339 Local Li-O2 module copper-wire feed completion, 2026-10-17 (approved). Wang, Deng and Yuan (2020), DOI 10.1016/j.jclepro.2020.121339, supplementary Table S14: Life cycle inventory of 1 kg module packaging, https://ars.els-cdn.com/content/image/1-s2.0-S095965262031386X-mmc2.docx. The source labels Copper wire = 115 g but links it only to RER copper wire drawing. Wire drawing is a processing service excluding the main metal feed; the existing native RER recipe buys 0.039644 kg cathode copper per kg service to replace processing losses. Complete the intended 115/1000 = 0.115 kg nominal copper-wire input by adding 0.115 kg market for copper, cathode, GLO, per kg declared module packaging. Retain the existing 0.115 kg wire-drawing service, which supplies its own replacement-loss metal. The selected immediate wire path therefore buys 0.115 + 0.115*0.039644 = 0.11955906 kg gross cathode feed per kg module packaging, before wider supply-chain feedback; this is not the retained wire mass or a full-system refined-copper result. No extra 98.2% rolling-efficiency factor is applied to the wire. This is an approved physical completion of the source service-only mapping, not an extra material row explicitly listed in the original S14. Use the cathode market as a metal-stock proxy with its existing mix; source-specific purity, primary/secondary content and future shares remain unresolved. Source output normalization, other component material/process identities, unreported fabrication outflows and whole battery mass basis remain open. Retain all other quantities, output and processing services; no blanket yield or packaging-mass renormalization. Source DOCX SHA256: 760c98ff6240558bf1bdb2df42039f678768b627667f2db437d754bf4c4ec52a.</t>
        </is>
      </c>
    </row>
    <row r="207" spans="1:8" x14ac:dyDescent="0.2">
      <c r="A207" t="s">
        <v>4</v>
      </c>
      <c r="B207" t="s">
        <v>48</v>
      </c>
    </row>
    <row r="208" spans="1:8" x14ac:dyDescent="0.2">
      <c r="A208" t="s">
        <v>6</v>
      </c>
      <c r="B208">
        <v>1</v>
      </c>
    </row>
    <row r="209" spans="1:8" x14ac:dyDescent="0.2">
      <c r="A209" t="s">
        <v>7</v>
      </c>
      <c r="B209" t="s">
        <v>132</v>
      </c>
    </row>
    <row r="210" spans="1:8" x14ac:dyDescent="0.2">
      <c r="A210" t="s">
        <v>8</v>
      </c>
      <c r="B210" t="s">
        <v>9</v>
      </c>
    </row>
    <row r="211" spans="1:8" x14ac:dyDescent="0.2">
      <c r="A211" t="s">
        <v>10</v>
      </c>
      <c r="B211" t="s">
        <v>16</v>
      </c>
    </row>
    <row r="212" spans="1:8" x14ac:dyDescent="0.2">
      <c r="A212" s="1" t="s">
        <v>11</v>
      </c>
      <c r="B212" s="1"/>
      <c r="C212" s="1"/>
      <c r="D212" s="1"/>
      <c r="E212" s="1"/>
      <c r="F212" s="1"/>
      <c r="G212" s="1"/>
    </row>
    <row r="213" spans="1:8" x14ac:dyDescent="0.2">
      <c r="A213" s="1" t="s">
        <v>12</v>
      </c>
      <c r="B213" s="1" t="s">
        <v>13</v>
      </c>
      <c r="C213" s="1" t="s">
        <v>8</v>
      </c>
      <c r="D213" s="1" t="s">
        <v>14</v>
      </c>
      <c r="E213" s="1" t="s">
        <v>4</v>
      </c>
      <c r="F213" s="1" t="s">
        <v>15</v>
      </c>
      <c r="G213" s="1" t="s">
        <v>7</v>
      </c>
      <c r="H213" s="1" t="s">
        <v>3</v>
      </c>
    </row>
    <row r="214" spans="1:8" x14ac:dyDescent="0.2">
      <c r="A214" t="str">
        <f>B205</f>
        <v>module packaging, for Li-O2 battery</v>
      </c>
      <c r="B214">
        <v>1</v>
      </c>
      <c r="C214" t="str">
        <f>B210</f>
        <v>kilogram</v>
      </c>
      <c r="E214" t="str">
        <f>B207</f>
        <v>RER</v>
      </c>
      <c r="F214" t="s">
        <v>18</v>
      </c>
      <c r="G214" t="str">
        <f>B209</f>
        <v>module packaging</v>
      </c>
    </row>
    <row r="215" spans="1:8" x14ac:dyDescent="0.2">
      <c r="A215" t="s">
        <v>163</v>
      </c>
      <c r="B215">
        <v>0.23</v>
      </c>
      <c r="C215" t="s">
        <v>9</v>
      </c>
      <c r="E215" t="s">
        <v>5</v>
      </c>
      <c r="F215" t="s">
        <v>27</v>
      </c>
      <c r="G215" t="s">
        <v>164</v>
      </c>
      <c r="H215">
        <f>B$279*B215</f>
        <v>1.1528660436137072E-2</v>
      </c>
    </row>
    <row r="216" spans="1:8" x14ac:dyDescent="0.2">
      <c r="A216" t="s">
        <v>114</v>
      </c>
      <c r="B216" s="3">
        <v>9.7499999999999999E-11</v>
      </c>
      <c r="C216" t="s">
        <v>8</v>
      </c>
      <c r="E216" t="s">
        <v>48</v>
      </c>
      <c r="F216" t="s">
        <v>27</v>
      </c>
      <c r="G216" t="s">
        <v>115</v>
      </c>
      <c r="H216">
        <f t="shared" ref="H216:H227" si="2">B$279*B216</f>
        <v>4.8871495327102809E-12</v>
      </c>
    </row>
    <row r="217" spans="1:8" x14ac:dyDescent="0.2">
      <c r="A217" t="s">
        <v>108</v>
      </c>
      <c r="B217">
        <v>0.82499999999999996</v>
      </c>
      <c r="C217" t="s">
        <v>9</v>
      </c>
      <c r="E217" t="s">
        <v>110</v>
      </c>
      <c r="F217" t="s">
        <v>27</v>
      </c>
      <c r="G217" t="s">
        <v>109</v>
      </c>
      <c r="H217">
        <f t="shared" si="2"/>
        <v>4.1352803738317755E-2</v>
      </c>
    </row>
    <row r="218" spans="1:8" x14ac:dyDescent="0.2">
      <c r="A218" t="s">
        <v>133</v>
      </c>
      <c r="B218">
        <v>0.115</v>
      </c>
      <c r="C218" t="s">
        <v>9</v>
      </c>
      <c r="E218" t="s">
        <v>48</v>
      </c>
      <c r="F218" t="s">
        <v>27</v>
      </c>
      <c r="G218" t="s">
        <v>133</v>
      </c>
      <c r="H218">
        <f t="shared" si="2"/>
        <v>5.7643302180685361E-3</v>
      </c>
    </row>
    <row r="219" spans="1:8" x14ac:dyDescent="0.2">
      <c r="A219" t="s">
        <v>134</v>
      </c>
      <c r="B219">
        <v>0.6</v>
      </c>
      <c r="C219" t="s">
        <v>135</v>
      </c>
      <c r="E219" t="s">
        <v>48</v>
      </c>
      <c r="F219" t="s">
        <v>27</v>
      </c>
      <c r="G219" t="s">
        <v>134</v>
      </c>
      <c r="H219">
        <f t="shared" si="2"/>
        <v>3.0074766355140187E-2</v>
      </c>
    </row>
    <row r="220" spans="1:8" x14ac:dyDescent="0.2">
      <c r="A220" t="s">
        <v>168</v>
      </c>
      <c r="B220">
        <v>4.9000000000000002E-2</v>
      </c>
      <c r="C220" t="s">
        <v>9</v>
      </c>
      <c r="E220" t="s">
        <v>5</v>
      </c>
      <c r="F220" t="s">
        <v>27</v>
      </c>
      <c r="G220" t="s">
        <v>167</v>
      </c>
      <c r="H220">
        <f t="shared" si="2"/>
        <v>2.4561059190031155E-3</v>
      </c>
    </row>
    <row r="221" spans="1:8" x14ac:dyDescent="0.2">
      <c r="A221" t="s">
        <v>136</v>
      </c>
      <c r="B221">
        <v>0.33300000000000002</v>
      </c>
      <c r="C221" t="s">
        <v>9</v>
      </c>
      <c r="E221" t="s">
        <v>48</v>
      </c>
      <c r="F221" t="s">
        <v>27</v>
      </c>
      <c r="G221" t="s">
        <v>136</v>
      </c>
      <c r="H221">
        <f t="shared" si="2"/>
        <v>1.6691495327102804E-2</v>
      </c>
    </row>
    <row r="222" spans="1:8" x14ac:dyDescent="0.2">
      <c r="A222" t="s">
        <v>137</v>
      </c>
      <c r="B222" s="3">
        <v>2.4599999999999998E-10</v>
      </c>
      <c r="C222" t="s">
        <v>8</v>
      </c>
      <c r="E222" t="s">
        <v>48</v>
      </c>
      <c r="F222" t="s">
        <v>27</v>
      </c>
      <c r="G222" t="s">
        <v>138</v>
      </c>
      <c r="H222">
        <f t="shared" si="2"/>
        <v>1.2330654205607476E-11</v>
      </c>
    </row>
    <row r="223" spans="1:8" x14ac:dyDescent="0.2">
      <c r="A223" t="s">
        <v>139</v>
      </c>
      <c r="B223">
        <v>6.7000000000000004E-2</v>
      </c>
      <c r="C223" t="s">
        <v>9</v>
      </c>
      <c r="E223" t="s">
        <v>48</v>
      </c>
      <c r="F223" t="s">
        <v>27</v>
      </c>
      <c r="G223" t="s">
        <v>139</v>
      </c>
      <c r="H223">
        <f t="shared" si="2"/>
        <v>3.3583489096573214E-3</v>
      </c>
    </row>
    <row r="224" spans="1:8" x14ac:dyDescent="0.2">
      <c r="A224" t="s">
        <v>120</v>
      </c>
      <c r="B224">
        <v>0.65500000000000003</v>
      </c>
      <c r="C224" t="s">
        <v>9</v>
      </c>
      <c r="E224" t="s">
        <v>5</v>
      </c>
      <c r="F224" t="s">
        <v>27</v>
      </c>
      <c r="G224" t="s">
        <v>111</v>
      </c>
      <c r="H224">
        <f t="shared" si="2"/>
        <v>3.2831619937694706E-2</v>
      </c>
    </row>
    <row r="225" spans="1:8" x14ac:dyDescent="0.2">
      <c r="A225" t="s">
        <v>87</v>
      </c>
      <c r="B225">
        <v>0.2</v>
      </c>
      <c r="C225" t="s">
        <v>88</v>
      </c>
      <c r="E225" t="s">
        <v>63</v>
      </c>
      <c r="F225" t="s">
        <v>27</v>
      </c>
      <c r="G225" t="s">
        <v>89</v>
      </c>
      <c r="H225">
        <f t="shared" si="2"/>
        <v>1.0024922118380063E-2</v>
      </c>
    </row>
    <row r="226" spans="1:8" x14ac:dyDescent="0.2">
      <c r="A226" t="s">
        <v>90</v>
      </c>
      <c r="B226">
        <v>0.1</v>
      </c>
      <c r="C226" t="s">
        <v>88</v>
      </c>
      <c r="E226" t="s">
        <v>48</v>
      </c>
      <c r="F226" t="s">
        <v>27</v>
      </c>
      <c r="G226" t="s">
        <v>91</v>
      </c>
      <c r="H226">
        <f t="shared" si="2"/>
        <v>5.0124610591900315E-3</v>
      </c>
    </row>
    <row r="227" spans="1:8" x14ac:dyDescent="0.2">
      <c r="A227" t="s">
        <v>121</v>
      </c>
      <c r="B227">
        <f>-195/1000</f>
        <v>-0.19500000000000001</v>
      </c>
      <c r="C227" t="s">
        <v>9</v>
      </c>
      <c r="E227" t="s">
        <v>63</v>
      </c>
      <c r="F227" t="s">
        <v>27</v>
      </c>
      <c r="G227" t="s">
        <v>122</v>
      </c>
      <c r="H227">
        <f t="shared" si="2"/>
        <v>-9.7742990654205615E-3</v>
      </c>
    </row>
    <row r="228">
      <c r="A228" t="inlineStr">
        <is>
          <t>market for copper, cathode</t>
        </is>
      </c>
      <c r="B228">
        <v>0.115</v>
      </c>
      <c r="C228" t="inlineStr">
        <is>
          <t>kilogram</t>
        </is>
      </c>
      <c r="E228" t="inlineStr">
        <is>
          <t>GLO</t>
        </is>
      </c>
      <c r="F228" t="inlineStr">
        <is>
          <t>technosphere</t>
        </is>
      </c>
      <c r="G228" t="inlineStr">
        <is>
          <t>copper, cathode</t>
        </is>
      </c>
      <c r="H228" t="inlineStr">
        <is>
          <t>Local Li-O2 module copper-wire feed completion, 2026-10-17 (approved). Wang, Deng and Yuan (2020), DOI 10.1016/j.jclepro.2020.121339, supplementary Table S14: Life cycle inventory of 1 kg module packaging, https://ars.els-cdn.com/content/image/1-s2.0-S095965262031386X-mmc2.docx. The source labels Copper wire = 115 g but links it only to RER copper wire drawing. Wire drawing is a processing service excluding the main metal feed; the existing native RER recipe buys 0.039644 kg cathode copper per kg service to replace processing losses. Complete the intended 115/1000 = 0.115 kg nominal copper-wire input by adding 0.115 kg market for copper, cathode, GLO, per kg declared module packaging. Retain the existing 0.115 kg wire-drawing service, which supplies its own replacement-loss metal. The selected immediate wire path therefore buys 0.115 + 0.115*0.039644 = 0.11955906 kg gross cathode feed per kg module packaging, before wider supply-chain feedback; this is not the retained wire mass or a full-system refined-copper result. No extra 98.2% rolling-efficiency factor is applied to the wire. This is an approved physical completion of the source service-only mapping, not an extra material row explicitly listed in the original S14. Use the cathode market as a metal-stock proxy with its existing mix; source-specific purity, primary/secondary content and future shares remain unresolved. Source output normalization, other component material/process identities, unreported fabrication outflows and whole battery mass basis remain open. Retain all other quantities, output and processing services; no blanket yield or packaging-mass renormalization. Source DOCX SHA256: 760c98ff6240558bf1bdb2df42039f678768b627667f2db437d754bf4c4ec52a.</t>
        </is>
      </c>
    </row>
    <row r="230" spans="1:8" ht="16" x14ac:dyDescent="0.2">
      <c r="A230" s="2" t="s">
        <v>2</v>
      </c>
      <c r="B230" s="2" t="s">
        <v>140</v>
      </c>
    </row>
    <row r="231" spans="1:8" x14ac:dyDescent="0.2">
      <c r="A231" t="s">
        <v>3</v>
      </c>
      <c r="B231" t="s">
        <v>262</v>
      </c>
    </row>
    <row r="232" spans="1:8" x14ac:dyDescent="0.2">
      <c r="A232" t="s">
        <v>4</v>
      </c>
      <c r="B232" t="s">
        <v>48</v>
      </c>
    </row>
    <row r="233" spans="1:8" x14ac:dyDescent="0.2">
      <c r="A233" t="s">
        <v>6</v>
      </c>
      <c r="B233">
        <v>1</v>
      </c>
    </row>
    <row r="234" spans="1:8" x14ac:dyDescent="0.2">
      <c r="A234" t="s">
        <v>7</v>
      </c>
      <c r="B234" t="s">
        <v>141</v>
      </c>
    </row>
    <row r="235" spans="1:8" x14ac:dyDescent="0.2">
      <c r="A235" t="s">
        <v>8</v>
      </c>
      <c r="B235" t="s">
        <v>9</v>
      </c>
    </row>
    <row r="236" spans="1:8" x14ac:dyDescent="0.2">
      <c r="A236" t="s">
        <v>10</v>
      </c>
      <c r="B236" t="s">
        <v>16</v>
      </c>
    </row>
    <row r="237" spans="1:8" x14ac:dyDescent="0.2">
      <c r="A237" s="1" t="s">
        <v>11</v>
      </c>
      <c r="B237" s="1"/>
      <c r="C237" s="1"/>
      <c r="D237" s="1"/>
      <c r="E237" s="1"/>
      <c r="F237" s="1"/>
      <c r="G237" s="1"/>
    </row>
    <row r="238" spans="1:8" x14ac:dyDescent="0.2">
      <c r="A238" s="1" t="s">
        <v>12</v>
      </c>
      <c r="B238" s="1" t="s">
        <v>13</v>
      </c>
      <c r="C238" s="1" t="s">
        <v>8</v>
      </c>
      <c r="D238" s="1" t="s">
        <v>14</v>
      </c>
      <c r="E238" s="1" t="s">
        <v>4</v>
      </c>
      <c r="F238" s="1" t="s">
        <v>15</v>
      </c>
      <c r="G238" s="1" t="s">
        <v>7</v>
      </c>
      <c r="H238" s="1" t="s">
        <v>3</v>
      </c>
    </row>
    <row r="239" spans="1:8" x14ac:dyDescent="0.2">
      <c r="A239" t="str">
        <f>B230</f>
        <v>pack packaging, for Li-O2 battery</v>
      </c>
      <c r="B239">
        <v>1</v>
      </c>
      <c r="C239" t="str">
        <f>B235</f>
        <v>kilogram</v>
      </c>
      <c r="E239" t="str">
        <f>B232</f>
        <v>RER</v>
      </c>
      <c r="F239" t="s">
        <v>18</v>
      </c>
      <c r="G239" t="str">
        <f>B234</f>
        <v>pack packaging</v>
      </c>
    </row>
    <row r="240" spans="1:8" x14ac:dyDescent="0.2">
      <c r="A240" t="s">
        <v>114</v>
      </c>
      <c r="B240" s="3">
        <v>1.34E-10</v>
      </c>
      <c r="C240" t="s">
        <v>8</v>
      </c>
      <c r="E240" t="s">
        <v>48</v>
      </c>
      <c r="F240" t="s">
        <v>27</v>
      </c>
      <c r="G240" t="s">
        <v>115</v>
      </c>
      <c r="H240" s="6">
        <f>B240*B$280</f>
        <v>1.5044735202492212E-11</v>
      </c>
    </row>
    <row r="241" spans="1:8" x14ac:dyDescent="0.2">
      <c r="A241" t="s">
        <v>108</v>
      </c>
      <c r="B241">
        <v>0.82499999999999996</v>
      </c>
      <c r="C241" t="s">
        <v>9</v>
      </c>
      <c r="E241" t="s">
        <v>110</v>
      </c>
      <c r="F241" t="s">
        <v>27</v>
      </c>
      <c r="G241" t="s">
        <v>109</v>
      </c>
      <c r="H241" s="6">
        <f t="shared" ref="H241:H247" si="3">B241*B$280</f>
        <v>9.2626168224299046E-2</v>
      </c>
    </row>
    <row r="242" spans="1:8" x14ac:dyDescent="0.2">
      <c r="A242" t="s">
        <v>85</v>
      </c>
      <c r="B242" s="3">
        <v>2.78E-11</v>
      </c>
      <c r="C242" t="s">
        <v>8</v>
      </c>
      <c r="E242" t="s">
        <v>5</v>
      </c>
      <c r="F242" t="s">
        <v>27</v>
      </c>
      <c r="G242" t="s">
        <v>86</v>
      </c>
      <c r="H242" s="6">
        <f t="shared" si="3"/>
        <v>3.1212211838006227E-12</v>
      </c>
    </row>
    <row r="243" spans="1:8" x14ac:dyDescent="0.2">
      <c r="A243" t="s">
        <v>142</v>
      </c>
      <c r="B243">
        <v>0.89900000000000002</v>
      </c>
      <c r="C243" t="s">
        <v>9</v>
      </c>
      <c r="E243" t="s">
        <v>5</v>
      </c>
      <c r="F243" t="s">
        <v>27</v>
      </c>
      <c r="G243" t="s">
        <v>143</v>
      </c>
      <c r="H243" s="6">
        <f t="shared" si="3"/>
        <v>0.10093445482866042</v>
      </c>
    </row>
    <row r="244" spans="1:8" x14ac:dyDescent="0.2">
      <c r="A244" t="s">
        <v>144</v>
      </c>
      <c r="B244" s="3">
        <v>3.2000000000000001E-2</v>
      </c>
      <c r="C244" t="s">
        <v>9</v>
      </c>
      <c r="E244" t="s">
        <v>5</v>
      </c>
      <c r="F244" t="s">
        <v>27</v>
      </c>
      <c r="G244" t="s">
        <v>145</v>
      </c>
      <c r="H244" s="6">
        <f t="shared" si="3"/>
        <v>3.5927725856697819E-3</v>
      </c>
    </row>
    <row r="245" spans="1:8" x14ac:dyDescent="0.2">
      <c r="A245" t="s">
        <v>146</v>
      </c>
      <c r="B245">
        <v>8.7999999999999995E-2</v>
      </c>
      <c r="C245" t="s">
        <v>9</v>
      </c>
      <c r="E245" t="s">
        <v>48</v>
      </c>
      <c r="F245" t="s">
        <v>27</v>
      </c>
      <c r="G245" t="s">
        <v>146</v>
      </c>
      <c r="H245" s="6">
        <f t="shared" si="3"/>
        <v>9.8801246105918988E-3</v>
      </c>
    </row>
    <row r="246" spans="1:8" x14ac:dyDescent="0.2">
      <c r="A246" t="s">
        <v>87</v>
      </c>
      <c r="B246">
        <v>0.2</v>
      </c>
      <c r="C246" t="s">
        <v>88</v>
      </c>
      <c r="E246" t="s">
        <v>63</v>
      </c>
      <c r="F246" t="s">
        <v>27</v>
      </c>
      <c r="G246" t="s">
        <v>89</v>
      </c>
      <c r="H246" s="6">
        <f t="shared" si="3"/>
        <v>2.2454828660436136E-2</v>
      </c>
    </row>
    <row r="247" spans="1:8" x14ac:dyDescent="0.2">
      <c r="A247" t="s">
        <v>90</v>
      </c>
      <c r="B247">
        <v>0.1</v>
      </c>
      <c r="C247" t="s">
        <v>88</v>
      </c>
      <c r="E247" t="s">
        <v>48</v>
      </c>
      <c r="F247" t="s">
        <v>27</v>
      </c>
      <c r="G247" t="s">
        <v>91</v>
      </c>
      <c r="H247" s="6">
        <f t="shared" si="3"/>
        <v>1.1227414330218068E-2</v>
      </c>
    </row>
    <row r="248" spans="1:8" x14ac:dyDescent="0.2">
      <c r="A248" t="s">
        <v>121</v>
      </c>
      <c r="B248">
        <f>-77/1000</f>
        <v>-7.6999999999999999E-2</v>
      </c>
      <c r="C248" t="s">
        <v>9</v>
      </c>
      <c r="E248" t="s">
        <v>63</v>
      </c>
      <c r="F248" t="s">
        <v>27</v>
      </c>
      <c r="G248" t="s">
        <v>122</v>
      </c>
      <c r="H248" s="6">
        <f>B248*B$280</f>
        <v>-8.6451090342679112E-3</v>
      </c>
    </row>
    <row r="250" spans="1:8" ht="16" x14ac:dyDescent="0.2">
      <c r="A250" s="2" t="s">
        <v>2</v>
      </c>
      <c r="B250" s="2" t="s">
        <v>147</v>
      </c>
    </row>
    <row r="251" spans="1:8" x14ac:dyDescent="0.2">
      <c r="A251" t="s">
        <v>3</v>
      </c>
      <c r="B251" t="s">
        <v>261</v>
      </c>
    </row>
    <row r="252" spans="1:8" x14ac:dyDescent="0.2">
      <c r="A252" t="s">
        <v>4</v>
      </c>
      <c r="B252" t="s">
        <v>48</v>
      </c>
    </row>
    <row r="253" spans="1:8" x14ac:dyDescent="0.2">
      <c r="A253" t="s">
        <v>6</v>
      </c>
      <c r="B253">
        <v>1</v>
      </c>
    </row>
    <row r="254" spans="1:8" x14ac:dyDescent="0.2">
      <c r="A254" t="s">
        <v>7</v>
      </c>
      <c r="B254" t="s">
        <v>148</v>
      </c>
    </row>
    <row r="255" spans="1:8" x14ac:dyDescent="0.2">
      <c r="A255" t="s">
        <v>8</v>
      </c>
      <c r="B255" t="s">
        <v>9</v>
      </c>
    </row>
    <row r="256" spans="1:8" x14ac:dyDescent="0.2">
      <c r="A256" t="s">
        <v>10</v>
      </c>
      <c r="B256" t="s">
        <v>16</v>
      </c>
    </row>
    <row r="257" spans="1:8" x14ac:dyDescent="0.2">
      <c r="A257" s="1" t="s">
        <v>11</v>
      </c>
      <c r="B257" s="1"/>
      <c r="C257" s="1"/>
      <c r="D257" s="1"/>
      <c r="E257" s="1"/>
      <c r="F257" s="1"/>
      <c r="G257" s="1"/>
    </row>
    <row r="258" spans="1:8" x14ac:dyDescent="0.2">
      <c r="A258" s="1" t="s">
        <v>12</v>
      </c>
      <c r="B258" s="1" t="s">
        <v>13</v>
      </c>
      <c r="C258" s="1" t="s">
        <v>8</v>
      </c>
      <c r="D258" s="1" t="s">
        <v>14</v>
      </c>
      <c r="E258" s="1" t="s">
        <v>4</v>
      </c>
      <c r="F258" s="1" t="s">
        <v>15</v>
      </c>
      <c r="G258" s="1" t="s">
        <v>7</v>
      </c>
      <c r="H258" s="1" t="s">
        <v>3</v>
      </c>
    </row>
    <row r="259" spans="1:8" x14ac:dyDescent="0.2">
      <c r="A259" t="str">
        <f>B250</f>
        <v>treatment of LiO2 battery, for recycling</v>
      </c>
      <c r="B259">
        <v>-1</v>
      </c>
      <c r="C259" t="str">
        <f>B255</f>
        <v>kilogram</v>
      </c>
      <c r="E259" t="str">
        <f>B252</f>
        <v>RER</v>
      </c>
      <c r="F259" t="s">
        <v>18</v>
      </c>
      <c r="G259" t="str">
        <f>B254</f>
        <v>waste LiO2 battery</v>
      </c>
    </row>
    <row r="260" spans="1:8" x14ac:dyDescent="0.2">
      <c r="A260" t="s">
        <v>149</v>
      </c>
      <c r="B260">
        <v>1.022</v>
      </c>
      <c r="C260" t="s">
        <v>9</v>
      </c>
      <c r="E260" t="s">
        <v>48</v>
      </c>
      <c r="F260" t="s">
        <v>27</v>
      </c>
      <c r="G260" t="s">
        <v>150</v>
      </c>
    </row>
    <row r="261" spans="1:8" x14ac:dyDescent="0.2">
      <c r="A261" t="s">
        <v>64</v>
      </c>
      <c r="B261">
        <v>0.189</v>
      </c>
      <c r="C261" t="s">
        <v>66</v>
      </c>
      <c r="E261" t="s">
        <v>63</v>
      </c>
      <c r="F261" t="s">
        <v>27</v>
      </c>
      <c r="G261" t="s">
        <v>65</v>
      </c>
    </row>
    <row r="262" spans="1:8" x14ac:dyDescent="0.2">
      <c r="A262" t="s">
        <v>151</v>
      </c>
      <c r="B262">
        <v>-0.91</v>
      </c>
      <c r="C262" t="s">
        <v>9</v>
      </c>
      <c r="E262" t="s">
        <v>5</v>
      </c>
      <c r="F262" t="s">
        <v>27</v>
      </c>
      <c r="G262" t="s">
        <v>152</v>
      </c>
    </row>
    <row r="263" spans="1:8" x14ac:dyDescent="0.2">
      <c r="A263" t="s">
        <v>153</v>
      </c>
      <c r="B263">
        <v>0.02</v>
      </c>
      <c r="C263" t="s">
        <v>9</v>
      </c>
      <c r="E263" t="s">
        <v>5</v>
      </c>
      <c r="F263" t="s">
        <v>27</v>
      </c>
      <c r="G263" t="s">
        <v>154</v>
      </c>
    </row>
    <row r="264" spans="1:8" x14ac:dyDescent="0.2">
      <c r="A264" t="s">
        <v>155</v>
      </c>
      <c r="B264">
        <v>0.127</v>
      </c>
      <c r="C264" t="s">
        <v>9</v>
      </c>
      <c r="E264" t="s">
        <v>92</v>
      </c>
      <c r="F264" t="s">
        <v>27</v>
      </c>
      <c r="G264" t="s">
        <v>156</v>
      </c>
    </row>
    <row r="265" spans="1:8" x14ac:dyDescent="0.2">
      <c r="A265" t="s">
        <v>157</v>
      </c>
      <c r="B265">
        <v>0.21</v>
      </c>
      <c r="C265" t="s">
        <v>9</v>
      </c>
      <c r="E265" t="s">
        <v>48</v>
      </c>
      <c r="F265" t="s">
        <v>27</v>
      </c>
      <c r="G265" t="s">
        <v>158</v>
      </c>
    </row>
    <row r="268" spans="1:8" ht="16" x14ac:dyDescent="0.2">
      <c r="A268" s="2" t="s">
        <v>2</v>
      </c>
      <c r="B268" s="2" t="s">
        <v>162</v>
      </c>
    </row>
    <row r="269" spans="1:8" x14ac:dyDescent="0.2">
      <c r="A269" t="s">
        <v>3</v>
      </c>
      <c r="B269" t="s">
        <v>279</v>
      </c>
    </row>
    <row r="270" spans="1:8" x14ac:dyDescent="0.2">
      <c r="A270" t="s">
        <v>4</v>
      </c>
      <c r="B270" t="s">
        <v>5</v>
      </c>
    </row>
    <row r="271" spans="1:8" x14ac:dyDescent="0.2">
      <c r="A271" t="s">
        <v>6</v>
      </c>
      <c r="B271">
        <v>1</v>
      </c>
    </row>
    <row r="272" spans="1:8" x14ac:dyDescent="0.2">
      <c r="A272" t="s">
        <v>7</v>
      </c>
      <c r="B272" t="s">
        <v>161</v>
      </c>
    </row>
    <row r="273" spans="1:8" x14ac:dyDescent="0.2">
      <c r="A273" t="s">
        <v>8</v>
      </c>
      <c r="B273" t="s">
        <v>9</v>
      </c>
    </row>
    <row r="274" spans="1:8" x14ac:dyDescent="0.2">
      <c r="A274" t="s">
        <v>10</v>
      </c>
      <c r="B274" t="s">
        <v>16</v>
      </c>
    </row>
    <row r="275" spans="1:8" x14ac:dyDescent="0.2">
      <c r="A275" s="1" t="s">
        <v>11</v>
      </c>
      <c r="B275" s="1"/>
      <c r="C275" s="1"/>
      <c r="D275" s="1"/>
      <c r="E275" s="1"/>
      <c r="F275" s="1"/>
      <c r="G275" s="1"/>
    </row>
    <row r="276" spans="1:8" x14ac:dyDescent="0.2">
      <c r="A276" s="1" t="s">
        <v>12</v>
      </c>
      <c r="B276" s="1" t="s">
        <v>13</v>
      </c>
      <c r="C276" s="1" t="s">
        <v>8</v>
      </c>
      <c r="D276" s="1" t="s">
        <v>14</v>
      </c>
      <c r="E276" s="1" t="s">
        <v>4</v>
      </c>
      <c r="F276" s="1" t="s">
        <v>15</v>
      </c>
      <c r="G276" s="1" t="s">
        <v>7</v>
      </c>
      <c r="H276" s="1" t="s">
        <v>3</v>
      </c>
    </row>
    <row r="277" spans="1:8" ht="16" x14ac:dyDescent="0.2">
      <c r="A277" s="7" t="s">
        <v>162</v>
      </c>
      <c r="B277">
        <v>1</v>
      </c>
      <c r="C277" t="s">
        <v>9</v>
      </c>
      <c r="E277" t="str">
        <f>B270</f>
        <v>GLO</v>
      </c>
      <c r="F277" t="s">
        <v>18</v>
      </c>
      <c r="G277" t="str">
        <f>B272</f>
        <v>battery, Li-O2</v>
      </c>
      <c r="H277" t="s">
        <v>268</v>
      </c>
    </row>
    <row r="278" spans="1:8" x14ac:dyDescent="0.2">
      <c r="A278" t="s">
        <v>17</v>
      </c>
      <c r="B278">
        <f>(33.7+60.71+8.85+51.16+51.98)/321</f>
        <v>0.64299065420560741</v>
      </c>
      <c r="C278" t="s">
        <v>9</v>
      </c>
      <c r="E278" t="s">
        <v>5</v>
      </c>
      <c r="F278" t="s">
        <v>27</v>
      </c>
      <c r="G278" t="s">
        <v>270</v>
      </c>
      <c r="H278" t="s">
        <v>269</v>
      </c>
    </row>
    <row r="279" spans="1:8" x14ac:dyDescent="0.2">
      <c r="A279" t="s">
        <v>131</v>
      </c>
      <c r="B279">
        <f>16.09/321</f>
        <v>5.0124610591900313E-2</v>
      </c>
      <c r="C279" t="s">
        <v>9</v>
      </c>
      <c r="E279" t="s">
        <v>48</v>
      </c>
      <c r="F279" t="s">
        <v>27</v>
      </c>
      <c r="G279" t="s">
        <v>132</v>
      </c>
    </row>
    <row r="280" spans="1:8" x14ac:dyDescent="0.2">
      <c r="A280" t="s">
        <v>140</v>
      </c>
      <c r="B280">
        <f>36.04/321</f>
        <v>0.11227414330218068</v>
      </c>
      <c r="C280" t="s">
        <v>9</v>
      </c>
      <c r="E280" t="s">
        <v>48</v>
      </c>
      <c r="F280" t="s">
        <v>27</v>
      </c>
      <c r="G280" t="s">
        <v>141</v>
      </c>
    </row>
    <row r="281" spans="1:8" x14ac:dyDescent="0.2">
      <c r="A281" t="s">
        <v>128</v>
      </c>
      <c r="B281">
        <f>55/321</f>
        <v>0.17133956386292834</v>
      </c>
      <c r="C281" t="s">
        <v>9</v>
      </c>
      <c r="E281" t="s">
        <v>48</v>
      </c>
      <c r="F281" t="s">
        <v>27</v>
      </c>
      <c r="G281" t="s">
        <v>127</v>
      </c>
    </row>
    <row r="282" spans="1:8" x14ac:dyDescent="0.2">
      <c r="A282" t="s">
        <v>190</v>
      </c>
      <c r="B282">
        <f>4/321</f>
        <v>1.2461059190031152E-2</v>
      </c>
      <c r="C282" t="s">
        <v>9</v>
      </c>
      <c r="E282" t="s">
        <v>48</v>
      </c>
      <c r="F282" t="s">
        <v>27</v>
      </c>
      <c r="G282" t="s">
        <v>165</v>
      </c>
    </row>
    <row r="283" spans="1:8" x14ac:dyDescent="0.2">
      <c r="A283" t="s">
        <v>234</v>
      </c>
      <c r="B283">
        <f>41.48/321</f>
        <v>0.12922118380062303</v>
      </c>
      <c r="C283" t="s">
        <v>9</v>
      </c>
      <c r="E283" t="s">
        <v>48</v>
      </c>
      <c r="F283" t="s">
        <v>27</v>
      </c>
      <c r="G283" t="s">
        <v>166</v>
      </c>
    </row>
    <row r="284" spans="1:8" ht="16" x14ac:dyDescent="0.2">
      <c r="A284" s="7" t="s">
        <v>147</v>
      </c>
      <c r="B284">
        <f>-1/321</f>
        <v>-3.1152647975077881E-3</v>
      </c>
      <c r="C284" t="s">
        <v>9</v>
      </c>
      <c r="E284" t="s">
        <v>48</v>
      </c>
      <c r="F284" t="s">
        <v>27</v>
      </c>
      <c r="G284" t="s">
        <v>148</v>
      </c>
    </row>
    <row r="286" spans="1:8" ht="16" x14ac:dyDescent="0.2">
      <c r="A286" s="2" t="s">
        <v>2</v>
      </c>
      <c r="B286" s="2" t="s">
        <v>271</v>
      </c>
    </row>
    <row r="287" spans="1:8" x14ac:dyDescent="0.2">
      <c r="A287" t="s">
        <v>3</v>
      </c>
      <c r="B287" t="s">
        <v>280</v>
      </c>
    </row>
    <row r="288" spans="1:8" x14ac:dyDescent="0.2">
      <c r="A288" t="s">
        <v>4</v>
      </c>
      <c r="B288" t="s">
        <v>5</v>
      </c>
    </row>
    <row r="289" spans="1:8" x14ac:dyDescent="0.2">
      <c r="A289" t="s">
        <v>6</v>
      </c>
      <c r="B289">
        <v>1</v>
      </c>
    </row>
    <row r="290" spans="1:8" x14ac:dyDescent="0.2">
      <c r="A290" t="s">
        <v>7</v>
      </c>
      <c r="B290" t="s">
        <v>161</v>
      </c>
    </row>
    <row r="291" spans="1:8" x14ac:dyDescent="0.2">
      <c r="A291" t="s">
        <v>8</v>
      </c>
      <c r="B291" t="s">
        <v>9</v>
      </c>
    </row>
    <row r="292" spans="1:8" x14ac:dyDescent="0.2">
      <c r="A292" t="s">
        <v>10</v>
      </c>
      <c r="B292" t="s">
        <v>16</v>
      </c>
    </row>
    <row r="293" spans="1:8" x14ac:dyDescent="0.2">
      <c r="A293" s="1" t="s">
        <v>11</v>
      </c>
      <c r="B293" s="1"/>
      <c r="C293" s="1"/>
      <c r="D293" s="1"/>
      <c r="E293" s="1"/>
      <c r="F293" s="1"/>
      <c r="G293" s="1"/>
    </row>
    <row r="294" spans="1:8" x14ac:dyDescent="0.2">
      <c r="A294" s="1" t="s">
        <v>12</v>
      </c>
      <c r="B294" s="1" t="s">
        <v>13</v>
      </c>
      <c r="C294" s="1" t="s">
        <v>8</v>
      </c>
      <c r="D294" s="1" t="s">
        <v>14</v>
      </c>
      <c r="E294" s="1" t="s">
        <v>4</v>
      </c>
      <c r="F294" s="1" t="s">
        <v>15</v>
      </c>
      <c r="G294" s="1" t="s">
        <v>7</v>
      </c>
      <c r="H294" s="1" t="s">
        <v>3</v>
      </c>
    </row>
    <row r="295" spans="1:8" ht="16" x14ac:dyDescent="0.2">
      <c r="A295" s="7" t="str">
        <f>B286</f>
        <v>market for battery, Li-oxygen, Li-O2</v>
      </c>
      <c r="B295">
        <v>1</v>
      </c>
      <c r="C295" t="s">
        <v>9</v>
      </c>
      <c r="E295" t="str">
        <f>B288</f>
        <v>GLO</v>
      </c>
      <c r="F295" t="s">
        <v>18</v>
      </c>
      <c r="G295" t="str">
        <f>B290</f>
        <v>battery, Li-O2</v>
      </c>
      <c r="H295" t="s">
        <v>268</v>
      </c>
    </row>
    <row r="296" spans="1:8" ht="16" x14ac:dyDescent="0.2">
      <c r="A296" s="7" t="s">
        <v>162</v>
      </c>
      <c r="B296">
        <v>1</v>
      </c>
      <c r="C296" t="s">
        <v>9</v>
      </c>
      <c r="E296" t="s">
        <v>5</v>
      </c>
      <c r="F296" t="s">
        <v>27</v>
      </c>
      <c r="G296" t="str">
        <f>B290</f>
        <v>battery, Li-O2</v>
      </c>
    </row>
    <row r="297" spans="1:8" x14ac:dyDescent="0.2">
      <c r="A297" t="s">
        <v>272</v>
      </c>
      <c r="B297">
        <v>0.30910727700000001</v>
      </c>
      <c r="C297" t="s">
        <v>88</v>
      </c>
      <c r="E297" t="s">
        <v>5</v>
      </c>
      <c r="F297" t="s">
        <v>27</v>
      </c>
      <c r="G297" t="s">
        <v>89</v>
      </c>
    </row>
    <row r="298" spans="1:8" x14ac:dyDescent="0.2">
      <c r="A298" t="s">
        <v>274</v>
      </c>
      <c r="B298">
        <v>2.4627409999999999E-2</v>
      </c>
      <c r="C298" t="s">
        <v>88</v>
      </c>
      <c r="E298" t="s">
        <v>5</v>
      </c>
      <c r="F298" t="s">
        <v>27</v>
      </c>
      <c r="G298" t="s">
        <v>273</v>
      </c>
    </row>
    <row r="299" spans="1:8" x14ac:dyDescent="0.2">
      <c r="A299" t="s">
        <v>277</v>
      </c>
      <c r="B299">
        <v>0.20877976500000001</v>
      </c>
      <c r="C299" t="s">
        <v>88</v>
      </c>
      <c r="E299" t="s">
        <v>5</v>
      </c>
      <c r="F299" t="s">
        <v>27</v>
      </c>
      <c r="G299" t="s">
        <v>278</v>
      </c>
    </row>
    <row r="300" spans="1:8" x14ac:dyDescent="0.2">
      <c r="A300" t="s">
        <v>276</v>
      </c>
      <c r="B300">
        <v>0.59901584900000004</v>
      </c>
      <c r="C300" t="s">
        <v>88</v>
      </c>
      <c r="E300" t="s">
        <v>5</v>
      </c>
      <c r="F300" t="s">
        <v>27</v>
      </c>
      <c r="G300" t="s">
        <v>275</v>
      </c>
    </row>
    <row r="301" spans="1:8" ht="16" x14ac:dyDescent="0.2">
      <c r="A301" s="7"/>
    </row>
    <row r="302" spans="1:8" ht="16" x14ac:dyDescent="0.2">
      <c r="A302" s="2" t="s">
        <v>2</v>
      </c>
      <c r="B302" s="1" t="s">
        <v>169</v>
      </c>
    </row>
    <row r="303" spans="1:8" x14ac:dyDescent="0.2">
      <c r="A303" t="s">
        <v>3</v>
      </c>
      <c r="B303" t="s">
        <v>260</v>
      </c>
    </row>
    <row r="304" spans="1:8" x14ac:dyDescent="0.2">
      <c r="A304" t="s">
        <v>4</v>
      </c>
      <c r="B304" t="s">
        <v>48</v>
      </c>
    </row>
    <row r="305" spans="1:8" x14ac:dyDescent="0.2">
      <c r="A305" t="s">
        <v>6</v>
      </c>
      <c r="B305">
        <v>1</v>
      </c>
    </row>
    <row r="306" spans="1:8" x14ac:dyDescent="0.2">
      <c r="A306" t="s">
        <v>7</v>
      </c>
      <c r="B306" t="s">
        <v>35</v>
      </c>
    </row>
    <row r="307" spans="1:8" x14ac:dyDescent="0.2">
      <c r="A307" t="s">
        <v>8</v>
      </c>
      <c r="B307" t="s">
        <v>9</v>
      </c>
    </row>
    <row r="308" spans="1:8" x14ac:dyDescent="0.2">
      <c r="A308" t="s">
        <v>10</v>
      </c>
      <c r="B308" t="s">
        <v>16</v>
      </c>
    </row>
    <row r="309" spans="1:8" x14ac:dyDescent="0.2">
      <c r="A309" s="1" t="s">
        <v>11</v>
      </c>
      <c r="B309" s="1"/>
      <c r="C309" s="1"/>
      <c r="D309" s="1"/>
      <c r="E309" s="1"/>
      <c r="F309" s="1"/>
      <c r="G309" s="1"/>
    </row>
    <row r="310" spans="1:8" x14ac:dyDescent="0.2">
      <c r="A310" s="1" t="s">
        <v>12</v>
      </c>
      <c r="B310" s="1" t="s">
        <v>13</v>
      </c>
      <c r="C310" s="1" t="s">
        <v>8</v>
      </c>
      <c r="D310" s="1" t="s">
        <v>14</v>
      </c>
      <c r="E310" s="1" t="s">
        <v>4</v>
      </c>
      <c r="F310" s="1" t="s">
        <v>15</v>
      </c>
      <c r="G310" s="1" t="s">
        <v>7</v>
      </c>
      <c r="H310" s="1" t="s">
        <v>3</v>
      </c>
    </row>
    <row r="311" spans="1:8" x14ac:dyDescent="0.2">
      <c r="A311" t="str">
        <f>B302</f>
        <v>separator manufacturing, for Li-O2 battery</v>
      </c>
      <c r="B311">
        <v>1</v>
      </c>
      <c r="C311" t="str">
        <f>B307</f>
        <v>kilogram</v>
      </c>
      <c r="E311" t="str">
        <f>B304</f>
        <v>RER</v>
      </c>
      <c r="F311" t="s">
        <v>18</v>
      </c>
      <c r="G311" t="str">
        <f>B306</f>
        <v>separator</v>
      </c>
    </row>
    <row r="312" spans="1:8" x14ac:dyDescent="0.2">
      <c r="A312" t="s">
        <v>44</v>
      </c>
      <c r="B312">
        <v>0.218</v>
      </c>
      <c r="C312" t="s">
        <v>9</v>
      </c>
      <c r="E312" t="s">
        <v>5</v>
      </c>
      <c r="F312" t="s">
        <v>27</v>
      </c>
      <c r="G312" t="s">
        <v>45</v>
      </c>
      <c r="H312" s="5"/>
    </row>
    <row r="313" spans="1:8" x14ac:dyDescent="0.2">
      <c r="A313" t="s">
        <v>64</v>
      </c>
      <c r="B313">
        <f>0.2083/3.6</f>
        <v>5.7861111111111113E-2</v>
      </c>
      <c r="C313" t="s">
        <v>66</v>
      </c>
      <c r="E313" t="s">
        <v>63</v>
      </c>
      <c r="F313" t="s">
        <v>27</v>
      </c>
      <c r="G313" t="s">
        <v>65</v>
      </c>
      <c r="H313" t="s">
        <v>170</v>
      </c>
    </row>
    <row r="314" spans="1:8" x14ac:dyDescent="0.2">
      <c r="A314" t="s">
        <v>171</v>
      </c>
      <c r="B314">
        <v>2.6200000000000001E-2</v>
      </c>
      <c r="C314" t="s">
        <v>9</v>
      </c>
      <c r="E314" t="s">
        <v>5</v>
      </c>
      <c r="F314" t="s">
        <v>27</v>
      </c>
      <c r="G314" t="s">
        <v>172</v>
      </c>
      <c r="H314" s="5"/>
    </row>
    <row r="315" spans="1:8" x14ac:dyDescent="0.2">
      <c r="A315" t="s">
        <v>173</v>
      </c>
      <c r="B315">
        <v>1.2</v>
      </c>
      <c r="C315" t="s">
        <v>9</v>
      </c>
      <c r="E315" t="s">
        <v>5</v>
      </c>
      <c r="F315" t="s">
        <v>27</v>
      </c>
      <c r="G315" t="s">
        <v>174</v>
      </c>
      <c r="H315" s="5"/>
    </row>
    <row r="316" spans="1:8" x14ac:dyDescent="0.2">
      <c r="A316" t="s">
        <v>175</v>
      </c>
      <c r="B316">
        <v>0.14399999999999999</v>
      </c>
      <c r="C316" t="s">
        <v>9</v>
      </c>
      <c r="E316" t="s">
        <v>48</v>
      </c>
      <c r="F316" t="s">
        <v>27</v>
      </c>
      <c r="G316" t="s">
        <v>176</v>
      </c>
      <c r="H316" s="5"/>
    </row>
    <row r="317" spans="1:8" x14ac:dyDescent="0.2">
      <c r="A317" t="s">
        <v>177</v>
      </c>
      <c r="B317">
        <v>0.35099999999999998</v>
      </c>
      <c r="C317" t="s">
        <v>9</v>
      </c>
      <c r="E317" t="s">
        <v>48</v>
      </c>
      <c r="F317" t="s">
        <v>27</v>
      </c>
      <c r="G317" t="s">
        <v>178</v>
      </c>
      <c r="H317" s="5"/>
    </row>
    <row r="318" spans="1:8" x14ac:dyDescent="0.2">
      <c r="A318" t="s">
        <v>179</v>
      </c>
      <c r="B318">
        <v>0.193</v>
      </c>
      <c r="C318" t="s">
        <v>69</v>
      </c>
      <c r="E318" t="s">
        <v>63</v>
      </c>
      <c r="F318" t="s">
        <v>27</v>
      </c>
      <c r="G318" t="s">
        <v>68</v>
      </c>
      <c r="H318" s="5"/>
    </row>
    <row r="319" spans="1:8" x14ac:dyDescent="0.2">
      <c r="A319" t="s">
        <v>180</v>
      </c>
      <c r="B319">
        <v>0.29099999999999998</v>
      </c>
      <c r="C319" t="s">
        <v>9</v>
      </c>
      <c r="E319" t="s">
        <v>48</v>
      </c>
      <c r="F319" t="s">
        <v>27</v>
      </c>
      <c r="G319" t="s">
        <v>181</v>
      </c>
      <c r="H319" s="5"/>
    </row>
    <row r="320" spans="1:8" x14ac:dyDescent="0.2">
      <c r="A320" t="s">
        <v>25</v>
      </c>
      <c r="B320">
        <v>0.192</v>
      </c>
      <c r="C320" t="s">
        <v>9</v>
      </c>
      <c r="E320" t="s">
        <v>5</v>
      </c>
      <c r="F320" t="s">
        <v>27</v>
      </c>
      <c r="G320" t="s">
        <v>182</v>
      </c>
      <c r="H320" s="5"/>
    </row>
    <row r="321" spans="1:8" x14ac:dyDescent="0.2">
      <c r="A321" t="s">
        <v>183</v>
      </c>
      <c r="B321">
        <v>4.0000000000000001E-10</v>
      </c>
      <c r="C321" t="s">
        <v>8</v>
      </c>
      <c r="E321" t="s">
        <v>48</v>
      </c>
      <c r="F321" t="s">
        <v>27</v>
      </c>
      <c r="G321" t="s">
        <v>184</v>
      </c>
      <c r="H321" s="5"/>
    </row>
    <row r="322" spans="1:8" x14ac:dyDescent="0.2">
      <c r="A322" t="s">
        <v>87</v>
      </c>
      <c r="B322">
        <v>0.52500000000000002</v>
      </c>
      <c r="C322" t="s">
        <v>88</v>
      </c>
      <c r="E322" t="s">
        <v>63</v>
      </c>
      <c r="F322" t="s">
        <v>27</v>
      </c>
      <c r="G322" t="s">
        <v>89</v>
      </c>
      <c r="H322" s="5"/>
    </row>
    <row r="323" spans="1:8" x14ac:dyDescent="0.2">
      <c r="A323" t="s">
        <v>90</v>
      </c>
      <c r="B323">
        <v>9.8400000000000001E-2</v>
      </c>
      <c r="C323" t="s">
        <v>88</v>
      </c>
      <c r="E323" t="s">
        <v>48</v>
      </c>
      <c r="F323" t="s">
        <v>27</v>
      </c>
      <c r="G323" t="s">
        <v>91</v>
      </c>
      <c r="H323" s="5"/>
    </row>
    <row r="324" spans="1:8" x14ac:dyDescent="0.2">
      <c r="A324" t="s">
        <v>185</v>
      </c>
      <c r="B324">
        <v>-5.3900000000000003E-2</v>
      </c>
      <c r="C324" t="s">
        <v>9</v>
      </c>
      <c r="E324" t="s">
        <v>92</v>
      </c>
      <c r="F324" t="s">
        <v>27</v>
      </c>
      <c r="G324" t="s">
        <v>186</v>
      </c>
      <c r="H324" s="5"/>
    </row>
    <row r="325" spans="1:8" x14ac:dyDescent="0.2">
      <c r="A325" t="s">
        <v>187</v>
      </c>
      <c r="B325">
        <v>7.1999999999999998E-3</v>
      </c>
      <c r="C325" t="s">
        <v>69</v>
      </c>
      <c r="D325" t="s">
        <v>188</v>
      </c>
      <c r="F325" t="s">
        <v>103</v>
      </c>
      <c r="H325" s="5"/>
    </row>
    <row r="326" spans="1:8" x14ac:dyDescent="0.2">
      <c r="A326" t="s">
        <v>189</v>
      </c>
      <c r="B326">
        <v>1.44E-2</v>
      </c>
      <c r="C326" t="s">
        <v>9</v>
      </c>
      <c r="D326" t="s">
        <v>188</v>
      </c>
      <c r="F326" t="s">
        <v>103</v>
      </c>
      <c r="H326" s="5"/>
    </row>
    <row r="329" spans="1:8" ht="16" x14ac:dyDescent="0.2">
      <c r="A329" s="2" t="s">
        <v>2</v>
      </c>
      <c r="B329" s="1" t="s">
        <v>190</v>
      </c>
    </row>
    <row r="330" spans="1:8" x14ac:dyDescent="0.2">
      <c r="A330" t="s">
        <v>3</v>
      </c>
      <c r="B330" t="s">
        <v>259</v>
      </c>
    </row>
    <row r="331" spans="1:8" x14ac:dyDescent="0.2">
      <c r="A331" t="s">
        <v>4</v>
      </c>
      <c r="B331" t="s">
        <v>48</v>
      </c>
    </row>
    <row r="332" spans="1:8" x14ac:dyDescent="0.2">
      <c r="A332" t="s">
        <v>6</v>
      </c>
      <c r="B332">
        <v>1</v>
      </c>
    </row>
    <row r="333" spans="1:8" x14ac:dyDescent="0.2">
      <c r="A333" t="s">
        <v>7</v>
      </c>
      <c r="B333" t="s">
        <v>165</v>
      </c>
    </row>
    <row r="334" spans="1:8" x14ac:dyDescent="0.2">
      <c r="A334" t="s">
        <v>8</v>
      </c>
      <c r="B334" t="s">
        <v>9</v>
      </c>
    </row>
    <row r="335" spans="1:8" x14ac:dyDescent="0.2">
      <c r="A335" t="s">
        <v>10</v>
      </c>
      <c r="B335" t="s">
        <v>16</v>
      </c>
    </row>
    <row r="336" spans="1:8" x14ac:dyDescent="0.2">
      <c r="A336" s="1" t="s">
        <v>11</v>
      </c>
      <c r="B336" s="1"/>
      <c r="C336" s="1"/>
      <c r="D336" s="1"/>
      <c r="E336" s="1"/>
      <c r="F336" s="1"/>
      <c r="G336" s="1"/>
    </row>
    <row r="337" spans="1:8" x14ac:dyDescent="0.2">
      <c r="A337" s="1" t="s">
        <v>12</v>
      </c>
      <c r="B337" s="1" t="s">
        <v>13</v>
      </c>
      <c r="C337" s="1" t="s">
        <v>8</v>
      </c>
      <c r="D337" s="1" t="s">
        <v>14</v>
      </c>
      <c r="E337" s="1" t="s">
        <v>4</v>
      </c>
      <c r="F337" s="1" t="s">
        <v>15</v>
      </c>
      <c r="G337" s="1" t="s">
        <v>7</v>
      </c>
      <c r="H337" s="1" t="s">
        <v>3</v>
      </c>
    </row>
    <row r="338" spans="1:8" x14ac:dyDescent="0.2">
      <c r="A338" t="str">
        <f>B329</f>
        <v>BMS production, for Li-O2 battery</v>
      </c>
      <c r="B338">
        <v>1</v>
      </c>
      <c r="C338" t="str">
        <f>B334</f>
        <v>kilogram</v>
      </c>
      <c r="E338" t="str">
        <f>B331</f>
        <v>RER</v>
      </c>
      <c r="F338" t="s">
        <v>18</v>
      </c>
      <c r="G338" t="str">
        <f>B333</f>
        <v>BMS</v>
      </c>
    </row>
    <row r="339" spans="1:8" x14ac:dyDescent="0.2">
      <c r="A339" t="s">
        <v>168</v>
      </c>
      <c r="B339" s="3">
        <v>8.8999999999999996E-2</v>
      </c>
      <c r="C339" t="s">
        <v>9</v>
      </c>
      <c r="E339" t="s">
        <v>5</v>
      </c>
      <c r="F339" t="s">
        <v>27</v>
      </c>
      <c r="G339" t="s">
        <v>167</v>
      </c>
    </row>
    <row r="340" spans="1:8" x14ac:dyDescent="0.2">
      <c r="A340" t="s">
        <v>195</v>
      </c>
      <c r="B340" s="3">
        <v>0.48</v>
      </c>
      <c r="C340" t="s">
        <v>9</v>
      </c>
      <c r="E340" t="s">
        <v>48</v>
      </c>
      <c r="F340" t="s">
        <v>27</v>
      </c>
      <c r="G340" t="s">
        <v>191</v>
      </c>
    </row>
    <row r="341" spans="1:8" x14ac:dyDescent="0.2">
      <c r="A341" t="s">
        <v>196</v>
      </c>
      <c r="B341" s="3">
        <v>3.0000000000000001E-3</v>
      </c>
      <c r="C341" t="s">
        <v>9</v>
      </c>
      <c r="E341" t="s">
        <v>48</v>
      </c>
      <c r="F341" t="s">
        <v>27</v>
      </c>
      <c r="G341" t="s">
        <v>192</v>
      </c>
    </row>
    <row r="342" spans="1:8" x14ac:dyDescent="0.2">
      <c r="A342" t="s">
        <v>197</v>
      </c>
      <c r="B342" s="3">
        <v>0.3</v>
      </c>
      <c r="C342" t="s">
        <v>9</v>
      </c>
      <c r="E342" t="s">
        <v>48</v>
      </c>
      <c r="F342" t="s">
        <v>27</v>
      </c>
      <c r="G342" t="s">
        <v>193</v>
      </c>
    </row>
    <row r="343" spans="1:8" x14ac:dyDescent="0.2">
      <c r="A343" t="s">
        <v>198</v>
      </c>
      <c r="B343" s="3">
        <v>0.13</v>
      </c>
      <c r="C343" t="s">
        <v>9</v>
      </c>
      <c r="E343" t="s">
        <v>48</v>
      </c>
      <c r="F343" t="s">
        <v>27</v>
      </c>
      <c r="G343" t="s">
        <v>194</v>
      </c>
    </row>
    <row r="344" spans="1:8" x14ac:dyDescent="0.2">
      <c r="A344" t="s">
        <v>199</v>
      </c>
      <c r="B344" s="3">
        <v>0.1</v>
      </c>
      <c r="C344" t="s">
        <v>88</v>
      </c>
      <c r="E344" t="s">
        <v>48</v>
      </c>
      <c r="F344" t="s">
        <v>27</v>
      </c>
      <c r="G344" t="s">
        <v>214</v>
      </c>
    </row>
    <row r="345" spans="1:8" x14ac:dyDescent="0.2">
      <c r="A345" t="s">
        <v>87</v>
      </c>
      <c r="B345" s="3">
        <v>0.2</v>
      </c>
      <c r="C345" t="s">
        <v>88</v>
      </c>
      <c r="E345" t="s">
        <v>63</v>
      </c>
      <c r="F345" t="s">
        <v>27</v>
      </c>
      <c r="G345" t="s">
        <v>89</v>
      </c>
    </row>
    <row r="347" spans="1:8" ht="16" x14ac:dyDescent="0.2">
      <c r="A347" s="2" t="s">
        <v>2</v>
      </c>
      <c r="B347" s="1" t="s">
        <v>195</v>
      </c>
    </row>
    <row r="348" spans="1:8" x14ac:dyDescent="0.2">
      <c r="A348" t="s">
        <v>3</v>
      </c>
      <c r="B348" t="s">
        <v>257</v>
      </c>
    </row>
    <row r="349" spans="1:8" x14ac:dyDescent="0.2">
      <c r="A349" t="s">
        <v>4</v>
      </c>
      <c r="B349" t="s">
        <v>48</v>
      </c>
    </row>
    <row r="350" spans="1:8" x14ac:dyDescent="0.2">
      <c r="A350" t="s">
        <v>6</v>
      </c>
      <c r="B350">
        <v>1</v>
      </c>
    </row>
    <row r="351" spans="1:8" x14ac:dyDescent="0.2">
      <c r="A351" t="s">
        <v>7</v>
      </c>
      <c r="B351" t="s">
        <v>191</v>
      </c>
    </row>
    <row r="352" spans="1:8" x14ac:dyDescent="0.2">
      <c r="A352" t="s">
        <v>8</v>
      </c>
      <c r="B352" t="s">
        <v>9</v>
      </c>
    </row>
    <row r="353" spans="1:8" x14ac:dyDescent="0.2">
      <c r="A353" t="s">
        <v>10</v>
      </c>
      <c r="B353" t="s">
        <v>16</v>
      </c>
    </row>
    <row r="354" spans="1:8" x14ac:dyDescent="0.2">
      <c r="A354" s="1" t="s">
        <v>11</v>
      </c>
      <c r="B354" s="1"/>
      <c r="C354" s="1"/>
      <c r="D354" s="1"/>
      <c r="E354" s="1"/>
      <c r="F354" s="1"/>
      <c r="G354" s="1"/>
    </row>
    <row r="355" spans="1:8" x14ac:dyDescent="0.2">
      <c r="A355" s="1" t="s">
        <v>12</v>
      </c>
      <c r="B355" s="1" t="s">
        <v>13</v>
      </c>
      <c r="C355" s="1" t="s">
        <v>8</v>
      </c>
      <c r="D355" s="1" t="s">
        <v>14</v>
      </c>
      <c r="E355" s="1" t="s">
        <v>4</v>
      </c>
      <c r="F355" s="1" t="s">
        <v>15</v>
      </c>
      <c r="G355" s="1" t="s">
        <v>7</v>
      </c>
      <c r="H355" s="1" t="s">
        <v>3</v>
      </c>
    </row>
    <row r="356" spans="1:8" x14ac:dyDescent="0.2">
      <c r="A356" t="str">
        <f>B347</f>
        <v>IBIS production, for Li-O2 battery</v>
      </c>
      <c r="B356">
        <v>1</v>
      </c>
      <c r="C356" t="str">
        <f>B352</f>
        <v>kilogram</v>
      </c>
      <c r="E356" t="str">
        <f>B349</f>
        <v>RER</v>
      </c>
      <c r="F356" t="s">
        <v>18</v>
      </c>
      <c r="G356" t="str">
        <f>B351</f>
        <v>IBIS</v>
      </c>
    </row>
    <row r="357" spans="1:8" x14ac:dyDescent="0.2">
      <c r="A357" t="s">
        <v>200</v>
      </c>
      <c r="B357" s="3">
        <v>2.0000000000000001E-4</v>
      </c>
      <c r="C357" t="s">
        <v>9</v>
      </c>
      <c r="E357" t="s">
        <v>48</v>
      </c>
      <c r="F357" t="s">
        <v>27</v>
      </c>
      <c r="G357" t="s">
        <v>164</v>
      </c>
    </row>
    <row r="358" spans="1:8" x14ac:dyDescent="0.2">
      <c r="A358" t="s">
        <v>168</v>
      </c>
      <c r="B358" s="3">
        <v>0.11</v>
      </c>
      <c r="C358" t="s">
        <v>9</v>
      </c>
      <c r="E358" t="s">
        <v>5</v>
      </c>
      <c r="F358" t="s">
        <v>27</v>
      </c>
      <c r="G358" t="s">
        <v>167</v>
      </c>
    </row>
    <row r="359" spans="1:8" x14ac:dyDescent="0.2">
      <c r="A359" t="s">
        <v>201</v>
      </c>
      <c r="B359" s="3">
        <v>1.7E-5</v>
      </c>
      <c r="C359" t="s">
        <v>9</v>
      </c>
      <c r="E359" t="s">
        <v>5</v>
      </c>
      <c r="F359" t="s">
        <v>27</v>
      </c>
      <c r="G359" t="s">
        <v>202</v>
      </c>
    </row>
    <row r="360" spans="1:8" x14ac:dyDescent="0.2">
      <c r="A360" t="s">
        <v>144</v>
      </c>
      <c r="B360" s="3">
        <v>0.85</v>
      </c>
      <c r="C360" t="s">
        <v>9</v>
      </c>
      <c r="E360" t="s">
        <v>5</v>
      </c>
      <c r="F360" t="s">
        <v>27</v>
      </c>
      <c r="G360" t="s">
        <v>145</v>
      </c>
    </row>
    <row r="361" spans="1:8" x14ac:dyDescent="0.2">
      <c r="A361" t="s">
        <v>203</v>
      </c>
      <c r="B361" s="3">
        <v>2.1000000000000001E-2</v>
      </c>
      <c r="C361" t="s">
        <v>9</v>
      </c>
      <c r="E361" t="s">
        <v>5</v>
      </c>
      <c r="F361" t="s">
        <v>27</v>
      </c>
      <c r="G361" t="s">
        <v>204</v>
      </c>
    </row>
    <row r="362" spans="1:8" x14ac:dyDescent="0.2">
      <c r="A362" t="s">
        <v>205</v>
      </c>
      <c r="B362" s="3">
        <v>6.7999999999999996E-3</v>
      </c>
      <c r="C362" t="s">
        <v>9</v>
      </c>
      <c r="E362" t="s">
        <v>48</v>
      </c>
      <c r="F362" t="s">
        <v>27</v>
      </c>
      <c r="G362" t="s">
        <v>126</v>
      </c>
    </row>
    <row r="363" spans="1:8" x14ac:dyDescent="0.2">
      <c r="A363" t="s">
        <v>206</v>
      </c>
      <c r="B363" s="3">
        <v>1.9E-3</v>
      </c>
      <c r="C363" t="s">
        <v>9</v>
      </c>
      <c r="E363" t="s">
        <v>48</v>
      </c>
      <c r="F363" t="s">
        <v>27</v>
      </c>
      <c r="G363" t="s">
        <v>207</v>
      </c>
    </row>
    <row r="364" spans="1:8" x14ac:dyDescent="0.2">
      <c r="A364" t="s">
        <v>208</v>
      </c>
      <c r="B364" s="3">
        <v>5.7000000000000002E-3</v>
      </c>
      <c r="C364" t="s">
        <v>9</v>
      </c>
      <c r="E364" t="s">
        <v>92</v>
      </c>
      <c r="F364" t="s">
        <v>27</v>
      </c>
      <c r="G364" t="s">
        <v>209</v>
      </c>
    </row>
    <row r="365" spans="1:8" x14ac:dyDescent="0.2">
      <c r="A365" t="s">
        <v>210</v>
      </c>
      <c r="B365" s="3">
        <v>0.85</v>
      </c>
      <c r="C365" t="s">
        <v>9</v>
      </c>
      <c r="E365" t="s">
        <v>48</v>
      </c>
      <c r="F365" t="s">
        <v>27</v>
      </c>
      <c r="G365" t="s">
        <v>210</v>
      </c>
    </row>
    <row r="366" spans="1:8" x14ac:dyDescent="0.2">
      <c r="A366" t="s">
        <v>136</v>
      </c>
      <c r="B366" s="3">
        <v>8.8000000000000005E-3</v>
      </c>
      <c r="C366" t="s">
        <v>9</v>
      </c>
      <c r="E366" t="s">
        <v>48</v>
      </c>
      <c r="F366" t="s">
        <v>27</v>
      </c>
      <c r="G366" t="s">
        <v>136</v>
      </c>
    </row>
    <row r="367" spans="1:8" x14ac:dyDescent="0.2">
      <c r="A367" t="s">
        <v>211</v>
      </c>
      <c r="B367" s="3">
        <v>5.7000000000000002E-3</v>
      </c>
      <c r="C367" t="s">
        <v>9</v>
      </c>
      <c r="E367" t="s">
        <v>92</v>
      </c>
      <c r="F367" t="s">
        <v>27</v>
      </c>
      <c r="G367" t="s">
        <v>211</v>
      </c>
    </row>
    <row r="368" spans="1:8" x14ac:dyDescent="0.2">
      <c r="A368" t="s">
        <v>199</v>
      </c>
      <c r="B368" s="3">
        <v>8.6999999999999994E-2</v>
      </c>
      <c r="C368" t="s">
        <v>88</v>
      </c>
      <c r="E368" t="s">
        <v>48</v>
      </c>
      <c r="F368" t="s">
        <v>27</v>
      </c>
      <c r="G368" t="s">
        <v>214</v>
      </c>
    </row>
    <row r="369" spans="1:8" x14ac:dyDescent="0.2">
      <c r="A369" t="s">
        <v>87</v>
      </c>
      <c r="B369" s="3">
        <v>0.17</v>
      </c>
      <c r="C369" t="s">
        <v>88</v>
      </c>
      <c r="E369" t="s">
        <v>63</v>
      </c>
      <c r="F369" t="s">
        <v>27</v>
      </c>
      <c r="G369" t="s">
        <v>89</v>
      </c>
    </row>
    <row r="370" spans="1:8" x14ac:dyDescent="0.2">
      <c r="A370" t="s">
        <v>212</v>
      </c>
      <c r="B370" s="3">
        <v>2E-8</v>
      </c>
      <c r="C370" t="s">
        <v>8</v>
      </c>
      <c r="E370" t="s">
        <v>5</v>
      </c>
      <c r="F370" t="s">
        <v>27</v>
      </c>
      <c r="G370" t="s">
        <v>213</v>
      </c>
    </row>
    <row r="372" spans="1:8" ht="16" x14ac:dyDescent="0.2">
      <c r="A372" s="2" t="s">
        <v>2</v>
      </c>
      <c r="B372" s="1" t="s">
        <v>196</v>
      </c>
    </row>
    <row r="373" spans="1:8" x14ac:dyDescent="0.2">
      <c r="A373" t="s">
        <v>3</v>
      </c>
      <c r="B373" t="s">
        <v>257</v>
      </c>
    </row>
    <row r="374" spans="1:8" x14ac:dyDescent="0.2">
      <c r="A374" t="s">
        <v>4</v>
      </c>
      <c r="B374" t="s">
        <v>48</v>
      </c>
    </row>
    <row r="375" spans="1:8" x14ac:dyDescent="0.2">
      <c r="A375" t="s">
        <v>6</v>
      </c>
      <c r="B375">
        <v>1</v>
      </c>
    </row>
    <row r="376" spans="1:8" x14ac:dyDescent="0.2">
      <c r="A376" t="s">
        <v>7</v>
      </c>
      <c r="B376" t="s">
        <v>192</v>
      </c>
    </row>
    <row r="377" spans="1:8" x14ac:dyDescent="0.2">
      <c r="A377" t="s">
        <v>8</v>
      </c>
      <c r="B377" t="s">
        <v>9</v>
      </c>
    </row>
    <row r="378" spans="1:8" x14ac:dyDescent="0.2">
      <c r="A378" t="s">
        <v>10</v>
      </c>
      <c r="B378" t="s">
        <v>16</v>
      </c>
    </row>
    <row r="379" spans="1:8" x14ac:dyDescent="0.2">
      <c r="A379" s="1" t="s">
        <v>11</v>
      </c>
      <c r="B379" s="1"/>
      <c r="C379" s="1"/>
      <c r="D379" s="1"/>
      <c r="E379" s="1"/>
      <c r="F379" s="1"/>
      <c r="G379" s="1"/>
    </row>
    <row r="380" spans="1:8" x14ac:dyDescent="0.2">
      <c r="A380" s="1" t="s">
        <v>12</v>
      </c>
      <c r="B380" s="1" t="s">
        <v>13</v>
      </c>
      <c r="C380" s="1" t="s">
        <v>8</v>
      </c>
      <c r="D380" s="1" t="s">
        <v>14</v>
      </c>
      <c r="E380" s="1" t="s">
        <v>4</v>
      </c>
      <c r="F380" s="1" t="s">
        <v>15</v>
      </c>
      <c r="G380" s="1" t="s">
        <v>7</v>
      </c>
      <c r="H380" s="1" t="s">
        <v>3</v>
      </c>
    </row>
    <row r="381" spans="1:8" x14ac:dyDescent="0.2">
      <c r="A381" t="str">
        <f>B372</f>
        <v>IBIS fasteners production, for Li-O2 battery</v>
      </c>
      <c r="B381">
        <v>1</v>
      </c>
      <c r="C381" t="str">
        <f>B377</f>
        <v>kilogram</v>
      </c>
      <c r="E381" t="str">
        <f>B374</f>
        <v>RER</v>
      </c>
      <c r="F381" t="s">
        <v>18</v>
      </c>
      <c r="G381" t="str">
        <f>B376</f>
        <v>IBIS fasteners</v>
      </c>
    </row>
    <row r="382" spans="1:8" x14ac:dyDescent="0.2">
      <c r="A382" t="s">
        <v>144</v>
      </c>
      <c r="B382" s="3">
        <v>1</v>
      </c>
      <c r="C382" t="s">
        <v>9</v>
      </c>
      <c r="E382" t="s">
        <v>5</v>
      </c>
      <c r="F382" t="s">
        <v>27</v>
      </c>
      <c r="G382" t="s">
        <v>145</v>
      </c>
      <c r="H382" t="s">
        <v>215</v>
      </c>
    </row>
    <row r="383" spans="1:8" x14ac:dyDescent="0.2">
      <c r="A383" t="s">
        <v>210</v>
      </c>
      <c r="B383" s="3">
        <v>1</v>
      </c>
      <c r="C383" t="s">
        <v>9</v>
      </c>
      <c r="E383" t="s">
        <v>48</v>
      </c>
      <c r="F383" t="s">
        <v>27</v>
      </c>
      <c r="G383" t="s">
        <v>210</v>
      </c>
    </row>
    <row r="384" spans="1:8" x14ac:dyDescent="0.2">
      <c r="A384" t="s">
        <v>199</v>
      </c>
      <c r="B384" s="3">
        <v>0.1</v>
      </c>
      <c r="C384" t="s">
        <v>88</v>
      </c>
      <c r="E384" t="s">
        <v>48</v>
      </c>
      <c r="F384" t="s">
        <v>27</v>
      </c>
      <c r="G384" t="s">
        <v>214</v>
      </c>
    </row>
    <row r="385" spans="1:8" x14ac:dyDescent="0.2">
      <c r="A385" t="s">
        <v>87</v>
      </c>
      <c r="B385" s="3">
        <v>0.2</v>
      </c>
      <c r="C385" t="s">
        <v>88</v>
      </c>
      <c r="E385" t="s">
        <v>63</v>
      </c>
      <c r="F385" t="s">
        <v>27</v>
      </c>
      <c r="G385" t="s">
        <v>89</v>
      </c>
    </row>
    <row r="386" spans="1:8" x14ac:dyDescent="0.2">
      <c r="A386" t="s">
        <v>216</v>
      </c>
      <c r="B386" s="3">
        <v>4.6000000000000001E-10</v>
      </c>
      <c r="C386" t="s">
        <v>8</v>
      </c>
      <c r="E386" t="s">
        <v>48</v>
      </c>
      <c r="F386" t="s">
        <v>27</v>
      </c>
      <c r="G386" t="s">
        <v>86</v>
      </c>
    </row>
    <row r="389" spans="1:8" ht="16" x14ac:dyDescent="0.2">
      <c r="A389" s="2" t="s">
        <v>2</v>
      </c>
      <c r="B389" s="1" t="s">
        <v>197</v>
      </c>
    </row>
    <row r="390" spans="1:8" x14ac:dyDescent="0.2">
      <c r="A390" t="s">
        <v>3</v>
      </c>
      <c r="B390" t="inlineStr">
        <is>
          <t>Retrieved from Ellingsen et al. (2013). Source: Originally from Wang, F., Deng, Y., &amp; Yuan, C. (2020). Life cycle assessment of lithium oxygen battery for electric vehicles. Journal of Cleaner Production, 264, 121339. https://doi.org/10.1016/j.jclepro.2020.121339 Local Li-O2 high-voltage copper input correction, 2026-10-17 (approved). Ellingsen et al., Life Cycle Assessment of a Lithium-Ion Battery Vehicle Pack, supporting information, Table S37: BMS sub-component: high voltage system, Section 2.4.3. The table specifies a positive 4.1E-2 kg secondary copper input for the intermodule fuse per 1 kg high-voltage system, linked to copper, secondary, at refinery/RER/kg. The Li-O2 workbook cites Wang, Deng and Yuan (2020), DOI 10.1016/j.jclepro.2020.121339, and identifies Ellingsen as the source of this subassembly. Replace the negative -0.041 kg scrap-copper output with a positive 41/1000 = 0.041 kg input from market for copper, cathode, GLO. Retain the separate 0.23 kg source-primary copper input; combined direct refined-copper input becomes 0.23 + 0.041 = 0.271 kg per kg high-voltage subsystem, excluding copper inside the separately purchased cable and other upstream materials. The cathode market is a refined-product proxy, not the source secondary-only refinery supplier. Use its existing mix without inferring or imposing primary/secondary content or future shares. No added scrap credit, explicit refining or yield adjustment. Other amounts, output, copper-working demand and cable input are retained. Source grade, the aluminium-scrap-versus-product mapping, full subsystem mass/yield basis and vehicle applicability remain unresolved; this is one supplier/sign correction, not validation of the full subsystem or battery. Ellingsen SI PDF SHA256: fa47b7bfd9b6c23e6e9bd0deb5a0cbc79393bec02026d19806f44453cc29fce4. Local Li-O2 high-voltage aluminium product-form correction, 2026-10-17 (approved). Ellingsen et al., Life Cycle Assessment of a Lithium-Ion Battery Vehicle Pack, supporting information, Table S37, Section 2.4.3: HVC and lid = 1.2E-1 kg per 1 kg high-voltage system, linked to aluminium, production mix, at plant/RER/kg. Section 2.4.3 identifies aluminium connectors and a lid. The Li-O2 workbook cites Wang et al. (2020), DOI 10.1016/j.jclepro.2020.121339, and identifies Ellingsen as this subassembly source. Replace aluminium in mixed metal scrap with market for aluminium, wrought alloy, GLO; product aluminium, wrought alloy. Retain 0.12 kg supplied aluminium-material product per kg subsystem. The source does not identify an alloy grade: ordinary wrought alloy is an approved metal-product/grade proxy, not a measured composition or proof that the entire 0.12 kg is elemental aluminium. The market supplies metal product through its existing upstream production/remelting mix instead of substituting untreated mixed scrap for the fabricated component material. Its primary/secondary shares are not asserted as source-specific or projected into a new future trajectory. Retain the separate 0.12 kg aluminium-working service and all other amounts; no added forming/refining process, scrap credit, output rescaling or yield factor. This addresses the aluminium product-form gap noted in the earlier local copper correction. Exact alloy composition, forming process, physical yield and complete subsystem/battery mass balance remain unresolved. This is a supplier correction, not a validated finished lid/connector inventory. Ellingsen SI PDF SHA256: fa47b7bfd9b6c23e6e9bd0deb5a0cbc79393bec02026d19806f44453cc29fce4.</t>
        </is>
      </c>
    </row>
    <row r="391" spans="1:8" x14ac:dyDescent="0.2">
      <c r="A391" t="s">
        <v>4</v>
      </c>
      <c r="B391" t="s">
        <v>48</v>
      </c>
    </row>
    <row r="392" spans="1:8" x14ac:dyDescent="0.2">
      <c r="A392" t="s">
        <v>6</v>
      </c>
      <c r="B392">
        <v>1</v>
      </c>
    </row>
    <row r="393" spans="1:8" x14ac:dyDescent="0.2">
      <c r="A393" t="s">
        <v>7</v>
      </c>
      <c r="B393" t="s">
        <v>193</v>
      </c>
    </row>
    <row r="394" spans="1:8" x14ac:dyDescent="0.2">
      <c r="A394" t="s">
        <v>8</v>
      </c>
      <c r="B394" t="s">
        <v>9</v>
      </c>
    </row>
    <row r="395" spans="1:8" x14ac:dyDescent="0.2">
      <c r="A395" t="s">
        <v>10</v>
      </c>
      <c r="B395" t="s">
        <v>16</v>
      </c>
    </row>
    <row r="396" spans="1:8" x14ac:dyDescent="0.2">
      <c r="A396" s="1" t="s">
        <v>11</v>
      </c>
      <c r="B396" s="1"/>
      <c r="C396" s="1"/>
      <c r="D396" s="1"/>
      <c r="E396" s="1"/>
      <c r="F396" s="1"/>
      <c r="G396" s="1"/>
    </row>
    <row r="397" spans="1:8" x14ac:dyDescent="0.2">
      <c r="A397" s="1" t="s">
        <v>12</v>
      </c>
      <c r="B397" s="1" t="s">
        <v>13</v>
      </c>
      <c r="C397" s="1" t="s">
        <v>8</v>
      </c>
      <c r="D397" s="1" t="s">
        <v>14</v>
      </c>
      <c r="E397" s="1" t="s">
        <v>4</v>
      </c>
      <c r="F397" s="1" t="s">
        <v>15</v>
      </c>
      <c r="G397" s="1" t="s">
        <v>7</v>
      </c>
      <c r="H397" s="1" t="s">
        <v>3</v>
      </c>
    </row>
    <row r="398" spans="1:8" x14ac:dyDescent="0.2">
      <c r="A398" t="str">
        <f>B389</f>
        <v>high voltage system production, for Li-O2 battery</v>
      </c>
      <c r="B398">
        <v>1</v>
      </c>
      <c r="C398" t="str">
        <f>B394</f>
        <v>kilogram</v>
      </c>
      <c r="E398" t="str">
        <f>B391</f>
        <v>RER</v>
      </c>
      <c r="F398" t="s">
        <v>18</v>
      </c>
      <c r="G398" t="str">
        <f>B393</f>
        <v>high voltage system</v>
      </c>
    </row>
    <row r="399" spans="1:8" x14ac:dyDescent="0.2">
      <c r="A399" t="s">
        <v>144</v>
      </c>
      <c r="B399" s="3">
        <v>1.4E-3</v>
      </c>
      <c r="C399" t="s">
        <v>9</v>
      </c>
      <c r="E399" t="s">
        <v>5</v>
      </c>
      <c r="F399" t="s">
        <v>27</v>
      </c>
      <c r="G399" t="s">
        <v>145</v>
      </c>
    </row>
    <row r="400" spans="1:8" x14ac:dyDescent="0.2">
      <c r="A400" t="inlineStr">
        <is>
          <t>market for aluminium, wrought alloy</t>
        </is>
      </c>
      <c r="B400" s="3">
        <v>0.12</v>
      </c>
      <c r="C400" t="s">
        <v>9</v>
      </c>
      <c r="E400" t="inlineStr">
        <is>
          <t>GLO</t>
        </is>
      </c>
      <c r="F400" t="s">
        <v>27</v>
      </c>
      <c r="G400" t="inlineStr">
        <is>
          <t>aluminium, wrought alloy</t>
        </is>
      </c>
      <c r="H400" t="inlineStr">
        <is>
          <t>Local Li-O2 high-voltage aluminium product-form correction, 2026-10-17 (approved). Ellingsen et al., Life Cycle Assessment of a Lithium-Ion Battery Vehicle Pack, supporting information, Table S37, Section 2.4.3: HVC and lid = 1.2E-1 kg per 1 kg high-voltage system, linked to aluminium, production mix, at plant/RER/kg. Section 2.4.3 identifies aluminium connectors and a lid. The Li-O2 workbook cites Wang et al. (2020), DOI 10.1016/j.jclepro.2020.121339, and identifies Ellingsen as this subassembly source. Replace aluminium in mixed metal scrap with market for aluminium, wrought alloy, GLO; product aluminium, wrought alloy. Retain 0.12 kg supplied aluminium-material product per kg subsystem. The source does not identify an alloy grade: ordinary wrought alloy is an approved metal-product/grade proxy, not a measured composition or proof that the entire 0.12 kg is elemental aluminium. The market supplies metal product through its existing upstream production/remelting mix instead of substituting untreated mixed scrap for the fabricated component material. Its primary/secondary shares are not asserted as source-specific or projected into a new future trajectory. Retain the separate 0.12 kg aluminium-working service and all other amounts; no added forming/refining process, scrap credit, output rescaling or yield factor. This addresses the aluminium product-form gap noted in the earlier local copper correction. Exact alloy composition, forming process, physical yield and complete subsystem/battery mass balance remain unresolved. This is a supplier correction, not a validated finished lid/connector inventory. Ellingsen SI PDF SHA256: fa47b7bfd9b6c23e6e9bd0deb5a0cbc79393bec02026d19806f44453cc29fce4.</t>
        </is>
      </c>
    </row>
    <row r="401" spans="1:7" x14ac:dyDescent="0.2">
      <c r="A401" t="s">
        <v>219</v>
      </c>
      <c r="B401" s="3">
        <v>4.3999999999999997E-2</v>
      </c>
      <c r="C401" t="s">
        <v>9</v>
      </c>
      <c r="E401" t="s">
        <v>48</v>
      </c>
      <c r="F401" t="s">
        <v>27</v>
      </c>
      <c r="G401" t="s">
        <v>220</v>
      </c>
    </row>
    <row r="402" spans="1:7" x14ac:dyDescent="0.2">
      <c r="A402" t="s">
        <v>221</v>
      </c>
      <c r="B402" s="3">
        <v>3.5999999999999999E-3</v>
      </c>
      <c r="C402" t="s">
        <v>9</v>
      </c>
      <c r="E402" t="s">
        <v>48</v>
      </c>
      <c r="F402" t="s">
        <v>27</v>
      </c>
      <c r="G402" t="s">
        <v>222</v>
      </c>
    </row>
    <row r="403" spans="1:7" x14ac:dyDescent="0.2">
      <c r="A403" t="s">
        <v>205</v>
      </c>
      <c r="B403" s="3">
        <v>5.7000000000000002E-2</v>
      </c>
      <c r="C403" t="s">
        <v>9</v>
      </c>
      <c r="E403" t="s">
        <v>48</v>
      </c>
      <c r="F403" t="s">
        <v>27</v>
      </c>
      <c r="G403" t="s">
        <v>126</v>
      </c>
    </row>
    <row r="404" spans="1:7" x14ac:dyDescent="0.2">
      <c r="A404" t="s">
        <v>116</v>
      </c>
      <c r="B404" s="3">
        <v>0.23</v>
      </c>
      <c r="C404" t="s">
        <v>9</v>
      </c>
      <c r="E404" t="s">
        <v>5</v>
      </c>
      <c r="F404" t="s">
        <v>27</v>
      </c>
      <c r="G404" t="s">
        <v>117</v>
      </c>
    </row>
    <row r="405" spans="1:7" x14ac:dyDescent="0.2">
      <c r="A405" t="inlineStr">
        <is>
          <t>market for copper, cathode</t>
        </is>
      </c>
      <c r="B405" s="3">
        <f>41/1000</f>
        <v>0.041</v>
      </c>
      <c r="C405" t="s">
        <v>9</v>
      </c>
      <c r="E405" t="inlineStr">
        <is>
          <t>GLO</t>
        </is>
      </c>
      <c r="F405" t="s">
        <v>27</v>
      </c>
      <c r="G405" t="inlineStr">
        <is>
          <t>copper, cathode</t>
        </is>
      </c>
      <c r="H405" t="inlineStr">
        <is>
          <t>Local Li-O2 high-voltage copper input correction, 2026-10-17 (approved). Ellingsen et al., Life Cycle Assessment of a Lithium-Ion Battery Vehicle Pack, supporting information, Table S37: BMS sub-component: high voltage system, Section 2.4.3. The table specifies a positive 4.1E-2 kg secondary copper input for the intermodule fuse per 1 kg high-voltage system, linked to copper, secondary, at refinery/RER/kg. The Li-O2 workbook cites Wang, Deng and Yuan (2020), DOI 10.1016/j.jclepro.2020.121339, and identifies Ellingsen as the source of this subassembly. Replace the negative -0.041 kg scrap-copper output with a positive 41/1000 = 0.041 kg input from market for copper, cathode, GLO. Retain the separate 0.23 kg source-primary copper input; combined direct refined-copper input becomes 0.23 + 0.041 = 0.271 kg per kg high-voltage subsystem, excluding copper inside the separately purchased cable and other upstream materials. The cathode market is a refined-product proxy, not the source secondary-only refinery supplier. Use its existing mix without inferring or imposing primary/secondary content or future shares. No added scrap credit, explicit refining or yield adjustment. Other amounts, output, copper-working demand and cable input are retained. Source grade, the aluminium-scrap-versus-product mapping, full subsystem mass/yield basis and vehicle applicability remain unresolved; this is one supplier/sign correction, not validation of the full subsystem or battery. Ellingsen SI PDF SHA256: fa47b7bfd9b6c23e6e9bd0deb5a0cbc79393bec02026d19806f44453cc29fce4.</t>
        </is>
      </c>
    </row>
    <row r="406" spans="1:7" x14ac:dyDescent="0.2">
      <c r="A406" t="s">
        <v>223</v>
      </c>
      <c r="B406" s="3">
        <v>3.2000000000000001E-2</v>
      </c>
      <c r="C406" t="s">
        <v>9</v>
      </c>
      <c r="E406" t="s">
        <v>5</v>
      </c>
      <c r="F406" t="s">
        <v>27</v>
      </c>
      <c r="G406" t="s">
        <v>224</v>
      </c>
    </row>
    <row r="407" spans="1:7" x14ac:dyDescent="0.2">
      <c r="A407" t="s">
        <v>225</v>
      </c>
      <c r="B407" s="3">
        <v>1.6E-2</v>
      </c>
      <c r="C407" t="s">
        <v>9</v>
      </c>
      <c r="E407" t="s">
        <v>5</v>
      </c>
      <c r="F407" t="s">
        <v>27</v>
      </c>
      <c r="G407" t="s">
        <v>226</v>
      </c>
    </row>
    <row r="408" spans="1:7" x14ac:dyDescent="0.2">
      <c r="A408" t="s">
        <v>227</v>
      </c>
      <c r="B408" s="3">
        <v>0.45</v>
      </c>
      <c r="C408" t="s">
        <v>9</v>
      </c>
      <c r="E408" t="s">
        <v>5</v>
      </c>
      <c r="F408" t="s">
        <v>27</v>
      </c>
      <c r="G408" t="s">
        <v>228</v>
      </c>
    </row>
    <row r="409" spans="1:7" x14ac:dyDescent="0.2">
      <c r="A409" t="s">
        <v>210</v>
      </c>
      <c r="B409" s="3">
        <v>1.4E-3</v>
      </c>
      <c r="C409" t="s">
        <v>9</v>
      </c>
      <c r="E409" t="s">
        <v>48</v>
      </c>
      <c r="F409" t="s">
        <v>27</v>
      </c>
      <c r="G409" t="s">
        <v>210</v>
      </c>
    </row>
    <row r="410" spans="1:7" x14ac:dyDescent="0.2">
      <c r="A410" t="s">
        <v>230</v>
      </c>
      <c r="B410" s="3">
        <v>0.12</v>
      </c>
      <c r="C410" t="s">
        <v>9</v>
      </c>
      <c r="E410" t="s">
        <v>48</v>
      </c>
      <c r="F410" t="s">
        <v>27</v>
      </c>
      <c r="G410" t="s">
        <v>230</v>
      </c>
    </row>
    <row r="411" spans="1:7" x14ac:dyDescent="0.2">
      <c r="A411" t="s">
        <v>231</v>
      </c>
      <c r="B411" s="3">
        <v>0.27</v>
      </c>
      <c r="C411" t="s">
        <v>9</v>
      </c>
      <c r="E411" t="s">
        <v>48</v>
      </c>
      <c r="F411" t="s">
        <v>27</v>
      </c>
      <c r="G411" t="s">
        <v>231</v>
      </c>
    </row>
    <row r="412" spans="1:7" x14ac:dyDescent="0.2">
      <c r="A412" t="s">
        <v>229</v>
      </c>
      <c r="B412" s="3">
        <v>1.6E-2</v>
      </c>
      <c r="C412" t="s">
        <v>9</v>
      </c>
      <c r="E412" t="s">
        <v>48</v>
      </c>
      <c r="F412" t="s">
        <v>27</v>
      </c>
      <c r="G412" t="s">
        <v>229</v>
      </c>
    </row>
    <row r="413" spans="1:7" x14ac:dyDescent="0.2">
      <c r="A413" t="s">
        <v>136</v>
      </c>
      <c r="B413" s="3">
        <v>0.14000000000000001</v>
      </c>
      <c r="C413" t="s">
        <v>9</v>
      </c>
      <c r="E413" t="s">
        <v>48</v>
      </c>
      <c r="F413" t="s">
        <v>27</v>
      </c>
      <c r="G413" t="s">
        <v>136</v>
      </c>
    </row>
    <row r="414" spans="1:7" x14ac:dyDescent="0.2">
      <c r="A414" t="s">
        <v>199</v>
      </c>
      <c r="B414" s="3">
        <v>0.11</v>
      </c>
      <c r="C414" t="s">
        <v>88</v>
      </c>
      <c r="E414" t="s">
        <v>48</v>
      </c>
      <c r="F414" t="s">
        <v>27</v>
      </c>
      <c r="G414" t="s">
        <v>214</v>
      </c>
    </row>
    <row r="415" spans="1:7" x14ac:dyDescent="0.2">
      <c r="A415" t="s">
        <v>87</v>
      </c>
      <c r="B415" s="3">
        <v>5.5E-2</v>
      </c>
      <c r="C415" t="s">
        <v>88</v>
      </c>
      <c r="E415" t="s">
        <v>63</v>
      </c>
      <c r="F415" t="s">
        <v>27</v>
      </c>
      <c r="G415" t="s">
        <v>89</v>
      </c>
    </row>
    <row r="416" spans="1:7" x14ac:dyDescent="0.2">
      <c r="A416" t="s">
        <v>212</v>
      </c>
      <c r="B416" s="3">
        <v>2E-8</v>
      </c>
      <c r="C416" t="s">
        <v>8</v>
      </c>
      <c r="E416" t="s">
        <v>5</v>
      </c>
      <c r="F416" t="s">
        <v>27</v>
      </c>
      <c r="G416" t="s">
        <v>213</v>
      </c>
    </row>
    <row r="418" spans="1:8" ht="16" x14ac:dyDescent="0.2">
      <c r="A418" s="2" t="s">
        <v>2</v>
      </c>
      <c r="B418" s="1" t="s">
        <v>198</v>
      </c>
    </row>
    <row r="419" spans="1:8" x14ac:dyDescent="0.2">
      <c r="A419" t="s">
        <v>3</v>
      </c>
      <c r="B419" t="s">
        <v>257</v>
      </c>
    </row>
    <row r="420" spans="1:8" x14ac:dyDescent="0.2">
      <c r="A420" t="s">
        <v>4</v>
      </c>
      <c r="B420" t="s">
        <v>48</v>
      </c>
    </row>
    <row r="421" spans="1:8" x14ac:dyDescent="0.2">
      <c r="A421" t="s">
        <v>6</v>
      </c>
      <c r="B421">
        <v>1</v>
      </c>
    </row>
    <row r="422" spans="1:8" x14ac:dyDescent="0.2">
      <c r="A422" t="s">
        <v>7</v>
      </c>
      <c r="B422" t="s">
        <v>194</v>
      </c>
    </row>
    <row r="423" spans="1:8" x14ac:dyDescent="0.2">
      <c r="A423" t="s">
        <v>8</v>
      </c>
      <c r="B423" t="s">
        <v>9</v>
      </c>
    </row>
    <row r="424" spans="1:8" x14ac:dyDescent="0.2">
      <c r="A424" t="s">
        <v>10</v>
      </c>
      <c r="B424" t="s">
        <v>16</v>
      </c>
    </row>
    <row r="425" spans="1:8" x14ac:dyDescent="0.2">
      <c r="A425" s="1" t="s">
        <v>11</v>
      </c>
      <c r="B425" s="1"/>
      <c r="C425" s="1"/>
      <c r="D425" s="1"/>
      <c r="E425" s="1"/>
      <c r="F425" s="1"/>
      <c r="G425" s="1"/>
    </row>
    <row r="426" spans="1:8" x14ac:dyDescent="0.2">
      <c r="A426" s="1" t="s">
        <v>12</v>
      </c>
      <c r="B426" s="1" t="s">
        <v>13</v>
      </c>
      <c r="C426" s="1" t="s">
        <v>8</v>
      </c>
      <c r="D426" s="1" t="s">
        <v>14</v>
      </c>
      <c r="E426" s="1" t="s">
        <v>4</v>
      </c>
      <c r="F426" s="1" t="s">
        <v>15</v>
      </c>
      <c r="G426" s="1" t="s">
        <v>7</v>
      </c>
      <c r="H426" s="1" t="s">
        <v>3</v>
      </c>
    </row>
    <row r="427" spans="1:8" x14ac:dyDescent="0.2">
      <c r="A427" t="str">
        <f>B418</f>
        <v>low voltage system production, for Li-O2 battery</v>
      </c>
      <c r="B427">
        <v>1</v>
      </c>
      <c r="C427" t="str">
        <f>B423</f>
        <v>kilogram</v>
      </c>
      <c r="E427" t="str">
        <f>B420</f>
        <v>RER</v>
      </c>
      <c r="F427" t="s">
        <v>18</v>
      </c>
      <c r="G427" t="str">
        <f>B422</f>
        <v>low voltage system</v>
      </c>
    </row>
    <row r="428" spans="1:8" x14ac:dyDescent="0.2">
      <c r="A428" t="s">
        <v>219</v>
      </c>
      <c r="B428" s="3">
        <v>2.9000000000000001E-2</v>
      </c>
      <c r="C428" t="s">
        <v>9</v>
      </c>
      <c r="E428" t="s">
        <v>48</v>
      </c>
      <c r="F428" t="s">
        <v>27</v>
      </c>
      <c r="G428" t="s">
        <v>220</v>
      </c>
    </row>
    <row r="429" spans="1:8" x14ac:dyDescent="0.2">
      <c r="A429" t="s">
        <v>232</v>
      </c>
      <c r="B429" s="3">
        <v>0.97</v>
      </c>
      <c r="C429" t="s">
        <v>9</v>
      </c>
      <c r="E429" t="s">
        <v>5</v>
      </c>
      <c r="F429" t="s">
        <v>27</v>
      </c>
      <c r="G429" t="s">
        <v>233</v>
      </c>
    </row>
    <row r="430" spans="1:8" x14ac:dyDescent="0.2">
      <c r="A430" t="s">
        <v>136</v>
      </c>
      <c r="B430" s="3">
        <v>2.9000000000000001E-2</v>
      </c>
      <c r="C430" t="s">
        <v>9</v>
      </c>
      <c r="E430" t="s">
        <v>48</v>
      </c>
      <c r="F430" t="s">
        <v>27</v>
      </c>
      <c r="G430" t="s">
        <v>136</v>
      </c>
    </row>
    <row r="431" spans="1:8" x14ac:dyDescent="0.2">
      <c r="A431" t="s">
        <v>199</v>
      </c>
      <c r="B431" s="3">
        <v>0.11</v>
      </c>
      <c r="C431" t="s">
        <v>88</v>
      </c>
      <c r="E431" t="s">
        <v>48</v>
      </c>
      <c r="F431" t="s">
        <v>27</v>
      </c>
      <c r="G431" t="s">
        <v>214</v>
      </c>
    </row>
    <row r="432" spans="1:8" x14ac:dyDescent="0.2">
      <c r="A432" t="s">
        <v>87</v>
      </c>
      <c r="B432" s="3">
        <v>0.2</v>
      </c>
      <c r="C432" t="s">
        <v>88</v>
      </c>
      <c r="E432" t="s">
        <v>63</v>
      </c>
      <c r="F432" t="s">
        <v>27</v>
      </c>
      <c r="G432" t="s">
        <v>89</v>
      </c>
    </row>
    <row r="433" spans="1:8" x14ac:dyDescent="0.2">
      <c r="A433" t="s">
        <v>212</v>
      </c>
      <c r="B433" s="3">
        <v>2E-8</v>
      </c>
      <c r="C433" t="s">
        <v>8</v>
      </c>
      <c r="E433" t="s">
        <v>5</v>
      </c>
      <c r="F433" t="s">
        <v>27</v>
      </c>
      <c r="G433" t="s">
        <v>213</v>
      </c>
    </row>
    <row r="436" spans="1:8" ht="16" x14ac:dyDescent="0.2">
      <c r="A436" s="2" t="s">
        <v>2</v>
      </c>
      <c r="B436" s="1" t="s">
        <v>234</v>
      </c>
    </row>
    <row r="437" spans="1:8" x14ac:dyDescent="0.2">
      <c r="A437" t="s">
        <v>3</v>
      </c>
      <c r="B437" t="s">
        <v>258</v>
      </c>
    </row>
    <row r="438" spans="1:8" x14ac:dyDescent="0.2">
      <c r="A438" t="s">
        <v>4</v>
      </c>
      <c r="B438" t="s">
        <v>48</v>
      </c>
    </row>
    <row r="439" spans="1:8" x14ac:dyDescent="0.2">
      <c r="A439" t="s">
        <v>6</v>
      </c>
      <c r="B439">
        <v>1</v>
      </c>
    </row>
    <row r="440" spans="1:8" x14ac:dyDescent="0.2">
      <c r="A440" t="s">
        <v>7</v>
      </c>
      <c r="B440" t="s">
        <v>166</v>
      </c>
    </row>
    <row r="441" spans="1:8" x14ac:dyDescent="0.2">
      <c r="A441" t="s">
        <v>8</v>
      </c>
      <c r="B441" t="s">
        <v>9</v>
      </c>
    </row>
    <row r="442" spans="1:8" x14ac:dyDescent="0.2">
      <c r="A442" t="s">
        <v>10</v>
      </c>
      <c r="B442" t="s">
        <v>16</v>
      </c>
    </row>
    <row r="443" spans="1:8" x14ac:dyDescent="0.2">
      <c r="A443" s="1" t="s">
        <v>11</v>
      </c>
      <c r="B443" s="1"/>
      <c r="C443" s="1"/>
      <c r="D443" s="1"/>
      <c r="E443" s="1"/>
      <c r="F443" s="1"/>
      <c r="G443" s="1"/>
    </row>
    <row r="444" spans="1:8" x14ac:dyDescent="0.2">
      <c r="A444" s="1" t="s">
        <v>12</v>
      </c>
      <c r="B444" s="1" t="s">
        <v>13</v>
      </c>
      <c r="C444" s="1" t="s">
        <v>8</v>
      </c>
      <c r="D444" s="1" t="s">
        <v>14</v>
      </c>
      <c r="E444" s="1" t="s">
        <v>4</v>
      </c>
      <c r="F444" s="1" t="s">
        <v>15</v>
      </c>
      <c r="G444" s="1" t="s">
        <v>7</v>
      </c>
      <c r="H444" s="1" t="s">
        <v>3</v>
      </c>
    </row>
    <row r="445" spans="1:8" x14ac:dyDescent="0.2">
      <c r="A445" t="str">
        <f>B436</f>
        <v>cooling system production, for Li-O2 battery</v>
      </c>
      <c r="B445">
        <v>1</v>
      </c>
      <c r="C445" t="str">
        <f>B441</f>
        <v>kilogram</v>
      </c>
      <c r="E445" t="str">
        <f>B438</f>
        <v>RER</v>
      </c>
      <c r="F445" t="s">
        <v>18</v>
      </c>
      <c r="G445" t="str">
        <f>B440</f>
        <v>cooling system</v>
      </c>
    </row>
    <row r="446" spans="1:8" x14ac:dyDescent="0.2">
      <c r="A446" t="s">
        <v>235</v>
      </c>
      <c r="B446" s="3">
        <v>0.87</v>
      </c>
      <c r="C446" t="s">
        <v>9</v>
      </c>
      <c r="E446" t="s">
        <v>48</v>
      </c>
      <c r="F446" t="s">
        <v>27</v>
      </c>
      <c r="G446" t="s">
        <v>242</v>
      </c>
    </row>
    <row r="447" spans="1:8" x14ac:dyDescent="0.2">
      <c r="A447" t="s">
        <v>236</v>
      </c>
      <c r="B447" s="3">
        <v>3.7999999999999999E-2</v>
      </c>
      <c r="C447" t="s">
        <v>9</v>
      </c>
      <c r="E447" t="s">
        <v>48</v>
      </c>
      <c r="F447" t="s">
        <v>27</v>
      </c>
      <c r="G447" t="s">
        <v>243</v>
      </c>
    </row>
    <row r="448" spans="1:8" x14ac:dyDescent="0.2">
      <c r="A448" t="s">
        <v>237</v>
      </c>
      <c r="B448" s="3">
        <v>2.3E-2</v>
      </c>
      <c r="C448" t="s">
        <v>9</v>
      </c>
      <c r="E448" t="s">
        <v>48</v>
      </c>
      <c r="F448" t="s">
        <v>27</v>
      </c>
      <c r="G448" t="s">
        <v>244</v>
      </c>
    </row>
    <row r="449" spans="1:8" x14ac:dyDescent="0.2">
      <c r="A449" t="s">
        <v>238</v>
      </c>
      <c r="B449" s="3">
        <v>9.6000000000000002E-4</v>
      </c>
      <c r="C449" t="s">
        <v>9</v>
      </c>
      <c r="E449" t="s">
        <v>48</v>
      </c>
      <c r="F449" t="s">
        <v>27</v>
      </c>
      <c r="G449" t="s">
        <v>245</v>
      </c>
    </row>
    <row r="450" spans="1:8" x14ac:dyDescent="0.2">
      <c r="A450" t="s">
        <v>239</v>
      </c>
      <c r="B450" s="3">
        <v>0.02</v>
      </c>
      <c r="C450" t="s">
        <v>9</v>
      </c>
      <c r="E450" t="s">
        <v>48</v>
      </c>
      <c r="F450" t="s">
        <v>27</v>
      </c>
      <c r="G450" t="s">
        <v>246</v>
      </c>
    </row>
    <row r="451" spans="1:8" x14ac:dyDescent="0.2">
      <c r="A451" t="s">
        <v>240</v>
      </c>
      <c r="B451" s="3">
        <v>4.8000000000000001E-2</v>
      </c>
      <c r="C451" t="s">
        <v>9</v>
      </c>
      <c r="E451" t="s">
        <v>48</v>
      </c>
      <c r="F451" t="s">
        <v>27</v>
      </c>
      <c r="G451" t="s">
        <v>241</v>
      </c>
      <c r="H451" s="6">
        <f>B451*B283</f>
        <v>6.2026168224299056E-3</v>
      </c>
    </row>
    <row r="452" spans="1:8" x14ac:dyDescent="0.2">
      <c r="A452" t="s">
        <v>87</v>
      </c>
      <c r="B452" s="3">
        <v>0.22</v>
      </c>
      <c r="C452" t="s">
        <v>88</v>
      </c>
      <c r="E452" t="s">
        <v>63</v>
      </c>
      <c r="F452" t="s">
        <v>27</v>
      </c>
      <c r="G452" t="s">
        <v>89</v>
      </c>
    </row>
    <row r="453" spans="1:8" x14ac:dyDescent="0.2">
      <c r="A453" t="s">
        <v>199</v>
      </c>
      <c r="B453" s="3">
        <v>0.1</v>
      </c>
      <c r="C453" t="s">
        <v>88</v>
      </c>
      <c r="E453" t="s">
        <v>48</v>
      </c>
      <c r="F453" t="s">
        <v>27</v>
      </c>
      <c r="G453" t="s">
        <v>214</v>
      </c>
    </row>
    <row r="456" spans="1:8" ht="16" x14ac:dyDescent="0.2">
      <c r="A456" s="2" t="s">
        <v>2</v>
      </c>
      <c r="B456" s="1" t="s">
        <v>235</v>
      </c>
    </row>
    <row r="457" spans="1:8" x14ac:dyDescent="0.2">
      <c r="A457" t="s">
        <v>3</v>
      </c>
      <c r="B457" t="s">
        <v>257</v>
      </c>
    </row>
    <row r="458" spans="1:8" x14ac:dyDescent="0.2">
      <c r="A458" t="s">
        <v>4</v>
      </c>
      <c r="B458" t="s">
        <v>48</v>
      </c>
    </row>
    <row r="459" spans="1:8" x14ac:dyDescent="0.2">
      <c r="A459" t="s">
        <v>6</v>
      </c>
      <c r="B459">
        <v>1</v>
      </c>
    </row>
    <row r="460" spans="1:8" x14ac:dyDescent="0.2">
      <c r="A460" t="s">
        <v>7</v>
      </c>
      <c r="B460" t="s">
        <v>242</v>
      </c>
    </row>
    <row r="461" spans="1:8" x14ac:dyDescent="0.2">
      <c r="A461" t="s">
        <v>8</v>
      </c>
      <c r="B461" t="s">
        <v>9</v>
      </c>
    </row>
    <row r="462" spans="1:8" x14ac:dyDescent="0.2">
      <c r="A462" t="s">
        <v>10</v>
      </c>
      <c r="B462" t="s">
        <v>16</v>
      </c>
    </row>
    <row r="463" spans="1:8" x14ac:dyDescent="0.2">
      <c r="A463" s="1" t="s">
        <v>11</v>
      </c>
      <c r="B463" s="1"/>
      <c r="C463" s="1"/>
      <c r="D463" s="1"/>
      <c r="E463" s="1"/>
      <c r="F463" s="1"/>
      <c r="G463" s="1"/>
    </row>
    <row r="464" spans="1:8" x14ac:dyDescent="0.2">
      <c r="A464" s="1" t="s">
        <v>12</v>
      </c>
      <c r="B464" s="1" t="s">
        <v>13</v>
      </c>
      <c r="C464" s="1" t="s">
        <v>8</v>
      </c>
      <c r="D464" s="1" t="s">
        <v>14</v>
      </c>
      <c r="E464" s="1" t="s">
        <v>4</v>
      </c>
      <c r="F464" s="1" t="s">
        <v>15</v>
      </c>
      <c r="G464" s="1" t="s">
        <v>7</v>
      </c>
      <c r="H464" s="1" t="s">
        <v>3</v>
      </c>
    </row>
    <row r="465" spans="1:7" x14ac:dyDescent="0.2">
      <c r="A465" t="str">
        <f>B456</f>
        <v>radiator production, for Li-O2 battery</v>
      </c>
      <c r="B465">
        <v>1</v>
      </c>
      <c r="C465" t="str">
        <f>B461</f>
        <v>kilogram</v>
      </c>
      <c r="E465" t="str">
        <f>B458</f>
        <v>RER</v>
      </c>
      <c r="F465" t="s">
        <v>18</v>
      </c>
      <c r="G465" t="str">
        <f>B460</f>
        <v>radiator</v>
      </c>
    </row>
    <row r="466" spans="1:7" x14ac:dyDescent="0.2">
      <c r="A466" t="s">
        <v>217</v>
      </c>
      <c r="B466" s="3">
        <v>1</v>
      </c>
      <c r="C466" t="s">
        <v>9</v>
      </c>
      <c r="E466" t="s">
        <v>63</v>
      </c>
      <c r="F466" t="s">
        <v>27</v>
      </c>
      <c r="G466" t="s">
        <v>218</v>
      </c>
    </row>
    <row r="467" spans="1:7" x14ac:dyDescent="0.2">
      <c r="A467" t="s">
        <v>111</v>
      </c>
      <c r="B467">
        <v>1</v>
      </c>
      <c r="C467" t="s">
        <v>9</v>
      </c>
      <c r="E467" t="s">
        <v>48</v>
      </c>
      <c r="F467" t="s">
        <v>27</v>
      </c>
      <c r="G467" t="s">
        <v>111</v>
      </c>
    </row>
    <row r="468" spans="1:7" x14ac:dyDescent="0.2">
      <c r="A468" t="s">
        <v>87</v>
      </c>
      <c r="B468" s="3">
        <v>0.2</v>
      </c>
      <c r="C468" t="s">
        <v>88</v>
      </c>
      <c r="E468" t="s">
        <v>63</v>
      </c>
      <c r="F468" t="s">
        <v>27</v>
      </c>
      <c r="G468" t="s">
        <v>89</v>
      </c>
    </row>
    <row r="469" spans="1:7" x14ac:dyDescent="0.2">
      <c r="A469" t="s">
        <v>199</v>
      </c>
      <c r="B469" s="3">
        <v>0.1</v>
      </c>
      <c r="C469" t="s">
        <v>88</v>
      </c>
      <c r="E469" t="s">
        <v>48</v>
      </c>
      <c r="F469" t="s">
        <v>27</v>
      </c>
      <c r="G469" t="s">
        <v>214</v>
      </c>
    </row>
    <row r="470" spans="1:7" x14ac:dyDescent="0.2">
      <c r="A470" t="s">
        <v>114</v>
      </c>
      <c r="B470" s="3">
        <v>1.5E-10</v>
      </c>
      <c r="C470" t="s">
        <v>8</v>
      </c>
      <c r="E470" t="s">
        <v>48</v>
      </c>
      <c r="F470" t="s">
        <v>27</v>
      </c>
      <c r="G470" t="s">
        <v>115</v>
      </c>
    </row>
    <row r="473" spans="1:7" ht="16" x14ac:dyDescent="0.2">
      <c r="A473" s="2" t="s">
        <v>2</v>
      </c>
      <c r="B473" s="1" t="s">
        <v>236</v>
      </c>
    </row>
    <row r="474" spans="1:7" x14ac:dyDescent="0.2">
      <c r="A474" t="s">
        <v>3</v>
      </c>
      <c r="B474" t="s">
        <v>257</v>
      </c>
    </row>
    <row r="475" spans="1:7" x14ac:dyDescent="0.2">
      <c r="A475" t="s">
        <v>4</v>
      </c>
      <c r="B475" t="s">
        <v>48</v>
      </c>
    </row>
    <row r="476" spans="1:7" x14ac:dyDescent="0.2">
      <c r="A476" t="s">
        <v>6</v>
      </c>
      <c r="B476">
        <v>1</v>
      </c>
    </row>
    <row r="477" spans="1:7" x14ac:dyDescent="0.2">
      <c r="A477" t="s">
        <v>7</v>
      </c>
      <c r="B477" t="s">
        <v>243</v>
      </c>
    </row>
    <row r="478" spans="1:7" x14ac:dyDescent="0.2">
      <c r="A478" t="s">
        <v>8</v>
      </c>
      <c r="B478" t="s">
        <v>9</v>
      </c>
    </row>
    <row r="479" spans="1:7" x14ac:dyDescent="0.2">
      <c r="A479" t="s">
        <v>10</v>
      </c>
      <c r="B479" t="s">
        <v>16</v>
      </c>
    </row>
    <row r="480" spans="1:7" x14ac:dyDescent="0.2">
      <c r="A480" s="1" t="s">
        <v>11</v>
      </c>
      <c r="B480" s="1"/>
      <c r="C480" s="1"/>
      <c r="D480" s="1"/>
      <c r="E480" s="1"/>
      <c r="F480" s="1"/>
      <c r="G480" s="1"/>
    </row>
    <row r="481" spans="1:8" x14ac:dyDescent="0.2">
      <c r="A481" s="1" t="s">
        <v>12</v>
      </c>
      <c r="B481" s="1" t="s">
        <v>13</v>
      </c>
      <c r="C481" s="1" t="s">
        <v>8</v>
      </c>
      <c r="D481" s="1" t="s">
        <v>14</v>
      </c>
      <c r="E481" s="1" t="s">
        <v>4</v>
      </c>
      <c r="F481" s="1" t="s">
        <v>15</v>
      </c>
      <c r="G481" s="1" t="s">
        <v>7</v>
      </c>
      <c r="H481" s="1" t="s">
        <v>3</v>
      </c>
    </row>
    <row r="482" spans="1:8" x14ac:dyDescent="0.2">
      <c r="A482" t="str">
        <f>B473</f>
        <v>manifolds production, for Li-O2 battery</v>
      </c>
      <c r="B482">
        <v>1</v>
      </c>
      <c r="C482" t="str">
        <f>B478</f>
        <v>kilogram</v>
      </c>
      <c r="E482" t="str">
        <f>B475</f>
        <v>RER</v>
      </c>
      <c r="F482" t="s">
        <v>18</v>
      </c>
      <c r="G482" t="str">
        <f>B477</f>
        <v>manifolds</v>
      </c>
    </row>
    <row r="483" spans="1:8" x14ac:dyDescent="0.2">
      <c r="A483" t="s">
        <v>217</v>
      </c>
      <c r="B483" s="3">
        <v>1</v>
      </c>
      <c r="C483" t="s">
        <v>9</v>
      </c>
      <c r="E483" t="s">
        <v>63</v>
      </c>
      <c r="F483" t="s">
        <v>27</v>
      </c>
      <c r="G483" t="s">
        <v>218</v>
      </c>
    </row>
    <row r="484" spans="1:8" x14ac:dyDescent="0.2">
      <c r="A484" t="s">
        <v>230</v>
      </c>
      <c r="B484" s="3">
        <v>1</v>
      </c>
      <c r="C484" t="s">
        <v>9</v>
      </c>
      <c r="E484" t="s">
        <v>48</v>
      </c>
      <c r="F484" t="s">
        <v>27</v>
      </c>
      <c r="G484" t="s">
        <v>230</v>
      </c>
    </row>
    <row r="485" spans="1:8" x14ac:dyDescent="0.2">
      <c r="A485" t="s">
        <v>87</v>
      </c>
      <c r="B485" s="3">
        <v>0.2</v>
      </c>
      <c r="C485" t="s">
        <v>88</v>
      </c>
      <c r="E485" t="s">
        <v>63</v>
      </c>
      <c r="F485" t="s">
        <v>27</v>
      </c>
      <c r="G485" t="s">
        <v>89</v>
      </c>
    </row>
    <row r="486" spans="1:8" x14ac:dyDescent="0.2">
      <c r="A486" t="s">
        <v>199</v>
      </c>
      <c r="B486" s="3">
        <v>0.1</v>
      </c>
      <c r="C486" t="s">
        <v>88</v>
      </c>
      <c r="E486" t="s">
        <v>48</v>
      </c>
      <c r="F486" t="s">
        <v>27</v>
      </c>
      <c r="G486" t="s">
        <v>214</v>
      </c>
    </row>
    <row r="487" spans="1:8" x14ac:dyDescent="0.2">
      <c r="A487" t="s">
        <v>114</v>
      </c>
      <c r="B487" s="3">
        <v>1.5E-10</v>
      </c>
      <c r="C487" t="s">
        <v>8</v>
      </c>
      <c r="E487" t="s">
        <v>48</v>
      </c>
      <c r="F487" t="s">
        <v>27</v>
      </c>
      <c r="G487" t="s">
        <v>115</v>
      </c>
    </row>
    <row r="490" spans="1:8" ht="16" x14ac:dyDescent="0.2">
      <c r="A490" s="2" t="s">
        <v>2</v>
      </c>
      <c r="B490" s="1" t="s">
        <v>237</v>
      </c>
    </row>
    <row r="491" spans="1:8" x14ac:dyDescent="0.2">
      <c r="A491" t="s">
        <v>3</v>
      </c>
      <c r="B491" t="s">
        <v>257</v>
      </c>
    </row>
    <row r="492" spans="1:8" x14ac:dyDescent="0.2">
      <c r="A492" t="s">
        <v>4</v>
      </c>
      <c r="B492" t="s">
        <v>48</v>
      </c>
    </row>
    <row r="493" spans="1:8" x14ac:dyDescent="0.2">
      <c r="A493" t="s">
        <v>6</v>
      </c>
      <c r="B493">
        <v>1</v>
      </c>
    </row>
    <row r="494" spans="1:8" x14ac:dyDescent="0.2">
      <c r="A494" t="s">
        <v>7</v>
      </c>
      <c r="B494" t="s">
        <v>244</v>
      </c>
    </row>
    <row r="495" spans="1:8" x14ac:dyDescent="0.2">
      <c r="A495" t="s">
        <v>8</v>
      </c>
      <c r="B495" t="s">
        <v>9</v>
      </c>
    </row>
    <row r="496" spans="1:8" x14ac:dyDescent="0.2">
      <c r="A496" t="s">
        <v>10</v>
      </c>
      <c r="B496" t="s">
        <v>16</v>
      </c>
    </row>
    <row r="497" spans="1:7" x14ac:dyDescent="0.2">
      <c r="A497" s="1" t="s">
        <v>11</v>
      </c>
      <c r="B497" s="1"/>
      <c r="C497" s="1"/>
      <c r="D497" s="1"/>
      <c r="E497" s="1"/>
      <c r="F497" s="1"/>
      <c r="G497" s="1"/>
    </row>
    <row r="498" spans="1:7" x14ac:dyDescent="0.2">
      <c r="A498" s="1" t="s">
        <v>12</v>
      </c>
      <c r="B498" s="1" t="s">
        <v>13</v>
      </c>
      <c r="C498" s="1" t="s">
        <v>8</v>
      </c>
      <c r="D498" s="1" t="s">
        <v>14</v>
      </c>
      <c r="E498" s="1" t="s">
        <v>4</v>
      </c>
      <c r="F498" s="1" t="s">
        <v>15</v>
      </c>
      <c r="G498" s="1" t="s">
        <v>7</v>
      </c>
    </row>
    <row r="499" spans="1:7" x14ac:dyDescent="0.2">
      <c r="A499" t="str">
        <f>B490</f>
        <v>clamps and fasteners production, for Li-O2 battery</v>
      </c>
      <c r="B499">
        <v>1</v>
      </c>
      <c r="C499" t="str">
        <f>B495</f>
        <v>kilogram</v>
      </c>
      <c r="E499" t="str">
        <f>B492</f>
        <v>RER</v>
      </c>
      <c r="F499" t="s">
        <v>18</v>
      </c>
      <c r="G499" t="str">
        <f>B494</f>
        <v>clamps and fasteners</v>
      </c>
    </row>
    <row r="500" spans="1:7" x14ac:dyDescent="0.2">
      <c r="A500" t="s">
        <v>144</v>
      </c>
      <c r="B500" s="3">
        <v>1</v>
      </c>
      <c r="C500" t="s">
        <v>9</v>
      </c>
      <c r="E500" t="s">
        <v>5</v>
      </c>
      <c r="F500" t="s">
        <v>27</v>
      </c>
      <c r="G500" t="s">
        <v>145</v>
      </c>
    </row>
    <row r="501" spans="1:7" x14ac:dyDescent="0.2">
      <c r="A501" t="s">
        <v>210</v>
      </c>
      <c r="B501" s="3">
        <v>1</v>
      </c>
      <c r="C501" t="s">
        <v>9</v>
      </c>
      <c r="E501" t="s">
        <v>48</v>
      </c>
      <c r="F501" t="s">
        <v>27</v>
      </c>
      <c r="G501" t="s">
        <v>210</v>
      </c>
    </row>
    <row r="502" spans="1:7" x14ac:dyDescent="0.2">
      <c r="A502" t="s">
        <v>87</v>
      </c>
      <c r="B502" s="3">
        <v>0.2</v>
      </c>
      <c r="C502" t="s">
        <v>88</v>
      </c>
      <c r="E502" t="s">
        <v>63</v>
      </c>
      <c r="F502" t="s">
        <v>27</v>
      </c>
      <c r="G502" t="s">
        <v>89</v>
      </c>
    </row>
    <row r="503" spans="1:7" x14ac:dyDescent="0.2">
      <c r="A503" t="s">
        <v>199</v>
      </c>
      <c r="B503" s="3">
        <v>0.1</v>
      </c>
      <c r="C503" t="s">
        <v>88</v>
      </c>
      <c r="E503" t="s">
        <v>48</v>
      </c>
      <c r="F503" t="s">
        <v>27</v>
      </c>
      <c r="G503" t="s">
        <v>214</v>
      </c>
    </row>
    <row r="504" spans="1:7" x14ac:dyDescent="0.2">
      <c r="A504" t="s">
        <v>85</v>
      </c>
      <c r="B504" s="3">
        <v>4.6000000000000001E-10</v>
      </c>
      <c r="C504" t="s">
        <v>8</v>
      </c>
      <c r="E504" t="s">
        <v>5</v>
      </c>
      <c r="F504" t="s">
        <v>27</v>
      </c>
      <c r="G504" t="s">
        <v>86</v>
      </c>
    </row>
    <row r="507" spans="1:7" ht="16" x14ac:dyDescent="0.2">
      <c r="A507" s="2" t="s">
        <v>2</v>
      </c>
      <c r="B507" s="1" t="s">
        <v>238</v>
      </c>
    </row>
    <row r="508" spans="1:7" x14ac:dyDescent="0.2">
      <c r="A508" t="s">
        <v>3</v>
      </c>
      <c r="B508" t="s">
        <v>257</v>
      </c>
    </row>
    <row r="509" spans="1:7" x14ac:dyDescent="0.2">
      <c r="A509" t="s">
        <v>4</v>
      </c>
      <c r="B509" t="s">
        <v>48</v>
      </c>
    </row>
    <row r="510" spans="1:7" x14ac:dyDescent="0.2">
      <c r="A510" t="s">
        <v>6</v>
      </c>
      <c r="B510">
        <v>1</v>
      </c>
    </row>
    <row r="511" spans="1:7" x14ac:dyDescent="0.2">
      <c r="A511" t="s">
        <v>7</v>
      </c>
      <c r="B511" t="s">
        <v>245</v>
      </c>
    </row>
    <row r="512" spans="1:7" x14ac:dyDescent="0.2">
      <c r="A512" t="s">
        <v>8</v>
      </c>
      <c r="B512" t="s">
        <v>9</v>
      </c>
    </row>
    <row r="513" spans="1:8" x14ac:dyDescent="0.2">
      <c r="A513" t="s">
        <v>10</v>
      </c>
      <c r="B513" t="s">
        <v>16</v>
      </c>
    </row>
    <row r="514" spans="1:8" x14ac:dyDescent="0.2">
      <c r="A514" s="1" t="s">
        <v>11</v>
      </c>
      <c r="B514" s="1"/>
      <c r="C514" s="1"/>
      <c r="D514" s="1"/>
      <c r="E514" s="1"/>
      <c r="F514" s="1"/>
      <c r="G514" s="1"/>
    </row>
    <row r="515" spans="1:8" x14ac:dyDescent="0.2">
      <c r="A515" s="1" t="s">
        <v>12</v>
      </c>
      <c r="B515" s="1" t="s">
        <v>13</v>
      </c>
      <c r="C515" s="1" t="s">
        <v>8</v>
      </c>
      <c r="D515" s="1" t="s">
        <v>14</v>
      </c>
      <c r="E515" s="1" t="s">
        <v>4</v>
      </c>
      <c r="F515" s="1" t="s">
        <v>15</v>
      </c>
      <c r="G515" s="1" t="s">
        <v>7</v>
      </c>
      <c r="H515" s="1" t="s">
        <v>3</v>
      </c>
    </row>
    <row r="516" spans="1:8" x14ac:dyDescent="0.2">
      <c r="A516" t="str">
        <f>B507</f>
        <v>pipe fitting production, for Li-O2 battery</v>
      </c>
      <c r="B516">
        <v>1</v>
      </c>
      <c r="C516" t="str">
        <f>B512</f>
        <v>kilogram</v>
      </c>
      <c r="E516" t="str">
        <f>B509</f>
        <v>RER</v>
      </c>
      <c r="F516" t="s">
        <v>18</v>
      </c>
      <c r="G516" t="str">
        <f>B511</f>
        <v>pipe fitting</v>
      </c>
    </row>
    <row r="517" spans="1:8" x14ac:dyDescent="0.2">
      <c r="A517" t="s">
        <v>247</v>
      </c>
      <c r="B517" s="3">
        <v>0.75</v>
      </c>
      <c r="C517" t="s">
        <v>9</v>
      </c>
      <c r="E517" t="s">
        <v>48</v>
      </c>
      <c r="F517" t="s">
        <v>27</v>
      </c>
      <c r="G517" t="s">
        <v>248</v>
      </c>
    </row>
    <row r="518" spans="1:8" x14ac:dyDescent="0.2">
      <c r="A518" t="s">
        <v>221</v>
      </c>
      <c r="B518" s="3">
        <v>0.25</v>
      </c>
      <c r="C518" t="s">
        <v>9</v>
      </c>
      <c r="E518" t="s">
        <v>48</v>
      </c>
      <c r="F518" t="s">
        <v>27</v>
      </c>
      <c r="G518" t="s">
        <v>222</v>
      </c>
    </row>
    <row r="519" spans="1:8" x14ac:dyDescent="0.2">
      <c r="A519" t="s">
        <v>136</v>
      </c>
      <c r="B519" s="3">
        <v>1</v>
      </c>
      <c r="C519" t="s">
        <v>9</v>
      </c>
      <c r="E519" t="s">
        <v>48</v>
      </c>
      <c r="F519" t="s">
        <v>27</v>
      </c>
      <c r="G519" t="s">
        <v>136</v>
      </c>
    </row>
    <row r="520" spans="1:8" x14ac:dyDescent="0.2">
      <c r="A520" t="s">
        <v>87</v>
      </c>
      <c r="B520" s="3">
        <v>0.2</v>
      </c>
      <c r="C520" t="s">
        <v>88</v>
      </c>
      <c r="E520" t="s">
        <v>63</v>
      </c>
      <c r="F520" t="s">
        <v>27</v>
      </c>
      <c r="G520" t="s">
        <v>89</v>
      </c>
    </row>
    <row r="521" spans="1:8" x14ac:dyDescent="0.2">
      <c r="A521" t="s">
        <v>199</v>
      </c>
      <c r="B521" s="3">
        <v>0.1</v>
      </c>
      <c r="C521" t="s">
        <v>88</v>
      </c>
      <c r="E521" t="s">
        <v>48</v>
      </c>
      <c r="F521" t="s">
        <v>27</v>
      </c>
      <c r="G521" t="s">
        <v>214</v>
      </c>
    </row>
    <row r="522" spans="1:8" x14ac:dyDescent="0.2">
      <c r="A522" t="s">
        <v>137</v>
      </c>
      <c r="B522" s="3">
        <v>7.4000000000000003E-10</v>
      </c>
      <c r="C522" t="s">
        <v>8</v>
      </c>
      <c r="E522" t="s">
        <v>48</v>
      </c>
      <c r="F522" t="s">
        <v>27</v>
      </c>
      <c r="G522" t="s">
        <v>138</v>
      </c>
    </row>
    <row r="525" spans="1:8" ht="16" x14ac:dyDescent="0.2">
      <c r="A525" s="2" t="s">
        <v>2</v>
      </c>
      <c r="B525" s="1" t="s">
        <v>239</v>
      </c>
    </row>
    <row r="526" spans="1:8" x14ac:dyDescent="0.2">
      <c r="A526" t="s">
        <v>3</v>
      </c>
      <c r="B526" t="s">
        <v>257</v>
      </c>
    </row>
    <row r="527" spans="1:8" x14ac:dyDescent="0.2">
      <c r="A527" t="s">
        <v>4</v>
      </c>
      <c r="B527" t="s">
        <v>48</v>
      </c>
    </row>
    <row r="528" spans="1:8" x14ac:dyDescent="0.2">
      <c r="A528" t="s">
        <v>6</v>
      </c>
      <c r="B528">
        <v>1</v>
      </c>
    </row>
    <row r="529" spans="1:8" x14ac:dyDescent="0.2">
      <c r="A529" t="s">
        <v>7</v>
      </c>
      <c r="B529" t="s">
        <v>246</v>
      </c>
    </row>
    <row r="530" spans="1:8" x14ac:dyDescent="0.2">
      <c r="A530" t="s">
        <v>8</v>
      </c>
      <c r="B530" t="s">
        <v>9</v>
      </c>
    </row>
    <row r="531" spans="1:8" x14ac:dyDescent="0.2">
      <c r="A531" t="s">
        <v>10</v>
      </c>
      <c r="B531" t="s">
        <v>16</v>
      </c>
    </row>
    <row r="532" spans="1:8" x14ac:dyDescent="0.2">
      <c r="A532" s="1" t="s">
        <v>11</v>
      </c>
      <c r="B532" s="1"/>
      <c r="C532" s="1"/>
      <c r="D532" s="1"/>
      <c r="E532" s="1"/>
      <c r="F532" s="1"/>
      <c r="G532" s="1"/>
    </row>
    <row r="533" spans="1:8" x14ac:dyDescent="0.2">
      <c r="A533" s="1" t="s">
        <v>12</v>
      </c>
      <c r="B533" s="1" t="s">
        <v>13</v>
      </c>
      <c r="C533" s="1" t="s">
        <v>8</v>
      </c>
      <c r="D533" s="1" t="s">
        <v>14</v>
      </c>
      <c r="E533" s="1" t="s">
        <v>4</v>
      </c>
      <c r="F533" s="1" t="s">
        <v>15</v>
      </c>
      <c r="G533" s="1" t="s">
        <v>7</v>
      </c>
      <c r="H533" s="1" t="s">
        <v>3</v>
      </c>
    </row>
    <row r="534" spans="1:8" x14ac:dyDescent="0.2">
      <c r="A534" t="str">
        <f>B525</f>
        <v>thermal pad production, for Li-O2 battery</v>
      </c>
      <c r="B534">
        <v>1</v>
      </c>
      <c r="C534" t="str">
        <f>B530</f>
        <v>kilogram</v>
      </c>
      <c r="E534" t="str">
        <f>B527</f>
        <v>RER</v>
      </c>
      <c r="F534" t="s">
        <v>18</v>
      </c>
      <c r="G534" t="str">
        <f>B529</f>
        <v>thermal pad</v>
      </c>
    </row>
    <row r="535" spans="1:8" x14ac:dyDescent="0.2">
      <c r="A535" t="s">
        <v>249</v>
      </c>
      <c r="B535" s="3">
        <v>0.1</v>
      </c>
      <c r="C535" t="s">
        <v>9</v>
      </c>
      <c r="E535" t="s">
        <v>48</v>
      </c>
      <c r="F535" t="s">
        <v>27</v>
      </c>
      <c r="G535" t="s">
        <v>250</v>
      </c>
    </row>
    <row r="536" spans="1:8" x14ac:dyDescent="0.2">
      <c r="A536" t="s">
        <v>252</v>
      </c>
      <c r="B536" s="3">
        <v>0.3</v>
      </c>
      <c r="C536" t="s">
        <v>9</v>
      </c>
      <c r="E536" t="s">
        <v>253</v>
      </c>
      <c r="F536" t="s">
        <v>27</v>
      </c>
      <c r="G536" t="s">
        <v>251</v>
      </c>
    </row>
    <row r="537" spans="1:8" x14ac:dyDescent="0.2">
      <c r="A537" t="s">
        <v>163</v>
      </c>
      <c r="B537" s="3">
        <v>0.6</v>
      </c>
      <c r="C537" t="s">
        <v>9</v>
      </c>
      <c r="E537" t="s">
        <v>5</v>
      </c>
      <c r="F537" t="s">
        <v>27</v>
      </c>
      <c r="G537" t="s">
        <v>164</v>
      </c>
    </row>
    <row r="538" spans="1:8" x14ac:dyDescent="0.2">
      <c r="A538" t="s">
        <v>136</v>
      </c>
      <c r="B538" s="3">
        <v>1</v>
      </c>
      <c r="C538" t="s">
        <v>9</v>
      </c>
      <c r="E538" t="s">
        <v>48</v>
      </c>
      <c r="F538" t="s">
        <v>27</v>
      </c>
      <c r="G538" t="s">
        <v>136</v>
      </c>
    </row>
    <row r="539" spans="1:8" x14ac:dyDescent="0.2">
      <c r="A539" t="s">
        <v>87</v>
      </c>
      <c r="B539" s="3">
        <v>0.2</v>
      </c>
      <c r="C539" t="s">
        <v>88</v>
      </c>
      <c r="E539" t="s">
        <v>63</v>
      </c>
      <c r="F539" t="s">
        <v>27</v>
      </c>
      <c r="G539" t="s">
        <v>89</v>
      </c>
    </row>
    <row r="540" spans="1:8" x14ac:dyDescent="0.2">
      <c r="A540" t="s">
        <v>199</v>
      </c>
      <c r="B540" s="3">
        <v>0.1</v>
      </c>
      <c r="C540" t="s">
        <v>88</v>
      </c>
      <c r="E540" t="s">
        <v>48</v>
      </c>
      <c r="F540" t="s">
        <v>27</v>
      </c>
      <c r="G540" t="s">
        <v>214</v>
      </c>
    </row>
    <row r="541" spans="1:8" x14ac:dyDescent="0.2">
      <c r="A541" t="s">
        <v>137</v>
      </c>
      <c r="B541" s="3">
        <v>7.4000000000000003E-10</v>
      </c>
      <c r="C541" t="s">
        <v>8</v>
      </c>
      <c r="E541" t="s">
        <v>48</v>
      </c>
      <c r="F541" t="s">
        <v>27</v>
      </c>
      <c r="G541" t="s">
        <v>138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Battery - 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Hahn Menacho Alvaro Jose</dc:creator>
  <cp:lastModifiedBy>Romain Sacchi</cp:lastModifiedBy>
  <dcterms:created xsi:type="dcterms:W3CDTF">2015-06-05T18:19:34Z</dcterms:created>
  <dcterms:modified xsi:type="dcterms:W3CDTF">2025-08-26T10:20:06Z</dcterms:modified>
</cp:coreProperties>
</file>