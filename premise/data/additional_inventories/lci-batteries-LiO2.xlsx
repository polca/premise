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10817"/>
  <workbookPr/>
  <mc:AlternateContent xmlns:mc="http://schemas.openxmlformats.org/markup-compatibility/2006">
    <mc:Choice Requires="x15">
      <x15ac:absPath xmlns:x15ac="http://schemas.microsoft.com/office/spreadsheetml/2010/11/ac" url="/Users/romain/GitHub/premise/premise/data/additional_inventories/"/>
    </mc:Choice>
  </mc:AlternateContent>
  <xr:revisionPtr revIDLastSave="0" documentId="13_ncr:1_{33A44D40-4903-1D46-8935-660A807501ED}" xr6:coauthVersionLast="47" xr6:coauthVersionMax="47" xr10:uidLastSave="{00000000-0000-0000-0000-000000000000}"/>
  <bookViews>
    <workbookView xWindow="38240" yWindow="-600" windowWidth="25800" windowHeight="18880" xr2:uid="{00000000-000D-0000-FFFF-FFFF00000000}"/>
  </bookViews>
  <sheets>
    <sheet name="Battery - LiO2"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05" i="1" l="1"/>
  <c r="B164" i="1"/>
  <c r="G296" i="1"/>
  <c r="A295" i="1"/>
  <c r="G295" i="1"/>
  <c r="E295" i="1"/>
  <c r="B279" i="1"/>
  <c r="H216" i="1" s="1"/>
  <c r="B278" i="1"/>
  <c r="B284" i="1"/>
  <c r="B283" i="1"/>
  <c r="H451" i="1" s="1"/>
  <c r="B282" i="1"/>
  <c r="B281" i="1"/>
  <c r="B280" i="1"/>
  <c r="H247" i="1" s="1"/>
  <c r="B313" i="1"/>
  <c r="B201" i="1"/>
  <c r="B112" i="1"/>
  <c r="G534" i="1"/>
  <c r="E534" i="1"/>
  <c r="C534" i="1"/>
  <c r="A534" i="1"/>
  <c r="G516" i="1"/>
  <c r="E516" i="1"/>
  <c r="C516" i="1"/>
  <c r="A516" i="1"/>
  <c r="G499" i="1"/>
  <c r="E499" i="1"/>
  <c r="C499" i="1"/>
  <c r="A499" i="1"/>
  <c r="G482" i="1"/>
  <c r="E482" i="1"/>
  <c r="C482" i="1"/>
  <c r="A482" i="1"/>
  <c r="A465" i="1"/>
  <c r="G465" i="1"/>
  <c r="E465" i="1"/>
  <c r="C465" i="1"/>
  <c r="G445" i="1"/>
  <c r="E445" i="1"/>
  <c r="C445" i="1"/>
  <c r="A445" i="1"/>
  <c r="G427" i="1"/>
  <c r="E427" i="1"/>
  <c r="C427" i="1"/>
  <c r="A427" i="1"/>
  <c r="G398" i="1"/>
  <c r="E398" i="1"/>
  <c r="C398" i="1"/>
  <c r="A398" i="1"/>
  <c r="G381" i="1"/>
  <c r="E381" i="1"/>
  <c r="C381" i="1"/>
  <c r="A381" i="1"/>
  <c r="G356" i="1"/>
  <c r="E356" i="1"/>
  <c r="C356" i="1"/>
  <c r="A356" i="1"/>
  <c r="G338" i="1"/>
  <c r="E338" i="1"/>
  <c r="C338" i="1"/>
  <c r="A338" i="1"/>
  <c r="G311" i="1"/>
  <c r="E311" i="1"/>
  <c r="C311" i="1"/>
  <c r="A311" i="1"/>
  <c r="H184" i="1"/>
  <c r="H185" i="1"/>
  <c r="H186" i="1"/>
  <c r="H187" i="1"/>
  <c r="H182" i="1"/>
  <c r="H162" i="1"/>
  <c r="H163" i="1"/>
  <c r="H165" i="1"/>
  <c r="H166" i="1"/>
  <c r="H168" i="1"/>
  <c r="H159" i="1"/>
  <c r="H222" i="1" l="1"/>
  <c r="H241" i="1"/>
  <c r="H223" i="1"/>
  <c r="H215" i="1"/>
  <c r="H220" i="1"/>
  <c r="H221" i="1"/>
  <c r="H219" i="1"/>
  <c r="H240" i="1"/>
  <c r="H226" i="1"/>
  <c r="H218" i="1"/>
  <c r="H217" i="1"/>
  <c r="H224" i="1"/>
  <c r="H244" i="1"/>
  <c r="H245" i="1"/>
  <c r="H243" i="1"/>
  <c r="G277" i="1"/>
  <c r="E277" i="1"/>
  <c r="G259" i="1" l="1"/>
  <c r="E259" i="1"/>
  <c r="C259" i="1"/>
  <c r="A259" i="1"/>
  <c r="B248" i="1"/>
  <c r="H248" i="1" s="1"/>
  <c r="G239" i="1"/>
  <c r="E239" i="1"/>
  <c r="C239" i="1"/>
  <c r="A239" i="1"/>
  <c r="B227" i="1"/>
  <c r="H227" i="1" s="1"/>
  <c r="G214" i="1"/>
  <c r="E214" i="1"/>
  <c r="C214" i="1"/>
  <c r="A214" i="1"/>
  <c r="G200" i="1"/>
  <c r="E200" i="1"/>
  <c r="C200" i="1"/>
  <c r="A200" i="1"/>
  <c r="B188" i="1"/>
  <c r="H188" i="1" s="1"/>
  <c r="C181" i="1"/>
  <c r="G181" i="1"/>
  <c r="E181" i="1"/>
  <c r="A181" i="1"/>
  <c r="B169" i="1"/>
  <c r="H169" i="1" s="1"/>
  <c r="B161" i="1"/>
  <c r="H161" i="1" s="1"/>
  <c r="B160" i="1"/>
  <c r="G158" i="1"/>
  <c r="E158" i="1"/>
  <c r="C158" i="1"/>
  <c r="A158" i="1"/>
  <c r="G142" i="1"/>
  <c r="E142" i="1"/>
  <c r="C142" i="1"/>
  <c r="A142" i="1"/>
  <c r="G125" i="1"/>
  <c r="E125" i="1"/>
  <c r="C125" i="1"/>
  <c r="A125" i="1"/>
  <c r="G109" i="1"/>
  <c r="E109" i="1"/>
  <c r="C109" i="1"/>
  <c r="A109" i="1"/>
  <c r="G95" i="1"/>
  <c r="E95" i="1"/>
  <c r="C95" i="1"/>
  <c r="A95" i="1"/>
  <c r="G83" i="1"/>
  <c r="E83" i="1"/>
  <c r="C83" i="1"/>
  <c r="A83" i="1"/>
  <c r="B71" i="1"/>
  <c r="G63" i="1"/>
  <c r="E63" i="1"/>
  <c r="C63" i="1"/>
  <c r="A63" i="1"/>
  <c r="B51" i="1"/>
  <c r="B50" i="1"/>
  <c r="B49" i="1"/>
  <c r="B45" i="1"/>
  <c r="B44" i="1"/>
  <c r="B43" i="1"/>
  <c r="B42" i="1"/>
  <c r="B41" i="1"/>
  <c r="B39" i="1"/>
  <c r="B38" i="1"/>
  <c r="B37" i="1"/>
  <c r="G36" i="1"/>
  <c r="E36" i="1"/>
  <c r="C36" i="1"/>
  <c r="A36" i="1"/>
  <c r="E13" i="1"/>
  <c r="C13" i="1"/>
  <c r="G13" i="1"/>
  <c r="A13" i="1"/>
</calcChain>
</file>

<file path=xl/sharedStrings.xml><?xml version="1.0" encoding="utf-8"?>
<sst xmlns="http://schemas.openxmlformats.org/spreadsheetml/2006/main" count="1709" uniqueCount="281">
  <si>
    <t>Database</t>
  </si>
  <si>
    <t>battery_lithium-oxygen</t>
  </si>
  <si>
    <t>Activity</t>
  </si>
  <si>
    <t>comment</t>
  </si>
  <si>
    <t>location</t>
  </si>
  <si>
    <t>GLO</t>
  </si>
  <si>
    <t>production amount</t>
  </si>
  <si>
    <t>reference product</t>
  </si>
  <si>
    <t>unit</t>
  </si>
  <si>
    <t>kilogram</t>
  </si>
  <si>
    <t>source</t>
  </si>
  <si>
    <t>Exchanges</t>
  </si>
  <si>
    <t>name</t>
  </si>
  <si>
    <t>amount</t>
  </si>
  <si>
    <t>categories</t>
  </si>
  <si>
    <t>type</t>
  </si>
  <si>
    <t>Originally from Wang, F., Deng, Y., &amp; Yuan, C. (2020). Life cycle assessment of lithium oxygen battery for electric vehicles. Journal of Cleaner Production, 264, 121339. https://doi.org/10.1016/j.jclepro.2020.121339</t>
  </si>
  <si>
    <t>battery cell production, Li-O2</t>
  </si>
  <si>
    <t>production</t>
  </si>
  <si>
    <t>CNT production, for Li-O2 battery</t>
  </si>
  <si>
    <t>aluminium current collector production, for Li-O2 battery</t>
  </si>
  <si>
    <t>lithium metal production, for Li-O2 battery</t>
  </si>
  <si>
    <t>copper current collector production, for Li-O2 battery</t>
  </si>
  <si>
    <t>multilayer film production, for Li-O2 battery</t>
  </si>
  <si>
    <t>terminals production, for Li-O2 battery</t>
  </si>
  <si>
    <t>market for polyvinylfluoride</t>
  </si>
  <si>
    <t>market for polyvinylfluoride, dispersion</t>
  </si>
  <si>
    <t>technosphere</t>
  </si>
  <si>
    <t>polyvinylfluoride, dispersion</t>
  </si>
  <si>
    <t>binder</t>
  </si>
  <si>
    <t>TEGDME</t>
  </si>
  <si>
    <t>market for ethylene glycol dimethyl ether</t>
  </si>
  <si>
    <t>ethylene glycol dimethyl ether</t>
  </si>
  <si>
    <t>aluminium current collector</t>
  </si>
  <si>
    <t>lithium metal</t>
  </si>
  <si>
    <t>separator</t>
  </si>
  <si>
    <t>multilayer film</t>
  </si>
  <si>
    <t>terminals</t>
  </si>
  <si>
    <t>copper current collector</t>
  </si>
  <si>
    <t>electrolyte production, for Li-O2 battery</t>
  </si>
  <si>
    <t>electrolyte</t>
  </si>
  <si>
    <t>CNT</t>
  </si>
  <si>
    <t>market for cobalt</t>
  </si>
  <si>
    <t>cobalt</t>
  </si>
  <si>
    <t>market for silica sand</t>
  </si>
  <si>
    <t>silica sand</t>
  </si>
  <si>
    <t>hydrochloric acid, without water, in 30% solution state</t>
  </si>
  <si>
    <t>market for hydrochloric acid, without water, in 30% solution state</t>
  </si>
  <si>
    <t>RER</t>
  </si>
  <si>
    <t>market for carbon monoxide</t>
  </si>
  <si>
    <t>carbon monoxide</t>
  </si>
  <si>
    <t>ethoxylated alcohol (AE3)</t>
  </si>
  <si>
    <t>market for ethoxylated alcohol (AE3)</t>
  </si>
  <si>
    <t>market for molybdenum</t>
  </si>
  <si>
    <t>molybdenum</t>
  </si>
  <si>
    <t>market for monoethanolamine</t>
  </si>
  <si>
    <t>monoethanolamine</t>
  </si>
  <si>
    <t>market for oxygen, liquid</t>
  </si>
  <si>
    <t>oxygen, liquid</t>
  </si>
  <si>
    <t>sodium hydroxide, without water, in 50% solution state</t>
  </si>
  <si>
    <t>market for sodium hydroxide, without water, in 50% solution state</t>
  </si>
  <si>
    <t>market for water, deionised</t>
  </si>
  <si>
    <t>water, deionised</t>
  </si>
  <si>
    <t>Europe without Switzerland</t>
  </si>
  <si>
    <t>market group for electricity, medium voltage</t>
  </si>
  <si>
    <t>electricity, medium voltage</t>
  </si>
  <si>
    <t>kilowatt hour</t>
  </si>
  <si>
    <t>market for heat, district or industrial, natural gas</t>
  </si>
  <si>
    <t>heat, district or industrial, natural gas</t>
  </si>
  <si>
    <t>megajoule</t>
  </si>
  <si>
    <t>market for wastewater, average</t>
  </si>
  <si>
    <t>cubic meter</t>
  </si>
  <si>
    <t>wastewater, average</t>
  </si>
  <si>
    <t>treatment of spent solvent mixture, hazardous waste incineration</t>
  </si>
  <si>
    <t>spent solvent mixture</t>
  </si>
  <si>
    <t>treatment of inert waste, sanitary landfill</t>
  </si>
  <si>
    <t>inert waste</t>
  </si>
  <si>
    <t>market for lithium</t>
  </si>
  <si>
    <t>lithium</t>
  </si>
  <si>
    <t>market for extrusion, plastic film</t>
  </si>
  <si>
    <t>extrusion, plastic film</t>
  </si>
  <si>
    <t>film extrusion process, lithium</t>
  </si>
  <si>
    <t>surface production process, lithium</t>
  </si>
  <si>
    <t>film extrusion, lithium</t>
  </si>
  <si>
    <t>surface production, lithium</t>
  </si>
  <si>
    <t>market for metal working factory</t>
  </si>
  <si>
    <t>metal working factory</t>
  </si>
  <si>
    <t>market for transport, freight train</t>
  </si>
  <si>
    <t>ton kilometer</t>
  </si>
  <si>
    <t>transport, freight train</t>
  </si>
  <si>
    <t>market for transport, freight, lorry 16-32 metric ton, EURO6</t>
  </si>
  <si>
    <t>transport, freight, lorry 16-32 metric ton, EURO6</t>
  </si>
  <si>
    <t>CH</t>
  </si>
  <si>
    <t>market for process-specific burdens, sanitary landfill</t>
  </si>
  <si>
    <t>process-specific burdens, sanitary landfill</t>
  </si>
  <si>
    <t>lithium chloride</t>
  </si>
  <si>
    <t>market for lithium chloride</t>
  </si>
  <si>
    <t>market for sodium perchlorate</t>
  </si>
  <si>
    <t>sodium perchlorate</t>
  </si>
  <si>
    <t>market group for electricity, high voltage</t>
  </si>
  <si>
    <t>electricity, high voltage</t>
  </si>
  <si>
    <t>Solids, inorganic</t>
  </si>
  <si>
    <t>water</t>
  </si>
  <si>
    <t>biosphere</t>
  </si>
  <si>
    <t>market for copper concentrate, sulfide ore</t>
  </si>
  <si>
    <t>copper concentrate, sulfide ore</t>
  </si>
  <si>
    <t>market for sheet rolling, copper</t>
  </si>
  <si>
    <t>sheet rolling, copper</t>
  </si>
  <si>
    <t>market for aluminium, primary, ingot</t>
  </si>
  <si>
    <t>aluminium, primary, ingot</t>
  </si>
  <si>
    <t>IAI Area, EU27 &amp; EFTA</t>
  </si>
  <si>
    <t>sheet rolling, aluminium</t>
  </si>
  <si>
    <t>market for aluminium scrap, new</t>
  </si>
  <si>
    <t>aluminium scrap, new</t>
  </si>
  <si>
    <t>aluminium casting facility construction</t>
  </si>
  <si>
    <t>aluminium casting facility</t>
  </si>
  <si>
    <t>market for copper, cathode</t>
  </si>
  <si>
    <t>copper, cathode</t>
  </si>
  <si>
    <t>market for scrap copper</t>
  </si>
  <si>
    <t>scrap copper</t>
  </si>
  <si>
    <t>market for sheet rolling, aluminium</t>
  </si>
  <si>
    <t>market group for municipal solid waste</t>
  </si>
  <si>
    <t>municipal solid waste</t>
  </si>
  <si>
    <t>market for polypropylene, granulate</t>
  </si>
  <si>
    <t>polypropylene, granulate</t>
  </si>
  <si>
    <t>market for polyethylene terephthalate, granulate, amorphous</t>
  </si>
  <si>
    <t>polyethylene terephthalate, granulate, amorphous</t>
  </si>
  <si>
    <t>oxygen tank</t>
  </si>
  <si>
    <t>oxygen tank production, for Li-O2 battery</t>
  </si>
  <si>
    <t>market for aluminium alloy, AlMg3</t>
  </si>
  <si>
    <t>aluminium alloy, AlMg3</t>
  </si>
  <si>
    <t>module packaging, for Li-O2 battery</t>
  </si>
  <si>
    <t>module packaging</t>
  </si>
  <si>
    <t>wire drawing, copper</t>
  </si>
  <si>
    <t>anodising, aluminium sheet</t>
  </si>
  <si>
    <t>square meter</t>
  </si>
  <si>
    <t>injection moulding</t>
  </si>
  <si>
    <t>plastic processing factory construction</t>
  </si>
  <si>
    <t>plastic processing factory</t>
  </si>
  <si>
    <t>polymer foaming</t>
  </si>
  <si>
    <t>pack packaging, for Li-O2 battery</t>
  </si>
  <si>
    <t>pack packaging</t>
  </si>
  <si>
    <t>market for casting, aluminium, lost-wax</t>
  </si>
  <si>
    <t>casting, aluminium, lost-wax</t>
  </si>
  <si>
    <t>market for steel, low-alloyed</t>
  </si>
  <si>
    <t>steel, low-alloyed</t>
  </si>
  <si>
    <t>sheet rolling, steel</t>
  </si>
  <si>
    <t>treatment of LiO2 battery, for recycling</t>
  </si>
  <si>
    <t>waste LiO2 battery</t>
  </si>
  <si>
    <t>market for nitrogen, liquid</t>
  </si>
  <si>
    <t>nitrogen, liquid</t>
  </si>
  <si>
    <t>treatment of waste electric and electronic equipment, shredding</t>
  </si>
  <si>
    <t>waste electric and electronic equipment</t>
  </si>
  <si>
    <t>market for chemical, inorganic</t>
  </si>
  <si>
    <t>chemical, inorganic</t>
  </si>
  <si>
    <t>lime production, hydrated, packed</t>
  </si>
  <si>
    <t>lime, hydrated, packed</t>
  </si>
  <si>
    <t>market for sulfuric acid</t>
  </si>
  <si>
    <t>sulfuric acid</t>
  </si>
  <si>
    <t>market for tetraethyl orthosilicate</t>
  </si>
  <si>
    <t>tetraethyl orthosilicate</t>
  </si>
  <si>
    <t>battery, Li-O2</t>
  </si>
  <si>
    <t>battery production, Li-O2</t>
  </si>
  <si>
    <t>market for acrylonitrile-butadiene-styrene copolymer</t>
  </si>
  <si>
    <t>acrylonitrile-butadiene-styrene copolymer</t>
  </si>
  <si>
    <t>BMS</t>
  </si>
  <si>
    <t>cooling system</t>
  </si>
  <si>
    <t>printed wiring board, through-hole mounted, unspecified, Pb free</t>
  </si>
  <si>
    <t>market for printed wiring board, through-hole mounted, unspecified, Pb free</t>
  </si>
  <si>
    <t>separator manufacturing, for Li-O2 battery</t>
  </si>
  <si>
    <t>Original source stated wrong unit: MJ. No conversion has been made and now the old value is expressed as kWh</t>
  </si>
  <si>
    <t>market for hexafluoroethane</t>
  </si>
  <si>
    <t>hexafluoroethane</t>
  </si>
  <si>
    <t>market for packaging film, low density polyethylene</t>
  </si>
  <si>
    <t>packaging film, low density polyethylene</t>
  </si>
  <si>
    <t>market for acetone, liquid</t>
  </si>
  <si>
    <t>acetone, liquid</t>
  </si>
  <si>
    <t>fleece production, polyethylene</t>
  </si>
  <si>
    <t>fleece, polyethylene</t>
  </si>
  <si>
    <t>heat production, natural gas, at industrial furnace &gt;100kW</t>
  </si>
  <si>
    <t>phthalic anhydride production</t>
  </si>
  <si>
    <t>phthalic anhydride</t>
  </si>
  <si>
    <t>polyvinylfluoride</t>
  </si>
  <si>
    <t>chemical factory construction, organics</t>
  </si>
  <si>
    <t>chemical factory, organics</t>
  </si>
  <si>
    <t>treatment of residue from shredder fraction from manual dismantling, municipal waste incineration</t>
  </si>
  <si>
    <t>residue from shredder fraction from manual dismantling</t>
  </si>
  <si>
    <t>Heat, waste</t>
  </si>
  <si>
    <t>air</t>
  </si>
  <si>
    <t>Acetone</t>
  </si>
  <si>
    <t>BMS production, for Li-O2 battery</t>
  </si>
  <si>
    <t>IBIS</t>
  </si>
  <si>
    <t>IBIS fasteners</t>
  </si>
  <si>
    <t>high voltage system</t>
  </si>
  <si>
    <t>low voltage system</t>
  </si>
  <si>
    <t>IBIS production, for Li-O2 battery</t>
  </si>
  <si>
    <t>IBIS fasteners production, for Li-O2 battery</t>
  </si>
  <si>
    <t>high voltage system production, for Li-O2 battery</t>
  </si>
  <si>
    <t>low voltage system production, for Li-O2 battery</t>
  </si>
  <si>
    <t>market for transport, freight, lorry &gt;32 metric ton, EURO6</t>
  </si>
  <si>
    <t>acrylonitrile-butadiene-styrene copolymer production</t>
  </si>
  <si>
    <t>market for integrated circuit, logic type</t>
  </si>
  <si>
    <t>integrated circuit, logic type</t>
  </si>
  <si>
    <t>market for electric connector, wire clamp</t>
  </si>
  <si>
    <t>electric connector, wire clamp</t>
  </si>
  <si>
    <t>polyethylene terephthalate production, granulate, amorphous</t>
  </si>
  <si>
    <t>market for nylon 6</t>
  </si>
  <si>
    <t>nylon 6</t>
  </si>
  <si>
    <t>market for brass</t>
  </si>
  <si>
    <t>brass</t>
  </si>
  <si>
    <t>metal working, average for steel product manufacturing</t>
  </si>
  <si>
    <t>casting, brass</t>
  </si>
  <si>
    <t>market for electronic component factory</t>
  </si>
  <si>
    <t>electronic component factory</t>
  </si>
  <si>
    <t>transport, freight, lorry &gt;32 metric ton, EURO6</t>
  </si>
  <si>
    <t>fixings</t>
  </si>
  <si>
    <t>metal working factory construction</t>
  </si>
  <si>
    <t>market for aluminium, in mixed metal scrap</t>
  </si>
  <si>
    <t>aluminium, in mixed metal scrap</t>
  </si>
  <si>
    <t>market for nylon 6-6</t>
  </si>
  <si>
    <t>nylon 6-6</t>
  </si>
  <si>
    <t>synthetic rubber production</t>
  </si>
  <si>
    <t>synthetic rubber</t>
  </si>
  <si>
    <t>market for polyphenylene sulfide</t>
  </si>
  <si>
    <t>polyphenylene sulfide</t>
  </si>
  <si>
    <t>market for tin</t>
  </si>
  <si>
    <t>tin</t>
  </si>
  <si>
    <t>market for cable, ribbon cable, 20-pin, with plugs</t>
  </si>
  <si>
    <t>cable, ribbon cable, 20-pin, with plugs</t>
  </si>
  <si>
    <t>metal working, average for metal product manufacturing</t>
  </si>
  <si>
    <t>metal working, average for aluminium product manufacturing</t>
  </si>
  <si>
    <t>metal working, average for copper product manufacturing</t>
  </si>
  <si>
    <t>market for electronic component, passive, unspecified</t>
  </si>
  <si>
    <t>electronic component, passive, unspecified</t>
  </si>
  <si>
    <t>cooling system production, for Li-O2 battery</t>
  </si>
  <si>
    <t>radiator production, for Li-O2 battery</t>
  </si>
  <si>
    <t>manifolds production, for Li-O2 battery</t>
  </si>
  <si>
    <t>clamps and fasteners production, for Li-O2 battery</t>
  </si>
  <si>
    <t>pipe fitting production, for Li-O2 battery</t>
  </si>
  <si>
    <t>thermal pad production, for Li-O2 battery</t>
  </si>
  <si>
    <t>ethylene glycol production</t>
  </si>
  <si>
    <t>ethylene glycol</t>
  </si>
  <si>
    <t>radiator</t>
  </si>
  <si>
    <t>manifolds</t>
  </si>
  <si>
    <t>clamps and fasteners</t>
  </si>
  <si>
    <t>pipe fitting</t>
  </si>
  <si>
    <t>thermal pad</t>
  </si>
  <si>
    <t>polyvinylchloride production, bulk polymerisation</t>
  </si>
  <si>
    <t>polyvinylchloride, bulk polymerised</t>
  </si>
  <si>
    <t>glass fibre production</t>
  </si>
  <si>
    <t>glass fibre</t>
  </si>
  <si>
    <t>silicon, electronics grade</t>
  </si>
  <si>
    <t>silicon production, electronics grade</t>
  </si>
  <si>
    <t>DE</t>
  </si>
  <si>
    <t>format</t>
  </si>
  <si>
    <t>Excel</t>
  </si>
  <si>
    <t>proxy - gaseous oxygen was not found in Ecoinvent</t>
  </si>
  <si>
    <t>Retrieved from Ellingsen et al. (2013). Source: Originally from Wang, F., Deng, Y., &amp; Yuan, C. (2020). Life cycle assessment of lithium oxygen battery for electric vehicles. Journal of Cleaner Production, 264, 121339. https://doi.org/10.1016/j.jclepro.2020.121339</t>
  </si>
  <si>
    <t>Retrieved from Ellingsen et al. (2013). For thermal management the battery is equipped with a cooling system. The cooling system is made of six sub-components: radiator, manifolds, clamps &amp; fasteners, pipe fitting, thermal gap pad, and coolant (Miljøbil Grenland 2012). The aluminum radiator is the main component of the cooling system. As a medium of convective heat the cooling system includes a glycol coolant, which is contained within aluminum manifolds. Steel clamps, and pipe fittings of plastic and rubber are used for sealing. Thermal conductivity is further ensured with the use of a thermal gap pad made of fiberglasSreinforced filler and polymer. Infrastructure is the same as Miljøbil’s facility required for the assembly of the battery. No energy or processes are included as assembly of cooling system is performed by manually. It has been assumed that the coolant circulating in the manifolds is ethylene glycol. Source: Originally from Wang, F., Deng, Y., &amp; Yuan, C. (2020). Life cycle assessment of lithium oxygen battery for electric vehicles. Journal of Cleaner Production, 264, 121339. https://doi.org/10.1016/j.jclepro.2020.121339</t>
  </si>
  <si>
    <t>Retrieved from Ellingsen et al. (2013). Thee BMS includes battery module boards (BMBs), Integrated Battery Interface System (IBIS), fasteners, high voltage (HV) system, and low voltage system (Miljøbil Grenland 2012). In each battery there are 12 BMBs, one for each module. BMBs are placed under module lids, situated between the two rows of busbars. The BMBs monitor the battery cells for voltage and temperature limits, whereas the IBIS acts as a master controller for the BMBs, as well as overseeing the battery charge and discharge strategies Miljøbil Grenland (2012).  Source: Originally from Wang, F., Deng, Y., &amp; Yuan, C. (2020). Life cycle assessment of lithium oxygen battery for electric vehicles. Journal of Cleaner Production, 264, 121339. https://doi.org/10.1016/j.jclepro.2020.121339</t>
  </si>
  <si>
    <t>Retrieved from Li et al. (2014). Source: Originally from Wang, F., Deng, Y., &amp; Yuan, C. (2020). Life cycle assessment of lithium oxygen battery for electric vehicles. Journal of Cleaner Production, 264, 121339. https://doi.org/10.1016/j.jclepro.2020.121339</t>
  </si>
  <si>
    <t>The hydrometallurgical method is employed as the recycling method for EoL treatment of the Li-O2 battery. The hydrometallurgical method has been applied for recycling both conventional and next-generation LIBs (Deng et al., 2017a; Hawkins et al., 2013; Dunn et al., 2015). The inventory data for the Li-O2 battery recycling are directly adopted from literature (Deng et al., 2017a). Source: Originally from Wang, F., Deng, Y., &amp; Yuan, C. (2020). Life cycle assessment of lithium oxygen battery for electric vehicles. Journal of Cleaner Production, 264, 121339. https://doi.org/10.1016/j.jclepro.2020.121339</t>
  </si>
  <si>
    <t>The module and pack packagings are modelled based on the results from BatPaC method. The aluminum and copper films are produced by the sheet rolling with a 98.2% material efficiency. As for the steel film, cold rolling is modelled with 99% material efficiency (Green, 2007). Source: Originally from Wang, F., Deng, Y., &amp; Yuan, C. (2020). Life cycle assessment of lithium oxygen battery for electric vehicles. Journal of Cleaner Production, 264, 121339. https://doi.org/10.1016/j.jclepro.2020.121339</t>
  </si>
  <si>
    <t xml:space="preserve"> Source: Originally from Wang, F., Deng, Y., &amp; Yuan, C. (2020). Life cycle assessment of lithium oxygen battery for electric vehicles. Journal of Cleaner Production, 264, 121339. https://doi.org/10.1016/j.jclepro.2020.121339</t>
  </si>
  <si>
    <t>The electrolyte consists of lithium perchlorate (LiClO4) salt in tetraethylene glycol dimethyl ether (TEGDME) solvent. For production of the electrolyte for the Li-O2 battery, LiClO4 and TEGDME is magnetically stirred. LiClO4 can be obtained by a reaction of sodium perchlorate (NaClO4) and lithium chloride (LiCl) with 3 kWh electricity per kg perchlorate input (Vogt et al., 2000). The amounts are obtained by stoichiometric calculation. In addition, TEGDME is assumed to be produced through reaction of ethylene oxide (C2H4O) and dimethyl ether (C2H6O), and with energy use, emissions and waste at the same level as in production of ethylene glycol dimethylether (C4H10O2), which are directly obtained from the Gabi software and Ecoinvent database. Source: Originally from Wang, F., Deng, Y., &amp; Yuan, C. (2020). Life cycle assessment of lithium oxygen battery for electric vehicles. Journal of Cleaner Production, 264, 121339. https://doi.org/10.1016/j.jclepro.2020.121339</t>
  </si>
  <si>
    <t>The life cycle inventory for the lithium metal anode synthesis, compiled from literature (Deng et al., 2017a), considers inventories for productions of both the lithium film and the protection layer. Two manufacturing processes are needed to produce the lithium film: 1) extrusion of lithium film into a slit and 2) cold-rolling of the lithium film for the thickness reduction (Hovsepian, 1973). Source: Originally from Wang, F., Deng, Y., &amp; Yuan, C. (2020). Life cycle assessment of lithium oxygen battery for electric vehicles. Journal of Cleaner Production, 264, 121339. https://doi.org/10.1016/j.jclepro.2020.121339</t>
  </si>
  <si>
    <t>The inventory for the CNT synthesis is obtained from literatures (Deng et al., 2017a; Weil et al., 2013). Source: Originally from Wang, F., Deng, Y., &amp; Yuan, C. (2020). Life cycle assessment of lithium oxygen battery for electric vehicles. Journal of Cleaner Production, 264, 121339. https://doi.org/10.1016/j.jclepro.2020.121339</t>
  </si>
  <si>
    <t>The material efficiencies in the Li-O2 battery cell manufacturing are assumed to be the same with those in the conventional LIB cell manufacturing, that is 92% for positive and negative electrodes, 98% for the separator, and 94% for the electrolyte (Deng et al., 2017a). The Li-O2 battery system is configured with a capacity of 63.5 kWh and contains Li-O2 pouch cells, a BMS, a cooling system, a module packaging, a pack packaging, and an oxygen tank. Source: Originally from Wang, F., Deng, Y., &amp; Yuan, C. (2020). Life cycle assessment of lithium oxygen battery for electric vehicles. Journal of Cleaner Production, 264, 121339. https://doi.org/10.1016/j.jclepro.2020.121339</t>
  </si>
  <si>
    <t>Battery system mass: 321 kg</t>
  </si>
  <si>
    <t>Values taken from Fig 3</t>
  </si>
  <si>
    <t>battery cell</t>
  </si>
  <si>
    <t>market for battery, Li-oxygen, Li-O2</t>
  </si>
  <si>
    <t>market group for transport, freight train</t>
  </si>
  <si>
    <t>transport, freight, inland waterways, barge</t>
  </si>
  <si>
    <t>market group for transport, freight, inland waterways, barge</t>
  </si>
  <si>
    <t>transport, freight, sea, container ship</t>
  </si>
  <si>
    <t>market for transport, freight, sea, container ship</t>
  </si>
  <si>
    <t>market group for transport, freight, lorry, unspecified</t>
  </si>
  <si>
    <t>transport, freight, lorry, unspecified</t>
  </si>
  <si>
    <t>System: 63.5kWh Li-O2 || Mass (excl. O2 tanks): 267 kg || Battery energy density: 238 Wh/kg || System energy density (incl. O2 tanks): 198 Wh/kg || Battery lifetime: 305 kWh/kg (1.76 MJ/km x 2e5 km / 321 kg). Source: Originally from Wang, F., Deng, Y., &amp; Yuan, C. (2020). Life cycle assessment of lithium oxygen battery for electric vehicles. Journal of Cleaner Production, 264, 121339. https://doi.org/10.1016/j.jclepro.2020.121339</t>
  </si>
  <si>
    <t>System: 63.5kWh Li-O2 || System mass (incl. O2 tanks: 322 kg || Battery Mass (excl. O2 tanks): 267 kg || Battery energy density: 238 Wh/kg || System energy density: 198 Wh/kg || Battery lifetime: 305 kWh/kg (1.76 MJ/km x 2e5 km / 321 kg). Source: Originally from Wang, F., Deng, Y., &amp; Yuan, C. (2020). Life cycle assessment of lithium oxygen battery for electric vehicles. Journal of Cleaner Production, 264, 121339. https://doi.org/10.1016/j.jclepro.2020.121339</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</si>
</sst>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43" formatCode="_ * #,##0.00_ ;_ * \-#,##0.00_ ;_ * &quot;-&quot;??_ ;_ @_ "/>
    <numFmt numFmtId="164" formatCode="_(&quot;$&quot;* #,##0.00_);_(&quot;$&quot;* \(#,##0.00\);_(&quot;$&quot;* &quot;-&quot;??_);_(@_)"/>
    <numFmt numFmtId="165" formatCode="0.00000"/>
  </numFmts>
  <fonts count="7" x14ac:knownFonts="1">
    <font>
      <sz val="11"/>
      <color theme="1"/>
      <name val="Calibri"/>
      <family val="2"/>
      <scheme val="minor"/>
    </font>
    <font>
      <b/>
      <sz val="11"/>
      <color theme="1"/>
      <name val="Calibri"/>
      <family val="2"/>
      <scheme val="minor"/>
    </font>
    <font>
      <b/>
      <sz val="12"/>
      <color theme="1"/>
      <name val="Calibri"/>
      <family val="2"/>
      <scheme val="minor"/>
    </font>
    <font>
      <sz val="10"/>
      <name val="Arial"/>
      <family val="2"/>
    </font>
    <font>
      <sz val="10"/>
      <name val="Arial"/>
      <family val="2"/>
    </font>
    <font>
      <i/>
      <sz val="11"/>
      <color rgb="FF7F7F7F"/>
      <name val="Calibri"/>
      <family val="2"/>
      <charset val="134"/>
      <scheme val="minor"/>
    </font>
    <font>
      <sz val="12"/>
      <color theme="1"/>
      <name val="Calibri"/>
      <family val="2"/>
      <scheme val="minor"/>
    </font>
  </fonts>
  <fills count="2">
    <fill>
      <patternFill patternType="none"/>
    </fill>
    <fill>
      <patternFill patternType="gray125"/>
    </fill>
  </fills>
  <borders count="1">
    <border>
      <left/>
      <right/>
      <top/>
      <bottom/>
      <diagonal/>
    </border>
  </borders>
  <cellStyleXfs count="8">
    <xf numFmtId="0" fontId="0" fillId="0" borderId="0"/>
    <xf numFmtId="0" fontId="3" fillId="0" borderId="0"/>
    <xf numFmtId="43" fontId="4" fillId="0" borderId="0" applyFont="0" applyFill="0" applyBorder="0" applyAlignment="0" applyProtection="0"/>
    <xf numFmtId="9" fontId="4" fillId="0" borderId="0" applyFont="0" applyFill="0" applyBorder="0" applyAlignment="0" applyProtection="0"/>
    <xf numFmtId="0" fontId="4" fillId="0" borderId="0"/>
    <xf numFmtId="164" fontId="4" fillId="0" borderId="0" applyFont="0" applyFill="0" applyBorder="0" applyAlignment="0" applyProtection="0"/>
    <xf numFmtId="164" fontId="4" fillId="0" borderId="0" applyFont="0" applyFill="0" applyBorder="0" applyAlignment="0" applyProtection="0"/>
    <xf numFmtId="0" fontId="5" fillId="0" borderId="0" applyNumberFormat="0" applyFill="0" applyBorder="0" applyAlignment="0" applyProtection="0">
      <alignment vertical="center"/>
    </xf>
  </cellStyleXfs>
  <cellXfs count="8">
    <xf numFmtId="0" fontId="0" fillId="0" borderId="0" xfId="0"/>
    <xf numFmtId="0" fontId="1" fillId="0" borderId="0" xfId="0" applyFont="1"/>
    <xf numFmtId="0" fontId="2" fillId="0" borderId="0" xfId="0" applyFont="1"/>
    <xf numFmtId="11" fontId="0" fillId="0" borderId="0" xfId="0" applyNumberFormat="1"/>
    <xf numFmtId="165" fontId="0" fillId="0" borderId="0" xfId="0" applyNumberFormat="1"/>
    <xf numFmtId="43" fontId="0" fillId="0" borderId="0" xfId="0" applyNumberFormat="1"/>
    <xf numFmtId="2" fontId="0" fillId="0" borderId="0" xfId="0" applyNumberFormat="1"/>
    <xf numFmtId="0" fontId="6" fillId="0" borderId="0" xfId="0" applyFont="1"/>
  </cellXfs>
  <cellStyles count="8">
    <cellStyle name="Comma 2" xfId="2" xr:uid="{BFB9EBE1-8E08-45F4-B233-19C97FB6383E}"/>
    <cellStyle name="Currency 2" xfId="6" xr:uid="{62DD0185-3D6A-4C68-AD16-7CA89AEDFE88}"/>
    <cellStyle name="Currency 3" xfId="5" xr:uid="{9B161BA4-521A-41D6-936D-831E281BBC47}"/>
    <cellStyle name="Normal" xfId="0" builtinId="0"/>
    <cellStyle name="Normal 2" xfId="4" xr:uid="{5FB60D3A-D79C-49EA-BE96-63C62F6CFBC9}"/>
    <cellStyle name="Normal 3" xfId="1" xr:uid="{9C267BA8-DD30-48AD-92DA-0CF6251E1A08}"/>
    <cellStyle name="Percent 2" xfId="3" xr:uid="{9470A2B0-F720-439F-9B56-9B45A6EC3D70}"/>
    <cellStyle name="解释性文本 2" xfId="7" xr:uid="{5C8C2361-C7E4-478B-BDF1-BEC4B7B404EE}"/>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T637"/>
  <sheetViews>
    <sheetView tabSelected="1" topLeftCell="A144" zoomScale="115" zoomScaleNormal="115" workbookViewId="0">
      <selection activeCell="A164" sqref="A164"/>
    </sheetView>
  </sheetViews>
  <sheetFormatPr baseColWidth="10" defaultColWidth="8.83203125" defaultRowHeight="15" x14ac:dyDescent="0.2"/>
  <cols>
    <col min="1" max="1" width="52.5" bestFit="1" customWidth="1"/>
    <col min="2" max="2" width="32.33203125" customWidth="1"/>
    <col min="3" max="3" width="12.83203125" bestFit="1" customWidth="1"/>
    <col min="4" max="4" width="18.5" customWidth="1"/>
    <col min="5" max="5" width="26.1640625" bestFit="1" customWidth="1"/>
    <col min="6" max="6" width="13.5" bestFit="1" customWidth="1"/>
    <col min="7" max="7" width="27.1640625" bestFit="1" customWidth="1"/>
    <col min="8" max="8" width="42.6640625" customWidth="1"/>
  </cols>
  <sheetData>
    <row r="1" spans="1:8" x14ac:dyDescent="0.2">
      <c r="A1" s="1" t="s">
        <v>0</v>
      </c>
      <c r="B1" t="s">
        <v>1</v>
      </c>
    </row>
    <row r="2" spans="1:8" x14ac:dyDescent="0.2">
      <c r="A2" s="1" t="s">
        <v>254</v>
      </c>
      <c r="B2" t="s">
        <v>255</v>
      </c>
    </row>
    <row r="4" spans="1:8" ht="16" x14ac:dyDescent="0.2">
      <c r="A4" s="2" t="s">
        <v>2</v>
      </c>
      <c r="B4" s="2" t="s">
        <v>17</v>
      </c>
    </row>
    <row r="5" spans="1:8" x14ac:dyDescent="0.2">
      <c r="A5" t="s">
        <v>3</v>
      </c>
      <c r="B5" t="inlineStr">
        <is>
          <t>APPROVED Li-O2 HIERARCHICAL ENGINEERING RECONCILIATION, item18, 2026-10-18. Wang,Deng,Yuan2020 DOI10.1016/j.jclepro.2020.121339, SI TablesS3/S4/S5/S16; Kanthal resistance-wire datasheet https://www.kanthal.com/products/datasheets/material-datasheets/wire/resistance-heating-wire-and-resistance-wire/nikrothal-80/. Adopt TableS3 detailed retained geometry: cell182.6kg, module hardware19.51, pack hardware43.67, oxygen tank55, BMS4,cooling29.07 =&gt;333.85kg at63.5grosskWh. This conflicts with source headline321kg/267kg pack and with TableS5 gross material figures; do not mix those bases. Scalable cell/module/pack hardware=245.78kg; fixed-per-reference auxiliary hardware=88.07kg. Listed component masses, not proportional normalization of contradictory gross LCI tables, define this engineering reference. Known cell ingredients total182.59kg;0.01kg unspecified cathode catalyst remains a documented composition gap, not zero-metal proof. The sourceS4 fluoropolymer binder is not substituted for the unidentified S3 catalyst; binder quantity/fate is also unresolved, and that old process input is disabled in this reference. Electrolyte total59.11kg is split by inheritedS4 salt:solvent ratio.016:.308; LiClO4 process is the inherited salt provider, and ethylene-glycol dimethyl ether remains an explicitly imperfect TEGDME solvent proxy. Lithium protective film/pouch/separator process recipes remain inherited and unvalidated. Collector feed is1kg metal/kg foil at100percent reference retention; matching rolling and restored facility proxy are preserved. Terminal metal fractions are2.44kgAl/10.5kg and8.06kgCu/10.5kg, with matching working services; old overlapping gross feed and implied manufacturing scrap are disabled under the explicit100percent retention reference. Module and pack known material inputs followS3, with no new gross-yield claim. Module monitor.67kg is counted once; BMS4kg is assigned to central protection only using4/4.518 of the separate engineering central-control package. This functional repartition is an assumption, not a source breakdown. Cooling uses7kg Al plus22.07kg pureEG reference (alternative50/50 coolant is a sensitivity); thermal duty, pump/hoses remain gaps. Heater.2kg uses an idealized binary80Ni/20Cr resistance-alloy reference, consistent with a NiCr class but not a complete measured battery heater/Nikrothal composition; electronic/heater construction is unresolved. Preserve historical source-specific S16 recycling coefficients without new recovery credits. Capacity purchases245.78/63.5kg scalable hardware plus one auxiliary lifecycle unit per63.5kWh. Its negative waste equals scalable mass; auxiliary unit carries its own88.07kg waste. Future density factors scale hardware and its waste together; fixed auxiliary manufacture/treatment stay paired. Existing relative density learning is retained as an engineering ratio; absolute cell energy63.5/182.6=.347754655kWh/kg and fixed recipe are not a validated future design. Original full-battery market remains manufacturing-only at333.85kg component-sum basis; capacity uses the separately named hardware market. Vehicle energy/lifetime allocation is unchanged. Source contradictions, catalyst, solvent, future structure and recovery performance remain explicit gaps.
PREVIOUS NOTES (retained as history; the correction above takes precedence):
The material efficiencies in the Li-O2 battery cell manufacturing are assumed to be the same with those in the conventional LIB cell manufacturing, that is 92% for positive and negative electrodes, 98% for the separator, and 94% for the electrolyte (Deng et al., 2017a). The Li-O2 battery system is configured with a capacity of 63.5 kWh and contains Li-O2 pouch cells, a BMS, a cooling system, a module packaging, a pack packaging, and an oxygen tank. Source: Originally from Wang, F., Deng, Y., &amp; Yuan, C. (2020). Life cycle assessment of lithium oxygen battery for electric vehicles. Journal of Cleaner Production, 264, 121339. https://doi.org/10.1016/j.jclepro.2020.121339</t>
        </is>
      </c>
    </row>
    <row r="6" spans="1:8" x14ac:dyDescent="0.2">
      <c r="A6" t="s">
        <v>4</v>
      </c>
      <c r="B6" t="s">
        <v>5</v>
      </c>
    </row>
    <row r="7" spans="1:8" x14ac:dyDescent="0.2">
      <c r="A7" t="s">
        <v>6</v>
      </c>
      <c r="B7">
        <v>1</v>
      </c>
    </row>
    <row r="8" spans="1:8" x14ac:dyDescent="0.2">
      <c r="A8" t="s">
        <v>7</v>
      </c>
      <c r="B8" t="s">
        <v>270</v>
      </c>
    </row>
    <row r="9" spans="1:8" x14ac:dyDescent="0.2">
      <c r="A9" t="s">
        <v>8</v>
      </c>
      <c r="B9" t="s">
        <v>9</v>
      </c>
    </row>
    <row r="10" spans="1:8" x14ac:dyDescent="0.2">
      <c r="A10" t="s">
        <v>10</v>
      </c>
      <c r="B10" t="s">
        <v>16</v>
      </c>
    </row>
    <row r="11" spans="1:8" x14ac:dyDescent="0.2">
      <c r="A11" s="1" t="s">
        <v>11</v>
      </c>
      <c r="B11" s="1"/>
      <c r="C11" s="1"/>
      <c r="D11" s="1"/>
      <c r="E11" s="1"/>
      <c r="F11" s="1"/>
      <c r="G11" s="1"/>
      <c r="H11" s="1"/>
    </row>
    <row r="12" spans="1:8" x14ac:dyDescent="0.2">
      <c r="A12" s="1" t="s">
        <v>12</v>
      </c>
      <c r="B12" s="1" t="s">
        <v>13</v>
      </c>
      <c r="C12" s="1" t="s">
        <v>8</v>
      </c>
      <c r="D12" s="1" t="s">
        <v>14</v>
      </c>
      <c r="E12" s="1" t="s">
        <v>4</v>
      </c>
      <c r="F12" s="1" t="s">
        <v>15</v>
      </c>
      <c r="G12" s="1" t="s">
        <v>7</v>
      </c>
      <c r="H12" s="1" t="s">
        <v>3</v>
      </c>
    </row>
    <row r="13" spans="1:8" x14ac:dyDescent="0.2">
      <c r="A13" t="str">
        <f>B4</f>
        <v>battery cell production, Li-O2</v>
      </c>
      <c r="B13" s="6">
        <v>1</v>
      </c>
      <c r="C13" t="str">
        <f>B9</f>
        <v>kilogram</v>
      </c>
      <c r="E13" t="str">
        <f>B6</f>
        <v>GLO</v>
      </c>
      <c r="F13" t="s">
        <v>18</v>
      </c>
      <c r="G13" t="str">
        <f>B8</f>
        <v>battery cell</v>
      </c>
    </row>
    <row r="14" spans="1:8" x14ac:dyDescent="0.2">
      <c r="A14" t="s">
        <v>26</v>
      </c>
      <c r="B14" s="6">
        <v>0.0</v>
      </c>
      <c r="C14" t="s">
        <v>9</v>
      </c>
      <c r="E14" t="s">
        <v>5</v>
      </c>
      <c r="F14" t="s">
        <v>27</v>
      </c>
      <c r="G14" t="s">
        <v>28</v>
      </c>
      <c r="H14" t="s">
        <v>29</v>
      </c>
    </row>
    <row r="15" spans="1:8" x14ac:dyDescent="0.2">
      <c r="A15" t="s">
        <v>57</v>
      </c>
      <c r="B15" s="6">
        <v>0.07880613362541074</v>
      </c>
      <c r="C15" t="s">
        <v>9</v>
      </c>
      <c r="E15" t="s">
        <v>48</v>
      </c>
      <c r="F15" t="s">
        <v>27</v>
      </c>
      <c r="G15" t="s">
        <v>58</v>
      </c>
      <c r="H15" t="s">
        <v>256</v>
      </c>
    </row>
    <row r="16" spans="1:8" x14ac:dyDescent="0.2">
      <c r="A16" t="s">
        <v>19</v>
      </c>
      <c r="B16" s="6">
        <v>0.01823658269441402</v>
      </c>
      <c r="C16" t="s">
        <v>9</v>
      </c>
      <c r="E16" t="s">
        <v>48</v>
      </c>
      <c r="F16" t="s">
        <v>27</v>
      </c>
      <c r="G16" t="s">
        <v>41</v>
      </c>
    </row>
    <row r="17" spans="1:20" x14ac:dyDescent="0.2">
      <c r="A17" t="s">
        <v>20</v>
      </c>
      <c r="B17" s="6">
        <v>0.11648411829134721</v>
      </c>
      <c r="C17" t="s">
        <v>9</v>
      </c>
      <c r="E17" t="s">
        <v>48</v>
      </c>
      <c r="F17" t="s">
        <v>27</v>
      </c>
      <c r="G17" t="s">
        <v>33</v>
      </c>
    </row>
    <row r="18" spans="1:20" x14ac:dyDescent="0.2">
      <c r="A18" t="s">
        <v>21</v>
      </c>
      <c r="B18" s="6">
        <v>0.10602409638554217</v>
      </c>
      <c r="C18" t="s">
        <v>9</v>
      </c>
      <c r="E18" t="s">
        <v>48</v>
      </c>
      <c r="F18" t="s">
        <v>27</v>
      </c>
      <c r="G18" t="s">
        <v>34</v>
      </c>
    </row>
    <row r="19" spans="1:20" x14ac:dyDescent="0.2">
      <c r="A19" t="s">
        <v>22</v>
      </c>
      <c r="B19" s="6">
        <v>0.21407447973713037</v>
      </c>
      <c r="C19" t="s">
        <v>9</v>
      </c>
      <c r="E19" t="s">
        <v>48</v>
      </c>
      <c r="F19" t="s">
        <v>27</v>
      </c>
      <c r="G19" t="s">
        <v>38</v>
      </c>
    </row>
    <row r="20" spans="1:20" x14ac:dyDescent="0.2">
      <c r="A20" t="s">
        <v>39</v>
      </c>
      <c r="B20" s="6">
        <v>0.01598582883723446</v>
      </c>
      <c r="C20" t="s">
        <v>9</v>
      </c>
      <c r="E20" t="s">
        <v>48</v>
      </c>
      <c r="F20" t="s">
        <v>27</v>
      </c>
      <c r="G20" t="s">
        <v>40</v>
      </c>
    </row>
    <row r="21" spans="1:20" x14ac:dyDescent="0.2">
      <c r="A21" t="s">
        <v>31</v>
      </c>
      <c r="B21" s="6">
        <v>0.3077272051167633</v>
      </c>
      <c r="C21" t="s">
        <v>9</v>
      </c>
      <c r="E21" t="s">
        <v>5</v>
      </c>
      <c r="F21" t="s">
        <v>27</v>
      </c>
      <c r="G21" t="s">
        <v>32</v>
      </c>
      <c r="H21" t="s">
        <v>30</v>
      </c>
    </row>
    <row r="22" spans="1:20" x14ac:dyDescent="0.2">
      <c r="A22" t="s">
        <v>169</v>
      </c>
      <c r="B22" s="6">
        <v>0.048466593647316536</v>
      </c>
      <c r="C22" t="s">
        <v>9</v>
      </c>
      <c r="E22" t="s">
        <v>48</v>
      </c>
      <c r="F22" t="s">
        <v>27</v>
      </c>
      <c r="G22" t="s">
        <v>35</v>
      </c>
    </row>
    <row r="23" spans="1:20" x14ac:dyDescent="0.2">
      <c r="A23" t="s">
        <v>23</v>
      </c>
      <c r="B23" s="6">
        <v>0.03663745892661556</v>
      </c>
      <c r="C23" t="s">
        <v>9</v>
      </c>
      <c r="E23" t="s">
        <v>48</v>
      </c>
      <c r="F23" t="s">
        <v>27</v>
      </c>
      <c r="G23" t="s">
        <v>36</v>
      </c>
    </row>
    <row r="24" spans="1:20" x14ac:dyDescent="0.2">
      <c r="A24" t="s">
        <v>24</v>
      </c>
      <c r="B24" s="6">
        <v>0.05750273822562979</v>
      </c>
      <c r="C24" t="s">
        <v>9</v>
      </c>
      <c r="E24" t="s">
        <v>48</v>
      </c>
      <c r="F24" t="s">
        <v>27</v>
      </c>
      <c r="G24" t="s">
        <v>37</v>
      </c>
    </row>
    <row r="27" spans="1:20" ht="16" x14ac:dyDescent="0.2">
      <c r="A27" s="2" t="s">
        <v>2</v>
      </c>
      <c r="B27" s="2" t="s">
        <v>19</v>
      </c>
    </row>
    <row r="28" spans="1:20" x14ac:dyDescent="0.2">
      <c r="A28" t="s">
        <v>3</v>
      </c>
      <c r="B28" t="inlineStr">
        <is>
          <t>APPROVED CNT WASTE/EMISSION SOURCE-TRANSCRIPTION CORRECTION, 2026-10-17. Wang, Deng and Yuan (2020), Journal of Cleaner Production 264, 121339, DOI 10.1016/j.jclepro.2020.121339, original supplementary DOCX Table S6 (Life cycle inventory of 1 kg CNT production) lists inert chemical waste 268.03 g and a separate carbon-dioxide emission of 5.505 g per kg CNT. The previous inert-waste exchange used -5.505/1000 kg, copying the CO2 number, and the CO2 emission was absent. Restore inert waste to -268.03/1000 = -0.26803 kg/kg CNT, preserving the negative technosphere waste-delivery convention and existing disposal supplier. Add a positive 5.505/1000 = 0.005505 kg/kg CNT biosphere emission to air, unspecified subcompartment. Carbon dioxide, fossil is the explicit mapping convention for the industrial carbon-monoxide feed; the original table does not specify fossil/biogenic origin or an air subcompartment. This is a source-transcription repair, not an independently validated carbon balance or complete CNT synthesis inventory. Off-gas recovery, catalyst fate, actual yields, waste composition and treatment suitability remain unvalidated. Do not infer complete mass closure or a catalyst recovery credit. All Co/Mo and other feed quantities, energy, wastewater, hazardous waste, reference output, CNT purchases and lifetime equipment allocations are retained. No full scenario rebuild or quantified system-metal effect is claimed. Source: https://ars.els-cdn.com/content/image/1-s2.0-S095965262031386X-mmc2.docx .
PREVIOUS SOURCE NOTES:
The inventory for the CNT synthesis is obtained from literatures (Deng et al., 2017a; Weil et al., 2013). Source: Originally from Wang, F., Deng, Y., &amp; Yuan, C. (2020). Life cycle assessment of lithium oxygen battery for electric vehicles. Journal of Cleaner Production, 264, 121339. https://doi.org/10.1016/j.jclepro.2020.121339</t>
        </is>
      </c>
    </row>
    <row r="29" spans="1:20" x14ac:dyDescent="0.2">
      <c r="A29" t="s">
        <v>4</v>
      </c>
      <c r="B29" t="s">
        <v>48</v>
      </c>
    </row>
    <row r="30" spans="1:20" x14ac:dyDescent="0.2">
      <c r="A30" t="s">
        <v>6</v>
      </c>
      <c r="B30">
        <v>1</v>
      </c>
    </row>
    <row r="31" spans="1:20" x14ac:dyDescent="0.2">
      <c r="A31" t="s">
        <v>7</v>
      </c>
      <c r="B31" t="s">
        <v>41</v>
      </c>
    </row>
    <row r="32" spans="1:20" x14ac:dyDescent="0.2">
      <c r="A32" t="s">
        <v>8</v>
      </c>
      <c r="B32" t="s">
        <v>9</v>
      </c>
      <c r="T32" s="4"/>
    </row>
    <row r="33" spans="1:20" x14ac:dyDescent="0.2">
      <c r="A33" t="s">
        <v>10</v>
      </c>
      <c r="B33" t="s">
        <v>16</v>
      </c>
      <c r="T33" s="4"/>
    </row>
    <row r="34" spans="1:20" x14ac:dyDescent="0.2">
      <c r="A34" s="1" t="s">
        <v>11</v>
      </c>
      <c r="B34" s="1"/>
      <c r="C34" s="1"/>
      <c r="D34" s="1"/>
      <c r="E34" s="1"/>
      <c r="F34" s="1"/>
      <c r="G34" s="1"/>
      <c r="H34" s="1"/>
    </row>
    <row r="35" spans="1:20" x14ac:dyDescent="0.2">
      <c r="A35" s="1" t="s">
        <v>12</v>
      </c>
      <c r="B35" s="1" t="s">
        <v>13</v>
      </c>
      <c r="C35" s="1" t="s">
        <v>8</v>
      </c>
      <c r="D35" s="1" t="s">
        <v>14</v>
      </c>
      <c r="E35" s="1" t="s">
        <v>4</v>
      </c>
      <c r="F35" s="1" t="s">
        <v>15</v>
      </c>
      <c r="G35" s="1" t="s">
        <v>7</v>
      </c>
      <c r="H35" s="1" t="s">
        <v>3</v>
      </c>
    </row>
    <row r="36" spans="1:20" x14ac:dyDescent="0.2">
      <c r="A36" t="str">
        <f>B27</f>
        <v>CNT production, for Li-O2 battery</v>
      </c>
      <c r="B36" s="6">
        <v>1</v>
      </c>
      <c r="C36" t="str">
        <f>B32</f>
        <v>kilogram</v>
      </c>
      <c r="E36" t="str">
        <f>B29</f>
        <v>RER</v>
      </c>
      <c r="F36" t="s">
        <v>18</v>
      </c>
      <c r="G36" t="str">
        <f>B31</f>
        <v>CNT</v>
      </c>
    </row>
    <row r="37" spans="1:20" x14ac:dyDescent="0.2">
      <c r="A37" t="s">
        <v>42</v>
      </c>
      <c r="B37" s="6">
        <f>31.93/1000</f>
        <v>3.193E-2</v>
      </c>
      <c r="C37" t="s">
        <v>9</v>
      </c>
      <c r="E37" t="s">
        <v>5</v>
      </c>
      <c r="F37" t="s">
        <v>27</v>
      </c>
      <c r="G37" t="s">
        <v>43</v>
      </c>
      <c r="T37" s="6"/>
    </row>
    <row r="38" spans="1:20" x14ac:dyDescent="0.2">
      <c r="A38" t="s">
        <v>44</v>
      </c>
      <c r="B38" s="6">
        <f>2.18/1000</f>
        <v>2.1800000000000001E-3</v>
      </c>
      <c r="C38" t="s">
        <v>9</v>
      </c>
      <c r="E38" t="s">
        <v>5</v>
      </c>
      <c r="F38" t="s">
        <v>27</v>
      </c>
      <c r="G38" t="s">
        <v>45</v>
      </c>
    </row>
    <row r="39" spans="1:20" x14ac:dyDescent="0.2">
      <c r="A39" t="s">
        <v>47</v>
      </c>
      <c r="B39" s="6">
        <f>6.55/1000</f>
        <v>6.5499999999999994E-3</v>
      </c>
      <c r="C39" t="s">
        <v>9</v>
      </c>
      <c r="E39" t="s">
        <v>48</v>
      </c>
      <c r="F39" t="s">
        <v>27</v>
      </c>
      <c r="G39" t="s">
        <v>46</v>
      </c>
    </row>
    <row r="40" spans="1:20" x14ac:dyDescent="0.2">
      <c r="A40" t="s">
        <v>49</v>
      </c>
      <c r="B40" s="6">
        <v>5.8336100000000002</v>
      </c>
      <c r="C40" t="s">
        <v>9</v>
      </c>
      <c r="E40" t="s">
        <v>48</v>
      </c>
      <c r="F40" t="s">
        <v>27</v>
      </c>
      <c r="G40" t="s">
        <v>50</v>
      </c>
    </row>
    <row r="41" spans="1:20" x14ac:dyDescent="0.2">
      <c r="A41" t="s">
        <v>52</v>
      </c>
      <c r="B41" s="6">
        <f>56.34/1000</f>
        <v>5.6340000000000001E-2</v>
      </c>
      <c r="C41" t="s">
        <v>9</v>
      </c>
      <c r="E41" t="s">
        <v>48</v>
      </c>
      <c r="F41" t="s">
        <v>27</v>
      </c>
      <c r="G41" t="s">
        <v>51</v>
      </c>
    </row>
    <row r="42" spans="1:20" x14ac:dyDescent="0.2">
      <c r="A42" t="s">
        <v>53</v>
      </c>
      <c r="B42" s="6">
        <f>31.93/1000</f>
        <v>3.193E-2</v>
      </c>
      <c r="C42" t="s">
        <v>9</v>
      </c>
      <c r="E42" t="s">
        <v>5</v>
      </c>
      <c r="F42" t="s">
        <v>27</v>
      </c>
      <c r="G42" t="s">
        <v>54</v>
      </c>
    </row>
    <row r="43" spans="1:20" x14ac:dyDescent="0.2">
      <c r="A43" t="s">
        <v>55</v>
      </c>
      <c r="B43" s="6">
        <f>14.35/1000</f>
        <v>1.435E-2</v>
      </c>
      <c r="C43" t="s">
        <v>9</v>
      </c>
      <c r="E43" t="s">
        <v>5</v>
      </c>
      <c r="F43" t="s">
        <v>27</v>
      </c>
      <c r="G43" t="s">
        <v>56</v>
      </c>
    </row>
    <row r="44" spans="1:20" x14ac:dyDescent="0.2">
      <c r="A44" t="s">
        <v>57</v>
      </c>
      <c r="B44" s="6">
        <f>15.13/1000</f>
        <v>1.5130000000000001E-2</v>
      </c>
      <c r="C44" t="s">
        <v>9</v>
      </c>
      <c r="E44" t="s">
        <v>48</v>
      </c>
      <c r="F44" t="s">
        <v>27</v>
      </c>
      <c r="G44" t="s">
        <v>58</v>
      </c>
    </row>
    <row r="45" spans="1:20" x14ac:dyDescent="0.2">
      <c r="A45" t="s">
        <v>60</v>
      </c>
      <c r="B45" s="6">
        <f>30.66/1000</f>
        <v>3.066E-2</v>
      </c>
      <c r="C45" t="s">
        <v>9</v>
      </c>
      <c r="E45" t="s">
        <v>5</v>
      </c>
      <c r="F45" t="s">
        <v>27</v>
      </c>
      <c r="G45" t="s">
        <v>59</v>
      </c>
    </row>
    <row r="46" spans="1:20" x14ac:dyDescent="0.2">
      <c r="A46" t="s">
        <v>61</v>
      </c>
      <c r="B46" s="6">
        <v>1.20146</v>
      </c>
      <c r="C46" t="s">
        <v>9</v>
      </c>
      <c r="E46" t="s">
        <v>63</v>
      </c>
      <c r="F46" t="s">
        <v>27</v>
      </c>
      <c r="G46" t="s">
        <v>62</v>
      </c>
    </row>
    <row r="47" spans="1:20" x14ac:dyDescent="0.2">
      <c r="A47" t="s">
        <v>64</v>
      </c>
      <c r="B47" s="6">
        <v>0.65</v>
      </c>
      <c r="C47" t="s">
        <v>66</v>
      </c>
      <c r="E47" t="s">
        <v>63</v>
      </c>
      <c r="F47" t="s">
        <v>27</v>
      </c>
      <c r="G47" t="s">
        <v>65</v>
      </c>
    </row>
    <row r="48" spans="1:20" x14ac:dyDescent="0.2">
      <c r="A48" t="s">
        <v>67</v>
      </c>
      <c r="B48" s="6">
        <v>58.09</v>
      </c>
      <c r="C48" t="s">
        <v>69</v>
      </c>
      <c r="E48" t="s">
        <v>63</v>
      </c>
      <c r="F48" t="s">
        <v>27</v>
      </c>
      <c r="G48" t="s">
        <v>68</v>
      </c>
    </row>
    <row r="49" spans="1:8" x14ac:dyDescent="0.2">
      <c r="A49" t="s">
        <v>70</v>
      </c>
      <c r="B49" s="6">
        <f>-0.43697/1000</f>
        <v>-4.3697000000000001E-4</v>
      </c>
      <c r="C49" t="s">
        <v>71</v>
      </c>
      <c r="E49" t="s">
        <v>63</v>
      </c>
      <c r="F49" t="s">
        <v>27</v>
      </c>
      <c r="G49" t="s">
        <v>72</v>
      </c>
    </row>
    <row r="50" spans="1:8" x14ac:dyDescent="0.2">
      <c r="A50" t="s">
        <v>73</v>
      </c>
      <c r="B50" s="6">
        <f>-14.35/1000</f>
        <v>-1.435E-2</v>
      </c>
      <c r="C50" t="s">
        <v>9</v>
      </c>
      <c r="E50" t="s">
        <v>63</v>
      </c>
      <c r="F50" t="s">
        <v>27</v>
      </c>
      <c r="G50" t="s">
        <v>74</v>
      </c>
    </row>
    <row r="51" spans="1:8" x14ac:dyDescent="0.2">
      <c r="A51" t="s">
        <v>75</v>
      </c>
      <c r="B51" s="6" t="n">
        <f>-268.03/1000</f>
        <v>-0.26803</v>
      </c>
      <c r="C51" t="s">
        <v>9</v>
      </c>
      <c r="E51" t="s">
        <v>63</v>
      </c>
      <c r="F51" t="s">
        <v>27</v>
      </c>
      <c r="G51" t="s">
        <v>76</v>
      </c>
      <c r="H51" t="inlineStr">
        <is>
          <t>APPROVED CNT WASTE/EMISSION SOURCE-TRANSCRIPTION CORRECTION, 2026-10-17. Wang, Deng and Yuan (2020), Journal of Cleaner Production 264, 121339, DOI 10.1016/j.jclepro.2020.121339, original supplementary DOCX Table S6 (Life cycle inventory of 1 kg CNT production) lists inert chemical waste 268.03 g and a separate carbon-dioxide emission of 5.505 g per kg CNT. The previous inert-waste exchange used -5.505/1000 kg, copying the CO2 number, and the CO2 emission was absent. Restore inert waste to -268.03/1000 = -0.26803 kg/kg CNT, preserving the negative technosphere waste-delivery convention and existing disposal supplier. Add a positive 5.505/1000 = 0.005505 kg/kg CNT biosphere emission to air, unspecified subcompartment. Carbon dioxide, fossil is the explicit mapping convention for the industrial carbon-monoxide feed; the original table does not specify fossil/biogenic origin or an air subcompartment. This is a source-transcription repair, not an independently validated carbon balance or complete CNT synthesis inventory. Off-gas recovery, catalyst fate, actual yields, waste composition and treatment suitability remain unvalidated. Do not infer complete mass closure or a catalyst recovery credit. All Co/Mo and other feed quantities, energy, wastewater, hazardous waste, reference output, CNT purchases and lifetime equipment allocations are retained. No full scenario rebuild or quantified system-metal effect is claimed. Source: https://ars.els-cdn.com/content/image/1-s2.0-S095965262031386X-mmc2.docx .</t>
        </is>
      </c>
    </row>
    <row r="52">
      <c r="A52" t="inlineStr">
        <is>
          <t>Carbon dioxide, fossil</t>
        </is>
      </c>
      <c r="B52" t="n">
        <f>5.505/1000</f>
        <v>0.0055049999999999995</v>
      </c>
      <c r="C52" t="inlineStr">
        <is>
          <t>kilogram</t>
        </is>
      </c>
      <c r="D52" t="inlineStr">
        <is>
          <t>air::unspecified</t>
        </is>
      </c>
      <c r="F52" t="inlineStr">
        <is>
          <t>biosphere</t>
        </is>
      </c>
      <c r="H52" t="inlineStr">
        <is>
          <t>Restored omitted Table S6 emission: 5.505 g CO2 per 1 kg CNT = 5.505/1000 kg/kg; positive biosphere emission, separate from the 268.03 g inert-waste delivery. Carbon dioxide, fossil, air/unspecified is an explicit mapping convention for the industrial CO feed; the source gives generic inorganic CO2 to air without carbon-origin or subcompartment detail. The source process carbon balance, off-gas recovery and yields remain unvalidated. See dataset comment for citation and limitations.</t>
        </is>
      </c>
    </row>
    <row r="54" spans="1:8" ht="16" x14ac:dyDescent="0.2">
      <c r="A54" s="2" t="s">
        <v>2</v>
      </c>
      <c r="B54" s="2" t="s">
        <v>21</v>
      </c>
    </row>
    <row r="55" spans="1:8" x14ac:dyDescent="0.2">
      <c r="A55" t="s">
        <v>3</v>
      </c>
      <c r="B55" t="s">
        <v>265</v>
      </c>
    </row>
    <row r="56" spans="1:8" x14ac:dyDescent="0.2">
      <c r="A56" t="s">
        <v>4</v>
      </c>
      <c r="B56" t="s">
        <v>48</v>
      </c>
    </row>
    <row r="57" spans="1:8" x14ac:dyDescent="0.2">
      <c r="A57" t="s">
        <v>6</v>
      </c>
      <c r="B57">
        <v>1</v>
      </c>
    </row>
    <row r="58" spans="1:8" x14ac:dyDescent="0.2">
      <c r="A58" t="s">
        <v>7</v>
      </c>
      <c r="B58" t="s">
        <v>34</v>
      </c>
    </row>
    <row r="59" spans="1:8" x14ac:dyDescent="0.2">
      <c r="A59" t="s">
        <v>8</v>
      </c>
      <c r="B59" t="s">
        <v>9</v>
      </c>
    </row>
    <row r="60" spans="1:8" x14ac:dyDescent="0.2">
      <c r="A60" t="s">
        <v>10</v>
      </c>
      <c r="B60" t="s">
        <v>16</v>
      </c>
    </row>
    <row r="61" spans="1:8" x14ac:dyDescent="0.2">
      <c r="A61" s="1" t="s">
        <v>11</v>
      </c>
      <c r="B61" s="1"/>
      <c r="C61" s="1"/>
      <c r="D61" s="1"/>
      <c r="E61" s="1"/>
      <c r="F61" s="1"/>
      <c r="G61" s="1"/>
      <c r="H61" s="1"/>
    </row>
    <row r="62" spans="1:8" x14ac:dyDescent="0.2">
      <c r="A62" s="1" t="s">
        <v>12</v>
      </c>
      <c r="B62" s="1" t="s">
        <v>13</v>
      </c>
      <c r="C62" s="1" t="s">
        <v>8</v>
      </c>
      <c r="D62" s="1" t="s">
        <v>14</v>
      </c>
      <c r="E62" s="1" t="s">
        <v>4</v>
      </c>
      <c r="F62" s="1" t="s">
        <v>15</v>
      </c>
      <c r="G62" s="1" t="s">
        <v>7</v>
      </c>
      <c r="H62" s="1" t="s">
        <v>3</v>
      </c>
    </row>
    <row r="63" spans="1:8" x14ac:dyDescent="0.2">
      <c r="A63" t="str">
        <f>B54</f>
        <v>lithium metal production, for Li-O2 battery</v>
      </c>
      <c r="B63" s="3">
        <v>1</v>
      </c>
      <c r="C63" t="str">
        <f>B59</f>
        <v>kilogram</v>
      </c>
      <c r="E63" t="str">
        <f>B56</f>
        <v>RER</v>
      </c>
      <c r="F63" t="s">
        <v>18</v>
      </c>
      <c r="G63" t="str">
        <f>B58</f>
        <v>lithium metal</v>
      </c>
    </row>
    <row r="64" spans="1:8" x14ac:dyDescent="0.2">
      <c r="A64" t="s">
        <v>159</v>
      </c>
      <c r="B64" s="3">
        <v>0.16500000000000001</v>
      </c>
      <c r="C64" t="s">
        <v>9</v>
      </c>
      <c r="E64" t="s">
        <v>5</v>
      </c>
      <c r="F64" t="s">
        <v>27</v>
      </c>
      <c r="G64" t="s">
        <v>160</v>
      </c>
    </row>
    <row r="65" spans="1:7" x14ac:dyDescent="0.2">
      <c r="A65" t="s">
        <v>77</v>
      </c>
      <c r="B65" s="3">
        <v>1.038</v>
      </c>
      <c r="C65" t="s">
        <v>9</v>
      </c>
      <c r="E65" t="s">
        <v>5</v>
      </c>
      <c r="F65" t="s">
        <v>27</v>
      </c>
      <c r="G65" t="s">
        <v>78</v>
      </c>
    </row>
    <row r="66" spans="1:7" x14ac:dyDescent="0.2">
      <c r="A66" t="s">
        <v>81</v>
      </c>
      <c r="B66" s="3">
        <v>1</v>
      </c>
      <c r="C66" t="s">
        <v>9</v>
      </c>
      <c r="E66" t="s">
        <v>48</v>
      </c>
      <c r="F66" t="s">
        <v>27</v>
      </c>
      <c r="G66" t="s">
        <v>83</v>
      </c>
    </row>
    <row r="67" spans="1:7" x14ac:dyDescent="0.2">
      <c r="A67" t="s">
        <v>82</v>
      </c>
      <c r="B67" s="3">
        <v>1</v>
      </c>
      <c r="C67" t="s">
        <v>9</v>
      </c>
      <c r="E67" t="s">
        <v>48</v>
      </c>
      <c r="F67" t="s">
        <v>27</v>
      </c>
      <c r="G67" t="s">
        <v>84</v>
      </c>
    </row>
    <row r="68" spans="1:7" x14ac:dyDescent="0.2">
      <c r="A68" t="s">
        <v>85</v>
      </c>
      <c r="B68" s="3">
        <v>4.6000000000000001E-10</v>
      </c>
      <c r="C68" t="s">
        <v>8</v>
      </c>
      <c r="E68" t="s">
        <v>5</v>
      </c>
      <c r="F68" t="s">
        <v>27</v>
      </c>
      <c r="G68" t="s">
        <v>86</v>
      </c>
    </row>
    <row r="69" spans="1:7" x14ac:dyDescent="0.2">
      <c r="A69" t="s">
        <v>87</v>
      </c>
      <c r="B69" s="3">
        <v>0.2</v>
      </c>
      <c r="C69" t="s">
        <v>88</v>
      </c>
      <c r="E69" t="s">
        <v>63</v>
      </c>
      <c r="F69" t="s">
        <v>27</v>
      </c>
      <c r="G69" t="s">
        <v>89</v>
      </c>
    </row>
    <row r="70" spans="1:7" x14ac:dyDescent="0.2">
      <c r="A70" t="s">
        <v>90</v>
      </c>
      <c r="B70" s="3">
        <v>0.1</v>
      </c>
      <c r="C70" t="s">
        <v>88</v>
      </c>
      <c r="E70" t="s">
        <v>48</v>
      </c>
      <c r="F70" t="s">
        <v>27</v>
      </c>
      <c r="G70" t="s">
        <v>91</v>
      </c>
    </row>
    <row r="71" spans="1:7" x14ac:dyDescent="0.2">
      <c r="A71" t="s">
        <v>93</v>
      </c>
      <c r="B71" s="3">
        <f>-38/1000</f>
        <v>-3.7999999999999999E-2</v>
      </c>
      <c r="C71" t="s">
        <v>9</v>
      </c>
      <c r="E71" t="s">
        <v>92</v>
      </c>
      <c r="F71" t="s">
        <v>27</v>
      </c>
      <c r="G71" t="s">
        <v>94</v>
      </c>
    </row>
    <row r="74" spans="1:7" ht="16" x14ac:dyDescent="0.2">
      <c r="A74" s="2" t="s">
        <v>2</v>
      </c>
      <c r="B74" s="2" t="s">
        <v>81</v>
      </c>
    </row>
    <row r="75" spans="1:7" ht="16" x14ac:dyDescent="0.2">
      <c r="A75" s="7" t="s">
        <v>3</v>
      </c>
      <c r="B75" s="7" t="s">
        <v>263</v>
      </c>
    </row>
    <row r="76" spans="1:7" x14ac:dyDescent="0.2">
      <c r="A76" t="s">
        <v>4</v>
      </c>
      <c r="B76" t="s">
        <v>48</v>
      </c>
    </row>
    <row r="77" spans="1:7" x14ac:dyDescent="0.2">
      <c r="A77" t="s">
        <v>6</v>
      </c>
      <c r="B77">
        <v>1</v>
      </c>
    </row>
    <row r="78" spans="1:7" x14ac:dyDescent="0.2">
      <c r="A78" t="s">
        <v>7</v>
      </c>
      <c r="B78" t="s">
        <v>83</v>
      </c>
    </row>
    <row r="79" spans="1:7" x14ac:dyDescent="0.2">
      <c r="A79" t="s">
        <v>8</v>
      </c>
      <c r="B79" t="s">
        <v>9</v>
      </c>
    </row>
    <row r="80" spans="1:7" x14ac:dyDescent="0.2">
      <c r="A80" t="s">
        <v>10</v>
      </c>
      <c r="B80" t="s">
        <v>16</v>
      </c>
    </row>
    <row r="81" spans="1:8" x14ac:dyDescent="0.2">
      <c r="A81" s="1" t="s">
        <v>11</v>
      </c>
      <c r="B81" s="1"/>
      <c r="C81" s="1"/>
      <c r="D81" s="1"/>
      <c r="E81" s="1"/>
      <c r="F81" s="1"/>
      <c r="G81" s="1"/>
      <c r="H81" s="1"/>
    </row>
    <row r="82" spans="1:8" x14ac:dyDescent="0.2">
      <c r="A82" s="1" t="s">
        <v>12</v>
      </c>
      <c r="B82" s="1" t="s">
        <v>13</v>
      </c>
      <c r="C82" s="1" t="s">
        <v>8</v>
      </c>
      <c r="D82" s="1" t="s">
        <v>14</v>
      </c>
      <c r="E82" s="1" t="s">
        <v>4</v>
      </c>
      <c r="F82" s="1" t="s">
        <v>15</v>
      </c>
      <c r="G82" s="1" t="s">
        <v>7</v>
      </c>
      <c r="H82" s="1" t="s">
        <v>3</v>
      </c>
    </row>
    <row r="83" spans="1:8" x14ac:dyDescent="0.2">
      <c r="A83" t="str">
        <f>B74</f>
        <v>film extrusion process, lithium</v>
      </c>
      <c r="B83" s="3">
        <v>1</v>
      </c>
      <c r="C83" t="str">
        <f>B79</f>
        <v>kilogram</v>
      </c>
      <c r="E83" t="str">
        <f>B76</f>
        <v>RER</v>
      </c>
      <c r="F83" t="s">
        <v>18</v>
      </c>
      <c r="G83" t="str">
        <f>B78</f>
        <v>film extrusion, lithium</v>
      </c>
    </row>
    <row r="84" spans="1:8" x14ac:dyDescent="0.2">
      <c r="A84" t="s">
        <v>64</v>
      </c>
      <c r="B84" s="3">
        <v>0.45</v>
      </c>
      <c r="C84" t="s">
        <v>66</v>
      </c>
      <c r="E84" t="s">
        <v>63</v>
      </c>
      <c r="F84" t="s">
        <v>27</v>
      </c>
      <c r="G84" t="s">
        <v>65</v>
      </c>
    </row>
    <row r="86" spans="1:8" ht="16" x14ac:dyDescent="0.2">
      <c r="A86" s="2" t="s">
        <v>2</v>
      </c>
      <c r="B86" s="2" t="s">
        <v>82</v>
      </c>
    </row>
    <row r="87" spans="1:8" ht="16" x14ac:dyDescent="0.2">
      <c r="A87" s="7" t="s">
        <v>3</v>
      </c>
      <c r="B87" s="7" t="s">
        <v>263</v>
      </c>
    </row>
    <row r="88" spans="1:8" x14ac:dyDescent="0.2">
      <c r="A88" t="s">
        <v>4</v>
      </c>
      <c r="B88" t="s">
        <v>48</v>
      </c>
    </row>
    <row r="89" spans="1:8" x14ac:dyDescent="0.2">
      <c r="A89" t="s">
        <v>6</v>
      </c>
      <c r="B89">
        <v>1</v>
      </c>
    </row>
    <row r="90" spans="1:8" x14ac:dyDescent="0.2">
      <c r="A90" t="s">
        <v>7</v>
      </c>
      <c r="B90" t="s">
        <v>84</v>
      </c>
    </row>
    <row r="91" spans="1:8" x14ac:dyDescent="0.2">
      <c r="A91" t="s">
        <v>8</v>
      </c>
      <c r="B91" t="s">
        <v>9</v>
      </c>
    </row>
    <row r="92" spans="1:8" x14ac:dyDescent="0.2">
      <c r="A92" t="s">
        <v>10</v>
      </c>
      <c r="B92" t="s">
        <v>16</v>
      </c>
    </row>
    <row r="93" spans="1:8" x14ac:dyDescent="0.2">
      <c r="A93" s="1" t="s">
        <v>11</v>
      </c>
      <c r="B93" s="1"/>
      <c r="C93" s="1"/>
      <c r="D93" s="1"/>
      <c r="E93" s="1"/>
      <c r="F93" s="1"/>
      <c r="G93" s="1"/>
      <c r="H93" s="1"/>
    </row>
    <row r="94" spans="1:8" x14ac:dyDescent="0.2">
      <c r="A94" s="1" t="s">
        <v>12</v>
      </c>
      <c r="B94" s="1" t="s">
        <v>13</v>
      </c>
      <c r="C94" s="1" t="s">
        <v>8</v>
      </c>
      <c r="D94" s="1" t="s">
        <v>14</v>
      </c>
      <c r="E94" s="1" t="s">
        <v>4</v>
      </c>
      <c r="F94" s="1" t="s">
        <v>15</v>
      </c>
      <c r="G94" s="1" t="s">
        <v>7</v>
      </c>
      <c r="H94" s="1" t="s">
        <v>3</v>
      </c>
    </row>
    <row r="95" spans="1:8" x14ac:dyDescent="0.2">
      <c r="A95" t="str">
        <f>B86</f>
        <v>surface production process, lithium</v>
      </c>
      <c r="B95" s="3">
        <v>1</v>
      </c>
      <c r="C95" t="str">
        <f>B91</f>
        <v>kilogram</v>
      </c>
      <c r="E95" t="str">
        <f>B88</f>
        <v>RER</v>
      </c>
      <c r="F95" t="s">
        <v>18</v>
      </c>
      <c r="G95" t="str">
        <f>B90</f>
        <v>surface production, lithium</v>
      </c>
    </row>
    <row r="96" spans="1:8" x14ac:dyDescent="0.2">
      <c r="A96" t="s">
        <v>64</v>
      </c>
      <c r="B96" s="3">
        <v>13.9</v>
      </c>
      <c r="C96" t="s">
        <v>66</v>
      </c>
      <c r="E96" t="s">
        <v>63</v>
      </c>
      <c r="F96" t="s">
        <v>27</v>
      </c>
      <c r="G96" t="s">
        <v>65</v>
      </c>
    </row>
    <row r="97" spans="1:8" x14ac:dyDescent="0.2">
      <c r="A97" t="s">
        <v>67</v>
      </c>
      <c r="B97" s="3">
        <v>166.8</v>
      </c>
      <c r="C97" t="s">
        <v>69</v>
      </c>
      <c r="E97" t="s">
        <v>63</v>
      </c>
      <c r="F97" t="s">
        <v>27</v>
      </c>
      <c r="G97" t="s">
        <v>68</v>
      </c>
    </row>
    <row r="100" spans="1:8" ht="16" x14ac:dyDescent="0.2">
      <c r="A100" s="2" t="s">
        <v>2</v>
      </c>
      <c r="B100" s="2" t="s">
        <v>39</v>
      </c>
    </row>
    <row r="101" spans="1:8" x14ac:dyDescent="0.2">
      <c r="A101" t="s">
        <v>3</v>
      </c>
      <c r="B101" t="s">
        <v>264</v>
      </c>
    </row>
    <row r="102" spans="1:8" x14ac:dyDescent="0.2">
      <c r="A102" t="s">
        <v>4</v>
      </c>
      <c r="B102" t="s">
        <v>48</v>
      </c>
    </row>
    <row r="103" spans="1:8" x14ac:dyDescent="0.2">
      <c r="A103" t="s">
        <v>6</v>
      </c>
      <c r="B103">
        <v>1</v>
      </c>
    </row>
    <row r="104" spans="1:8" x14ac:dyDescent="0.2">
      <c r="A104" t="s">
        <v>7</v>
      </c>
      <c r="B104" t="s">
        <v>40</v>
      </c>
    </row>
    <row r="105" spans="1:8" x14ac:dyDescent="0.2">
      <c r="A105" t="s">
        <v>8</v>
      </c>
      <c r="B105" t="s">
        <v>9</v>
      </c>
    </row>
    <row r="106" spans="1:8" x14ac:dyDescent="0.2">
      <c r="A106" t="s">
        <v>10</v>
      </c>
      <c r="B106" t="s">
        <v>16</v>
      </c>
    </row>
    <row r="107" spans="1:8" x14ac:dyDescent="0.2">
      <c r="A107" s="1" t="s">
        <v>11</v>
      </c>
      <c r="B107" s="1"/>
      <c r="C107" s="1"/>
      <c r="D107" s="1"/>
      <c r="E107" s="1"/>
      <c r="F107" s="1"/>
      <c r="G107" s="1"/>
    </row>
    <row r="108" spans="1:8" x14ac:dyDescent="0.2">
      <c r="A108" s="1" t="s">
        <v>12</v>
      </c>
      <c r="B108" s="1" t="s">
        <v>13</v>
      </c>
      <c r="C108" s="1" t="s">
        <v>8</v>
      </c>
      <c r="D108" s="1" t="s">
        <v>14</v>
      </c>
      <c r="E108" s="1" t="s">
        <v>4</v>
      </c>
      <c r="F108" s="1" t="s">
        <v>15</v>
      </c>
      <c r="G108" s="1" t="s">
        <v>7</v>
      </c>
      <c r="H108" s="1" t="s">
        <v>3</v>
      </c>
    </row>
    <row r="109" spans="1:8" x14ac:dyDescent="0.2">
      <c r="A109" t="str">
        <f>B100</f>
        <v>electrolyte production, for Li-O2 battery</v>
      </c>
      <c r="B109" s="3">
        <v>1</v>
      </c>
      <c r="C109" t="str">
        <f>B105</f>
        <v>kilogram</v>
      </c>
      <c r="E109" t="str">
        <f>B102</f>
        <v>RER</v>
      </c>
      <c r="F109" t="s">
        <v>18</v>
      </c>
      <c r="G109" t="str">
        <f>B104</f>
        <v>electrolyte</v>
      </c>
    </row>
    <row r="110" spans="1:8" x14ac:dyDescent="0.2">
      <c r="A110" t="s">
        <v>96</v>
      </c>
      <c r="B110" s="3">
        <v>0.39800000000000002</v>
      </c>
      <c r="C110" t="s">
        <v>9</v>
      </c>
      <c r="E110" t="s">
        <v>5</v>
      </c>
      <c r="F110" t="s">
        <v>27</v>
      </c>
      <c r="G110" t="s">
        <v>95</v>
      </c>
    </row>
    <row r="111" spans="1:8" x14ac:dyDescent="0.2">
      <c r="A111" t="s">
        <v>97</v>
      </c>
      <c r="B111" s="3">
        <v>1.151</v>
      </c>
      <c r="C111" t="s">
        <v>9</v>
      </c>
      <c r="E111" t="s">
        <v>5</v>
      </c>
      <c r="F111" t="s">
        <v>27</v>
      </c>
      <c r="G111" t="s">
        <v>98</v>
      </c>
    </row>
    <row r="112" spans="1:8" x14ac:dyDescent="0.2">
      <c r="A112" t="s">
        <v>99</v>
      </c>
      <c r="B112">
        <f>10.8/3.6</f>
        <v>3</v>
      </c>
      <c r="C112" t="s">
        <v>66</v>
      </c>
      <c r="E112" t="s">
        <v>63</v>
      </c>
      <c r="F112" t="s">
        <v>27</v>
      </c>
      <c r="G112" t="s">
        <v>100</v>
      </c>
    </row>
    <row r="113" spans="1:8" x14ac:dyDescent="0.2">
      <c r="A113" t="s">
        <v>101</v>
      </c>
      <c r="B113" s="3">
        <v>0.54900000000000004</v>
      </c>
      <c r="C113" t="s">
        <v>9</v>
      </c>
      <c r="D113" t="s">
        <v>102</v>
      </c>
      <c r="F113" t="s">
        <v>103</v>
      </c>
    </row>
    <row r="116" spans="1:8" ht="16" x14ac:dyDescent="0.2">
      <c r="A116" s="2" t="s">
        <v>2</v>
      </c>
      <c r="B116" s="2" t="s">
        <v>22</v>
      </c>
    </row>
    <row r="117" spans="1:8" ht="16" x14ac:dyDescent="0.2">
      <c r="A117" s="7" t="s">
        <v>3</v>
      </c>
      <c r="B117" s="7" t="inlineStr">
        <is>
          <t>APPROVED Li-O2 HIERARCHICAL ENGINEERING RECONCILIATION, item18, 2026-10-18. Wang,Deng,Yuan2020 DOI10.1016/j.jclepro.2020.121339, SI TablesS3/S4/S5/S16; Kanthal resistance-wire datasheet https://www.kanthal.com/products/datasheets/material-datasheets/wire/resistance-heating-wire-and-resistance-wire/nikrothal-80/. Adopt TableS3 detailed retained geometry: cell182.6kg, module hardware19.51, pack hardware43.67, oxygen tank55, BMS4,cooling29.07 =&gt;333.85kg at63.5grosskWh. This conflicts with source headline321kg/267kg pack and with TableS5 gross material figures; do not mix those bases. Scalable cell/module/pack hardware=245.78kg; fixed-per-reference auxiliary hardware=88.07kg. Listed component masses, not proportional normalization of contradictory gross LCI tables, define this engineering reference. Known cell ingredients total182.59kg;0.01kg unspecified cathode catalyst remains a documented composition gap, not zero-metal proof. The sourceS4 fluoropolymer binder is not substituted for the unidentified S3 catalyst; binder quantity/fate is also unresolved, and that old process input is disabled in this reference. Electrolyte total59.11kg is split by inheritedS4 salt:solvent ratio.016:.308; LiClO4 process is the inherited salt provider, and ethylene-glycol dimethyl ether remains an explicitly imperfect TEGDME solvent proxy. Lithium protective film/pouch/separator process recipes remain inherited and unvalidated. Collector feed is1kg metal/kg foil at100percent reference retention; matching rolling and restored facility proxy are preserved. Terminal metal fractions are2.44kgAl/10.5kg and8.06kgCu/10.5kg, with matching working services; old overlapping gross feed and implied manufacturing scrap are disabled under the explicit100percent retention reference. Module and pack known material inputs followS3, with no new gross-yield claim. Module monitor.67kg is counted once; BMS4kg is assigned to central protection only using4/4.518 of the separate engineering central-control package. This functional repartition is an assumption, not a source breakdown. Cooling uses7kg Al plus22.07kg pureEG reference (alternative50/50 coolant is a sensitivity); thermal duty, pump/hoses remain gaps. Heater.2kg uses an idealized binary80Ni/20Cr resistance-alloy reference, consistent with a NiCr class but not a complete measured battery heater/Nikrothal composition; electronic/heater construction is unresolved. Preserve historical source-specific S16 recycling coefficients without new recovery credits. Capacity purchases245.78/63.5kg scalable hardware plus one auxiliary lifecycle unit per63.5kWh. Its negative waste equals scalable mass; auxiliary unit carries its own88.07kg waste. Future density factors scale hardware and its waste together; fixed auxiliary manufacture/treatment stay paired. Existing relative density learning is retained as an engineering ratio; absolute cell energy63.5/182.6=.347754655kWh/kg and fixed recipe are not a validated future design. Original full-battery market remains manufacturing-only at333.85kg component-sum basis; capacity uses the separately named hardware market. Vehicle energy/lifetime allocation is unchanged. Source contradictions, catalyst, solvent, future structure and recovery performance remain explicit gaps.
PREVIOUS NOTES (retained as history; the correction above takes precedence):
 Source: Originally from Wang, F., Deng, Y., &amp; Yuan, C. (2020). Life cycle assessment of lithium oxygen battery for electric vehicles. Journal of Cleaner Production, 264, 121339. https://doi.org/10.1016/j.jclepro.2020.121339 Local Li-O2 collector supplier-identity correction, 2026-10-17 (approved). Wang, Deng and Yuan (2020), Life cycle assessment of lithium oxygen battery for electric vehicles, DOI 10.1016/j.jclepro.2020.121339, supplementary Table S9: Life cycle inventory of 1 kg copper current collector. https://ars.els-cdn.com/content/image/1-s2.0-S095965262031386X-mmc2.docx The source lists Copper, primary, 713 g, linked to RNA: copper production, primary, ecoinvent. Replace the incorrect copper-concentrate input with market for copper, cathode, GLO; product copper, cathode. This is a refined-metal market proxy, not the identical historical primary-production dataset. Its existing supplier mix is retained; no source-specific primary/secondary fraction or future share is inferred or imposed. Retain 713/1000 = 0.713 kg feed per 1 kg declared collector output. The source coefficient leaves an apparent 0.287 kg direct-feed deficit for a nominal 1 kg copper collector before considering rolling-chain replacement losses and other fabrication flows; its complete copper balance and manufacturing yield remain unresolved. The 1 kg sheet-rolling service is processing demand, not evidence of an additional 1 kg main copper feed. No automatic increase to 1 kg, output rescaling, extra refining process or yield factor is applied. Other source/mapping, component and whole-battery mass-basis issues remain open. This corrects one supplier identity and does not validate the full collector or Li-O2 battery recipe.</t>
        </is>
      </c>
    </row>
    <row r="118" spans="1:8" x14ac:dyDescent="0.2">
      <c r="A118" t="s">
        <v>4</v>
      </c>
      <c r="B118" t="s">
        <v>48</v>
      </c>
    </row>
    <row r="119" spans="1:8" x14ac:dyDescent="0.2">
      <c r="A119" t="s">
        <v>6</v>
      </c>
      <c r="B119">
        <v>1</v>
      </c>
    </row>
    <row r="120" spans="1:8" x14ac:dyDescent="0.2">
      <c r="A120" t="s">
        <v>7</v>
      </c>
      <c r="B120" t="s">
        <v>38</v>
      </c>
    </row>
    <row r="121" spans="1:8" x14ac:dyDescent="0.2">
      <c r="A121" t="s">
        <v>8</v>
      </c>
      <c r="B121" t="s">
        <v>9</v>
      </c>
    </row>
    <row r="122" spans="1:8" x14ac:dyDescent="0.2">
      <c r="A122" t="s">
        <v>10</v>
      </c>
      <c r="B122" t="s">
        <v>16</v>
      </c>
    </row>
    <row r="123" spans="1:8" x14ac:dyDescent="0.2">
      <c r="A123" s="1" t="s">
        <v>11</v>
      </c>
      <c r="B123" s="1"/>
      <c r="C123" s="1"/>
      <c r="D123" s="1"/>
      <c r="E123" s="1"/>
      <c r="F123" s="1"/>
      <c r="G123" s="1"/>
    </row>
    <row r="124" spans="1:8" x14ac:dyDescent="0.2">
      <c r="A124" s="1" t="s">
        <v>12</v>
      </c>
      <c r="B124" s="1" t="s">
        <v>13</v>
      </c>
      <c r="C124" s="1" t="s">
        <v>8</v>
      </c>
      <c r="D124" s="1" t="s">
        <v>14</v>
      </c>
      <c r="E124" s="1" t="s">
        <v>4</v>
      </c>
      <c r="F124" s="1" t="s">
        <v>15</v>
      </c>
      <c r="G124" s="1" t="s">
        <v>7</v>
      </c>
      <c r="H124" s="1" t="s">
        <v>3</v>
      </c>
    </row>
    <row r="125" spans="1:8" x14ac:dyDescent="0.2">
      <c r="A125" t="str">
        <f>B116</f>
        <v>copper current collector production, for Li-O2 battery</v>
      </c>
      <c r="B125" s="3">
        <v>1</v>
      </c>
      <c r="C125" t="str">
        <f>B121</f>
        <v>kilogram</v>
      </c>
      <c r="E125" t="str">
        <f>B118</f>
        <v>RER</v>
      </c>
      <c r="F125" t="s">
        <v>18</v>
      </c>
      <c r="G125" t="str">
        <f>B120</f>
        <v>copper current collector</v>
      </c>
    </row>
    <row r="126" spans="1:8" x14ac:dyDescent="0.2">
      <c r="A126" t="inlineStr">
        <is>
          <t>market for copper, cathode</t>
        </is>
      </c>
      <c r="B126" s="3">
        <v>1</v>
      </c>
      <c r="C126" t="s">
        <v>9</v>
      </c>
      <c r="E126" t="s">
        <v>5</v>
      </c>
      <c r="F126" t="s">
        <v>27</v>
      </c>
      <c r="G126" t="inlineStr">
        <is>
          <t>copper, cathode</t>
        </is>
      </c>
      <c r="H126" t="inlineStr">
        <is>
          <t>Local Li-O2 collector supplier-identity correction, 2026-10-17 (approved). Wang, Deng and Yuan (2020), Life cycle assessment of lithium oxygen battery for electric vehicles, DOI 10.1016/j.jclepro.2020.121339, supplementary Table S9: Life cycle inventory of 1 kg copper current collector. https://ars.els-cdn.com/content/image/1-s2.0-S095965262031386X-mmc2.docx The source lists Copper, primary, 713 g, linked to RNA: copper production, primary, ecoinvent. Replace the incorrect copper-concentrate input with market for copper, cathode, GLO; product copper, cathode. This is a refined-metal market proxy, not the identical historical primary-production dataset. Its existing supplier mix is retained; no source-specific primary/secondary fraction or future share is inferred or imposed. Retain 713/1000 = 0.713 kg feed per 1 kg declared collector output. The source coefficient leaves an apparent 0.287 kg direct-feed deficit for a nominal 1 kg copper collector before considering rolling-chain replacement losses and other fabrication flows; its complete copper balance and manufacturing yield remain unresolved. The 1 kg sheet-rolling service is processing demand, not evidence of an additional 1 kg main copper feed. No automatic increase to 1 kg, output rescaling, extra refining process or yield factor is applied. Other source/mapping, component and whole-battery mass-basis issues remain open. This corrects one supplier identity and does not validate the full collector or Li-O2 battery recipe.</t>
        </is>
      </c>
    </row>
    <row r="127" spans="1:8" x14ac:dyDescent="0.2">
      <c r="A127" t="s">
        <v>85</v>
      </c>
      <c r="B127" s="3">
        <v>4.6000000000000001E-10</v>
      </c>
      <c r="C127" t="s">
        <v>8</v>
      </c>
      <c r="E127" t="s">
        <v>5</v>
      </c>
      <c r="F127" t="s">
        <v>27</v>
      </c>
      <c r="G127" t="s">
        <v>86</v>
      </c>
    </row>
    <row r="128" spans="1:8" x14ac:dyDescent="0.2">
      <c r="A128" t="s">
        <v>106</v>
      </c>
      <c r="B128" s="3">
        <v>1</v>
      </c>
      <c r="C128" t="s">
        <v>9</v>
      </c>
      <c r="E128" t="s">
        <v>5</v>
      </c>
      <c r="F128" t="s">
        <v>27</v>
      </c>
      <c r="G128" t="s">
        <v>107</v>
      </c>
    </row>
    <row r="129" spans="1:8" x14ac:dyDescent="0.2">
      <c r="A129" t="s">
        <v>87</v>
      </c>
      <c r="B129" s="3">
        <v>0.2</v>
      </c>
      <c r="C129" t="s">
        <v>88</v>
      </c>
      <c r="E129" t="s">
        <v>63</v>
      </c>
      <c r="F129" t="s">
        <v>27</v>
      </c>
      <c r="G129" t="s">
        <v>89</v>
      </c>
    </row>
    <row r="130" spans="1:8" x14ac:dyDescent="0.2">
      <c r="A130" t="s">
        <v>90</v>
      </c>
      <c r="B130" s="3">
        <v>0.1</v>
      </c>
      <c r="C130" t="s">
        <v>88</v>
      </c>
      <c r="E130" t="s">
        <v>48</v>
      </c>
      <c r="F130" t="s">
        <v>27</v>
      </c>
      <c r="G130" t="s">
        <v>91</v>
      </c>
    </row>
    <row r="133" spans="1:8" ht="16" x14ac:dyDescent="0.2">
      <c r="A133" s="2" t="s">
        <v>2</v>
      </c>
      <c r="B133" s="2" t="s">
        <v>20</v>
      </c>
    </row>
    <row r="134" spans="1:8" ht="16" x14ac:dyDescent="0.2">
      <c r="A134" s="7" t="s">
        <v>3</v>
      </c>
      <c r="B134" s="7" t="inlineStr">
        <is>
          <t>APPROVED Li-O2 HIERARCHICAL ENGINEERING RECONCILIATION, item18, 2026-10-18. Wang,Deng,Yuan2020 DOI10.1016/j.jclepro.2020.121339, SI TablesS3/S4/S5/S16; Kanthal resistance-wire datasheet https://www.kanthal.com/products/datasheets/material-datasheets/wire/resistance-heating-wire-and-resistance-wire/nikrothal-80/. Adopt TableS3 detailed retained geometry: cell182.6kg, module hardware19.51, pack hardware43.67, oxygen tank55, BMS4,cooling29.07 =&gt;333.85kg at63.5grosskWh. This conflicts with source headline321kg/267kg pack and with TableS5 gross material figures; do not mix those bases. Scalable cell/module/pack hardware=245.78kg; fixed-per-reference auxiliary hardware=88.07kg. Listed component masses, not proportional normalization of contradictory gross LCI tables, define this engineering reference. Known cell ingredients total182.59kg;0.01kg unspecified cathode catalyst remains a documented composition gap, not zero-metal proof. The sourceS4 fluoropolymer binder is not substituted for the unidentified S3 catalyst; binder quantity/fate is also unresolved, and that old process input is disabled in this reference. Electrolyte total59.11kg is split by inheritedS4 salt:solvent ratio.016:.308; LiClO4 process is the inherited salt provider, and ethylene-glycol dimethyl ether remains an explicitly imperfect TEGDME solvent proxy. Lithium protective film/pouch/separator process recipes remain inherited and unvalidated. Collector feed is1kg metal/kg foil at100percent reference retention; matching rolling and restored facility proxy are preserved. Terminal metal fractions are2.44kgAl/10.5kg and8.06kgCu/10.5kg, with matching working services; old overlapping gross feed and implied manufacturing scrap are disabled under the explicit100percent retention reference. Module and pack known material inputs followS3, with no new gross-yield claim. Module monitor.67kg is counted once; BMS4kg is assigned to central protection only using4/4.518 of the separate engineering central-control package. This functional repartition is an assumption, not a source breakdown. Cooling uses7kg Al plus22.07kg pureEG reference (alternative50/50 coolant is a sensitivity); thermal duty, pump/hoses remain gaps. Heater.2kg uses an idealized binary80Ni/20Cr resistance-alloy reference, consistent with a NiCr class but not a complete measured battery heater/Nikrothal composition; electronic/heater construction is unresolved. Preserve historical source-specific S16 recycling coefficients without new recovery credits. Capacity purchases245.78/63.5kg scalable hardware plus one auxiliary lifecycle unit per63.5kWh. Its negative waste equals scalable mass; auxiliary unit carries its own88.07kg waste. Future density factors scale hardware and its waste together; fixed auxiliary manufacture/treatment stay paired. Existing relative density learning is retained as an engineering ratio; absolute cell energy63.5/182.6=.347754655kWh/kg and fixed recipe are not a validated future design. Original full-battery market remains manufacturing-only at333.85kg component-sum basis; capacity uses the separately named hardware market. Vehicle energy/lifetime allocation is unchanged. Source contradictions, catalyst, solvent, future structure and recovery performance remain explicit gaps.
PREVIOUS NOTES (retained as history; the correction above takes precedence):
APPROVED Li-O2 COLLECTOR FACILITY SOURCE OMISSION, 2026-10-18. Wang et al. (2020), DOI 10.1016/j.jclepro.2020.121339, supporting information Table S10 lists 1.5E-10 pieces RER aluminium casting plant per kg aluminium current collector. Add the existing RER aluminium casting facility construction supplier at 1.5E-10 unit/kg in blank exchange row 147. This restores the source infrastructure proxy; it does not validate the casting/rolling facility design, manufacturing yield or the unresolved 0.825 kg aluminium feed per kg output. Keep aluminium feed, sheet rolling, transport and all other coefficients unchanged.
PREVIOUS NOTES (retained as history; the correction above takes precedence):
 Source: Originally from Wang, F., Deng, Y., &amp; Yuan, C. (2020). Life cycle assessment of lithium oxygen battery for electric vehicles. Journal of Cleaner Production, 264, 121339. https://doi.org/10.1016/j.jclepro.2020.121339</t>
        </is>
      </c>
    </row>
    <row r="135" spans="1:8" x14ac:dyDescent="0.2">
      <c r="A135" t="s">
        <v>4</v>
      </c>
      <c r="B135" t="s">
        <v>48</v>
      </c>
    </row>
    <row r="136" spans="1:8" x14ac:dyDescent="0.2">
      <c r="A136" t="s">
        <v>6</v>
      </c>
      <c r="B136">
        <v>1</v>
      </c>
    </row>
    <row r="137" spans="1:8" x14ac:dyDescent="0.2">
      <c r="A137" t="s">
        <v>7</v>
      </c>
      <c r="B137" t="s">
        <v>33</v>
      </c>
    </row>
    <row r="138" spans="1:8" x14ac:dyDescent="0.2">
      <c r="A138" t="s">
        <v>8</v>
      </c>
      <c r="B138" t="s">
        <v>9</v>
      </c>
    </row>
    <row r="139" spans="1:8" x14ac:dyDescent="0.2">
      <c r="A139" t="s">
        <v>10</v>
      </c>
      <c r="B139" t="s">
        <v>16</v>
      </c>
    </row>
    <row r="140" spans="1:8" x14ac:dyDescent="0.2">
      <c r="A140" s="1" t="s">
        <v>11</v>
      </c>
      <c r="B140" s="1"/>
      <c r="C140" s="1"/>
      <c r="D140" s="1"/>
      <c r="E140" s="1"/>
      <c r="F140" s="1"/>
      <c r="G140" s="1"/>
    </row>
    <row r="141" spans="1:8" x14ac:dyDescent="0.2">
      <c r="A141" s="1" t="s">
        <v>12</v>
      </c>
      <c r="B141" s="1" t="s">
        <v>13</v>
      </c>
      <c r="C141" s="1" t="s">
        <v>8</v>
      </c>
      <c r="D141" s="1" t="s">
        <v>14</v>
      </c>
      <c r="E141" s="1" t="s">
        <v>4</v>
      </c>
      <c r="F141" s="1" t="s">
        <v>15</v>
      </c>
      <c r="G141" s="1" t="s">
        <v>7</v>
      </c>
      <c r="H141" s="1" t="s">
        <v>3</v>
      </c>
    </row>
    <row r="142" spans="1:8" x14ac:dyDescent="0.2">
      <c r="A142" t="str">
        <f>B133</f>
        <v>aluminium current collector production, for Li-O2 battery</v>
      </c>
      <c r="B142" s="3">
        <v>1</v>
      </c>
      <c r="C142" t="str">
        <f>B138</f>
        <v>kilogram</v>
      </c>
      <c r="E142" t="str">
        <f>B135</f>
        <v>RER</v>
      </c>
      <c r="F142" t="s">
        <v>18</v>
      </c>
      <c r="G142" t="str">
        <f>B137</f>
        <v>aluminium current collector</v>
      </c>
    </row>
    <row r="143" spans="1:8" x14ac:dyDescent="0.2">
      <c r="A143" t="s">
        <v>108</v>
      </c>
      <c r="B143" s="3">
        <v>1</v>
      </c>
      <c r="C143" t="s">
        <v>9</v>
      </c>
      <c r="E143" t="s">
        <v>110</v>
      </c>
      <c r="F143" t="s">
        <v>27</v>
      </c>
      <c r="G143" t="s">
        <v>109</v>
      </c>
    </row>
    <row r="144" spans="1:8" x14ac:dyDescent="0.2">
      <c r="A144" t="s">
        <v>111</v>
      </c>
      <c r="B144" s="3">
        <v>1</v>
      </c>
      <c r="C144" t="s">
        <v>9</v>
      </c>
      <c r="E144" t="s">
        <v>48</v>
      </c>
      <c r="F144" t="s">
        <v>27</v>
      </c>
      <c r="G144" t="s">
        <v>111</v>
      </c>
    </row>
    <row r="145" spans="1:8" x14ac:dyDescent="0.2">
      <c r="A145" t="s">
        <v>87</v>
      </c>
      <c r="B145" s="3">
        <v>0.2</v>
      </c>
      <c r="C145" t="s">
        <v>88</v>
      </c>
      <c r="E145" t="s">
        <v>63</v>
      </c>
      <c r="F145" t="s">
        <v>27</v>
      </c>
      <c r="G145" t="s">
        <v>89</v>
      </c>
    </row>
    <row r="146" spans="1:8" x14ac:dyDescent="0.2">
      <c r="A146" t="s">
        <v>90</v>
      </c>
      <c r="B146" s="3">
        <v>0.1</v>
      </c>
      <c r="C146" t="s">
        <v>88</v>
      </c>
      <c r="E146" t="s">
        <v>48</v>
      </c>
      <c r="F146" t="s">
        <v>27</v>
      </c>
      <c r="G146" t="s">
        <v>91</v>
      </c>
    </row>
    <row r="147">
      <c r="A147" t="inlineStr">
        <is>
          <t>aluminium casting facility construction</t>
        </is>
      </c>
      <c r="B147">
        <v>1.5e-10</v>
      </c>
      <c r="C147" t="inlineStr">
        <is>
          <t>unit</t>
        </is>
      </c>
      <c r="E147" t="inlineStr">
        <is>
          <t>RER</t>
        </is>
      </c>
      <c r="F147" t="inlineStr">
        <is>
          <t>technosphere</t>
        </is>
      </c>
      <c r="G147" t="inlineStr">
        <is>
          <t>aluminium casting facility</t>
        </is>
      </c>
      <c r="H147" t="inlineStr">
        <is>
          <t>Wang et al. (2020), DOI 10.1016/j.jclepro.2020.121339, SI Table S10: 1.5E-10 RER aluminium casting plant units/kg collector. Source facility proxy; no measured design or manufacturing-yield validation.</t>
        </is>
      </c>
    </row>
    <row r="149" spans="1:8" ht="16" x14ac:dyDescent="0.2">
      <c r="A149" s="2" t="s">
        <v>2</v>
      </c>
      <c r="B149" s="2" t="s">
        <v>24</v>
      </c>
    </row>
    <row r="150" spans="1:8" ht="16" x14ac:dyDescent="0.2">
      <c r="A150" s="7" t="s">
        <v>3</v>
      </c>
      <c r="B150" s="7" t="inlineStr">
        <is>
          <t xml:space="preserve">APPROVED Li-O2 HIERARCHICAL ENGINEERING RECONCILIATION, item18, 2026-10-18. Wang,Deng,Yuan2020 DOI10.1016/j.jclepro.2020.121339, SI TablesS3/S4/S5/S16; Kanthal resistance-wire datasheet https://www.kanthal.com/products/datasheets/material-datasheets/wire/resistance-heating-wire-and-resistance-wire/nikrothal-80/. Adopt TableS3 detailed retained geometry: cell182.6kg, module hardware19.51, pack hardware43.67, oxygen tank55, BMS4,cooling29.07 =&gt;333.85kg at63.5grosskWh. This conflicts with source headline321kg/267kg pack and with TableS5 gross material figures; do not mix those bases. Scalable cell/module/pack hardware=245.78kg; fixed-per-reference auxiliary hardware=88.07kg. Listed component masses, not proportional normalization of contradictory gross LCI tables, define this engineering reference. Known cell ingredients total182.59kg;0.01kg unspecified cathode catalyst remains a documented composition gap, not zero-metal proof. The sourceS4 fluoropolymer binder is not substituted for the unidentified S3 catalyst; binder quantity/fate is also unresolved, and that old process input is disabled in this reference. Electrolyte total59.11kg is split by inheritedS4 salt:solvent ratio.016:.308; LiClO4 process is the inherited salt provider, and ethylene-glycol dimethyl ether remains an explicitly imperfect TEGDME solvent proxy. Lithium protective film/pouch/separator process recipes remain inherited and unvalidated. Collector feed is1kg metal/kg foil at100percent reference retention; matching rolling and restored facility proxy are preserved. Terminal metal fractions are2.44kgAl/10.5kg and8.06kgCu/10.5kg, with matching working services; old overlapping gross feed and implied manufacturing scrap are disabled under the explicit100percent retention reference. Module and pack known material inputs followS3, with no new gross-yield claim. Module monitor.67kg is counted once; BMS4kg is assigned to central protection only using4/4.518 of the separate engineering central-control package. This functional repartition is an assumption, not a source breakdown. Cooling uses7kg Al plus22.07kg pureEG reference (alternative50/50 coolant is a sensitivity); thermal duty, pump/hoses remain gaps. Heater.2kg uses an idealized binary80Ni/20Cr resistance-alloy reference, consistent with a NiCr class but not a complete measured battery heater/Nikrothal composition; electronic/heater construction is unresolved. Preserve historical source-specific S16 recycling coefficients without new recovery credits. Capacity purchases245.78/63.5kg scalable hardware plus one auxiliary lifecycle unit per63.5kWh. Its negative waste equals scalable mass; auxiliary unit carries its own88.07kg waste. Future density factors scale hardware and its waste together; fixed auxiliary manufacture/treatment stay paired. Existing relative density learning is retained as an engineering ratio; absolute cell energy63.5/182.6=.347754655kWh/kg and fixed recipe are not a validated future design. Original full-battery market remains manufacturing-only at333.85kg component-sum basis; capacity uses the separately named hardware market. Vehicle energy/lifetime allocation is unchanged. Source contradictions, catalyst, solvent, future structure and recovery performance remain explicit gaps.
PREVIOUS NOTES (retained as history; the correction above takes precedence):
APPROVED LI-O2 RAIL-FREIGHT SOURCE-TRANSCRIPTION CORRECTION, 2026-10-17. Wang, Deng and Yuan (2020), Journal of Cleaner Production 264, 121339, DOI 10.1016/j.jclepro.2020.121339, original supplementary DOCX Table S11 Life cycle inventory of 1 kg terminals, row Transport_freght_rail: 2 tkm per 1 kg component. Correct the existing 0.2 ton kilometer/kg to 2 ton kilometer/kg: the old coefficient was one tenth of the published value. One tkm is one metric tonne-kilometre. At 1 kg transported mass, the source coefficient is equivalent to 2000 km, compared with 200 km for the old value; these are dimensional equivalents, not independently verified actual routes. Retain the existing regional freight train market, reference product, location and unit. The source supplier was RER rail transport; its historical transport assumption, the adaptation to the current supplier, actual modern distances, freight mix and future logistics are not validated by this repair. All direct material/process inputs, other transport, reference output, component purchases and lifetime equipment allocations are retained. Do not renormalize component masses or infer a quantified system-metal effect; source assembly mass/yield and battery normalization issues remain separate. Source: https://ars.els-cdn.com/content/image/1-s2.0-S095965262031386X-mmc2.docx .
PREVIOUS SOURCE NOTES:
 Source: Originally from Wang, F., Deng, Y., &amp; Yuan, C. (2020). Life cycle assessment of lithium oxygen battery for electric vehicles. Journal of Cleaner Production, 264, 121339. https://doi.org/10.1016/j.jclepro.2020.121339 Local Li-O2 terminal copper input correction, 2026-10-17 (approved). Wang, Deng and Yuan (2020), DOI 10.1016/j.jclepro.2020.121339, supplementary Table S11: Life cycle inventory of 1 kg terminals, https://ars.els-cdn.com/content/image/1-s2.0-S095965262031386X-mmc2.docx. The Copper ingot, secondary row is a positive 234 g input, linked to RER: copper, secondary, at refinery. Replace the negative -0.234 kg scrap-copper output with a positive 234/1000 = 0.234 kg refined-metal input from market for copper, cathode, GLO. The existing separate 0.713 kg source-primary copper input is retained; combined direct refined copper demand becomes 0.713 + 0.234 = 0.947 kg per kg declared terminals. The cathode market is a refined-product proxy and does not reproduce the source secondary-only supplier. Its existing mix is used without inferring or imposing primary/secondary content or future shares. No additional scrap-recycling credit or explicit refining process is introduced. The source table also lists 0.825 + 0.045 kg aluminium inputs and only 0.018 kg solid waste per 1 kg terminals; the resulting 1.817 kg gross metal-input basis, fabrication yields, unreported outflows and aluminium-scrap-versus-ingot mapping remain unresolved. No blanket normalization or yield correction follows from the sign repair. Other numerical inputs, output, transport and rolling services are retained. The former numeric calculation in this comment cell (=184*B$24*B164) is replaced by this source documentation. This corrects one material identity and flow direction, not the complete terminal or battery recipe. Local Li-O2 secondary-aluminium product-form correction, 2026-10-17 (approved). Wang, Deng and Yuan (2020), DOI 10.1016/j.jclepro.2020.121339, supplementary https://ars.els-cdn.com/content/image/1-s2.0-S095965262031386X-mmc2.docx. The source specifies a positive aluminium ingot, secondary, input from RER aluminium, secondary, from new scrap; it does not specify untreated scrap as component feed. Replace market for aluminium scrap, new with market for aluminium, wrought alloy, GLO. Ordinary wrought alloy is an approved metal-product/grade proxy, not the exact source secondary-only supplier, a measured alloy composition or proof that its full mass is elemental aluminium. Retain the existing product-market mix without asserting source-specific primary/secondary content or new future shares. Keep the separate primary-ingot input, all quantities, rolling/other services and reference output; no extra remelting, forming, scrap credit, yield factor or blanket normalization. End-of-life check: this manufacturing activity has generic municipal solid waste, not an aluminium-specific end-of-life balance. Fabrication waste must be distinguished from aluminium retained in the component and discarded after use. The baseline capacity market routes equal battery-product mass to generic used-Li-ion-battery treatment, but that is not composition-matched to these aluminium inputs. Battery production also calls a custom Li-O2 recycling process at 1/321 kg per kg battery; that normalization and overlap with capacity-market disposal remain unresolved. No new aluminium disposal exchange is added here, to avoid inventing composition/recovery or duplicating battery-level treatment. This is a supplier-form correction, not confirmation of complete manufacturing or aluminium end-of-life mass balance. Source DOCX SHA256: 760c98ff6240558bf1bdb2df42039f678768b627667f2db437d754bf4c4ec52a. Table S11: 45 g / 1000 = 0.045 kg per kg component; separate primary ingot = 0.825 kg/kg; listed generic fabrication waste = 0.018 kg/kg. The source terminal gross-metal feed of 1.817 kg per kg output and its unreported outflows remain unresolved. </t>
        </is>
      </c>
    </row>
    <row r="151" spans="1:8" x14ac:dyDescent="0.2">
      <c r="A151" t="s">
        <v>4</v>
      </c>
      <c r="B151" t="s">
        <v>48</v>
      </c>
    </row>
    <row r="152" spans="1:8" x14ac:dyDescent="0.2">
      <c r="A152" t="s">
        <v>6</v>
      </c>
      <c r="B152">
        <v>1</v>
      </c>
    </row>
    <row r="153" spans="1:8" x14ac:dyDescent="0.2">
      <c r="A153" t="s">
        <v>7</v>
      </c>
      <c r="B153" t="s">
        <v>37</v>
      </c>
    </row>
    <row r="154" spans="1:8" x14ac:dyDescent="0.2">
      <c r="A154" t="s">
        <v>8</v>
      </c>
      <c r="B154" t="s">
        <v>9</v>
      </c>
    </row>
    <row r="155" spans="1:8" x14ac:dyDescent="0.2">
      <c r="A155" t="s">
        <v>10</v>
      </c>
      <c r="B155" t="s">
        <v>16</v>
      </c>
    </row>
    <row r="156" spans="1:8" x14ac:dyDescent="0.2">
      <c r="A156" s="1" t="s">
        <v>11</v>
      </c>
      <c r="B156" s="1"/>
      <c r="C156" s="1"/>
      <c r="D156" s="1"/>
      <c r="E156" s="1"/>
      <c r="F156" s="1"/>
      <c r="G156" s="1"/>
    </row>
    <row r="157" spans="1:8" x14ac:dyDescent="0.2">
      <c r="A157" s="1" t="s">
        <v>12</v>
      </c>
      <c r="B157" s="1" t="s">
        <v>13</v>
      </c>
      <c r="C157" s="1" t="s">
        <v>8</v>
      </c>
      <c r="D157" s="1" t="s">
        <v>14</v>
      </c>
      <c r="E157" s="1" t="s">
        <v>4</v>
      </c>
      <c r="F157" s="1" t="s">
        <v>15</v>
      </c>
      <c r="G157" s="1" t="s">
        <v>7</v>
      </c>
      <c r="H157" s="1" t="s">
        <v>3</v>
      </c>
    </row>
    <row r="158" spans="1:8" x14ac:dyDescent="0.2">
      <c r="A158" t="str">
        <f>B149</f>
        <v>terminals production, for Li-O2 battery</v>
      </c>
      <c r="B158">
        <v>1</v>
      </c>
      <c r="C158" t="str">
        <f>B154</f>
        <v>kilogram</v>
      </c>
      <c r="E158" t="str">
        <f>B151</f>
        <v>RER</v>
      </c>
      <c r="F158" t="s">
        <v>18</v>
      </c>
      <c r="G158" t="str">
        <f>B153</f>
        <v>terminals</v>
      </c>
    </row>
    <row r="159" spans="1:8" x14ac:dyDescent="0.2">
      <c r="A159" t="s">
        <v>108</v>
      </c>
      <c r="B159">
        <v>0.23238095238095238</v>
      </c>
      <c r="C159" t="s">
        <v>9</v>
      </c>
      <c r="E159" t="s">
        <v>110</v>
      </c>
      <c r="F159" t="s">
        <v>27</v>
      </c>
      <c r="G159" t="s">
        <v>109</v>
      </c>
      <c r="H159">
        <f>184*B$24*B159</f>
        <v>8.6525999999999996</v>
      </c>
    </row>
    <row r="160" spans="1:8" x14ac:dyDescent="0.2">
      <c r="A160" t="inlineStr">
        <is>
          <t>market for aluminium, wrought alloy</t>
        </is>
      </c>
      <c r="B160">
        <f>0</f>
        <v>0</v>
      </c>
      <c r="C160" t="s">
        <v>9</v>
      </c>
      <c r="E160" t="inlineStr">
        <is>
          <t>GLO</t>
        </is>
      </c>
      <c r="F160" t="s">
        <v>27</v>
      </c>
      <c r="G160" t="inlineStr">
        <is>
          <t>aluminium, wrought alloy</t>
        </is>
      </c>
      <c r="H160" t="inlineStr">
        <is>
          <t>Local Li-O2 secondary-aluminium product-form correction, 2026-10-17 (approved). Wang, Deng and Yuan (2020), DOI 10.1016/j.jclepro.2020.121339, supplementary https://ars.els-cdn.com/content/image/1-s2.0-S095965262031386X-mmc2.docx. The source specifies a positive aluminium ingot, secondary, input from RER aluminium, secondary, from new scrap; it does not specify untreated scrap as component feed. Replace market for aluminium scrap, new with market for aluminium, wrought alloy, GLO. Ordinary wrought alloy is an approved metal-product/grade proxy, not the exact source secondary-only supplier, a measured alloy composition or proof that its full mass is elemental aluminium. Retain the existing product-market mix without asserting source-specific primary/secondary content or new future shares. Keep the separate primary-ingot input, all quantities, rolling/other services and reference output; no extra remelting, forming, scrap credit, yield factor or blanket normalization. End-of-life check: this manufacturing activity has generic municipal solid waste, not an aluminium-specific end-of-life balance. Fabrication waste must be distinguished from aluminium retained in the component and discarded after use. The baseline capacity market routes equal battery-product mass to generic used-Li-ion-battery treatment, but that is not composition-matched to these aluminium inputs. Battery production also calls a custom Li-O2 recycling process at 1/321 kg per kg battery; that normalization and overlap with capacity-market disposal remain unresolved. No new aluminium disposal exchange is added here, to avoid inventing composition/recovery or duplicating battery-level treatment. This is a supplier-form correction, not confirmation of complete manufacturing or aluminium end-of-life mass balance. Source DOCX SHA256: 760c98ff6240558bf1bdb2df42039f678768b627667f2db437d754bf4c4ec52a. Table S11: 45 g / 1000 = 0.045 kg per kg component; separate primary ingot = 0.825 kg/kg; listed generic fabrication waste = 0.018 kg/kg. The source terminal gross-metal feed of 1.817 kg per kg output and its unreported outflows remain unresolved. </t>
        </is>
      </c>
    </row>
    <row r="161" spans="1:8" x14ac:dyDescent="0.2">
      <c r="A161" t="s">
        <v>114</v>
      </c>
      <c r="B161">
        <f>0.0000000000349</f>
        <v>3.4899999999999997E-11</v>
      </c>
      <c r="C161" t="s">
        <v>8</v>
      </c>
      <c r="E161" t="s">
        <v>48</v>
      </c>
      <c r="F161" t="s">
        <v>27</v>
      </c>
      <c r="G161" t="s">
        <v>115</v>
      </c>
      <c r="H161">
        <f t="shared" si="0" ref="H161:H163">184*B$24*B161</f>
        <v>3.6603119999999994E-10</v>
      </c>
    </row>
    <row r="162" spans="1:8" x14ac:dyDescent="0.2">
      <c r="A162" t="s">
        <v>85</v>
      </c>
      <c r="B162" s="3">
        <v>3.5300000000000002E-10</v>
      </c>
      <c r="C162" t="s">
        <v>8</v>
      </c>
      <c r="E162" t="s">
        <v>5</v>
      </c>
      <c r="F162" t="s">
        <v>27</v>
      </c>
      <c r="G162" t="s">
        <v>86</v>
      </c>
      <c r="H162">
        <f t="shared" si="0"/>
        <v>3.702264E-9</v>
      </c>
    </row>
    <row r="163" spans="1:8" x14ac:dyDescent="0.2">
      <c r="A163" t="s">
        <v>116</v>
      </c>
      <c r="B163">
        <v>0.7676190476190476</v>
      </c>
      <c r="C163" t="s">
        <v>9</v>
      </c>
      <c r="E163" t="s">
        <v>5</v>
      </c>
      <c r="F163" t="s">
        <v>27</v>
      </c>
      <c r="G163" t="s">
        <v>117</v>
      </c>
      <c r="H163">
        <f t="shared" si="0"/>
        <v>7.477943999999999</v>
      </c>
    </row>
    <row r="164" spans="1:8" x14ac:dyDescent="0.2">
      <c r="A164" t="inlineStr">
        <is>
          <t>market for copper, cathode</t>
        </is>
      </c>
      <c r="B164">
        <f>0</f>
        <v>0</v>
      </c>
      <c r="C164" t="s">
        <v>9</v>
      </c>
      <c r="E164" t="inlineStr">
        <is>
          <t>GLO</t>
        </is>
      </c>
      <c r="F164" t="s">
        <v>27</v>
      </c>
      <c r="G164" t="inlineStr">
        <is>
          <t>copper, cathode</t>
        </is>
      </c>
      <c r="H164" t="inlineStr">
        <is>
          <t>Local Li-O2 terminal copper input correction, 2026-10-17 (approved). Wang, Deng and Yuan (2020), DOI 10.1016/j.jclepro.2020.121339, supplementary Table S11: Life cycle inventory of 1 kg terminals, https://ars.els-cdn.com/content/image/1-s2.0-S095965262031386X-mmc2.docx. The Copper ingot, secondary row is a positive 234 g input, linked to RER: copper, secondary, at refinery. Replace the negative -0.234 kg scrap-copper output with a positive 234/1000 = 0.234 kg refined-metal input from market for copper, cathode, GLO. The existing separate 0.713 kg source-primary copper input is retained; combined direct refined copper demand becomes 0.713 + 0.234 = 0.947 kg per kg declared terminals. The cathode market is a refined-product proxy and does not reproduce the source secondary-only supplier. Its existing mix is used without inferring or imposing primary/secondary content or future shares. No additional scrap-recycling credit or explicit refining process is introduced. The source table also lists 0.825 + 0.045 kg aluminium inputs and only 0.018 kg solid waste per 1 kg terminals; the resulting 1.817 kg gross metal-input basis, fabrication yields, unreported outflows and aluminium-scrap-versus-ingot mapping remain unresolved. No blanket normalization or yield correction follows from the sign repair. Other numerical inputs, output, transport and rolling services are retained. The former numeric calculation in this comment cell (=184*B$24*B164) is replaced by this source documentation. This corrects one material identity and flow direction, not the complete terminal or battery recipe.</t>
        </is>
      </c>
    </row>
    <row r="165" spans="1:8" x14ac:dyDescent="0.2">
      <c r="A165" t="s">
        <v>120</v>
      </c>
      <c r="B165">
        <v>0.23238095238095238</v>
      </c>
      <c r="C165" t="s">
        <v>9</v>
      </c>
      <c r="E165" t="s">
        <v>5</v>
      </c>
      <c r="F165" t="s">
        <v>27</v>
      </c>
      <c r="G165" t="s">
        <v>111</v>
      </c>
      <c r="H165">
        <f t="shared" si="4" ref="H165:H169">184*B$24*B165</f>
        <v>2.4332159999999998</v>
      </c>
    </row>
    <row r="166" spans="1:8" x14ac:dyDescent="0.2">
      <c r="A166" t="s">
        <v>106</v>
      </c>
      <c r="B166">
        <v>0.7676190476190476</v>
      </c>
      <c r="C166" t="s">
        <v>9</v>
      </c>
      <c r="E166" t="s">
        <v>5</v>
      </c>
      <c r="F166" t="s">
        <v>27</v>
      </c>
      <c r="G166" t="s">
        <v>107</v>
      </c>
      <c r="H166">
        <f t="shared" si="4"/>
        <v>8.0547839999999997</v>
      </c>
    </row>
    <row r="167" spans="1:8" x14ac:dyDescent="0.2">
      <c r="A167" t="s">
        <v>87</v>
      </c>
      <c r="B167" t="n">
        <v>2.0</v>
      </c>
      <c r="C167" t="s">
        <v>88</v>
      </c>
      <c r="E167" t="s">
        <v>63</v>
      </c>
      <c r="F167" t="s">
        <v>27</v>
      </c>
      <c r="G167" t="s">
        <v>89</v>
      </c>
      <c r="H167" t="inlineStr">
        <is>
          <t>APPROVED LI-O2 RAIL-FREIGHT SOURCE-TRANSCRIPTION CORRECTION, 2026-10-17. Wang, Deng and Yuan (2020), Journal of Cleaner Production 264, 121339, DOI 10.1016/j.jclepro.2020.121339, original supplementary DOCX Table S11 Life cycle inventory of 1 kg terminals, row Transport_freght_rail: 2 tkm per 1 kg component. Correct the existing 0.2 ton kilometer/kg to 2 ton kilometer/kg: the old coefficient was one tenth of the published value. One tkm is one metric tonne-kilometre. At 1 kg transported mass, the source coefficient is equivalent to 2000 km, compared with 200 km for the old value; these are dimensional equivalents, not independently verified actual routes. Retain the existing regional freight train market, reference product, location and unit. The source supplier was RER rail transport; its historical transport assumption, the adaptation to the current supplier, actual modern distances, freight mix and future logistics are not validated by this repair. All direct material/process inputs, other transport, reference output, component purchases and lifetime equipment allocations are retained. Do not renormalize component masses or infer a quantified system-metal effect; source assembly mass/yield and battery normalization issues remain separate. Source: https://ars.els-cdn.com/content/image/1-s2.0-S095965262031386X-mmc2.docx .
PREVIOUS EXCHANGE COMMENT (historical calculation only; not an exchange amount): =184*B$24*B167; previous cached value = 2.0976.</t>
        </is>
      </c>
    </row>
    <row r="168" spans="1:8" x14ac:dyDescent="0.2">
      <c r="A168" t="s">
        <v>90</v>
      </c>
      <c r="B168">
        <v>0.1</v>
      </c>
      <c r="C168" t="s">
        <v>88</v>
      </c>
      <c r="E168" t="s">
        <v>48</v>
      </c>
      <c r="F168" t="s">
        <v>27</v>
      </c>
      <c r="G168" t="s">
        <v>91</v>
      </c>
      <c r="H168">
        <f t="shared" si="4"/>
        <v>1.0488</v>
      </c>
    </row>
    <row r="169" spans="1:8" x14ac:dyDescent="0.2">
      <c r="A169" t="s">
        <v>121</v>
      </c>
      <c r="B169">
        <f>0</f>
        <v>0</v>
      </c>
      <c r="C169" t="s">
        <v>9</v>
      </c>
      <c r="E169" t="s">
        <v>63</v>
      </c>
      <c r="F169" t="s">
        <v>27</v>
      </c>
      <c r="G169" t="s">
        <v>122</v>
      </c>
      <c r="H169">
        <f t="shared" si="4"/>
        <v>-0.18878399999999998</v>
      </c>
    </row>
    <row r="172" spans="1:8" ht="16" x14ac:dyDescent="0.2">
      <c r="A172" s="2" t="s">
        <v>2</v>
      </c>
      <c r="B172" s="2" t="s">
        <v>23</v>
      </c>
    </row>
    <row r="173" spans="1:8" ht="16" x14ac:dyDescent="0.2">
      <c r="A173" s="7" t="s">
        <v>3</v>
      </c>
      <c r="B173" s="7" t="inlineStr">
        <is>
          <t> Source: Originally from Wang, F., Deng, Y., &amp; Yuan, C. (2020). Life cycle assessment of lithium oxygen battery for electric vehicles. Journal of Cleaner Production, 264, 121339. https://doi.org/10.1016/j.jclepro.2020.121339 Local Li-O2 secondary-aluminium product-form correction, 2026-10-17 (approved). Wang, Deng and Yuan (2020), DOI 10.1016/j.jclepro.2020.121339, supplementary https://ars.els-cdn.com/content/image/1-s2.0-S095965262031386X-mmc2.docx. The source specifies a positive aluminium ingot, secondary, input from RER aluminium, secondary, from new scrap; it does not specify untreated scrap as component feed. Replace market for aluminium scrap, new with market for aluminium, wrought alloy, GLO. Ordinary wrought alloy is an approved metal-product/grade proxy, not the exact source secondary-only supplier, a measured alloy composition or proof that its full mass is elemental aluminium. Retain the existing product-market mix without asserting source-specific primary/secondary content or new future shares. Keep the separate primary-ingot input, all quantities, rolling/other services and reference output; no extra remelting, forming, scrap credit, yield factor or blanket normalization. End-of-life check: this manufacturing activity has generic municipal solid waste, not an aluminium-specific end-of-life balance. Fabrication waste must be distinguished from aluminium retained in the component and discarded after use. The baseline capacity market routes equal battery-product mass to generic used-Li-ion-battery treatment, but that is not composition-matched to these aluminium inputs. Battery production also calls a custom Li-O2 recycling process at 1/321 kg per kg battery; that normalization and overlap with capacity-market disposal remain unresolved. No new aluminium disposal exchange is added here, to avoid inventing composition/recovery or duplicating battery-level treatment. This is a supplier-form correction, not confirmation of complete manufacturing or aluminium end-of-life mass balance. Source DOCX SHA256: 760c98ff6240558bf1bdb2df42039f678768b627667f2db437d754bf4c4ec52a. Table S12: 129 g / 1000 = 0.129 kg per kg component; separate primary ingot = 0.55 kg/kg; listed generic fabrication waste = 0.021 kg/kg. The source pouch material inputs sum to 1.022 kg per kg output, with 0.021 kg listed waste; the residual and material-specific waste composition are not validated. </t>
        </is>
      </c>
    </row>
    <row r="174" spans="1:8" x14ac:dyDescent="0.2">
      <c r="A174" t="s">
        <v>4</v>
      </c>
      <c r="B174" t="s">
        <v>48</v>
      </c>
    </row>
    <row r="175" spans="1:8" x14ac:dyDescent="0.2">
      <c r="A175" t="s">
        <v>6</v>
      </c>
      <c r="B175">
        <v>1</v>
      </c>
    </row>
    <row r="176" spans="1:8" x14ac:dyDescent="0.2">
      <c r="A176" t="s">
        <v>7</v>
      </c>
      <c r="B176" t="s">
        <v>36</v>
      </c>
    </row>
    <row r="177" spans="1:8" x14ac:dyDescent="0.2">
      <c r="A177" t="s">
        <v>8</v>
      </c>
      <c r="B177" t="s">
        <v>9</v>
      </c>
    </row>
    <row r="178" spans="1:8" x14ac:dyDescent="0.2">
      <c r="A178" t="s">
        <v>10</v>
      </c>
      <c r="B178" t="s">
        <v>16</v>
      </c>
    </row>
    <row r="179" spans="1:8" x14ac:dyDescent="0.2">
      <c r="A179" s="1" t="s">
        <v>11</v>
      </c>
      <c r="B179" s="1"/>
      <c r="C179" s="1"/>
      <c r="D179" s="1"/>
      <c r="E179" s="1"/>
      <c r="F179" s="1"/>
      <c r="G179" s="1"/>
    </row>
    <row r="180" spans="1:8" x14ac:dyDescent="0.2">
      <c r="A180" s="1" t="s">
        <v>12</v>
      </c>
      <c r="B180" s="1" t="s">
        <v>13</v>
      </c>
      <c r="C180" s="1" t="s">
        <v>8</v>
      </c>
      <c r="D180" s="1" t="s">
        <v>14</v>
      </c>
      <c r="E180" s="1" t="s">
        <v>4</v>
      </c>
      <c r="F180" s="1" t="s">
        <v>15</v>
      </c>
      <c r="G180" s="1" t="s">
        <v>7</v>
      </c>
      <c r="H180" s="1" t="s">
        <v>3</v>
      </c>
    </row>
    <row r="181" spans="1:8" x14ac:dyDescent="0.2">
      <c r="A181" t="str">
        <f>B172</f>
        <v>multilayer film production, for Li-O2 battery</v>
      </c>
      <c r="B181">
        <v>1</v>
      </c>
      <c r="C181" t="str">
        <f>B177</f>
        <v>kilogram</v>
      </c>
      <c r="E181" t="str">
        <f>B174</f>
        <v>RER</v>
      </c>
      <c r="F181" t="s">
        <v>18</v>
      </c>
      <c r="G181" t="str">
        <f>B176</f>
        <v>multilayer film</v>
      </c>
    </row>
    <row r="182" spans="1:8" x14ac:dyDescent="0.2">
      <c r="A182" t="s">
        <v>108</v>
      </c>
      <c r="B182">
        <v>0.55000000000000004</v>
      </c>
      <c r="C182" t="s">
        <v>9</v>
      </c>
      <c r="E182" t="s">
        <v>110</v>
      </c>
      <c r="F182" t="s">
        <v>27</v>
      </c>
      <c r="G182" t="s">
        <v>109</v>
      </c>
      <c r="H182">
        <f>184*B$23*B182</f>
        <v>3.7444000000000002</v>
      </c>
    </row>
    <row r="183" spans="1:8" x14ac:dyDescent="0.2">
      <c r="A183" t="inlineStr">
        <is>
          <t>market for aluminium, wrought alloy</t>
        </is>
      </c>
      <c r="B183">
        <v>0.129</v>
      </c>
      <c r="C183" t="s">
        <v>9</v>
      </c>
      <c r="E183" t="inlineStr">
        <is>
          <t>GLO</t>
        </is>
      </c>
      <c r="F183" t="s">
        <v>27</v>
      </c>
      <c r="G183" t="inlineStr">
        <is>
          <t>aluminium, wrought alloy</t>
        </is>
      </c>
      <c r="H183" t="inlineStr">
        <is>
          <t>Local Li-O2 secondary-aluminium product-form correction, 2026-10-17 (approved). Wang, Deng and Yuan (2020), DOI 10.1016/j.jclepro.2020.121339, supplementary https://ars.els-cdn.com/content/image/1-s2.0-S095965262031386X-mmc2.docx. The source specifies a positive aluminium ingot, secondary, input from RER aluminium, secondary, from new scrap; it does not specify untreated scrap as component feed. Replace market for aluminium scrap, new with market for aluminium, wrought alloy, GLO. Ordinary wrought alloy is an approved metal-product/grade proxy, not the exact source secondary-only supplier, a measured alloy composition or proof that its full mass is elemental aluminium. Retain the existing product-market mix without asserting source-specific primary/secondary content or new future shares. Keep the separate primary-ingot input, all quantities, rolling/other services and reference output; no extra remelting, forming, scrap credit, yield factor or blanket normalization. End-of-life check: this manufacturing activity has generic municipal solid waste, not an aluminium-specific end-of-life balance. Fabrication waste must be distinguished from aluminium retained in the component and discarded after use. The baseline capacity market routes equal battery-product mass to generic used-Li-ion-battery treatment, but that is not composition-matched to these aluminium inputs. Battery production also calls a custom Li-O2 recycling process at 1/321 kg per kg battery; that normalization and overlap with capacity-market disposal remain unresolved. No new aluminium disposal exchange is added here, to avoid inventing composition/recovery or duplicating battery-level treatment. This is a supplier-form correction, not confirmation of complete manufacturing or aluminium end-of-life mass balance. Source DOCX SHA256: 760c98ff6240558bf1bdb2df42039f678768b627667f2db437d754bf4c4ec52a. Table S12: 129 g / 1000 = 0.129 kg per kg component; separate primary ingot = 0.55 kg/kg; listed generic fabrication waste = 0.021 kg/kg. The source pouch material inputs sum to 1.022 kg per kg output, with 0.021 kg listed waste; the residual and material-specific waste composition are not validated. </t>
        </is>
      </c>
    </row>
    <row r="184" spans="1:8" x14ac:dyDescent="0.2">
      <c r="A184" t="s">
        <v>123</v>
      </c>
      <c r="B184">
        <v>0.20599999999999999</v>
      </c>
      <c r="C184" t="s">
        <v>9</v>
      </c>
      <c r="E184" t="s">
        <v>5</v>
      </c>
      <c r="F184" t="s">
        <v>27</v>
      </c>
      <c r="G184" t="s">
        <v>124</v>
      </c>
      <c r="H184">
        <f t="shared" si="1" ref="H184:H188">184*B$23*B184</f>
        <v>1.4024479999999999</v>
      </c>
    </row>
    <row r="185" spans="1:8" x14ac:dyDescent="0.2">
      <c r="A185" t="s">
        <v>125</v>
      </c>
      <c r="B185">
        <v>0.13700000000000001</v>
      </c>
      <c r="C185" t="s">
        <v>9</v>
      </c>
      <c r="E185" t="s">
        <v>5</v>
      </c>
      <c r="F185" t="s">
        <v>27</v>
      </c>
      <c r="G185" t="s">
        <v>126</v>
      </c>
      <c r="H185">
        <f t="shared" si="1"/>
        <v>0.93269600000000008</v>
      </c>
    </row>
    <row r="186" spans="1:8" x14ac:dyDescent="0.2">
      <c r="A186" t="s">
        <v>120</v>
      </c>
      <c r="B186">
        <v>0.66700000000000004</v>
      </c>
      <c r="C186" t="s">
        <v>9</v>
      </c>
      <c r="E186" t="s">
        <v>5</v>
      </c>
      <c r="F186" t="s">
        <v>27</v>
      </c>
      <c r="G186" t="s">
        <v>111</v>
      </c>
      <c r="H186">
        <f t="shared" si="1"/>
        <v>4.5409360000000003</v>
      </c>
    </row>
    <row r="187" spans="1:8" x14ac:dyDescent="0.2">
      <c r="A187" t="s">
        <v>79</v>
      </c>
      <c r="B187">
        <v>0.33300000000000002</v>
      </c>
      <c r="C187" t="s">
        <v>9</v>
      </c>
      <c r="E187" t="s">
        <v>5</v>
      </c>
      <c r="F187" t="s">
        <v>27</v>
      </c>
      <c r="G187" t="s">
        <v>80</v>
      </c>
      <c r="H187">
        <f t="shared" si="1"/>
        <v>2.267064</v>
      </c>
    </row>
    <row r="188" spans="1:8" x14ac:dyDescent="0.2">
      <c r="A188" t="s">
        <v>121</v>
      </c>
      <c r="B188">
        <f>-21/1000</f>
        <v>-2.1000000000000001E-2</v>
      </c>
      <c r="C188" t="s">
        <v>9</v>
      </c>
      <c r="E188" t="s">
        <v>63</v>
      </c>
      <c r="F188" t="s">
        <v>27</v>
      </c>
      <c r="G188" t="s">
        <v>122</v>
      </c>
      <c r="H188">
        <f t="shared" si="1"/>
        <v>-0.14296800000000001</v>
      </c>
    </row>
    <row r="191" spans="1:8" ht="16" x14ac:dyDescent="0.2">
      <c r="A191" s="2" t="s">
        <v>2</v>
      </c>
      <c r="B191" s="2" t="s">
        <v>128</v>
      </c>
    </row>
    <row r="192" spans="1:8" ht="16" x14ac:dyDescent="0.2">
      <c r="A192" s="7" t="s">
        <v>3</v>
      </c>
      <c r="B192" s="7" t="s">
        <v>263</v>
      </c>
    </row>
    <row r="193" spans="1:8" x14ac:dyDescent="0.2">
      <c r="A193" t="s">
        <v>4</v>
      </c>
      <c r="B193" t="s">
        <v>48</v>
      </c>
    </row>
    <row r="194" spans="1:8" x14ac:dyDescent="0.2">
      <c r="A194" t="s">
        <v>6</v>
      </c>
      <c r="B194">
        <v>1</v>
      </c>
    </row>
    <row r="195" spans="1:8" x14ac:dyDescent="0.2">
      <c r="A195" t="s">
        <v>7</v>
      </c>
      <c r="B195" t="s">
        <v>127</v>
      </c>
    </row>
    <row r="196" spans="1:8" x14ac:dyDescent="0.2">
      <c r="A196" t="s">
        <v>8</v>
      </c>
      <c r="B196" t="s">
        <v>9</v>
      </c>
    </row>
    <row r="197" spans="1:8" x14ac:dyDescent="0.2">
      <c r="A197" t="s">
        <v>10</v>
      </c>
      <c r="B197" t="s">
        <v>16</v>
      </c>
    </row>
    <row r="198" spans="1:8" x14ac:dyDescent="0.2">
      <c r="A198" s="1" t="s">
        <v>11</v>
      </c>
      <c r="B198" s="1"/>
      <c r="C198" s="1"/>
      <c r="D198" s="1"/>
      <c r="E198" s="1"/>
      <c r="F198" s="1"/>
      <c r="G198" s="1"/>
    </row>
    <row r="199" spans="1:8" x14ac:dyDescent="0.2">
      <c r="A199" s="1" t="s">
        <v>12</v>
      </c>
      <c r="B199" s="1" t="s">
        <v>13</v>
      </c>
      <c r="C199" s="1" t="s">
        <v>8</v>
      </c>
      <c r="D199" s="1" t="s">
        <v>14</v>
      </c>
      <c r="E199" s="1" t="s">
        <v>4</v>
      </c>
      <c r="F199" s="1" t="s">
        <v>15</v>
      </c>
      <c r="G199" s="1" t="s">
        <v>7</v>
      </c>
      <c r="H199" s="1" t="s">
        <v>3</v>
      </c>
    </row>
    <row r="200" spans="1:8" x14ac:dyDescent="0.2">
      <c r="A200" t="str">
        <f>B191</f>
        <v>oxygen tank production, for Li-O2 battery</v>
      </c>
      <c r="B200">
        <v>1</v>
      </c>
      <c r="C200" t="str">
        <f>B196</f>
        <v>kilogram</v>
      </c>
      <c r="E200" t="str">
        <f>B193</f>
        <v>RER</v>
      </c>
      <c r="F200" t="s">
        <v>18</v>
      </c>
      <c r="G200" t="str">
        <f>B195</f>
        <v>oxygen tank</v>
      </c>
    </row>
    <row r="201" spans="1:8" x14ac:dyDescent="0.2">
      <c r="A201" t="s">
        <v>64</v>
      </c>
      <c r="B201">
        <f>0.236/3.6</f>
        <v>6.5555555555555547E-2</v>
      </c>
      <c r="C201" t="s">
        <v>66</v>
      </c>
      <c r="E201" t="s">
        <v>63</v>
      </c>
      <c r="F201" t="s">
        <v>27</v>
      </c>
      <c r="G201" t="s">
        <v>65</v>
      </c>
    </row>
    <row r="202" spans="1:8" x14ac:dyDescent="0.2">
      <c r="A202" t="s">
        <v>129</v>
      </c>
      <c r="B202">
        <v>1</v>
      </c>
      <c r="C202" t="s">
        <v>9</v>
      </c>
      <c r="E202" t="s">
        <v>5</v>
      </c>
      <c r="F202" t="s">
        <v>27</v>
      </c>
      <c r="G202" t="s">
        <v>130</v>
      </c>
    </row>
    <row r="205" spans="1:8" ht="16" x14ac:dyDescent="0.2">
      <c r="A205" s="2" t="s">
        <v>2</v>
      </c>
      <c r="B205" s="2" t="s">
        <v>131</v>
      </c>
    </row>
    <row r="206" spans="1:8" x14ac:dyDescent="0.2">
      <c r="A206" t="s">
        <v>3</v>
      </c>
      <c r="B206" t="inlineStr">
        <is>
          <t>APPROVED Li-O2 HIERARCHICAL ENGINEERING RECONCILIATION, item18, 2026-10-18. Wang,Deng,Yuan2020 DOI10.1016/j.jclepro.2020.121339, SI TablesS3/S4/S5/S16; Kanthal resistance-wire datasheet https://www.kanthal.com/products/datasheets/material-datasheets/wire/resistance-heating-wire-and-resistance-wire/nikrothal-80/. Adopt TableS3 detailed retained geometry: cell182.6kg, module hardware19.51, pack hardware43.67, oxygen tank55, BMS4,cooling29.07 =&gt;333.85kg at63.5grosskWh. This conflicts with source headline321kg/267kg pack and with TableS5 gross material figures; do not mix those bases. Scalable cell/module/pack hardware=245.78kg; fixed-per-reference auxiliary hardware=88.07kg. Listed component masses, not proportional normalization of contradictory gross LCI tables, define this engineering reference. Known cell ingredients total182.59kg;0.01kg unspecified cathode catalyst remains a documented composition gap, not zero-metal proof. The sourceS4 fluoropolymer binder is not substituted for the unidentified S3 catalyst; binder quantity/fate is also unresolved, and that old process input is disabled in this reference. Electrolyte total59.11kg is split by inheritedS4 salt:solvent ratio.016:.308; LiClO4 process is the inherited salt provider, and ethylene-glycol dimethyl ether remains an explicitly imperfect TEGDME solvent proxy. Lithium protective film/pouch/separator process recipes remain inherited and unvalidated. Collector feed is1kg metal/kg foil at100percent reference retention; matching rolling and restored facility proxy are preserved. Terminal metal fractions are2.44kgAl/10.5kg and8.06kgCu/10.5kg, with matching working services; old overlapping gross feed and implied manufacturing scrap are disabled under the explicit100percent retention reference. Module and pack known material inputs followS3, with no new gross-yield claim. Module monitor.67kg is counted once; BMS4kg is assigned to central protection only using4/4.518 of the separate engineering central-control package. This functional repartition is an assumption, not a source breakdown. Cooling uses7kg Al plus22.07kg pureEG reference (alternative50/50 coolant is a sensitivity); thermal duty, pump/hoses remain gaps. Heater.2kg uses an idealized binary80Ni/20Cr resistance-alloy reference, consistent with a NiCr class but not a complete measured battery heater/Nikrothal composition; electronic/heater construction is unresolved. Preserve historical source-specific S16 recycling coefficients without new recovery credits. Capacity purchases245.78/63.5kg scalable hardware plus one auxiliary lifecycle unit per63.5kWh. Its negative waste equals scalable mass; auxiliary unit carries its own88.07kg waste. Future density factors scale hardware and its waste together; fixed auxiliary manufacture/treatment stay paired. Existing relative density learning is retained as an engineering ratio; absolute cell energy63.5/182.6=.347754655kWh/kg and fixed recipe are not a validated future design. Original full-battery market remains manufacturing-only at333.85kg component-sum basis; capacity uses the separately named hardware market. Vehicle energy/lifetime allocation is unchanged. Source contradictions, catalyst, solvent, future structure and recovery performance remain explicit gaps.
PREVIOUS NOTES (retained as history; the correction above takes precedence):
APPROVED LI-O2 RAIL-FREIGHT SOURCE-TRANSCRIPTION CORRECTION, 2026-10-17. Wang, Deng and Yuan (2020), Journal of Cleaner Production 264, 121339, DOI 10.1016/j.jclepro.2020.121339, original supplementary DOCX Table S14 Life cycle inventory of 1 kg module packaging, row Transport_freght_rail: 2 tkm per 1 kg component. Correct the existing 0.2 ton kilometer/kg to 2 ton kilometer/kg: the old coefficient was one tenth of the published value. One tkm is one metric tonne-kilometre. At 1 kg transported mass, the source coefficient is equivalent to 2000 km, compared with 200 km for the old value; these are dimensional equivalents, not independently verified actual routes. Retain the existing regional freight train market, reference product, location and unit. The source supplier was RER rail transport; its historical transport assumption, the adaptation to the current supplier, actual modern distances, freight mix and future logistics are not validated by this repair. All direct material/process inputs, other transport, reference output, component purchases and lifetime equipment allocations are retained. Do not renormalize component masses or infer a quantified system-metal effect; source assembly mass/yield and battery normalization issues remain separate. Source: https://ars.els-cdn.com/content/image/1-s2.0-S095965262031386X-mmc2.docx .
PREVIOUS SOURCE NOTES:
The module and pack packagings are modelled based on the results from BatPaC method. The aluminum and copper films are produced by the sheet rolling with a 98.2% material efficiency. As for the steel film, cold rolling is modelled with 99% material efficiency (Green, 2007). Source: Originally from Wang, F., Deng, Y., &amp; Yuan, C. (2020). Life cycle assessment of lithium oxygen battery for electric vehicles. Journal of Cleaner Production, 264, 121339. https://doi.org/10.1016/j.jclepro.2020.121339 Local Li-O2 module copper-wire feed completion, 2026-10-17 (approved). Wang, Deng and Yuan (2020), DOI 10.1016/j.jclepro.2020.121339, supplementary Table S14: Life cycle inventory of 1 kg module packaging, https://ars.els-cdn.com/content/image/1-s2.0-S095965262031386X-mmc2.docx. The source labels Copper wire = 115 g but links it only to RER copper wire drawing. Wire drawing is a processing service excluding the main metal feed; the existing native RER recipe buys 0.039644 kg cathode copper per kg service to replace processing losses. Complete the intended 115/1000 = 0.115 kg nominal copper-wire input by adding 0.115 kg market for copper, cathode, GLO, per kg declared module packaging. Retain the existing 0.115 kg wire-drawing service, which supplies its own replacement-loss metal. The selected immediate wire path therefore buys 0.115 + 0.115*0.039644 = 0.11955906 kg gross cathode feed per kg module packaging, before wider supply-chain feedback; this is not the retained wire mass or a full-system refined-copper result. No extra 98.2% rolling-efficiency factor is applied to the wire. This is an approved physical completion of the source service-only mapping, not an extra material row explicitly listed in the original S14. Use the cathode market as a metal-stock proxy with its existing mix; source-specific purity, primary/secondary content and future shares remain unresolved. Source output normalization, other component material/process identities, unreported fabrication outflows and whole battery mass basis remain open. Retain all other quantities, output and processing services; no blanket yield or packaging-mass renormalization. Source DOCX SHA256: 760c98ff6240558bf1bdb2df42039f678768b627667f2db437d754bf4c4ec52a.</t>
        </is>
      </c>
    </row>
    <row r="207" spans="1:8" x14ac:dyDescent="0.2">
      <c r="A207" t="s">
        <v>4</v>
      </c>
      <c r="B207" t="s">
        <v>48</v>
      </c>
    </row>
    <row r="208" spans="1:8" x14ac:dyDescent="0.2">
      <c r="A208" t="s">
        <v>6</v>
      </c>
      <c r="B208">
        <v>1</v>
      </c>
    </row>
    <row r="209" spans="1:8" x14ac:dyDescent="0.2">
      <c r="A209" t="s">
        <v>7</v>
      </c>
      <c r="B209" t="s">
        <v>132</v>
      </c>
    </row>
    <row r="210" spans="1:8" x14ac:dyDescent="0.2">
      <c r="A210" t="s">
        <v>8</v>
      </c>
      <c r="B210" t="s">
        <v>9</v>
      </c>
    </row>
    <row r="211" spans="1:8" x14ac:dyDescent="0.2">
      <c r="A211" t="s">
        <v>10</v>
      </c>
      <c r="B211" t="s">
        <v>16</v>
      </c>
    </row>
    <row r="212" spans="1:8" x14ac:dyDescent="0.2">
      <c r="A212" s="1" t="s">
        <v>11</v>
      </c>
      <c r="B212" s="1"/>
      <c r="C212" s="1"/>
      <c r="D212" s="1"/>
      <c r="E212" s="1"/>
      <c r="F212" s="1"/>
      <c r="G212" s="1"/>
    </row>
    <row r="213" spans="1:8" x14ac:dyDescent="0.2">
      <c r="A213" s="1" t="s">
        <v>12</v>
      </c>
      <c r="B213" s="1" t="s">
        <v>13</v>
      </c>
      <c r="C213" s="1" t="s">
        <v>8</v>
      </c>
      <c r="D213" s="1" t="s">
        <v>14</v>
      </c>
      <c r="E213" s="1" t="s">
        <v>4</v>
      </c>
      <c r="F213" s="1" t="s">
        <v>15</v>
      </c>
      <c r="G213" s="1" t="s">
        <v>7</v>
      </c>
      <c r="H213" s="1" t="s">
        <v>3</v>
      </c>
    </row>
    <row r="214" spans="1:8" x14ac:dyDescent="0.2">
      <c r="A214" t="str">
        <f>B205</f>
        <v>module packaging, for Li-O2 battery</v>
      </c>
      <c r="B214">
        <v>1</v>
      </c>
      <c r="C214" t="str">
        <f>B210</f>
        <v>kilogram</v>
      </c>
      <c r="E214" t="str">
        <f>B207</f>
        <v>RER</v>
      </c>
      <c r="F214" t="s">
        <v>18</v>
      </c>
      <c r="G214" t="str">
        <f>B209</f>
        <v>module packaging</v>
      </c>
    </row>
    <row r="215" spans="1:8" x14ac:dyDescent="0.2">
      <c r="A215" t="s">
        <v>163</v>
      </c>
      <c r="B215">
        <v>0.2860071758072783</v>
      </c>
      <c r="C215" t="s">
        <v>9</v>
      </c>
      <c r="E215" t="s">
        <v>5</v>
      </c>
      <c r="F215" t="s">
        <v>27</v>
      </c>
      <c r="G215" t="s">
        <v>164</v>
      </c>
      <c r="H215">
        <f>B$279*B215</f>
        <v>1.1528660436137072E-2</v>
      </c>
    </row>
    <row r="216" spans="1:8" x14ac:dyDescent="0.2">
      <c r="A216" t="s">
        <v>114</v>
      </c>
      <c r="B216" s="3">
        <v>9.7499999999999999E-11</v>
      </c>
      <c r="C216" t="s">
        <v>8</v>
      </c>
      <c r="E216" t="s">
        <v>48</v>
      </c>
      <c r="F216" t="s">
        <v>27</v>
      </c>
      <c r="G216" t="s">
        <v>115</v>
      </c>
      <c r="H216">
        <f t="shared" ref="H216:H227" si="2">B$279*B216</f>
        <v>4.8871495327102809E-12</v>
      </c>
    </row>
    <row r="217" spans="1:8" x14ac:dyDescent="0.2">
      <c r="A217" t="s">
        <v>108</v>
      </c>
      <c r="B217">
        <v>0.5197334700153767</v>
      </c>
      <c r="C217" t="s">
        <v>9</v>
      </c>
      <c r="E217" t="s">
        <v>110</v>
      </c>
      <c r="F217" t="s">
        <v>27</v>
      </c>
      <c r="G217" t="s">
        <v>109</v>
      </c>
      <c r="H217">
        <f t="shared" si="2"/>
        <v>4.1352803738317755E-2</v>
      </c>
    </row>
    <row r="218" spans="1:8" x14ac:dyDescent="0.2">
      <c r="A218" t="s">
        <v>133</v>
      </c>
      <c r="B218">
        <v>0.14915427985648386</v>
      </c>
      <c r="C218" t="s">
        <v>9</v>
      </c>
      <c r="E218" t="s">
        <v>48</v>
      </c>
      <c r="F218" t="s">
        <v>27</v>
      </c>
      <c r="G218" t="s">
        <v>133</v>
      </c>
      <c r="H218">
        <f t="shared" si="2"/>
        <v>5.7643302180685361E-3</v>
      </c>
    </row>
    <row r="219" spans="1:8" x14ac:dyDescent="0.2">
      <c r="A219" t="s">
        <v>134</v>
      </c>
      <c r="B219">
        <v>0.4760917282583603</v>
      </c>
      <c r="C219" t="s">
        <v>135</v>
      </c>
      <c r="E219" t="s">
        <v>48</v>
      </c>
      <c r="F219" t="s">
        <v>27</v>
      </c>
      <c r="G219" t="s">
        <v>134</v>
      </c>
      <c r="H219">
        <f t="shared" si="2"/>
        <v>3.0074766355140187E-2</v>
      </c>
    </row>
    <row r="220" spans="1:8" x14ac:dyDescent="0.2">
      <c r="A220" t="s">
        <v>168</v>
      </c>
      <c r="B220">
        <v>0.03434136340338288</v>
      </c>
      <c r="C220" t="s">
        <v>9</v>
      </c>
      <c r="E220" t="s">
        <v>5</v>
      </c>
      <c r="F220" t="s">
        <v>27</v>
      </c>
      <c r="G220" t="s">
        <v>167</v>
      </c>
      <c r="H220">
        <f t="shared" si="2"/>
        <v>2.4561059190031155E-3</v>
      </c>
    </row>
    <row r="221" spans="1:8" x14ac:dyDescent="0.2">
      <c r="A221" t="s">
        <v>136</v>
      </c>
      <c r="B221">
        <v>0.2860071758072783</v>
      </c>
      <c r="C221" t="s">
        <v>9</v>
      </c>
      <c r="E221" t="s">
        <v>48</v>
      </c>
      <c r="F221" t="s">
        <v>27</v>
      </c>
      <c r="G221" t="s">
        <v>136</v>
      </c>
      <c r="H221">
        <f t="shared" si="2"/>
        <v>1.6691495327102804E-2</v>
      </c>
    </row>
    <row r="222" spans="1:8" x14ac:dyDescent="0.2">
      <c r="A222" t="s">
        <v>137</v>
      </c>
      <c r="B222" s="3">
        <v>2.4599999999999998E-10</v>
      </c>
      <c r="C222" t="s">
        <v>8</v>
      </c>
      <c r="E222" t="s">
        <v>48</v>
      </c>
      <c r="F222" t="s">
        <v>27</v>
      </c>
      <c r="G222" t="s">
        <v>138</v>
      </c>
      <c r="H222">
        <f t="shared" si="2"/>
        <v>1.2330654205607476E-11</v>
      </c>
    </row>
    <row r="223" spans="1:8" x14ac:dyDescent="0.2">
      <c r="A223" t="s">
        <v>139</v>
      </c>
      <c r="B223">
        <v>0.010763710917478214</v>
      </c>
      <c r="C223" t="s">
        <v>9</v>
      </c>
      <c r="E223" t="s">
        <v>48</v>
      </c>
      <c r="F223" t="s">
        <v>27</v>
      </c>
      <c r="G223" t="s">
        <v>139</v>
      </c>
      <c r="H223">
        <f t="shared" si="2"/>
        <v>3.3583489096573214E-3</v>
      </c>
    </row>
    <row r="224" spans="1:8" x14ac:dyDescent="0.2">
      <c r="A224" t="s">
        <v>120</v>
      </c>
      <c r="B224">
        <v>0.5197334700153767</v>
      </c>
      <c r="C224" t="s">
        <v>9</v>
      </c>
      <c r="E224" t="s">
        <v>5</v>
      </c>
      <c r="F224" t="s">
        <v>27</v>
      </c>
      <c r="G224" t="s">
        <v>111</v>
      </c>
      <c r="H224">
        <f t="shared" si="2"/>
        <v>3.2831619937694706E-2</v>
      </c>
    </row>
    <row r="225" spans="1:8" x14ac:dyDescent="0.2">
      <c r="A225" t="s">
        <v>87</v>
      </c>
      <c r="B225" t="n">
        <v>2.0</v>
      </c>
      <c r="C225" t="s">
        <v>88</v>
      </c>
      <c r="E225" t="s">
        <v>63</v>
      </c>
      <c r="F225" t="s">
        <v>27</v>
      </c>
      <c r="G225" t="s">
        <v>89</v>
      </c>
      <c r="H225" t="inlineStr">
        <is>
          <t>APPROVED LI-O2 RAIL-FREIGHT SOURCE-TRANSCRIPTION CORRECTION, 2026-10-17. Wang, Deng and Yuan (2020), Journal of Cleaner Production 264, 121339, DOI 10.1016/j.jclepro.2020.121339, original supplementary DOCX Table S14 Life cycle inventory of 1 kg module packaging, row Transport_freght_rail: 2 tkm per 1 kg component. Correct the existing 0.2 ton kilometer/kg to 2 ton kilometer/kg: the old coefficient was one tenth of the published value. One tkm is one metric tonne-kilometre. At 1 kg transported mass, the source coefficient is equivalent to 2000 km, compared with 200 km for the old value; these are dimensional equivalents, not independently verified actual routes. Retain the existing regional freight train market, reference product, location and unit. The source supplier was RER rail transport; its historical transport assumption, the adaptation to the current supplier, actual modern distances, freight mix and future logistics are not validated by this repair. All direct material/process inputs, other transport, reference output, component purchases and lifetime equipment allocations are retained. Do not renormalize component masses or infer a quantified system-metal effect; source assembly mass/yield and battery normalization issues remain separate. Source: https://ars.els-cdn.com/content/image/1-s2.0-S095965262031386X-mmc2.docx .
PREVIOUS EXCHANGE COMMENT (historical calculation only; not an exchange amount): =B$279*B225; previous cached value = 0.010024922118380063.</t>
        </is>
      </c>
    </row>
    <row r="226" spans="1:8" x14ac:dyDescent="0.2">
      <c r="A226" t="s">
        <v>90</v>
      </c>
      <c r="B226">
        <v>0.1</v>
      </c>
      <c r="C226" t="s">
        <v>88</v>
      </c>
      <c r="E226" t="s">
        <v>48</v>
      </c>
      <c r="F226" t="s">
        <v>27</v>
      </c>
      <c r="G226" t="s">
        <v>91</v>
      </c>
      <c r="H226">
        <f t="shared" si="2"/>
        <v>5.0124610591900315E-3</v>
      </c>
    </row>
    <row r="227" spans="1:8" x14ac:dyDescent="0.2">
      <c r="A227" t="s">
        <v>121</v>
      </c>
      <c r="B227">
        <f>0</f>
        <v>0</v>
      </c>
      <c r="C227" t="s">
        <v>9</v>
      </c>
      <c r="E227" t="s">
        <v>63</v>
      </c>
      <c r="F227" t="s">
        <v>27</v>
      </c>
      <c r="G227" t="s">
        <v>122</v>
      </c>
      <c r="H227">
        <f t="shared" si="2"/>
        <v>-9.7742990654205615E-3</v>
      </c>
    </row>
    <row r="228">
      <c r="A228" t="inlineStr">
        <is>
          <t>market for copper, cathode</t>
        </is>
      </c>
      <c r="B228">
        <v>0.14915427985648386</v>
      </c>
      <c r="C228" t="inlineStr">
        <is>
          <t>kilogram</t>
        </is>
      </c>
      <c r="E228" t="inlineStr">
        <is>
          <t>GLO</t>
        </is>
      </c>
      <c r="F228" t="inlineStr">
        <is>
          <t>technosphere</t>
        </is>
      </c>
      <c r="G228" t="inlineStr">
        <is>
          <t>copper, cathode</t>
        </is>
      </c>
      <c r="H228" t="inlineStr">
        <is>
          <t>Local Li-O2 module copper-wire feed completion, 2026-10-17 (approved). Wang, Deng and Yuan (2020), DOI 10.1016/j.jclepro.2020.121339, supplementary Table S14: Life cycle inventory of 1 kg module packaging, https://ars.els-cdn.com/content/image/1-s2.0-S095965262031386X-mmc2.docx. The source labels Copper wire = 115 g but links it only to RER copper wire drawing. Wire drawing is a processing service excluding the main metal feed; the existing native RER recipe buys 0.039644 kg cathode copper per kg service to replace processing losses. Complete the intended 115/1000 = 0.115 kg nominal copper-wire input by adding 0.115 kg market for copper, cathode, GLO, per kg declared module packaging. Retain the existing 0.115 kg wire-drawing service, which supplies its own replacement-loss metal. The selected immediate wire path therefore buys 0.115 + 0.115*0.039644 = 0.11955906 kg gross cathode feed per kg module packaging, before wider supply-chain feedback; this is not the retained wire mass or a full-system refined-copper result. No extra 98.2% rolling-efficiency factor is applied to the wire. This is an approved physical completion of the source service-only mapping, not an extra material row explicitly listed in the original S14. Use the cathode market as a metal-stock proxy with its existing mix; source-specific purity, primary/secondary content and future shares remain unresolved. Source output normalization, other component material/process identities, unreported fabrication outflows and whole battery mass basis remain open. Retain all other quantities, output and processing services; no blanket yield or packaging-mass renormalization. Source DOCX SHA256: 760c98ff6240558bf1bdb2df42039f678768b627667f2db437d754bf4c4ec52a.</t>
        </is>
      </c>
    </row>
    <row r="229">
      <c r="A229" t="inlineStr">
        <is>
          <t>market for polypropylene, granulate</t>
        </is>
      </c>
      <c r="B229">
        <v>0.010763710917478214</v>
      </c>
      <c r="C229" t="inlineStr">
        <is>
          <t>kilogram</t>
        </is>
      </c>
      <c r="E229" t="inlineStr">
        <is>
          <t>GLO</t>
        </is>
      </c>
      <c r="F229" t="inlineStr">
        <is>
          <t>technosphere</t>
        </is>
      </c>
      <c r="G229" t="inlineStr">
        <is>
          <t>polypropylene, granulate</t>
        </is>
      </c>
      <c r="H229" t="inlineStr">
        <is>
          <t>S3 spacer material: PP engineering proxy; retained mass.</t>
        </is>
      </c>
    </row>
    <row r="230" spans="1:8" ht="16" x14ac:dyDescent="0.2">
      <c r="A230" s="2" t="s">
        <v>2</v>
      </c>
      <c r="B230" s="2" t="s">
        <v>140</v>
      </c>
    </row>
    <row r="231" spans="1:8" x14ac:dyDescent="0.2">
      <c r="A231" t="s">
        <v>3</v>
      </c>
      <c r="B231" t="inlineStr">
        <is>
          <t>APPROVED Li-O2 HIERARCHICAL ENGINEERING RECONCILIATION, item18, 2026-10-18. Wang,Deng,Yuan2020 DOI10.1016/j.jclepro.2020.121339, SI TablesS3/S4/S5/S16; Kanthal resistance-wire datasheet https://www.kanthal.com/products/datasheets/material-datasheets/wire/resistance-heating-wire-and-resistance-wire/nikrothal-80/. Adopt TableS3 detailed retained geometry: cell182.6kg, module hardware19.51, pack hardware43.67, oxygen tank55, BMS4,cooling29.07 =&gt;333.85kg at63.5grosskWh. This conflicts with source headline321kg/267kg pack and with TableS5 gross material figures; do not mix those bases. Scalable cell/module/pack hardware=245.78kg; fixed-per-reference auxiliary hardware=88.07kg. Listed component masses, not proportional normalization of contradictory gross LCI tables, define this engineering reference. Known cell ingredients total182.59kg;0.01kg unspecified cathode catalyst remains a documented composition gap, not zero-metal proof. The sourceS4 fluoropolymer binder is not substituted for the unidentified S3 catalyst; binder quantity/fate is also unresolved, and that old process input is disabled in this reference. Electrolyte total59.11kg is split by inheritedS4 salt:solvent ratio.016:.308; LiClO4 process is the inherited salt provider, and ethylene-glycol dimethyl ether remains an explicitly imperfect TEGDME solvent proxy. Lithium protective film/pouch/separator process recipes remain inherited and unvalidated. Collector feed is1kg metal/kg foil at100percent reference retention; matching rolling and restored facility proxy are preserved. Terminal metal fractions are2.44kgAl/10.5kg and8.06kgCu/10.5kg, with matching working services; old overlapping gross feed and implied manufacturing scrap are disabled under the explicit100percent retention reference. Module and pack known material inputs followS3, with no new gross-yield claim. Module monitor.67kg is counted once; BMS4kg is assigned to central protection only using4/4.518 of the separate engineering central-control package. This functional repartition is an assumption, not a source breakdown. Cooling uses7kg Al plus22.07kg pureEG reference (alternative50/50 coolant is a sensitivity); thermal duty, pump/hoses remain gaps. Heater.2kg uses an idealized binary80Ni/20Cr resistance-alloy reference, consistent with a NiCr class but not a complete measured battery heater/Nikrothal composition; electronic/heater construction is unresolved. Preserve historical source-specific S16 recycling coefficients without new recovery credits. Capacity purchases245.78/63.5kg scalable hardware plus one auxiliary lifecycle unit per63.5kWh. Its negative waste equals scalable mass; auxiliary unit carries its own88.07kg waste. Future density factors scale hardware and its waste together; fixed auxiliary manufacture/treatment stay paired. Existing relative density learning is retained as an engineering ratio; absolute cell energy63.5/182.6=.347754655kWh/kg and fixed recipe are not a validated future design. Original full-battery market remains manufacturing-only at333.85kg component-sum basis; capacity uses the separately named hardware market. Vehicle energy/lifetime allocation is unchanged. Source contradictions, catalyst, solvent, future structure and recovery performance remain explicit gaps.
PREVIOUS NOTES (retained as history; the correction above takes precedence):
APPROVED LI-O2 PACK-FACTORY SOURCE-TRANSCRIPTION CORRECTION, 2026-10-18. Wang, Deng and Yuan (2020), Journal of Cleaner Production 264, 121339, DOI 10.1016/j.jclepro.2020.121339, original supplementary DOCX Table S15, Life cycle inventory of 1 kg pack packaging, row Metal working factory, unit pcs., specifies 2.87E-11 units/kg pack packaging from GLO: market for metal working factory, ecoinvent. Correct the transposed 2.78E-11 to 2.87E-11 units/kg. Retain the existing GLO supplier/product/unit, 1 kg reference output, all materials, other processes/freight, component purchases and lifetime/per-MJ allocations. This is a minor published-source transcription repair, not a major identified critical-metal demand driver. Actual factory size/capacity and allocation, equipment life, manufacturing yields and current/future construction designs remain unvalidated. It does not resolve the source component/whole-battery mass bases or justify additional infrastructure, yield factors, disposal or recovery credits. No full scenario rebuild or quantified system-metal effect is claimed. Source: https://ars.els-cdn.com/content/image/1-s2.0-S095965262031386X-mmc2.docx .
PREVIOUS SOURCE NOTES:
APPROVED LI-O2 RAIL-FREIGHT SOURCE-TRANSCRIPTION CORRECTION, 2026-10-17. Wang, Deng and Yuan (2020), Journal of Cleaner Production 264, 121339, DOI 10.1016/j.jclepro.2020.121339, original supplementary DOCX Table S15 Life cycle inventory of 1 kg pack packaging, row Transport_freght_rail: 2 tkm per 1 kg component. Correct the existing 0.2 ton kilometer/kg to 2 ton kilometer/kg: the old coefficient was one tenth of the published value. One tkm is one metric tonne-kilometre. At 1 kg transported mass, the source coefficient is equivalent to 2000 km, compared with 200 km for the old value; these are dimensional equivalents, not independently verified actual routes. Retain the existing regional freight train market, reference product, location and unit. The source supplier was RER rail transport; its historical transport assumption, the adaptation to the current supplier, actual modern distances, freight mix and future logistics are not validated by this repair. All direct material/process inputs, other transport, reference output, component purchases and lifetime equipment allocations are retained. Do not renormalize component masses or infer a quantified system-metal effect; source assembly mass/yield and battery normalization issues remain separate. Source: https://ars.els-cdn.com/content/image/1-s2.0-S095965262031386X-mmc2.docx .
PREVIOUS SOURCE NOTES:
The module and pack packagings are modelled based on the results from BatPaC method. The aluminum and copper films are produced by the sheet rolling with a 98.2% material efficiency. As for the steel film, cold rolling is modelled with 99% material efficiency (Green, 2007). Source: Originally from Wang, F., Deng, Y., &amp; Yuan, C. (2020). Life cycle assessment of lithium oxygen battery for electric vehicles. Journal of Cleaner Production, 264, 121339. https://doi.org/10.1016/j.jclepro.2020.121339</t>
        </is>
      </c>
    </row>
    <row r="232" spans="1:8" x14ac:dyDescent="0.2">
      <c r="A232" t="s">
        <v>4</v>
      </c>
      <c r="B232" t="s">
        <v>48</v>
      </c>
    </row>
    <row r="233" spans="1:8" x14ac:dyDescent="0.2">
      <c r="A233" t="s">
        <v>6</v>
      </c>
      <c r="B233">
        <v>1</v>
      </c>
    </row>
    <row r="234" spans="1:8" x14ac:dyDescent="0.2">
      <c r="A234" t="s">
        <v>7</v>
      </c>
      <c r="B234" t="s">
        <v>141</v>
      </c>
    </row>
    <row r="235" spans="1:8" x14ac:dyDescent="0.2">
      <c r="A235" t="s">
        <v>8</v>
      </c>
      <c r="B235" t="s">
        <v>9</v>
      </c>
    </row>
    <row r="236" spans="1:8" x14ac:dyDescent="0.2">
      <c r="A236" t="s">
        <v>10</v>
      </c>
      <c r="B236" t="s">
        <v>16</v>
      </c>
    </row>
    <row r="237" spans="1:8" x14ac:dyDescent="0.2">
      <c r="A237" s="1" t="s">
        <v>11</v>
      </c>
      <c r="B237" s="1"/>
      <c r="C237" s="1"/>
      <c r="D237" s="1"/>
      <c r="E237" s="1"/>
      <c r="F237" s="1"/>
      <c r="G237" s="1"/>
    </row>
    <row r="238" spans="1:8" x14ac:dyDescent="0.2">
      <c r="A238" s="1" t="s">
        <v>12</v>
      </c>
      <c r="B238" s="1" t="s">
        <v>13</v>
      </c>
      <c r="C238" s="1" t="s">
        <v>8</v>
      </c>
      <c r="D238" s="1" t="s">
        <v>14</v>
      </c>
      <c r="E238" s="1" t="s">
        <v>4</v>
      </c>
      <c r="F238" s="1" t="s">
        <v>15</v>
      </c>
      <c r="G238" s="1" t="s">
        <v>7</v>
      </c>
      <c r="H238" s="1" t="s">
        <v>3</v>
      </c>
    </row>
    <row r="239" spans="1:8" x14ac:dyDescent="0.2">
      <c r="A239" t="str">
        <f>B230</f>
        <v>pack packaging, for Li-O2 battery</v>
      </c>
      <c r="B239">
        <v>1</v>
      </c>
      <c r="C239" t="str">
        <f>B235</f>
        <v>kilogram</v>
      </c>
      <c r="E239" t="str">
        <f>B232</f>
        <v>RER</v>
      </c>
      <c r="F239" t="s">
        <v>18</v>
      </c>
      <c r="G239" t="str">
        <f>B234</f>
        <v>pack packaging</v>
      </c>
    </row>
    <row r="240" spans="1:8" x14ac:dyDescent="0.2">
      <c r="A240" t="s">
        <v>114</v>
      </c>
      <c r="B240" s="3">
        <v>1.34E-10</v>
      </c>
      <c r="C240" t="s">
        <v>8</v>
      </c>
      <c r="E240" t="s">
        <v>48</v>
      </c>
      <c r="F240" t="s">
        <v>27</v>
      </c>
      <c r="G240" t="s">
        <v>115</v>
      </c>
      <c r="H240" s="6">
        <f>B240*B$280</f>
        <v>1.5044735202492212E-11</v>
      </c>
    </row>
    <row r="241" spans="1:8" x14ac:dyDescent="0.2">
      <c r="A241" t="s">
        <v>108</v>
      </c>
      <c r="B241">
        <v>0.9239752690634303</v>
      </c>
      <c r="C241" t="s">
        <v>9</v>
      </c>
      <c r="E241" t="s">
        <v>110</v>
      </c>
      <c r="F241" t="s">
        <v>27</v>
      </c>
      <c r="G241" t="s">
        <v>109</v>
      </c>
      <c r="H241" s="6">
        <f t="shared" ref="H241:H247" si="3">B241*B$280</f>
        <v>9.2626168224299046E-2</v>
      </c>
    </row>
    <row r="242" spans="1:8" x14ac:dyDescent="0.2">
      <c r="A242" t="s">
        <v>85</v>
      </c>
      <c r="B242" s="3" t="n">
        <v>2.87e-11</v>
      </c>
      <c r="C242" t="s">
        <v>8</v>
      </c>
      <c r="E242" t="s">
        <v>5</v>
      </c>
      <c r="F242" t="s">
        <v>27</v>
      </c>
      <c r="G242" t="s">
        <v>86</v>
      </c>
      <c r="H242" s="6" t="inlineStr">
        <is>
          <t>APPROVED LI-O2 PACK-FACTORY SOURCE-TRANSCRIPTION CORRECTION, 2026-10-18. Wang, Deng and Yuan (2020), Journal of Cleaner Production 264, 121339, DOI 10.1016/j.jclepro.2020.121339, original supplementary DOCX Table S15, Life cycle inventory of 1 kg pack packaging, row Metal working factory, unit pcs., specifies 2.87E-11 units/kg pack packaging from GLO: market for metal working factory, ecoinvent. Correct the transposed 2.78E-11 to 2.87E-11 units/kg. Retain the existing GLO supplier/product/unit, 1 kg reference output, all materials, other processes/freight, component purchases and lifetime/per-MJ allocations. This is a minor published-source transcription repair, not a major identified critical-metal demand driver. Actual factory size/capacity and allocation, equipment life, manufacturing yields and current/future construction designs remain unvalidated. It does not resolve the source component/whole-battery mass bases or justify additional infrastructure, yield factors, disposal or recovery credits. No full scenario rebuild or quantified system-metal effect is claimed. Source: https://ars.els-cdn.com/content/image/1-s2.0-S095965262031386X-mmc2.docx .
PREVIOUS EXCHANGE COMMENT (historical calculation only, not a model input): =B242*B$280; previous cached value = 3.1212211838006227e-12.</t>
        </is>
      </c>
    </row>
    <row r="243" spans="1:8" x14ac:dyDescent="0.2">
      <c r="A243" t="s">
        <v>142</v>
      </c>
      <c r="B243">
        <v>0.9239752690634303</v>
      </c>
      <c r="C243" t="s">
        <v>9</v>
      </c>
      <c r="E243" t="s">
        <v>5</v>
      </c>
      <c r="F243" t="s">
        <v>27</v>
      </c>
      <c r="G243" t="s">
        <v>143</v>
      </c>
      <c r="H243" s="6">
        <f t="shared" si="3"/>
        <v>0.10093445482866042</v>
      </c>
    </row>
    <row r="244" spans="1:8" x14ac:dyDescent="0.2">
      <c r="A244" t="s">
        <v>144</v>
      </c>
      <c r="B244" s="3">
        <v>0.05541561712846347</v>
      </c>
      <c r="C244" t="s">
        <v>9</v>
      </c>
      <c r="E244" t="s">
        <v>5</v>
      </c>
      <c r="F244" t="s">
        <v>27</v>
      </c>
      <c r="G244" t="s">
        <v>145</v>
      </c>
      <c r="H244" s="6">
        <f t="shared" si="3"/>
        <v>3.5927725856697819E-3</v>
      </c>
    </row>
    <row r="245" spans="1:8" x14ac:dyDescent="0.2">
      <c r="A245" t="s">
        <v>146</v>
      </c>
      <c r="B245">
        <v>0.05541561712846347</v>
      </c>
      <c r="C245" t="s">
        <v>9</v>
      </c>
      <c r="E245" t="s">
        <v>48</v>
      </c>
      <c r="F245" t="s">
        <v>27</v>
      </c>
      <c r="G245" t="s">
        <v>146</v>
      </c>
      <c r="H245" s="6">
        <f t="shared" si="3"/>
        <v>9.8801246105918988E-3</v>
      </c>
    </row>
    <row r="246" spans="1:8" x14ac:dyDescent="0.2">
      <c r="A246" t="s">
        <v>87</v>
      </c>
      <c r="B246" t="n">
        <v>2.0</v>
      </c>
      <c r="C246" t="s">
        <v>88</v>
      </c>
      <c r="E246" t="s">
        <v>63</v>
      </c>
      <c r="F246" t="s">
        <v>27</v>
      </c>
      <c r="G246" t="s">
        <v>89</v>
      </c>
      <c r="H246" s="6" t="inlineStr">
        <is>
          <t>APPROVED LI-O2 RAIL-FREIGHT SOURCE-TRANSCRIPTION CORRECTION, 2026-10-17. Wang, Deng and Yuan (2020), Journal of Cleaner Production 264, 121339, DOI 10.1016/j.jclepro.2020.121339, original supplementary DOCX Table S15 Life cycle inventory of 1 kg pack packaging, row Transport_freght_rail: 2 tkm per 1 kg component. Correct the existing 0.2 ton kilometer/kg to 2 ton kilometer/kg: the old coefficient was one tenth of the published value. One tkm is one metric tonne-kilometre. At 1 kg transported mass, the source coefficient is equivalent to 2000 km, compared with 200 km for the old value; these are dimensional equivalents, not independently verified actual routes. Retain the existing regional freight train market, reference product, location and unit. The source supplier was RER rail transport; its historical transport assumption, the adaptation to the current supplier, actual modern distances, freight mix and future logistics are not validated by this repair. All direct material/process inputs, other transport, reference output, component purchases and lifetime equipment allocations are retained. Do not renormalize component masses or infer a quantified system-metal effect; source assembly mass/yield and battery normalization issues remain separate. Source: https://ars.els-cdn.com/content/image/1-s2.0-S095965262031386X-mmc2.docx .
PREVIOUS EXCHANGE COMMENT (historical calculation only; not an exchange amount): =B246*B$280; previous cached value = 0.022454828660436136.</t>
        </is>
      </c>
    </row>
    <row r="247" spans="1:8" x14ac:dyDescent="0.2">
      <c r="A247" t="s">
        <v>90</v>
      </c>
      <c r="B247">
        <v>0.1</v>
      </c>
      <c r="C247" t="s">
        <v>88</v>
      </c>
      <c r="E247" t="s">
        <v>48</v>
      </c>
      <c r="F247" t="s">
        <v>27</v>
      </c>
      <c r="G247" t="s">
        <v>91</v>
      </c>
      <c r="H247" s="6">
        <f t="shared" si="3"/>
        <v>1.1227414330218068E-2</v>
      </c>
    </row>
    <row r="248" spans="1:8" x14ac:dyDescent="0.2">
      <c r="A248" t="inlineStr">
        <is>
          <t xml:space="preserve">resistance heating alloy production, nickel-chromium, nicr80/20</t>
        </is>
      </c>
      <c r="B248">
        <f>0.004579803068468056</f>
        <v>0.004579803068468056</v>
      </c>
      <c r="C248" t="s">
        <v>9</v>
      </c>
      <c r="E248" t="inlineStr">
        <is>
          <t>GLO</t>
        </is>
      </c>
      <c r="F248" t="s">
        <v>27</v>
      </c>
      <c r="G248" t="inlineStr">
        <is>
          <t xml:space="preserve">resistance heating alloy, nickel-chromium, NiCr80/20</t>
        </is>
      </c>
      <c r="H248" s="6">
        <f>B248*B$280</f>
        <v>-8.6451090342679112E-3</v>
      </c>
    </row>
    <row r="249">
      <c r="A249" t="inlineStr">
        <is>
          <t>market for copper, cathode</t>
        </is>
      </c>
      <c r="B249">
        <v>0.016029310739638192</v>
      </c>
      <c r="C249" t="inlineStr">
        <is>
          <t>kilogram</t>
        </is>
      </c>
      <c r="E249" t="inlineStr">
        <is>
          <t>GLO</t>
        </is>
      </c>
      <c r="F249" t="inlineStr">
        <is>
          <t>technosphere</t>
        </is>
      </c>
      <c r="G249" t="inlineStr">
        <is>
          <t>copper, cathode</t>
        </is>
      </c>
      <c r="H249" t="inlineStr">
        <is>
          <t>S3 pack connection copper;100percent retention reference.</t>
        </is>
      </c>
    </row>
    <row r="250" spans="1:8" ht="16" x14ac:dyDescent="0.2">
      <c r="A250" s="2" t="s">
        <v>2</v>
      </c>
      <c r="B250" s="2" t="s">
        <v>147</v>
      </c>
    </row>
    <row r="251" spans="1:8" x14ac:dyDescent="0.2">
      <c r="A251" t="s">
        <v>3</v>
      </c>
      <c r="B251" t="s">
        <v>261</v>
      </c>
    </row>
    <row r="252" spans="1:8" x14ac:dyDescent="0.2">
      <c r="A252" t="s">
        <v>4</v>
      </c>
      <c r="B252" t="s">
        <v>48</v>
      </c>
    </row>
    <row r="253" spans="1:8" x14ac:dyDescent="0.2">
      <c r="A253" t="s">
        <v>6</v>
      </c>
      <c r="B253">
        <v>1</v>
      </c>
    </row>
    <row r="254" spans="1:8" x14ac:dyDescent="0.2">
      <c r="A254" t="s">
        <v>7</v>
      </c>
      <c r="B254" t="s">
        <v>148</v>
      </c>
    </row>
    <row r="255" spans="1:8" x14ac:dyDescent="0.2">
      <c r="A255" t="s">
        <v>8</v>
      </c>
      <c r="B255" t="s">
        <v>9</v>
      </c>
    </row>
    <row r="256" spans="1:8" x14ac:dyDescent="0.2">
      <c r="A256" t="s">
        <v>10</v>
      </c>
      <c r="B256" t="s">
        <v>16</v>
      </c>
    </row>
    <row r="257" spans="1:8" x14ac:dyDescent="0.2">
      <c r="A257" s="1" t="s">
        <v>11</v>
      </c>
      <c r="B257" s="1"/>
      <c r="C257" s="1"/>
      <c r="D257" s="1"/>
      <c r="E257" s="1"/>
      <c r="F257" s="1"/>
      <c r="G257" s="1"/>
    </row>
    <row r="258" spans="1:8" x14ac:dyDescent="0.2">
      <c r="A258" s="1" t="s">
        <v>12</v>
      </c>
      <c r="B258" s="1" t="s">
        <v>13</v>
      </c>
      <c r="C258" s="1" t="s">
        <v>8</v>
      </c>
      <c r="D258" s="1" t="s">
        <v>14</v>
      </c>
      <c r="E258" s="1" t="s">
        <v>4</v>
      </c>
      <c r="F258" s="1" t="s">
        <v>15</v>
      </c>
      <c r="G258" s="1" t="s">
        <v>7</v>
      </c>
      <c r="H258" s="1" t="s">
        <v>3</v>
      </c>
    </row>
    <row r="259" spans="1:8" x14ac:dyDescent="0.2">
      <c r="A259" t="str">
        <f>B250</f>
        <v>treatment of LiO2 battery, for recycling</v>
      </c>
      <c r="B259">
        <v>-1</v>
      </c>
      <c r="C259" t="str">
        <f>B255</f>
        <v>kilogram</v>
      </c>
      <c r="E259" t="str">
        <f>B252</f>
        <v>RER</v>
      </c>
      <c r="F259" t="s">
        <v>18</v>
      </c>
      <c r="G259" t="str">
        <f>B254</f>
        <v>waste LiO2 battery</v>
      </c>
    </row>
    <row r="260" spans="1:8" x14ac:dyDescent="0.2">
      <c r="A260" t="s">
        <v>149</v>
      </c>
      <c r="B260">
        <v>1.022</v>
      </c>
      <c r="C260" t="s">
        <v>9</v>
      </c>
      <c r="E260" t="s">
        <v>48</v>
      </c>
      <c r="F260" t="s">
        <v>27</v>
      </c>
      <c r="G260" t="s">
        <v>150</v>
      </c>
    </row>
    <row r="261" spans="1:8" x14ac:dyDescent="0.2">
      <c r="A261" t="s">
        <v>64</v>
      </c>
      <c r="B261">
        <v>0.189</v>
      </c>
      <c r="C261" t="s">
        <v>66</v>
      </c>
      <c r="E261" t="s">
        <v>63</v>
      </c>
      <c r="F261" t="s">
        <v>27</v>
      </c>
      <c r="G261" t="s">
        <v>65</v>
      </c>
    </row>
    <row r="262" spans="1:8" x14ac:dyDescent="0.2">
      <c r="A262" t="s">
        <v>151</v>
      </c>
      <c r="B262">
        <v>-0.91</v>
      </c>
      <c r="C262" t="s">
        <v>9</v>
      </c>
      <c r="E262" t="s">
        <v>5</v>
      </c>
      <c r="F262" t="s">
        <v>27</v>
      </c>
      <c r="G262" t="s">
        <v>152</v>
      </c>
    </row>
    <row r="263" spans="1:8" x14ac:dyDescent="0.2">
      <c r="A263" t="s">
        <v>153</v>
      </c>
      <c r="B263">
        <v>0.02</v>
      </c>
      <c r="C263" t="s">
        <v>9</v>
      </c>
      <c r="E263" t="s">
        <v>5</v>
      </c>
      <c r="F263" t="s">
        <v>27</v>
      </c>
      <c r="G263" t="s">
        <v>154</v>
      </c>
    </row>
    <row r="264" spans="1:8" x14ac:dyDescent="0.2">
      <c r="A264" t="s">
        <v>155</v>
      </c>
      <c r="B264">
        <v>0.127</v>
      </c>
      <c r="C264" t="s">
        <v>9</v>
      </c>
      <c r="E264" t="s">
        <v>92</v>
      </c>
      <c r="F264" t="s">
        <v>27</v>
      </c>
      <c r="G264" t="s">
        <v>156</v>
      </c>
    </row>
    <row r="265" spans="1:8" x14ac:dyDescent="0.2">
      <c r="A265" t="s">
        <v>157</v>
      </c>
      <c r="B265">
        <v>0.21</v>
      </c>
      <c r="C265" t="s">
        <v>9</v>
      </c>
      <c r="E265" t="s">
        <v>48</v>
      </c>
      <c r="F265" t="s">
        <v>27</v>
      </c>
      <c r="G265" t="s">
        <v>158</v>
      </c>
    </row>
    <row r="268" spans="1:8" ht="16" x14ac:dyDescent="0.2">
      <c r="A268" s="2" t="s">
        <v>2</v>
      </c>
      <c r="B268" s="2" t="s">
        <v>162</v>
      </c>
    </row>
    <row r="269" spans="1:8" x14ac:dyDescent="0.2">
      <c r="A269" t="s">
        <v>3</v>
      </c>
      <c r="B269" t="inlineStr">
        <is>
          <t>APPROVED Li-O2 HIERARCHICAL ENGINEERING RECONCILIATION, item18, 2026-10-18. Wang,Deng,Yuan2020 DOI10.1016/j.jclepro.2020.121339, SI TablesS3/S4/S5/S16; Kanthal resistance-wire datasheet https://www.kanthal.com/products/datasheets/material-datasheets/wire/resistance-heating-wire-and-resistance-wire/nikrothal-80/. Adopt TableS3 detailed retained geometry: cell182.6kg, module hardware19.51, pack hardware43.67, oxygen tank55, BMS4,cooling29.07 =&gt;333.85kg at63.5grosskWh. This conflicts with source headline321kg/267kg pack and with TableS5 gross material figures; do not mix those bases. Scalable cell/module/pack hardware=245.78kg; fixed-per-reference auxiliary hardware=88.07kg. Listed component masses, not proportional normalization of contradictory gross LCI tables, define this engineering reference. Known cell ingredients total182.59kg;0.01kg unspecified cathode catalyst remains a documented composition gap, not zero-metal proof. The sourceS4 fluoropolymer binder is not substituted for the unidentified S3 catalyst; binder quantity/fate is also unresolved, and that old process input is disabled in this reference. Electrolyte total59.11kg is split by inheritedS4 salt:solvent ratio.016:.308; LiClO4 process is the inherited salt provider, and ethylene-glycol dimethyl ether remains an explicitly imperfect TEGDME solvent proxy. Lithium protective film/pouch/separator process recipes remain inherited and unvalidated. Collector feed is1kg metal/kg foil at100percent reference retention; matching rolling and restored facility proxy are preserved. Terminal metal fractions are2.44kgAl/10.5kg and8.06kgCu/10.5kg, with matching working services; old overlapping gross feed and implied manufacturing scrap are disabled under the explicit100percent retention reference. Module and pack known material inputs followS3, with no new gross-yield claim. Module monitor.67kg is counted once; BMS4kg is assigned to central protection only using4/4.518 of the separate engineering central-control package. This functional repartition is an assumption, not a source breakdown. Cooling uses7kg Al plus22.07kg pureEG reference (alternative50/50 coolant is a sensitivity); thermal duty, pump/hoses remain gaps. Heater.2kg uses an idealized binary80Ni/20Cr resistance-alloy reference, consistent with a NiCr class but not a complete measured battery heater/Nikrothal composition; electronic/heater construction is unresolved. Preserve historical source-specific S16 recycling coefficients without new recovery credits. Capacity purchases245.78/63.5kg scalable hardware plus one auxiliary lifecycle unit per63.5kWh. Its negative waste equals scalable mass; auxiliary unit carries its own88.07kg waste. Future density factors scale hardware and its waste together; fixed auxiliary manufacture/treatment stay paired. Existing relative density learning is retained as an engineering ratio; absolute cell energy63.5/182.6=.347754655kWh/kg and fixed recipe are not a validated future design. Original full-battery market remains manufacturing-only at333.85kg component-sum basis; capacity uses the separately named hardware market. Vehicle energy/lifetime allocation is unchanged. Source contradictions, catalyst, solvent, future structure and recovery performance remain explicit gaps.
PREVIOUS NOTES (retained as history; the correction above takes precedence):
APPROVED Li-O2 SINGLE RECYCLING BOUNDARY, 2026-10-18. Wang, Deng and Yuan (2020), DOI 10.1016/j.jclepro.2020.121339, supporting information Table S16, explicitly describes recycling per 1 kg Li-O2 battery system. Its six treatment coefficients are retained. Set the former -1/321 kg/kg internal treatment fragment to a deterministic zero and apply end of life only at market for battery capacity, Li-ion, Li-O2: the full purchased battery mass is sent to treatment of LiO2 battery, for recycling (RER; waste LiO2 battery). Standalone manufacture is manufacturing-only. DefaultInventory may retain the zero exchange; it contributes no treatment flow. Do not add a second generic Li-ion route. This restores a single historical source-specific accounting route; treatment yields, whole-system mass normalization, modern recovery and primary/secondary shares remain unvalidated. No new recovery credit or change to manufacturing recipes, density or lifetime.
PREVIOUS NOTES (retained as history; the correction above takes precedence):
System: 63.5kWh Li-O2 || Mass (excl. O2 tanks): 267 kg || Battery energy density: 238 Wh/kg || System energy density (incl. O2 tanks): 198 Wh/kg || Battery lifetime: 305 kWh/kg (1.76 MJ/km x 2e5 km / 321 kg). Source: Originally from Wang, F., Deng, Y., &amp; Yuan, C. (2020). Life cycle assessment of lithium oxygen battery for electric vehicles. Journal of Cleaner Production, 264, 121339. https://doi.org/10.1016/j.jclepro.2020.121339</t>
        </is>
      </c>
    </row>
    <row r="270" spans="1:8" x14ac:dyDescent="0.2">
      <c r="A270" t="s">
        <v>4</v>
      </c>
      <c r="B270" t="s">
        <v>5</v>
      </c>
    </row>
    <row r="271" spans="1:8" x14ac:dyDescent="0.2">
      <c r="A271" t="s">
        <v>6</v>
      </c>
      <c r="B271">
        <v>1</v>
      </c>
    </row>
    <row r="272" spans="1:8" x14ac:dyDescent="0.2">
      <c r="A272" t="s">
        <v>7</v>
      </c>
      <c r="B272" t="s">
        <v>161</v>
      </c>
    </row>
    <row r="273" spans="1:8" x14ac:dyDescent="0.2">
      <c r="A273" t="s">
        <v>8</v>
      </c>
      <c r="B273" t="s">
        <v>9</v>
      </c>
    </row>
    <row r="274" spans="1:8" x14ac:dyDescent="0.2">
      <c r="A274" t="s">
        <v>10</v>
      </c>
      <c r="B274" t="s">
        <v>16</v>
      </c>
    </row>
    <row r="275" spans="1:8" x14ac:dyDescent="0.2">
      <c r="A275" s="1" t="s">
        <v>11</v>
      </c>
      <c r="B275" s="1"/>
      <c r="C275" s="1"/>
      <c r="D275" s="1"/>
      <c r="E275" s="1"/>
      <c r="F275" s="1"/>
      <c r="G275" s="1"/>
    </row>
    <row r="276" spans="1:8" x14ac:dyDescent="0.2">
      <c r="A276" s="1" t="s">
        <v>12</v>
      </c>
      <c r="B276" s="1" t="s">
        <v>13</v>
      </c>
      <c r="C276" s="1" t="s">
        <v>8</v>
      </c>
      <c r="D276" s="1" t="s">
        <v>14</v>
      </c>
      <c r="E276" s="1" t="s">
        <v>4</v>
      </c>
      <c r="F276" s="1" t="s">
        <v>15</v>
      </c>
      <c r="G276" s="1" t="s">
        <v>7</v>
      </c>
      <c r="H276" s="1" t="s">
        <v>3</v>
      </c>
    </row>
    <row r="277" spans="1:8" ht="16" x14ac:dyDescent="0.2">
      <c r="A277" s="7" t="s">
        <v>162</v>
      </c>
      <c r="B277">
        <v>1</v>
      </c>
      <c r="C277" t="s">
        <v>9</v>
      </c>
      <c r="E277" t="str">
        <f>B270</f>
        <v>GLO</v>
      </c>
      <c r="F277" t="s">
        <v>18</v>
      </c>
      <c r="G277" t="str">
        <f>B272</f>
        <v>battery, Li-O2</v>
      </c>
      <c r="H277" t="s">
        <v>268</v>
      </c>
    </row>
    <row r="278" spans="1:8" x14ac:dyDescent="0.2">
      <c r="A278" t="s">
        <v>17</v>
      </c>
      <c r="B278">
        <f>0.5469522240527184</f>
        <v>0.5469522240527184</v>
      </c>
      <c r="C278" t="s">
        <v>9</v>
      </c>
      <c r="E278" t="s">
        <v>5</v>
      </c>
      <c r="F278" t="s">
        <v>27</v>
      </c>
      <c r="G278" t="s">
        <v>270</v>
      </c>
      <c r="H278" t="s">
        <v>269</v>
      </c>
    </row>
    <row r="279" spans="1:8" x14ac:dyDescent="0.2">
      <c r="A279" t="s">
        <v>131</v>
      </c>
      <c r="B279">
        <f>0.05843941890070392</f>
        <v>0.05843941890070392</v>
      </c>
      <c r="C279" t="s">
        <v>9</v>
      </c>
      <c r="E279" t="s">
        <v>48</v>
      </c>
      <c r="F279" t="s">
        <v>27</v>
      </c>
      <c r="G279" t="s">
        <v>132</v>
      </c>
    </row>
    <row r="280" spans="1:8" x14ac:dyDescent="0.2">
      <c r="A280" t="s">
        <v>140</v>
      </c>
      <c r="B280">
        <f>0.13080724876441518</f>
        <v>0.13080724876441518</v>
      </c>
      <c r="C280" t="s">
        <v>9</v>
      </c>
      <c r="E280" t="s">
        <v>48</v>
      </c>
      <c r="F280" t="s">
        <v>27</v>
      </c>
      <c r="G280" t="s">
        <v>141</v>
      </c>
    </row>
    <row r="281" spans="1:8" x14ac:dyDescent="0.2">
      <c r="A281" t="s">
        <v>128</v>
      </c>
      <c r="B281">
        <f>0.16474464579901155</f>
        <v>0.16474464579901155</v>
      </c>
      <c r="C281" t="s">
        <v>9</v>
      </c>
      <c r="E281" t="s">
        <v>48</v>
      </c>
      <c r="F281" t="s">
        <v>27</v>
      </c>
      <c r="G281" t="s">
        <v>127</v>
      </c>
    </row>
    <row r="282" spans="1:8" x14ac:dyDescent="0.2">
      <c r="A282" t="inlineStr">
        <is>
          <t xml:space="preserve">battery central control and protection unit production</t>
        </is>
      </c>
      <c r="B282">
        <f>0.002651932002076728</f>
        <v>0.002651932002076728</v>
      </c>
      <c r="C282" t="inlineStr">
        <is>
          <t>unit</t>
        </is>
      </c>
      <c r="E282" t="inlineStr">
        <is>
          <t>GLO</t>
        </is>
      </c>
      <c r="F282" t="s">
        <v>27</v>
      </c>
      <c r="G282" t="inlineStr">
        <is>
          <t xml:space="preserve">battery central control and protection unit</t>
        </is>
      </c>
    </row>
    <row r="283" spans="1:8" x14ac:dyDescent="0.2">
      <c r="A283" t="inlineStr">
        <is>
          <t xml:space="preserve">battery cooling system production, lithium-oxygen</t>
        </is>
      </c>
      <c r="B283">
        <f>0.08707503369776846</f>
        <v>0.08707503369776846</v>
      </c>
      <c r="C283" t="s">
        <v>9</v>
      </c>
      <c r="E283" t="inlineStr">
        <is>
          <t>GLO</t>
        </is>
      </c>
      <c r="F283" t="s">
        <v>27</v>
      </c>
      <c r="G283" t="inlineStr">
        <is>
          <t xml:space="preserve">battery cooling system, lithium-oxygen</t>
        </is>
      </c>
    </row>
    <row r="284" spans="1:8" ht="16" x14ac:dyDescent="0.2">
      <c r="A284" s="7" t="s">
        <v>147</v>
      </c>
      <c r="B284">
        <f>0</f>
        <v>0</v>
      </c>
      <c r="C284" t="s">
        <v>9</v>
      </c>
      <c r="E284" t="s">
        <v>48</v>
      </c>
      <c r="F284" t="s">
        <v>27</v>
      </c>
      <c r="G284" t="s">
        <v>148</v>
      </c>
      <c r="H284" t="inlineStr">
        <is>
          <t>Disabled duplicate treatment fragment: original formula -1/321 kg waste/kg battery; now zero. The capacity market applies the complete mass through the existing LiO2-specific recycling activity. See activity comment for source and limits.</t>
        </is>
      </c>
    </row>
    <row r="286" spans="1:8" ht="16" x14ac:dyDescent="0.2">
      <c r="A286" s="2" t="s">
        <v>2</v>
      </c>
      <c r="B286" s="2" t="s">
        <v>271</v>
      </c>
    </row>
    <row r="287" spans="1:8" x14ac:dyDescent="0.2">
      <c r="A287" t="s">
        <v>3</v>
      </c>
      <c r="B287" t="inlineStr">
        <is>
          <t>APPROVED Li-O2 HIERARCHICAL ENGINEERING RECONCILIATION, item18, 2026-10-18. Wang,Deng,Yuan2020 DOI10.1016/j.jclepro.2020.121339, SI TablesS3/S4/S5/S16; Kanthal resistance-wire datasheet https://www.kanthal.com/products/datasheets/material-datasheets/wire/resistance-heating-wire-and-resistance-wire/nikrothal-80/. Adopt TableS3 detailed retained geometry: cell182.6kg, module hardware19.51, pack hardware43.67, oxygen tank55, BMS4,cooling29.07 =&gt;333.85kg at63.5grosskWh. This conflicts with source headline321kg/267kg pack and with TableS5 gross material figures; do not mix those bases. Scalable cell/module/pack hardware=245.78kg; fixed-per-reference auxiliary hardware=88.07kg. Listed component masses, not proportional normalization of contradictory gross LCI tables, define this engineering reference. Known cell ingredients total182.59kg;0.01kg unspecified cathode catalyst remains a documented composition gap, not zero-metal proof. The sourceS4 fluoropolymer binder is not substituted for the unidentified S3 catalyst; binder quantity/fate is also unresolved, and that old process input is disabled in this reference. Electrolyte total59.11kg is split by inheritedS4 salt:solvent ratio.016:.308; LiClO4 process is the inherited salt provider, and ethylene-glycol dimethyl ether remains an explicitly imperfect TEGDME solvent proxy. Lithium protective film/pouch/separator process recipes remain inherited and unvalidated. Collector feed is1kg metal/kg foil at100percent reference retention; matching rolling and restored facility proxy are preserved. Terminal metal fractions are2.44kgAl/10.5kg and8.06kgCu/10.5kg, with matching working services; old overlapping gross feed and implied manufacturing scrap are disabled under the explicit100percent retention reference. Module and pack known material inputs followS3, with no new gross-yield claim. Module monitor.67kg is counted once; BMS4kg is assigned to central protection only using4/4.518 of the separate engineering central-control package. This functional repartition is an assumption, not a source breakdown. Cooling uses7kg Al plus22.07kg pureEG reference (alternative50/50 coolant is a sensitivity); thermal duty, pump/hoses remain gaps. Heater.2kg uses an idealized binary80Ni/20Cr resistance-alloy reference, consistent with a NiCr class but not a complete measured battery heater/Nikrothal composition; electronic/heater construction is unresolved. Preserve historical source-specific S16 recycling coefficients without new recovery credits. Capacity purchases245.78/63.5kg scalable hardware plus one auxiliary lifecycle unit per63.5kWh. Its negative waste equals scalable mass; auxiliary unit carries its own88.07kg waste. Future density factors scale hardware and its waste together; fixed auxiliary manufacture/treatment stay paired. Existing relative density learning is retained as an engineering ratio; absolute cell energy63.5/182.6=.347754655kWh/kg and fixed recipe are not a validated future design. Original full-battery market remains manufacturing-only at333.85kg component-sum basis; capacity uses the separately named hardware market. Vehicle energy/lifetime allocation is unchanged. Source contradictions, catalyst, solvent, future structure and recovery performance remain explicit gaps.
PREVIOUS NOTES (retained as history; the correction above takes precedence):
System: 63.5kWh Li-O2 || System mass (incl. O2 tanks: 322 kg || Battery Mass (excl. O2 tanks): 267 kg || Battery energy density: 238 Wh/kg || System energy density: 198 Wh/kg || Battery lifetime: 305 kWh/kg (1.76 MJ/km x 2e5 km / 321 kg). Source: Originally from Wang, F., Deng, Y., &amp; Yuan, C. (2020). Life cycle assessment of lithium oxygen battery for electric vehicles. Journal of Cleaner Production, 264, 121339. https://doi.org/10.1016/j.jclepro.2020.121339</t>
        </is>
      </c>
    </row>
    <row r="288" spans="1:8" x14ac:dyDescent="0.2">
      <c r="A288" t="s">
        <v>4</v>
      </c>
      <c r="B288" t="s">
        <v>5</v>
      </c>
    </row>
    <row r="289" spans="1:8" x14ac:dyDescent="0.2">
      <c r="A289" t="s">
        <v>6</v>
      </c>
      <c r="B289">
        <v>1</v>
      </c>
    </row>
    <row r="290" spans="1:8" x14ac:dyDescent="0.2">
      <c r="A290" t="s">
        <v>7</v>
      </c>
      <c r="B290" t="s">
        <v>161</v>
      </c>
    </row>
    <row r="291" spans="1:8" x14ac:dyDescent="0.2">
      <c r="A291" t="s">
        <v>8</v>
      </c>
      <c r="B291" t="s">
        <v>9</v>
      </c>
    </row>
    <row r="292" spans="1:8" x14ac:dyDescent="0.2">
      <c r="A292" t="s">
        <v>10</v>
      </c>
      <c r="B292" t="s">
        <v>16</v>
      </c>
    </row>
    <row r="293" spans="1:8" x14ac:dyDescent="0.2">
      <c r="A293" s="1" t="s">
        <v>11</v>
      </c>
      <c r="B293" s="1"/>
      <c r="C293" s="1"/>
      <c r="D293" s="1"/>
      <c r="E293" s="1"/>
      <c r="F293" s="1"/>
      <c r="G293" s="1"/>
    </row>
    <row r="294" spans="1:8" x14ac:dyDescent="0.2">
      <c r="A294" s="1" t="s">
        <v>12</v>
      </c>
      <c r="B294" s="1" t="s">
        <v>13</v>
      </c>
      <c r="C294" s="1" t="s">
        <v>8</v>
      </c>
      <c r="D294" s="1" t="s">
        <v>14</v>
      </c>
      <c r="E294" s="1" t="s">
        <v>4</v>
      </c>
      <c r="F294" s="1" t="s">
        <v>15</v>
      </c>
      <c r="G294" s="1" t="s">
        <v>7</v>
      </c>
      <c r="H294" s="1" t="s">
        <v>3</v>
      </c>
    </row>
    <row r="295" spans="1:8" ht="16" x14ac:dyDescent="0.2">
      <c r="A295" s="7" t="str">
        <f>B286</f>
        <v>market for battery, Li-oxygen, Li-O2</v>
      </c>
      <c r="B295">
        <v>1</v>
      </c>
      <c r="C295" t="s">
        <v>9</v>
      </c>
      <c r="E295" t="str">
        <f>B288</f>
        <v>GLO</v>
      </c>
      <c r="F295" t="s">
        <v>18</v>
      </c>
      <c r="G295" t="str">
        <f>B290</f>
        <v>battery, Li-O2</v>
      </c>
      <c r="H295" t="s">
        <v>268</v>
      </c>
    </row>
    <row r="296" spans="1:8" ht="16" x14ac:dyDescent="0.2">
      <c r="A296" s="7" t="s">
        <v>162</v>
      </c>
      <c r="B296">
        <v>1</v>
      </c>
      <c r="C296" t="s">
        <v>9</v>
      </c>
      <c r="E296" t="s">
        <v>5</v>
      </c>
      <c r="F296" t="s">
        <v>27</v>
      </c>
      <c r="G296" t="str">
        <f>B290</f>
        <v>battery, Li-O2</v>
      </c>
    </row>
    <row r="297" spans="1:8" x14ac:dyDescent="0.2">
      <c r="A297" t="s">
        <v>272</v>
      </c>
      <c r="B297">
        <v>0.30910727700000001</v>
      </c>
      <c r="C297" t="s">
        <v>88</v>
      </c>
      <c r="E297" t="s">
        <v>5</v>
      </c>
      <c r="F297" t="s">
        <v>27</v>
      </c>
      <c r="G297" t="s">
        <v>89</v>
      </c>
    </row>
    <row r="298" spans="1:8" x14ac:dyDescent="0.2">
      <c r="A298" t="s">
        <v>274</v>
      </c>
      <c r="B298">
        <v>2.4627409999999999E-2</v>
      </c>
      <c r="C298" t="s">
        <v>88</v>
      </c>
      <c r="E298" t="s">
        <v>5</v>
      </c>
      <c r="F298" t="s">
        <v>27</v>
      </c>
      <c r="G298" t="s">
        <v>273</v>
      </c>
    </row>
    <row r="299" spans="1:8" x14ac:dyDescent="0.2">
      <c r="A299" t="s">
        <v>277</v>
      </c>
      <c r="B299">
        <v>0.20877976500000001</v>
      </c>
      <c r="C299" t="s">
        <v>88</v>
      </c>
      <c r="E299" t="s">
        <v>5</v>
      </c>
      <c r="F299" t="s">
        <v>27</v>
      </c>
      <c r="G299" t="s">
        <v>278</v>
      </c>
    </row>
    <row r="300" spans="1:8" x14ac:dyDescent="0.2">
      <c r="A300" t="s">
        <v>276</v>
      </c>
      <c r="B300">
        <v>0.59901584900000004</v>
      </c>
      <c r="C300" t="s">
        <v>88</v>
      </c>
      <c r="E300" t="s">
        <v>5</v>
      </c>
      <c r="F300" t="s">
        <v>27</v>
      </c>
      <c r="G300" t="s">
        <v>275</v>
      </c>
    </row>
    <row r="301" spans="1:8" ht="16" x14ac:dyDescent="0.2">
      <c r="A301" s="7"/>
    </row>
    <row r="302" spans="1:8" ht="16" x14ac:dyDescent="0.2">
      <c r="A302" s="2" t="s">
        <v>2</v>
      </c>
      <c r="B302" s="1" t="s">
        <v>169</v>
      </c>
    </row>
    <row r="303" spans="1:8" x14ac:dyDescent="0.2">
      <c r="A303" t="s">
        <v>3</v>
      </c>
      <c r="B303" t="s">
        <v>260</v>
      </c>
    </row>
    <row r="304" spans="1:8" x14ac:dyDescent="0.2">
      <c r="A304" t="s">
        <v>4</v>
      </c>
      <c r="B304" t="s">
        <v>48</v>
      </c>
    </row>
    <row r="305" spans="1:8" x14ac:dyDescent="0.2">
      <c r="A305" t="s">
        <v>6</v>
      </c>
      <c r="B305">
        <v>1</v>
      </c>
    </row>
    <row r="306" spans="1:8" x14ac:dyDescent="0.2">
      <c r="A306" t="s">
        <v>7</v>
      </c>
      <c r="B306" t="s">
        <v>35</v>
      </c>
    </row>
    <row r="307" spans="1:8" x14ac:dyDescent="0.2">
      <c r="A307" t="s">
        <v>8</v>
      </c>
      <c r="B307" t="s">
        <v>9</v>
      </c>
    </row>
    <row r="308" spans="1:8" x14ac:dyDescent="0.2">
      <c r="A308" t="s">
        <v>10</v>
      </c>
      <c r="B308" t="s">
        <v>16</v>
      </c>
    </row>
    <row r="309" spans="1:8" x14ac:dyDescent="0.2">
      <c r="A309" s="1" t="s">
        <v>11</v>
      </c>
      <c r="B309" s="1"/>
      <c r="C309" s="1"/>
      <c r="D309" s="1"/>
      <c r="E309" s="1"/>
      <c r="F309" s="1"/>
      <c r="G309" s="1"/>
    </row>
    <row r="310" spans="1:8" x14ac:dyDescent="0.2">
      <c r="A310" s="1" t="s">
        <v>12</v>
      </c>
      <c r="B310" s="1" t="s">
        <v>13</v>
      </c>
      <c r="C310" s="1" t="s">
        <v>8</v>
      </c>
      <c r="D310" s="1" t="s">
        <v>14</v>
      </c>
      <c r="E310" s="1" t="s">
        <v>4</v>
      </c>
      <c r="F310" s="1" t="s">
        <v>15</v>
      </c>
      <c r="G310" s="1" t="s">
        <v>7</v>
      </c>
      <c r="H310" s="1" t="s">
        <v>3</v>
      </c>
    </row>
    <row r="311" spans="1:8" x14ac:dyDescent="0.2">
      <c r="A311" t="str">
        <f>B302</f>
        <v>separator manufacturing, for Li-O2 battery</v>
      </c>
      <c r="B311">
        <v>1</v>
      </c>
      <c r="C311" t="str">
        <f>B307</f>
        <v>kilogram</v>
      </c>
      <c r="E311" t="str">
        <f>B304</f>
        <v>RER</v>
      </c>
      <c r="F311" t="s">
        <v>18</v>
      </c>
      <c r="G311" t="str">
        <f>B306</f>
        <v>separator</v>
      </c>
    </row>
    <row r="312" spans="1:8" x14ac:dyDescent="0.2">
      <c r="A312" t="s">
        <v>44</v>
      </c>
      <c r="B312">
        <v>0.218</v>
      </c>
      <c r="C312" t="s">
        <v>9</v>
      </c>
      <c r="E312" t="s">
        <v>5</v>
      </c>
      <c r="F312" t="s">
        <v>27</v>
      </c>
      <c r="G312" t="s">
        <v>45</v>
      </c>
      <c r="H312" s="5"/>
    </row>
    <row r="313" spans="1:8" x14ac:dyDescent="0.2">
      <c r="A313" t="s">
        <v>64</v>
      </c>
      <c r="B313">
        <f>0.2083/3.6</f>
        <v>5.7861111111111113E-2</v>
      </c>
      <c r="C313" t="s">
        <v>66</v>
      </c>
      <c r="E313" t="s">
        <v>63</v>
      </c>
      <c r="F313" t="s">
        <v>27</v>
      </c>
      <c r="G313" t="s">
        <v>65</v>
      </c>
      <c r="H313" t="s">
        <v>170</v>
      </c>
    </row>
    <row r="314" spans="1:8" x14ac:dyDescent="0.2">
      <c r="A314" t="s">
        <v>171</v>
      </c>
      <c r="B314">
        <v>2.6200000000000001E-2</v>
      </c>
      <c r="C314" t="s">
        <v>9</v>
      </c>
      <c r="E314" t="s">
        <v>5</v>
      </c>
      <c r="F314" t="s">
        <v>27</v>
      </c>
      <c r="G314" t="s">
        <v>172</v>
      </c>
      <c r="H314" s="5"/>
    </row>
    <row r="315" spans="1:8" x14ac:dyDescent="0.2">
      <c r="A315" t="s">
        <v>173</v>
      </c>
      <c r="B315">
        <v>1.2</v>
      </c>
      <c r="C315" t="s">
        <v>9</v>
      </c>
      <c r="E315" t="s">
        <v>5</v>
      </c>
      <c r="F315" t="s">
        <v>27</v>
      </c>
      <c r="G315" t="s">
        <v>174</v>
      </c>
      <c r="H315" s="5"/>
    </row>
    <row r="316" spans="1:8" x14ac:dyDescent="0.2">
      <c r="A316" t="s">
        <v>175</v>
      </c>
      <c r="B316">
        <v>0.14399999999999999</v>
      </c>
      <c r="C316" t="s">
        <v>9</v>
      </c>
      <c r="E316" t="s">
        <v>48</v>
      </c>
      <c r="F316" t="s">
        <v>27</v>
      </c>
      <c r="G316" t="s">
        <v>176</v>
      </c>
      <c r="H316" s="5"/>
    </row>
    <row r="317" spans="1:8" x14ac:dyDescent="0.2">
      <c r="A317" t="s">
        <v>177</v>
      </c>
      <c r="B317">
        <v>0.35099999999999998</v>
      </c>
      <c r="C317" t="s">
        <v>9</v>
      </c>
      <c r="E317" t="s">
        <v>48</v>
      </c>
      <c r="F317" t="s">
        <v>27</v>
      </c>
      <c r="G317" t="s">
        <v>178</v>
      </c>
      <c r="H317" s="5"/>
    </row>
    <row r="318" spans="1:8" x14ac:dyDescent="0.2">
      <c r="A318" t="s">
        <v>179</v>
      </c>
      <c r="B318">
        <v>0.193</v>
      </c>
      <c r="C318" t="s">
        <v>69</v>
      </c>
      <c r="E318" t="s">
        <v>63</v>
      </c>
      <c r="F318" t="s">
        <v>27</v>
      </c>
      <c r="G318" t="s">
        <v>68</v>
      </c>
      <c r="H318" s="5"/>
    </row>
    <row r="319" spans="1:8" x14ac:dyDescent="0.2">
      <c r="A319" t="s">
        <v>180</v>
      </c>
      <c r="B319">
        <v>0.29099999999999998</v>
      </c>
      <c r="C319" t="s">
        <v>9</v>
      </c>
      <c r="E319" t="s">
        <v>48</v>
      </c>
      <c r="F319" t="s">
        <v>27</v>
      </c>
      <c r="G319" t="s">
        <v>181</v>
      </c>
      <c r="H319" s="5"/>
    </row>
    <row r="320" spans="1:8" x14ac:dyDescent="0.2">
      <c r="A320" t="s">
        <v>25</v>
      </c>
      <c r="B320">
        <v>0.192</v>
      </c>
      <c r="C320" t="s">
        <v>9</v>
      </c>
      <c r="E320" t="s">
        <v>5</v>
      </c>
      <c r="F320" t="s">
        <v>27</v>
      </c>
      <c r="G320" t="s">
        <v>182</v>
      </c>
      <c r="H320" s="5"/>
    </row>
    <row r="321" spans="1:8" x14ac:dyDescent="0.2">
      <c r="A321" t="s">
        <v>183</v>
      </c>
      <c r="B321">
        <v>4.0000000000000001E-10</v>
      </c>
      <c r="C321" t="s">
        <v>8</v>
      </c>
      <c r="E321" t="s">
        <v>48</v>
      </c>
      <c r="F321" t="s">
        <v>27</v>
      </c>
      <c r="G321" t="s">
        <v>184</v>
      </c>
      <c r="H321" s="5"/>
    </row>
    <row r="322" spans="1:8" x14ac:dyDescent="0.2">
      <c r="A322" t="s">
        <v>87</v>
      </c>
      <c r="B322">
        <v>0.52500000000000002</v>
      </c>
      <c r="C322" t="s">
        <v>88</v>
      </c>
      <c r="E322" t="s">
        <v>63</v>
      </c>
      <c r="F322" t="s">
        <v>27</v>
      </c>
      <c r="G322" t="s">
        <v>89</v>
      </c>
      <c r="H322" s="5"/>
    </row>
    <row r="323" spans="1:8" x14ac:dyDescent="0.2">
      <c r="A323" t="s">
        <v>90</v>
      </c>
      <c r="B323">
        <v>9.8400000000000001E-2</v>
      </c>
      <c r="C323" t="s">
        <v>88</v>
      </c>
      <c r="E323" t="s">
        <v>48</v>
      </c>
      <c r="F323" t="s">
        <v>27</v>
      </c>
      <c r="G323" t="s">
        <v>91</v>
      </c>
      <c r="H323" s="5"/>
    </row>
    <row r="324" spans="1:8" x14ac:dyDescent="0.2">
      <c r="A324" t="s">
        <v>185</v>
      </c>
      <c r="B324">
        <v>-5.3900000000000003E-2</v>
      </c>
      <c r="C324" t="s">
        <v>9</v>
      </c>
      <c r="E324" t="s">
        <v>92</v>
      </c>
      <c r="F324" t="s">
        <v>27</v>
      </c>
      <c r="G324" t="s">
        <v>186</v>
      </c>
      <c r="H324" s="5"/>
    </row>
    <row r="325" spans="1:8" x14ac:dyDescent="0.2">
      <c r="A325" t="s">
        <v>187</v>
      </c>
      <c r="B325">
        <v>7.1999999999999998E-3</v>
      </c>
      <c r="C325" t="s">
        <v>69</v>
      </c>
      <c r="D325" t="s">
        <v>188</v>
      </c>
      <c r="F325" t="s">
        <v>103</v>
      </c>
      <c r="H325" s="5"/>
    </row>
    <row r="326" spans="1:8" x14ac:dyDescent="0.2">
      <c r="A326" t="s">
        <v>189</v>
      </c>
      <c r="B326">
        <v>1.44E-2</v>
      </c>
      <c r="C326" t="s">
        <v>9</v>
      </c>
      <c r="D326" t="s">
        <v>188</v>
      </c>
      <c r="F326" t="s">
        <v>103</v>
      </c>
      <c r="H326" s="5"/>
    </row>
    <row r="329" spans="1:8" ht="16" x14ac:dyDescent="0.2">
      <c r="A329" s="2" t="s">
        <v>2</v>
      </c>
      <c r="B329" s="1" t="s">
        <v>190</v>
      </c>
    </row>
    <row r="330" spans="1:8" x14ac:dyDescent="0.2">
      <c r="A330" t="s">
        <v>3</v>
      </c>
      <c r="B330" t="s">
        <v>259</v>
      </c>
    </row>
    <row r="331" spans="1:8" x14ac:dyDescent="0.2">
      <c r="A331" t="s">
        <v>4</v>
      </c>
      <c r="B331" t="s">
        <v>48</v>
      </c>
    </row>
    <row r="332" spans="1:8" x14ac:dyDescent="0.2">
      <c r="A332" t="s">
        <v>6</v>
      </c>
      <c r="B332">
        <v>1</v>
      </c>
    </row>
    <row r="333" spans="1:8" x14ac:dyDescent="0.2">
      <c r="A333" t="s">
        <v>7</v>
      </c>
      <c r="B333" t="s">
        <v>165</v>
      </c>
    </row>
    <row r="334" spans="1:8" x14ac:dyDescent="0.2">
      <c r="A334" t="s">
        <v>8</v>
      </c>
      <c r="B334" t="s">
        <v>9</v>
      </c>
    </row>
    <row r="335" spans="1:8" x14ac:dyDescent="0.2">
      <c r="A335" t="s">
        <v>10</v>
      </c>
      <c r="B335" t="s">
        <v>16</v>
      </c>
    </row>
    <row r="336" spans="1:8" x14ac:dyDescent="0.2">
      <c r="A336" s="1" t="s">
        <v>11</v>
      </c>
      <c r="B336" s="1"/>
      <c r="C336" s="1"/>
      <c r="D336" s="1"/>
      <c r="E336" s="1"/>
      <c r="F336" s="1"/>
      <c r="G336" s="1"/>
    </row>
    <row r="337" spans="1:8" x14ac:dyDescent="0.2">
      <c r="A337" s="1" t="s">
        <v>12</v>
      </c>
      <c r="B337" s="1" t="s">
        <v>13</v>
      </c>
      <c r="C337" s="1" t="s">
        <v>8</v>
      </c>
      <c r="D337" s="1" t="s">
        <v>14</v>
      </c>
      <c r="E337" s="1" t="s">
        <v>4</v>
      </c>
      <c r="F337" s="1" t="s">
        <v>15</v>
      </c>
      <c r="G337" s="1" t="s">
        <v>7</v>
      </c>
      <c r="H337" s="1" t="s">
        <v>3</v>
      </c>
    </row>
    <row r="338" spans="1:8" x14ac:dyDescent="0.2">
      <c r="A338" t="str">
        <f>B329</f>
        <v>BMS production, for Li-O2 battery</v>
      </c>
      <c r="B338">
        <v>1</v>
      </c>
      <c r="C338" t="str">
        <f>B334</f>
        <v>kilogram</v>
      </c>
      <c r="E338" t="str">
        <f>B331</f>
        <v>RER</v>
      </c>
      <c r="F338" t="s">
        <v>18</v>
      </c>
      <c r="G338" t="str">
        <f>B333</f>
        <v>BMS</v>
      </c>
    </row>
    <row r="339" spans="1:8" x14ac:dyDescent="0.2">
      <c r="A339" t="s">
        <v>168</v>
      </c>
      <c r="B339" s="3">
        <v>8.8999999999999996E-2</v>
      </c>
      <c r="C339" t="s">
        <v>9</v>
      </c>
      <c r="E339" t="s">
        <v>5</v>
      </c>
      <c r="F339" t="s">
        <v>27</v>
      </c>
      <c r="G339" t="s">
        <v>167</v>
      </c>
    </row>
    <row r="340" spans="1:8" x14ac:dyDescent="0.2">
      <c r="A340" t="s">
        <v>195</v>
      </c>
      <c r="B340" s="3">
        <v>0.48</v>
      </c>
      <c r="C340" t="s">
        <v>9</v>
      </c>
      <c r="E340" t="s">
        <v>48</v>
      </c>
      <c r="F340" t="s">
        <v>27</v>
      </c>
      <c r="G340" t="s">
        <v>191</v>
      </c>
    </row>
    <row r="341" spans="1:8" x14ac:dyDescent="0.2">
      <c r="A341" t="s">
        <v>196</v>
      </c>
      <c r="B341" s="3">
        <v>3.0000000000000001E-3</v>
      </c>
      <c r="C341" t="s">
        <v>9</v>
      </c>
      <c r="E341" t="s">
        <v>48</v>
      </c>
      <c r="F341" t="s">
        <v>27</v>
      </c>
      <c r="G341" t="s">
        <v>192</v>
      </c>
    </row>
    <row r="342" spans="1:8" x14ac:dyDescent="0.2">
      <c r="A342" t="s">
        <v>197</v>
      </c>
      <c r="B342" s="3">
        <v>0.3</v>
      </c>
      <c r="C342" t="s">
        <v>9</v>
      </c>
      <c r="E342" t="s">
        <v>48</v>
      </c>
      <c r="F342" t="s">
        <v>27</v>
      </c>
      <c r="G342" t="s">
        <v>193</v>
      </c>
    </row>
    <row r="343" spans="1:8" x14ac:dyDescent="0.2">
      <c r="A343" t="s">
        <v>198</v>
      </c>
      <c r="B343" s="3">
        <v>0.13</v>
      </c>
      <c r="C343" t="s">
        <v>9</v>
      </c>
      <c r="E343" t="s">
        <v>48</v>
      </c>
      <c r="F343" t="s">
        <v>27</v>
      </c>
      <c r="G343" t="s">
        <v>194</v>
      </c>
    </row>
    <row r="344" spans="1:8" x14ac:dyDescent="0.2">
      <c r="A344" t="s">
        <v>199</v>
      </c>
      <c r="B344" s="3">
        <v>0.1</v>
      </c>
      <c r="C344" t="s">
        <v>88</v>
      </c>
      <c r="E344" t="s">
        <v>48</v>
      </c>
      <c r="F344" t="s">
        <v>27</v>
      </c>
      <c r="G344" t="s">
        <v>214</v>
      </c>
    </row>
    <row r="345" spans="1:8" x14ac:dyDescent="0.2">
      <c r="A345" t="s">
        <v>87</v>
      </c>
      <c r="B345" s="3">
        <v>0.2</v>
      </c>
      <c r="C345" t="s">
        <v>88</v>
      </c>
      <c r="E345" t="s">
        <v>63</v>
      </c>
      <c r="F345" t="s">
        <v>27</v>
      </c>
      <c r="G345" t="s">
        <v>89</v>
      </c>
    </row>
    <row r="347" spans="1:8" ht="16" x14ac:dyDescent="0.2">
      <c r="A347" s="2" t="s">
        <v>2</v>
      </c>
      <c r="B347" s="1" t="s">
        <v>195</v>
      </c>
    </row>
    <row r="348" spans="1:8" x14ac:dyDescent="0.2">
      <c r="A348" t="s">
        <v>3</v>
      </c>
      <c r="B348" t="s">
        <v>257</v>
      </c>
    </row>
    <row r="349" spans="1:8" x14ac:dyDescent="0.2">
      <c r="A349" t="s">
        <v>4</v>
      </c>
      <c r="B349" t="s">
        <v>48</v>
      </c>
    </row>
    <row r="350" spans="1:8" x14ac:dyDescent="0.2">
      <c r="A350" t="s">
        <v>6</v>
      </c>
      <c r="B350">
        <v>1</v>
      </c>
    </row>
    <row r="351" spans="1:8" x14ac:dyDescent="0.2">
      <c r="A351" t="s">
        <v>7</v>
      </c>
      <c r="B351" t="s">
        <v>191</v>
      </c>
    </row>
    <row r="352" spans="1:8" x14ac:dyDescent="0.2">
      <c r="A352" t="s">
        <v>8</v>
      </c>
      <c r="B352" t="s">
        <v>9</v>
      </c>
    </row>
    <row r="353" spans="1:8" x14ac:dyDescent="0.2">
      <c r="A353" t="s">
        <v>10</v>
      </c>
      <c r="B353" t="s">
        <v>16</v>
      </c>
    </row>
    <row r="354" spans="1:8" x14ac:dyDescent="0.2">
      <c r="A354" s="1" t="s">
        <v>11</v>
      </c>
      <c r="B354" s="1"/>
      <c r="C354" s="1"/>
      <c r="D354" s="1"/>
      <c r="E354" s="1"/>
      <c r="F354" s="1"/>
      <c r="G354" s="1"/>
    </row>
    <row r="355" spans="1:8" x14ac:dyDescent="0.2">
      <c r="A355" s="1" t="s">
        <v>12</v>
      </c>
      <c r="B355" s="1" t="s">
        <v>13</v>
      </c>
      <c r="C355" s="1" t="s">
        <v>8</v>
      </c>
      <c r="D355" s="1" t="s">
        <v>14</v>
      </c>
      <c r="E355" s="1" t="s">
        <v>4</v>
      </c>
      <c r="F355" s="1" t="s">
        <v>15</v>
      </c>
      <c r="G355" s="1" t="s">
        <v>7</v>
      </c>
      <c r="H355" s="1" t="s">
        <v>3</v>
      </c>
    </row>
    <row r="356" spans="1:8" x14ac:dyDescent="0.2">
      <c r="A356" t="str">
        <f>B347</f>
        <v>IBIS production, for Li-O2 battery</v>
      </c>
      <c r="B356">
        <v>1</v>
      </c>
      <c r="C356" t="str">
        <f>B352</f>
        <v>kilogram</v>
      </c>
      <c r="E356" t="str">
        <f>B349</f>
        <v>RER</v>
      </c>
      <c r="F356" t="s">
        <v>18</v>
      </c>
      <c r="G356" t="str">
        <f>B351</f>
        <v>IBIS</v>
      </c>
    </row>
    <row r="357" spans="1:8" x14ac:dyDescent="0.2">
      <c r="A357" t="s">
        <v>200</v>
      </c>
      <c r="B357" s="3">
        <v>2.0000000000000001E-4</v>
      </c>
      <c r="C357" t="s">
        <v>9</v>
      </c>
      <c r="E357" t="s">
        <v>48</v>
      </c>
      <c r="F357" t="s">
        <v>27</v>
      </c>
      <c r="G357" t="s">
        <v>164</v>
      </c>
    </row>
    <row r="358" spans="1:8" x14ac:dyDescent="0.2">
      <c r="A358" t="s">
        <v>168</v>
      </c>
      <c r="B358" s="3">
        <v>0.11</v>
      </c>
      <c r="C358" t="s">
        <v>9</v>
      </c>
      <c r="E358" t="s">
        <v>5</v>
      </c>
      <c r="F358" t="s">
        <v>27</v>
      </c>
      <c r="G358" t="s">
        <v>167</v>
      </c>
    </row>
    <row r="359" spans="1:8" x14ac:dyDescent="0.2">
      <c r="A359" t="s">
        <v>201</v>
      </c>
      <c r="B359" s="3">
        <v>1.7E-5</v>
      </c>
      <c r="C359" t="s">
        <v>9</v>
      </c>
      <c r="E359" t="s">
        <v>5</v>
      </c>
      <c r="F359" t="s">
        <v>27</v>
      </c>
      <c r="G359" t="s">
        <v>202</v>
      </c>
    </row>
    <row r="360" spans="1:8" x14ac:dyDescent="0.2">
      <c r="A360" t="s">
        <v>144</v>
      </c>
      <c r="B360" s="3">
        <v>0.85</v>
      </c>
      <c r="C360" t="s">
        <v>9</v>
      </c>
      <c r="E360" t="s">
        <v>5</v>
      </c>
      <c r="F360" t="s">
        <v>27</v>
      </c>
      <c r="G360" t="s">
        <v>145</v>
      </c>
    </row>
    <row r="361" spans="1:8" x14ac:dyDescent="0.2">
      <c r="A361" t="s">
        <v>203</v>
      </c>
      <c r="B361" s="3">
        <v>2.1000000000000001E-2</v>
      </c>
      <c r="C361" t="s">
        <v>9</v>
      </c>
      <c r="E361" t="s">
        <v>5</v>
      </c>
      <c r="F361" t="s">
        <v>27</v>
      </c>
      <c r="G361" t="s">
        <v>204</v>
      </c>
    </row>
    <row r="362" spans="1:8" x14ac:dyDescent="0.2">
      <c r="A362" t="s">
        <v>205</v>
      </c>
      <c r="B362" s="3">
        <v>6.7999999999999996E-3</v>
      </c>
      <c r="C362" t="s">
        <v>9</v>
      </c>
      <c r="E362" t="s">
        <v>48</v>
      </c>
      <c r="F362" t="s">
        <v>27</v>
      </c>
      <c r="G362" t="s">
        <v>126</v>
      </c>
    </row>
    <row r="363" spans="1:8" x14ac:dyDescent="0.2">
      <c r="A363" t="s">
        <v>206</v>
      </c>
      <c r="B363" s="3">
        <v>1.9E-3</v>
      </c>
      <c r="C363" t="s">
        <v>9</v>
      </c>
      <c r="E363" t="s">
        <v>48</v>
      </c>
      <c r="F363" t="s">
        <v>27</v>
      </c>
      <c r="G363" t="s">
        <v>207</v>
      </c>
    </row>
    <row r="364" spans="1:8" x14ac:dyDescent="0.2">
      <c r="A364" t="s">
        <v>208</v>
      </c>
      <c r="B364" s="3">
        <v>5.7000000000000002E-3</v>
      </c>
      <c r="C364" t="s">
        <v>9</v>
      </c>
      <c r="E364" t="s">
        <v>92</v>
      </c>
      <c r="F364" t="s">
        <v>27</v>
      </c>
      <c r="G364" t="s">
        <v>209</v>
      </c>
    </row>
    <row r="365" spans="1:8" x14ac:dyDescent="0.2">
      <c r="A365" t="s">
        <v>210</v>
      </c>
      <c r="B365" s="3">
        <v>0.85</v>
      </c>
      <c r="C365" t="s">
        <v>9</v>
      </c>
      <c r="E365" t="s">
        <v>48</v>
      </c>
      <c r="F365" t="s">
        <v>27</v>
      </c>
      <c r="G365" t="s">
        <v>210</v>
      </c>
    </row>
    <row r="366" spans="1:8" x14ac:dyDescent="0.2">
      <c r="A366" t="s">
        <v>136</v>
      </c>
      <c r="B366" s="3">
        <v>8.8000000000000005E-3</v>
      </c>
      <c r="C366" t="s">
        <v>9</v>
      </c>
      <c r="E366" t="s">
        <v>48</v>
      </c>
      <c r="F366" t="s">
        <v>27</v>
      </c>
      <c r="G366" t="s">
        <v>136</v>
      </c>
    </row>
    <row r="367" spans="1:8" x14ac:dyDescent="0.2">
      <c r="A367" t="s">
        <v>211</v>
      </c>
      <c r="B367" s="3">
        <v>5.7000000000000002E-3</v>
      </c>
      <c r="C367" t="s">
        <v>9</v>
      </c>
      <c r="E367" t="s">
        <v>92</v>
      </c>
      <c r="F367" t="s">
        <v>27</v>
      </c>
      <c r="G367" t="s">
        <v>211</v>
      </c>
    </row>
    <row r="368" spans="1:8" x14ac:dyDescent="0.2">
      <c r="A368" t="s">
        <v>199</v>
      </c>
      <c r="B368" s="3">
        <v>8.6999999999999994E-2</v>
      </c>
      <c r="C368" t="s">
        <v>88</v>
      </c>
      <c r="E368" t="s">
        <v>48</v>
      </c>
      <c r="F368" t="s">
        <v>27</v>
      </c>
      <c r="G368" t="s">
        <v>214</v>
      </c>
    </row>
    <row r="369" spans="1:8" x14ac:dyDescent="0.2">
      <c r="A369" t="s">
        <v>87</v>
      </c>
      <c r="B369" s="3">
        <v>0.17</v>
      </c>
      <c r="C369" t="s">
        <v>88</v>
      </c>
      <c r="E369" t="s">
        <v>63</v>
      </c>
      <c r="F369" t="s">
        <v>27</v>
      </c>
      <c r="G369" t="s">
        <v>89</v>
      </c>
    </row>
    <row r="370" spans="1:8" x14ac:dyDescent="0.2">
      <c r="A370" t="s">
        <v>212</v>
      </c>
      <c r="B370" s="3">
        <v>2E-8</v>
      </c>
      <c r="C370" t="s">
        <v>8</v>
      </c>
      <c r="E370" t="s">
        <v>5</v>
      </c>
      <c r="F370" t="s">
        <v>27</v>
      </c>
      <c r="G370" t="s">
        <v>213</v>
      </c>
    </row>
    <row r="372" spans="1:8" ht="16" x14ac:dyDescent="0.2">
      <c r="A372" s="2" t="s">
        <v>2</v>
      </c>
      <c r="B372" s="1" t="s">
        <v>196</v>
      </c>
    </row>
    <row r="373" spans="1:8" x14ac:dyDescent="0.2">
      <c r="A373" t="s">
        <v>3</v>
      </c>
      <c r="B373" t="s">
        <v>257</v>
      </c>
    </row>
    <row r="374" spans="1:8" x14ac:dyDescent="0.2">
      <c r="A374" t="s">
        <v>4</v>
      </c>
      <c r="B374" t="s">
        <v>48</v>
      </c>
    </row>
    <row r="375" spans="1:8" x14ac:dyDescent="0.2">
      <c r="A375" t="s">
        <v>6</v>
      </c>
      <c r="B375">
        <v>1</v>
      </c>
    </row>
    <row r="376" spans="1:8" x14ac:dyDescent="0.2">
      <c r="A376" t="s">
        <v>7</v>
      </c>
      <c r="B376" t="s">
        <v>192</v>
      </c>
    </row>
    <row r="377" spans="1:8" x14ac:dyDescent="0.2">
      <c r="A377" t="s">
        <v>8</v>
      </c>
      <c r="B377" t="s">
        <v>9</v>
      </c>
    </row>
    <row r="378" spans="1:8" x14ac:dyDescent="0.2">
      <c r="A378" t="s">
        <v>10</v>
      </c>
      <c r="B378" t="s">
        <v>16</v>
      </c>
    </row>
    <row r="379" spans="1:8" x14ac:dyDescent="0.2">
      <c r="A379" s="1" t="s">
        <v>11</v>
      </c>
      <c r="B379" s="1"/>
      <c r="C379" s="1"/>
      <c r="D379" s="1"/>
      <c r="E379" s="1"/>
      <c r="F379" s="1"/>
      <c r="G379" s="1"/>
    </row>
    <row r="380" spans="1:8" x14ac:dyDescent="0.2">
      <c r="A380" s="1" t="s">
        <v>12</v>
      </c>
      <c r="B380" s="1" t="s">
        <v>13</v>
      </c>
      <c r="C380" s="1" t="s">
        <v>8</v>
      </c>
      <c r="D380" s="1" t="s">
        <v>14</v>
      </c>
      <c r="E380" s="1" t="s">
        <v>4</v>
      </c>
      <c r="F380" s="1" t="s">
        <v>15</v>
      </c>
      <c r="G380" s="1" t="s">
        <v>7</v>
      </c>
      <c r="H380" s="1" t="s">
        <v>3</v>
      </c>
    </row>
    <row r="381" spans="1:8" x14ac:dyDescent="0.2">
      <c r="A381" t="str">
        <f>B372</f>
        <v>IBIS fasteners production, for Li-O2 battery</v>
      </c>
      <c r="B381">
        <v>1</v>
      </c>
      <c r="C381" t="str">
        <f>B377</f>
        <v>kilogram</v>
      </c>
      <c r="E381" t="str">
        <f>B374</f>
        <v>RER</v>
      </c>
      <c r="F381" t="s">
        <v>18</v>
      </c>
      <c r="G381" t="str">
        <f>B376</f>
        <v>IBIS fasteners</v>
      </c>
    </row>
    <row r="382" spans="1:8" x14ac:dyDescent="0.2">
      <c r="A382" t="s">
        <v>144</v>
      </c>
      <c r="B382" s="3">
        <v>1</v>
      </c>
      <c r="C382" t="s">
        <v>9</v>
      </c>
      <c r="E382" t="s">
        <v>5</v>
      </c>
      <c r="F382" t="s">
        <v>27</v>
      </c>
      <c r="G382" t="s">
        <v>145</v>
      </c>
      <c r="H382" t="s">
        <v>215</v>
      </c>
    </row>
    <row r="383" spans="1:8" x14ac:dyDescent="0.2">
      <c r="A383" t="s">
        <v>210</v>
      </c>
      <c r="B383" s="3">
        <v>1</v>
      </c>
      <c r="C383" t="s">
        <v>9</v>
      </c>
      <c r="E383" t="s">
        <v>48</v>
      </c>
      <c r="F383" t="s">
        <v>27</v>
      </c>
      <c r="G383" t="s">
        <v>210</v>
      </c>
    </row>
    <row r="384" spans="1:8" x14ac:dyDescent="0.2">
      <c r="A384" t="s">
        <v>199</v>
      </c>
      <c r="B384" s="3">
        <v>0.1</v>
      </c>
      <c r="C384" t="s">
        <v>88</v>
      </c>
      <c r="E384" t="s">
        <v>48</v>
      </c>
      <c r="F384" t="s">
        <v>27</v>
      </c>
      <c r="G384" t="s">
        <v>214</v>
      </c>
    </row>
    <row r="385" spans="1:8" x14ac:dyDescent="0.2">
      <c r="A385" t="s">
        <v>87</v>
      </c>
      <c r="B385" s="3">
        <v>0.2</v>
      </c>
      <c r="C385" t="s">
        <v>88</v>
      </c>
      <c r="E385" t="s">
        <v>63</v>
      </c>
      <c r="F385" t="s">
        <v>27</v>
      </c>
      <c r="G385" t="s">
        <v>89</v>
      </c>
    </row>
    <row r="386" spans="1:8" x14ac:dyDescent="0.2">
      <c r="A386" t="s">
        <v>216</v>
      </c>
      <c r="B386" s="3">
        <v>4.6000000000000001E-10</v>
      </c>
      <c r="C386" t="s">
        <v>8</v>
      </c>
      <c r="E386" t="s">
        <v>48</v>
      </c>
      <c r="F386" t="s">
        <v>27</v>
      </c>
      <c r="G386" t="s">
        <v>86</v>
      </c>
    </row>
    <row r="389" spans="1:8" ht="16" x14ac:dyDescent="0.2">
      <c r="A389" s="2" t="s">
        <v>2</v>
      </c>
      <c r="B389" s="1" t="s">
        <v>197</v>
      </c>
    </row>
    <row r="390" spans="1:8" x14ac:dyDescent="0.2">
      <c r="A390" t="s">
        <v>3</v>
      </c>
      <c r="B390" t="inlineStr">
        <is>
          <t>Retrieved from Ellingsen et al. (2013). Source: Originally from Wang, F., Deng, Y., &amp; Yuan, C. (2020). Life cycle assessment of lithium oxygen battery for electric vehicles. Journal of Cleaner Production, 264, 121339. https://doi.org/10.1016/j.jclepro.2020.121339 Local Li-O2 high-voltage copper input correction, 2026-10-17 (approved). Ellingsen et al., Life Cycle Assessment of a Lithium-Ion Battery Vehicle Pack, supporting information, Table S37: BMS sub-component: high voltage system, Section 2.4.3. The table specifies a positive 4.1E-2 kg secondary copper input for the intermodule fuse per 1 kg high-voltage system, linked to copper, secondary, at refinery/RER/kg. The Li-O2 workbook cites Wang, Deng and Yuan (2020), DOI 10.1016/j.jclepro.2020.121339, and identifies Ellingsen as the source of this subassembly. Replace the negative -0.041 kg scrap-copper output with a positive 41/1000 = 0.041 kg input from market for copper, cathode, GLO. Retain the separate 0.23 kg source-primary copper input; combined direct refined-copper input becomes 0.23 + 0.041 = 0.271 kg per kg high-voltage subsystem, excluding copper inside the separately purchased cable and other upstream materials. The cathode market is a refined-product proxy, not the source secondary-only refinery supplier. Use its existing mix without inferring or imposing primary/secondary content or future shares. No added scrap credit, explicit refining or yield adjustment. Other amounts, output, copper-working demand and cable input are retained. Source grade, the aluminium-scrap-versus-product mapping, full subsystem mass/yield basis and vehicle applicability remain unresolved; this is one supplier/sign correction, not validation of the full subsystem or battery. Ellingsen SI PDF SHA256: fa47b7bfd9b6c23e6e9bd0deb5a0cbc79393bec02026d19806f44453cc29fce4. Local Li-O2 high-voltage aluminium product-form correction, 2026-10-17 (approved). Ellingsen et al., Life Cycle Assessment of a Lithium-Ion Battery Vehicle Pack, supporting information, Table S37, Section 2.4.3: HVC and lid = 1.2E-1 kg per 1 kg high-voltage system, linked to aluminium, production mix, at plant/RER/kg. Section 2.4.3 identifies aluminium connectors and a lid. The Li-O2 workbook cites Wang et al. (2020), DOI 10.1016/j.jclepro.2020.121339, and identifies Ellingsen as this subassembly source. Replace aluminium in mixed metal scrap with market for aluminium, wrought alloy, GLO; product aluminium, wrought alloy. Retain 0.12 kg supplied aluminium-material product per kg subsystem. The source does not identify an alloy grade: ordinary wrought alloy is an approved metal-product/grade proxy, not a measured composition or proof that the entire 0.12 kg is elemental aluminium. The market supplies metal product through its existing upstream production/remelting mix instead of substituting untreated mixed scrap for the fabricated component material. Its primary/secondary shares are not asserted as source-specific or projected into a new future trajectory. Retain the separate 0.12 kg aluminium-working service and all other amounts; no added forming/refining process, scrap credit, output rescaling or yield factor. This addresses the aluminium product-form gap noted in the earlier local copper correction. Exact alloy composition, forming process, physical yield and complete subsystem/battery mass balance remain unresolved. This is a supplier correction, not a validated finished lid/connector inventory. Ellingsen SI PDF SHA256: fa47b7bfd9b6c23e6e9bd0deb5a0cbc79393bec02026d19806f44453cc29fce4.</t>
        </is>
      </c>
    </row>
    <row r="391" spans="1:8" x14ac:dyDescent="0.2">
      <c r="A391" t="s">
        <v>4</v>
      </c>
      <c r="B391" t="s">
        <v>48</v>
      </c>
    </row>
    <row r="392" spans="1:8" x14ac:dyDescent="0.2">
      <c r="A392" t="s">
        <v>6</v>
      </c>
      <c r="B392">
        <v>1</v>
      </c>
    </row>
    <row r="393" spans="1:8" x14ac:dyDescent="0.2">
      <c r="A393" t="s">
        <v>7</v>
      </c>
      <c r="B393" t="s">
        <v>193</v>
      </c>
    </row>
    <row r="394" spans="1:8" x14ac:dyDescent="0.2">
      <c r="A394" t="s">
        <v>8</v>
      </c>
      <c r="B394" t="s">
        <v>9</v>
      </c>
    </row>
    <row r="395" spans="1:8" x14ac:dyDescent="0.2">
      <c r="A395" t="s">
        <v>10</v>
      </c>
      <c r="B395" t="s">
        <v>16</v>
      </c>
    </row>
    <row r="396" spans="1:8" x14ac:dyDescent="0.2">
      <c r="A396" s="1" t="s">
        <v>11</v>
      </c>
      <c r="B396" s="1"/>
      <c r="C396" s="1"/>
      <c r="D396" s="1"/>
      <c r="E396" s="1"/>
      <c r="F396" s="1"/>
      <c r="G396" s="1"/>
    </row>
    <row r="397" spans="1:8" x14ac:dyDescent="0.2">
      <c r="A397" s="1" t="s">
        <v>12</v>
      </c>
      <c r="B397" s="1" t="s">
        <v>13</v>
      </c>
      <c r="C397" s="1" t="s">
        <v>8</v>
      </c>
      <c r="D397" s="1" t="s">
        <v>14</v>
      </c>
      <c r="E397" s="1" t="s">
        <v>4</v>
      </c>
      <c r="F397" s="1" t="s">
        <v>15</v>
      </c>
      <c r="G397" s="1" t="s">
        <v>7</v>
      </c>
      <c r="H397" s="1" t="s">
        <v>3</v>
      </c>
    </row>
    <row r="398" spans="1:8" x14ac:dyDescent="0.2">
      <c r="A398" t="str">
        <f>B389</f>
        <v>high voltage system production, for Li-O2 battery</v>
      </c>
      <c r="B398">
        <v>1</v>
      </c>
      <c r="C398" t="str">
        <f>B394</f>
        <v>kilogram</v>
      </c>
      <c r="E398" t="str">
        <f>B391</f>
        <v>RER</v>
      </c>
      <c r="F398" t="s">
        <v>18</v>
      </c>
      <c r="G398" t="str">
        <f>B393</f>
        <v>high voltage system</v>
      </c>
    </row>
    <row r="399" spans="1:8" x14ac:dyDescent="0.2">
      <c r="A399" t="s">
        <v>144</v>
      </c>
      <c r="B399" s="3">
        <v>1.4E-3</v>
      </c>
      <c r="C399" t="s">
        <v>9</v>
      </c>
      <c r="E399" t="s">
        <v>5</v>
      </c>
      <c r="F399" t="s">
        <v>27</v>
      </c>
      <c r="G399" t="s">
        <v>145</v>
      </c>
    </row>
    <row r="400" spans="1:8" x14ac:dyDescent="0.2">
      <c r="A400" t="inlineStr">
        <is>
          <t>market for aluminium, wrought alloy</t>
        </is>
      </c>
      <c r="B400" s="3">
        <v>0.12</v>
      </c>
      <c r="C400" t="s">
        <v>9</v>
      </c>
      <c r="E400" t="inlineStr">
        <is>
          <t>GLO</t>
        </is>
      </c>
      <c r="F400" t="s">
        <v>27</v>
      </c>
      <c r="G400" t="inlineStr">
        <is>
          <t>aluminium, wrought alloy</t>
        </is>
      </c>
      <c r="H400" t="inlineStr">
        <is>
          <t>Local Li-O2 high-voltage aluminium product-form correction, 2026-10-17 (approved). Ellingsen et al., Life Cycle Assessment of a Lithium-Ion Battery Vehicle Pack, supporting information, Table S37, Section 2.4.3: HVC and lid = 1.2E-1 kg per 1 kg high-voltage system, linked to aluminium, production mix, at plant/RER/kg. Section 2.4.3 identifies aluminium connectors and a lid. The Li-O2 workbook cites Wang et al. (2020), DOI 10.1016/j.jclepro.2020.121339, and identifies Ellingsen as this subassembly source. Replace aluminium in mixed metal scrap with market for aluminium, wrought alloy, GLO; product aluminium, wrought alloy. Retain 0.12 kg supplied aluminium-material product per kg subsystem. The source does not identify an alloy grade: ordinary wrought alloy is an approved metal-product/grade proxy, not a measured composition or proof that the entire 0.12 kg is elemental aluminium. The market supplies metal product through its existing upstream production/remelting mix instead of substituting untreated mixed scrap for the fabricated component material. Its primary/secondary shares are not asserted as source-specific or projected into a new future trajectory. Retain the separate 0.12 kg aluminium-working service and all other amounts; no added forming/refining process, scrap credit, output rescaling or yield factor. This addresses the aluminium product-form gap noted in the earlier local copper correction. Exact alloy composition, forming process, physical yield and complete subsystem/battery mass balance remain unresolved. This is a supplier correction, not a validated finished lid/connector inventory. Ellingsen SI PDF SHA256: fa47b7bfd9b6c23e6e9bd0deb5a0cbc79393bec02026d19806f44453cc29fce4.</t>
        </is>
      </c>
    </row>
    <row r="401" spans="1:7" x14ac:dyDescent="0.2">
      <c r="A401" t="s">
        <v>219</v>
      </c>
      <c r="B401" s="3">
        <v>4.3999999999999997E-2</v>
      </c>
      <c r="C401" t="s">
        <v>9</v>
      </c>
      <c r="E401" t="s">
        <v>48</v>
      </c>
      <c r="F401" t="s">
        <v>27</v>
      </c>
      <c r="G401" t="s">
        <v>220</v>
      </c>
    </row>
    <row r="402" spans="1:7" x14ac:dyDescent="0.2">
      <c r="A402" t="s">
        <v>221</v>
      </c>
      <c r="B402" s="3">
        <v>3.5999999999999999E-3</v>
      </c>
      <c r="C402" t="s">
        <v>9</v>
      </c>
      <c r="E402" t="s">
        <v>48</v>
      </c>
      <c r="F402" t="s">
        <v>27</v>
      </c>
      <c r="G402" t="s">
        <v>222</v>
      </c>
    </row>
    <row r="403" spans="1:7" x14ac:dyDescent="0.2">
      <c r="A403" t="s">
        <v>205</v>
      </c>
      <c r="B403" s="3">
        <v>5.7000000000000002E-2</v>
      </c>
      <c r="C403" t="s">
        <v>9</v>
      </c>
      <c r="E403" t="s">
        <v>48</v>
      </c>
      <c r="F403" t="s">
        <v>27</v>
      </c>
      <c r="G403" t="s">
        <v>126</v>
      </c>
    </row>
    <row r="404" spans="1:7" x14ac:dyDescent="0.2">
      <c r="A404" t="s">
        <v>116</v>
      </c>
      <c r="B404" s="3">
        <v>0.23</v>
      </c>
      <c r="C404" t="s">
        <v>9</v>
      </c>
      <c r="E404" t="s">
        <v>5</v>
      </c>
      <c r="F404" t="s">
        <v>27</v>
      </c>
      <c r="G404" t="s">
        <v>117</v>
      </c>
    </row>
    <row r="405" spans="1:7" x14ac:dyDescent="0.2">
      <c r="A405" t="inlineStr">
        <is>
          <t>market for copper, cathode</t>
        </is>
      </c>
      <c r="B405" s="3">
        <f>41/1000</f>
        <v>0.041</v>
      </c>
      <c r="C405" t="s">
        <v>9</v>
      </c>
      <c r="E405" t="inlineStr">
        <is>
          <t>GLO</t>
        </is>
      </c>
      <c r="F405" t="s">
        <v>27</v>
      </c>
      <c r="G405" t="inlineStr">
        <is>
          <t>copper, cathode</t>
        </is>
      </c>
      <c r="H405" t="inlineStr">
        <is>
          <t>Local Li-O2 high-voltage copper input correction, 2026-10-17 (approved). Ellingsen et al., Life Cycle Assessment of a Lithium-Ion Battery Vehicle Pack, supporting information, Table S37: BMS sub-component: high voltage system, Section 2.4.3. The table specifies a positive 4.1E-2 kg secondary copper input for the intermodule fuse per 1 kg high-voltage system, linked to copper, secondary, at refinery/RER/kg. The Li-O2 workbook cites Wang, Deng and Yuan (2020), DOI 10.1016/j.jclepro.2020.121339, and identifies Ellingsen as the source of this subassembly. Replace the negative -0.041 kg scrap-copper output with a positive 41/1000 = 0.041 kg input from market for copper, cathode, GLO. Retain the separate 0.23 kg source-primary copper input; combined direct refined-copper input becomes 0.23 + 0.041 = 0.271 kg per kg high-voltage subsystem, excluding copper inside the separately purchased cable and other upstream materials. The cathode market is a refined-product proxy, not the source secondary-only refinery supplier. Use its existing mix without inferring or imposing primary/secondary content or future shares. No added scrap credit, explicit refining or yield adjustment. Other amounts, output, copper-working demand and cable input are retained. Source grade, the aluminium-scrap-versus-product mapping, full subsystem mass/yield basis and vehicle applicability remain unresolved; this is one supplier/sign correction, not validation of the full subsystem or battery. Ellingsen SI PDF SHA256: fa47b7bfd9b6c23e6e9bd0deb5a0cbc79393bec02026d19806f44453cc29fce4.</t>
        </is>
      </c>
    </row>
    <row r="406" spans="1:7" x14ac:dyDescent="0.2">
      <c r="A406" t="s">
        <v>223</v>
      </c>
      <c r="B406" s="3">
        <v>3.2000000000000001E-2</v>
      </c>
      <c r="C406" t="s">
        <v>9</v>
      </c>
      <c r="E406" t="s">
        <v>5</v>
      </c>
      <c r="F406" t="s">
        <v>27</v>
      </c>
      <c r="G406" t="s">
        <v>224</v>
      </c>
    </row>
    <row r="407" spans="1:7" x14ac:dyDescent="0.2">
      <c r="A407" t="s">
        <v>225</v>
      </c>
      <c r="B407" s="3">
        <v>1.6E-2</v>
      </c>
      <c r="C407" t="s">
        <v>9</v>
      </c>
      <c r="E407" t="s">
        <v>5</v>
      </c>
      <c r="F407" t="s">
        <v>27</v>
      </c>
      <c r="G407" t="s">
        <v>226</v>
      </c>
    </row>
    <row r="408" spans="1:7" x14ac:dyDescent="0.2">
      <c r="A408" t="s">
        <v>227</v>
      </c>
      <c r="B408" s="3">
        <v>0.45</v>
      </c>
      <c r="C408" t="s">
        <v>9</v>
      </c>
      <c r="E408" t="s">
        <v>5</v>
      </c>
      <c r="F408" t="s">
        <v>27</v>
      </c>
      <c r="G408" t="s">
        <v>228</v>
      </c>
    </row>
    <row r="409" spans="1:7" x14ac:dyDescent="0.2">
      <c r="A409" t="s">
        <v>210</v>
      </c>
      <c r="B409" s="3">
        <v>1.4E-3</v>
      </c>
      <c r="C409" t="s">
        <v>9</v>
      </c>
      <c r="E409" t="s">
        <v>48</v>
      </c>
      <c r="F409" t="s">
        <v>27</v>
      </c>
      <c r="G409" t="s">
        <v>210</v>
      </c>
    </row>
    <row r="410" spans="1:7" x14ac:dyDescent="0.2">
      <c r="A410" t="s">
        <v>230</v>
      </c>
      <c r="B410" s="3">
        <v>0.12</v>
      </c>
      <c r="C410" t="s">
        <v>9</v>
      </c>
      <c r="E410" t="s">
        <v>48</v>
      </c>
      <c r="F410" t="s">
        <v>27</v>
      </c>
      <c r="G410" t="s">
        <v>230</v>
      </c>
    </row>
    <row r="411" spans="1:7" x14ac:dyDescent="0.2">
      <c r="A411" t="s">
        <v>231</v>
      </c>
      <c r="B411" s="3">
        <v>0.27</v>
      </c>
      <c r="C411" t="s">
        <v>9</v>
      </c>
      <c r="E411" t="s">
        <v>48</v>
      </c>
      <c r="F411" t="s">
        <v>27</v>
      </c>
      <c r="G411" t="s">
        <v>231</v>
      </c>
    </row>
    <row r="412" spans="1:7" x14ac:dyDescent="0.2">
      <c r="A412" t="s">
        <v>229</v>
      </c>
      <c r="B412" s="3">
        <v>1.6E-2</v>
      </c>
      <c r="C412" t="s">
        <v>9</v>
      </c>
      <c r="E412" t="s">
        <v>48</v>
      </c>
      <c r="F412" t="s">
        <v>27</v>
      </c>
      <c r="G412" t="s">
        <v>229</v>
      </c>
    </row>
    <row r="413" spans="1:7" x14ac:dyDescent="0.2">
      <c r="A413" t="s">
        <v>136</v>
      </c>
      <c r="B413" s="3">
        <v>0.14000000000000001</v>
      </c>
      <c r="C413" t="s">
        <v>9</v>
      </c>
      <c r="E413" t="s">
        <v>48</v>
      </c>
      <c r="F413" t="s">
        <v>27</v>
      </c>
      <c r="G413" t="s">
        <v>136</v>
      </c>
    </row>
    <row r="414" spans="1:7" x14ac:dyDescent="0.2">
      <c r="A414" t="s">
        <v>199</v>
      </c>
      <c r="B414" s="3">
        <v>0.11</v>
      </c>
      <c r="C414" t="s">
        <v>88</v>
      </c>
      <c r="E414" t="s">
        <v>48</v>
      </c>
      <c r="F414" t="s">
        <v>27</v>
      </c>
      <c r="G414" t="s">
        <v>214</v>
      </c>
    </row>
    <row r="415" spans="1:7" x14ac:dyDescent="0.2">
      <c r="A415" t="s">
        <v>87</v>
      </c>
      <c r="B415" s="3">
        <v>5.5E-2</v>
      </c>
      <c r="C415" t="s">
        <v>88</v>
      </c>
      <c r="E415" t="s">
        <v>63</v>
      </c>
      <c r="F415" t="s">
        <v>27</v>
      </c>
      <c r="G415" t="s">
        <v>89</v>
      </c>
    </row>
    <row r="416" spans="1:7" x14ac:dyDescent="0.2">
      <c r="A416" t="s">
        <v>212</v>
      </c>
      <c r="B416" s="3">
        <v>2E-8</v>
      </c>
      <c r="C416" t="s">
        <v>8</v>
      </c>
      <c r="E416" t="s">
        <v>5</v>
      </c>
      <c r="F416" t="s">
        <v>27</v>
      </c>
      <c r="G416" t="s">
        <v>213</v>
      </c>
    </row>
    <row r="418" spans="1:8" ht="16" x14ac:dyDescent="0.2">
      <c r="A418" s="2" t="s">
        <v>2</v>
      </c>
      <c r="B418" s="1" t="s">
        <v>198</v>
      </c>
    </row>
    <row r="419" spans="1:8" x14ac:dyDescent="0.2">
      <c r="A419" t="s">
        <v>3</v>
      </c>
      <c r="B419" t="s">
        <v>257</v>
      </c>
    </row>
    <row r="420" spans="1:8" x14ac:dyDescent="0.2">
      <c r="A420" t="s">
        <v>4</v>
      </c>
      <c r="B420" t="s">
        <v>48</v>
      </c>
    </row>
    <row r="421" spans="1:8" x14ac:dyDescent="0.2">
      <c r="A421" t="s">
        <v>6</v>
      </c>
      <c r="B421">
        <v>1</v>
      </c>
    </row>
    <row r="422" spans="1:8" x14ac:dyDescent="0.2">
      <c r="A422" t="s">
        <v>7</v>
      </c>
      <c r="B422" t="s">
        <v>194</v>
      </c>
    </row>
    <row r="423" spans="1:8" x14ac:dyDescent="0.2">
      <c r="A423" t="s">
        <v>8</v>
      </c>
      <c r="B423" t="s">
        <v>9</v>
      </c>
    </row>
    <row r="424" spans="1:8" x14ac:dyDescent="0.2">
      <c r="A424" t="s">
        <v>10</v>
      </c>
      <c r="B424" t="s">
        <v>16</v>
      </c>
    </row>
    <row r="425" spans="1:8" x14ac:dyDescent="0.2">
      <c r="A425" s="1" t="s">
        <v>11</v>
      </c>
      <c r="B425" s="1"/>
      <c r="C425" s="1"/>
      <c r="D425" s="1"/>
      <c r="E425" s="1"/>
      <c r="F425" s="1"/>
      <c r="G425" s="1"/>
    </row>
    <row r="426" spans="1:8" x14ac:dyDescent="0.2">
      <c r="A426" s="1" t="s">
        <v>12</v>
      </c>
      <c r="B426" s="1" t="s">
        <v>13</v>
      </c>
      <c r="C426" s="1" t="s">
        <v>8</v>
      </c>
      <c r="D426" s="1" t="s">
        <v>14</v>
      </c>
      <c r="E426" s="1" t="s">
        <v>4</v>
      </c>
      <c r="F426" s="1" t="s">
        <v>15</v>
      </c>
      <c r="G426" s="1" t="s">
        <v>7</v>
      </c>
      <c r="H426" s="1" t="s">
        <v>3</v>
      </c>
    </row>
    <row r="427" spans="1:8" x14ac:dyDescent="0.2">
      <c r="A427" t="str">
        <f>B418</f>
        <v>low voltage system production, for Li-O2 battery</v>
      </c>
      <c r="B427">
        <v>1</v>
      </c>
      <c r="C427" t="str">
        <f>B423</f>
        <v>kilogram</v>
      </c>
      <c r="E427" t="str">
        <f>B420</f>
        <v>RER</v>
      </c>
      <c r="F427" t="s">
        <v>18</v>
      </c>
      <c r="G427" t="str">
        <f>B422</f>
        <v>low voltage system</v>
      </c>
    </row>
    <row r="428" spans="1:8" x14ac:dyDescent="0.2">
      <c r="A428" t="s">
        <v>219</v>
      </c>
      <c r="B428" s="3">
        <v>2.9000000000000001E-2</v>
      </c>
      <c r="C428" t="s">
        <v>9</v>
      </c>
      <c r="E428" t="s">
        <v>48</v>
      </c>
      <c r="F428" t="s">
        <v>27</v>
      </c>
      <c r="G428" t="s">
        <v>220</v>
      </c>
    </row>
    <row r="429" spans="1:8" x14ac:dyDescent="0.2">
      <c r="A429" t="s">
        <v>232</v>
      </c>
      <c r="B429" s="3">
        <v>0.97</v>
      </c>
      <c r="C429" t="s">
        <v>9</v>
      </c>
      <c r="E429" t="s">
        <v>5</v>
      </c>
      <c r="F429" t="s">
        <v>27</v>
      </c>
      <c r="G429" t="s">
        <v>233</v>
      </c>
    </row>
    <row r="430" spans="1:8" x14ac:dyDescent="0.2">
      <c r="A430" t="s">
        <v>136</v>
      </c>
      <c r="B430" s="3">
        <v>2.9000000000000001E-2</v>
      </c>
      <c r="C430" t="s">
        <v>9</v>
      </c>
      <c r="E430" t="s">
        <v>48</v>
      </c>
      <c r="F430" t="s">
        <v>27</v>
      </c>
      <c r="G430" t="s">
        <v>136</v>
      </c>
    </row>
    <row r="431" spans="1:8" x14ac:dyDescent="0.2">
      <c r="A431" t="s">
        <v>199</v>
      </c>
      <c r="B431" s="3">
        <v>0.11</v>
      </c>
      <c r="C431" t="s">
        <v>88</v>
      </c>
      <c r="E431" t="s">
        <v>48</v>
      </c>
      <c r="F431" t="s">
        <v>27</v>
      </c>
      <c r="G431" t="s">
        <v>214</v>
      </c>
    </row>
    <row r="432" spans="1:8" x14ac:dyDescent="0.2">
      <c r="A432" t="s">
        <v>87</v>
      </c>
      <c r="B432" s="3">
        <v>0.2</v>
      </c>
      <c r="C432" t="s">
        <v>88</v>
      </c>
      <c r="E432" t="s">
        <v>63</v>
      </c>
      <c r="F432" t="s">
        <v>27</v>
      </c>
      <c r="G432" t="s">
        <v>89</v>
      </c>
    </row>
    <row r="433" spans="1:8" x14ac:dyDescent="0.2">
      <c r="A433" t="s">
        <v>212</v>
      </c>
      <c r="B433" s="3">
        <v>2E-8</v>
      </c>
      <c r="C433" t="s">
        <v>8</v>
      </c>
      <c r="E433" t="s">
        <v>5</v>
      </c>
      <c r="F433" t="s">
        <v>27</v>
      </c>
      <c r="G433" t="s">
        <v>213</v>
      </c>
    </row>
    <row r="436" spans="1:8" ht="16" x14ac:dyDescent="0.2">
      <c r="A436" s="2" t="s">
        <v>2</v>
      </c>
      <c r="B436" s="1" t="s">
        <v>234</v>
      </c>
    </row>
    <row r="437" spans="1:8" x14ac:dyDescent="0.2">
      <c r="A437" t="s">
        <v>3</v>
      </c>
      <c r="B437" t="s">
        <v>258</v>
      </c>
    </row>
    <row r="438" spans="1:8" x14ac:dyDescent="0.2">
      <c r="A438" t="s">
        <v>4</v>
      </c>
      <c r="B438" t="s">
        <v>48</v>
      </c>
    </row>
    <row r="439" spans="1:8" x14ac:dyDescent="0.2">
      <c r="A439" t="s">
        <v>6</v>
      </c>
      <c r="B439">
        <v>1</v>
      </c>
    </row>
    <row r="440" spans="1:8" x14ac:dyDescent="0.2">
      <c r="A440" t="s">
        <v>7</v>
      </c>
      <c r="B440" t="s">
        <v>166</v>
      </c>
    </row>
    <row r="441" spans="1:8" x14ac:dyDescent="0.2">
      <c r="A441" t="s">
        <v>8</v>
      </c>
      <c r="B441" t="s">
        <v>9</v>
      </c>
    </row>
    <row r="442" spans="1:8" x14ac:dyDescent="0.2">
      <c r="A442" t="s">
        <v>10</v>
      </c>
      <c r="B442" t="s">
        <v>16</v>
      </c>
    </row>
    <row r="443" spans="1:8" x14ac:dyDescent="0.2">
      <c r="A443" s="1" t="s">
        <v>11</v>
      </c>
      <c r="B443" s="1"/>
      <c r="C443" s="1"/>
      <c r="D443" s="1"/>
      <c r="E443" s="1"/>
      <c r="F443" s="1"/>
      <c r="G443" s="1"/>
    </row>
    <row r="444" spans="1:8" x14ac:dyDescent="0.2">
      <c r="A444" s="1" t="s">
        <v>12</v>
      </c>
      <c r="B444" s="1" t="s">
        <v>13</v>
      </c>
      <c r="C444" s="1" t="s">
        <v>8</v>
      </c>
      <c r="D444" s="1" t="s">
        <v>14</v>
      </c>
      <c r="E444" s="1" t="s">
        <v>4</v>
      </c>
      <c r="F444" s="1" t="s">
        <v>15</v>
      </c>
      <c r="G444" s="1" t="s">
        <v>7</v>
      </c>
      <c r="H444" s="1" t="s">
        <v>3</v>
      </c>
    </row>
    <row r="445" spans="1:8" x14ac:dyDescent="0.2">
      <c r="A445" t="str">
        <f>B436</f>
        <v>cooling system production, for Li-O2 battery</v>
      </c>
      <c r="B445">
        <v>1</v>
      </c>
      <c r="C445" t="str">
        <f>B441</f>
        <v>kilogram</v>
      </c>
      <c r="E445" t="str">
        <f>B438</f>
        <v>RER</v>
      </c>
      <c r="F445" t="s">
        <v>18</v>
      </c>
      <c r="G445" t="str">
        <f>B440</f>
        <v>cooling system</v>
      </c>
    </row>
    <row r="446" spans="1:8" x14ac:dyDescent="0.2">
      <c r="A446" t="s">
        <v>235</v>
      </c>
      <c r="B446" s="3">
        <v>0.87</v>
      </c>
      <c r="C446" t="s">
        <v>9</v>
      </c>
      <c r="E446" t="s">
        <v>48</v>
      </c>
      <c r="F446" t="s">
        <v>27</v>
      </c>
      <c r="G446" t="s">
        <v>242</v>
      </c>
    </row>
    <row r="447" spans="1:8" x14ac:dyDescent="0.2">
      <c r="A447" t="s">
        <v>236</v>
      </c>
      <c r="B447" s="3">
        <v>3.7999999999999999E-2</v>
      </c>
      <c r="C447" t="s">
        <v>9</v>
      </c>
      <c r="E447" t="s">
        <v>48</v>
      </c>
      <c r="F447" t="s">
        <v>27</v>
      </c>
      <c r="G447" t="s">
        <v>243</v>
      </c>
    </row>
    <row r="448" spans="1:8" x14ac:dyDescent="0.2">
      <c r="A448" t="s">
        <v>237</v>
      </c>
      <c r="B448" s="3">
        <v>2.3E-2</v>
      </c>
      <c r="C448" t="s">
        <v>9</v>
      </c>
      <c r="E448" t="s">
        <v>48</v>
      </c>
      <c r="F448" t="s">
        <v>27</v>
      </c>
      <c r="G448" t="s">
        <v>244</v>
      </c>
    </row>
    <row r="449" spans="1:8" x14ac:dyDescent="0.2">
      <c r="A449" t="s">
        <v>238</v>
      </c>
      <c r="B449" s="3">
        <v>9.6000000000000002E-4</v>
      </c>
      <c r="C449" t="s">
        <v>9</v>
      </c>
      <c r="E449" t="s">
        <v>48</v>
      </c>
      <c r="F449" t="s">
        <v>27</v>
      </c>
      <c r="G449" t="s">
        <v>245</v>
      </c>
    </row>
    <row r="450" spans="1:8" x14ac:dyDescent="0.2">
      <c r="A450" t="s">
        <v>239</v>
      </c>
      <c r="B450" s="3">
        <v>0.02</v>
      </c>
      <c r="C450" t="s">
        <v>9</v>
      </c>
      <c r="E450" t="s">
        <v>48</v>
      </c>
      <c r="F450" t="s">
        <v>27</v>
      </c>
      <c r="G450" t="s">
        <v>246</v>
      </c>
    </row>
    <row r="451" spans="1:8" x14ac:dyDescent="0.2">
      <c r="A451" t="s">
        <v>240</v>
      </c>
      <c r="B451" s="3">
        <v>4.8000000000000001E-2</v>
      </c>
      <c r="C451" t="s">
        <v>9</v>
      </c>
      <c r="E451" t="s">
        <v>48</v>
      </c>
      <c r="F451" t="s">
        <v>27</v>
      </c>
      <c r="G451" t="s">
        <v>241</v>
      </c>
      <c r="H451" s="6">
        <f>B451*B283</f>
        <v>6.2026168224299056E-3</v>
      </c>
    </row>
    <row r="452" spans="1:8" x14ac:dyDescent="0.2">
      <c r="A452" t="s">
        <v>87</v>
      </c>
      <c r="B452" s="3">
        <v>0.22</v>
      </c>
      <c r="C452" t="s">
        <v>88</v>
      </c>
      <c r="E452" t="s">
        <v>63</v>
      </c>
      <c r="F452" t="s">
        <v>27</v>
      </c>
      <c r="G452" t="s">
        <v>89</v>
      </c>
    </row>
    <row r="453" spans="1:8" x14ac:dyDescent="0.2">
      <c r="A453" t="s">
        <v>199</v>
      </c>
      <c r="B453" s="3">
        <v>0.1</v>
      </c>
      <c r="C453" t="s">
        <v>88</v>
      </c>
      <c r="E453" t="s">
        <v>48</v>
      </c>
      <c r="F453" t="s">
        <v>27</v>
      </c>
      <c r="G453" t="s">
        <v>214</v>
      </c>
    </row>
    <row r="456" spans="1:8" ht="16" x14ac:dyDescent="0.2">
      <c r="A456" s="2" t="s">
        <v>2</v>
      </c>
      <c r="B456" s="1" t="s">
        <v>235</v>
      </c>
    </row>
    <row r="457" spans="1:8" x14ac:dyDescent="0.2">
      <c r="A457" t="s">
        <v>3</v>
      </c>
      <c r="B457" t="s">
        <v>257</v>
      </c>
    </row>
    <row r="458" spans="1:8" x14ac:dyDescent="0.2">
      <c r="A458" t="s">
        <v>4</v>
      </c>
      <c r="B458" t="s">
        <v>48</v>
      </c>
    </row>
    <row r="459" spans="1:8" x14ac:dyDescent="0.2">
      <c r="A459" t="s">
        <v>6</v>
      </c>
      <c r="B459">
        <v>1</v>
      </c>
    </row>
    <row r="460" spans="1:8" x14ac:dyDescent="0.2">
      <c r="A460" t="s">
        <v>7</v>
      </c>
      <c r="B460" t="s">
        <v>242</v>
      </c>
    </row>
    <row r="461" spans="1:8" x14ac:dyDescent="0.2">
      <c r="A461" t="s">
        <v>8</v>
      </c>
      <c r="B461" t="s">
        <v>9</v>
      </c>
    </row>
    <row r="462" spans="1:8" x14ac:dyDescent="0.2">
      <c r="A462" t="s">
        <v>10</v>
      </c>
      <c r="B462" t="s">
        <v>16</v>
      </c>
    </row>
    <row r="463" spans="1:8" x14ac:dyDescent="0.2">
      <c r="A463" s="1" t="s">
        <v>11</v>
      </c>
      <c r="B463" s="1"/>
      <c r="C463" s="1"/>
      <c r="D463" s="1"/>
      <c r="E463" s="1"/>
      <c r="F463" s="1"/>
      <c r="G463" s="1"/>
    </row>
    <row r="464" spans="1:8" x14ac:dyDescent="0.2">
      <c r="A464" s="1" t="s">
        <v>12</v>
      </c>
      <c r="B464" s="1" t="s">
        <v>13</v>
      </c>
      <c r="C464" s="1" t="s">
        <v>8</v>
      </c>
      <c r="D464" s="1" t="s">
        <v>14</v>
      </c>
      <c r="E464" s="1" t="s">
        <v>4</v>
      </c>
      <c r="F464" s="1" t="s">
        <v>15</v>
      </c>
      <c r="G464" s="1" t="s">
        <v>7</v>
      </c>
      <c r="H464" s="1" t="s">
        <v>3</v>
      </c>
    </row>
    <row r="465" spans="1:7" x14ac:dyDescent="0.2">
      <c r="A465" t="str">
        <f>B456</f>
        <v>radiator production, for Li-O2 battery</v>
      </c>
      <c r="B465">
        <v>1</v>
      </c>
      <c r="C465" t="str">
        <f>B461</f>
        <v>kilogram</v>
      </c>
      <c r="E465" t="str">
        <f>B458</f>
        <v>RER</v>
      </c>
      <c r="F465" t="s">
        <v>18</v>
      </c>
      <c r="G465" t="str">
        <f>B460</f>
        <v>radiator</v>
      </c>
    </row>
    <row r="466" spans="1:7" x14ac:dyDescent="0.2">
      <c r="A466" t="s">
        <v>217</v>
      </c>
      <c r="B466" s="3">
        <v>1</v>
      </c>
      <c r="C466" t="s">
        <v>9</v>
      </c>
      <c r="E466" t="s">
        <v>63</v>
      </c>
      <c r="F466" t="s">
        <v>27</v>
      </c>
      <c r="G466" t="s">
        <v>218</v>
      </c>
    </row>
    <row r="467" spans="1:7" x14ac:dyDescent="0.2">
      <c r="A467" t="s">
        <v>111</v>
      </c>
      <c r="B467">
        <v>1</v>
      </c>
      <c r="C467" t="s">
        <v>9</v>
      </c>
      <c r="E467" t="s">
        <v>48</v>
      </c>
      <c r="F467" t="s">
        <v>27</v>
      </c>
      <c r="G467" t="s">
        <v>111</v>
      </c>
    </row>
    <row r="468" spans="1:7" x14ac:dyDescent="0.2">
      <c r="A468" t="s">
        <v>87</v>
      </c>
      <c r="B468" s="3">
        <v>0.2</v>
      </c>
      <c r="C468" t="s">
        <v>88</v>
      </c>
      <c r="E468" t="s">
        <v>63</v>
      </c>
      <c r="F468" t="s">
        <v>27</v>
      </c>
      <c r="G468" t="s">
        <v>89</v>
      </c>
    </row>
    <row r="469" spans="1:7" x14ac:dyDescent="0.2">
      <c r="A469" t="s">
        <v>199</v>
      </c>
      <c r="B469" s="3">
        <v>0.1</v>
      </c>
      <c r="C469" t="s">
        <v>88</v>
      </c>
      <c r="E469" t="s">
        <v>48</v>
      </c>
      <c r="F469" t="s">
        <v>27</v>
      </c>
      <c r="G469" t="s">
        <v>214</v>
      </c>
    </row>
    <row r="470" spans="1:7" x14ac:dyDescent="0.2">
      <c r="A470" t="s">
        <v>114</v>
      </c>
      <c r="B470" s="3">
        <v>1.5E-10</v>
      </c>
      <c r="C470" t="s">
        <v>8</v>
      </c>
      <c r="E470" t="s">
        <v>48</v>
      </c>
      <c r="F470" t="s">
        <v>27</v>
      </c>
      <c r="G470" t="s">
        <v>115</v>
      </c>
    </row>
    <row r="473" spans="1:7" ht="16" x14ac:dyDescent="0.2">
      <c r="A473" s="2" t="s">
        <v>2</v>
      </c>
      <c r="B473" s="1" t="s">
        <v>236</v>
      </c>
    </row>
    <row r="474" spans="1:7" x14ac:dyDescent="0.2">
      <c r="A474" t="s">
        <v>3</v>
      </c>
      <c r="B474" t="s">
        <v>257</v>
      </c>
    </row>
    <row r="475" spans="1:7" x14ac:dyDescent="0.2">
      <c r="A475" t="s">
        <v>4</v>
      </c>
      <c r="B475" t="s">
        <v>48</v>
      </c>
    </row>
    <row r="476" spans="1:7" x14ac:dyDescent="0.2">
      <c r="A476" t="s">
        <v>6</v>
      </c>
      <c r="B476">
        <v>1</v>
      </c>
    </row>
    <row r="477" spans="1:7" x14ac:dyDescent="0.2">
      <c r="A477" t="s">
        <v>7</v>
      </c>
      <c r="B477" t="s">
        <v>243</v>
      </c>
    </row>
    <row r="478" spans="1:7" x14ac:dyDescent="0.2">
      <c r="A478" t="s">
        <v>8</v>
      </c>
      <c r="B478" t="s">
        <v>9</v>
      </c>
    </row>
    <row r="479" spans="1:7" x14ac:dyDescent="0.2">
      <c r="A479" t="s">
        <v>10</v>
      </c>
      <c r="B479" t="s">
        <v>16</v>
      </c>
    </row>
    <row r="480" spans="1:7" x14ac:dyDescent="0.2">
      <c r="A480" s="1" t="s">
        <v>11</v>
      </c>
      <c r="B480" s="1"/>
      <c r="C480" s="1"/>
      <c r="D480" s="1"/>
      <c r="E480" s="1"/>
      <c r="F480" s="1"/>
      <c r="G480" s="1"/>
    </row>
    <row r="481" spans="1:8" x14ac:dyDescent="0.2">
      <c r="A481" s="1" t="s">
        <v>12</v>
      </c>
      <c r="B481" s="1" t="s">
        <v>13</v>
      </c>
      <c r="C481" s="1" t="s">
        <v>8</v>
      </c>
      <c r="D481" s="1" t="s">
        <v>14</v>
      </c>
      <c r="E481" s="1" t="s">
        <v>4</v>
      </c>
      <c r="F481" s="1" t="s">
        <v>15</v>
      </c>
      <c r="G481" s="1" t="s">
        <v>7</v>
      </c>
      <c r="H481" s="1" t="s">
        <v>3</v>
      </c>
    </row>
    <row r="482" spans="1:8" x14ac:dyDescent="0.2">
      <c r="A482" t="str">
        <f>B473</f>
        <v>manifolds production, for Li-O2 battery</v>
      </c>
      <c r="B482">
        <v>1</v>
      </c>
      <c r="C482" t="str">
        <f>B478</f>
        <v>kilogram</v>
      </c>
      <c r="E482" t="str">
        <f>B475</f>
        <v>RER</v>
      </c>
      <c r="F482" t="s">
        <v>18</v>
      </c>
      <c r="G482" t="str">
        <f>B477</f>
        <v>manifolds</v>
      </c>
    </row>
    <row r="483" spans="1:8" x14ac:dyDescent="0.2">
      <c r="A483" t="s">
        <v>217</v>
      </c>
      <c r="B483" s="3">
        <v>1</v>
      </c>
      <c r="C483" t="s">
        <v>9</v>
      </c>
      <c r="E483" t="s">
        <v>63</v>
      </c>
      <c r="F483" t="s">
        <v>27</v>
      </c>
      <c r="G483" t="s">
        <v>218</v>
      </c>
    </row>
    <row r="484" spans="1:8" x14ac:dyDescent="0.2">
      <c r="A484" t="s">
        <v>230</v>
      </c>
      <c r="B484" s="3">
        <v>1</v>
      </c>
      <c r="C484" t="s">
        <v>9</v>
      </c>
      <c r="E484" t="s">
        <v>48</v>
      </c>
      <c r="F484" t="s">
        <v>27</v>
      </c>
      <c r="G484" t="s">
        <v>230</v>
      </c>
    </row>
    <row r="485" spans="1:8" x14ac:dyDescent="0.2">
      <c r="A485" t="s">
        <v>87</v>
      </c>
      <c r="B485" s="3">
        <v>0.2</v>
      </c>
      <c r="C485" t="s">
        <v>88</v>
      </c>
      <c r="E485" t="s">
        <v>63</v>
      </c>
      <c r="F485" t="s">
        <v>27</v>
      </c>
      <c r="G485" t="s">
        <v>89</v>
      </c>
    </row>
    <row r="486" spans="1:8" x14ac:dyDescent="0.2">
      <c r="A486" t="s">
        <v>199</v>
      </c>
      <c r="B486" s="3">
        <v>0.1</v>
      </c>
      <c r="C486" t="s">
        <v>88</v>
      </c>
      <c r="E486" t="s">
        <v>48</v>
      </c>
      <c r="F486" t="s">
        <v>27</v>
      </c>
      <c r="G486" t="s">
        <v>214</v>
      </c>
    </row>
    <row r="487" spans="1:8" x14ac:dyDescent="0.2">
      <c r="A487" t="s">
        <v>114</v>
      </c>
      <c r="B487" s="3">
        <v>1.5E-10</v>
      </c>
      <c r="C487" t="s">
        <v>8</v>
      </c>
      <c r="E487" t="s">
        <v>48</v>
      </c>
      <c r="F487" t="s">
        <v>27</v>
      </c>
      <c r="G487" t="s">
        <v>115</v>
      </c>
    </row>
    <row r="490" spans="1:8" ht="16" x14ac:dyDescent="0.2">
      <c r="A490" s="2" t="s">
        <v>2</v>
      </c>
      <c r="B490" s="1" t="s">
        <v>237</v>
      </c>
    </row>
    <row r="491" spans="1:8" x14ac:dyDescent="0.2">
      <c r="A491" t="s">
        <v>3</v>
      </c>
      <c r="B491" t="s">
        <v>257</v>
      </c>
    </row>
    <row r="492" spans="1:8" x14ac:dyDescent="0.2">
      <c r="A492" t="s">
        <v>4</v>
      </c>
      <c r="B492" t="s">
        <v>48</v>
      </c>
    </row>
    <row r="493" spans="1:8" x14ac:dyDescent="0.2">
      <c r="A493" t="s">
        <v>6</v>
      </c>
      <c r="B493">
        <v>1</v>
      </c>
    </row>
    <row r="494" spans="1:8" x14ac:dyDescent="0.2">
      <c r="A494" t="s">
        <v>7</v>
      </c>
      <c r="B494" t="s">
        <v>244</v>
      </c>
    </row>
    <row r="495" spans="1:8" x14ac:dyDescent="0.2">
      <c r="A495" t="s">
        <v>8</v>
      </c>
      <c r="B495" t="s">
        <v>9</v>
      </c>
    </row>
    <row r="496" spans="1:8" x14ac:dyDescent="0.2">
      <c r="A496" t="s">
        <v>10</v>
      </c>
      <c r="B496" t="s">
        <v>16</v>
      </c>
    </row>
    <row r="497" spans="1:7" x14ac:dyDescent="0.2">
      <c r="A497" s="1" t="s">
        <v>11</v>
      </c>
      <c r="B497" s="1"/>
      <c r="C497" s="1"/>
      <c r="D497" s="1"/>
      <c r="E497" s="1"/>
      <c r="F497" s="1"/>
      <c r="G497" s="1"/>
    </row>
    <row r="498" spans="1:7" x14ac:dyDescent="0.2">
      <c r="A498" s="1" t="s">
        <v>12</v>
      </c>
      <c r="B498" s="1" t="s">
        <v>13</v>
      </c>
      <c r="C498" s="1" t="s">
        <v>8</v>
      </c>
      <c r="D498" s="1" t="s">
        <v>14</v>
      </c>
      <c r="E498" s="1" t="s">
        <v>4</v>
      </c>
      <c r="F498" s="1" t="s">
        <v>15</v>
      </c>
      <c r="G498" s="1" t="s">
        <v>7</v>
      </c>
    </row>
    <row r="499" spans="1:7" x14ac:dyDescent="0.2">
      <c r="A499" t="str">
        <f>B490</f>
        <v>clamps and fasteners production, for Li-O2 battery</v>
      </c>
      <c r="B499">
        <v>1</v>
      </c>
      <c r="C499" t="str">
        <f>B495</f>
        <v>kilogram</v>
      </c>
      <c r="E499" t="str">
        <f>B492</f>
        <v>RER</v>
      </c>
      <c r="F499" t="s">
        <v>18</v>
      </c>
      <c r="G499" t="str">
        <f>B494</f>
        <v>clamps and fasteners</v>
      </c>
    </row>
    <row r="500" spans="1:7" x14ac:dyDescent="0.2">
      <c r="A500" t="s">
        <v>144</v>
      </c>
      <c r="B500" s="3">
        <v>1</v>
      </c>
      <c r="C500" t="s">
        <v>9</v>
      </c>
      <c r="E500" t="s">
        <v>5</v>
      </c>
      <c r="F500" t="s">
        <v>27</v>
      </c>
      <c r="G500" t="s">
        <v>145</v>
      </c>
    </row>
    <row r="501" spans="1:7" x14ac:dyDescent="0.2">
      <c r="A501" t="s">
        <v>210</v>
      </c>
      <c r="B501" s="3">
        <v>1</v>
      </c>
      <c r="C501" t="s">
        <v>9</v>
      </c>
      <c r="E501" t="s">
        <v>48</v>
      </c>
      <c r="F501" t="s">
        <v>27</v>
      </c>
      <c r="G501" t="s">
        <v>210</v>
      </c>
    </row>
    <row r="502" spans="1:7" x14ac:dyDescent="0.2">
      <c r="A502" t="s">
        <v>87</v>
      </c>
      <c r="B502" s="3">
        <v>0.2</v>
      </c>
      <c r="C502" t="s">
        <v>88</v>
      </c>
      <c r="E502" t="s">
        <v>63</v>
      </c>
      <c r="F502" t="s">
        <v>27</v>
      </c>
      <c r="G502" t="s">
        <v>89</v>
      </c>
    </row>
    <row r="503" spans="1:7" x14ac:dyDescent="0.2">
      <c r="A503" t="s">
        <v>199</v>
      </c>
      <c r="B503" s="3">
        <v>0.1</v>
      </c>
      <c r="C503" t="s">
        <v>88</v>
      </c>
      <c r="E503" t="s">
        <v>48</v>
      </c>
      <c r="F503" t="s">
        <v>27</v>
      </c>
      <c r="G503" t="s">
        <v>214</v>
      </c>
    </row>
    <row r="504" spans="1:7" x14ac:dyDescent="0.2">
      <c r="A504" t="s">
        <v>85</v>
      </c>
      <c r="B504" s="3">
        <v>4.6000000000000001E-10</v>
      </c>
      <c r="C504" t="s">
        <v>8</v>
      </c>
      <c r="E504" t="s">
        <v>5</v>
      </c>
      <c r="F504" t="s">
        <v>27</v>
      </c>
      <c r="G504" t="s">
        <v>86</v>
      </c>
    </row>
    <row r="507" spans="1:7" ht="16" x14ac:dyDescent="0.2">
      <c r="A507" s="2" t="s">
        <v>2</v>
      </c>
      <c r="B507" s="1" t="s">
        <v>238</v>
      </c>
    </row>
    <row r="508" spans="1:7" x14ac:dyDescent="0.2">
      <c r="A508" t="s">
        <v>3</v>
      </c>
      <c r="B508" t="s">
        <v>257</v>
      </c>
    </row>
    <row r="509" spans="1:7" x14ac:dyDescent="0.2">
      <c r="A509" t="s">
        <v>4</v>
      </c>
      <c r="B509" t="s">
        <v>48</v>
      </c>
    </row>
    <row r="510" spans="1:7" x14ac:dyDescent="0.2">
      <c r="A510" t="s">
        <v>6</v>
      </c>
      <c r="B510">
        <v>1</v>
      </c>
    </row>
    <row r="511" spans="1:7" x14ac:dyDescent="0.2">
      <c r="A511" t="s">
        <v>7</v>
      </c>
      <c r="B511" t="s">
        <v>245</v>
      </c>
    </row>
    <row r="512" spans="1:7" x14ac:dyDescent="0.2">
      <c r="A512" t="s">
        <v>8</v>
      </c>
      <c r="B512" t="s">
        <v>9</v>
      </c>
    </row>
    <row r="513" spans="1:8" x14ac:dyDescent="0.2">
      <c r="A513" t="s">
        <v>10</v>
      </c>
      <c r="B513" t="s">
        <v>16</v>
      </c>
    </row>
    <row r="514" spans="1:8" x14ac:dyDescent="0.2">
      <c r="A514" s="1" t="s">
        <v>11</v>
      </c>
      <c r="B514" s="1"/>
      <c r="C514" s="1"/>
      <c r="D514" s="1"/>
      <c r="E514" s="1"/>
      <c r="F514" s="1"/>
      <c r="G514" s="1"/>
    </row>
    <row r="515" spans="1:8" x14ac:dyDescent="0.2">
      <c r="A515" s="1" t="s">
        <v>12</v>
      </c>
      <c r="B515" s="1" t="s">
        <v>13</v>
      </c>
      <c r="C515" s="1" t="s">
        <v>8</v>
      </c>
      <c r="D515" s="1" t="s">
        <v>14</v>
      </c>
      <c r="E515" s="1" t="s">
        <v>4</v>
      </c>
      <c r="F515" s="1" t="s">
        <v>15</v>
      </c>
      <c r="G515" s="1" t="s">
        <v>7</v>
      </c>
      <c r="H515" s="1" t="s">
        <v>3</v>
      </c>
    </row>
    <row r="516" spans="1:8" x14ac:dyDescent="0.2">
      <c r="A516" t="str">
        <f>B507</f>
        <v>pipe fitting production, for Li-O2 battery</v>
      </c>
      <c r="B516">
        <v>1</v>
      </c>
      <c r="C516" t="str">
        <f>B512</f>
        <v>kilogram</v>
      </c>
      <c r="E516" t="str">
        <f>B509</f>
        <v>RER</v>
      </c>
      <c r="F516" t="s">
        <v>18</v>
      </c>
      <c r="G516" t="str">
        <f>B511</f>
        <v>pipe fitting</v>
      </c>
    </row>
    <row r="517" spans="1:8" x14ac:dyDescent="0.2">
      <c r="A517" t="s">
        <v>247</v>
      </c>
      <c r="B517" s="3">
        <v>0.75</v>
      </c>
      <c r="C517" t="s">
        <v>9</v>
      </c>
      <c r="E517" t="s">
        <v>48</v>
      </c>
      <c r="F517" t="s">
        <v>27</v>
      </c>
      <c r="G517" t="s">
        <v>248</v>
      </c>
    </row>
    <row r="518" spans="1:8" x14ac:dyDescent="0.2">
      <c r="A518" t="s">
        <v>221</v>
      </c>
      <c r="B518" s="3">
        <v>0.25</v>
      </c>
      <c r="C518" t="s">
        <v>9</v>
      </c>
      <c r="E518" t="s">
        <v>48</v>
      </c>
      <c r="F518" t="s">
        <v>27</v>
      </c>
      <c r="G518" t="s">
        <v>222</v>
      </c>
    </row>
    <row r="519" spans="1:8" x14ac:dyDescent="0.2">
      <c r="A519" t="s">
        <v>136</v>
      </c>
      <c r="B519" s="3">
        <v>1</v>
      </c>
      <c r="C519" t="s">
        <v>9</v>
      </c>
      <c r="E519" t="s">
        <v>48</v>
      </c>
      <c r="F519" t="s">
        <v>27</v>
      </c>
      <c r="G519" t="s">
        <v>136</v>
      </c>
    </row>
    <row r="520" spans="1:8" x14ac:dyDescent="0.2">
      <c r="A520" t="s">
        <v>87</v>
      </c>
      <c r="B520" s="3">
        <v>0.2</v>
      </c>
      <c r="C520" t="s">
        <v>88</v>
      </c>
      <c r="E520" t="s">
        <v>63</v>
      </c>
      <c r="F520" t="s">
        <v>27</v>
      </c>
      <c r="G520" t="s">
        <v>89</v>
      </c>
    </row>
    <row r="521" spans="1:8" x14ac:dyDescent="0.2">
      <c r="A521" t="s">
        <v>199</v>
      </c>
      <c r="B521" s="3">
        <v>0.1</v>
      </c>
      <c r="C521" t="s">
        <v>88</v>
      </c>
      <c r="E521" t="s">
        <v>48</v>
      </c>
      <c r="F521" t="s">
        <v>27</v>
      </c>
      <c r="G521" t="s">
        <v>214</v>
      </c>
    </row>
    <row r="522" spans="1:8" x14ac:dyDescent="0.2">
      <c r="A522" t="s">
        <v>137</v>
      </c>
      <c r="B522" s="3">
        <v>7.4000000000000003E-10</v>
      </c>
      <c r="C522" t="s">
        <v>8</v>
      </c>
      <c r="E522" t="s">
        <v>48</v>
      </c>
      <c r="F522" t="s">
        <v>27</v>
      </c>
      <c r="G522" t="s">
        <v>138</v>
      </c>
    </row>
    <row r="525" spans="1:8" ht="16" x14ac:dyDescent="0.2">
      <c r="A525" s="2" t="s">
        <v>2</v>
      </c>
      <c r="B525" s="1" t="s">
        <v>239</v>
      </c>
    </row>
    <row r="526" spans="1:8" x14ac:dyDescent="0.2">
      <c r="A526" t="s">
        <v>3</v>
      </c>
      <c r="B526" t="s">
        <v>257</v>
      </c>
    </row>
    <row r="527" spans="1:8" x14ac:dyDescent="0.2">
      <c r="A527" t="s">
        <v>4</v>
      </c>
      <c r="B527" t="s">
        <v>48</v>
      </c>
    </row>
    <row r="528" spans="1:8" x14ac:dyDescent="0.2">
      <c r="A528" t="s">
        <v>6</v>
      </c>
      <c r="B528">
        <v>1</v>
      </c>
    </row>
    <row r="529" spans="1:8" x14ac:dyDescent="0.2">
      <c r="A529" t="s">
        <v>7</v>
      </c>
      <c r="B529" t="s">
        <v>246</v>
      </c>
    </row>
    <row r="530" spans="1:8" x14ac:dyDescent="0.2">
      <c r="A530" t="s">
        <v>8</v>
      </c>
      <c r="B530" t="s">
        <v>9</v>
      </c>
    </row>
    <row r="531" spans="1:8" x14ac:dyDescent="0.2">
      <c r="A531" t="s">
        <v>10</v>
      </c>
      <c r="B531" t="s">
        <v>16</v>
      </c>
    </row>
    <row r="532" spans="1:8" x14ac:dyDescent="0.2">
      <c r="A532" s="1" t="s">
        <v>11</v>
      </c>
      <c r="B532" s="1"/>
      <c r="C532" s="1"/>
      <c r="D532" s="1"/>
      <c r="E532" s="1"/>
      <c r="F532" s="1"/>
      <c r="G532" s="1"/>
    </row>
    <row r="533" spans="1:8" x14ac:dyDescent="0.2">
      <c r="A533" s="1" t="s">
        <v>12</v>
      </c>
      <c r="B533" s="1" t="s">
        <v>13</v>
      </c>
      <c r="C533" s="1" t="s">
        <v>8</v>
      </c>
      <c r="D533" s="1" t="s">
        <v>14</v>
      </c>
      <c r="E533" s="1" t="s">
        <v>4</v>
      </c>
      <c r="F533" s="1" t="s">
        <v>15</v>
      </c>
      <c r="G533" s="1" t="s">
        <v>7</v>
      </c>
      <c r="H533" s="1" t="s">
        <v>3</v>
      </c>
    </row>
    <row r="534" spans="1:8" x14ac:dyDescent="0.2">
      <c r="A534" t="str">
        <f>B525</f>
        <v>thermal pad production, for Li-O2 battery</v>
      </c>
      <c r="B534">
        <v>1</v>
      </c>
      <c r="C534" t="str">
        <f>B530</f>
        <v>kilogram</v>
      </c>
      <c r="E534" t="str">
        <f>B527</f>
        <v>RER</v>
      </c>
      <c r="F534" t="s">
        <v>18</v>
      </c>
      <c r="G534" t="str">
        <f>B529</f>
        <v>thermal pad</v>
      </c>
    </row>
    <row r="535" spans="1:8" x14ac:dyDescent="0.2">
      <c r="A535" t="s">
        <v>249</v>
      </c>
      <c r="B535" s="3">
        <v>0.1</v>
      </c>
      <c r="C535" t="s">
        <v>9</v>
      </c>
      <c r="E535" t="s">
        <v>48</v>
      </c>
      <c r="F535" t="s">
        <v>27</v>
      </c>
      <c r="G535" t="s">
        <v>250</v>
      </c>
    </row>
    <row r="536" spans="1:8" x14ac:dyDescent="0.2">
      <c r="A536" t="s">
        <v>252</v>
      </c>
      <c r="B536" s="3">
        <v>0.3</v>
      </c>
      <c r="C536" t="s">
        <v>9</v>
      </c>
      <c r="E536" t="s">
        <v>253</v>
      </c>
      <c r="F536" t="s">
        <v>27</v>
      </c>
      <c r="G536" t="s">
        <v>251</v>
      </c>
    </row>
    <row r="537" spans="1:8" x14ac:dyDescent="0.2">
      <c r="A537" t="s">
        <v>163</v>
      </c>
      <c r="B537" s="3">
        <v>0.6</v>
      </c>
      <c r="C537" t="s">
        <v>9</v>
      </c>
      <c r="E537" t="s">
        <v>5</v>
      </c>
      <c r="F537" t="s">
        <v>27</v>
      </c>
      <c r="G537" t="s">
        <v>164</v>
      </c>
    </row>
    <row r="538" spans="1:8" x14ac:dyDescent="0.2">
      <c r="A538" t="s">
        <v>136</v>
      </c>
      <c r="B538" s="3">
        <v>1</v>
      </c>
      <c r="C538" t="s">
        <v>9</v>
      </c>
      <c r="E538" t="s">
        <v>48</v>
      </c>
      <c r="F538" t="s">
        <v>27</v>
      </c>
      <c r="G538" t="s">
        <v>136</v>
      </c>
    </row>
    <row r="539" spans="1:8" x14ac:dyDescent="0.2">
      <c r="A539" t="s">
        <v>87</v>
      </c>
      <c r="B539" s="3">
        <v>0.2</v>
      </c>
      <c r="C539" t="s">
        <v>88</v>
      </c>
      <c r="E539" t="s">
        <v>63</v>
      </c>
      <c r="F539" t="s">
        <v>27</v>
      </c>
      <c r="G539" t="s">
        <v>89</v>
      </c>
    </row>
    <row r="540" spans="1:8" x14ac:dyDescent="0.2">
      <c r="A540" t="s">
        <v>199</v>
      </c>
      <c r="B540" s="3">
        <v>0.1</v>
      </c>
      <c r="C540" t="s">
        <v>88</v>
      </c>
      <c r="E540" t="s">
        <v>48</v>
      </c>
      <c r="F540" t="s">
        <v>27</v>
      </c>
      <c r="G540" t="s">
        <v>214</v>
      </c>
    </row>
    <row r="541" spans="1:8" x14ac:dyDescent="0.2">
      <c r="A541" t="s">
        <v>137</v>
      </c>
      <c r="B541" s="3">
        <v>7.4000000000000003E-10</v>
      </c>
      <c r="C541" t="s">
        <v>8</v>
      </c>
      <c r="E541" t="s">
        <v>48</v>
      </c>
      <c r="F541" t="s">
        <v>27</v>
      </c>
      <c r="G541" t="s">
        <v>138</v>
      </c>
    </row>
    <row r="544">
      <c r="A544" t="inlineStr">
        <is>
          <t>Activity</t>
        </is>
      </c>
      <c r="B544" t="inlineStr">
        <is>
          <t xml:space="preserve">resistance heating alloy production, nickel-chromium, nicr80/20</t>
        </is>
      </c>
    </row>
    <row r="545">
      <c r="A545" t="inlineStr">
        <is>
          <t>location</t>
        </is>
      </c>
      <c r="B545" t="inlineStr">
        <is>
          <t>GLO</t>
        </is>
      </c>
    </row>
    <row r="546">
      <c r="A546" t="inlineStr">
        <is>
          <t>production amount</t>
        </is>
      </c>
      <c r="B546">
        <v>1</v>
      </c>
    </row>
    <row r="547">
      <c r="A547" t="inlineStr">
        <is>
          <t>reference product</t>
        </is>
      </c>
      <c r="B547" t="inlineStr">
        <is>
          <t xml:space="preserve">resistance heating alloy, nickel-chromium, NiCr80/20</t>
        </is>
      </c>
    </row>
    <row r="548">
      <c r="A548" t="inlineStr">
        <is>
          <t>unit</t>
        </is>
      </c>
      <c r="B548" t="inlineStr">
        <is>
          <t>kilogram</t>
        </is>
      </c>
    </row>
    <row r="549">
      <c r="A549" t="inlineStr">
        <is>
          <t>source</t>
        </is>
      </c>
      <c r="B549" t="inlineStr">
        <is>
          <t>Wang,Deng,Yuan2020 DOI10.1016/j.jclepro.2020.121339, SI TablesS3/S4/S5/S16; Kanthal resistance-wire datasheet https://www.kanthal.com/products/datasheets/material-datasheets/wire/resistance-heating-wire-and-resistance-wire/nikrothal-80/</t>
        </is>
      </c>
    </row>
    <row r="550">
      <c r="A550" t="inlineStr">
        <is>
          <t>comment</t>
        </is>
      </c>
      <c r="B550" t="inlineStr">
        <is>
          <t xml:space="preserve">Nomenclature revision, 2026-10-19. Former activity name: resistance heating alloy, binary NiCr80/20 engineering reference. Former reference product: resistance heating alloy, binary NiCr80/20 engineering reference. Activity/product labels and supplier references only; coefficients, formulas, uncertainty, declared output and unit are unchanged. Original engineering assumptions, functional-unit basis and limitations remain below.
APPROVED Li-O2 HIERARCHICAL ENGINEERING RECONCILIATION, item18, 2026-10-18. Wang,Deng,Yuan2020 DOI10.1016/j.jclepro.2020.121339, SI TablesS3/S4/S5/S16; Kanthal resistance-wire datasheet https://www.kanthal.com/products/datasheets/material-datasheets/wire/resistance-heating-wire-and-resistance-wire/nikrothal-80/. Adopt TableS3 detailed retained geometry: cell182.6kg, module hardware19.51, pack hardware43.67, oxygen tank55, BMS4,cooling29.07 =&gt;333.85kg at63.5grosskWh. This conflicts with source headline321kg/267kg pack and with TableS5 gross material figures; do not mix those bases. Scalable cell/module/pack hardware=245.78kg; fixed-per-reference auxiliary hardware=88.07kg. Listed component masses, not proportional normalization of contradictory gross LCI tables, define this engineering reference. Known cell ingredients total182.59kg;0.01kg unspecified cathode catalyst remains a documented composition gap, not zero-metal proof. The sourceS4 fluoropolymer binder is not substituted for the unidentified S3 catalyst; binder quantity/fate is also unresolved, and that old process input is disabled in this reference. Electrolyte total59.11kg is split by inheritedS4 salt:solvent ratio.016:.308; LiClO4 process is the inherited salt provider, and ethylene-glycol dimethyl ether remains an explicitly imperfect TEGDME solvent proxy. Lithium protective film/pouch/separator process recipes remain inherited and unvalidated. Collector feed is1kg metal/kg foil at100percent reference retention; matching rolling and restored facility proxy are preserved. Terminal metal fractions are2.44kgAl/10.5kg and8.06kgCu/10.5kg, with matching working services; old overlapping gross feed and implied manufacturing scrap are disabled under the explicit100percent retention reference. Module and pack known material inputs followS3, with no new gross-yield claim. Module monitor.67kg is counted once; BMS4kg is assigned to central protection only using4/4.518 of the separate engineering central-control package. This functional repartition is an assumption, not a source breakdown. Cooling uses7kg Al plus22.07kg pureEG reference (alternative50/50 coolant is a sensitivity); thermal duty, pump/hoses remain gaps. Heater.2kg uses an idealized binary80Ni/20Cr resistance-alloy reference, consistent with a NiCr class but not a complete measured battery heater/Nikrothal composition; electronic/heater construction is unresolved. Preserve historical source-specific S16 recycling coefficients without new recovery credits. Capacity purchases245.78/63.5kg scalable hardware plus one auxiliary lifecycle unit per63.5kWh. Its negative waste equals scalable mass; auxiliary unit carries its own88.07kg waste. Future density factors scale hardware and its waste together; fixed auxiliary manufacture/treatment stay paired. Existing relative density learning is retained as an engineering ratio; absolute cell energy63.5/182.6=.347754655kWh/kg and fixed recipe are not a validated future design. Original full-battery market remains manufacturing-only at333.85kg component-sum basis; capacity uses the separately named hardware market. Vehicle energy/lifetime allocation is unchanged. Source contradictions, catalyst, solvent, future structure and recovery performance remain explicit gaps.</t>
        </is>
      </c>
    </row>
    <row r="551">
      <c r="A551" t="inlineStr">
        <is>
          <t xml:space="preserve">type</t>
        </is>
      </c>
      <c r="B551" t="inlineStr">
        <is>
          <t xml:space="preserve">processwithreferenceproduct</t>
        </is>
      </c>
    </row>
    <row r="552">
      <c r="A552" t="inlineStr">
        <is>
          <t>Exchanges</t>
        </is>
      </c>
    </row>
    <row r="553">
      <c r="A553" t="inlineStr">
        <is>
          <t>name</t>
        </is>
      </c>
      <c r="B553" t="inlineStr">
        <is>
          <t>amount</t>
        </is>
      </c>
      <c r="C553" t="inlineStr">
        <is>
          <t>location</t>
        </is>
      </c>
      <c r="D553" t="inlineStr">
        <is>
          <t>unit</t>
        </is>
      </c>
      <c r="E553" t="inlineStr">
        <is>
          <t>categories</t>
        </is>
      </c>
      <c r="F553" t="inlineStr">
        <is>
          <t>type</t>
        </is>
      </c>
      <c r="G553" t="inlineStr">
        <is>
          <t>reference product</t>
        </is>
      </c>
      <c r="H553" t="inlineStr">
        <is>
          <t>comment</t>
        </is>
      </c>
    </row>
    <row r="554">
      <c r="A554" t="inlineStr">
        <is>
          <t xml:space="preserve">resistance heating alloy production, nickel-chromium, nicr80/20</t>
        </is>
      </c>
      <c r="B554">
        <v>1</v>
      </c>
      <c r="C554" t="inlineStr">
        <is>
          <t>GLO</t>
        </is>
      </c>
      <c r="D554" t="inlineStr">
        <is>
          <t>kilogram</t>
        </is>
      </c>
      <c r="F554" t="inlineStr">
        <is>
          <t>production</t>
        </is>
      </c>
      <c r="G554" t="inlineStr">
        <is>
          <t xml:space="preserve">resistance heating alloy, nickel-chromium, NiCr80/20</t>
        </is>
      </c>
    </row>
    <row r="555">
      <c r="A555" t="inlineStr">
        <is>
          <t>market for nickel, class 1</t>
        </is>
      </c>
      <c r="B555">
        <v>0.8</v>
      </c>
      <c r="C555" t="inlineStr">
        <is>
          <t>GLO</t>
        </is>
      </c>
      <c r="D555" t="inlineStr">
        <is>
          <t>kilogram</t>
        </is>
      </c>
      <c r="F555" t="inlineStr">
        <is>
          <t>technosphere</t>
        </is>
      </c>
      <c r="G555" t="inlineStr">
        <is>
          <t>nickel, class 1</t>
        </is>
      </c>
    </row>
    <row r="556">
      <c r="A556" t="inlineStr">
        <is>
          <t>market for chromium</t>
        </is>
      </c>
      <c r="B556">
        <v>0.2</v>
      </c>
      <c r="C556" t="inlineStr">
        <is>
          <t>GLO</t>
        </is>
      </c>
      <c r="D556" t="inlineStr">
        <is>
          <t>kilogram</t>
        </is>
      </c>
      <c r="F556" t="inlineStr">
        <is>
          <t>technosphere</t>
        </is>
      </c>
      <c r="G556" t="inlineStr">
        <is>
          <t>chromium</t>
        </is>
      </c>
    </row>
    <row r="557">
      <c r="A557" t="inlineStr">
        <is>
          <t>metal working, average for metal product manufacturing</t>
        </is>
      </c>
      <c r="B557">
        <v>1</v>
      </c>
      <c r="C557" t="inlineStr">
        <is>
          <t>RER</t>
        </is>
      </c>
      <c r="D557" t="inlineStr">
        <is>
          <t>kilogram</t>
        </is>
      </c>
      <c r="F557" t="inlineStr">
        <is>
          <t>technosphere</t>
        </is>
      </c>
      <c r="G557" t="inlineStr">
        <is>
          <t>metal working, average for metal product manufacturing</t>
        </is>
      </c>
    </row>
    <row r="560">
      <c r="A560" t="inlineStr">
        <is>
          <t>Activity</t>
        </is>
      </c>
      <c r="B560" t="inlineStr">
        <is>
          <t xml:space="preserve">battery cooling system production, lithium-oxygen</t>
        </is>
      </c>
    </row>
    <row r="561">
      <c r="A561" t="inlineStr">
        <is>
          <t>location</t>
        </is>
      </c>
      <c r="B561" t="inlineStr">
        <is>
          <t>GLO</t>
        </is>
      </c>
    </row>
    <row r="562">
      <c r="A562" t="inlineStr">
        <is>
          <t>production amount</t>
        </is>
      </c>
      <c r="B562">
        <v>1</v>
      </c>
    </row>
    <row r="563">
      <c r="A563" t="inlineStr">
        <is>
          <t>reference product</t>
        </is>
      </c>
      <c r="B563" t="inlineStr">
        <is>
          <t xml:space="preserve">battery cooling system, lithium-oxygen</t>
        </is>
      </c>
    </row>
    <row r="564">
      <c r="A564" t="inlineStr">
        <is>
          <t>unit</t>
        </is>
      </c>
      <c r="B564" t="inlineStr">
        <is>
          <t>kilogram</t>
        </is>
      </c>
    </row>
    <row r="565">
      <c r="A565" t="inlineStr">
        <is>
          <t>source</t>
        </is>
      </c>
      <c r="B565" t="inlineStr">
        <is>
          <t>Wang,Deng,Yuan2020 DOI10.1016/j.jclepro.2020.121339, SI TablesS3/S4/S5/S16; Kanthal resistance-wire datasheet https://www.kanthal.com/products/datasheets/material-datasheets/wire/resistance-heating-wire-and-resistance-wire/nikrothal-80/</t>
        </is>
      </c>
    </row>
    <row r="566">
      <c r="A566" t="inlineStr">
        <is>
          <t>comment</t>
        </is>
      </c>
      <c r="B566" t="inlineStr">
        <is>
          <t xml:space="preserve">Nomenclature revision, 2026-10-19. Former activity name: cooling system, Li-O2 S3 engineering reference. Former reference product: cooling system, Li-O2 S3 engineering reference. Activity/product labels and supplier references only; coefficients, formulas, uncertainty, declared output and unit are unchanged. Original engineering assumptions, functional-unit basis and limitations remain below.
APPROVED Li-O2 HIERARCHICAL ENGINEERING RECONCILIATION, item18, 2026-10-18. Wang,Deng,Yuan2020 DOI10.1016/j.jclepro.2020.121339, SI TablesS3/S4/S5/S16; Kanthal resistance-wire datasheet https://www.kanthal.com/products/datasheets/material-datasheets/wire/resistance-heating-wire-and-resistance-wire/nikrothal-80/. Adopt TableS3 detailed retained geometry: cell182.6kg, module hardware19.51, pack hardware43.67, oxygen tank55, BMS4,cooling29.07 =&gt;333.85kg at63.5grosskWh. This conflicts with source headline321kg/267kg pack and with TableS5 gross material figures; do not mix those bases. Scalable cell/module/pack hardware=245.78kg; fixed-per-reference auxiliary hardware=88.07kg. Listed component masses, not proportional normalization of contradictory gross LCI tables, define this engineering reference. Known cell ingredients total182.59kg;0.01kg unspecified cathode catalyst remains a documented composition gap, not zero-metal proof. The sourceS4 fluoropolymer binder is not substituted for the unidentified S3 catalyst; binder quantity/fate is also unresolved, and that old process input is disabled in this reference. Electrolyte total59.11kg is split by inheritedS4 salt:solvent ratio.016:.308; LiClO4 process is the inherited salt provider, and ethylene-glycol dimethyl ether remains an explicitly imperfect TEGDME solvent proxy. Lithium protective film/pouch/separator process recipes remain inherited and unvalidated. Collector feed is1kg metal/kg foil at100percent reference retention; matching rolling and restored facility proxy are preserved. Terminal metal fractions are2.44kgAl/10.5kg and8.06kgCu/10.5kg, with matching working services; old overlapping gross feed and implied manufacturing scrap are disabled under the explicit100percent retention reference. Module and pack known material inputs followS3, with no new gross-yield claim. Module monitor.67kg is counted once; BMS4kg is assigned to central protection only using4/4.518 of the separate engineering central-control package. This functional repartition is an assumption, not a source breakdown. Cooling uses7kg Al plus22.07kg pureEG reference (alternative50/50 coolant is a sensitivity); thermal duty, pump/hoses remain gaps. Heater.2kg uses an idealized binary80Ni/20Cr resistance-alloy reference, consistent with a NiCr class but not a complete measured battery heater/Nikrothal composition; electronic/heater construction is unresolved. Preserve historical source-specific S16 recycling coefficients without new recovery credits. Capacity purchases245.78/63.5kg scalable hardware plus one auxiliary lifecycle unit per63.5kWh. Its negative waste equals scalable mass; auxiliary unit carries its own88.07kg waste. Future density factors scale hardware and its waste together; fixed auxiliary manufacture/treatment stay paired. Existing relative density learning is retained as an engineering ratio; absolute cell energy63.5/182.6=.347754655kWh/kg and fixed recipe are not a validated future design. Original full-battery market remains manufacturing-only at333.85kg component-sum basis; capacity uses the separately named hardware market. Vehicle energy/lifetime allocation is unchanged. Source contradictions, catalyst, solvent, future structure and recovery performance remain explicit gaps.</t>
        </is>
      </c>
    </row>
    <row r="567">
      <c r="A567" t="inlineStr">
        <is>
          <t xml:space="preserve">type</t>
        </is>
      </c>
      <c r="B567" t="inlineStr">
        <is>
          <t xml:space="preserve">processwithreferenceproduct</t>
        </is>
      </c>
    </row>
    <row r="568">
      <c r="A568" t="inlineStr">
        <is>
          <t>Exchanges</t>
        </is>
      </c>
    </row>
    <row r="569">
      <c r="A569" t="inlineStr">
        <is>
          <t>name</t>
        </is>
      </c>
      <c r="B569" t="inlineStr">
        <is>
          <t>amount</t>
        </is>
      </c>
      <c r="C569" t="inlineStr">
        <is>
          <t>location</t>
        </is>
      </c>
      <c r="D569" t="inlineStr">
        <is>
          <t>unit</t>
        </is>
      </c>
      <c r="E569" t="inlineStr">
        <is>
          <t>categories</t>
        </is>
      </c>
      <c r="F569" t="inlineStr">
        <is>
          <t>type</t>
        </is>
      </c>
      <c r="G569" t="inlineStr">
        <is>
          <t>reference product</t>
        </is>
      </c>
      <c r="H569" t="inlineStr">
        <is>
          <t>comment</t>
        </is>
      </c>
    </row>
    <row r="570">
      <c r="A570" t="inlineStr">
        <is>
          <t xml:space="preserve">battery cooling system production, lithium-oxygen</t>
        </is>
      </c>
      <c r="B570">
        <v>1</v>
      </c>
      <c r="C570" t="inlineStr">
        <is>
          <t>GLO</t>
        </is>
      </c>
      <c r="D570" t="inlineStr">
        <is>
          <t>kilogram</t>
        </is>
      </c>
      <c r="F570" t="inlineStr">
        <is>
          <t>production</t>
        </is>
      </c>
      <c r="G570" t="inlineStr">
        <is>
          <t xml:space="preserve">battery cooling system, lithium-oxygen</t>
        </is>
      </c>
    </row>
    <row r="571">
      <c r="A571" t="inlineStr">
        <is>
          <t>market for aluminium, wrought alloy</t>
        </is>
      </c>
      <c r="B571">
        <v>0.24079807361541108</v>
      </c>
      <c r="C571" t="inlineStr">
        <is>
          <t>GLO</t>
        </is>
      </c>
      <c r="D571" t="inlineStr">
        <is>
          <t>kilogram</t>
        </is>
      </c>
      <c r="F571" t="inlineStr">
        <is>
          <t>technosphere</t>
        </is>
      </c>
      <c r="G571" t="inlineStr">
        <is>
          <t>aluminium, wrought alloy</t>
        </is>
      </c>
    </row>
    <row r="572">
      <c r="A572" t="inlineStr">
        <is>
          <t>ethylene glycol production</t>
        </is>
      </c>
      <c r="B572">
        <v>0.7592019263845889</v>
      </c>
      <c r="C572" t="inlineStr">
        <is>
          <t>RER</t>
        </is>
      </c>
      <c r="D572" t="inlineStr">
        <is>
          <t>kilogram</t>
        </is>
      </c>
      <c r="F572" t="inlineStr">
        <is>
          <t>technosphere</t>
        </is>
      </c>
      <c r="G572" t="inlineStr">
        <is>
          <t>ethylene glycol</t>
        </is>
      </c>
    </row>
    <row r="573">
      <c r="A573" t="inlineStr">
        <is>
          <t>metal working, average for aluminium product manufacturing</t>
        </is>
      </c>
      <c r="B573">
        <v>0.24079807361541108</v>
      </c>
      <c r="C573" t="inlineStr">
        <is>
          <t>RER</t>
        </is>
      </c>
      <c r="D573" t="inlineStr">
        <is>
          <t>kilogram</t>
        </is>
      </c>
      <c r="F573" t="inlineStr">
        <is>
          <t>technosphere</t>
        </is>
      </c>
      <c r="G573" t="inlineStr">
        <is>
          <t>metal working, average for aluminium product manufacturing</t>
        </is>
      </c>
    </row>
    <row r="576">
      <c r="A576" t="inlineStr">
        <is>
          <t>Activity</t>
        </is>
      </c>
      <c r="B576" t="inlineStr">
        <is>
          <t xml:space="preserve">battery pack production, lithium-oxygen, without auxiliaries</t>
        </is>
      </c>
    </row>
    <row r="577">
      <c r="A577" t="inlineStr">
        <is>
          <t>location</t>
        </is>
      </c>
      <c r="B577" t="inlineStr">
        <is>
          <t>GLO</t>
        </is>
      </c>
    </row>
    <row r="578">
      <c r="A578" t="inlineStr">
        <is>
          <t>production amount</t>
        </is>
      </c>
      <c r="B578">
        <v>1</v>
      </c>
    </row>
    <row r="579">
      <c r="A579" t="inlineStr">
        <is>
          <t>reference product</t>
        </is>
      </c>
      <c r="B579" t="inlineStr">
        <is>
          <t xml:space="preserve">battery pack, lithium-oxygen, without auxiliaries</t>
        </is>
      </c>
    </row>
    <row r="580">
      <c r="A580" t="inlineStr">
        <is>
          <t>unit</t>
        </is>
      </c>
      <c r="B580" t="inlineStr">
        <is>
          <t>kilogram</t>
        </is>
      </c>
    </row>
    <row r="581">
      <c r="A581" t="inlineStr">
        <is>
          <t>source</t>
        </is>
      </c>
      <c r="B581" t="inlineStr">
        <is>
          <t>Wang,Deng,Yuan2020 DOI10.1016/j.jclepro.2020.121339, SI TablesS3/S4/S5/S16; Kanthal resistance-wire datasheet https://www.kanthal.com/products/datasheets/material-datasheets/wire/resistance-heating-wire-and-resistance-wire/nikrothal-80/</t>
        </is>
      </c>
    </row>
    <row r="582">
      <c r="A582" t="inlineStr">
        <is>
          <t>comment</t>
        </is>
      </c>
      <c r="B582" t="inlineStr">
        <is>
          <t xml:space="preserve">Nomenclature revision, 2026-10-19. Former activity name: market for battery hardware, Li-oxygen, engineering reference. Former reference product: battery hardware, Li-oxygen, engineering reference. Activity/product labels and supplier references only; coefficients, formulas, uncertainty, declared output and unit are unchanged. Original engineering assumptions, functional-unit basis and limitations remain below.
APPROVED Li-O2 HIERARCHICAL ENGINEERING RECONCILIATION, item18, 2026-10-18. Wang,Deng,Yuan2020 DOI10.1016/j.jclepro.2020.121339, SI TablesS3/S4/S5/S16; Kanthal resistance-wire datasheet https://www.kanthal.com/products/datasheets/material-datasheets/wire/resistance-heating-wire-and-resistance-wire/nikrothal-80/. Adopt TableS3 detailed retained geometry: cell182.6kg, module hardware19.51, pack hardware43.67, oxygen tank55, BMS4,cooling29.07 =&gt;333.85kg at63.5grosskWh. This conflicts with source headline321kg/267kg pack and with TableS5 gross material figures; do not mix those bases. Scalable cell/module/pack hardware=245.78kg; fixed-per-reference auxiliary hardware=88.07kg. Listed component masses, not proportional normalization of contradictory gross LCI tables, define this engineering reference. Known cell ingredients total182.59kg;0.01kg unspecified cathode catalyst remains a documented composition gap, not zero-metal proof. The sourceS4 fluoropolymer binder is not substituted for the unidentified S3 catalyst; binder quantity/fate is also unresolved, and that old process input is disabled in this reference. Electrolyte total59.11kg is split by inheritedS4 salt:solvent ratio.016:.308; LiClO4 process is the inherited salt provider, and ethylene-glycol dimethyl ether remains an explicitly imperfect TEGDME solvent proxy. Lithium protective film/pouch/separator process recipes remain inherited and unvalidated. Collector feed is1kg metal/kg foil at100percent reference retention; matching rolling and restored facility proxy are preserved. Terminal metal fractions are2.44kgAl/10.5kg and8.06kgCu/10.5kg, with matching working services; old overlapping gross feed and implied manufacturing scrap are disabled under the explicit100percent retention reference. Module and pack known material inputs followS3, with no new gross-yield claim. Module monitor.67kg is counted once; BMS4kg is assigned to central protection only using4/4.518 of the separate engineering central-control package. This functional repartition is an assumption, not a source breakdown. Cooling uses7kg Al plus22.07kg pureEG reference (alternative50/50 coolant is a sensitivity); thermal duty, pump/hoses remain gaps. Heater.2kg uses an idealized binary80Ni/20Cr resistance-alloy reference, consistent with a NiCr class but not a complete measured battery heater/Nikrothal composition; electronic/heater construction is unresolved. Preserve historical source-specific S16 recycling coefficients without new recovery credits. Capacity purchases245.78/63.5kg scalable hardware plus one auxiliary lifecycle unit per63.5kWh. Its negative waste equals scalable mass; auxiliary unit carries its own88.07kg waste. Future density factors scale hardware and its waste together; fixed auxiliary manufacture/treatment stay paired. Existing relative density learning is retained as an engineering ratio; absolute cell energy63.5/182.6=.347754655kWh/kg and fixed recipe are not a validated future design. Original full-battery market remains manufacturing-only at333.85kg component-sum basis; capacity uses the separately named hardware market. Vehicle energy/lifetime allocation is unchanged. Source contradictions, catalyst, solvent, future structure and recovery performance remain explicit gaps.</t>
        </is>
      </c>
    </row>
    <row r="583">
      <c r="A583" t="inlineStr">
        <is>
          <t xml:space="preserve">type</t>
        </is>
      </c>
      <c r="B583" t="inlineStr">
        <is>
          <t xml:space="preserve">processwithreferenceproduct</t>
        </is>
      </c>
    </row>
    <row r="584">
      <c r="A584" t="inlineStr">
        <is>
          <t>Exchanges</t>
        </is>
      </c>
    </row>
    <row r="585">
      <c r="A585" t="inlineStr">
        <is>
          <t>name</t>
        </is>
      </c>
      <c r="B585" t="inlineStr">
        <is>
          <t>amount</t>
        </is>
      </c>
      <c r="C585" t="inlineStr">
        <is>
          <t>location</t>
        </is>
      </c>
      <c r="D585" t="inlineStr">
        <is>
          <t>unit</t>
        </is>
      </c>
      <c r="E585" t="inlineStr">
        <is>
          <t>categories</t>
        </is>
      </c>
      <c r="F585" t="inlineStr">
        <is>
          <t>type</t>
        </is>
      </c>
      <c r="G585" t="inlineStr">
        <is>
          <t>reference product</t>
        </is>
      </c>
      <c r="H585" t="inlineStr">
        <is>
          <t>comment</t>
        </is>
      </c>
    </row>
    <row r="586">
      <c r="A586" t="inlineStr">
        <is>
          <t xml:space="preserve">battery pack production, lithium-oxygen, without auxiliaries</t>
        </is>
      </c>
      <c r="B586">
        <v>1</v>
      </c>
      <c r="C586" t="inlineStr">
        <is>
          <t>GLO</t>
        </is>
      </c>
      <c r="D586" t="inlineStr">
        <is>
          <t>kilogram</t>
        </is>
      </c>
      <c r="F586" t="inlineStr">
        <is>
          <t>production</t>
        </is>
      </c>
      <c r="G586" t="inlineStr">
        <is>
          <t xml:space="preserve">battery pack, lithium-oxygen, without auxiliaries</t>
        </is>
      </c>
    </row>
    <row r="587">
      <c r="A587" t="inlineStr">
        <is>
          <t>battery cell production, Li-O2</t>
        </is>
      </c>
      <c r="B587">
        <v>0.7429408414028806</v>
      </c>
      <c r="C587" t="inlineStr">
        <is>
          <t>GLO</t>
        </is>
      </c>
      <c r="D587" t="inlineStr">
        <is>
          <t>kilogram</t>
        </is>
      </c>
      <c r="F587" t="inlineStr">
        <is>
          <t>technosphere</t>
        </is>
      </c>
      <c r="G587" t="inlineStr">
        <is>
          <t>battery cell</t>
        </is>
      </c>
    </row>
    <row r="588">
      <c r="A588" t="inlineStr">
        <is>
          <t>module packaging, for Li-O2 battery</t>
        </is>
      </c>
      <c r="B588">
        <v>0.07937993327365939</v>
      </c>
      <c r="C588" t="inlineStr">
        <is>
          <t>RER</t>
        </is>
      </c>
      <c r="D588" t="inlineStr">
        <is>
          <t>kilogram</t>
        </is>
      </c>
      <c r="F588" t="inlineStr">
        <is>
          <t>technosphere</t>
        </is>
      </c>
      <c r="G588" t="inlineStr">
        <is>
          <t>module packaging</t>
        </is>
      </c>
    </row>
    <row r="589">
      <c r="A589" t="inlineStr">
        <is>
          <t>pack packaging, for Li-O2 battery</t>
        </is>
      </c>
      <c r="B589">
        <v>0.17767922532346003</v>
      </c>
      <c r="C589" t="inlineStr">
        <is>
          <t>RER</t>
        </is>
      </c>
      <c r="D589" t="inlineStr">
        <is>
          <t>kilogram</t>
        </is>
      </c>
      <c r="F589" t="inlineStr">
        <is>
          <t>technosphere</t>
        </is>
      </c>
      <c r="G589" t="inlineStr">
        <is>
          <t>pack packaging</t>
        </is>
      </c>
    </row>
    <row r="592">
      <c r="A592" t="inlineStr">
        <is>
          <t>Activity</t>
        </is>
      </c>
      <c r="B592" t="inlineStr">
        <is>
          <t xml:space="preserve">battery auxiliaries supply and end-of-life treatment, lithium-oxygen</t>
        </is>
      </c>
    </row>
    <row r="593">
      <c r="A593" t="inlineStr">
        <is>
          <t>location</t>
        </is>
      </c>
      <c r="B593" t="inlineStr">
        <is>
          <t>GLO</t>
        </is>
      </c>
    </row>
    <row r="594">
      <c r="A594" t="inlineStr">
        <is>
          <t>production amount</t>
        </is>
      </c>
      <c r="B594">
        <v>1</v>
      </c>
    </row>
    <row r="595">
      <c r="A595" t="inlineStr">
        <is>
          <t>reference product</t>
        </is>
      </c>
      <c r="B595" t="inlineStr">
        <is>
          <t xml:space="preserve">battery auxiliaries supply and end-of-life treatment, lithium-oxygen</t>
        </is>
      </c>
    </row>
    <row r="596">
      <c r="A596" t="inlineStr">
        <is>
          <t>unit</t>
        </is>
      </c>
      <c r="B596" t="inlineStr">
        <is>
          <t>unit</t>
        </is>
      </c>
    </row>
    <row r="597">
      <c r="A597" t="inlineStr">
        <is>
          <t>source</t>
        </is>
      </c>
      <c r="B597" t="inlineStr">
        <is>
          <t>Wang,Deng,Yuan2020 DOI10.1016/j.jclepro.2020.121339, SI TablesS3/S4/S5/S16; Kanthal resistance-wire datasheet https://www.kanthal.com/products/datasheets/material-datasheets/wire/resistance-heating-wire-and-resistance-wire/nikrothal-80/</t>
        </is>
      </c>
    </row>
    <row r="598">
      <c r="A598" t="inlineStr">
        <is>
          <t>comment</t>
        </is>
      </c>
      <c r="B598" t="inlineStr">
        <is>
          <t xml:space="preserve">Nomenclature revision, 2026-10-19. Former activity name: battery auxiliary lifecycle, Li-O2 engineering reference. Former reference product: battery auxiliary lifecycle, Li-O2 engineering reference. Activity/product labels and supplier references only; coefficients, formulas, uncertainty, declared output and unit are unchanged. Original engineering assumptions, functional-unit basis and limitations remain below.
APPROVED Li-O2 HIERARCHICAL ENGINEERING RECONCILIATION, item18, 2026-10-18. Wang,Deng,Yuan2020 DOI10.1016/j.jclepro.2020.121339, SI TablesS3/S4/S5/S16; Kanthal resistance-wire datasheet https://www.kanthal.com/products/datasheets/material-datasheets/wire/resistance-heating-wire-and-resistance-wire/nikrothal-80/. Adopt TableS3 detailed retained geometry: cell182.6kg, module hardware19.51, pack hardware43.67, oxygen tank55, BMS4,cooling29.07 =&gt;333.85kg at63.5grosskWh. This conflicts with source headline321kg/267kg pack and with TableS5 gross material figures; do not mix those bases. Scalable cell/module/pack hardware=245.78kg; fixed-per-reference auxiliary hardware=88.07kg. Listed component masses, not proportional normalization of contradictory gross LCI tables, define this engineering reference. Known cell ingredients total182.59kg;0.01kg unspecified cathode catalyst remains a documented composition gap, not zero-metal proof. The sourceS4 fluoropolymer binder is not substituted for the unidentified S3 catalyst; binder quantity/fate is also unresolved, and that old process input is disabled in this reference. Electrolyte total59.11kg is split by inheritedS4 salt:solvent ratio.016:.308; LiClO4 process is the inherited salt provider, and ethylene-glycol dimethyl ether remains an explicitly imperfect TEGDME solvent proxy. Lithium protective film/pouch/separator process recipes remain inherited and unvalidated. Collector feed is1kg metal/kg foil at100percent reference retention; matching rolling and restored facility proxy are preserved. Terminal metal fractions are2.44kgAl/10.5kg and8.06kgCu/10.5kg, with matching working services; old overlapping gross feed and implied manufacturing scrap are disabled under the explicit100percent retention reference. Module and pack known material inputs followS3, with no new gross-yield claim. Module monitor.67kg is counted once; BMS4kg is assigned to central protection only using4/4.518 of the separate engineering central-control package. This functional repartition is an assumption, not a source breakdown. Cooling uses7kg Al plus22.07kg pureEG reference (alternative50/50 coolant is a sensitivity); thermal duty, pump/hoses remain gaps. Heater.2kg uses an idealized binary80Ni/20Cr resistance-alloy reference, consistent with a NiCr class but not a complete measured battery heater/Nikrothal composition; electronic/heater construction is unresolved. Preserve historical source-specific S16 recycling coefficients without new recovery credits. Capacity purchases245.78/63.5kg scalable hardware plus one auxiliary lifecycle unit per63.5kWh. Its negative waste equals scalable mass; auxiliary unit carries its own88.07kg waste. Future density factors scale hardware and its waste together; fixed auxiliary manufacture/treatment stay paired. Existing relative density learning is retained as an engineering ratio; absolute cell energy63.5/182.6=.347754655kWh/kg and fixed recipe are not a validated future design. Original full-battery market remains manufacturing-only at333.85kg component-sum basis; capacity uses the separately named hardware market. Vehicle energy/lifetime allocation is unchanged. Source contradictions, catalyst, solvent, future structure and recovery performance remain explicit gaps.</t>
        </is>
      </c>
    </row>
    <row r="599">
      <c r="A599" t="inlineStr">
        <is>
          <t xml:space="preserve">type</t>
        </is>
      </c>
      <c r="B599" t="inlineStr">
        <is>
          <t xml:space="preserve">processwithreferenceproduct</t>
        </is>
      </c>
    </row>
    <row r="600">
      <c r="A600" t="inlineStr">
        <is>
          <t>Exchanges</t>
        </is>
      </c>
    </row>
    <row r="601">
      <c r="A601" t="inlineStr">
        <is>
          <t>name</t>
        </is>
      </c>
      <c r="B601" t="inlineStr">
        <is>
          <t>amount</t>
        </is>
      </c>
      <c r="C601" t="inlineStr">
        <is>
          <t>location</t>
        </is>
      </c>
      <c r="D601" t="inlineStr">
        <is>
          <t>unit</t>
        </is>
      </c>
      <c r="E601" t="inlineStr">
        <is>
          <t>categories</t>
        </is>
      </c>
      <c r="F601" t="inlineStr">
        <is>
          <t>type</t>
        </is>
      </c>
      <c r="G601" t="inlineStr">
        <is>
          <t>reference product</t>
        </is>
      </c>
      <c r="H601" t="inlineStr">
        <is>
          <t>comment</t>
        </is>
      </c>
    </row>
    <row r="602">
      <c r="A602" t="inlineStr">
        <is>
          <t xml:space="preserve">battery auxiliaries supply and end-of-life treatment, lithium-oxygen</t>
        </is>
      </c>
      <c r="B602">
        <v>1</v>
      </c>
      <c r="C602" t="inlineStr">
        <is>
          <t>GLO</t>
        </is>
      </c>
      <c r="D602" t="inlineStr">
        <is>
          <t>unit</t>
        </is>
      </c>
      <c r="F602" t="inlineStr">
        <is>
          <t>production</t>
        </is>
      </c>
      <c r="G602" t="inlineStr">
        <is>
          <t xml:space="preserve">battery auxiliaries supply and end-of-life treatment, lithium-oxygen</t>
        </is>
      </c>
    </row>
    <row r="603">
      <c r="A603" t="inlineStr">
        <is>
          <t>oxygen tank production, for Li-O2 battery</t>
        </is>
      </c>
      <c r="B603">
        <v>55</v>
      </c>
      <c r="C603" t="inlineStr">
        <is>
          <t>RER</t>
        </is>
      </c>
      <c r="D603" t="inlineStr">
        <is>
          <t>kilogram</t>
        </is>
      </c>
      <c r="F603" t="inlineStr">
        <is>
          <t>technosphere</t>
        </is>
      </c>
      <c r="G603" t="inlineStr">
        <is>
          <t>oxygen tank</t>
        </is>
      </c>
    </row>
    <row r="604">
      <c r="A604" t="inlineStr">
        <is>
          <t xml:space="preserve">battery central control and protection unit production</t>
        </is>
      </c>
      <c r="B604">
        <v>0.8853474988933157</v>
      </c>
      <c r="C604" t="inlineStr">
        <is>
          <t>GLO</t>
        </is>
      </c>
      <c r="D604" t="inlineStr">
        <is>
          <t>unit</t>
        </is>
      </c>
      <c r="F604" t="inlineStr">
        <is>
          <t>technosphere</t>
        </is>
      </c>
      <c r="G604" t="inlineStr">
        <is>
          <t xml:space="preserve">battery central control and protection unit</t>
        </is>
      </c>
    </row>
    <row r="605">
      <c r="A605" t="inlineStr">
        <is>
          <t xml:space="preserve">battery cooling system production, lithium-oxygen</t>
        </is>
      </c>
      <c r="B605">
        <v>29.07</v>
      </c>
      <c r="C605" t="inlineStr">
        <is>
          <t>GLO</t>
        </is>
      </c>
      <c r="D605" t="inlineStr">
        <is>
          <t>kilogram</t>
        </is>
      </c>
      <c r="F605" t="inlineStr">
        <is>
          <t>technosphere</t>
        </is>
      </c>
      <c r="G605" t="inlineStr">
        <is>
          <t xml:space="preserve">battery cooling system, lithium-oxygen</t>
        </is>
      </c>
    </row>
    <row r="606">
      <c r="A606" t="inlineStr">
        <is>
          <t>treatment of LiO2 battery, for recycling</t>
        </is>
      </c>
      <c r="B606">
        <v>-88.07</v>
      </c>
      <c r="C606" t="inlineStr">
        <is>
          <t>RER</t>
        </is>
      </c>
      <c r="D606" t="inlineStr">
        <is>
          <t>kilogram</t>
        </is>
      </c>
      <c r="F606" t="inlineStr">
        <is>
          <t>technosphere</t>
        </is>
      </c>
      <c r="G606" t="inlineStr">
        <is>
          <t>waste LiO2 battery</t>
        </is>
      </c>
    </row>
    <row r="609">
      <c r="A609" t="inlineStr">
        <is>
          <t>Activity</t>
        </is>
      </c>
      <c r="B609" t="inlineStr">
        <is>
          <t xml:space="preserve">market for battery cell, lithium-oxygen, including end-of-life treatment</t>
        </is>
      </c>
    </row>
    <row r="610">
      <c r="A610" t="inlineStr">
        <is>
          <t>location</t>
        </is>
      </c>
      <c r="B610" t="inlineStr">
        <is>
          <t>GLO</t>
        </is>
      </c>
    </row>
    <row r="611">
      <c r="A611" t="inlineStr">
        <is>
          <t>production amount</t>
        </is>
      </c>
      <c r="B611">
        <v>1</v>
      </c>
    </row>
    <row r="612">
      <c r="A612" t="inlineStr">
        <is>
          <t>reference product</t>
        </is>
      </c>
      <c r="B612" t="inlineStr">
        <is>
          <t xml:space="preserve">battery cell, Li-ion, Li-O2, including end-of-life treatment</t>
        </is>
      </c>
    </row>
    <row r="613">
      <c r="A613" t="inlineStr">
        <is>
          <t>unit</t>
        </is>
      </c>
      <c r="B613" t="inlineStr">
        <is>
          <t>kilogram</t>
        </is>
      </c>
    </row>
    <row r="614">
      <c r="A614" t="inlineStr">
        <is>
          <t>source</t>
        </is>
      </c>
      <c r="B614" t="inlineStr">
        <is>
          <t xml:space="preserve">Existing public/source-corrected pack and cell designs documented in these supplemental workbooks; existing premise cell_energy_density trajectories retained verbatim. Fixed noncell design is an explicit counterfactual in absence of pack/current/thermal redesign evidence,not a measuredfuturedesign.
Explicit reference links (source or inherited supplier evidence; the engineering adaptation is documented in the activity comment): https://doi.org/10.1016/j.jclepro.2020.121339 ; https://www.kanthal.com/products/datasheets/material-datasheets/wire/resistance-heating-wire-and-resistance-wire/nikrothal-80/
Supplier lineage: battery cell production, Li-O2.</t>
        </is>
      </c>
    </row>
    <row r="615">
      <c r="A615" t="inlineStr">
        <is>
          <t>comment</t>
        </is>
      </c>
      <c r="B615" t="inlineStr">
        <is>
          <t xml:space="preserve">Nomenclature revision, 2026-10-19. Former activity name: market for battery cells, Li-ion, Li-O2, density-scaled reference. Former reference product: market for battery cells, Li-ion, Li-O2, density-scaled reference. Activity/product labels and supplier references only; coefficients, formulas, uncertainty, declared output and unit are unchanged. Original engineering assumptions, functional-unit basis and limitations remain below.
APPROVED CELL-ONLY DENSITY LEARNING AND FIXED PACK HARDWARE, issue63, 2026-10-18. Existing public/source-corrected pack and cell designs documented in these supplemental workbooks; existing premise cell_energy_density trajectories retained verbatim. Fixed noncell design is an explicit counterfactual in absence of pack/current/thermal redesign evidence,not a measuredfuturedesign. For nine conventionalmobile chemistries,LiS,SIB,LiO2 andthreeASSB references,split active capacitypath into kgcellmanufacture and one fixednoncellreference unit perbaseline nominalkWh. Preserve exactbaselinecell mass,allnoncellmaterials,processservices,controls,transport and totaldisposal. Unitbasis is the original explicitly sizedpack architecture attributed to1nominalkWh,not onephysicalpackper1kWh or a newcapacity. Existingruntime scaling appliesonly kgexchanges of namedcapacitydatasets; thus cellmanufacturekg and matchingusedcellkg followunchangeddensityfactor,while casing,busbars,coolant,packaging and theirdisposal are fixedinsideunitprovider. Existing separatelyunitizedcentral/modulecontrols,oxygenlifecycle,cooling are unchanged. No runtime/YAML/learningcurve edit. Noncellhelper buys originalnoncellprocesses once,plusits originalfraction ofusedbattery treatment;Negative cellwaste moves inside the scalablecellprovider at-1kg/kgcell, so it follows exactly the samecellmass; reuse originalcapacitywasterow forfixedunit without movingworkbookrows. The fixedunit is deterministic; prior signed mass uncertainty is removed from thatrow,while original scaledcell distribution is retained. No negativecredit tocancel a completepack orsecondwholepack disposal. LiS/SIB unfold onlyone-to-one packmarket/module boundary; sourcefinishedpackfreight divided bybaselinecell/noncellmass,cellfreight followscellmass andnoncellfreight fixed,baselinefreight identical. Existing cellrecipe andits internalcollectors/separator/case are retained andscale with cellmass: this is a reference ofsamecellformat atgreatercapacity,not proofphysicalcollectorareaorcellhousing canfallthatway. Propercellredesign/areal loading and lifetimepower/cycle behavior remainuncertainties. Fixedpackcurrent,busbarthermal/cooling design is conservativecomparison,not automatically optimalfuturelightweightdesign. No newachieveddensity or unsupportedstructurallearning. Controlsremainexistingfixedarchitecture,not resolvedvehicle-specificchannelcount. HighpowerFCEVcar/truck/bus andhydrogenrail fixedreferences remainoutsidegenericmobilecellcurve. Legacywholepackprovidersremainforotherconsumers; unrelatedstationary/homebattery andflow/leadacid designs needseparatelyscopednoncellaudit,not silentlyredefinedhere. Comparefixednoncellreference toformerproportionalhardware trajectory at2030/2050; baseline mustbeidentical andstaticnoncellwaste mustnotdecay.</t>
        </is>
      </c>
    </row>
    <row r="616">
      <c r="A616" t="inlineStr">
        <is>
          <t xml:space="preserve">type</t>
        </is>
      </c>
      <c r="B616" t="inlineStr">
        <is>
          <t xml:space="preserve">processwithreferenceproduct</t>
        </is>
      </c>
    </row>
    <row r="617">
      <c r="A617" t="inlineStr">
        <is>
          <t>Exchanges</t>
        </is>
      </c>
    </row>
    <row r="618">
      <c r="A618" t="inlineStr">
        <is>
          <t>name</t>
        </is>
      </c>
      <c r="B618" t="inlineStr">
        <is>
          <t>amount</t>
        </is>
      </c>
      <c r="C618" t="inlineStr">
        <is>
          <t>location</t>
        </is>
      </c>
      <c r="D618" t="inlineStr">
        <is>
          <t>unit</t>
        </is>
      </c>
      <c r="E618" t="inlineStr">
        <is>
          <t>categories</t>
        </is>
      </c>
      <c r="F618" t="inlineStr">
        <is>
          <t>type</t>
        </is>
      </c>
      <c r="G618" t="inlineStr">
        <is>
          <t>reference product</t>
        </is>
      </c>
      <c r="H618" t="inlineStr">
        <is>
          <t>comment</t>
        </is>
      </c>
      <c r="I618" t="inlineStr">
        <is>
          <t>product</t>
        </is>
      </c>
    </row>
    <row r="619">
      <c r="A619" t="inlineStr">
        <is>
          <t xml:space="preserve">market for battery cell, lithium-oxygen, including end-of-life treatment</t>
        </is>
      </c>
      <c r="B619">
        <v>1</v>
      </c>
      <c r="C619" t="inlineStr">
        <is>
          <t>GLO</t>
        </is>
      </c>
      <c r="D619" t="inlineStr">
        <is>
          <t>kilogram</t>
        </is>
      </c>
      <c r="F619" t="inlineStr">
        <is>
          <t>production</t>
        </is>
      </c>
      <c r="G619" t="inlineStr">
        <is>
          <t xml:space="preserve">battery cell, Li-ion, Li-O2, including end-of-life treatment</t>
        </is>
      </c>
      <c r="I619" t="inlineStr">
        <is>
          <t xml:space="preserve">battery cell, Li-ion, Li-O2, including end-of-life treatment</t>
        </is>
      </c>
    </row>
    <row r="620">
      <c r="A620" t="inlineStr">
        <is>
          <t>battery cell production, Li-O2</t>
        </is>
      </c>
      <c r="B620">
        <v>1</v>
      </c>
      <c r="C620" t="inlineStr">
        <is>
          <t>GLO</t>
        </is>
      </c>
      <c r="D620" t="inlineStr">
        <is>
          <t>kilogram</t>
        </is>
      </c>
      <c r="F620" t="inlineStr">
        <is>
          <t>technosphere</t>
        </is>
      </c>
      <c r="G620" t="inlineStr">
        <is>
          <t>battery cell</t>
        </is>
      </c>
      <c r="I620" t="inlineStr">
        <is>
          <t>battery cell</t>
        </is>
      </c>
    </row>
    <row r="621">
      <c r="A621" t="inlineStr">
        <is>
          <t>treatment of LiO2 battery, for recycling</t>
        </is>
      </c>
      <c r="B621">
        <v>-1</v>
      </c>
      <c r="C621" t="inlineStr">
        <is>
          <t>RER</t>
        </is>
      </c>
      <c r="D621" t="inlineStr">
        <is>
          <t>kilogram</t>
        </is>
      </c>
      <c r="F621" t="inlineStr">
        <is>
          <t>technosphere</t>
        </is>
      </c>
      <c r="G621" t="inlineStr">
        <is>
          <t>waste LiO2 battery</t>
        </is>
      </c>
      <c r="I621" t="inlineStr">
        <is>
          <t>waste LiO2 battery</t>
        </is>
      </c>
    </row>
    <row r="624">
      <c r="A624" t="inlineStr">
        <is>
          <t>Activity</t>
        </is>
      </c>
      <c r="B624" t="inlineStr">
        <is>
          <t xml:space="preserve">battery pack component production and end-of-life treatment, lithium-oxygen, without cells and controls</t>
        </is>
      </c>
    </row>
    <row r="625">
      <c r="A625" t="inlineStr">
        <is>
          <t>location</t>
        </is>
      </c>
      <c r="B625" t="inlineStr">
        <is>
          <t>GLO</t>
        </is>
      </c>
    </row>
    <row r="626">
      <c r="A626" t="inlineStr">
        <is>
          <t>production amount</t>
        </is>
      </c>
      <c r="B626">
        <v>1</v>
      </c>
    </row>
    <row r="627">
      <c r="A627" t="inlineStr">
        <is>
          <t>reference product</t>
        </is>
      </c>
      <c r="B627" t="inlineStr">
        <is>
          <t xml:space="preserve">battery pack component provision, Li-ion, Li-O2, without cells and controls</t>
        </is>
      </c>
    </row>
    <row r="628">
      <c r="A628" t="inlineStr">
        <is>
          <t>unit</t>
        </is>
      </c>
      <c r="B628" t="inlineStr">
        <is>
          <t xml:space="preserve">kilowatt hour</t>
        </is>
      </c>
    </row>
    <row r="629">
      <c r="A629" t="inlineStr">
        <is>
          <t>source</t>
        </is>
      </c>
      <c r="B629" t="inlineStr">
        <is>
          <t xml:space="preserve">Existing public/source-corrected pack and cell designs documented in these supplemental workbooks; existing premise cell_energy_density trajectories retained verbatim. Fixed noncell design is an explicit counterfactual in absence of pack/current/thermal redesign evidence,not a measuredfuturedesign.
Explicit reference links (source or inherited supplier evidence; the engineering adaptation is documented in the activity comment): https://doi.org/10.1016/j.jclepro.2020.121339 ; https://www.kanthal.com/products/datasheets/material-datasheets/wire/resistance-heating-wire-and-resistance-wire/nikrothal-80/ ; https://ars.els-cdn.com/content/image/1-s2.0-S095965262031386X-mmc2.docx
Supplier lineage: module packaging, for Li-O2 battery ; pack packaging, for Li-O2 battery.</t>
        </is>
      </c>
    </row>
    <row r="630">
      <c r="A630" t="inlineStr">
        <is>
          <t>comment</t>
        </is>
      </c>
      <c r="B630" t="inlineStr">
        <is>
          <t xml:space="preserve">APPROVED REFERENCE-UNIT CORRECTION, 2026-10-19. Current reference: Provision of the fixed noncell components attributed to one baseline nominal kWh of installed battery storage capacity. Unit field: kilowatt hour. Former reference: 1 unit = 1 kilowatt hour on the current basis. All supplier/product references and direct purchasers are updated together. Recipes are divided by this conversion factor and consumer doses multiplied by it; physical inputs, emissions and waste per original functional unit are preserved. This is noncell component provision per nominal kWh of installed storage capacity served, not electricity supplied and not a second complete battery. Cell capacity remains supplied separately. The noncell recipe and dose are unchanged; its non-kg reference keeps the approved fixed hardware outside cell-only density learning in future years. No new unit vocabulary, design, lifetime, manufacturing yield, recycling credit, primary/secondary share or runtime code change. Earlier source notes below retain their historical normalization; the current reference and amounts above supersede that normalization.
Nomenclature revision, 2026-10-19. Former activity name: battery fixed noncell hardware, Li-ion, Li-O2, baseline-kWh reference. Former reference product: battery fixed noncell hardware, Li-ion, Li-O2, baseline-kWh reference. Activity/product labels and supplier references only; coefficients, formulas, uncertainty, declared output and unit are unchanged. Original engineering assumptions, functional-unit basis and limitations remain below.
The reference remains the non-cell component package attributed to one baseline nominal kWh, not one complete physical battery pack.
APPROVED CELL-ONLY DENSITY LEARNING AND FIXED PACK HARDWARE, issue63, 2026-10-18. Existing public/source-corrected pack and cell designs documented in these supplemental workbooks; existing premise cell_energy_density trajectories retained verbatim. Fixed noncell design is an explicit counterfactual in absence of pack/current/thermal redesign evidence,not a measuredfuturedesign. For nine conventionalmobile chemistries,LiS,SIB,LiO2 andthreeASSB references,split active capacitypath into kgcellmanufacture and one fixednoncellreference unit perbaseline nominalkWh. Preserve exactbaselinecell mass,allnoncellmaterials,processservices,controls,transport and totaldisposal. Unitbasis is the original explicitly sizedpack architecture attributed to1nominalkWh,not onephysicalpackper1kWh or a newcapacity. Existingruntime scaling appliesonly kgexchanges of namedcapacitydatasets; thus cellmanufacturekg and matchingusedcellkg followunchangeddensityfactor,while casing,busbars,coolant,packaging and theirdisposal are fixedinsideunitprovider. Existing separatelyunitizedcentral/modulecontrols,oxygenlifecycle,cooling are unchanged. No runtime/YAML/learningcurve edit. Noncellhelper buys originalnoncellprocesses once,plusits originalfraction ofusedbattery treatment;Negative cellwaste moves inside the scalablecellprovider at-1kg/kgcell, so it follows exactly the samecellmass; reuse originalcapacitywasterow forfixedunit without movingworkbookrows. The fixedunit is deterministic; prior signed mass uncertainty is removed from thatrow,while original scaledcell distribution is retained. No negativecredit tocancel a completepack orsecondwholepack disposal. LiS/SIB unfold onlyone-to-one packmarket/module boundary; sourcefinishedpackfreight divided bybaselinecell/noncellmass,cellfreight followscellmass andnoncellfreight fixed,baselinefreight identical. Existing cellrecipe andits internalcollectors/separator/case are retained andscale with cellmass: this is a reference ofsamecellformat atgreatercapacity,not proofphysicalcollectorareaorcellhousing canfallthatway. Propercellredesign/areal loading and lifetimepower/cycle behavior remainuncertainties. Fixedpackcurrent,busbarthermal/cooling design is conservativecomparison,not automatically optimalfuturelightweightdesign. No newachieveddensity or unsupportedstructurallearning. Controlsremainexistingfixedarchitecture,not resolvedvehicle-specificchannelcount. HighpowerFCEVcar/truck/bus andhydrogenrail fixedreferences remainoutsidegenericmobilecellcurve. Legacywholepackprovidersremainforotherconsumers; unrelatedstationary/homebattery andflow/leadacid designs needseparatelyscopednoncellaudit,not silentlyredefinedhere. Comparefixednoncellreference toformerproportionalhardware trajectory at2030/2050; baseline mustbeidentical andstaticnoncellwaste mustnotdecay.</t>
        </is>
      </c>
    </row>
    <row r="631">
      <c r="A631" t="inlineStr">
        <is>
          <t xml:space="preserve">type</t>
        </is>
      </c>
      <c r="B631" t="inlineStr">
        <is>
          <t xml:space="preserve">processwithreferenceproduct</t>
        </is>
      </c>
    </row>
    <row r="632">
      <c r="A632" t="inlineStr">
        <is>
          <t>Exchanges</t>
        </is>
      </c>
    </row>
    <row r="633">
      <c r="A633" t="inlineStr">
        <is>
          <t>name</t>
        </is>
      </c>
      <c r="B633" t="inlineStr">
        <is>
          <t>amount</t>
        </is>
      </c>
      <c r="C633" t="inlineStr">
        <is>
          <t>location</t>
        </is>
      </c>
      <c r="D633" t="inlineStr">
        <is>
          <t>unit</t>
        </is>
      </c>
      <c r="E633" t="inlineStr">
        <is>
          <t>categories</t>
        </is>
      </c>
      <c r="F633" t="inlineStr">
        <is>
          <t>type</t>
        </is>
      </c>
      <c r="G633" t="inlineStr">
        <is>
          <t>reference product</t>
        </is>
      </c>
      <c r="H633" t="inlineStr">
        <is>
          <t>comment</t>
        </is>
      </c>
      <c r="I633" t="inlineStr">
        <is>
          <t>product</t>
        </is>
      </c>
    </row>
    <row r="634">
      <c r="A634" t="inlineStr">
        <is>
          <t xml:space="preserve">battery pack component production and end-of-life treatment, lithium-oxygen, without cells and controls</t>
        </is>
      </c>
      <c r="B634">
        <v>1</v>
      </c>
      <c r="C634" t="inlineStr">
        <is>
          <t>GLO</t>
        </is>
      </c>
      <c r="D634" t="inlineStr">
        <is>
          <t xml:space="preserve">kilowatt hour</t>
        </is>
      </c>
      <c r="F634" t="inlineStr">
        <is>
          <t>production</t>
        </is>
      </c>
      <c r="G634" t="inlineStr">
        <is>
          <t xml:space="preserve">battery pack component provision, Li-ion, Li-O2, without cells and controls</t>
        </is>
      </c>
      <c r="I634" t="inlineStr">
        <is>
          <t xml:space="preserve">battery pack component provision, Li-ion, Li-O2, without cells and controls</t>
        </is>
      </c>
    </row>
    <row r="635">
      <c r="A635" t="inlineStr">
        <is>
          <t>module packaging, for Li-O2 battery</t>
        </is>
      </c>
      <c r="B635">
        <v>0.307244094488189</v>
      </c>
      <c r="C635" t="inlineStr">
        <is>
          <t>RER</t>
        </is>
      </c>
      <c r="D635" t="inlineStr">
        <is>
          <t>kilogram</t>
        </is>
      </c>
      <c r="F635" t="inlineStr">
        <is>
          <t>technosphere</t>
        </is>
      </c>
      <c r="G635" t="inlineStr">
        <is>
          <t>module packaging</t>
        </is>
      </c>
      <c r="I635" t="inlineStr">
        <is>
          <t>module packaging</t>
        </is>
      </c>
    </row>
    <row r="636">
      <c r="A636" t="inlineStr">
        <is>
          <t>pack packaging, for Li-O2 battery</t>
        </is>
      </c>
      <c r="B636">
        <v>0.6877165354330709</v>
      </c>
      <c r="C636" t="inlineStr">
        <is>
          <t>RER</t>
        </is>
      </c>
      <c r="D636" t="inlineStr">
        <is>
          <t>kilogram</t>
        </is>
      </c>
      <c r="F636" t="inlineStr">
        <is>
          <t>technosphere</t>
        </is>
      </c>
      <c r="G636" t="inlineStr">
        <is>
          <t>pack packaging</t>
        </is>
      </c>
      <c r="I636" t="inlineStr">
        <is>
          <t>pack packaging</t>
        </is>
      </c>
    </row>
    <row r="637">
      <c r="A637" t="inlineStr">
        <is>
          <t>treatment of LiO2 battery, for recycling</t>
        </is>
      </c>
      <c r="B637">
        <v>-0.9949606299212597</v>
      </c>
      <c r="C637" t="inlineStr">
        <is>
          <t>RER</t>
        </is>
      </c>
      <c r="D637" t="inlineStr">
        <is>
          <t>kilogram</t>
        </is>
      </c>
      <c r="F637" t="inlineStr">
        <is>
          <t>technosphere</t>
        </is>
      </c>
      <c r="G637" t="inlineStr">
        <is>
          <t>waste LiO2 battery</t>
        </is>
      </c>
      <c r="I637" t="inlineStr">
        <is>
          <t>waste LiO2 battery</t>
        </is>
      </c>
    </row>
  </sheetData>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TotalTime>0</TotalTime>
  <Application>Microsoft Macintosh Excel</Application>
  <DocSecurity>0</DocSecurity>
  <ScaleCrop>false</ScaleCrop>
  <HeadingPairs>
    <vt:vector size="2" baseType="variant">
      <vt:variant>
        <vt:lpstr>Worksheets</vt:lpstr>
      </vt:variant>
      <vt:variant>
        <vt:i4>1</vt:i4>
      </vt:variant>
    </vt:vector>
  </HeadingPairs>
  <TitlesOfParts>
    <vt:vector size="1" baseType="lpstr">
      <vt:lpstr>Battery - LiO2</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Hahn Menacho Alvaro Jose</dc:creator>
  <cp:lastModifiedBy>Romain Sacchi</cp:lastModifiedBy>
  <dcterms:created xsi:type="dcterms:W3CDTF">2015-06-05T18:19:34Z</dcterms:created>
  <dcterms:modified xsi:type="dcterms:W3CDTF">2025-08-26T10:20:06Z</dcterms:modified>
</cp:coreProperties>
</file>