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8" i="1"/>
  <c r="H159" i="1"/>
  <c r="H222" i="1" l="1"/>
  <c r="H241" i="1"/>
  <c r="H223" i="1"/>
  <c r="H215" i="1"/>
  <c r="H220" i="1"/>
  <c r="H221" i="1"/>
  <c r="H219" i="1"/>
  <c r="H240" i="1"/>
  <c r="H226" i="1"/>
  <c r="H218" i="1"/>
  <c r="H217" i="1"/>
  <c r="H224" i="1"/>
  <c r="H244" i="1"/>
  <c r="H245" i="1"/>
  <c r="H243"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<sst xmlns="http://schemas.openxmlformats.org/spreadsheetml/2006/main" count="1709" uniqueCount="281">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</sst>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
PREVIOUS SOURCE NOTES:
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is>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t="n">
        <f>-268.03/1000</f>
        <v>-0.26803</v>
      </c>
      <c r="C51" t="s">
        <v>9</v>
      </c>
      <c r="E51" t="s">
        <v>63</v>
      </c>
      <c r="F51" t="s">
        <v>27</v>
      </c>
      <c r="G51" t="s">
        <v>76</v>
      </c>
      <c r="H51" t="inlineStr">
        <is>
          <t>APPROVED CNT WASTE/EMISSION SOURCE-TRANSCRIPTION CORRECTION, 2026-10-17. Wang, Deng and Yuan (2020), Journal of Cleaner Production 264, 121339, DOI 10.1016/j.jclepro.2020.121339, original supplementary DOCX Table S6 (Life cycle inventory of 1 kg CNT production) lists inert chemical waste 268.03 g and a separate carbon-dioxide emission of 5.505 g per kg CNT. The previous inert-waste exchange used -5.505/1000 kg, copying the CO2 number, and the CO2 emission was absent. Restore inert waste to -268.03/1000 = -0.26803 kg/kg CNT, preserving the negative technosphere waste-delivery convention and existing disposal supplier. Add a positive 5.505/1000 = 0.005505 kg/kg CNT biosphere emission to air, unspecified subcompartment. Carbon dioxide, fossil is the explicit mapping convention for the industrial carbon-monoxide feed; the original table does not specify fossil/biogenic origin or an air subcompartment. This is a source-transcription repair, not an independently validated carbon balance or complete CNT synthesis inventory. Off-gas recovery, catalyst fate, actual yields, waste composition and treatment suitability remain unvalidated. Do not infer complete mass closure or a catalyst recovery credit. All Co/Mo and other feed quantities, energy, wastewater, hazardous waste, reference output, CNT purchases and lifetime equipment allocations are retained. No full scenario rebuild or quantified system-metal effect is claimed. Source: https://ars.els-cdn.com/content/image/1-s2.0-S095965262031386X-mmc2.docx .</t>
        </is>
      </c>
    </row>
    <row r="52">
      <c r="A52" t="inlineStr">
        <is>
          <t>Carbon dioxide, fossil</t>
        </is>
      </c>
      <c r="B52" t="n">
        <f>5.505/1000</f>
        <v>0.0055049999999999995</v>
      </c>
      <c r="C52" t="inlineStr">
        <is>
          <t>kilogram</t>
        </is>
      </c>
      <c r="D52" t="inlineStr">
        <is>
          <t>air::unspecified</t>
        </is>
      </c>
      <c r="F52" t="inlineStr">
        <is>
          <t>biosphere</t>
        </is>
      </c>
      <c r="H52" t="inlineStr">
        <is>
          <t>Restored omitted Table S6 emission: 5.505 g CO2 per 1 kg CNT = 5.505/1000 kg/kg; positive biosphere emission, separate from the 268.03 g inert-waste delivery. Carbon dioxide, fossil, air/unspecified is an explicit mapping convention for the industrial CO feed; the source gives generic inorganic CO2 to air without carbon-origin or subcompartment detail. The source process carbon balance, off-gas recovery and yields remain unvalidated. See dataset comment for citation and limitations.</t>
        </is>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t="n">
        <v>2.0</v>
      </c>
      <c r="C167" t="s">
        <v>88</v>
      </c>
      <c r="E167" t="s">
        <v>63</v>
      </c>
      <c r="F167" t="s">
        <v>27</v>
      </c>
      <c r="G167" t="s">
        <v>89</v>
      </c>
      <c r="H167" t="inlineStr">
        <is>
          <t>APPROVED LI-O2 RAIL-FREIGHT SOURCE-TRANSCRIPTION CORRECTION, 2026-10-17. Wang, Deng and Yuan (2020), Journal of Cleaner Production 264, 121339, DOI 10.1016/j.jclepro.2020.121339, original supplementary DOCX Table S11 Life cycle inventory of 1 kg terminals,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=184*B$24*B167; previous cached value = 2.0976.</t>
        </is>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t="n">
        <v>2.0</v>
      </c>
      <c r="C225" t="s">
        <v>88</v>
      </c>
      <c r="E225" t="s">
        <v>63</v>
      </c>
      <c r="F225" t="s">
        <v>27</v>
      </c>
      <c r="G225" t="s">
        <v>89</v>
      </c>
      <c r="H225" t="inlineStr">
        <is>
          <t>APPROVED LI-O2 RAIL-FREIGHT SOURCE-TRANSCRIPTION CORRECTION, 2026-10-17. Wang, Deng and Yuan (2020), Journal of Cleaner Production 264, 121339, DOI 10.1016/j.jclepro.2020.121339, original supplementary DOCX Table S14 Life cycle inventory of 1 kg module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=B$279*B225; previous cached value = 0.010024922118380063.</t>
        </is>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SOURCE NOTES:
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SOURCE NOTES:
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is>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t="n">
        <v>2.87e-11</v>
      </c>
      <c r="C242" t="s">
        <v>8</v>
      </c>
      <c r="E242" t="s">
        <v>5</v>
      </c>
      <c r="F242" t="s">
        <v>27</v>
      </c>
      <c r="G242" t="s">
        <v>86</v>
      </c>
      <c r="H242" s="6" t="inlineStr">
        <is>
          <t>APPROVED LI-O2 PACK-FACTORY SOURCE-TRANSCRIPTION CORRECTION, 2026-10-18. Wang, Deng and Yuan (2020), Journal of Cleaner Production 264, 121339, DOI 10.1016/j.jclepro.2020.121339, original supplementary DOCX Table S15, Life cycle inventory of 1 kg pack packaging, row Metal working factory, unit pcs., specifies 2.87E-11 units/kg pack packaging from GLO: market for metal working factory, ecoinvent. Correct the transposed 2.78E-11 to 2.87E-11 units/kg. Retain the existing GLO supplier/product/unit, 1 kg reference output, all materials, other processes/freight, component purchases and lifetime/per-MJ allocations. This is a minor published-source transcription repair, not a major identified critical-metal demand driver. Actual factory size/capacity and allocation, equipment life, manufacturing yields and current/future construction designs remain unvalidated. It does not resolve the source component/whole-battery mass bases or justify additional infrastructure, yield factors, disposal or recovery credits. No full scenario rebuild or quantified system-metal effect is claimed. Source: https://ars.els-cdn.com/content/image/1-s2.0-S095965262031386X-mmc2.docx .
PREVIOUS EXCHANGE COMMENT (historical calculation only, not a model input): =B242*B$280; previous cached value = 3.1212211838006227e-12.</t>
        </is>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t="n">
        <v>2.0</v>
      </c>
      <c r="C246" t="s">
        <v>88</v>
      </c>
      <c r="E246" t="s">
        <v>63</v>
      </c>
      <c r="F246" t="s">
        <v>27</v>
      </c>
      <c r="G246" t="s">
        <v>89</v>
      </c>
      <c r="H246" s="6" t="inlineStr">
        <is>
          <t>APPROVED LI-O2 RAIL-FREIGHT SOURCE-TRANSCRIPTION CORRECTION, 2026-10-17. Wang, Deng and Yuan (2020), Journal of Cleaner Production 264, 121339, DOI 10.1016/j.jclepro.2020.121339, original supplementary DOCX Table S15 Life cycle inventory of 1 kg pack packaging, row Transport_freght_rail: 2 tkm per 1 kg component. Correct the existing 0.2 ton kilometer/kg to 2 ton kilometer/kg: the old coefficient was one tenth of the published value. One tkm is one metric tonne-kilometre. At 1 kg transported mass, the source coefficient is equivalent to 2000 km, compared with 200 km for the old value; these are dimensional equivalents, not independently verified actual routes. Retain the existing regional freight train market, reference product, location and unit. The source supplier was RER rail transport; its historical transport assumption, the adaptation to the current supplier, actual modern distances, freight mix and future logistics are not validated by this repair. All direct material/process inputs, other transport, reference output, component purchases and lifetime equipment allocations are retained. Do not renormalize component masses or infer a quantified system-metal effect; source assembly mass/yield and battery normalization issues remain separate. Source: https://ars.els-cdn.com/content/image/1-s2.0-S095965262031386X-mmc2.docx .
PREVIOUS EXCHANGE COMMENT (historical calculation only; not an exchange amount): =B246*B$280; previous cached value = 0.022454828660436136.</t>
        </is>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inlineStr">
        <is>
          <t>APPROVED Li-O2 SINGLE RECYCLING BOUNDARY, 2026-10-18. Wang, Deng and Yuan (2020), DOI 10.1016/j.jclepro.2020.121339, supporting information Table S16, explicitly describes recycling per 1 kg Li-O2 battery system. Its six treatment coefficients are retained. Set the former -1/321 kg/kg internal treatment fragment to a deterministic zero and apply end of life only at market for battery capacity, Li-ion, Li-O2: the full purchased battery mass is sent to treatment of LiO2 battery, for recycling (RER; waste LiO2 battery). Standalone manufacture is manufacturing-only. DefaultInventory may retain the zero exchange; it contributes no treatment flow. Do not add a second generic Li-ion route. This restores a single historical source-specific accounting route; treatment yields, whole-system mass normalization, modern recovery and primary/secondary shares remain unvalidated. No new recovery credit or change to manufacturing recipes, density or lifetime.
PREVIOUS NOTES (retained as history; the correction above takes precedence):
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is>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0</f>
        <v>0</v>
      </c>
      <c r="C284" t="s">
        <v>9</v>
      </c>
      <c r="E284" t="s">
        <v>48</v>
      </c>
      <c r="F284" t="s">
        <v>27</v>
      </c>
      <c r="G284" t="s">
        <v>148</v>
      </c>
      <c r="H284" t="inlineStr">
        <is>
          <t>Disabled duplicate treatment fragment: original formula -1/321 kg waste/kg battery; now zero. The capacity market applies the complete mass through the existing LiO2-specific recycling activity. See activity comment for source and limits.</t>
        </is>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