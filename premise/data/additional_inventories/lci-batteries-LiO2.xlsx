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4" i="1"/>
  <c r="H185" i="1"/>
  <c r="H186" i="1"/>
  <c r="H187" i="1"/>
  <c r="H182" i="1"/>
  <c r="H162" i="1"/>
  <c r="H163" i="1"/>
  <c r="H165" i="1"/>
  <c r="H166" i="1"/>
  <c r="H167" i="1"/>
  <c r="H168" i="1"/>
  <c r="H159" i="1"/>
  <c r="H222" i="1" l="1"/>
  <c r="H241" i="1"/>
  <c r="H223" i="1"/>
  <c r="H215" i="1"/>
  <c r="H220" i="1"/>
  <c r="H221" i="1"/>
  <c r="H219" i="1"/>
  <c r="H240" i="1"/>
  <c r="H226" i="1"/>
  <c r="H218" i="1"/>
  <c r="H225" i="1"/>
  <c r="H217" i="1"/>
  <c r="H246" i="1"/>
  <c r="H224" i="1"/>
  <c r="H244" i="1"/>
  <c r="H245" i="1"/>
  <c r="H243" i="1"/>
  <c r="H242"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<sst xmlns="http://schemas.openxmlformats.org/spreadsheetml/2006/main" count="1709" uniqueCount="281">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</sst>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s">
        <v>267</v>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6.9900000000000005E-5</v>
      </c>
      <c r="C14" t="s">
        <v>9</v>
      </c>
      <c r="E14" t="s">
        <v>5</v>
      </c>
      <c r="F14" t="s">
        <v>27</v>
      </c>
      <c r="G14" t="s">
        <v>28</v>
      </c>
      <c r="H14" t="s">
        <v>29</v>
      </c>
    </row>
    <row r="15" spans="1:8" x14ac:dyDescent="0.2">
      <c r="A15" t="s">
        <v>57</v>
      </c>
      <c r="B15" s="6">
        <v>7.9000000000000001E-2</v>
      </c>
      <c r="C15" t="s">
        <v>9</v>
      </c>
      <c r="E15" t="s">
        <v>48</v>
      </c>
      <c r="F15" t="s">
        <v>27</v>
      </c>
      <c r="G15" t="s">
        <v>58</v>
      </c>
      <c r="H15" t="s">
        <v>256</v>
      </c>
    </row>
    <row r="16" spans="1:8" x14ac:dyDescent="0.2">
      <c r="A16" t="s">
        <v>19</v>
      </c>
      <c r="B16" s="6">
        <v>1.7999999999999999E-2</v>
      </c>
      <c r="C16" t="s">
        <v>9</v>
      </c>
      <c r="E16" t="s">
        <v>48</v>
      </c>
      <c r="F16" t="s">
        <v>27</v>
      </c>
      <c r="G16" t="s">
        <v>41</v>
      </c>
    </row>
    <row r="17" spans="1:20" x14ac:dyDescent="0.2">
      <c r="A17" t="s">
        <v>20</v>
      </c>
      <c r="B17" s="6">
        <v>0.11600000000000001</v>
      </c>
      <c r="C17" t="s">
        <v>9</v>
      </c>
      <c r="E17" t="s">
        <v>48</v>
      </c>
      <c r="F17" t="s">
        <v>27</v>
      </c>
      <c r="G17" t="s">
        <v>33</v>
      </c>
    </row>
    <row r="18" spans="1:20" x14ac:dyDescent="0.2">
      <c r="A18" t="s">
        <v>21</v>
      </c>
      <c r="B18" s="6">
        <v>0.106</v>
      </c>
      <c r="C18" t="s">
        <v>9</v>
      </c>
      <c r="E18" t="s">
        <v>48</v>
      </c>
      <c r="F18" t="s">
        <v>27</v>
      </c>
      <c r="G18" t="s">
        <v>34</v>
      </c>
    </row>
    <row r="19" spans="1:20" x14ac:dyDescent="0.2">
      <c r="A19" t="s">
        <v>22</v>
      </c>
      <c r="B19" s="6">
        <v>0.214</v>
      </c>
      <c r="C19" t="s">
        <v>9</v>
      </c>
      <c r="E19" t="s">
        <v>48</v>
      </c>
      <c r="F19" t="s">
        <v>27</v>
      </c>
      <c r="G19" t="s">
        <v>38</v>
      </c>
    </row>
    <row r="20" spans="1:20" x14ac:dyDescent="0.2">
      <c r="A20" t="s">
        <v>39</v>
      </c>
      <c r="B20" s="6">
        <v>1.6E-2</v>
      </c>
      <c r="C20" t="s">
        <v>9</v>
      </c>
      <c r="E20" t="s">
        <v>48</v>
      </c>
      <c r="F20" t="s">
        <v>27</v>
      </c>
      <c r="G20" t="s">
        <v>40</v>
      </c>
    </row>
    <row r="21" spans="1:20" x14ac:dyDescent="0.2">
      <c r="A21" t="s">
        <v>31</v>
      </c>
      <c r="B21" s="6">
        <v>0.308</v>
      </c>
      <c r="C21" t="s">
        <v>9</v>
      </c>
      <c r="E21" t="s">
        <v>5</v>
      </c>
      <c r="F21" t="s">
        <v>27</v>
      </c>
      <c r="G21" t="s">
        <v>32</v>
      </c>
      <c r="H21" t="s">
        <v>30</v>
      </c>
    </row>
    <row r="22" spans="1:20" x14ac:dyDescent="0.2">
      <c r="A22" t="s">
        <v>169</v>
      </c>
      <c r="B22" s="6">
        <v>4.8000000000000001E-2</v>
      </c>
      <c r="C22" t="s">
        <v>9</v>
      </c>
      <c r="E22" t="s">
        <v>48</v>
      </c>
      <c r="F22" t="s">
        <v>27</v>
      </c>
      <c r="G22" t="s">
        <v>35</v>
      </c>
    </row>
    <row r="23" spans="1:20" x14ac:dyDescent="0.2">
      <c r="A23" t="s">
        <v>23</v>
      </c>
      <c r="B23" s="6">
        <v>3.6999999999999998E-2</v>
      </c>
      <c r="C23" t="s">
        <v>9</v>
      </c>
      <c r="E23" t="s">
        <v>48</v>
      </c>
      <c r="F23" t="s">
        <v>27</v>
      </c>
      <c r="G23" t="s">
        <v>36</v>
      </c>
    </row>
    <row r="24" spans="1:20" x14ac:dyDescent="0.2">
      <c r="A24" t="s">
        <v>24</v>
      </c>
      <c r="B24" s="6">
        <v>5.7000000000000002E-2</v>
      </c>
      <c r="C24" t="s">
        <v>9</v>
      </c>
      <c r="E24" t="s">
        <v>48</v>
      </c>
      <c r="F24" t="s">
        <v>27</v>
      </c>
      <c r="G24" t="s">
        <v>37</v>
      </c>
    </row>
    <row r="27" spans="1:20" ht="16" x14ac:dyDescent="0.2">
      <c r="A27" s="2" t="s">
        <v>2</v>
      </c>
      <c r="B27" s="2" t="s">
        <v>19</v>
      </c>
    </row>
    <row r="28" spans="1:20" x14ac:dyDescent="0.2">
      <c r="A28" t="s">
        <v>3</v>
      </c>
      <c r="B28"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
PREVIOUS SOURCE NOTES:
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is>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t="n">
        <f>-268.03/1000</f>
        <v>-0.26803</v>
      </c>
      <c r="C51" t="s">
        <v>9</v>
      </c>
      <c r="E51" t="s">
        <v>63</v>
      </c>
      <c r="F51" t="s">
        <v>27</v>
      </c>
      <c r="G51" t="s">
        <v>76</v>
      </c>
      <c r="H51"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t>
        </is>
      </c>
    </row>
    <row r="52">
      <c r="A52" t="inlineStr">
        <is>
          <t>Carbon dioxide, fossil</t>
        </is>
      </c>
      <c r="B52" t="n">
        <f>5.505/1000</f>
        <v>0.0055049999999999995</v>
      </c>
      <c r="C52" t="inlineStr">
        <is>
          <t>kilogram</t>
        </is>
      </c>
      <c r="D52" t="inlineStr">
        <is>
          <t>air::unspecified</t>
        </is>
      </c>
      <c r="F52" t="inlineStr">
        <is>
          <t>biosphere</t>
        </is>
      </c>
      <c r="H52" t="inlineStr">
        <is>
          <t>Restored omitted Table S6 emission: 5.505 g CO2 per 1 kg CNT = 5.505/1000 kg/kg; positive biosphere emission, separate from the 268.03 g inert-waste delivery. Carbon dioxide, fossil, air/unspecified is an explicit mapping convention for the industrial CO feed; the source gives generic inorganic CO2 to air without carbon-origin or subcompartment detail. The source process carbon balance, off-gas recovery and yields remain unvalidated. See dataset comment for citation and limitations.</t>
        </is>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0.71299999999999997</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s">
        <v>263</v>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0.82499999999999996</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9" spans="1:8" ht="16" x14ac:dyDescent="0.2">
      <c r="A149" s="2" t="s">
        <v>2</v>
      </c>
      <c r="B149" s="2" t="s">
        <v>24</v>
      </c>
    </row>
    <row r="150" spans="1:8" ht="16" x14ac:dyDescent="0.2">
      <c r="A150" s="7" t="s">
        <v>3</v>
      </c>
      <c r="B150" s="7" t="inlineStr">
        <is>
          <t>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0.82499999999999996</v>
      </c>
      <c r="C159" t="s">
        <v>9</v>
      </c>
      <c r="E159" t="s">
        <v>110</v>
      </c>
      <c r="F159" t="s">
        <v>27</v>
      </c>
      <c r="G159" t="s">
        <v>109</v>
      </c>
      <c r="H159">
        <f>184*B$24*B159</f>
        <v>8.6525999999999996</v>
      </c>
    </row>
    <row r="160" spans="1:8" x14ac:dyDescent="0.2">
      <c r="A160" t="inlineStr">
        <is>
          <t>market for aluminium, wrought alloy</t>
        </is>
      </c>
      <c r="B160">
        <f>45/1000</f>
        <v>4.4999999999999998E-2</v>
      </c>
      <c r="C160" t="s">
        <v>9</v>
      </c>
      <c r="E160" t="inlineStr">
        <is>
          <t>GLO</t>
        </is>
      </c>
      <c r="F160" t="s">
        <v>27</v>
      </c>
      <c r="G160" t="inlineStr">
        <is>
          <t>aluminium, wrought alloy</t>
        </is>
      </c>
      <c r="H160"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61" spans="1:8" x14ac:dyDescent="0.2">
      <c r="A161" t="s">
        <v>114</v>
      </c>
      <c r="B161">
        <f>0.0000000000349</f>
        <v>3.4899999999999997E-11</v>
      </c>
      <c r="C161" t="s">
        <v>8</v>
      </c>
      <c r="E161" t="s">
        <v>48</v>
      </c>
      <c r="F161" t="s">
        <v>27</v>
      </c>
      <c r="G161" t="s">
        <v>115</v>
      </c>
      <c r="H161">
        <f t="shared" si="0" ref="H161:H163">184*B$24*B161</f>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0.71299999999999997</v>
      </c>
      <c r="C163" t="s">
        <v>9</v>
      </c>
      <c r="E163" t="s">
        <v>5</v>
      </c>
      <c r="F163" t="s">
        <v>27</v>
      </c>
      <c r="G163" t="s">
        <v>117</v>
      </c>
      <c r="H163">
        <f t="shared" si="0"/>
        <v>7.477943999999999</v>
      </c>
    </row>
    <row r="164" spans="1:8" x14ac:dyDescent="0.2">
      <c r="A164" t="inlineStr">
        <is>
          <t>market for copper, cathode</t>
        </is>
      </c>
      <c r="B164">
        <f>234/1000</f>
        <v>0.234</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0.23200000000000001</v>
      </c>
      <c r="C165" t="s">
        <v>9</v>
      </c>
      <c r="E165" t="s">
        <v>5</v>
      </c>
      <c r="F165" t="s">
        <v>27</v>
      </c>
      <c r="G165" t="s">
        <v>111</v>
      </c>
      <c r="H165">
        <f t="shared" si="4" ref="H165:H169">184*B$24*B165</f>
        <v>2.4332159999999998</v>
      </c>
    </row>
    <row r="166" spans="1:8" x14ac:dyDescent="0.2">
      <c r="A166" t="s">
        <v>106</v>
      </c>
      <c r="B166">
        <v>0.76800000000000002</v>
      </c>
      <c r="C166" t="s">
        <v>9</v>
      </c>
      <c r="E166" t="s">
        <v>5</v>
      </c>
      <c r="F166" t="s">
        <v>27</v>
      </c>
      <c r="G166" t="s">
        <v>107</v>
      </c>
      <c r="H166">
        <f t="shared" si="4"/>
        <v>8.0547839999999997</v>
      </c>
    </row>
    <row r="167" spans="1:8" x14ac:dyDescent="0.2">
      <c r="A167" t="s">
        <v>87</v>
      </c>
      <c r="B167">
        <v>0.2</v>
      </c>
      <c r="C167" t="s">
        <v>88</v>
      </c>
      <c r="E167" t="s">
        <v>63</v>
      </c>
      <c r="F167" t="s">
        <v>27</v>
      </c>
      <c r="G167" t="s">
        <v>89</v>
      </c>
      <c r="H167">
        <f t="shared" si="4"/>
        <v>2.0975999999999999</v>
      </c>
    </row>
    <row r="168" spans="1:8" x14ac:dyDescent="0.2">
      <c r="A168" t="s">
        <v>90</v>
      </c>
      <c r="B168">
        <v>0.1</v>
      </c>
      <c r="C168" t="s">
        <v>88</v>
      </c>
      <c r="E168" t="s">
        <v>48</v>
      </c>
      <c r="F168" t="s">
        <v>27</v>
      </c>
      <c r="G168" t="s">
        <v>91</v>
      </c>
      <c r="H168">
        <f t="shared" si="4"/>
        <v>1.0488</v>
      </c>
    </row>
    <row r="169" spans="1:8" x14ac:dyDescent="0.2">
      <c r="A169" t="s">
        <v>121</v>
      </c>
      <c r="B169">
        <f>-18/1000</f>
        <v>-1.7999999999999999E-2</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inlineStr">
        <is>
          <t> Source: Originally from Wang, F., Deng, Y., &amp; Yuan, C. (2020). Life cycle assessment of lithium oxygen battery for electric vehicles. Journal of Cleaner Production, 264, 121339. https://doi.org/10.1016/j.jclepro.2020.121339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inlineStr">
        <is>
          <t>market for aluminium, wrought alloy</t>
        </is>
      </c>
      <c r="B183">
        <v>0.129</v>
      </c>
      <c r="C183" t="s">
        <v>9</v>
      </c>
      <c r="E183" t="inlineStr">
        <is>
          <t>GLO</t>
        </is>
      </c>
      <c r="F183" t="s">
        <v>27</v>
      </c>
      <c r="G183" t="inlineStr">
        <is>
          <t>aluminium, wrought alloy</t>
        </is>
      </c>
      <c r="H183"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84" spans="1:8" x14ac:dyDescent="0.2">
      <c r="A184" t="s">
        <v>123</v>
      </c>
      <c r="B184">
        <v>0.20599999999999999</v>
      </c>
      <c r="C184" t="s">
        <v>9</v>
      </c>
      <c r="E184" t="s">
        <v>5</v>
      </c>
      <c r="F184" t="s">
        <v>27</v>
      </c>
      <c r="G184" t="s">
        <v>124</v>
      </c>
      <c r="H184">
        <f t="shared" si="1" ref="H184:H188">184*B$23*B184</f>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inlineStr">
        <is>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 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0.82499999999999996</v>
      </c>
      <c r="C217" t="s">
        <v>9</v>
      </c>
      <c r="E217" t="s">
        <v>110</v>
      </c>
      <c r="F217" t="s">
        <v>27</v>
      </c>
      <c r="G217" t="s">
        <v>109</v>
      </c>
      <c r="H217">
        <f t="shared" si="2"/>
        <v>4.1352803738317755E-2</v>
      </c>
    </row>
    <row r="218" spans="1:8" x14ac:dyDescent="0.2">
      <c r="A218" t="s">
        <v>133</v>
      </c>
      <c r="B218">
        <v>0.115</v>
      </c>
      <c r="C218" t="s">
        <v>9</v>
      </c>
      <c r="E218" t="s">
        <v>48</v>
      </c>
      <c r="F218" t="s">
        <v>27</v>
      </c>
      <c r="G218" t="s">
        <v>133</v>
      </c>
      <c r="H218">
        <f t="shared" si="2"/>
        <v>5.7643302180685361E-3</v>
      </c>
    </row>
    <row r="219" spans="1:8" x14ac:dyDescent="0.2">
      <c r="A219" t="s">
        <v>134</v>
      </c>
      <c r="B219">
        <v>0.6</v>
      </c>
      <c r="C219" t="s">
        <v>135</v>
      </c>
      <c r="E219" t="s">
        <v>48</v>
      </c>
      <c r="F219" t="s">
        <v>27</v>
      </c>
      <c r="G219" t="s">
        <v>134</v>
      </c>
      <c r="H219">
        <f t="shared" si="2"/>
        <v>3.0074766355140187E-2</v>
      </c>
    </row>
    <row r="220" spans="1:8" x14ac:dyDescent="0.2">
      <c r="A220" t="s">
        <v>168</v>
      </c>
      <c r="B220">
        <v>4.9000000000000002E-2</v>
      </c>
      <c r="C220" t="s">
        <v>9</v>
      </c>
      <c r="E220" t="s">
        <v>5</v>
      </c>
      <c r="F220" t="s">
        <v>27</v>
      </c>
      <c r="G220" t="s">
        <v>167</v>
      </c>
      <c r="H220">
        <f t="shared" si="2"/>
        <v>2.4561059190031155E-3</v>
      </c>
    </row>
    <row r="221" spans="1:8" x14ac:dyDescent="0.2">
      <c r="A221" t="s">
        <v>136</v>
      </c>
      <c r="B221">
        <v>0.33300000000000002</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6.7000000000000004E-2</v>
      </c>
      <c r="C223" t="s">
        <v>9</v>
      </c>
      <c r="E223" t="s">
        <v>48</v>
      </c>
      <c r="F223" t="s">
        <v>27</v>
      </c>
      <c r="G223" t="s">
        <v>139</v>
      </c>
      <c r="H223">
        <f t="shared" si="2"/>
        <v>3.3583489096573214E-3</v>
      </c>
    </row>
    <row r="224" spans="1:8" x14ac:dyDescent="0.2">
      <c r="A224" t="s">
        <v>120</v>
      </c>
      <c r="B224">
        <v>0.65500000000000003</v>
      </c>
      <c r="C224" t="s">
        <v>9</v>
      </c>
      <c r="E224" t="s">
        <v>5</v>
      </c>
      <c r="F224" t="s">
        <v>27</v>
      </c>
      <c r="G224" t="s">
        <v>111</v>
      </c>
      <c r="H224">
        <f t="shared" si="2"/>
        <v>3.2831619937694706E-2</v>
      </c>
    </row>
    <row r="225" spans="1:8" x14ac:dyDescent="0.2">
      <c r="A225" t="s">
        <v>87</v>
      </c>
      <c r="B225">
        <v>0.2</v>
      </c>
      <c r="C225" t="s">
        <v>88</v>
      </c>
      <c r="E225" t="s">
        <v>63</v>
      </c>
      <c r="F225" t="s">
        <v>27</v>
      </c>
      <c r="G225" t="s">
        <v>89</v>
      </c>
      <c r="H225">
        <f t="shared" si="2"/>
        <v>1.0024922118380063E-2</v>
      </c>
    </row>
    <row r="226" spans="1:8" x14ac:dyDescent="0.2">
      <c r="A226" t="s">
        <v>90</v>
      </c>
      <c r="B226">
        <v>0.1</v>
      </c>
      <c r="C226" t="s">
        <v>88</v>
      </c>
      <c r="E226" t="s">
        <v>48</v>
      </c>
      <c r="F226" t="s">
        <v>27</v>
      </c>
      <c r="G226" t="s">
        <v>91</v>
      </c>
      <c r="H226">
        <f t="shared" si="2"/>
        <v>5.0124610591900315E-3</v>
      </c>
    </row>
    <row r="227" spans="1:8" x14ac:dyDescent="0.2">
      <c r="A227" t="s">
        <v>121</v>
      </c>
      <c r="B227">
        <f>-195/1000</f>
        <v>-0.19500000000000001</v>
      </c>
      <c r="C227" t="s">
        <v>9</v>
      </c>
      <c r="E227" t="s">
        <v>63</v>
      </c>
      <c r="F227" t="s">
        <v>27</v>
      </c>
      <c r="G227" t="s">
        <v>122</v>
      </c>
      <c r="H227">
        <f t="shared" si="2"/>
        <v>-9.7742990654205615E-3</v>
      </c>
    </row>
    <row r="228">
      <c r="A228" t="inlineStr">
        <is>
          <t>market for copper, cathode</t>
        </is>
      </c>
      <c r="B228">
        <v>0.115</v>
      </c>
      <c r="C228" t="inlineStr">
        <is>
          <t>kilogram</t>
        </is>
      </c>
      <c r="E228" t="inlineStr">
        <is>
          <t>GLO</t>
        </is>
      </c>
      <c r="F228" t="inlineStr">
        <is>
          <t>technosphere</t>
        </is>
      </c>
      <c r="G228" t="inlineStr">
        <is>
          <t>copper, cathode</t>
        </is>
      </c>
      <c r="H228" t="inlineStr">
        <is>
          <t>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30" spans="1:8" ht="16" x14ac:dyDescent="0.2">
      <c r="A230" s="2" t="s">
        <v>2</v>
      </c>
      <c r="B230" s="2" t="s">
        <v>140</v>
      </c>
    </row>
    <row r="231" spans="1:8" x14ac:dyDescent="0.2">
      <c r="A231" t="s">
        <v>3</v>
      </c>
      <c r="B231" t="s">
        <v>262</v>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0.82499999999999996</v>
      </c>
      <c r="C241" t="s">
        <v>9</v>
      </c>
      <c r="E241" t="s">
        <v>110</v>
      </c>
      <c r="F241" t="s">
        <v>27</v>
      </c>
      <c r="G241" t="s">
        <v>109</v>
      </c>
      <c r="H241" s="6">
        <f t="shared" ref="H241:H247" si="3">B241*B$280</f>
        <v>9.2626168224299046E-2</v>
      </c>
    </row>
    <row r="242" spans="1:8" x14ac:dyDescent="0.2">
      <c r="A242" t="s">
        <v>85</v>
      </c>
      <c r="B242" s="3">
        <v>2.78E-11</v>
      </c>
      <c r="C242" t="s">
        <v>8</v>
      </c>
      <c r="E242" t="s">
        <v>5</v>
      </c>
      <c r="F242" t="s">
        <v>27</v>
      </c>
      <c r="G242" t="s">
        <v>86</v>
      </c>
      <c r="H242" s="6">
        <f t="shared" si="3"/>
        <v>3.1212211838006227E-12</v>
      </c>
    </row>
    <row r="243" spans="1:8" x14ac:dyDescent="0.2">
      <c r="A243" t="s">
        <v>142</v>
      </c>
      <c r="B243">
        <v>0.89900000000000002</v>
      </c>
      <c r="C243" t="s">
        <v>9</v>
      </c>
      <c r="E243" t="s">
        <v>5</v>
      </c>
      <c r="F243" t="s">
        <v>27</v>
      </c>
      <c r="G243" t="s">
        <v>143</v>
      </c>
      <c r="H243" s="6">
        <f t="shared" si="3"/>
        <v>0.10093445482866042</v>
      </c>
    </row>
    <row r="244" spans="1:8" x14ac:dyDescent="0.2">
      <c r="A244" t="s">
        <v>144</v>
      </c>
      <c r="B244" s="3">
        <v>3.2000000000000001E-2</v>
      </c>
      <c r="C244" t="s">
        <v>9</v>
      </c>
      <c r="E244" t="s">
        <v>5</v>
      </c>
      <c r="F244" t="s">
        <v>27</v>
      </c>
      <c r="G244" t="s">
        <v>145</v>
      </c>
      <c r="H244" s="6">
        <f t="shared" si="3"/>
        <v>3.5927725856697819E-3</v>
      </c>
    </row>
    <row r="245" spans="1:8" x14ac:dyDescent="0.2">
      <c r="A245" t="s">
        <v>146</v>
      </c>
      <c r="B245">
        <v>8.7999999999999995E-2</v>
      </c>
      <c r="C245" t="s">
        <v>9</v>
      </c>
      <c r="E245" t="s">
        <v>48</v>
      </c>
      <c r="F245" t="s">
        <v>27</v>
      </c>
      <c r="G245" t="s">
        <v>146</v>
      </c>
      <c r="H245" s="6">
        <f t="shared" si="3"/>
        <v>9.8801246105918988E-3</v>
      </c>
    </row>
    <row r="246" spans="1:8" x14ac:dyDescent="0.2">
      <c r="A246" t="s">
        <v>87</v>
      </c>
      <c r="B246">
        <v>0.2</v>
      </c>
      <c r="C246" t="s">
        <v>88</v>
      </c>
      <c r="E246" t="s">
        <v>63</v>
      </c>
      <c r="F246" t="s">
        <v>27</v>
      </c>
      <c r="G246" t="s">
        <v>89</v>
      </c>
      <c r="H246" s="6">
        <f t="shared" si="3"/>
        <v>2.2454828660436136E-2</v>
      </c>
    </row>
    <row r="247" spans="1:8" x14ac:dyDescent="0.2">
      <c r="A247" t="s">
        <v>90</v>
      </c>
      <c r="B247">
        <v>0.1</v>
      </c>
      <c r="C247" t="s">
        <v>88</v>
      </c>
      <c r="E247" t="s">
        <v>48</v>
      </c>
      <c r="F247" t="s">
        <v>27</v>
      </c>
      <c r="G247" t="s">
        <v>91</v>
      </c>
      <c r="H247" s="6">
        <f t="shared" si="3"/>
        <v>1.1227414330218068E-2</v>
      </c>
    </row>
    <row r="248" spans="1:8" x14ac:dyDescent="0.2">
      <c r="A248" t="s">
        <v>121</v>
      </c>
      <c r="B248">
        <f>-77/1000</f>
        <v>-7.6999999999999999E-2</v>
      </c>
      <c r="C248" t="s">
        <v>9</v>
      </c>
      <c r="E248" t="s">
        <v>63</v>
      </c>
      <c r="F248" t="s">
        <v>27</v>
      </c>
      <c r="G248" t="s">
        <v>122</v>
      </c>
      <c r="H248" s="6">
        <f>B248*B$280</f>
        <v>-8.6451090342679112E-3</v>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s">
        <v>279</v>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(33.7+60.71+8.85+51.16+51.98)/321</f>
        <v>0.64299065420560741</v>
      </c>
      <c r="C278" t="s">
        <v>9</v>
      </c>
      <c r="E278" t="s">
        <v>5</v>
      </c>
      <c r="F278" t="s">
        <v>27</v>
      </c>
      <c r="G278" t="s">
        <v>270</v>
      </c>
      <c r="H278" t="s">
        <v>269</v>
      </c>
    </row>
    <row r="279" spans="1:8" x14ac:dyDescent="0.2">
      <c r="A279" t="s">
        <v>131</v>
      </c>
      <c r="B279">
        <f>16.09/321</f>
        <v>5.0124610591900313E-2</v>
      </c>
      <c r="C279" t="s">
        <v>9</v>
      </c>
      <c r="E279" t="s">
        <v>48</v>
      </c>
      <c r="F279" t="s">
        <v>27</v>
      </c>
      <c r="G279" t="s">
        <v>132</v>
      </c>
    </row>
    <row r="280" spans="1:8" x14ac:dyDescent="0.2">
      <c r="A280" t="s">
        <v>140</v>
      </c>
      <c r="B280">
        <f>36.04/321</f>
        <v>0.11227414330218068</v>
      </c>
      <c r="C280" t="s">
        <v>9</v>
      </c>
      <c r="E280" t="s">
        <v>48</v>
      </c>
      <c r="F280" t="s">
        <v>27</v>
      </c>
      <c r="G280" t="s">
        <v>141</v>
      </c>
    </row>
    <row r="281" spans="1:8" x14ac:dyDescent="0.2">
      <c r="A281" t="s">
        <v>128</v>
      </c>
      <c r="B281">
        <f>55/321</f>
        <v>0.17133956386292834</v>
      </c>
      <c r="C281" t="s">
        <v>9</v>
      </c>
      <c r="E281" t="s">
        <v>48</v>
      </c>
      <c r="F281" t="s">
        <v>27</v>
      </c>
      <c r="G281" t="s">
        <v>127</v>
      </c>
    </row>
    <row r="282" spans="1:8" x14ac:dyDescent="0.2">
      <c r="A282" t="s">
        <v>190</v>
      </c>
      <c r="B282">
        <f>4/321</f>
        <v>1.2461059190031152E-2</v>
      </c>
      <c r="C282" t="s">
        <v>9</v>
      </c>
      <c r="E282" t="s">
        <v>48</v>
      </c>
      <c r="F282" t="s">
        <v>27</v>
      </c>
      <c r="G282" t="s">
        <v>165</v>
      </c>
    </row>
    <row r="283" spans="1:8" x14ac:dyDescent="0.2">
      <c r="A283" t="s">
        <v>234</v>
      </c>
      <c r="B283">
        <f>41.48/321</f>
        <v>0.12922118380062303</v>
      </c>
      <c r="C283" t="s">
        <v>9</v>
      </c>
      <c r="E283" t="s">
        <v>48</v>
      </c>
      <c r="F283" t="s">
        <v>27</v>
      </c>
      <c r="G283" t="s">
        <v>166</v>
      </c>
    </row>
    <row r="284" spans="1:8" ht="16" x14ac:dyDescent="0.2">
      <c r="A284" s="7" t="s">
        <v>147</v>
      </c>
      <c r="B284">
        <f>-1/321</f>
        <v>-3.1152647975077881E-3</v>
      </c>
      <c r="C284" t="s">
        <v>9</v>
      </c>
      <c r="E284" t="s">
        <v>48</v>
      </c>
      <c r="F284" t="s">
        <v>27</v>
      </c>
      <c r="G284" t="s">
        <v>148</v>
      </c>
    </row>
    <row r="286" spans="1:8" ht="16" x14ac:dyDescent="0.2">
      <c r="A286" s="2" t="s">
        <v>2</v>
      </c>
      <c r="B286" s="2" t="s">
        <v>271</v>
      </c>
    </row>
    <row r="287" spans="1:8" x14ac:dyDescent="0.2">
      <c r="A287" t="s">
        <v>3</v>
      </c>
      <c r="B287" t="s">
        <v>280</v>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 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inlineStr">
        <is>
          <t>market for aluminium, wrought alloy</t>
        </is>
      </c>
      <c r="B400" s="3">
        <v>0.12</v>
      </c>
      <c r="C400" t="s">
        <v>9</v>
      </c>
      <c r="E400" t="inlineStr">
        <is>
          <t>GLO</t>
        </is>
      </c>
      <c r="F400" t="s">
        <v>27</v>
      </c>
      <c r="G400" t="inlineStr">
        <is>
          <t>aluminium, wrought alloy</t>
        </is>
      </c>
      <c r="H400" t="inlineStr">
        <is>
          <t>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