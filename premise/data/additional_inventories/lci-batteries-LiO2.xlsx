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40" yWindow="-600" windowWidth="25800" windowHeight="18880" tabRatio="600" firstSheet="0" activeTab="0" autoFilterDateGrouping="1"/>
  </bookViews>
  <sheets>
    <sheet xmlns:r="http://schemas.openxmlformats.org/officeDocument/2006/relationships" name="Battery - LiO2" sheetId="1" state="visible" r:id="rId1"/>
  </sheets>
  <definedNames/>
  <calcPr calcId="191029" fullCalcOnLoad="1"/>
</workbook>
</file>

<file path=xl/styles.xml><?xml version="1.0" encoding="utf-8"?>
<styleSheet xmlns="http://schemas.openxmlformats.org/spreadsheetml/2006/main">
  <numFmts count="3">
    <numFmt numFmtId="164" formatCode="0.00000"/>
    <numFmt numFmtId="165" formatCode="_ * #,##0.00_ ;_ * \-#,##0.00_ ;_ * &quot;-&quot;??_ ;_ @_ "/>
    <numFmt numFmtId="166" formatCode="_(&quot;$&quot;* #,##0.00_);_(&quot;$&quot;* \(#,##0.00\);_(&quot;$&quot;* &quot;-&quot;??_);_(@_)"/>
  </numFmts>
  <fonts count="7">
    <font>
      <name val="Calibri"/>
      <family val="2"/>
      <color theme="1"/>
      <sz val="11"/>
      <scheme val="minor"/>
    </font>
    <font>
      <name val="Calibri"/>
      <family val="2"/>
      <b val="1"/>
      <color theme="1"/>
      <sz val="11"/>
      <scheme val="minor"/>
    </font>
    <font>
      <name val="Calibri"/>
      <family val="2"/>
      <b val="1"/>
      <color theme="1"/>
      <sz val="12"/>
      <scheme val="minor"/>
    </font>
    <font>
      <name val="Arial"/>
      <family val="2"/>
      <sz val="10"/>
    </font>
    <font>
      <name val="Arial"/>
      <family val="2"/>
      <sz val="10"/>
    </font>
    <font>
      <name val="Calibri"/>
      <charset val="134"/>
      <family val="2"/>
      <i val="1"/>
      <color rgb="FF7F7F7F"/>
      <sz val="11"/>
      <scheme val="minor"/>
    </font>
    <font>
      <name val="Calibri"/>
      <family val="2"/>
      <color theme="1"/>
      <sz val="12"/>
      <scheme val="minor"/>
    </font>
  </fonts>
  <fills count="2">
    <fill>
      <patternFill/>
    </fill>
    <fill>
      <patternFill patternType="gray125"/>
    </fill>
  </fills>
  <borders count="1">
    <border>
      <left/>
      <right/>
      <top/>
      <bottom/>
      <diagonal/>
    </border>
  </borders>
  <cellStyleXfs count="8">
    <xf numFmtId="0" fontId="0" fillId="0" borderId="0"/>
    <xf numFmtId="0" fontId="4" fillId="0" borderId="0"/>
    <xf numFmtId="43" fontId="4" fillId="0" borderId="0"/>
    <xf numFmtId="9" fontId="4" fillId="0" borderId="0"/>
    <xf numFmtId="0" fontId="4" fillId="0" borderId="0"/>
    <xf numFmtId="166" fontId="4" fillId="0" borderId="0"/>
    <xf numFmtId="166" fontId="4" fillId="0" borderId="0"/>
    <xf numFmtId="0" fontId="5" fillId="0" borderId="0" applyAlignment="1">
      <alignment vertical="center"/>
    </xf>
  </cellStyleXfs>
  <cellXfs count="10">
    <xf numFmtId="0" fontId="0" fillId="0" borderId="0" pivotButton="0" quotePrefix="0" xfId="0"/>
    <xf numFmtId="0" fontId="1" fillId="0" borderId="0" pivotButton="0" quotePrefix="0" xfId="0"/>
    <xf numFmtId="0" fontId="2" fillId="0" borderId="0" pivotButton="0" quotePrefix="0" xfId="0"/>
    <xf numFmtId="11" fontId="0" fillId="0" borderId="0" pivotButton="0" quotePrefix="0" xfId="0"/>
    <xf numFmtId="164" fontId="0" fillId="0" borderId="0" pivotButton="0" quotePrefix="0" xfId="0"/>
    <xf numFmtId="165" fontId="0" fillId="0" borderId="0" pivotButton="0" quotePrefix="0" xfId="0"/>
    <xf numFmtId="2" fontId="0" fillId="0" borderId="0" pivotButton="0" quotePrefix="0" xfId="0"/>
    <xf numFmtId="0" fontId="6" fillId="0" borderId="0" pivotButton="0" quotePrefix="0" xfId="0"/>
    <xf numFmtId="164" fontId="0" fillId="0" borderId="0" pivotButton="0" quotePrefix="0" xfId="0"/>
    <xf numFmtId="165" fontId="0" fillId="0" borderId="0" pivotButton="0" quotePrefix="0" xfId="0"/>
  </cellXfs>
  <cellStyles count="8">
    <cellStyle name="Normal" xfId="0" builtinId="0"/>
    <cellStyle name="Normal 3" xfId="1"/>
    <cellStyle name="Comma 2" xfId="2"/>
    <cellStyle name="Percent 2" xfId="3"/>
    <cellStyle name="Normal 2" xfId="4"/>
    <cellStyle name="Currency 3" xfId="5"/>
    <cellStyle name="Currency 2" xfId="6"/>
    <cellStyle name="解释性文本 2" xfId="7"/>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T541"/>
  <sheetViews>
    <sheetView tabSelected="1" topLeftCell="A144" zoomScale="115" zoomScaleNormal="115" workbookViewId="0">
      <selection activeCell="A164" sqref="A164"/>
    </sheetView>
  </sheetViews>
  <sheetFormatPr baseColWidth="10" defaultColWidth="8.83203125" defaultRowHeight="15"/>
  <cols>
    <col width="52.5" bestFit="1" customWidth="1" min="1" max="1"/>
    <col width="32.33203125" customWidth="1" min="2" max="2"/>
    <col width="12.83203125" bestFit="1" customWidth="1" min="3" max="3"/>
    <col width="18.5" customWidth="1" min="4" max="4"/>
    <col width="26.1640625" bestFit="1" customWidth="1" min="5" max="5"/>
    <col width="13.5" bestFit="1" customWidth="1" min="6" max="6"/>
    <col width="27.1640625" bestFit="1" customWidth="1" min="7" max="7"/>
    <col width="42.6640625" customWidth="1" min="8" max="8"/>
  </cols>
  <sheetData>
    <row r="1">
      <c r="A1" s="1" t="inlineStr">
        <is>
          <t>Database</t>
        </is>
      </c>
      <c r="B1" t="inlineStr">
        <is>
          <t>battery_lithium-oxygen</t>
        </is>
      </c>
    </row>
    <row r="2">
      <c r="A2" s="1" t="inlineStr">
        <is>
          <t>format</t>
        </is>
      </c>
      <c r="B2" t="inlineStr">
        <is>
          <t>Excel</t>
        </is>
      </c>
    </row>
    <row r="3"/>
    <row r="4" ht="16" customHeight="1">
      <c r="A4" s="2" t="inlineStr">
        <is>
          <t>Activity</t>
        </is>
      </c>
      <c r="B4" s="2" t="inlineStr">
        <is>
          <t>battery cell production, Li-O2</t>
        </is>
      </c>
    </row>
    <row r="5">
      <c r="A5" t="inlineStr">
        <is>
          <t>comment</t>
        </is>
      </c>
      <c r="B5" t="inlineStr">
        <is>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is>
      </c>
    </row>
    <row r="6">
      <c r="A6" t="inlineStr">
        <is>
          <t>location</t>
        </is>
      </c>
      <c r="B6" t="inlineStr">
        <is>
          <t>GLO</t>
        </is>
      </c>
    </row>
    <row r="7">
      <c r="A7" t="inlineStr">
        <is>
          <t>production amount</t>
        </is>
      </c>
      <c r="B7" t="n">
        <v>1</v>
      </c>
    </row>
    <row r="8">
      <c r="A8" t="inlineStr">
        <is>
          <t>reference product</t>
        </is>
      </c>
      <c r="B8" t="inlineStr">
        <is>
          <t>battery cell</t>
        </is>
      </c>
    </row>
    <row r="9">
      <c r="A9" t="inlineStr">
        <is>
          <t>unit</t>
        </is>
      </c>
      <c r="B9" t="inlineStr">
        <is>
          <t>kilogram</t>
        </is>
      </c>
    </row>
    <row r="10">
      <c r="A10" t="inlineStr">
        <is>
          <t>source</t>
        </is>
      </c>
      <c r="B10" t="inlineStr">
        <is>
          <t>Originally from Wang, F., Deng, Y., &amp; Yuan, C. (2020). Life cycle assessment of lithium oxygen battery for electric vehicles. Journal of Cleaner Production, 264, 121339. https://doi.org/10.1016/j.jclepro.2020.121339</t>
        </is>
      </c>
    </row>
    <row r="11">
      <c r="A11" s="1" t="inlineStr">
        <is>
          <t>Exchanges</t>
        </is>
      </c>
      <c r="B11" s="1" t="n"/>
      <c r="C11" s="1" t="n"/>
      <c r="D11" s="1" t="n"/>
      <c r="E11" s="1" t="n"/>
      <c r="F11" s="1" t="n"/>
      <c r="G11" s="1" t="n"/>
      <c r="H11" s="1" t="n"/>
    </row>
    <row r="12">
      <c r="A12" s="1" t="inlineStr">
        <is>
          <t>name</t>
        </is>
      </c>
      <c r="B12" s="1" t="inlineStr">
        <is>
          <t>amount</t>
        </is>
      </c>
      <c r="C12" s="1" t="inlineStr">
        <is>
          <t>unit</t>
        </is>
      </c>
      <c r="D12" s="1" t="inlineStr">
        <is>
          <t>categories</t>
        </is>
      </c>
      <c r="E12" s="1" t="inlineStr">
        <is>
          <t>location</t>
        </is>
      </c>
      <c r="F12" s="1" t="inlineStr">
        <is>
          <t>type</t>
        </is>
      </c>
      <c r="G12" s="1" t="inlineStr">
        <is>
          <t>reference product</t>
        </is>
      </c>
      <c r="H12" s="1" t="inlineStr">
        <is>
          <t>comment</t>
        </is>
      </c>
    </row>
    <row r="13">
      <c r="A13" t="inlineStr">
        <is>
          <t>battery cell production, Li-O2</t>
        </is>
      </c>
      <c r="B13" s="6" t="n">
        <v>1</v>
      </c>
      <c r="C13" t="inlineStr">
        <is>
          <t>kilogram</t>
        </is>
      </c>
      <c r="E13" t="inlineStr">
        <is>
          <t>GLO</t>
        </is>
      </c>
      <c r="F13" t="inlineStr">
        <is>
          <t>production</t>
        </is>
      </c>
      <c r="G13" t="inlineStr">
        <is>
          <t>battery cell</t>
        </is>
      </c>
    </row>
    <row r="14">
      <c r="A14" t="inlineStr">
        <is>
          <t>market for polyvinylfluoride, dispersion</t>
        </is>
      </c>
      <c r="B14" s="6" t="n">
        <v>6.99e-05</v>
      </c>
      <c r="C14" t="inlineStr">
        <is>
          <t>kilogram</t>
        </is>
      </c>
      <c r="E14" t="inlineStr">
        <is>
          <t>GLO</t>
        </is>
      </c>
      <c r="F14" t="inlineStr">
        <is>
          <t>technosphere</t>
        </is>
      </c>
      <c r="G14" t="inlineStr">
        <is>
          <t>polyvinylfluoride, dispersion</t>
        </is>
      </c>
      <c r="H14" t="inlineStr">
        <is>
          <t>binder</t>
        </is>
      </c>
    </row>
    <row r="15">
      <c r="A15" t="inlineStr">
        <is>
          <t>market for oxygen, liquid</t>
        </is>
      </c>
      <c r="B15" s="6" t="n">
        <v>0.079</v>
      </c>
      <c r="C15" t="inlineStr">
        <is>
          <t>kilogram</t>
        </is>
      </c>
      <c r="E15" t="inlineStr">
        <is>
          <t>RER</t>
        </is>
      </c>
      <c r="F15" t="inlineStr">
        <is>
          <t>technosphere</t>
        </is>
      </c>
      <c r="G15" t="inlineStr">
        <is>
          <t>oxygen, liquid</t>
        </is>
      </c>
      <c r="H15" t="inlineStr">
        <is>
          <t>proxy - gaseous oxygen was not found in Ecoinvent</t>
        </is>
      </c>
    </row>
    <row r="16">
      <c r="A16" t="inlineStr">
        <is>
          <t>CNT production, for Li-O2 battery</t>
        </is>
      </c>
      <c r="B16" s="6" t="n">
        <v>0.018</v>
      </c>
      <c r="C16" t="inlineStr">
        <is>
          <t>kilogram</t>
        </is>
      </c>
      <c r="E16" t="inlineStr">
        <is>
          <t>RER</t>
        </is>
      </c>
      <c r="F16" t="inlineStr">
        <is>
          <t>technosphere</t>
        </is>
      </c>
      <c r="G16" t="inlineStr">
        <is>
          <t>CNT</t>
        </is>
      </c>
    </row>
    <row r="17">
      <c r="A17" t="inlineStr">
        <is>
          <t>aluminium current collector production, for Li-O2 battery</t>
        </is>
      </c>
      <c r="B17" s="6" t="n">
        <v>0.116</v>
      </c>
      <c r="C17" t="inlineStr">
        <is>
          <t>kilogram</t>
        </is>
      </c>
      <c r="E17" t="inlineStr">
        <is>
          <t>RER</t>
        </is>
      </c>
      <c r="F17" t="inlineStr">
        <is>
          <t>technosphere</t>
        </is>
      </c>
      <c r="G17" t="inlineStr">
        <is>
          <t>aluminium current collector</t>
        </is>
      </c>
    </row>
    <row r="18">
      <c r="A18" t="inlineStr">
        <is>
          <t>lithium metal production, for Li-O2 battery</t>
        </is>
      </c>
      <c r="B18" s="6" t="n">
        <v>0.106</v>
      </c>
      <c r="C18" t="inlineStr">
        <is>
          <t>kilogram</t>
        </is>
      </c>
      <c r="E18" t="inlineStr">
        <is>
          <t>RER</t>
        </is>
      </c>
      <c r="F18" t="inlineStr">
        <is>
          <t>technosphere</t>
        </is>
      </c>
      <c r="G18" t="inlineStr">
        <is>
          <t>lithium metal</t>
        </is>
      </c>
    </row>
    <row r="19">
      <c r="A19" t="inlineStr">
        <is>
          <t>copper current collector production, for Li-O2 battery</t>
        </is>
      </c>
      <c r="B19" s="6" t="n">
        <v>0.214</v>
      </c>
      <c r="C19" t="inlineStr">
        <is>
          <t>kilogram</t>
        </is>
      </c>
      <c r="E19" t="inlineStr">
        <is>
          <t>RER</t>
        </is>
      </c>
      <c r="F19" t="inlineStr">
        <is>
          <t>technosphere</t>
        </is>
      </c>
      <c r="G19" t="inlineStr">
        <is>
          <t>copper current collector</t>
        </is>
      </c>
    </row>
    <row r="20">
      <c r="A20" t="inlineStr">
        <is>
          <t>electrolyte production, for Li-O2 battery</t>
        </is>
      </c>
      <c r="B20" s="6" t="n">
        <v>0.016</v>
      </c>
      <c r="C20" t="inlineStr">
        <is>
          <t>kilogram</t>
        </is>
      </c>
      <c r="E20" t="inlineStr">
        <is>
          <t>RER</t>
        </is>
      </c>
      <c r="F20" t="inlineStr">
        <is>
          <t>technosphere</t>
        </is>
      </c>
      <c r="G20" t="inlineStr">
        <is>
          <t>electrolyte</t>
        </is>
      </c>
    </row>
    <row r="21">
      <c r="A21" t="inlineStr">
        <is>
          <t>market for ethylene glycol dimethyl ether</t>
        </is>
      </c>
      <c r="B21" s="6" t="n">
        <v>0.308</v>
      </c>
      <c r="C21" t="inlineStr">
        <is>
          <t>kilogram</t>
        </is>
      </c>
      <c r="E21" t="inlineStr">
        <is>
          <t>GLO</t>
        </is>
      </c>
      <c r="F21" t="inlineStr">
        <is>
          <t>technosphere</t>
        </is>
      </c>
      <c r="G21" t="inlineStr">
        <is>
          <t>ethylene glycol dimethyl ether</t>
        </is>
      </c>
      <c r="H21" t="inlineStr">
        <is>
          <t>TEGDME</t>
        </is>
      </c>
    </row>
    <row r="22">
      <c r="A22" t="inlineStr">
        <is>
          <t>separator manufacturing, for Li-O2 battery</t>
        </is>
      </c>
      <c r="B22" s="6" t="n">
        <v>0.048</v>
      </c>
      <c r="C22" t="inlineStr">
        <is>
          <t>kilogram</t>
        </is>
      </c>
      <c r="E22" t="inlineStr">
        <is>
          <t>RER</t>
        </is>
      </c>
      <c r="F22" t="inlineStr">
        <is>
          <t>technosphere</t>
        </is>
      </c>
      <c r="G22" t="inlineStr">
        <is>
          <t>separator</t>
        </is>
      </c>
    </row>
    <row r="23">
      <c r="A23" t="inlineStr">
        <is>
          <t>multilayer film production, for Li-O2 battery</t>
        </is>
      </c>
      <c r="B23" s="6" t="n">
        <v>0.037</v>
      </c>
      <c r="C23" t="inlineStr">
        <is>
          <t>kilogram</t>
        </is>
      </c>
      <c r="E23" t="inlineStr">
        <is>
          <t>RER</t>
        </is>
      </c>
      <c r="F23" t="inlineStr">
        <is>
          <t>technosphere</t>
        </is>
      </c>
      <c r="G23" t="inlineStr">
        <is>
          <t>multilayer film</t>
        </is>
      </c>
    </row>
    <row r="24">
      <c r="A24" t="inlineStr">
        <is>
          <t>terminals production, for Li-O2 battery</t>
        </is>
      </c>
      <c r="B24" s="6" t="n">
        <v>0.057</v>
      </c>
      <c r="C24" t="inlineStr">
        <is>
          <t>kilogram</t>
        </is>
      </c>
      <c r="E24" t="inlineStr">
        <is>
          <t>RER</t>
        </is>
      </c>
      <c r="F24" t="inlineStr">
        <is>
          <t>technosphere</t>
        </is>
      </c>
      <c r="G24" t="inlineStr">
        <is>
          <t>terminals</t>
        </is>
      </c>
    </row>
    <row r="25"/>
    <row r="26"/>
    <row r="27" ht="16" customHeight="1">
      <c r="A27" s="2" t="inlineStr">
        <is>
          <t>Activity</t>
        </is>
      </c>
      <c r="B27" s="2" t="inlineStr">
        <is>
          <t>CNT production, for Li-O2 battery</t>
        </is>
      </c>
    </row>
    <row r="28">
      <c r="A28" t="inlineStr">
        <is>
          <t>comment</t>
        </is>
      </c>
      <c r="B28" t="inlineStr">
        <is>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c r="A29" t="inlineStr">
        <is>
          <t>location</t>
        </is>
      </c>
      <c r="B29" t="inlineStr">
        <is>
          <t>RER</t>
        </is>
      </c>
    </row>
    <row r="30">
      <c r="A30" t="inlineStr">
        <is>
          <t>production amount</t>
        </is>
      </c>
      <c r="B30" t="n">
        <v>1</v>
      </c>
    </row>
    <row r="31">
      <c r="A31" t="inlineStr">
        <is>
          <t>reference product</t>
        </is>
      </c>
      <c r="B31" t="inlineStr">
        <is>
          <t>CNT</t>
        </is>
      </c>
    </row>
    <row r="32">
      <c r="A32" t="inlineStr">
        <is>
          <t>unit</t>
        </is>
      </c>
      <c r="B32" t="inlineStr">
        <is>
          <t>kilogram</t>
        </is>
      </c>
      <c r="T32" s="8" t="n"/>
    </row>
    <row r="33">
      <c r="A33" t="inlineStr">
        <is>
          <t>source</t>
        </is>
      </c>
      <c r="B33" t="inlineStr">
        <is>
          <t>Originally from Wang, F., Deng, Y., &amp; Yuan, C. (2020). Life cycle assessment of lithium oxygen battery for electric vehicles. Journal of Cleaner Production, 264, 121339. https://doi.org/10.1016/j.jclepro.2020.121339</t>
        </is>
      </c>
      <c r="T33" s="8" t="n"/>
    </row>
    <row r="34">
      <c r="A34" s="1" t="inlineStr">
        <is>
          <t>Exchanges</t>
        </is>
      </c>
      <c r="B34" s="1" t="n"/>
      <c r="C34" s="1" t="n"/>
      <c r="D34" s="1" t="n"/>
      <c r="E34" s="1" t="n"/>
      <c r="F34" s="1" t="n"/>
      <c r="G34" s="1" t="n"/>
      <c r="H34" s="1" t="n"/>
    </row>
    <row r="35">
      <c r="A35" s="1" t="inlineStr">
        <is>
          <t>name</t>
        </is>
      </c>
      <c r="B35" s="1" t="inlineStr">
        <is>
          <t>amount</t>
        </is>
      </c>
      <c r="C35" s="1" t="inlineStr">
        <is>
          <t>unit</t>
        </is>
      </c>
      <c r="D35" s="1" t="inlineStr">
        <is>
          <t>categories</t>
        </is>
      </c>
      <c r="E35" s="1" t="inlineStr">
        <is>
          <t>location</t>
        </is>
      </c>
      <c r="F35" s="1" t="inlineStr">
        <is>
          <t>type</t>
        </is>
      </c>
      <c r="G35" s="1" t="inlineStr">
        <is>
          <t>reference product</t>
        </is>
      </c>
      <c r="H35" s="1" t="inlineStr">
        <is>
          <t>comment</t>
        </is>
      </c>
    </row>
    <row r="36">
      <c r="A36" t="inlineStr">
        <is>
          <t>CNT production, for Li-O2 battery</t>
        </is>
      </c>
      <c r="B36" s="6" t="n">
        <v>1</v>
      </c>
      <c r="C36" t="inlineStr">
        <is>
          <t>kilogram</t>
        </is>
      </c>
      <c r="E36" t="inlineStr">
        <is>
          <t>RER</t>
        </is>
      </c>
      <c r="F36" t="inlineStr">
        <is>
          <t>production</t>
        </is>
      </c>
      <c r="G36" t="inlineStr">
        <is>
          <t>CNT</t>
        </is>
      </c>
    </row>
    <row r="37">
      <c r="A37" t="inlineStr">
        <is>
          <t>market for cobalt</t>
        </is>
      </c>
      <c r="B37" s="6">
        <f>31.93/1000</f>
        <v>3.193E-2</v>
      </c>
      <c r="C37" t="inlineStr">
        <is>
          <t>kilogram</t>
        </is>
      </c>
      <c r="E37" t="inlineStr">
        <is>
          <t>GLO</t>
        </is>
      </c>
      <c r="F37" t="inlineStr">
        <is>
          <t>technosphere</t>
        </is>
      </c>
      <c r="G37" t="inlineStr">
        <is>
          <t>cobalt</t>
        </is>
      </c>
      <c r="T37" s="6" t="n"/>
    </row>
    <row r="38">
      <c r="A38" t="inlineStr">
        <is>
          <t>market for silica sand</t>
        </is>
      </c>
      <c r="B38" s="6">
        <f>2.18/1000</f>
        <v>2.1800000000000001E-3</v>
      </c>
      <c r="C38" t="inlineStr">
        <is>
          <t>kilogram</t>
        </is>
      </c>
      <c r="E38" t="inlineStr">
        <is>
          <t>GLO</t>
        </is>
      </c>
      <c r="F38" t="inlineStr">
        <is>
          <t>technosphere</t>
        </is>
      </c>
      <c r="G38" t="inlineStr">
        <is>
          <t>silica sand</t>
        </is>
      </c>
    </row>
    <row r="39">
      <c r="A39" t="inlineStr">
        <is>
          <t>market for hydrochloric acid, without water, in 30% solution state</t>
        </is>
      </c>
      <c r="B39" s="6">
        <f>6.55/1000</f>
        <v>6.5499999999999994E-3</v>
      </c>
      <c r="C39" t="inlineStr">
        <is>
          <t>kilogram</t>
        </is>
      </c>
      <c r="E39" t="inlineStr">
        <is>
          <t>RER</t>
        </is>
      </c>
      <c r="F39" t="inlineStr">
        <is>
          <t>technosphere</t>
        </is>
      </c>
      <c r="G39" t="inlineStr">
        <is>
          <t>hydrochloric acid, without water, in 30% solution state</t>
        </is>
      </c>
    </row>
    <row r="40">
      <c r="A40" t="inlineStr">
        <is>
          <t>market for carbon monoxide</t>
        </is>
      </c>
      <c r="B40" s="6" t="n">
        <v>5.83361</v>
      </c>
      <c r="C40" t="inlineStr">
        <is>
          <t>kilogram</t>
        </is>
      </c>
      <c r="E40" t="inlineStr">
        <is>
          <t>RER</t>
        </is>
      </c>
      <c r="F40" t="inlineStr">
        <is>
          <t>technosphere</t>
        </is>
      </c>
      <c r="G40" t="inlineStr">
        <is>
          <t>carbon monoxide</t>
        </is>
      </c>
    </row>
    <row r="41">
      <c r="A41" t="inlineStr">
        <is>
          <t>market for ethoxylated alcohol (AE3)</t>
        </is>
      </c>
      <c r="B41" s="6">
        <f>56.34/1000</f>
        <v>5.6340000000000001E-2</v>
      </c>
      <c r="C41" t="inlineStr">
        <is>
          <t>kilogram</t>
        </is>
      </c>
      <c r="E41" t="inlineStr">
        <is>
          <t>RER</t>
        </is>
      </c>
      <c r="F41" t="inlineStr">
        <is>
          <t>technosphere</t>
        </is>
      </c>
      <c r="G41" t="inlineStr">
        <is>
          <t>ethoxylated alcohol (AE3)</t>
        </is>
      </c>
    </row>
    <row r="42">
      <c r="A42" t="inlineStr">
        <is>
          <t>market for molybdenum</t>
        </is>
      </c>
      <c r="B42" s="6">
        <f>31.93/1000</f>
        <v>3.193E-2</v>
      </c>
      <c r="C42" t="inlineStr">
        <is>
          <t>kilogram</t>
        </is>
      </c>
      <c r="E42" t="inlineStr">
        <is>
          <t>GLO</t>
        </is>
      </c>
      <c r="F42" t="inlineStr">
        <is>
          <t>technosphere</t>
        </is>
      </c>
      <c r="G42" t="inlineStr">
        <is>
          <t>molybdenum</t>
        </is>
      </c>
    </row>
    <row r="43">
      <c r="A43" t="inlineStr">
        <is>
          <t>market for monoethanolamine</t>
        </is>
      </c>
      <c r="B43" s="6">
        <f>14.35/1000</f>
        <v>1.435E-2</v>
      </c>
      <c r="C43" t="inlineStr">
        <is>
          <t>kilogram</t>
        </is>
      </c>
      <c r="E43" t="inlineStr">
        <is>
          <t>GLO</t>
        </is>
      </c>
      <c r="F43" t="inlineStr">
        <is>
          <t>technosphere</t>
        </is>
      </c>
      <c r="G43" t="inlineStr">
        <is>
          <t>monoethanolamine</t>
        </is>
      </c>
    </row>
    <row r="44">
      <c r="A44" t="inlineStr">
        <is>
          <t>market for oxygen, liquid</t>
        </is>
      </c>
      <c r="B44" s="6">
        <f>15.13/1000</f>
        <v>1.5130000000000001E-2</v>
      </c>
      <c r="C44" t="inlineStr">
        <is>
          <t>kilogram</t>
        </is>
      </c>
      <c r="E44" t="inlineStr">
        <is>
          <t>RER</t>
        </is>
      </c>
      <c r="F44" t="inlineStr">
        <is>
          <t>technosphere</t>
        </is>
      </c>
      <c r="G44" t="inlineStr">
        <is>
          <t>oxygen, liquid</t>
        </is>
      </c>
    </row>
    <row r="45">
      <c r="A45" t="inlineStr">
        <is>
          <t>market for sodium hydroxide, without water, in 50% solution state</t>
        </is>
      </c>
      <c r="B45" s="6">
        <f>30.66/1000</f>
        <v>3.066E-2</v>
      </c>
      <c r="C45" t="inlineStr">
        <is>
          <t>kilogram</t>
        </is>
      </c>
      <c r="E45" t="inlineStr">
        <is>
          <t>GLO</t>
        </is>
      </c>
      <c r="F45" t="inlineStr">
        <is>
          <t>technosphere</t>
        </is>
      </c>
      <c r="G45" t="inlineStr">
        <is>
          <t>sodium hydroxide, without water, in 50% solution state</t>
        </is>
      </c>
    </row>
    <row r="46">
      <c r="A46" t="inlineStr">
        <is>
          <t>market for water, deionised</t>
        </is>
      </c>
      <c r="B46" s="6" t="n">
        <v>1.20146</v>
      </c>
      <c r="C46" t="inlineStr">
        <is>
          <t>kilogram</t>
        </is>
      </c>
      <c r="E46" t="inlineStr">
        <is>
          <t>Europe without Switzerland</t>
        </is>
      </c>
      <c r="F46" t="inlineStr">
        <is>
          <t>technosphere</t>
        </is>
      </c>
      <c r="G46" t="inlineStr">
        <is>
          <t>water, deionised</t>
        </is>
      </c>
    </row>
    <row r="47">
      <c r="A47" t="inlineStr">
        <is>
          <t>market group for electricity, medium voltage</t>
        </is>
      </c>
      <c r="B47" s="6" t="n">
        <v>0.65</v>
      </c>
      <c r="C47" t="inlineStr">
        <is>
          <t>kilowatt hour</t>
        </is>
      </c>
      <c r="E47" t="inlineStr">
        <is>
          <t>Europe without Switzerland</t>
        </is>
      </c>
      <c r="F47" t="inlineStr">
        <is>
          <t>technosphere</t>
        </is>
      </c>
      <c r="G47" t="inlineStr">
        <is>
          <t>electricity, medium voltage</t>
        </is>
      </c>
    </row>
    <row r="48">
      <c r="A48" t="inlineStr">
        <is>
          <t>market for heat, district or industrial, natural gas</t>
        </is>
      </c>
      <c r="B48" s="6" t="n">
        <v>58.09</v>
      </c>
      <c r="C48" t="inlineStr">
        <is>
          <t>megajoule</t>
        </is>
      </c>
      <c r="E48" t="inlineStr">
        <is>
          <t>Europe without Switzerland</t>
        </is>
      </c>
      <c r="F48" t="inlineStr">
        <is>
          <t>technosphere</t>
        </is>
      </c>
      <c r="G48" t="inlineStr">
        <is>
          <t>heat, district or industrial, natural gas</t>
        </is>
      </c>
    </row>
    <row r="49">
      <c r="A49" t="inlineStr">
        <is>
          <t>market for wastewater, average</t>
        </is>
      </c>
      <c r="B49" s="6">
        <f>-0.43697/1000</f>
        <v>-4.3697000000000001E-4</v>
      </c>
      <c r="C49" t="inlineStr">
        <is>
          <t>cubic meter</t>
        </is>
      </c>
      <c r="E49" t="inlineStr">
        <is>
          <t>Europe without Switzerland</t>
        </is>
      </c>
      <c r="F49" t="inlineStr">
        <is>
          <t>technosphere</t>
        </is>
      </c>
      <c r="G49" t="inlineStr">
        <is>
          <t>wastewater, average</t>
        </is>
      </c>
    </row>
    <row r="50">
      <c r="A50" t="inlineStr">
        <is>
          <t>treatment of spent solvent mixture, hazardous waste incineration</t>
        </is>
      </c>
      <c r="B50" s="6">
        <f>-14.35/1000</f>
        <v>-1.435E-2</v>
      </c>
      <c r="C50" t="inlineStr">
        <is>
          <t>kilogram</t>
        </is>
      </c>
      <c r="E50" t="inlineStr">
        <is>
          <t>Europe without Switzerland</t>
        </is>
      </c>
      <c r="F50" t="inlineStr">
        <is>
          <t>technosphere</t>
        </is>
      </c>
      <c r="G50" t="inlineStr">
        <is>
          <t>spent solvent mixture</t>
        </is>
      </c>
    </row>
    <row r="51">
      <c r="A51" t="inlineStr">
        <is>
          <t>treatment of inert waste, sanitary landfill</t>
        </is>
      </c>
      <c r="B51" s="6">
        <f>-5.505/1000</f>
        <v>-5.5049999999999995E-3</v>
      </c>
      <c r="C51" t="inlineStr">
        <is>
          <t>kilogram</t>
        </is>
      </c>
      <c r="E51" t="inlineStr">
        <is>
          <t>Europe without Switzerland</t>
        </is>
      </c>
      <c r="F51" t="inlineStr">
        <is>
          <t>technosphere</t>
        </is>
      </c>
      <c r="G51" t="inlineStr">
        <is>
          <t>inert waste</t>
        </is>
      </c>
    </row>
    <row r="52"/>
    <row r="53"/>
    <row r="54" ht="16" customHeight="1">
      <c r="A54" s="2" t="inlineStr">
        <is>
          <t>Activity</t>
        </is>
      </c>
      <c r="B54" s="2" t="inlineStr">
        <is>
          <t>lithium metal production, for Li-O2 battery</t>
        </is>
      </c>
    </row>
    <row r="55">
      <c r="A55" t="inlineStr">
        <is>
          <t>comment</t>
        </is>
      </c>
      <c r="B55" t="inlineStr">
        <is>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is>
      </c>
    </row>
    <row r="56">
      <c r="A56" t="inlineStr">
        <is>
          <t>location</t>
        </is>
      </c>
      <c r="B56" t="inlineStr">
        <is>
          <t>RER</t>
        </is>
      </c>
    </row>
    <row r="57">
      <c r="A57" t="inlineStr">
        <is>
          <t>production amount</t>
        </is>
      </c>
      <c r="B57" t="n">
        <v>1</v>
      </c>
    </row>
    <row r="58">
      <c r="A58" t="inlineStr">
        <is>
          <t>reference product</t>
        </is>
      </c>
      <c r="B58" t="inlineStr">
        <is>
          <t>lithium metal</t>
        </is>
      </c>
    </row>
    <row r="59">
      <c r="A59" t="inlineStr">
        <is>
          <t>unit</t>
        </is>
      </c>
      <c r="B59" t="inlineStr">
        <is>
          <t>kilogram</t>
        </is>
      </c>
    </row>
    <row r="60">
      <c r="A60" t="inlineStr">
        <is>
          <t>source</t>
        </is>
      </c>
      <c r="B60" t="inlineStr">
        <is>
          <t>Originally from Wang, F., Deng, Y., &amp; Yuan, C. (2020). Life cycle assessment of lithium oxygen battery for electric vehicles. Journal of Cleaner Production, 264, 121339. https://doi.org/10.1016/j.jclepro.2020.121339</t>
        </is>
      </c>
    </row>
    <row r="61">
      <c r="A61" s="1" t="inlineStr">
        <is>
          <t>Exchanges</t>
        </is>
      </c>
      <c r="B61" s="1" t="n"/>
      <c r="C61" s="1" t="n"/>
      <c r="D61" s="1" t="n"/>
      <c r="E61" s="1" t="n"/>
      <c r="F61" s="1" t="n"/>
      <c r="G61" s="1" t="n"/>
      <c r="H61" s="1" t="n"/>
    </row>
    <row r="62">
      <c r="A62" s="1" t="inlineStr">
        <is>
          <t>name</t>
        </is>
      </c>
      <c r="B62" s="1" t="inlineStr">
        <is>
          <t>amount</t>
        </is>
      </c>
      <c r="C62" s="1" t="inlineStr">
        <is>
          <t>unit</t>
        </is>
      </c>
      <c r="D62" s="1" t="inlineStr">
        <is>
          <t>categories</t>
        </is>
      </c>
      <c r="E62" s="1" t="inlineStr">
        <is>
          <t>location</t>
        </is>
      </c>
      <c r="F62" s="1" t="inlineStr">
        <is>
          <t>type</t>
        </is>
      </c>
      <c r="G62" s="1" t="inlineStr">
        <is>
          <t>reference product</t>
        </is>
      </c>
      <c r="H62" s="1" t="inlineStr">
        <is>
          <t>comment</t>
        </is>
      </c>
    </row>
    <row r="63">
      <c r="A63" t="inlineStr">
        <is>
          <t>lithium metal production, for Li-O2 battery</t>
        </is>
      </c>
      <c r="B63" s="3" t="n">
        <v>1</v>
      </c>
      <c r="C63" t="inlineStr">
        <is>
          <t>kilogram</t>
        </is>
      </c>
      <c r="E63" t="inlineStr">
        <is>
          <t>RER</t>
        </is>
      </c>
      <c r="F63" t="inlineStr">
        <is>
          <t>production</t>
        </is>
      </c>
      <c r="G63" t="inlineStr">
        <is>
          <t>lithium metal</t>
        </is>
      </c>
    </row>
    <row r="64">
      <c r="A64" t="inlineStr">
        <is>
          <t>market for tetraethyl orthosilicate</t>
        </is>
      </c>
      <c r="B64" s="3" t="n">
        <v>0.165</v>
      </c>
      <c r="C64" t="inlineStr">
        <is>
          <t>kilogram</t>
        </is>
      </c>
      <c r="E64" t="inlineStr">
        <is>
          <t>GLO</t>
        </is>
      </c>
      <c r="F64" t="inlineStr">
        <is>
          <t>technosphere</t>
        </is>
      </c>
      <c r="G64" t="inlineStr">
        <is>
          <t>tetraethyl orthosilicate</t>
        </is>
      </c>
    </row>
    <row r="65">
      <c r="A65" t="inlineStr">
        <is>
          <t>market for lithium</t>
        </is>
      </c>
      <c r="B65" s="3" t="n">
        <v>1.038</v>
      </c>
      <c r="C65" t="inlineStr">
        <is>
          <t>kilogram</t>
        </is>
      </c>
      <c r="E65" t="inlineStr">
        <is>
          <t>GLO</t>
        </is>
      </c>
      <c r="F65" t="inlineStr">
        <is>
          <t>technosphere</t>
        </is>
      </c>
      <c r="G65" t="inlineStr">
        <is>
          <t>lithium</t>
        </is>
      </c>
    </row>
    <row r="66">
      <c r="A66" t="inlineStr">
        <is>
          <t>film extrusion process, lithium</t>
        </is>
      </c>
      <c r="B66" s="3" t="n">
        <v>1</v>
      </c>
      <c r="C66" t="inlineStr">
        <is>
          <t>kilogram</t>
        </is>
      </c>
      <c r="E66" t="inlineStr">
        <is>
          <t>RER</t>
        </is>
      </c>
      <c r="F66" t="inlineStr">
        <is>
          <t>technosphere</t>
        </is>
      </c>
      <c r="G66" t="inlineStr">
        <is>
          <t>film extrusion, lithium</t>
        </is>
      </c>
    </row>
    <row r="67">
      <c r="A67" t="inlineStr">
        <is>
          <t>surface production process, lithium</t>
        </is>
      </c>
      <c r="B67" s="3" t="n">
        <v>1</v>
      </c>
      <c r="C67" t="inlineStr">
        <is>
          <t>kilogram</t>
        </is>
      </c>
      <c r="E67" t="inlineStr">
        <is>
          <t>RER</t>
        </is>
      </c>
      <c r="F67" t="inlineStr">
        <is>
          <t>technosphere</t>
        </is>
      </c>
      <c r="G67" t="inlineStr">
        <is>
          <t>surface production, lithium</t>
        </is>
      </c>
    </row>
    <row r="68">
      <c r="A68" t="inlineStr">
        <is>
          <t>market for metal working factory</t>
        </is>
      </c>
      <c r="B68" s="3" t="n">
        <v>4.6e-10</v>
      </c>
      <c r="C68" t="inlineStr">
        <is>
          <t>unit</t>
        </is>
      </c>
      <c r="E68" t="inlineStr">
        <is>
          <t>GLO</t>
        </is>
      </c>
      <c r="F68" t="inlineStr">
        <is>
          <t>technosphere</t>
        </is>
      </c>
      <c r="G68" t="inlineStr">
        <is>
          <t>metal working factory</t>
        </is>
      </c>
    </row>
    <row r="69">
      <c r="A69" t="inlineStr">
        <is>
          <t>market for transport, freight train</t>
        </is>
      </c>
      <c r="B69" s="3" t="n">
        <v>0.2</v>
      </c>
      <c r="C69" t="inlineStr">
        <is>
          <t>ton kilometer</t>
        </is>
      </c>
      <c r="E69" t="inlineStr">
        <is>
          <t>Europe without Switzerland</t>
        </is>
      </c>
      <c r="F69" t="inlineStr">
        <is>
          <t>technosphere</t>
        </is>
      </c>
      <c r="G69" t="inlineStr">
        <is>
          <t>transport, freight train</t>
        </is>
      </c>
    </row>
    <row r="70">
      <c r="A70" t="inlineStr">
        <is>
          <t>market for transport, freight, lorry 16-32 metric ton, EURO6</t>
        </is>
      </c>
      <c r="B70" s="3" t="n">
        <v>0.1</v>
      </c>
      <c r="C70" t="inlineStr">
        <is>
          <t>ton kilometer</t>
        </is>
      </c>
      <c r="E70" t="inlineStr">
        <is>
          <t>RER</t>
        </is>
      </c>
      <c r="F70" t="inlineStr">
        <is>
          <t>technosphere</t>
        </is>
      </c>
      <c r="G70" t="inlineStr">
        <is>
          <t>transport, freight, lorry 16-32 metric ton, EURO6</t>
        </is>
      </c>
    </row>
    <row r="71">
      <c r="A71" t="inlineStr">
        <is>
          <t>market for process-specific burdens, sanitary landfill</t>
        </is>
      </c>
      <c r="B71" s="3">
        <f>-38/1000</f>
        <v>-3.7999999999999999E-2</v>
      </c>
      <c r="C71" t="inlineStr">
        <is>
          <t>kilogram</t>
        </is>
      </c>
      <c r="E71" t="inlineStr">
        <is>
          <t>CH</t>
        </is>
      </c>
      <c r="F71" t="inlineStr">
        <is>
          <t>technosphere</t>
        </is>
      </c>
      <c r="G71" t="inlineStr">
        <is>
          <t>process-specific burdens, sanitary landfill</t>
        </is>
      </c>
    </row>
    <row r="72"/>
    <row r="73"/>
    <row r="74" ht="16" customHeight="1">
      <c r="A74" s="2" t="inlineStr">
        <is>
          <t>Activity</t>
        </is>
      </c>
      <c r="B74" s="2" t="inlineStr">
        <is>
          <t>film extrusion process, lithium</t>
        </is>
      </c>
    </row>
    <row r="75" ht="16" customHeight="1">
      <c r="A75" s="7" t="inlineStr">
        <is>
          <t>comment</t>
        </is>
      </c>
      <c r="B75" s="7" t="inlineStr">
        <is>
          <t xml:space="preserve"> Source: Originally from Wang, F., Deng, Y., &amp; Yuan, C. (2020). Life cycle assessment of lithium oxygen battery for electric vehicles. Journal of Cleaner Production, 264, 121339. https://doi.org/10.1016/j.jclepro.2020.121339</t>
        </is>
      </c>
    </row>
    <row r="76">
      <c r="A76" t="inlineStr">
        <is>
          <t>location</t>
        </is>
      </c>
      <c r="B76" t="inlineStr">
        <is>
          <t>RER</t>
        </is>
      </c>
    </row>
    <row r="77">
      <c r="A77" t="inlineStr">
        <is>
          <t>production amount</t>
        </is>
      </c>
      <c r="B77" t="n">
        <v>1</v>
      </c>
    </row>
    <row r="78">
      <c r="A78" t="inlineStr">
        <is>
          <t>reference product</t>
        </is>
      </c>
      <c r="B78" t="inlineStr">
        <is>
          <t>film extrusion, lithium</t>
        </is>
      </c>
    </row>
    <row r="79">
      <c r="A79" t="inlineStr">
        <is>
          <t>unit</t>
        </is>
      </c>
      <c r="B79" t="inlineStr">
        <is>
          <t>kilogram</t>
        </is>
      </c>
    </row>
    <row r="80">
      <c r="A80" t="inlineStr">
        <is>
          <t>source</t>
        </is>
      </c>
      <c r="B80" t="inlineStr">
        <is>
          <t>Originally from Wang, F., Deng, Y., &amp; Yuan, C. (2020). Life cycle assessment of lithium oxygen battery for electric vehicles. Journal of Cleaner Production, 264, 121339. https://doi.org/10.1016/j.jclepro.2020.121339</t>
        </is>
      </c>
    </row>
    <row r="81">
      <c r="A81" s="1" t="inlineStr">
        <is>
          <t>Exchanges</t>
        </is>
      </c>
      <c r="B81" s="1" t="n"/>
      <c r="C81" s="1" t="n"/>
      <c r="D81" s="1" t="n"/>
      <c r="E81" s="1" t="n"/>
      <c r="F81" s="1" t="n"/>
      <c r="G81" s="1" t="n"/>
      <c r="H81" s="1" t="n"/>
    </row>
    <row r="82">
      <c r="A82" s="1" t="inlineStr">
        <is>
          <t>name</t>
        </is>
      </c>
      <c r="B82" s="1" t="inlineStr">
        <is>
          <t>amount</t>
        </is>
      </c>
      <c r="C82" s="1" t="inlineStr">
        <is>
          <t>unit</t>
        </is>
      </c>
      <c r="D82" s="1" t="inlineStr">
        <is>
          <t>categories</t>
        </is>
      </c>
      <c r="E82" s="1" t="inlineStr">
        <is>
          <t>location</t>
        </is>
      </c>
      <c r="F82" s="1" t="inlineStr">
        <is>
          <t>type</t>
        </is>
      </c>
      <c r="G82" s="1" t="inlineStr">
        <is>
          <t>reference product</t>
        </is>
      </c>
      <c r="H82" s="1" t="inlineStr">
        <is>
          <t>comment</t>
        </is>
      </c>
    </row>
    <row r="83">
      <c r="A83" t="inlineStr">
        <is>
          <t>film extrusion process, lithium</t>
        </is>
      </c>
      <c r="B83" s="3" t="n">
        <v>1</v>
      </c>
      <c r="C83" t="inlineStr">
        <is>
          <t>kilogram</t>
        </is>
      </c>
      <c r="E83" t="inlineStr">
        <is>
          <t>RER</t>
        </is>
      </c>
      <c r="F83" t="inlineStr">
        <is>
          <t>production</t>
        </is>
      </c>
      <c r="G83" t="inlineStr">
        <is>
          <t>film extrusion, lithium</t>
        </is>
      </c>
    </row>
    <row r="84">
      <c r="A84" t="inlineStr">
        <is>
          <t>market group for electricity, medium voltage</t>
        </is>
      </c>
      <c r="B84" s="3" t="n">
        <v>0.45</v>
      </c>
      <c r="C84" t="inlineStr">
        <is>
          <t>kilowatt hour</t>
        </is>
      </c>
      <c r="E84" t="inlineStr">
        <is>
          <t>Europe without Switzerland</t>
        </is>
      </c>
      <c r="F84" t="inlineStr">
        <is>
          <t>technosphere</t>
        </is>
      </c>
      <c r="G84" t="inlineStr">
        <is>
          <t>electricity, medium voltage</t>
        </is>
      </c>
    </row>
    <row r="85"/>
    <row r="86" ht="16" customHeight="1">
      <c r="A86" s="2" t="inlineStr">
        <is>
          <t>Activity</t>
        </is>
      </c>
      <c r="B86" s="2" t="inlineStr">
        <is>
          <t>surface production process, lithium</t>
        </is>
      </c>
    </row>
    <row r="87" ht="16" customHeight="1">
      <c r="A87" s="7" t="inlineStr">
        <is>
          <t>comment</t>
        </is>
      </c>
      <c r="B87" s="7" t="inlineStr">
        <is>
          <t xml:space="preserve"> Source: Originally from Wang, F., Deng, Y., &amp; Yuan, C. (2020). Life cycle assessment of lithium oxygen battery for electric vehicles. Journal of Cleaner Production, 264, 121339. https://doi.org/10.1016/j.jclepro.2020.121339</t>
        </is>
      </c>
    </row>
    <row r="88">
      <c r="A88" t="inlineStr">
        <is>
          <t>location</t>
        </is>
      </c>
      <c r="B88" t="inlineStr">
        <is>
          <t>RER</t>
        </is>
      </c>
    </row>
    <row r="89">
      <c r="A89" t="inlineStr">
        <is>
          <t>production amount</t>
        </is>
      </c>
      <c r="B89" t="n">
        <v>1</v>
      </c>
    </row>
    <row r="90">
      <c r="A90" t="inlineStr">
        <is>
          <t>reference product</t>
        </is>
      </c>
      <c r="B90" t="inlineStr">
        <is>
          <t>surface production, lithium</t>
        </is>
      </c>
    </row>
    <row r="91">
      <c r="A91" t="inlineStr">
        <is>
          <t>unit</t>
        </is>
      </c>
      <c r="B91" t="inlineStr">
        <is>
          <t>kilogram</t>
        </is>
      </c>
    </row>
    <row r="92">
      <c r="A92" t="inlineStr">
        <is>
          <t>source</t>
        </is>
      </c>
      <c r="B92" t="inlineStr">
        <is>
          <t>Originally from Wang, F., Deng, Y., &amp; Yuan, C. (2020). Life cycle assessment of lithium oxygen battery for electric vehicles. Journal of Cleaner Production, 264, 121339. https://doi.org/10.1016/j.jclepro.2020.121339</t>
        </is>
      </c>
    </row>
    <row r="93">
      <c r="A93" s="1" t="inlineStr">
        <is>
          <t>Exchanges</t>
        </is>
      </c>
      <c r="B93" s="1" t="n"/>
      <c r="C93" s="1" t="n"/>
      <c r="D93" s="1" t="n"/>
      <c r="E93" s="1" t="n"/>
      <c r="F93" s="1" t="n"/>
      <c r="G93" s="1" t="n"/>
      <c r="H93" s="1" t="n"/>
    </row>
    <row r="94">
      <c r="A94" s="1" t="inlineStr">
        <is>
          <t>name</t>
        </is>
      </c>
      <c r="B94" s="1" t="inlineStr">
        <is>
          <t>amount</t>
        </is>
      </c>
      <c r="C94" s="1" t="inlineStr">
        <is>
          <t>unit</t>
        </is>
      </c>
      <c r="D94" s="1" t="inlineStr">
        <is>
          <t>categories</t>
        </is>
      </c>
      <c r="E94" s="1" t="inlineStr">
        <is>
          <t>location</t>
        </is>
      </c>
      <c r="F94" s="1" t="inlineStr">
        <is>
          <t>type</t>
        </is>
      </c>
      <c r="G94" s="1" t="inlineStr">
        <is>
          <t>reference product</t>
        </is>
      </c>
      <c r="H94" s="1" t="inlineStr">
        <is>
          <t>comment</t>
        </is>
      </c>
    </row>
    <row r="95">
      <c r="A95" t="inlineStr">
        <is>
          <t>surface production process, lithium</t>
        </is>
      </c>
      <c r="B95" s="3" t="n">
        <v>1</v>
      </c>
      <c r="C95" t="inlineStr">
        <is>
          <t>kilogram</t>
        </is>
      </c>
      <c r="E95" t="inlineStr">
        <is>
          <t>RER</t>
        </is>
      </c>
      <c r="F95" t="inlineStr">
        <is>
          <t>production</t>
        </is>
      </c>
      <c r="G95" t="inlineStr">
        <is>
          <t>surface production, lithium</t>
        </is>
      </c>
    </row>
    <row r="96">
      <c r="A96" t="inlineStr">
        <is>
          <t>market group for electricity, medium voltage</t>
        </is>
      </c>
      <c r="B96" s="3" t="n">
        <v>13.9</v>
      </c>
      <c r="C96" t="inlineStr">
        <is>
          <t>kilowatt hour</t>
        </is>
      </c>
      <c r="E96" t="inlineStr">
        <is>
          <t>Europe without Switzerland</t>
        </is>
      </c>
      <c r="F96" t="inlineStr">
        <is>
          <t>technosphere</t>
        </is>
      </c>
      <c r="G96" t="inlineStr">
        <is>
          <t>electricity, medium voltage</t>
        </is>
      </c>
    </row>
    <row r="97">
      <c r="A97" t="inlineStr">
        <is>
          <t>market for heat, district or industrial, natural gas</t>
        </is>
      </c>
      <c r="B97" s="3" t="n">
        <v>166.8</v>
      </c>
      <c r="C97" t="inlineStr">
        <is>
          <t>megajoule</t>
        </is>
      </c>
      <c r="E97" t="inlineStr">
        <is>
          <t>Europe without Switzerland</t>
        </is>
      </c>
      <c r="F97" t="inlineStr">
        <is>
          <t>technosphere</t>
        </is>
      </c>
      <c r="G97" t="inlineStr">
        <is>
          <t>heat, district or industrial, natural gas</t>
        </is>
      </c>
    </row>
    <row r="98"/>
    <row r="99"/>
    <row r="100" ht="16" customHeight="1">
      <c r="A100" s="2" t="inlineStr">
        <is>
          <t>Activity</t>
        </is>
      </c>
      <c r="B100" s="2" t="inlineStr">
        <is>
          <t>electrolyte production, for Li-O2 battery</t>
        </is>
      </c>
    </row>
    <row r="101">
      <c r="A101" t="inlineStr">
        <is>
          <t>comment</t>
        </is>
      </c>
      <c r="B101" t="inlineStr">
        <is>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is>
      </c>
    </row>
    <row r="102">
      <c r="A102" t="inlineStr">
        <is>
          <t>location</t>
        </is>
      </c>
      <c r="B102" t="inlineStr">
        <is>
          <t>RER</t>
        </is>
      </c>
    </row>
    <row r="103">
      <c r="A103" t="inlineStr">
        <is>
          <t>production amount</t>
        </is>
      </c>
      <c r="B103" t="n">
        <v>1</v>
      </c>
    </row>
    <row r="104">
      <c r="A104" t="inlineStr">
        <is>
          <t>reference product</t>
        </is>
      </c>
      <c r="B104" t="inlineStr">
        <is>
          <t>electrolyte</t>
        </is>
      </c>
    </row>
    <row r="105">
      <c r="A105" t="inlineStr">
        <is>
          <t>unit</t>
        </is>
      </c>
      <c r="B105" t="inlineStr">
        <is>
          <t>kilogram</t>
        </is>
      </c>
    </row>
    <row r="106">
      <c r="A106" t="inlineStr">
        <is>
          <t>source</t>
        </is>
      </c>
      <c r="B106" t="inlineStr">
        <is>
          <t>Originally from Wang, F., Deng, Y., &amp; Yuan, C. (2020). Life cycle assessment of lithium oxygen battery for electric vehicles. Journal of Cleaner Production, 264, 121339. https://doi.org/10.1016/j.jclepro.2020.121339</t>
        </is>
      </c>
    </row>
    <row r="107">
      <c r="A107" s="1" t="inlineStr">
        <is>
          <t>Exchanges</t>
        </is>
      </c>
      <c r="B107" s="1" t="n"/>
      <c r="C107" s="1" t="n"/>
      <c r="D107" s="1" t="n"/>
      <c r="E107" s="1" t="n"/>
      <c r="F107" s="1" t="n"/>
      <c r="G107" s="1" t="n"/>
    </row>
    <row r="108">
      <c r="A108" s="1" t="inlineStr">
        <is>
          <t>name</t>
        </is>
      </c>
      <c r="B108" s="1" t="inlineStr">
        <is>
          <t>amount</t>
        </is>
      </c>
      <c r="C108" s="1" t="inlineStr">
        <is>
          <t>unit</t>
        </is>
      </c>
      <c r="D108" s="1" t="inlineStr">
        <is>
          <t>categories</t>
        </is>
      </c>
      <c r="E108" s="1" t="inlineStr">
        <is>
          <t>location</t>
        </is>
      </c>
      <c r="F108" s="1" t="inlineStr">
        <is>
          <t>type</t>
        </is>
      </c>
      <c r="G108" s="1" t="inlineStr">
        <is>
          <t>reference product</t>
        </is>
      </c>
      <c r="H108" s="1" t="inlineStr">
        <is>
          <t>comment</t>
        </is>
      </c>
    </row>
    <row r="109">
      <c r="A109" t="inlineStr">
        <is>
          <t>electrolyte production, for Li-O2 battery</t>
        </is>
      </c>
      <c r="B109" s="3" t="n">
        <v>1</v>
      </c>
      <c r="C109" t="inlineStr">
        <is>
          <t>kilogram</t>
        </is>
      </c>
      <c r="E109" t="inlineStr">
        <is>
          <t>RER</t>
        </is>
      </c>
      <c r="F109" t="inlineStr">
        <is>
          <t>production</t>
        </is>
      </c>
      <c r="G109" t="inlineStr">
        <is>
          <t>electrolyte</t>
        </is>
      </c>
    </row>
    <row r="110">
      <c r="A110" t="inlineStr">
        <is>
          <t>market for lithium chloride</t>
        </is>
      </c>
      <c r="B110" s="3" t="n">
        <v>0.398</v>
      </c>
      <c r="C110" t="inlineStr">
        <is>
          <t>kilogram</t>
        </is>
      </c>
      <c r="E110" t="inlineStr">
        <is>
          <t>GLO</t>
        </is>
      </c>
      <c r="F110" t="inlineStr">
        <is>
          <t>technosphere</t>
        </is>
      </c>
      <c r="G110" t="inlineStr">
        <is>
          <t>lithium chloride</t>
        </is>
      </c>
    </row>
    <row r="111">
      <c r="A111" t="inlineStr">
        <is>
          <t>market for sodium perchlorate</t>
        </is>
      </c>
      <c r="B111" s="3" t="n">
        <v>1.151</v>
      </c>
      <c r="C111" t="inlineStr">
        <is>
          <t>kilogram</t>
        </is>
      </c>
      <c r="E111" t="inlineStr">
        <is>
          <t>GLO</t>
        </is>
      </c>
      <c r="F111" t="inlineStr">
        <is>
          <t>technosphere</t>
        </is>
      </c>
      <c r="G111" t="inlineStr">
        <is>
          <t>sodium perchlorate</t>
        </is>
      </c>
    </row>
    <row r="112">
      <c r="A112" t="inlineStr">
        <is>
          <t>market group for electricity, high voltage</t>
        </is>
      </c>
      <c r="B112">
        <f>10.8/3.6</f>
        <v>3</v>
      </c>
      <c r="C112" t="inlineStr">
        <is>
          <t>kilowatt hour</t>
        </is>
      </c>
      <c r="E112" t="inlineStr">
        <is>
          <t>Europe without Switzerland</t>
        </is>
      </c>
      <c r="F112" t="inlineStr">
        <is>
          <t>technosphere</t>
        </is>
      </c>
      <c r="G112" t="inlineStr">
        <is>
          <t>electricity, high voltage</t>
        </is>
      </c>
    </row>
    <row r="113">
      <c r="A113" t="inlineStr">
        <is>
          <t>Solids, inorganic</t>
        </is>
      </c>
      <c r="B113" s="3" t="n">
        <v>0.549</v>
      </c>
      <c r="C113" t="inlineStr">
        <is>
          <t>kilogram</t>
        </is>
      </c>
      <c r="D113" t="inlineStr">
        <is>
          <t>water</t>
        </is>
      </c>
      <c r="F113" t="inlineStr">
        <is>
          <t>biosphere</t>
        </is>
      </c>
    </row>
    <row r="114"/>
    <row r="115"/>
    <row r="116" ht="16" customHeight="1">
      <c r="A116" s="2" t="inlineStr">
        <is>
          <t>Activity</t>
        </is>
      </c>
      <c r="B116" s="2" t="inlineStr">
        <is>
          <t>copper current collector production, for Li-O2 battery</t>
        </is>
      </c>
    </row>
    <row r="117" ht="16" customHeight="1">
      <c r="A117" s="7" t="inlineStr">
        <is>
          <t>comment</t>
        </is>
      </c>
      <c r="B117" s="7" t="inlineStr">
        <is>
          <t xml:space="preserve"> Source: Originally from Wang, F., Deng, Y., &amp; Yuan, C. (2020). Life cycle assessment of lithium oxygen battery for electric vehicles. Journal of Cleaner Production, 264, 121339. https://doi.org/10.1016/j.jclepro.2020.121339</t>
        </is>
      </c>
    </row>
    <row r="118">
      <c r="A118" t="inlineStr">
        <is>
          <t>location</t>
        </is>
      </c>
      <c r="B118" t="inlineStr">
        <is>
          <t>RER</t>
        </is>
      </c>
    </row>
    <row r="119">
      <c r="A119" t="inlineStr">
        <is>
          <t>production amount</t>
        </is>
      </c>
      <c r="B119" t="n">
        <v>1</v>
      </c>
    </row>
    <row r="120">
      <c r="A120" t="inlineStr">
        <is>
          <t>reference product</t>
        </is>
      </c>
      <c r="B120" t="inlineStr">
        <is>
          <t>copper current collector</t>
        </is>
      </c>
    </row>
    <row r="121">
      <c r="A121" t="inlineStr">
        <is>
          <t>unit</t>
        </is>
      </c>
      <c r="B121" t="inlineStr">
        <is>
          <t>kilogram</t>
        </is>
      </c>
    </row>
    <row r="122">
      <c r="A122" t="inlineStr">
        <is>
          <t>source</t>
        </is>
      </c>
      <c r="B122" t="inlineStr">
        <is>
          <t>Originally from Wang, F., Deng, Y., &amp; Yuan, C. (2020). Life cycle assessment of lithium oxygen battery for electric vehicles. Journal of Cleaner Production, 264, 121339. https://doi.org/10.1016/j.jclepro.2020.121339</t>
        </is>
      </c>
    </row>
    <row r="123">
      <c r="A123" s="1" t="inlineStr">
        <is>
          <t>Exchanges</t>
        </is>
      </c>
      <c r="B123" s="1" t="n"/>
      <c r="C123" s="1" t="n"/>
      <c r="D123" s="1" t="n"/>
      <c r="E123" s="1" t="n"/>
      <c r="F123" s="1" t="n"/>
      <c r="G123" s="1" t="n"/>
    </row>
    <row r="124">
      <c r="A124" s="1" t="inlineStr">
        <is>
          <t>name</t>
        </is>
      </c>
      <c r="B124" s="1" t="inlineStr">
        <is>
          <t>amount</t>
        </is>
      </c>
      <c r="C124" s="1" t="inlineStr">
        <is>
          <t>unit</t>
        </is>
      </c>
      <c r="D124" s="1" t="inlineStr">
        <is>
          <t>categories</t>
        </is>
      </c>
      <c r="E124" s="1" t="inlineStr">
        <is>
          <t>location</t>
        </is>
      </c>
      <c r="F124" s="1" t="inlineStr">
        <is>
          <t>type</t>
        </is>
      </c>
      <c r="G124" s="1" t="inlineStr">
        <is>
          <t>reference product</t>
        </is>
      </c>
      <c r="H124" s="1" t="inlineStr">
        <is>
          <t>comment</t>
        </is>
      </c>
    </row>
    <row r="125">
      <c r="A125" t="inlineStr">
        <is>
          <t>copper current collector production, for Li-O2 battery</t>
        </is>
      </c>
      <c r="B125" s="3" t="n">
        <v>1</v>
      </c>
      <c r="C125" t="inlineStr">
        <is>
          <t>kilogram</t>
        </is>
      </c>
      <c r="E125" t="inlineStr">
        <is>
          <t>RER</t>
        </is>
      </c>
      <c r="F125" t="inlineStr">
        <is>
          <t>production</t>
        </is>
      </c>
      <c r="G125" t="inlineStr">
        <is>
          <t>copper current collector</t>
        </is>
      </c>
    </row>
    <row r="126">
      <c r="A126" t="inlineStr">
        <is>
          <t>market for copper concentrate, sulfide ore</t>
        </is>
      </c>
      <c r="B126" s="3" t="n">
        <v>0.713</v>
      </c>
      <c r="C126" t="inlineStr">
        <is>
          <t>kilogram</t>
        </is>
      </c>
      <c r="E126" t="inlineStr">
        <is>
          <t>GLO</t>
        </is>
      </c>
      <c r="F126" t="inlineStr">
        <is>
          <t>technosphere</t>
        </is>
      </c>
      <c r="G126" t="inlineStr">
        <is>
          <t>copper concentrate, sulfide ore</t>
        </is>
      </c>
    </row>
    <row r="127">
      <c r="A127" t="inlineStr">
        <is>
          <t>market for metal working factory</t>
        </is>
      </c>
      <c r="B127" s="3" t="n">
        <v>4.6e-10</v>
      </c>
      <c r="C127" t="inlineStr">
        <is>
          <t>unit</t>
        </is>
      </c>
      <c r="E127" t="inlineStr">
        <is>
          <t>GLO</t>
        </is>
      </c>
      <c r="F127" t="inlineStr">
        <is>
          <t>technosphere</t>
        </is>
      </c>
      <c r="G127" t="inlineStr">
        <is>
          <t>metal working factory</t>
        </is>
      </c>
    </row>
    <row r="128">
      <c r="A128" t="inlineStr">
        <is>
          <t>market for sheet rolling, copper</t>
        </is>
      </c>
      <c r="B128" s="3" t="n">
        <v>1</v>
      </c>
      <c r="C128" t="inlineStr">
        <is>
          <t>kilogram</t>
        </is>
      </c>
      <c r="E128" t="inlineStr">
        <is>
          <t>GLO</t>
        </is>
      </c>
      <c r="F128" t="inlineStr">
        <is>
          <t>technosphere</t>
        </is>
      </c>
      <c r="G128" t="inlineStr">
        <is>
          <t>sheet rolling, copper</t>
        </is>
      </c>
    </row>
    <row r="129">
      <c r="A129" t="inlineStr">
        <is>
          <t>market for transport, freight train</t>
        </is>
      </c>
      <c r="B129" s="3" t="n">
        <v>0.2</v>
      </c>
      <c r="C129" t="inlineStr">
        <is>
          <t>ton kilometer</t>
        </is>
      </c>
      <c r="E129" t="inlineStr">
        <is>
          <t>Europe without Switzerland</t>
        </is>
      </c>
      <c r="F129" t="inlineStr">
        <is>
          <t>technosphere</t>
        </is>
      </c>
      <c r="G129" t="inlineStr">
        <is>
          <t>transport, freight train</t>
        </is>
      </c>
    </row>
    <row r="130">
      <c r="A130" t="inlineStr">
        <is>
          <t>market for transport, freight, lorry 16-32 metric ton, EURO6</t>
        </is>
      </c>
      <c r="B130" s="3" t="n">
        <v>0.1</v>
      </c>
      <c r="C130" t="inlineStr">
        <is>
          <t>ton kilometer</t>
        </is>
      </c>
      <c r="E130" t="inlineStr">
        <is>
          <t>RER</t>
        </is>
      </c>
      <c r="F130" t="inlineStr">
        <is>
          <t>technosphere</t>
        </is>
      </c>
      <c r="G130" t="inlineStr">
        <is>
          <t>transport, freight, lorry 16-32 metric ton, EURO6</t>
        </is>
      </c>
    </row>
    <row r="131"/>
    <row r="132"/>
    <row r="133" ht="16" customHeight="1">
      <c r="A133" s="2" t="inlineStr">
        <is>
          <t>Activity</t>
        </is>
      </c>
      <c r="B133" s="2" t="inlineStr">
        <is>
          <t>aluminium current collector production, for Li-O2 battery</t>
        </is>
      </c>
    </row>
    <row r="134" ht="16" customHeight="1">
      <c r="A134" s="7" t="inlineStr">
        <is>
          <t>comment</t>
        </is>
      </c>
      <c r="B134" s="7" t="inlineStr">
        <is>
          <t xml:space="preserve"> Source: Originally from Wang, F., Deng, Y., &amp; Yuan, C. (2020). Life cycle assessment of lithium oxygen battery for electric vehicles. Journal of Cleaner Production, 264, 121339. https://doi.org/10.1016/j.jclepro.2020.121339</t>
        </is>
      </c>
    </row>
    <row r="135">
      <c r="A135" t="inlineStr">
        <is>
          <t>location</t>
        </is>
      </c>
      <c r="B135" t="inlineStr">
        <is>
          <t>RER</t>
        </is>
      </c>
    </row>
    <row r="136">
      <c r="A136" t="inlineStr">
        <is>
          <t>production amount</t>
        </is>
      </c>
      <c r="B136" t="n">
        <v>1</v>
      </c>
    </row>
    <row r="137">
      <c r="A137" t="inlineStr">
        <is>
          <t>reference product</t>
        </is>
      </c>
      <c r="B137" t="inlineStr">
        <is>
          <t>aluminium current collector</t>
        </is>
      </c>
    </row>
    <row r="138">
      <c r="A138" t="inlineStr">
        <is>
          <t>unit</t>
        </is>
      </c>
      <c r="B138" t="inlineStr">
        <is>
          <t>kilogram</t>
        </is>
      </c>
    </row>
    <row r="139">
      <c r="A139" t="inlineStr">
        <is>
          <t>source</t>
        </is>
      </c>
      <c r="B139" t="inlineStr">
        <is>
          <t>Originally from Wang, F., Deng, Y., &amp; Yuan, C. (2020). Life cycle assessment of lithium oxygen battery for electric vehicles. Journal of Cleaner Production, 264, 121339. https://doi.org/10.1016/j.jclepro.2020.121339</t>
        </is>
      </c>
    </row>
    <row r="140">
      <c r="A140" s="1" t="inlineStr">
        <is>
          <t>Exchanges</t>
        </is>
      </c>
      <c r="B140" s="1" t="n"/>
      <c r="C140" s="1" t="n"/>
      <c r="D140" s="1" t="n"/>
      <c r="E140" s="1" t="n"/>
      <c r="F140" s="1" t="n"/>
      <c r="G140" s="1" t="n"/>
    </row>
    <row r="141">
      <c r="A141" s="1" t="inlineStr">
        <is>
          <t>name</t>
        </is>
      </c>
      <c r="B141" s="1" t="inlineStr">
        <is>
          <t>amount</t>
        </is>
      </c>
      <c r="C141" s="1" t="inlineStr">
        <is>
          <t>unit</t>
        </is>
      </c>
      <c r="D141" s="1" t="inlineStr">
        <is>
          <t>categories</t>
        </is>
      </c>
      <c r="E141" s="1" t="inlineStr">
        <is>
          <t>location</t>
        </is>
      </c>
      <c r="F141" s="1" t="inlineStr">
        <is>
          <t>type</t>
        </is>
      </c>
      <c r="G141" s="1" t="inlineStr">
        <is>
          <t>reference product</t>
        </is>
      </c>
      <c r="H141" s="1" t="inlineStr">
        <is>
          <t>comment</t>
        </is>
      </c>
    </row>
    <row r="142">
      <c r="A142" t="inlineStr">
        <is>
          <t>aluminium current collector production, for Li-O2 battery</t>
        </is>
      </c>
      <c r="B142" s="3" t="n">
        <v>1</v>
      </c>
      <c r="C142" t="inlineStr">
        <is>
          <t>kilogram</t>
        </is>
      </c>
      <c r="E142" t="inlineStr">
        <is>
          <t>RER</t>
        </is>
      </c>
      <c r="F142" t="inlineStr">
        <is>
          <t>production</t>
        </is>
      </c>
      <c r="G142" t="inlineStr">
        <is>
          <t>aluminium current collector</t>
        </is>
      </c>
    </row>
    <row r="143">
      <c r="A143" t="inlineStr">
        <is>
          <t>market for aluminium, primary, ingot</t>
        </is>
      </c>
      <c r="B143" s="3" t="n">
        <v>0.825</v>
      </c>
      <c r="C143" t="inlineStr">
        <is>
          <t>kilogram</t>
        </is>
      </c>
      <c r="E143" t="inlineStr">
        <is>
          <t>IAI Area, EU27 &amp; EFTA</t>
        </is>
      </c>
      <c r="F143" t="inlineStr">
        <is>
          <t>technosphere</t>
        </is>
      </c>
      <c r="G143" t="inlineStr">
        <is>
          <t>aluminium, primary, ingot</t>
        </is>
      </c>
    </row>
    <row r="144">
      <c r="A144" t="inlineStr">
        <is>
          <t>sheet rolling, aluminium</t>
        </is>
      </c>
      <c r="B144" s="3" t="n">
        <v>1</v>
      </c>
      <c r="C144" t="inlineStr">
        <is>
          <t>kilogram</t>
        </is>
      </c>
      <c r="E144" t="inlineStr">
        <is>
          <t>RER</t>
        </is>
      </c>
      <c r="F144" t="inlineStr">
        <is>
          <t>technosphere</t>
        </is>
      </c>
      <c r="G144" t="inlineStr">
        <is>
          <t>sheet rolling, aluminium</t>
        </is>
      </c>
    </row>
    <row r="145">
      <c r="A145" t="inlineStr">
        <is>
          <t>market for transport, freight train</t>
        </is>
      </c>
      <c r="B145" s="3" t="n">
        <v>0.2</v>
      </c>
      <c r="C145" t="inlineStr">
        <is>
          <t>ton kilometer</t>
        </is>
      </c>
      <c r="E145" t="inlineStr">
        <is>
          <t>Europe without Switzerland</t>
        </is>
      </c>
      <c r="F145" t="inlineStr">
        <is>
          <t>technosphere</t>
        </is>
      </c>
      <c r="G145" t="inlineStr">
        <is>
          <t>transport, freight train</t>
        </is>
      </c>
    </row>
    <row r="146">
      <c r="A146" t="inlineStr">
        <is>
          <t>market for transport, freight, lorry 16-32 metric ton, EURO6</t>
        </is>
      </c>
      <c r="B146" s="3" t="n">
        <v>0.1</v>
      </c>
      <c r="C146" t="inlineStr">
        <is>
          <t>ton kilometer</t>
        </is>
      </c>
      <c r="E146" t="inlineStr">
        <is>
          <t>RER</t>
        </is>
      </c>
      <c r="F146" t="inlineStr">
        <is>
          <t>technosphere</t>
        </is>
      </c>
      <c r="G146" t="inlineStr">
        <is>
          <t>transport, freight, lorry 16-32 metric ton, EURO6</t>
        </is>
      </c>
    </row>
    <row r="147"/>
    <row r="148"/>
    <row r="149" ht="16" customHeight="1">
      <c r="A149" s="2" t="inlineStr">
        <is>
          <t>Activity</t>
        </is>
      </c>
      <c r="B149" s="2" t="inlineStr">
        <is>
          <t>terminals production, for Li-O2 battery</t>
        </is>
      </c>
    </row>
    <row r="150" ht="16" customHeight="1">
      <c r="A150" s="7" t="inlineStr">
        <is>
          <t>comment</t>
        </is>
      </c>
      <c r="B150" s="7" t="inlineStr">
        <is>
          <t xml:space="preserve"> Source: Originally from Wang, F., Deng, Y., &amp; Yuan, C. (2020). Life cycle assessment of lithium oxygen battery for electric vehicles. Journal of Cleaner Production, 264, 121339. https://doi.org/10.1016/j.jclepro.2020.121339</t>
        </is>
      </c>
    </row>
    <row r="151">
      <c r="A151" t="inlineStr">
        <is>
          <t>location</t>
        </is>
      </c>
      <c r="B151" t="inlineStr">
        <is>
          <t>RER</t>
        </is>
      </c>
    </row>
    <row r="152">
      <c r="A152" t="inlineStr">
        <is>
          <t>production amount</t>
        </is>
      </c>
      <c r="B152" t="n">
        <v>1</v>
      </c>
    </row>
    <row r="153">
      <c r="A153" t="inlineStr">
        <is>
          <t>reference product</t>
        </is>
      </c>
      <c r="B153" t="inlineStr">
        <is>
          <t>terminals</t>
        </is>
      </c>
    </row>
    <row r="154">
      <c r="A154" t="inlineStr">
        <is>
          <t>unit</t>
        </is>
      </c>
      <c r="B154" t="inlineStr">
        <is>
          <t>kilogram</t>
        </is>
      </c>
    </row>
    <row r="155">
      <c r="A155" t="inlineStr">
        <is>
          <t>source</t>
        </is>
      </c>
      <c r="B155" t="inlineStr">
        <is>
          <t>Originally from Wang, F., Deng, Y., &amp; Yuan, C. (2020). Life cycle assessment of lithium oxygen battery for electric vehicles. Journal of Cleaner Production, 264, 121339. https://doi.org/10.1016/j.jclepro.2020.121339</t>
        </is>
      </c>
    </row>
    <row r="156">
      <c r="A156" s="1" t="inlineStr">
        <is>
          <t>Exchanges</t>
        </is>
      </c>
      <c r="B156" s="1" t="n"/>
      <c r="C156" s="1" t="n"/>
      <c r="D156" s="1" t="n"/>
      <c r="E156" s="1" t="n"/>
      <c r="F156" s="1" t="n"/>
      <c r="G156" s="1" t="n"/>
    </row>
    <row r="157">
      <c r="A157" s="1" t="inlineStr">
        <is>
          <t>name</t>
        </is>
      </c>
      <c r="B157" s="1" t="inlineStr">
        <is>
          <t>amount</t>
        </is>
      </c>
      <c r="C157" s="1" t="inlineStr">
        <is>
          <t>unit</t>
        </is>
      </c>
      <c r="D157" s="1" t="inlineStr">
        <is>
          <t>categories</t>
        </is>
      </c>
      <c r="E157" s="1" t="inlineStr">
        <is>
          <t>location</t>
        </is>
      </c>
      <c r="F157" s="1" t="inlineStr">
        <is>
          <t>type</t>
        </is>
      </c>
      <c r="G157" s="1" t="inlineStr">
        <is>
          <t>reference product</t>
        </is>
      </c>
      <c r="H157" s="1" t="inlineStr">
        <is>
          <t>comment</t>
        </is>
      </c>
    </row>
    <row r="158">
      <c r="A158" t="inlineStr">
        <is>
          <t>terminals production, for Li-O2 battery</t>
        </is>
      </c>
      <c r="B158" t="n">
        <v>1</v>
      </c>
      <c r="C158" t="inlineStr">
        <is>
          <t>kilogram</t>
        </is>
      </c>
      <c r="E158" t="inlineStr">
        <is>
          <t>RER</t>
        </is>
      </c>
      <c r="F158" t="inlineStr">
        <is>
          <t>production</t>
        </is>
      </c>
      <c r="G158" t="inlineStr">
        <is>
          <t>terminals</t>
        </is>
      </c>
    </row>
    <row r="159">
      <c r="A159" t="inlineStr">
        <is>
          <t>market for aluminium, primary, ingot</t>
        </is>
      </c>
      <c r="B159" t="n">
        <v>0.825</v>
      </c>
      <c r="C159" t="inlineStr">
        <is>
          <t>kilogram</t>
        </is>
      </c>
      <c r="E159" t="inlineStr">
        <is>
          <t>IAI Area, EU27 &amp; EFTA</t>
        </is>
      </c>
      <c r="F159" t="inlineStr">
        <is>
          <t>technosphere</t>
        </is>
      </c>
      <c r="G159" t="inlineStr">
        <is>
          <t>aluminium, primary, ingot</t>
        </is>
      </c>
      <c r="H159">
        <f>184*B$24*B159</f>
        <v>8.6525999999999996</v>
      </c>
    </row>
    <row r="160">
      <c r="A160" t="inlineStr">
        <is>
          <t>market for aluminium scrap, new</t>
        </is>
      </c>
      <c r="B160">
        <f>45/1000</f>
        <v>4.4999999999999998E-2</v>
      </c>
      <c r="C160" t="inlineStr">
        <is>
          <t>kilogram</t>
        </is>
      </c>
      <c r="E160" t="inlineStr">
        <is>
          <t>RER</t>
        </is>
      </c>
      <c r="F160" t="inlineStr">
        <is>
          <t>technosphere</t>
        </is>
      </c>
      <c r="G160" t="inlineStr">
        <is>
          <t>aluminium scrap, new</t>
        </is>
      </c>
      <c r="H160">
        <f>184*B$24*B160</f>
        <v>0.47195999999999994</v>
      </c>
    </row>
    <row r="161">
      <c r="A161" t="inlineStr">
        <is>
          <t>aluminium casting facility construction</t>
        </is>
      </c>
      <c r="B161">
        <f>0.0000000000349</f>
        <v>3.4899999999999997E-11</v>
      </c>
      <c r="C161" t="inlineStr">
        <is>
          <t>unit</t>
        </is>
      </c>
      <c r="E161" t="inlineStr">
        <is>
          <t>RER</t>
        </is>
      </c>
      <c r="F161" t="inlineStr">
        <is>
          <t>technosphere</t>
        </is>
      </c>
      <c r="G161" t="inlineStr">
        <is>
          <t>aluminium casting facility</t>
        </is>
      </c>
      <c r="H161">
        <f>184*B$24*B161</f>
        <v>3.6603119999999994E-10</v>
      </c>
    </row>
    <row r="162">
      <c r="A162" t="inlineStr">
        <is>
          <t>market for metal working factory</t>
        </is>
      </c>
      <c r="B162" s="3" t="n">
        <v>3.53e-10</v>
      </c>
      <c r="C162" t="inlineStr">
        <is>
          <t>unit</t>
        </is>
      </c>
      <c r="E162" t="inlineStr">
        <is>
          <t>GLO</t>
        </is>
      </c>
      <c r="F162" t="inlineStr">
        <is>
          <t>technosphere</t>
        </is>
      </c>
      <c r="G162" t="inlineStr">
        <is>
          <t>metal working factory</t>
        </is>
      </c>
      <c r="H162">
        <f>184*B$24*B162</f>
        <v>3.702264E-9</v>
      </c>
    </row>
    <row r="163">
      <c r="A163" t="inlineStr">
        <is>
          <t>market for copper, cathode</t>
        </is>
      </c>
      <c r="B163" t="n">
        <v>0.713</v>
      </c>
      <c r="C163" t="inlineStr">
        <is>
          <t>kilogram</t>
        </is>
      </c>
      <c r="E163" t="inlineStr">
        <is>
          <t>GLO</t>
        </is>
      </c>
      <c r="F163" t="inlineStr">
        <is>
          <t>technosphere</t>
        </is>
      </c>
      <c r="G163" t="inlineStr">
        <is>
          <t>copper, cathode</t>
        </is>
      </c>
      <c r="H163">
        <f>184*B$24*B163</f>
        <v>7.477943999999999</v>
      </c>
    </row>
    <row r="164">
      <c r="A164" t="inlineStr">
        <is>
          <t>market for scrap copper</t>
        </is>
      </c>
      <c r="B164">
        <f>0.234*-1</f>
        <v>-0.23400000000000001</v>
      </c>
      <c r="C164" t="inlineStr">
        <is>
          <t>kilogram</t>
        </is>
      </c>
      <c r="E164" t="inlineStr">
        <is>
          <t>Europe without Switzerland</t>
        </is>
      </c>
      <c r="F164" t="inlineStr">
        <is>
          <t>technosphere</t>
        </is>
      </c>
      <c r="G164" t="inlineStr">
        <is>
          <t>scrap copper</t>
        </is>
      </c>
      <c r="H164">
        <f>184*B$24*B164</f>
        <v>-2.4541919999999999</v>
      </c>
    </row>
    <row r="165">
      <c r="A165" t="inlineStr">
        <is>
          <t>market for sheet rolling, aluminium</t>
        </is>
      </c>
      <c r="B165" t="n">
        <v>0.232</v>
      </c>
      <c r="C165" t="inlineStr">
        <is>
          <t>kilogram</t>
        </is>
      </c>
      <c r="E165" t="inlineStr">
        <is>
          <t>GLO</t>
        </is>
      </c>
      <c r="F165" t="inlineStr">
        <is>
          <t>technosphere</t>
        </is>
      </c>
      <c r="G165" t="inlineStr">
        <is>
          <t>sheet rolling, aluminium</t>
        </is>
      </c>
      <c r="H165">
        <f>184*B$24*B165</f>
        <v>2.4332159999999998</v>
      </c>
    </row>
    <row r="166">
      <c r="A166" t="inlineStr">
        <is>
          <t>market for sheet rolling, copper</t>
        </is>
      </c>
      <c r="B166" t="n">
        <v>0.768</v>
      </c>
      <c r="C166" t="inlineStr">
        <is>
          <t>kilogram</t>
        </is>
      </c>
      <c r="E166" t="inlineStr">
        <is>
          <t>GLO</t>
        </is>
      </c>
      <c r="F166" t="inlineStr">
        <is>
          <t>technosphere</t>
        </is>
      </c>
      <c r="G166" t="inlineStr">
        <is>
          <t>sheet rolling, copper</t>
        </is>
      </c>
      <c r="H166">
        <f>184*B$24*B166</f>
        <v>8.0547839999999997</v>
      </c>
    </row>
    <row r="167">
      <c r="A167" t="inlineStr">
        <is>
          <t>market for transport, freight train</t>
        </is>
      </c>
      <c r="B167" t="n">
        <v>0.2</v>
      </c>
      <c r="C167" t="inlineStr">
        <is>
          <t>ton kilometer</t>
        </is>
      </c>
      <c r="E167" t="inlineStr">
        <is>
          <t>Europe without Switzerland</t>
        </is>
      </c>
      <c r="F167" t="inlineStr">
        <is>
          <t>technosphere</t>
        </is>
      </c>
      <c r="G167" t="inlineStr">
        <is>
          <t>transport, freight train</t>
        </is>
      </c>
      <c r="H167">
        <f>184*B$24*B167</f>
        <v>2.0975999999999999</v>
      </c>
    </row>
    <row r="168">
      <c r="A168" t="inlineStr">
        <is>
          <t>market for transport, freight, lorry 16-32 metric ton, EURO6</t>
        </is>
      </c>
      <c r="B168" t="n">
        <v>0.1</v>
      </c>
      <c r="C168" t="inlineStr">
        <is>
          <t>ton kilometer</t>
        </is>
      </c>
      <c r="E168" t="inlineStr">
        <is>
          <t>RER</t>
        </is>
      </c>
      <c r="F168" t="inlineStr">
        <is>
          <t>technosphere</t>
        </is>
      </c>
      <c r="G168" t="inlineStr">
        <is>
          <t>transport, freight, lorry 16-32 metric ton, EURO6</t>
        </is>
      </c>
      <c r="H168">
        <f>184*B$24*B168</f>
        <v>1.0488</v>
      </c>
    </row>
    <row r="169">
      <c r="A169" t="inlineStr">
        <is>
          <t>market group for municipal solid waste</t>
        </is>
      </c>
      <c r="B169">
        <f>-18/1000</f>
        <v>-1.7999999999999999E-2</v>
      </c>
      <c r="C169" t="inlineStr">
        <is>
          <t>kilogram</t>
        </is>
      </c>
      <c r="E169" t="inlineStr">
        <is>
          <t>Europe without Switzerland</t>
        </is>
      </c>
      <c r="F169" t="inlineStr">
        <is>
          <t>technosphere</t>
        </is>
      </c>
      <c r="G169" t="inlineStr">
        <is>
          <t>municipal solid waste</t>
        </is>
      </c>
      <c r="H169">
        <f>184*B$24*B169</f>
        <v>-0.18878399999999998</v>
      </c>
    </row>
    <row r="170"/>
    <row r="171"/>
    <row r="172" ht="16" customHeight="1">
      <c r="A172" s="2" t="inlineStr">
        <is>
          <t>Activity</t>
        </is>
      </c>
      <c r="B172" s="2" t="inlineStr">
        <is>
          <t>multilayer film production, for Li-O2 battery</t>
        </is>
      </c>
    </row>
    <row r="173" ht="16" customHeight="1">
      <c r="A173" s="7" t="inlineStr">
        <is>
          <t>comment</t>
        </is>
      </c>
      <c r="B173" s="7" t="inlineStr">
        <is>
          <t xml:space="preserve"> Source: Originally from Wang, F., Deng, Y., &amp; Yuan, C. (2020). Life cycle assessment of lithium oxygen battery for electric vehicles. Journal of Cleaner Production, 264, 121339. https://doi.org/10.1016/j.jclepro.2020.121339</t>
        </is>
      </c>
    </row>
    <row r="174">
      <c r="A174" t="inlineStr">
        <is>
          <t>location</t>
        </is>
      </c>
      <c r="B174" t="inlineStr">
        <is>
          <t>RER</t>
        </is>
      </c>
    </row>
    <row r="175">
      <c r="A175" t="inlineStr">
        <is>
          <t>production amount</t>
        </is>
      </c>
      <c r="B175" t="n">
        <v>1</v>
      </c>
    </row>
    <row r="176">
      <c r="A176" t="inlineStr">
        <is>
          <t>reference product</t>
        </is>
      </c>
      <c r="B176" t="inlineStr">
        <is>
          <t>multilayer film</t>
        </is>
      </c>
    </row>
    <row r="177">
      <c r="A177" t="inlineStr">
        <is>
          <t>unit</t>
        </is>
      </c>
      <c r="B177" t="inlineStr">
        <is>
          <t>kilogram</t>
        </is>
      </c>
    </row>
    <row r="178">
      <c r="A178" t="inlineStr">
        <is>
          <t>source</t>
        </is>
      </c>
      <c r="B178" t="inlineStr">
        <is>
          <t>Originally from Wang, F., Deng, Y., &amp; Yuan, C. (2020). Life cycle assessment of lithium oxygen battery for electric vehicles. Journal of Cleaner Production, 264, 121339. https://doi.org/10.1016/j.jclepro.2020.121339</t>
        </is>
      </c>
    </row>
    <row r="179">
      <c r="A179" s="1" t="inlineStr">
        <is>
          <t>Exchanges</t>
        </is>
      </c>
      <c r="B179" s="1" t="n"/>
      <c r="C179" s="1" t="n"/>
      <c r="D179" s="1" t="n"/>
      <c r="E179" s="1" t="n"/>
      <c r="F179" s="1" t="n"/>
      <c r="G179" s="1" t="n"/>
    </row>
    <row r="180">
      <c r="A180" s="1" t="inlineStr">
        <is>
          <t>name</t>
        </is>
      </c>
      <c r="B180" s="1" t="inlineStr">
        <is>
          <t>amount</t>
        </is>
      </c>
      <c r="C180" s="1" t="inlineStr">
        <is>
          <t>unit</t>
        </is>
      </c>
      <c r="D180" s="1" t="inlineStr">
        <is>
          <t>categories</t>
        </is>
      </c>
      <c r="E180" s="1" t="inlineStr">
        <is>
          <t>location</t>
        </is>
      </c>
      <c r="F180" s="1" t="inlineStr">
        <is>
          <t>type</t>
        </is>
      </c>
      <c r="G180" s="1" t="inlineStr">
        <is>
          <t>reference product</t>
        </is>
      </c>
      <c r="H180" s="1" t="inlineStr">
        <is>
          <t>comment</t>
        </is>
      </c>
    </row>
    <row r="181">
      <c r="A181" t="inlineStr">
        <is>
          <t>multilayer film production, for Li-O2 battery</t>
        </is>
      </c>
      <c r="B181" t="n">
        <v>1</v>
      </c>
      <c r="C181" t="inlineStr">
        <is>
          <t>kilogram</t>
        </is>
      </c>
      <c r="E181" t="inlineStr">
        <is>
          <t>RER</t>
        </is>
      </c>
      <c r="F181" t="inlineStr">
        <is>
          <t>production</t>
        </is>
      </c>
      <c r="G181" t="inlineStr">
        <is>
          <t>multilayer film</t>
        </is>
      </c>
    </row>
    <row r="182">
      <c r="A182" t="inlineStr">
        <is>
          <t>market for aluminium, primary, ingot</t>
        </is>
      </c>
      <c r="B182" t="n">
        <v>0.55</v>
      </c>
      <c r="C182" t="inlineStr">
        <is>
          <t>kilogram</t>
        </is>
      </c>
      <c r="E182" t="inlineStr">
        <is>
          <t>IAI Area, EU27 &amp; EFTA</t>
        </is>
      </c>
      <c r="F182" t="inlineStr">
        <is>
          <t>technosphere</t>
        </is>
      </c>
      <c r="G182" t="inlineStr">
        <is>
          <t>aluminium, primary, ingot</t>
        </is>
      </c>
      <c r="H182">
        <f>184*B$23*B182</f>
        <v>3.7444000000000002</v>
      </c>
    </row>
    <row r="183">
      <c r="A183" t="inlineStr">
        <is>
          <t>market for aluminium scrap, new</t>
        </is>
      </c>
      <c r="B183" t="n">
        <v>0.129</v>
      </c>
      <c r="C183" t="inlineStr">
        <is>
          <t>kilogram</t>
        </is>
      </c>
      <c r="E183" t="inlineStr">
        <is>
          <t>RER</t>
        </is>
      </c>
      <c r="F183" t="inlineStr">
        <is>
          <t>technosphere</t>
        </is>
      </c>
      <c r="G183" t="inlineStr">
        <is>
          <t>aluminium scrap, new</t>
        </is>
      </c>
      <c r="H183">
        <f>184*B$23*B183</f>
        <v>0.87823200000000001</v>
      </c>
    </row>
    <row r="184">
      <c r="A184" t="inlineStr">
        <is>
          <t>market for polypropylene, granulate</t>
        </is>
      </c>
      <c r="B184" t="n">
        <v>0.206</v>
      </c>
      <c r="C184" t="inlineStr">
        <is>
          <t>kilogram</t>
        </is>
      </c>
      <c r="E184" t="inlineStr">
        <is>
          <t>GLO</t>
        </is>
      </c>
      <c r="F184" t="inlineStr">
        <is>
          <t>technosphere</t>
        </is>
      </c>
      <c r="G184" t="inlineStr">
        <is>
          <t>polypropylene, granulate</t>
        </is>
      </c>
      <c r="H184">
        <f>184*B$23*B184</f>
        <v>1.4024479999999999</v>
      </c>
    </row>
    <row r="185">
      <c r="A185" t="inlineStr">
        <is>
          <t>market for polyethylene terephthalate, granulate, amorphous</t>
        </is>
      </c>
      <c r="B185" t="n">
        <v>0.137</v>
      </c>
      <c r="C185" t="inlineStr">
        <is>
          <t>kilogram</t>
        </is>
      </c>
      <c r="E185" t="inlineStr">
        <is>
          <t>GLO</t>
        </is>
      </c>
      <c r="F185" t="inlineStr">
        <is>
          <t>technosphere</t>
        </is>
      </c>
      <c r="G185" t="inlineStr">
        <is>
          <t>polyethylene terephthalate, granulate, amorphous</t>
        </is>
      </c>
      <c r="H185">
        <f>184*B$23*B185</f>
        <v>0.93269600000000008</v>
      </c>
    </row>
    <row r="186">
      <c r="A186" t="inlineStr">
        <is>
          <t>market for sheet rolling, aluminium</t>
        </is>
      </c>
      <c r="B186" t="n">
        <v>0.667</v>
      </c>
      <c r="C186" t="inlineStr">
        <is>
          <t>kilogram</t>
        </is>
      </c>
      <c r="E186" t="inlineStr">
        <is>
          <t>GLO</t>
        </is>
      </c>
      <c r="F186" t="inlineStr">
        <is>
          <t>technosphere</t>
        </is>
      </c>
      <c r="G186" t="inlineStr">
        <is>
          <t>sheet rolling, aluminium</t>
        </is>
      </c>
      <c r="H186">
        <f>184*B$23*B186</f>
        <v>4.5409360000000003</v>
      </c>
    </row>
    <row r="187">
      <c r="A187" t="inlineStr">
        <is>
          <t>market for extrusion, plastic film</t>
        </is>
      </c>
      <c r="B187" t="n">
        <v>0.333</v>
      </c>
      <c r="C187" t="inlineStr">
        <is>
          <t>kilogram</t>
        </is>
      </c>
      <c r="E187" t="inlineStr">
        <is>
          <t>GLO</t>
        </is>
      </c>
      <c r="F187" t="inlineStr">
        <is>
          <t>technosphere</t>
        </is>
      </c>
      <c r="G187" t="inlineStr">
        <is>
          <t>extrusion, plastic film</t>
        </is>
      </c>
      <c r="H187">
        <f>184*B$23*B187</f>
        <v>2.267064</v>
      </c>
    </row>
    <row r="188">
      <c r="A188" t="inlineStr">
        <is>
          <t>market group for municipal solid waste</t>
        </is>
      </c>
      <c r="B188">
        <f>-21/1000</f>
        <v>-2.1000000000000001E-2</v>
      </c>
      <c r="C188" t="inlineStr">
        <is>
          <t>kilogram</t>
        </is>
      </c>
      <c r="E188" t="inlineStr">
        <is>
          <t>Europe without Switzerland</t>
        </is>
      </c>
      <c r="F188" t="inlineStr">
        <is>
          <t>technosphere</t>
        </is>
      </c>
      <c r="G188" t="inlineStr">
        <is>
          <t>municipal solid waste</t>
        </is>
      </c>
      <c r="H188">
        <f>184*B$23*B188</f>
        <v>-0.14296800000000001</v>
      </c>
    </row>
    <row r="189"/>
    <row r="190"/>
    <row r="191" ht="16" customHeight="1">
      <c r="A191" s="2" t="inlineStr">
        <is>
          <t>Activity</t>
        </is>
      </c>
      <c r="B191" s="2" t="inlineStr">
        <is>
          <t>oxygen tank production, for Li-O2 battery</t>
        </is>
      </c>
    </row>
    <row r="192" ht="16" customHeight="1">
      <c r="A192" s="7" t="inlineStr">
        <is>
          <t>comment</t>
        </is>
      </c>
      <c r="B192" s="7" t="inlineStr">
        <is>
          <t xml:space="preserve"> Source: Originally from Wang, F., Deng, Y., &amp; Yuan, C. (2020). Life cycle assessment of lithium oxygen battery for electric vehicles. Journal of Cleaner Production, 264, 121339. https://doi.org/10.1016/j.jclepro.2020.121339</t>
        </is>
      </c>
    </row>
    <row r="193">
      <c r="A193" t="inlineStr">
        <is>
          <t>location</t>
        </is>
      </c>
      <c r="B193" t="inlineStr">
        <is>
          <t>RER</t>
        </is>
      </c>
    </row>
    <row r="194">
      <c r="A194" t="inlineStr">
        <is>
          <t>production amount</t>
        </is>
      </c>
      <c r="B194" t="n">
        <v>1</v>
      </c>
    </row>
    <row r="195">
      <c r="A195" t="inlineStr">
        <is>
          <t>reference product</t>
        </is>
      </c>
      <c r="B195" t="inlineStr">
        <is>
          <t>oxygen tank</t>
        </is>
      </c>
    </row>
    <row r="196">
      <c r="A196" t="inlineStr">
        <is>
          <t>unit</t>
        </is>
      </c>
      <c r="B196" t="inlineStr">
        <is>
          <t>kilogram</t>
        </is>
      </c>
    </row>
    <row r="197">
      <c r="A197" t="inlineStr">
        <is>
          <t>source</t>
        </is>
      </c>
      <c r="B197" t="inlineStr">
        <is>
          <t>Originally from Wang, F., Deng, Y., &amp; Yuan, C. (2020). Life cycle assessment of lithium oxygen battery for electric vehicles. Journal of Cleaner Production, 264, 121339. https://doi.org/10.1016/j.jclepro.2020.121339</t>
        </is>
      </c>
    </row>
    <row r="198">
      <c r="A198" s="1" t="inlineStr">
        <is>
          <t>Exchanges</t>
        </is>
      </c>
      <c r="B198" s="1" t="n"/>
      <c r="C198" s="1" t="n"/>
      <c r="D198" s="1" t="n"/>
      <c r="E198" s="1" t="n"/>
      <c r="F198" s="1" t="n"/>
      <c r="G198" s="1" t="n"/>
    </row>
    <row r="199">
      <c r="A199" s="1" t="inlineStr">
        <is>
          <t>name</t>
        </is>
      </c>
      <c r="B199" s="1" t="inlineStr">
        <is>
          <t>amount</t>
        </is>
      </c>
      <c r="C199" s="1" t="inlineStr">
        <is>
          <t>unit</t>
        </is>
      </c>
      <c r="D199" s="1" t="inlineStr">
        <is>
          <t>categories</t>
        </is>
      </c>
      <c r="E199" s="1" t="inlineStr">
        <is>
          <t>location</t>
        </is>
      </c>
      <c r="F199" s="1" t="inlineStr">
        <is>
          <t>type</t>
        </is>
      </c>
      <c r="G199" s="1" t="inlineStr">
        <is>
          <t>reference product</t>
        </is>
      </c>
      <c r="H199" s="1" t="inlineStr">
        <is>
          <t>comment</t>
        </is>
      </c>
    </row>
    <row r="200">
      <c r="A200" t="inlineStr">
        <is>
          <t>oxygen tank production, for Li-O2 battery</t>
        </is>
      </c>
      <c r="B200" t="n">
        <v>1</v>
      </c>
      <c r="C200" t="inlineStr">
        <is>
          <t>kilogram</t>
        </is>
      </c>
      <c r="E200" t="inlineStr">
        <is>
          <t>RER</t>
        </is>
      </c>
      <c r="F200" t="inlineStr">
        <is>
          <t>production</t>
        </is>
      </c>
      <c r="G200" t="inlineStr">
        <is>
          <t>oxygen tank</t>
        </is>
      </c>
    </row>
    <row r="201">
      <c r="A201" t="inlineStr">
        <is>
          <t>market group for electricity, medium voltage</t>
        </is>
      </c>
      <c r="B201">
        <f>0.236/3.6</f>
        <v>6.5555555555555547E-2</v>
      </c>
      <c r="C201" t="inlineStr">
        <is>
          <t>kilowatt hour</t>
        </is>
      </c>
      <c r="E201" t="inlineStr">
        <is>
          <t>Europe without Switzerland</t>
        </is>
      </c>
      <c r="F201" t="inlineStr">
        <is>
          <t>technosphere</t>
        </is>
      </c>
      <c r="G201" t="inlineStr">
        <is>
          <t>electricity, medium voltage</t>
        </is>
      </c>
    </row>
    <row r="202">
      <c r="A202" t="inlineStr">
        <is>
          <t>market for aluminium alloy, AlMg3</t>
        </is>
      </c>
      <c r="B202" t="n">
        <v>1</v>
      </c>
      <c r="C202" t="inlineStr">
        <is>
          <t>kilogram</t>
        </is>
      </c>
      <c r="E202" t="inlineStr">
        <is>
          <t>GLO</t>
        </is>
      </c>
      <c r="F202" t="inlineStr">
        <is>
          <t>technosphere</t>
        </is>
      </c>
      <c r="G202" t="inlineStr">
        <is>
          <t>aluminium alloy, AlMg3</t>
        </is>
      </c>
    </row>
    <row r="203"/>
    <row r="204"/>
    <row r="205" ht="16" customHeight="1">
      <c r="A205" s="2" t="inlineStr">
        <is>
          <t>Activity</t>
        </is>
      </c>
      <c r="B205" s="2" t="inlineStr">
        <is>
          <t>module packaging, for Li-O2 battery</t>
        </is>
      </c>
    </row>
    <row r="206">
      <c r="A206" t="inlineStr">
        <is>
          <t>comment</t>
        </is>
      </c>
      <c r="B206" t="inlineStr">
        <is>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07">
      <c r="A207" t="inlineStr">
        <is>
          <t>location</t>
        </is>
      </c>
      <c r="B207" t="inlineStr">
        <is>
          <t>RER</t>
        </is>
      </c>
    </row>
    <row r="208">
      <c r="A208" t="inlineStr">
        <is>
          <t>production amount</t>
        </is>
      </c>
      <c r="B208" t="n">
        <v>1</v>
      </c>
    </row>
    <row r="209">
      <c r="A209" t="inlineStr">
        <is>
          <t>reference product</t>
        </is>
      </c>
      <c r="B209" t="inlineStr">
        <is>
          <t>module packaging</t>
        </is>
      </c>
    </row>
    <row r="210">
      <c r="A210" t="inlineStr">
        <is>
          <t>unit</t>
        </is>
      </c>
      <c r="B210" t="inlineStr">
        <is>
          <t>kilogram</t>
        </is>
      </c>
    </row>
    <row r="211">
      <c r="A211" t="inlineStr">
        <is>
          <t>source</t>
        </is>
      </c>
      <c r="B211" t="inlineStr">
        <is>
          <t>Originally from Wang, F., Deng, Y., &amp; Yuan, C. (2020). Life cycle assessment of lithium oxygen battery for electric vehicles. Journal of Cleaner Production, 264, 121339. https://doi.org/10.1016/j.jclepro.2020.121339</t>
        </is>
      </c>
    </row>
    <row r="212">
      <c r="A212" s="1" t="inlineStr">
        <is>
          <t>Exchanges</t>
        </is>
      </c>
      <c r="B212" s="1" t="n"/>
      <c r="C212" s="1" t="n"/>
      <c r="D212" s="1" t="n"/>
      <c r="E212" s="1" t="n"/>
      <c r="F212" s="1" t="n"/>
      <c r="G212" s="1" t="n"/>
    </row>
    <row r="213">
      <c r="A213" s="1" t="inlineStr">
        <is>
          <t>name</t>
        </is>
      </c>
      <c r="B213" s="1" t="inlineStr">
        <is>
          <t>amount</t>
        </is>
      </c>
      <c r="C213" s="1" t="inlineStr">
        <is>
          <t>unit</t>
        </is>
      </c>
      <c r="D213" s="1" t="inlineStr">
        <is>
          <t>categories</t>
        </is>
      </c>
      <c r="E213" s="1" t="inlineStr">
        <is>
          <t>location</t>
        </is>
      </c>
      <c r="F213" s="1" t="inlineStr">
        <is>
          <t>type</t>
        </is>
      </c>
      <c r="G213" s="1" t="inlineStr">
        <is>
          <t>reference product</t>
        </is>
      </c>
      <c r="H213" s="1" t="inlineStr">
        <is>
          <t>comment</t>
        </is>
      </c>
    </row>
    <row r="214">
      <c r="A214" t="inlineStr">
        <is>
          <t>module packaging, for Li-O2 battery</t>
        </is>
      </c>
      <c r="B214" t="n">
        <v>1</v>
      </c>
      <c r="C214" t="inlineStr">
        <is>
          <t>kilogram</t>
        </is>
      </c>
      <c r="E214" t="inlineStr">
        <is>
          <t>RER</t>
        </is>
      </c>
      <c r="F214" t="inlineStr">
        <is>
          <t>production</t>
        </is>
      </c>
      <c r="G214" t="inlineStr">
        <is>
          <t>module packaging</t>
        </is>
      </c>
    </row>
    <row r="215">
      <c r="A215" t="inlineStr">
        <is>
          <t>market for acrylonitrile-butadiene-styrene copolymer</t>
        </is>
      </c>
      <c r="B215" t="n">
        <v>0.23</v>
      </c>
      <c r="C215" t="inlineStr">
        <is>
          <t>kilogram</t>
        </is>
      </c>
      <c r="E215" t="inlineStr">
        <is>
          <t>GLO</t>
        </is>
      </c>
      <c r="F215" t="inlineStr">
        <is>
          <t>technosphere</t>
        </is>
      </c>
      <c r="G215" t="inlineStr">
        <is>
          <t>acrylonitrile-butadiene-styrene copolymer</t>
        </is>
      </c>
      <c r="H215">
        <f>B$279*B215</f>
        <v>1.1528660436137072E-2</v>
      </c>
    </row>
    <row r="216">
      <c r="A216" t="inlineStr">
        <is>
          <t>aluminium casting facility construction</t>
        </is>
      </c>
      <c r="B216" s="3" t="n">
        <v>9.75e-11</v>
      </c>
      <c r="C216" t="inlineStr">
        <is>
          <t>unit</t>
        </is>
      </c>
      <c r="E216" t="inlineStr">
        <is>
          <t>RER</t>
        </is>
      </c>
      <c r="F216" t="inlineStr">
        <is>
          <t>technosphere</t>
        </is>
      </c>
      <c r="G216" t="inlineStr">
        <is>
          <t>aluminium casting facility</t>
        </is>
      </c>
      <c r="H216">
        <f>B$279*B216</f>
        <v>4.8871495327102809E-12</v>
      </c>
    </row>
    <row r="217">
      <c r="A217" t="inlineStr">
        <is>
          <t>market for aluminium, primary, ingot</t>
        </is>
      </c>
      <c r="B217" t="n">
        <v>0.825</v>
      </c>
      <c r="C217" t="inlineStr">
        <is>
          <t>kilogram</t>
        </is>
      </c>
      <c r="E217" t="inlineStr">
        <is>
          <t>IAI Area, EU27 &amp; EFTA</t>
        </is>
      </c>
      <c r="F217" t="inlineStr">
        <is>
          <t>technosphere</t>
        </is>
      </c>
      <c r="G217" t="inlineStr">
        <is>
          <t>aluminium, primary, ingot</t>
        </is>
      </c>
      <c r="H217">
        <f>B$279*B217</f>
        <v>4.1352803738317755E-2</v>
      </c>
    </row>
    <row r="218">
      <c r="A218" t="inlineStr">
        <is>
          <t>wire drawing, copper</t>
        </is>
      </c>
      <c r="B218" t="n">
        <v>0.115</v>
      </c>
      <c r="C218" t="inlineStr">
        <is>
          <t>kilogram</t>
        </is>
      </c>
      <c r="E218" t="inlineStr">
        <is>
          <t>RER</t>
        </is>
      </c>
      <c r="F218" t="inlineStr">
        <is>
          <t>technosphere</t>
        </is>
      </c>
      <c r="G218" t="inlineStr">
        <is>
          <t>wire drawing, copper</t>
        </is>
      </c>
      <c r="H218">
        <f>B$279*B218</f>
        <v>5.7643302180685361E-3</v>
      </c>
    </row>
    <row r="219">
      <c r="A219" t="inlineStr">
        <is>
          <t>anodising, aluminium sheet</t>
        </is>
      </c>
      <c r="B219" t="n">
        <v>0.6</v>
      </c>
      <c r="C219" t="inlineStr">
        <is>
          <t>square meter</t>
        </is>
      </c>
      <c r="E219" t="inlineStr">
        <is>
          <t>RER</t>
        </is>
      </c>
      <c r="F219" t="inlineStr">
        <is>
          <t>technosphere</t>
        </is>
      </c>
      <c r="G219" t="inlineStr">
        <is>
          <t>anodising, aluminium sheet</t>
        </is>
      </c>
      <c r="H219">
        <f>B$279*B219</f>
        <v>3.0074766355140187E-2</v>
      </c>
    </row>
    <row r="220">
      <c r="A220" t="inlineStr">
        <is>
          <t>market for printed wiring board, through-hole mounted, unspecified, Pb free</t>
        </is>
      </c>
      <c r="B220" t="n">
        <v>0.049</v>
      </c>
      <c r="C220" t="inlineStr">
        <is>
          <t>kilogram</t>
        </is>
      </c>
      <c r="E220" t="inlineStr">
        <is>
          <t>GLO</t>
        </is>
      </c>
      <c r="F220" t="inlineStr">
        <is>
          <t>technosphere</t>
        </is>
      </c>
      <c r="G220" t="inlineStr">
        <is>
          <t>printed wiring board, through-hole mounted, unspecified, Pb free</t>
        </is>
      </c>
      <c r="H220">
        <f>B$279*B220</f>
        <v>2.4561059190031155E-3</v>
      </c>
    </row>
    <row r="221">
      <c r="A221" t="inlineStr">
        <is>
          <t>injection moulding</t>
        </is>
      </c>
      <c r="B221" t="n">
        <v>0.333</v>
      </c>
      <c r="C221" t="inlineStr">
        <is>
          <t>kilogram</t>
        </is>
      </c>
      <c r="E221" t="inlineStr">
        <is>
          <t>RER</t>
        </is>
      </c>
      <c r="F221" t="inlineStr">
        <is>
          <t>technosphere</t>
        </is>
      </c>
      <c r="G221" t="inlineStr">
        <is>
          <t>injection moulding</t>
        </is>
      </c>
      <c r="H221">
        <f>B$279*B221</f>
        <v>1.6691495327102804E-2</v>
      </c>
    </row>
    <row r="222">
      <c r="A222" t="inlineStr">
        <is>
          <t>plastic processing factory construction</t>
        </is>
      </c>
      <c r="B222" s="3" t="n">
        <v>2.46e-10</v>
      </c>
      <c r="C222" t="inlineStr">
        <is>
          <t>unit</t>
        </is>
      </c>
      <c r="E222" t="inlineStr">
        <is>
          <t>RER</t>
        </is>
      </c>
      <c r="F222" t="inlineStr">
        <is>
          <t>technosphere</t>
        </is>
      </c>
      <c r="G222" t="inlineStr">
        <is>
          <t>plastic processing factory</t>
        </is>
      </c>
      <c r="H222">
        <f>B$279*B222</f>
        <v>1.2330654205607476E-11</v>
      </c>
    </row>
    <row r="223">
      <c r="A223" t="inlineStr">
        <is>
          <t>polymer foaming</t>
        </is>
      </c>
      <c r="B223" t="n">
        <v>0.067</v>
      </c>
      <c r="C223" t="inlineStr">
        <is>
          <t>kilogram</t>
        </is>
      </c>
      <c r="E223" t="inlineStr">
        <is>
          <t>RER</t>
        </is>
      </c>
      <c r="F223" t="inlineStr">
        <is>
          <t>technosphere</t>
        </is>
      </c>
      <c r="G223" t="inlineStr">
        <is>
          <t>polymer foaming</t>
        </is>
      </c>
      <c r="H223">
        <f>B$279*B223</f>
        <v>3.3583489096573214E-3</v>
      </c>
    </row>
    <row r="224">
      <c r="A224" t="inlineStr">
        <is>
          <t>market for sheet rolling, aluminium</t>
        </is>
      </c>
      <c r="B224" t="n">
        <v>0.655</v>
      </c>
      <c r="C224" t="inlineStr">
        <is>
          <t>kilogram</t>
        </is>
      </c>
      <c r="E224" t="inlineStr">
        <is>
          <t>GLO</t>
        </is>
      </c>
      <c r="F224" t="inlineStr">
        <is>
          <t>technosphere</t>
        </is>
      </c>
      <c r="G224" t="inlineStr">
        <is>
          <t>sheet rolling, aluminium</t>
        </is>
      </c>
      <c r="H224">
        <f>B$279*B224</f>
        <v>3.2831619937694706E-2</v>
      </c>
    </row>
    <row r="225">
      <c r="A225" t="inlineStr">
        <is>
          <t>market for transport, freight train</t>
        </is>
      </c>
      <c r="B225" t="n">
        <v>0.2</v>
      </c>
      <c r="C225" t="inlineStr">
        <is>
          <t>ton kilometer</t>
        </is>
      </c>
      <c r="E225" t="inlineStr">
        <is>
          <t>Europe without Switzerland</t>
        </is>
      </c>
      <c r="F225" t="inlineStr">
        <is>
          <t>technosphere</t>
        </is>
      </c>
      <c r="G225" t="inlineStr">
        <is>
          <t>transport, freight train</t>
        </is>
      </c>
      <c r="H225">
        <f>B$279*B225</f>
        <v>1.0024922118380063E-2</v>
      </c>
    </row>
    <row r="226">
      <c r="A226" t="inlineStr">
        <is>
          <t>market for transport, freight, lorry 16-32 metric ton, EURO6</t>
        </is>
      </c>
      <c r="B226" t="n">
        <v>0.1</v>
      </c>
      <c r="C226" t="inlineStr">
        <is>
          <t>ton kilometer</t>
        </is>
      </c>
      <c r="E226" t="inlineStr">
        <is>
          <t>RER</t>
        </is>
      </c>
      <c r="F226" t="inlineStr">
        <is>
          <t>technosphere</t>
        </is>
      </c>
      <c r="G226" t="inlineStr">
        <is>
          <t>transport, freight, lorry 16-32 metric ton, EURO6</t>
        </is>
      </c>
      <c r="H226">
        <f>B$279*B226</f>
        <v>5.0124610591900315E-3</v>
      </c>
    </row>
    <row r="227">
      <c r="A227" t="inlineStr">
        <is>
          <t>market group for municipal solid waste</t>
        </is>
      </c>
      <c r="B227">
        <f>-195/1000</f>
        <v>-0.19500000000000001</v>
      </c>
      <c r="C227" t="inlineStr">
        <is>
          <t>kilogram</t>
        </is>
      </c>
      <c r="E227" t="inlineStr">
        <is>
          <t>Europe without Switzerland</t>
        </is>
      </c>
      <c r="F227" t="inlineStr">
        <is>
          <t>technosphere</t>
        </is>
      </c>
      <c r="G227" t="inlineStr">
        <is>
          <t>municipal solid waste</t>
        </is>
      </c>
      <c r="H227">
        <f>B$279*B227</f>
        <v>-9.7742990654205615E-3</v>
      </c>
    </row>
    <row r="228"/>
    <row r="229"/>
    <row r="230" ht="16" customHeight="1">
      <c r="A230" s="2" t="inlineStr">
        <is>
          <t>Activity</t>
        </is>
      </c>
      <c r="B230" s="2" t="inlineStr">
        <is>
          <t>pack packaging, for Li-O2 battery</t>
        </is>
      </c>
    </row>
    <row r="231">
      <c r="A231" t="inlineStr">
        <is>
          <t>comment</t>
        </is>
      </c>
      <c r="B231" t="inlineStr">
        <is>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c r="A232" t="inlineStr">
        <is>
          <t>location</t>
        </is>
      </c>
      <c r="B232" t="inlineStr">
        <is>
          <t>RER</t>
        </is>
      </c>
    </row>
    <row r="233">
      <c r="A233" t="inlineStr">
        <is>
          <t>production amount</t>
        </is>
      </c>
      <c r="B233" t="n">
        <v>1</v>
      </c>
    </row>
    <row r="234">
      <c r="A234" t="inlineStr">
        <is>
          <t>reference product</t>
        </is>
      </c>
      <c r="B234" t="inlineStr">
        <is>
          <t>pack packaging</t>
        </is>
      </c>
    </row>
    <row r="235">
      <c r="A235" t="inlineStr">
        <is>
          <t>unit</t>
        </is>
      </c>
      <c r="B235" t="inlineStr">
        <is>
          <t>kilogram</t>
        </is>
      </c>
    </row>
    <row r="236">
      <c r="A236" t="inlineStr">
        <is>
          <t>source</t>
        </is>
      </c>
      <c r="B236" t="inlineStr">
        <is>
          <t>Originally from Wang, F., Deng, Y., &amp; Yuan, C. (2020). Life cycle assessment of lithium oxygen battery for electric vehicles. Journal of Cleaner Production, 264, 121339. https://doi.org/10.1016/j.jclepro.2020.121339</t>
        </is>
      </c>
    </row>
    <row r="237">
      <c r="A237" s="1" t="inlineStr">
        <is>
          <t>Exchanges</t>
        </is>
      </c>
      <c r="B237" s="1" t="n"/>
      <c r="C237" s="1" t="n"/>
      <c r="D237" s="1" t="n"/>
      <c r="E237" s="1" t="n"/>
      <c r="F237" s="1" t="n"/>
      <c r="G237" s="1" t="n"/>
    </row>
    <row r="238">
      <c r="A238" s="1" t="inlineStr">
        <is>
          <t>name</t>
        </is>
      </c>
      <c r="B238" s="1" t="inlineStr">
        <is>
          <t>amount</t>
        </is>
      </c>
      <c r="C238" s="1" t="inlineStr">
        <is>
          <t>unit</t>
        </is>
      </c>
      <c r="D238" s="1" t="inlineStr">
        <is>
          <t>categories</t>
        </is>
      </c>
      <c r="E238" s="1" t="inlineStr">
        <is>
          <t>location</t>
        </is>
      </c>
      <c r="F238" s="1" t="inlineStr">
        <is>
          <t>type</t>
        </is>
      </c>
      <c r="G238" s="1" t="inlineStr">
        <is>
          <t>reference product</t>
        </is>
      </c>
      <c r="H238" s="1" t="inlineStr">
        <is>
          <t>comment</t>
        </is>
      </c>
    </row>
    <row r="239">
      <c r="A239" t="inlineStr">
        <is>
          <t>pack packaging, for Li-O2 battery</t>
        </is>
      </c>
      <c r="B239" t="n">
        <v>1</v>
      </c>
      <c r="C239" t="inlineStr">
        <is>
          <t>kilogram</t>
        </is>
      </c>
      <c r="E239" t="inlineStr">
        <is>
          <t>RER</t>
        </is>
      </c>
      <c r="F239" t="inlineStr">
        <is>
          <t>production</t>
        </is>
      </c>
      <c r="G239" t="inlineStr">
        <is>
          <t>pack packaging</t>
        </is>
      </c>
    </row>
    <row r="240">
      <c r="A240" t="inlineStr">
        <is>
          <t>aluminium casting facility construction</t>
        </is>
      </c>
      <c r="B240" s="3" t="n">
        <v>1.34e-10</v>
      </c>
      <c r="C240" t="inlineStr">
        <is>
          <t>unit</t>
        </is>
      </c>
      <c r="E240" t="inlineStr">
        <is>
          <t>RER</t>
        </is>
      </c>
      <c r="F240" t="inlineStr">
        <is>
          <t>technosphere</t>
        </is>
      </c>
      <c r="G240" t="inlineStr">
        <is>
          <t>aluminium casting facility</t>
        </is>
      </c>
      <c r="H240" s="6">
        <f>B240*B$280</f>
        <v>1.5044735202492212E-11</v>
      </c>
    </row>
    <row r="241">
      <c r="A241" t="inlineStr">
        <is>
          <t>market for aluminium, primary, ingot</t>
        </is>
      </c>
      <c r="B241" t="n">
        <v>0.825</v>
      </c>
      <c r="C241" t="inlineStr">
        <is>
          <t>kilogram</t>
        </is>
      </c>
      <c r="E241" t="inlineStr">
        <is>
          <t>IAI Area, EU27 &amp; EFTA</t>
        </is>
      </c>
      <c r="F241" t="inlineStr">
        <is>
          <t>technosphere</t>
        </is>
      </c>
      <c r="G241" t="inlineStr">
        <is>
          <t>aluminium, primary, ingot</t>
        </is>
      </c>
      <c r="H241" s="6">
        <f>B241*B$280</f>
        <v>9.2626168224299046E-2</v>
      </c>
    </row>
    <row r="242">
      <c r="A242" t="inlineStr">
        <is>
          <t>market for metal working factory</t>
        </is>
      </c>
      <c r="B242" s="3" t="n">
        <v>2.78e-11</v>
      </c>
      <c r="C242" t="inlineStr">
        <is>
          <t>unit</t>
        </is>
      </c>
      <c r="E242" t="inlineStr">
        <is>
          <t>GLO</t>
        </is>
      </c>
      <c r="F242" t="inlineStr">
        <is>
          <t>technosphere</t>
        </is>
      </c>
      <c r="G242" t="inlineStr">
        <is>
          <t>metal working factory</t>
        </is>
      </c>
      <c r="H242" s="6">
        <f>B242*B$280</f>
        <v>3.1212211838006227E-12</v>
      </c>
    </row>
    <row r="243">
      <c r="A243" t="inlineStr">
        <is>
          <t>market for casting, aluminium, lost-wax</t>
        </is>
      </c>
      <c r="B243" t="n">
        <v>0.899</v>
      </c>
      <c r="C243" t="inlineStr">
        <is>
          <t>kilogram</t>
        </is>
      </c>
      <c r="E243" t="inlineStr">
        <is>
          <t>GLO</t>
        </is>
      </c>
      <c r="F243" t="inlineStr">
        <is>
          <t>technosphere</t>
        </is>
      </c>
      <c r="G243" t="inlineStr">
        <is>
          <t>casting, aluminium, lost-wax</t>
        </is>
      </c>
      <c r="H243" s="6">
        <f>B243*B$280</f>
        <v>0.10093445482866042</v>
      </c>
    </row>
    <row r="244">
      <c r="A244" t="inlineStr">
        <is>
          <t>market for steel, low-alloyed</t>
        </is>
      </c>
      <c r="B244" s="3" t="n">
        <v>0.032</v>
      </c>
      <c r="C244" t="inlineStr">
        <is>
          <t>kilogram</t>
        </is>
      </c>
      <c r="E244" t="inlineStr">
        <is>
          <t>GLO</t>
        </is>
      </c>
      <c r="F244" t="inlineStr">
        <is>
          <t>technosphere</t>
        </is>
      </c>
      <c r="G244" t="inlineStr">
        <is>
          <t>steel, low-alloyed</t>
        </is>
      </c>
      <c r="H244" s="6">
        <f>B244*B$280</f>
        <v>3.5927725856697819E-3</v>
      </c>
    </row>
    <row r="245">
      <c r="A245" t="inlineStr">
        <is>
          <t>sheet rolling, steel</t>
        </is>
      </c>
      <c r="B245" t="n">
        <v>0.08799999999999999</v>
      </c>
      <c r="C245" t="inlineStr">
        <is>
          <t>kilogram</t>
        </is>
      </c>
      <c r="E245" t="inlineStr">
        <is>
          <t>RER</t>
        </is>
      </c>
      <c r="F245" t="inlineStr">
        <is>
          <t>technosphere</t>
        </is>
      </c>
      <c r="G245" t="inlineStr">
        <is>
          <t>sheet rolling, steel</t>
        </is>
      </c>
      <c r="H245" s="6">
        <f>B245*B$280</f>
        <v>9.8801246105918988E-3</v>
      </c>
    </row>
    <row r="246">
      <c r="A246" t="inlineStr">
        <is>
          <t>market for transport, freight train</t>
        </is>
      </c>
      <c r="B246" t="n">
        <v>0.2</v>
      </c>
      <c r="C246" t="inlineStr">
        <is>
          <t>ton kilometer</t>
        </is>
      </c>
      <c r="E246" t="inlineStr">
        <is>
          <t>Europe without Switzerland</t>
        </is>
      </c>
      <c r="F246" t="inlineStr">
        <is>
          <t>technosphere</t>
        </is>
      </c>
      <c r="G246" t="inlineStr">
        <is>
          <t>transport, freight train</t>
        </is>
      </c>
      <c r="H246" s="6">
        <f>B246*B$280</f>
        <v>2.2454828660436136E-2</v>
      </c>
    </row>
    <row r="247">
      <c r="A247" t="inlineStr">
        <is>
          <t>market for transport, freight, lorry 16-32 metric ton, EURO6</t>
        </is>
      </c>
      <c r="B247" t="n">
        <v>0.1</v>
      </c>
      <c r="C247" t="inlineStr">
        <is>
          <t>ton kilometer</t>
        </is>
      </c>
      <c r="E247" t="inlineStr">
        <is>
          <t>RER</t>
        </is>
      </c>
      <c r="F247" t="inlineStr">
        <is>
          <t>technosphere</t>
        </is>
      </c>
      <c r="G247" t="inlineStr">
        <is>
          <t>transport, freight, lorry 16-32 metric ton, EURO6</t>
        </is>
      </c>
      <c r="H247" s="6">
        <f>B247*B$280</f>
        <v>1.1227414330218068E-2</v>
      </c>
    </row>
    <row r="248">
      <c r="A248" t="inlineStr">
        <is>
          <t>market group for municipal solid waste</t>
        </is>
      </c>
      <c r="B248">
        <f>-77/1000</f>
        <v>-7.6999999999999999E-2</v>
      </c>
      <c r="C248" t="inlineStr">
        <is>
          <t>kilogram</t>
        </is>
      </c>
      <c r="E248" t="inlineStr">
        <is>
          <t>Europe without Switzerland</t>
        </is>
      </c>
      <c r="F248" t="inlineStr">
        <is>
          <t>technosphere</t>
        </is>
      </c>
      <c r="G248" t="inlineStr">
        <is>
          <t>municipal solid waste</t>
        </is>
      </c>
      <c r="H248" s="6">
        <f>B248*B$280</f>
        <v>-8.6451090342679112E-3</v>
      </c>
    </row>
    <row r="249"/>
    <row r="250" ht="16" customHeight="1">
      <c r="A250" s="2" t="inlineStr">
        <is>
          <t>Activity</t>
        </is>
      </c>
      <c r="B250" s="2" t="inlineStr">
        <is>
          <t>treatment of LiO2 battery, for recycling</t>
        </is>
      </c>
    </row>
    <row r="251">
      <c r="A251" t="inlineStr">
        <is>
          <t>comment</t>
        </is>
      </c>
      <c r="B251" t="inlineStr">
        <is>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is>
      </c>
    </row>
    <row r="252">
      <c r="A252" t="inlineStr">
        <is>
          <t>location</t>
        </is>
      </c>
      <c r="B252" t="inlineStr">
        <is>
          <t>RER</t>
        </is>
      </c>
    </row>
    <row r="253">
      <c r="A253" t="inlineStr">
        <is>
          <t>production amount</t>
        </is>
      </c>
      <c r="B253" t="n">
        <v>1</v>
      </c>
    </row>
    <row r="254">
      <c r="A254" t="inlineStr">
        <is>
          <t>reference product</t>
        </is>
      </c>
      <c r="B254" t="inlineStr">
        <is>
          <t>waste LiO2 battery</t>
        </is>
      </c>
    </row>
    <row r="255">
      <c r="A255" t="inlineStr">
        <is>
          <t>unit</t>
        </is>
      </c>
      <c r="B255" t="inlineStr">
        <is>
          <t>kilogram</t>
        </is>
      </c>
    </row>
    <row r="256">
      <c r="A256" t="inlineStr">
        <is>
          <t>source</t>
        </is>
      </c>
      <c r="B256" t="inlineStr">
        <is>
          <t>Originally from Wang, F., Deng, Y., &amp; Yuan, C. (2020). Life cycle assessment of lithium oxygen battery for electric vehicles. Journal of Cleaner Production, 264, 121339. https://doi.org/10.1016/j.jclepro.2020.121339</t>
        </is>
      </c>
    </row>
    <row r="257">
      <c r="A257" s="1" t="inlineStr">
        <is>
          <t>Exchanges</t>
        </is>
      </c>
      <c r="B257" s="1" t="n"/>
      <c r="C257" s="1" t="n"/>
      <c r="D257" s="1" t="n"/>
      <c r="E257" s="1" t="n"/>
      <c r="F257" s="1" t="n"/>
      <c r="G257" s="1" t="n"/>
    </row>
    <row r="258">
      <c r="A258" s="1" t="inlineStr">
        <is>
          <t>name</t>
        </is>
      </c>
      <c r="B258" s="1" t="inlineStr">
        <is>
          <t>amount</t>
        </is>
      </c>
      <c r="C258" s="1" t="inlineStr">
        <is>
          <t>unit</t>
        </is>
      </c>
      <c r="D258" s="1" t="inlineStr">
        <is>
          <t>categories</t>
        </is>
      </c>
      <c r="E258" s="1" t="inlineStr">
        <is>
          <t>location</t>
        </is>
      </c>
      <c r="F258" s="1" t="inlineStr">
        <is>
          <t>type</t>
        </is>
      </c>
      <c r="G258" s="1" t="inlineStr">
        <is>
          <t>reference product</t>
        </is>
      </c>
      <c r="H258" s="1" t="inlineStr">
        <is>
          <t>comment</t>
        </is>
      </c>
    </row>
    <row r="259">
      <c r="A259" t="inlineStr">
        <is>
          <t>treatment of LiO2 battery, for recycling</t>
        </is>
      </c>
      <c r="B259" t="n">
        <v>-1</v>
      </c>
      <c r="C259" t="inlineStr">
        <is>
          <t>kilogram</t>
        </is>
      </c>
      <c r="E259" t="inlineStr">
        <is>
          <t>RER</t>
        </is>
      </c>
      <c r="F259" t="inlineStr">
        <is>
          <t>production</t>
        </is>
      </c>
      <c r="G259" t="inlineStr">
        <is>
          <t>waste LiO2 battery</t>
        </is>
      </c>
    </row>
    <row r="260">
      <c r="A260" t="inlineStr">
        <is>
          <t>market for nitrogen, liquid</t>
        </is>
      </c>
      <c r="B260" t="n">
        <v>1.022</v>
      </c>
      <c r="C260" t="inlineStr">
        <is>
          <t>kilogram</t>
        </is>
      </c>
      <c r="E260" t="inlineStr">
        <is>
          <t>RER</t>
        </is>
      </c>
      <c r="F260" t="inlineStr">
        <is>
          <t>technosphere</t>
        </is>
      </c>
      <c r="G260" t="inlineStr">
        <is>
          <t>nitrogen, liquid</t>
        </is>
      </c>
    </row>
    <row r="261">
      <c r="A261" t="inlineStr">
        <is>
          <t>market group for electricity, medium voltage</t>
        </is>
      </c>
      <c r="B261" t="n">
        <v>0.189</v>
      </c>
      <c r="C261" t="inlineStr">
        <is>
          <t>kilowatt hour</t>
        </is>
      </c>
      <c r="E261" t="inlineStr">
        <is>
          <t>Europe without Switzerland</t>
        </is>
      </c>
      <c r="F261" t="inlineStr">
        <is>
          <t>technosphere</t>
        </is>
      </c>
      <c r="G261" t="inlineStr">
        <is>
          <t>electricity, medium voltage</t>
        </is>
      </c>
    </row>
    <row r="262">
      <c r="A262" t="inlineStr">
        <is>
          <t>treatment of waste electric and electronic equipment, shredding</t>
        </is>
      </c>
      <c r="B262" t="n">
        <v>-0.91</v>
      </c>
      <c r="C262" t="inlineStr">
        <is>
          <t>kilogram</t>
        </is>
      </c>
      <c r="E262" t="inlineStr">
        <is>
          <t>GLO</t>
        </is>
      </c>
      <c r="F262" t="inlineStr">
        <is>
          <t>technosphere</t>
        </is>
      </c>
      <c r="G262" t="inlineStr">
        <is>
          <t>waste electric and electronic equipment</t>
        </is>
      </c>
    </row>
    <row r="263">
      <c r="A263" t="inlineStr">
        <is>
          <t>market for chemical, inorganic</t>
        </is>
      </c>
      <c r="B263" t="n">
        <v>0.02</v>
      </c>
      <c r="C263" t="inlineStr">
        <is>
          <t>kilogram</t>
        </is>
      </c>
      <c r="E263" t="inlineStr">
        <is>
          <t>GLO</t>
        </is>
      </c>
      <c r="F263" t="inlineStr">
        <is>
          <t>technosphere</t>
        </is>
      </c>
      <c r="G263" t="inlineStr">
        <is>
          <t>chemical, inorganic</t>
        </is>
      </c>
    </row>
    <row r="264">
      <c r="A264" t="inlineStr">
        <is>
          <t>lime production, hydrated, packed</t>
        </is>
      </c>
      <c r="B264" t="n">
        <v>0.127</v>
      </c>
      <c r="C264" t="inlineStr">
        <is>
          <t>kilogram</t>
        </is>
      </c>
      <c r="E264" t="inlineStr">
        <is>
          <t>CH</t>
        </is>
      </c>
      <c r="F264" t="inlineStr">
        <is>
          <t>technosphere</t>
        </is>
      </c>
      <c r="G264" t="inlineStr">
        <is>
          <t>lime, hydrated, packed</t>
        </is>
      </c>
    </row>
    <row r="265">
      <c r="A265" t="inlineStr">
        <is>
          <t>market for sulfuric acid</t>
        </is>
      </c>
      <c r="B265" t="n">
        <v>0.21</v>
      </c>
      <c r="C265" t="inlineStr">
        <is>
          <t>kilogram</t>
        </is>
      </c>
      <c r="E265" t="inlineStr">
        <is>
          <t>RER</t>
        </is>
      </c>
      <c r="F265" t="inlineStr">
        <is>
          <t>technosphere</t>
        </is>
      </c>
      <c r="G265" t="inlineStr">
        <is>
          <t>sulfuric acid</t>
        </is>
      </c>
    </row>
    <row r="266"/>
    <row r="267"/>
    <row r="268" ht="16" customHeight="1">
      <c r="A268" s="2" t="inlineStr">
        <is>
          <t>Activity</t>
        </is>
      </c>
      <c r="B268" s="2" t="inlineStr">
        <is>
          <t>battery production, Li-O2</t>
        </is>
      </c>
    </row>
    <row r="269">
      <c r="A269" t="inlineStr">
        <is>
          <t>comment</t>
        </is>
      </c>
      <c r="B269" t="inlineStr">
        <is>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70">
      <c r="A270" t="inlineStr">
        <is>
          <t>location</t>
        </is>
      </c>
      <c r="B270" t="inlineStr">
        <is>
          <t>GLO</t>
        </is>
      </c>
    </row>
    <row r="271">
      <c r="A271" t="inlineStr">
        <is>
          <t>production amount</t>
        </is>
      </c>
      <c r="B271" t="n">
        <v>1</v>
      </c>
    </row>
    <row r="272">
      <c r="A272" t="inlineStr">
        <is>
          <t>reference product</t>
        </is>
      </c>
      <c r="B272" t="inlineStr">
        <is>
          <t>battery, Li-O2</t>
        </is>
      </c>
    </row>
    <row r="273">
      <c r="A273" t="inlineStr">
        <is>
          <t>unit</t>
        </is>
      </c>
      <c r="B273" t="inlineStr">
        <is>
          <t>kilogram</t>
        </is>
      </c>
    </row>
    <row r="274">
      <c r="A274" t="inlineStr">
        <is>
          <t>source</t>
        </is>
      </c>
      <c r="B274" t="inlineStr">
        <is>
          <t>Originally from Wang, F., Deng, Y., &amp; Yuan, C. (2020). Life cycle assessment of lithium oxygen battery for electric vehicles. Journal of Cleaner Production, 264, 121339. https://doi.org/10.1016/j.jclepro.2020.121339</t>
        </is>
      </c>
    </row>
    <row r="275">
      <c r="A275" s="1" t="inlineStr">
        <is>
          <t>Exchanges</t>
        </is>
      </c>
      <c r="B275" s="1" t="n"/>
      <c r="C275" s="1" t="n"/>
      <c r="D275" s="1" t="n"/>
      <c r="E275" s="1" t="n"/>
      <c r="F275" s="1" t="n"/>
      <c r="G275" s="1" t="n"/>
    </row>
    <row r="276">
      <c r="A276" s="1" t="inlineStr">
        <is>
          <t>name</t>
        </is>
      </c>
      <c r="B276" s="1" t="inlineStr">
        <is>
          <t>amount</t>
        </is>
      </c>
      <c r="C276" s="1" t="inlineStr">
        <is>
          <t>unit</t>
        </is>
      </c>
      <c r="D276" s="1" t="inlineStr">
        <is>
          <t>categories</t>
        </is>
      </c>
      <c r="E276" s="1" t="inlineStr">
        <is>
          <t>location</t>
        </is>
      </c>
      <c r="F276" s="1" t="inlineStr">
        <is>
          <t>type</t>
        </is>
      </c>
      <c r="G276" s="1" t="inlineStr">
        <is>
          <t>reference product</t>
        </is>
      </c>
      <c r="H276" s="1" t="inlineStr">
        <is>
          <t>comment</t>
        </is>
      </c>
    </row>
    <row r="277" ht="16" customHeight="1">
      <c r="A277" s="7" t="inlineStr">
        <is>
          <t>battery production, Li-O2</t>
        </is>
      </c>
      <c r="B277" t="n">
        <v>1</v>
      </c>
      <c r="C277" t="inlineStr">
        <is>
          <t>kilogram</t>
        </is>
      </c>
      <c r="E277" t="inlineStr">
        <is>
          <t>GLO</t>
        </is>
      </c>
      <c r="F277" t="inlineStr">
        <is>
          <t>production</t>
        </is>
      </c>
      <c r="G277" t="inlineStr">
        <is>
          <t>battery, Li-O2</t>
        </is>
      </c>
      <c r="H277" t="inlineStr">
        <is>
          <t>Battery system mass: 321 kg</t>
        </is>
      </c>
    </row>
    <row r="278">
      <c r="A278" t="inlineStr">
        <is>
          <t>battery cell production, Li-O2</t>
        </is>
      </c>
      <c r="B278">
        <f>(33.7+60.71+8.85+51.16+51.98)/321</f>
        <v>0.64299065420560741</v>
      </c>
      <c r="C278" t="inlineStr">
        <is>
          <t>kilogram</t>
        </is>
      </c>
      <c r="E278" t="inlineStr">
        <is>
          <t>GLO</t>
        </is>
      </c>
      <c r="F278" t="inlineStr">
        <is>
          <t>technosphere</t>
        </is>
      </c>
      <c r="G278" t="inlineStr">
        <is>
          <t>battery cell</t>
        </is>
      </c>
      <c r="H278" t="inlineStr">
        <is>
          <t>Values taken from Fig 3</t>
        </is>
      </c>
    </row>
    <row r="279">
      <c r="A279" t="inlineStr">
        <is>
          <t>module packaging, for Li-O2 battery</t>
        </is>
      </c>
      <c r="B279">
        <f>16.09/321</f>
        <v>5.0124610591900313E-2</v>
      </c>
      <c r="C279" t="inlineStr">
        <is>
          <t>kilogram</t>
        </is>
      </c>
      <c r="E279" t="inlineStr">
        <is>
          <t>RER</t>
        </is>
      </c>
      <c r="F279" t="inlineStr">
        <is>
          <t>technosphere</t>
        </is>
      </c>
      <c r="G279" t="inlineStr">
        <is>
          <t>module packaging</t>
        </is>
      </c>
    </row>
    <row r="280">
      <c r="A280" t="inlineStr">
        <is>
          <t>pack packaging, for Li-O2 battery</t>
        </is>
      </c>
      <c r="B280">
        <f>36.04/321</f>
        <v>0.11227414330218068</v>
      </c>
      <c r="C280" t="inlineStr">
        <is>
          <t>kilogram</t>
        </is>
      </c>
      <c r="E280" t="inlineStr">
        <is>
          <t>RER</t>
        </is>
      </c>
      <c r="F280" t="inlineStr">
        <is>
          <t>technosphere</t>
        </is>
      </c>
      <c r="G280" t="inlineStr">
        <is>
          <t>pack packaging</t>
        </is>
      </c>
    </row>
    <row r="281">
      <c r="A281" t="inlineStr">
        <is>
          <t>oxygen tank production, for Li-O2 battery</t>
        </is>
      </c>
      <c r="B281">
        <f>55/321</f>
        <v>0.17133956386292834</v>
      </c>
      <c r="C281" t="inlineStr">
        <is>
          <t>kilogram</t>
        </is>
      </c>
      <c r="E281" t="inlineStr">
        <is>
          <t>RER</t>
        </is>
      </c>
      <c r="F281" t="inlineStr">
        <is>
          <t>technosphere</t>
        </is>
      </c>
      <c r="G281" t="inlineStr">
        <is>
          <t>oxygen tank</t>
        </is>
      </c>
    </row>
    <row r="282">
      <c r="A282" t="inlineStr">
        <is>
          <t>BMS production, for Li-O2 battery</t>
        </is>
      </c>
      <c r="B282">
        <f>4/321</f>
        <v>1.2461059190031152E-2</v>
      </c>
      <c r="C282" t="inlineStr">
        <is>
          <t>kilogram</t>
        </is>
      </c>
      <c r="E282" t="inlineStr">
        <is>
          <t>RER</t>
        </is>
      </c>
      <c r="F282" t="inlineStr">
        <is>
          <t>technosphere</t>
        </is>
      </c>
      <c r="G282" t="inlineStr">
        <is>
          <t>BMS</t>
        </is>
      </c>
    </row>
    <row r="283">
      <c r="A283" t="inlineStr">
        <is>
          <t>cooling system production, for Li-O2 battery</t>
        </is>
      </c>
      <c r="B283">
        <f>41.48/321</f>
        <v>0.12922118380062303</v>
      </c>
      <c r="C283" t="inlineStr">
        <is>
          <t>kilogram</t>
        </is>
      </c>
      <c r="E283" t="inlineStr">
        <is>
          <t>RER</t>
        </is>
      </c>
      <c r="F283" t="inlineStr">
        <is>
          <t>technosphere</t>
        </is>
      </c>
      <c r="G283" t="inlineStr">
        <is>
          <t>cooling system</t>
        </is>
      </c>
    </row>
    <row r="284" ht="16" customHeight="1">
      <c r="A284" s="7" t="inlineStr">
        <is>
          <t>treatment of LiO2 battery, for recycling</t>
        </is>
      </c>
      <c r="B284">
        <f>-1/321</f>
        <v>-3.1152647975077881E-3</v>
      </c>
      <c r="C284" t="inlineStr">
        <is>
          <t>kilogram</t>
        </is>
      </c>
      <c r="E284" t="inlineStr">
        <is>
          <t>RER</t>
        </is>
      </c>
      <c r="F284" t="inlineStr">
        <is>
          <t>technosphere</t>
        </is>
      </c>
      <c r="G284" t="inlineStr">
        <is>
          <t>waste LiO2 battery</t>
        </is>
      </c>
    </row>
    <row r="285"/>
    <row r="286" ht="16" customHeight="1">
      <c r="A286" s="2" t="inlineStr">
        <is>
          <t>Activity</t>
        </is>
      </c>
      <c r="B286" s="2" t="inlineStr">
        <is>
          <t>market for battery, Li-oxygen, Li-O2</t>
        </is>
      </c>
    </row>
    <row r="287">
      <c r="A287" t="inlineStr">
        <is>
          <t>comment</t>
        </is>
      </c>
      <c r="B287" t="inlineStr">
        <is>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88">
      <c r="A288" t="inlineStr">
        <is>
          <t>location</t>
        </is>
      </c>
      <c r="B288" t="inlineStr">
        <is>
          <t>GLO</t>
        </is>
      </c>
    </row>
    <row r="289">
      <c r="A289" t="inlineStr">
        <is>
          <t>production amount</t>
        </is>
      </c>
      <c r="B289" t="n">
        <v>1</v>
      </c>
    </row>
    <row r="290">
      <c r="A290" t="inlineStr">
        <is>
          <t>reference product</t>
        </is>
      </c>
      <c r="B290" t="inlineStr">
        <is>
          <t>battery, Li-O2</t>
        </is>
      </c>
    </row>
    <row r="291">
      <c r="A291" t="inlineStr">
        <is>
          <t>unit</t>
        </is>
      </c>
      <c r="B291" t="inlineStr">
        <is>
          <t>kilogram</t>
        </is>
      </c>
    </row>
    <row r="292">
      <c r="A292" t="inlineStr">
        <is>
          <t>source</t>
        </is>
      </c>
      <c r="B292" t="inlineStr">
        <is>
          <t>Originally from Wang, F., Deng, Y., &amp; Yuan, C. (2020). Life cycle assessment of lithium oxygen battery for electric vehicles. Journal of Cleaner Production, 264, 121339. https://doi.org/10.1016/j.jclepro.2020.121339</t>
        </is>
      </c>
    </row>
    <row r="293">
      <c r="A293" s="1" t="inlineStr">
        <is>
          <t>Exchanges</t>
        </is>
      </c>
      <c r="B293" s="1" t="n"/>
      <c r="C293" s="1" t="n"/>
      <c r="D293" s="1" t="n"/>
      <c r="E293" s="1" t="n"/>
      <c r="F293" s="1" t="n"/>
      <c r="G293" s="1" t="n"/>
    </row>
    <row r="294">
      <c r="A294" s="1" t="inlineStr">
        <is>
          <t>name</t>
        </is>
      </c>
      <c r="B294" s="1" t="inlineStr">
        <is>
          <t>amount</t>
        </is>
      </c>
      <c r="C294" s="1" t="inlineStr">
        <is>
          <t>unit</t>
        </is>
      </c>
      <c r="D294" s="1" t="inlineStr">
        <is>
          <t>categories</t>
        </is>
      </c>
      <c r="E294" s="1" t="inlineStr">
        <is>
          <t>location</t>
        </is>
      </c>
      <c r="F294" s="1" t="inlineStr">
        <is>
          <t>type</t>
        </is>
      </c>
      <c r="G294" s="1" t="inlineStr">
        <is>
          <t>reference product</t>
        </is>
      </c>
      <c r="H294" s="1" t="inlineStr">
        <is>
          <t>comment</t>
        </is>
      </c>
    </row>
    <row r="295" ht="16" customHeight="1">
      <c r="A295" s="7" t="inlineStr">
        <is>
          <t>market for battery, Li-oxygen, Li-O2</t>
        </is>
      </c>
      <c r="B295" t="n">
        <v>1</v>
      </c>
      <c r="C295" t="inlineStr">
        <is>
          <t>kilogram</t>
        </is>
      </c>
      <c r="E295" t="inlineStr">
        <is>
          <t>GLO</t>
        </is>
      </c>
      <c r="F295" t="inlineStr">
        <is>
          <t>production</t>
        </is>
      </c>
      <c r="G295" t="inlineStr">
        <is>
          <t>battery, Li-O2</t>
        </is>
      </c>
      <c r="H295" t="inlineStr">
        <is>
          <t>Battery system mass: 321 kg</t>
        </is>
      </c>
    </row>
    <row r="296" ht="16" customHeight="1">
      <c r="A296" s="7" t="inlineStr">
        <is>
          <t>battery production, Li-O2</t>
        </is>
      </c>
      <c r="B296" t="n">
        <v>1</v>
      </c>
      <c r="C296" t="inlineStr">
        <is>
          <t>kilogram</t>
        </is>
      </c>
      <c r="E296" t="inlineStr">
        <is>
          <t>GLO</t>
        </is>
      </c>
      <c r="F296" t="inlineStr">
        <is>
          <t>technosphere</t>
        </is>
      </c>
      <c r="G296" t="inlineStr">
        <is>
          <t>battery, Li-O2</t>
        </is>
      </c>
    </row>
    <row r="297">
      <c r="A297" t="inlineStr">
        <is>
          <t>market group for transport, freight train</t>
        </is>
      </c>
      <c r="B297" t="n">
        <v>0.309107277</v>
      </c>
      <c r="C297" t="inlineStr">
        <is>
          <t>ton kilometer</t>
        </is>
      </c>
      <c r="E297" t="inlineStr">
        <is>
          <t>GLO</t>
        </is>
      </c>
      <c r="F297" t="inlineStr">
        <is>
          <t>technosphere</t>
        </is>
      </c>
      <c r="G297" t="inlineStr">
        <is>
          <t>transport, freight train</t>
        </is>
      </c>
    </row>
    <row r="298">
      <c r="A298" t="inlineStr">
        <is>
          <t>market group for transport, freight, inland waterways, barge</t>
        </is>
      </c>
      <c r="B298" t="n">
        <v>0.02462741</v>
      </c>
      <c r="C298" t="inlineStr">
        <is>
          <t>ton kilometer</t>
        </is>
      </c>
      <c r="E298" t="inlineStr">
        <is>
          <t>GLO</t>
        </is>
      </c>
      <c r="F298" t="inlineStr">
        <is>
          <t>technosphere</t>
        </is>
      </c>
      <c r="G298" t="inlineStr">
        <is>
          <t>transport, freight, inland waterways, barge</t>
        </is>
      </c>
    </row>
    <row r="299">
      <c r="A299" t="inlineStr">
        <is>
          <t>market group for transport, freight, lorry, unspecified</t>
        </is>
      </c>
      <c r="B299" t="n">
        <v>0.208779765</v>
      </c>
      <c r="C299" t="inlineStr">
        <is>
          <t>ton kilometer</t>
        </is>
      </c>
      <c r="E299" t="inlineStr">
        <is>
          <t>GLO</t>
        </is>
      </c>
      <c r="F299" t="inlineStr">
        <is>
          <t>technosphere</t>
        </is>
      </c>
      <c r="G299" t="inlineStr">
        <is>
          <t>transport, freight, lorry, unspecified</t>
        </is>
      </c>
    </row>
    <row r="300">
      <c r="A300" t="inlineStr">
        <is>
          <t>market for transport, freight, sea, container ship</t>
        </is>
      </c>
      <c r="B300" t="n">
        <v>0.599015849</v>
      </c>
      <c r="C300" t="inlineStr">
        <is>
          <t>ton kilometer</t>
        </is>
      </c>
      <c r="E300" t="inlineStr">
        <is>
          <t>GLO</t>
        </is>
      </c>
      <c r="F300" t="inlineStr">
        <is>
          <t>technosphere</t>
        </is>
      </c>
      <c r="G300" t="inlineStr">
        <is>
          <t>transport, freight, sea, container ship</t>
        </is>
      </c>
    </row>
    <row r="301" ht="16" customHeight="1">
      <c r="A301" s="7" t="n"/>
    </row>
    <row r="302" ht="16" customHeight="1">
      <c r="A302" s="2" t="inlineStr">
        <is>
          <t>Activity</t>
        </is>
      </c>
      <c r="B302" s="1" t="inlineStr">
        <is>
          <t>separator manufacturing, for Li-O2 battery</t>
        </is>
      </c>
    </row>
    <row r="303">
      <c r="A303" t="inlineStr">
        <is>
          <t>comment</t>
        </is>
      </c>
      <c r="B303" t="inlineStr">
        <is>
          <t>Retrieved from Li et al. (2014). Source: Originally from Wang, F., Deng, Y., &amp; Yuan, C. (2020). Life cycle assessment of lithium oxygen battery for electric vehicles. Journal of Cleaner Production, 264, 121339. https://doi.org/10.1016/j.jclepro.2020.121339</t>
        </is>
      </c>
    </row>
    <row r="304">
      <c r="A304" t="inlineStr">
        <is>
          <t>location</t>
        </is>
      </c>
      <c r="B304" t="inlineStr">
        <is>
          <t>RER</t>
        </is>
      </c>
    </row>
    <row r="305">
      <c r="A305" t="inlineStr">
        <is>
          <t>production amount</t>
        </is>
      </c>
      <c r="B305" t="n">
        <v>1</v>
      </c>
    </row>
    <row r="306">
      <c r="A306" t="inlineStr">
        <is>
          <t>reference product</t>
        </is>
      </c>
      <c r="B306" t="inlineStr">
        <is>
          <t>separator</t>
        </is>
      </c>
    </row>
    <row r="307">
      <c r="A307" t="inlineStr">
        <is>
          <t>unit</t>
        </is>
      </c>
      <c r="B307" t="inlineStr">
        <is>
          <t>kilogram</t>
        </is>
      </c>
    </row>
    <row r="308">
      <c r="A308" t="inlineStr">
        <is>
          <t>source</t>
        </is>
      </c>
      <c r="B308" t="inlineStr">
        <is>
          <t>Originally from Wang, F., Deng, Y., &amp; Yuan, C. (2020). Life cycle assessment of lithium oxygen battery for electric vehicles. Journal of Cleaner Production, 264, 121339. https://doi.org/10.1016/j.jclepro.2020.121339</t>
        </is>
      </c>
    </row>
    <row r="309">
      <c r="A309" s="1" t="inlineStr">
        <is>
          <t>Exchanges</t>
        </is>
      </c>
      <c r="B309" s="1" t="n"/>
      <c r="C309" s="1" t="n"/>
      <c r="D309" s="1" t="n"/>
      <c r="E309" s="1" t="n"/>
      <c r="F309" s="1" t="n"/>
      <c r="G309" s="1" t="n"/>
    </row>
    <row r="310">
      <c r="A310" s="1" t="inlineStr">
        <is>
          <t>name</t>
        </is>
      </c>
      <c r="B310" s="1" t="inlineStr">
        <is>
          <t>amount</t>
        </is>
      </c>
      <c r="C310" s="1" t="inlineStr">
        <is>
          <t>unit</t>
        </is>
      </c>
      <c r="D310" s="1" t="inlineStr">
        <is>
          <t>categories</t>
        </is>
      </c>
      <c r="E310" s="1" t="inlineStr">
        <is>
          <t>location</t>
        </is>
      </c>
      <c r="F310" s="1" t="inlineStr">
        <is>
          <t>type</t>
        </is>
      </c>
      <c r="G310" s="1" t="inlineStr">
        <is>
          <t>reference product</t>
        </is>
      </c>
      <c r="H310" s="1" t="inlineStr">
        <is>
          <t>comment</t>
        </is>
      </c>
    </row>
    <row r="311">
      <c r="A311" t="inlineStr">
        <is>
          <t>separator manufacturing, for Li-O2 battery</t>
        </is>
      </c>
      <c r="B311" t="n">
        <v>1</v>
      </c>
      <c r="C311" t="inlineStr">
        <is>
          <t>kilogram</t>
        </is>
      </c>
      <c r="E311" t="inlineStr">
        <is>
          <t>RER</t>
        </is>
      </c>
      <c r="F311" t="inlineStr">
        <is>
          <t>production</t>
        </is>
      </c>
      <c r="G311" t="inlineStr">
        <is>
          <t>separator</t>
        </is>
      </c>
    </row>
    <row r="312">
      <c r="A312" t="inlineStr">
        <is>
          <t>market for silica sand</t>
        </is>
      </c>
      <c r="B312" t="n">
        <v>0.218</v>
      </c>
      <c r="C312" t="inlineStr">
        <is>
          <t>kilogram</t>
        </is>
      </c>
      <c r="E312" t="inlineStr">
        <is>
          <t>GLO</t>
        </is>
      </c>
      <c r="F312" t="inlineStr">
        <is>
          <t>technosphere</t>
        </is>
      </c>
      <c r="G312" t="inlineStr">
        <is>
          <t>silica sand</t>
        </is>
      </c>
      <c r="H312" s="9" t="n"/>
    </row>
    <row r="313">
      <c r="A313" t="inlineStr">
        <is>
          <t>market group for electricity, medium voltage</t>
        </is>
      </c>
      <c r="B313">
        <f>0.2083/3.6</f>
        <v>5.7861111111111113E-2</v>
      </c>
      <c r="C313" t="inlineStr">
        <is>
          <t>kilowatt hour</t>
        </is>
      </c>
      <c r="E313" t="inlineStr">
        <is>
          <t>Europe without Switzerland</t>
        </is>
      </c>
      <c r="F313" t="inlineStr">
        <is>
          <t>technosphere</t>
        </is>
      </c>
      <c r="G313" t="inlineStr">
        <is>
          <t>electricity, medium voltage</t>
        </is>
      </c>
      <c r="H313" t="inlineStr">
        <is>
          <t>Original source stated wrong unit: MJ. No conversion has been made and now the old value is expressed as kWh</t>
        </is>
      </c>
    </row>
    <row r="314">
      <c r="A314" t="inlineStr">
        <is>
          <t>market for hexafluoroethane</t>
        </is>
      </c>
      <c r="B314" t="n">
        <v>0.0262</v>
      </c>
      <c r="C314" t="inlineStr">
        <is>
          <t>kilogram</t>
        </is>
      </c>
      <c r="E314" t="inlineStr">
        <is>
          <t>GLO</t>
        </is>
      </c>
      <c r="F314" t="inlineStr">
        <is>
          <t>technosphere</t>
        </is>
      </c>
      <c r="G314" t="inlineStr">
        <is>
          <t>hexafluoroethane</t>
        </is>
      </c>
      <c r="H314" s="9" t="n"/>
    </row>
    <row r="315">
      <c r="A315" t="inlineStr">
        <is>
          <t>market for packaging film, low density polyethylene</t>
        </is>
      </c>
      <c r="B315" t="n">
        <v>1.2</v>
      </c>
      <c r="C315" t="inlineStr">
        <is>
          <t>kilogram</t>
        </is>
      </c>
      <c r="E315" t="inlineStr">
        <is>
          <t>GLO</t>
        </is>
      </c>
      <c r="F315" t="inlineStr">
        <is>
          <t>technosphere</t>
        </is>
      </c>
      <c r="G315" t="inlineStr">
        <is>
          <t>packaging film, low density polyethylene</t>
        </is>
      </c>
      <c r="H315" s="9" t="n"/>
    </row>
    <row r="316">
      <c r="A316" t="inlineStr">
        <is>
          <t>market for acetone, liquid</t>
        </is>
      </c>
      <c r="B316" t="n">
        <v>0.144</v>
      </c>
      <c r="C316" t="inlineStr">
        <is>
          <t>kilogram</t>
        </is>
      </c>
      <c r="E316" t="inlineStr">
        <is>
          <t>RER</t>
        </is>
      </c>
      <c r="F316" t="inlineStr">
        <is>
          <t>technosphere</t>
        </is>
      </c>
      <c r="G316" t="inlineStr">
        <is>
          <t>acetone, liquid</t>
        </is>
      </c>
      <c r="H316" s="9" t="n"/>
    </row>
    <row r="317">
      <c r="A317" t="inlineStr">
        <is>
          <t>fleece production, polyethylene</t>
        </is>
      </c>
      <c r="B317" t="n">
        <v>0.351</v>
      </c>
      <c r="C317" t="inlineStr">
        <is>
          <t>kilogram</t>
        </is>
      </c>
      <c r="E317" t="inlineStr">
        <is>
          <t>RER</t>
        </is>
      </c>
      <c r="F317" t="inlineStr">
        <is>
          <t>technosphere</t>
        </is>
      </c>
      <c r="G317" t="inlineStr">
        <is>
          <t>fleece, polyethylene</t>
        </is>
      </c>
      <c r="H317" s="9" t="n"/>
    </row>
    <row r="318">
      <c r="A318" t="inlineStr">
        <is>
          <t>heat production, natural gas, at industrial furnace &gt;100kW</t>
        </is>
      </c>
      <c r="B318" t="n">
        <v>0.193</v>
      </c>
      <c r="C318" t="inlineStr">
        <is>
          <t>megajoule</t>
        </is>
      </c>
      <c r="E318" t="inlineStr">
        <is>
          <t>Europe without Switzerland</t>
        </is>
      </c>
      <c r="F318" t="inlineStr">
        <is>
          <t>technosphere</t>
        </is>
      </c>
      <c r="G318" t="inlineStr">
        <is>
          <t>heat, district or industrial, natural gas</t>
        </is>
      </c>
      <c r="H318" s="9" t="n"/>
    </row>
    <row r="319">
      <c r="A319" t="inlineStr">
        <is>
          <t>phthalic anhydride production</t>
        </is>
      </c>
      <c r="B319" t="n">
        <v>0.291</v>
      </c>
      <c r="C319" t="inlineStr">
        <is>
          <t>kilogram</t>
        </is>
      </c>
      <c r="E319" t="inlineStr">
        <is>
          <t>RER</t>
        </is>
      </c>
      <c r="F319" t="inlineStr">
        <is>
          <t>technosphere</t>
        </is>
      </c>
      <c r="G319" t="inlineStr">
        <is>
          <t>phthalic anhydride</t>
        </is>
      </c>
      <c r="H319" s="9" t="n"/>
    </row>
    <row r="320">
      <c r="A320" t="inlineStr">
        <is>
          <t>market for polyvinylfluoride</t>
        </is>
      </c>
      <c r="B320" t="n">
        <v>0.192</v>
      </c>
      <c r="C320" t="inlineStr">
        <is>
          <t>kilogram</t>
        </is>
      </c>
      <c r="E320" t="inlineStr">
        <is>
          <t>GLO</t>
        </is>
      </c>
      <c r="F320" t="inlineStr">
        <is>
          <t>technosphere</t>
        </is>
      </c>
      <c r="G320" t="inlineStr">
        <is>
          <t>polyvinylfluoride</t>
        </is>
      </c>
      <c r="H320" s="9" t="n"/>
    </row>
    <row r="321">
      <c r="A321" t="inlineStr">
        <is>
          <t>chemical factory construction, organics</t>
        </is>
      </c>
      <c r="B321" t="n">
        <v>4e-10</v>
      </c>
      <c r="C321" t="inlineStr">
        <is>
          <t>unit</t>
        </is>
      </c>
      <c r="E321" t="inlineStr">
        <is>
          <t>RER</t>
        </is>
      </c>
      <c r="F321" t="inlineStr">
        <is>
          <t>technosphere</t>
        </is>
      </c>
      <c r="G321" t="inlineStr">
        <is>
          <t>chemical factory, organics</t>
        </is>
      </c>
      <c r="H321" s="9" t="n"/>
    </row>
    <row r="322">
      <c r="A322" t="inlineStr">
        <is>
          <t>market for transport, freight train</t>
        </is>
      </c>
      <c r="B322" t="n">
        <v>0.525</v>
      </c>
      <c r="C322" t="inlineStr">
        <is>
          <t>ton kilometer</t>
        </is>
      </c>
      <c r="E322" t="inlineStr">
        <is>
          <t>Europe without Switzerland</t>
        </is>
      </c>
      <c r="F322" t="inlineStr">
        <is>
          <t>technosphere</t>
        </is>
      </c>
      <c r="G322" t="inlineStr">
        <is>
          <t>transport, freight train</t>
        </is>
      </c>
      <c r="H322" s="9" t="n"/>
    </row>
    <row r="323">
      <c r="A323" t="inlineStr">
        <is>
          <t>market for transport, freight, lorry 16-32 metric ton, EURO6</t>
        </is>
      </c>
      <c r="B323" t="n">
        <v>0.0984</v>
      </c>
      <c r="C323" t="inlineStr">
        <is>
          <t>ton kilometer</t>
        </is>
      </c>
      <c r="E323" t="inlineStr">
        <is>
          <t>RER</t>
        </is>
      </c>
      <c r="F323" t="inlineStr">
        <is>
          <t>technosphere</t>
        </is>
      </c>
      <c r="G323" t="inlineStr">
        <is>
          <t>transport, freight, lorry 16-32 metric ton, EURO6</t>
        </is>
      </c>
      <c r="H323" s="9" t="n"/>
    </row>
    <row r="324">
      <c r="A324" t="inlineStr">
        <is>
          <t>treatment of residue from shredder fraction from manual dismantling, municipal waste incineration</t>
        </is>
      </c>
      <c r="B324" t="n">
        <v>-0.0539</v>
      </c>
      <c r="C324" t="inlineStr">
        <is>
          <t>kilogram</t>
        </is>
      </c>
      <c r="E324" t="inlineStr">
        <is>
          <t>CH</t>
        </is>
      </c>
      <c r="F324" t="inlineStr">
        <is>
          <t>technosphere</t>
        </is>
      </c>
      <c r="G324" t="inlineStr">
        <is>
          <t>residue from shredder fraction from manual dismantling</t>
        </is>
      </c>
      <c r="H324" s="9" t="n"/>
    </row>
    <row r="325">
      <c r="A325" t="inlineStr">
        <is>
          <t>Heat, waste</t>
        </is>
      </c>
      <c r="B325" t="n">
        <v>0.0072</v>
      </c>
      <c r="C325" t="inlineStr">
        <is>
          <t>megajoule</t>
        </is>
      </c>
      <c r="D325" t="inlineStr">
        <is>
          <t>air</t>
        </is>
      </c>
      <c r="F325" t="inlineStr">
        <is>
          <t>biosphere</t>
        </is>
      </c>
      <c r="H325" s="9" t="n"/>
    </row>
    <row r="326">
      <c r="A326" t="inlineStr">
        <is>
          <t>Acetone</t>
        </is>
      </c>
      <c r="B326" t="n">
        <v>0.0144</v>
      </c>
      <c r="C326" t="inlineStr">
        <is>
          <t>kilogram</t>
        </is>
      </c>
      <c r="D326" t="inlineStr">
        <is>
          <t>air</t>
        </is>
      </c>
      <c r="F326" t="inlineStr">
        <is>
          <t>biosphere</t>
        </is>
      </c>
      <c r="H326" s="9" t="n"/>
    </row>
    <row r="327"/>
    <row r="328"/>
    <row r="329" ht="16" customHeight="1">
      <c r="A329" s="2" t="inlineStr">
        <is>
          <t>Activity</t>
        </is>
      </c>
      <c r="B329" s="1" t="inlineStr">
        <is>
          <t>BMS production, for Li-O2 battery</t>
        </is>
      </c>
    </row>
    <row r="330">
      <c r="A330" t="inlineStr">
        <is>
          <t>comment</t>
        </is>
      </c>
      <c r="B330" t="inlineStr">
        <is>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is>
      </c>
    </row>
    <row r="331">
      <c r="A331" t="inlineStr">
        <is>
          <t>location</t>
        </is>
      </c>
      <c r="B331" t="inlineStr">
        <is>
          <t>RER</t>
        </is>
      </c>
    </row>
    <row r="332">
      <c r="A332" t="inlineStr">
        <is>
          <t>production amount</t>
        </is>
      </c>
      <c r="B332" t="n">
        <v>1</v>
      </c>
    </row>
    <row r="333">
      <c r="A333" t="inlineStr">
        <is>
          <t>reference product</t>
        </is>
      </c>
      <c r="B333" t="inlineStr">
        <is>
          <t>BMS</t>
        </is>
      </c>
    </row>
    <row r="334">
      <c r="A334" t="inlineStr">
        <is>
          <t>unit</t>
        </is>
      </c>
      <c r="B334" t="inlineStr">
        <is>
          <t>kilogram</t>
        </is>
      </c>
    </row>
    <row r="335">
      <c r="A335" t="inlineStr">
        <is>
          <t>source</t>
        </is>
      </c>
      <c r="B335" t="inlineStr">
        <is>
          <t>Originally from Wang, F., Deng, Y., &amp; Yuan, C. (2020). Life cycle assessment of lithium oxygen battery for electric vehicles. Journal of Cleaner Production, 264, 121339. https://doi.org/10.1016/j.jclepro.2020.121339</t>
        </is>
      </c>
    </row>
    <row r="336">
      <c r="A336" s="1" t="inlineStr">
        <is>
          <t>Exchanges</t>
        </is>
      </c>
      <c r="B336" s="1" t="n"/>
      <c r="C336" s="1" t="n"/>
      <c r="D336" s="1" t="n"/>
      <c r="E336" s="1" t="n"/>
      <c r="F336" s="1" t="n"/>
      <c r="G336" s="1" t="n"/>
    </row>
    <row r="337">
      <c r="A337" s="1" t="inlineStr">
        <is>
          <t>name</t>
        </is>
      </c>
      <c r="B337" s="1" t="inlineStr">
        <is>
          <t>amount</t>
        </is>
      </c>
      <c r="C337" s="1" t="inlineStr">
        <is>
          <t>unit</t>
        </is>
      </c>
      <c r="D337" s="1" t="inlineStr">
        <is>
          <t>categories</t>
        </is>
      </c>
      <c r="E337" s="1" t="inlineStr">
        <is>
          <t>location</t>
        </is>
      </c>
      <c r="F337" s="1" t="inlineStr">
        <is>
          <t>type</t>
        </is>
      </c>
      <c r="G337" s="1" t="inlineStr">
        <is>
          <t>reference product</t>
        </is>
      </c>
      <c r="H337" s="1" t="inlineStr">
        <is>
          <t>comment</t>
        </is>
      </c>
    </row>
    <row r="338">
      <c r="A338" t="inlineStr">
        <is>
          <t>BMS production, for Li-O2 battery</t>
        </is>
      </c>
      <c r="B338" t="n">
        <v>1</v>
      </c>
      <c r="C338" t="inlineStr">
        <is>
          <t>kilogram</t>
        </is>
      </c>
      <c r="E338" t="inlineStr">
        <is>
          <t>RER</t>
        </is>
      </c>
      <c r="F338" t="inlineStr">
        <is>
          <t>production</t>
        </is>
      </c>
      <c r="G338" t="inlineStr">
        <is>
          <t>BMS</t>
        </is>
      </c>
    </row>
    <row r="339">
      <c r="A339" t="inlineStr">
        <is>
          <t>market for printed wiring board, through-hole mounted, unspecified, Pb free</t>
        </is>
      </c>
      <c r="B339" s="3" t="n">
        <v>0.089</v>
      </c>
      <c r="C339" t="inlineStr">
        <is>
          <t>kilogram</t>
        </is>
      </c>
      <c r="E339" t="inlineStr">
        <is>
          <t>GLO</t>
        </is>
      </c>
      <c r="F339" t="inlineStr">
        <is>
          <t>technosphere</t>
        </is>
      </c>
      <c r="G339" t="inlineStr">
        <is>
          <t>printed wiring board, through-hole mounted, unspecified, Pb free</t>
        </is>
      </c>
    </row>
    <row r="340">
      <c r="A340" t="inlineStr">
        <is>
          <t>IBIS production, for Li-O2 battery</t>
        </is>
      </c>
      <c r="B340" s="3" t="n">
        <v>0.48</v>
      </c>
      <c r="C340" t="inlineStr">
        <is>
          <t>kilogram</t>
        </is>
      </c>
      <c r="E340" t="inlineStr">
        <is>
          <t>RER</t>
        </is>
      </c>
      <c r="F340" t="inlineStr">
        <is>
          <t>technosphere</t>
        </is>
      </c>
      <c r="G340" t="inlineStr">
        <is>
          <t>IBIS</t>
        </is>
      </c>
    </row>
    <row r="341">
      <c r="A341" t="inlineStr">
        <is>
          <t>IBIS fasteners production, for Li-O2 battery</t>
        </is>
      </c>
      <c r="B341" s="3" t="n">
        <v>0.003</v>
      </c>
      <c r="C341" t="inlineStr">
        <is>
          <t>kilogram</t>
        </is>
      </c>
      <c r="E341" t="inlineStr">
        <is>
          <t>RER</t>
        </is>
      </c>
      <c r="F341" t="inlineStr">
        <is>
          <t>technosphere</t>
        </is>
      </c>
      <c r="G341" t="inlineStr">
        <is>
          <t>IBIS fasteners</t>
        </is>
      </c>
    </row>
    <row r="342">
      <c r="A342" t="inlineStr">
        <is>
          <t>high voltage system production, for Li-O2 battery</t>
        </is>
      </c>
      <c r="B342" s="3" t="n">
        <v>0.3</v>
      </c>
      <c r="C342" t="inlineStr">
        <is>
          <t>kilogram</t>
        </is>
      </c>
      <c r="E342" t="inlineStr">
        <is>
          <t>RER</t>
        </is>
      </c>
      <c r="F342" t="inlineStr">
        <is>
          <t>technosphere</t>
        </is>
      </c>
      <c r="G342" t="inlineStr">
        <is>
          <t>high voltage system</t>
        </is>
      </c>
    </row>
    <row r="343">
      <c r="A343" t="inlineStr">
        <is>
          <t>low voltage system production, for Li-O2 battery</t>
        </is>
      </c>
      <c r="B343" s="3" t="n">
        <v>0.13</v>
      </c>
      <c r="C343" t="inlineStr">
        <is>
          <t>kilogram</t>
        </is>
      </c>
      <c r="E343" t="inlineStr">
        <is>
          <t>RER</t>
        </is>
      </c>
      <c r="F343" t="inlineStr">
        <is>
          <t>technosphere</t>
        </is>
      </c>
      <c r="G343" t="inlineStr">
        <is>
          <t>low voltage system</t>
        </is>
      </c>
    </row>
    <row r="344">
      <c r="A344" t="inlineStr">
        <is>
          <t>market for transport, freight, lorry &gt;32 metric ton, EURO6</t>
        </is>
      </c>
      <c r="B344" s="3" t="n">
        <v>0.1</v>
      </c>
      <c r="C344" t="inlineStr">
        <is>
          <t>ton kilometer</t>
        </is>
      </c>
      <c r="E344" t="inlineStr">
        <is>
          <t>RER</t>
        </is>
      </c>
      <c r="F344" t="inlineStr">
        <is>
          <t>technosphere</t>
        </is>
      </c>
      <c r="G344" t="inlineStr">
        <is>
          <t>transport, freight, lorry &gt;32 metric ton, EURO6</t>
        </is>
      </c>
    </row>
    <row r="345">
      <c r="A345" t="inlineStr">
        <is>
          <t>market for transport, freight train</t>
        </is>
      </c>
      <c r="B345" s="3" t="n">
        <v>0.2</v>
      </c>
      <c r="C345" t="inlineStr">
        <is>
          <t>ton kilometer</t>
        </is>
      </c>
      <c r="E345" t="inlineStr">
        <is>
          <t>Europe without Switzerland</t>
        </is>
      </c>
      <c r="F345" t="inlineStr">
        <is>
          <t>technosphere</t>
        </is>
      </c>
      <c r="G345" t="inlineStr">
        <is>
          <t>transport, freight train</t>
        </is>
      </c>
    </row>
    <row r="346"/>
    <row r="347" ht="16" customHeight="1">
      <c r="A347" s="2" t="inlineStr">
        <is>
          <t>Activity</t>
        </is>
      </c>
      <c r="B347" s="1" t="inlineStr">
        <is>
          <t>IBIS production, for Li-O2 battery</t>
        </is>
      </c>
    </row>
    <row r="348">
      <c r="A348" t="inlineStr">
        <is>
          <t>comment</t>
        </is>
      </c>
      <c r="B348" t="inlineStr">
        <is>
          <t>Retrieved from Ellingsen et al. (2013). Source: Originally from Wang, F., Deng, Y., &amp; Yuan, C. (2020). Life cycle assessment of lithium oxygen battery for electric vehicles. Journal of Cleaner Production, 264, 121339. https://doi.org/10.1016/j.jclepro.2020.121339</t>
        </is>
      </c>
    </row>
    <row r="349">
      <c r="A349" t="inlineStr">
        <is>
          <t>location</t>
        </is>
      </c>
      <c r="B349" t="inlineStr">
        <is>
          <t>RER</t>
        </is>
      </c>
    </row>
    <row r="350">
      <c r="A350" t="inlineStr">
        <is>
          <t>production amount</t>
        </is>
      </c>
      <c r="B350" t="n">
        <v>1</v>
      </c>
    </row>
    <row r="351">
      <c r="A351" t="inlineStr">
        <is>
          <t>reference product</t>
        </is>
      </c>
      <c r="B351" t="inlineStr">
        <is>
          <t>IBIS</t>
        </is>
      </c>
    </row>
    <row r="352">
      <c r="A352" t="inlineStr">
        <is>
          <t>unit</t>
        </is>
      </c>
      <c r="B352" t="inlineStr">
        <is>
          <t>kilogram</t>
        </is>
      </c>
    </row>
    <row r="353">
      <c r="A353" t="inlineStr">
        <is>
          <t>source</t>
        </is>
      </c>
      <c r="B353" t="inlineStr">
        <is>
          <t>Originally from Wang, F., Deng, Y., &amp; Yuan, C. (2020). Life cycle assessment of lithium oxygen battery for electric vehicles. Journal of Cleaner Production, 264, 121339. https://doi.org/10.1016/j.jclepro.2020.121339</t>
        </is>
      </c>
    </row>
    <row r="354">
      <c r="A354" s="1" t="inlineStr">
        <is>
          <t>Exchanges</t>
        </is>
      </c>
      <c r="B354" s="1" t="n"/>
      <c r="C354" s="1" t="n"/>
      <c r="D354" s="1" t="n"/>
      <c r="E354" s="1" t="n"/>
      <c r="F354" s="1" t="n"/>
      <c r="G354" s="1" t="n"/>
    </row>
    <row r="355">
      <c r="A355" s="1" t="inlineStr">
        <is>
          <t>name</t>
        </is>
      </c>
      <c r="B355" s="1" t="inlineStr">
        <is>
          <t>amount</t>
        </is>
      </c>
      <c r="C355" s="1" t="inlineStr">
        <is>
          <t>unit</t>
        </is>
      </c>
      <c r="D355" s="1" t="inlineStr">
        <is>
          <t>categories</t>
        </is>
      </c>
      <c r="E355" s="1" t="inlineStr">
        <is>
          <t>location</t>
        </is>
      </c>
      <c r="F355" s="1" t="inlineStr">
        <is>
          <t>type</t>
        </is>
      </c>
      <c r="G355" s="1" t="inlineStr">
        <is>
          <t>reference product</t>
        </is>
      </c>
      <c r="H355" s="1" t="inlineStr">
        <is>
          <t>comment</t>
        </is>
      </c>
    </row>
    <row r="356">
      <c r="A356" t="inlineStr">
        <is>
          <t>IBIS production, for Li-O2 battery</t>
        </is>
      </c>
      <c r="B356" t="n">
        <v>1</v>
      </c>
      <c r="C356" t="inlineStr">
        <is>
          <t>kilogram</t>
        </is>
      </c>
      <c r="E356" t="inlineStr">
        <is>
          <t>RER</t>
        </is>
      </c>
      <c r="F356" t="inlineStr">
        <is>
          <t>production</t>
        </is>
      </c>
      <c r="G356" t="inlineStr">
        <is>
          <t>IBIS</t>
        </is>
      </c>
    </row>
    <row r="357">
      <c r="A357" t="inlineStr">
        <is>
          <t>acrylonitrile-butadiene-styrene copolymer production</t>
        </is>
      </c>
      <c r="B357" s="3" t="n">
        <v>0.0002</v>
      </c>
      <c r="C357" t="inlineStr">
        <is>
          <t>kilogram</t>
        </is>
      </c>
      <c r="E357" t="inlineStr">
        <is>
          <t>RER</t>
        </is>
      </c>
      <c r="F357" t="inlineStr">
        <is>
          <t>technosphere</t>
        </is>
      </c>
      <c r="G357" t="inlineStr">
        <is>
          <t>acrylonitrile-butadiene-styrene copolymer</t>
        </is>
      </c>
    </row>
    <row r="358">
      <c r="A358" t="inlineStr">
        <is>
          <t>market for printed wiring board, through-hole mounted, unspecified, Pb free</t>
        </is>
      </c>
      <c r="B358" s="3" t="n">
        <v>0.11</v>
      </c>
      <c r="C358" t="inlineStr">
        <is>
          <t>kilogram</t>
        </is>
      </c>
      <c r="E358" t="inlineStr">
        <is>
          <t>GLO</t>
        </is>
      </c>
      <c r="F358" t="inlineStr">
        <is>
          <t>technosphere</t>
        </is>
      </c>
      <c r="G358" t="inlineStr">
        <is>
          <t>printed wiring board, through-hole mounted, unspecified, Pb free</t>
        </is>
      </c>
    </row>
    <row r="359">
      <c r="A359" t="inlineStr">
        <is>
          <t>market for integrated circuit, logic type</t>
        </is>
      </c>
      <c r="B359" s="3" t="n">
        <v>1.7e-05</v>
      </c>
      <c r="C359" t="inlineStr">
        <is>
          <t>kilogram</t>
        </is>
      </c>
      <c r="E359" t="inlineStr">
        <is>
          <t>GLO</t>
        </is>
      </c>
      <c r="F359" t="inlineStr">
        <is>
          <t>technosphere</t>
        </is>
      </c>
      <c r="G359" t="inlineStr">
        <is>
          <t>integrated circuit, logic type</t>
        </is>
      </c>
    </row>
    <row r="360">
      <c r="A360" t="inlineStr">
        <is>
          <t>market for steel, low-alloyed</t>
        </is>
      </c>
      <c r="B360" s="3" t="n">
        <v>0.85</v>
      </c>
      <c r="C360" t="inlineStr">
        <is>
          <t>kilogram</t>
        </is>
      </c>
      <c r="E360" t="inlineStr">
        <is>
          <t>GLO</t>
        </is>
      </c>
      <c r="F360" t="inlineStr">
        <is>
          <t>technosphere</t>
        </is>
      </c>
      <c r="G360" t="inlineStr">
        <is>
          <t>steel, low-alloyed</t>
        </is>
      </c>
    </row>
    <row r="361">
      <c r="A361" t="inlineStr">
        <is>
          <t>market for electric connector, wire clamp</t>
        </is>
      </c>
      <c r="B361" s="3" t="n">
        <v>0.021</v>
      </c>
      <c r="C361" t="inlineStr">
        <is>
          <t>kilogram</t>
        </is>
      </c>
      <c r="E361" t="inlineStr">
        <is>
          <t>GLO</t>
        </is>
      </c>
      <c r="F361" t="inlineStr">
        <is>
          <t>technosphere</t>
        </is>
      </c>
      <c r="G361" t="inlineStr">
        <is>
          <t>electric connector, wire clamp</t>
        </is>
      </c>
    </row>
    <row r="362">
      <c r="A362" t="inlineStr">
        <is>
          <t>polyethylene terephthalate production, granulate, amorphous</t>
        </is>
      </c>
      <c r="B362" s="3" t="n">
        <v>0.0068</v>
      </c>
      <c r="C362" t="inlineStr">
        <is>
          <t>kilogram</t>
        </is>
      </c>
      <c r="E362" t="inlineStr">
        <is>
          <t>RER</t>
        </is>
      </c>
      <c r="F362" t="inlineStr">
        <is>
          <t>technosphere</t>
        </is>
      </c>
      <c r="G362" t="inlineStr">
        <is>
          <t>polyethylene terephthalate, granulate, amorphous</t>
        </is>
      </c>
    </row>
    <row r="363">
      <c r="A363" t="inlineStr">
        <is>
          <t>market for nylon 6</t>
        </is>
      </c>
      <c r="B363" s="3" t="n">
        <v>0.0019</v>
      </c>
      <c r="C363" t="inlineStr">
        <is>
          <t>kilogram</t>
        </is>
      </c>
      <c r="E363" t="inlineStr">
        <is>
          <t>RER</t>
        </is>
      </c>
      <c r="F363" t="inlineStr">
        <is>
          <t>technosphere</t>
        </is>
      </c>
      <c r="G363" t="inlineStr">
        <is>
          <t>nylon 6</t>
        </is>
      </c>
    </row>
    <row r="364">
      <c r="A364" t="inlineStr">
        <is>
          <t>market for brass</t>
        </is>
      </c>
      <c r="B364" s="3" t="n">
        <v>0.0057</v>
      </c>
      <c r="C364" t="inlineStr">
        <is>
          <t>kilogram</t>
        </is>
      </c>
      <c r="E364" t="inlineStr">
        <is>
          <t>CH</t>
        </is>
      </c>
      <c r="F364" t="inlineStr">
        <is>
          <t>technosphere</t>
        </is>
      </c>
      <c r="G364" t="inlineStr">
        <is>
          <t>brass</t>
        </is>
      </c>
    </row>
    <row r="365">
      <c r="A365" t="inlineStr">
        <is>
          <t>metal working, average for steel product manufacturing</t>
        </is>
      </c>
      <c r="B365" s="3" t="n">
        <v>0.85</v>
      </c>
      <c r="C365" t="inlineStr">
        <is>
          <t>kilogram</t>
        </is>
      </c>
      <c r="E365" t="inlineStr">
        <is>
          <t>RER</t>
        </is>
      </c>
      <c r="F365" t="inlineStr">
        <is>
          <t>technosphere</t>
        </is>
      </c>
      <c r="G365" t="inlineStr">
        <is>
          <t>metal working, average for steel product manufacturing</t>
        </is>
      </c>
    </row>
    <row r="366">
      <c r="A366" t="inlineStr">
        <is>
          <t>injection moulding</t>
        </is>
      </c>
      <c r="B366" s="3" t="n">
        <v>0.008800000000000001</v>
      </c>
      <c r="C366" t="inlineStr">
        <is>
          <t>kilogram</t>
        </is>
      </c>
      <c r="E366" t="inlineStr">
        <is>
          <t>RER</t>
        </is>
      </c>
      <c r="F366" t="inlineStr">
        <is>
          <t>technosphere</t>
        </is>
      </c>
      <c r="G366" t="inlineStr">
        <is>
          <t>injection moulding</t>
        </is>
      </c>
    </row>
    <row r="367">
      <c r="A367" t="inlineStr">
        <is>
          <t>casting, brass</t>
        </is>
      </c>
      <c r="B367" s="3" t="n">
        <v>0.0057</v>
      </c>
      <c r="C367" t="inlineStr">
        <is>
          <t>kilogram</t>
        </is>
      </c>
      <c r="E367" t="inlineStr">
        <is>
          <t>CH</t>
        </is>
      </c>
      <c r="F367" t="inlineStr">
        <is>
          <t>technosphere</t>
        </is>
      </c>
      <c r="G367" t="inlineStr">
        <is>
          <t>casting, brass</t>
        </is>
      </c>
    </row>
    <row r="368">
      <c r="A368" t="inlineStr">
        <is>
          <t>market for transport, freight, lorry &gt;32 metric ton, EURO6</t>
        </is>
      </c>
      <c r="B368" s="3" t="n">
        <v>0.08699999999999999</v>
      </c>
      <c r="C368" t="inlineStr">
        <is>
          <t>ton kilometer</t>
        </is>
      </c>
      <c r="E368" t="inlineStr">
        <is>
          <t>RER</t>
        </is>
      </c>
      <c r="F368" t="inlineStr">
        <is>
          <t>technosphere</t>
        </is>
      </c>
      <c r="G368" t="inlineStr">
        <is>
          <t>transport, freight, lorry &gt;32 metric ton, EURO6</t>
        </is>
      </c>
    </row>
    <row r="369">
      <c r="A369" t="inlineStr">
        <is>
          <t>market for transport, freight train</t>
        </is>
      </c>
      <c r="B369" s="3" t="n">
        <v>0.17</v>
      </c>
      <c r="C369" t="inlineStr">
        <is>
          <t>ton kilometer</t>
        </is>
      </c>
      <c r="E369" t="inlineStr">
        <is>
          <t>Europe without Switzerland</t>
        </is>
      </c>
      <c r="F369" t="inlineStr">
        <is>
          <t>technosphere</t>
        </is>
      </c>
      <c r="G369" t="inlineStr">
        <is>
          <t>transport, freight train</t>
        </is>
      </c>
    </row>
    <row r="370">
      <c r="A370" t="inlineStr">
        <is>
          <t>market for electronic component factory</t>
        </is>
      </c>
      <c r="B370" s="3" t="n">
        <v>2e-08</v>
      </c>
      <c r="C370" t="inlineStr">
        <is>
          <t>unit</t>
        </is>
      </c>
      <c r="E370" t="inlineStr">
        <is>
          <t>GLO</t>
        </is>
      </c>
      <c r="F370" t="inlineStr">
        <is>
          <t>technosphere</t>
        </is>
      </c>
      <c r="G370" t="inlineStr">
        <is>
          <t>electronic component factory</t>
        </is>
      </c>
    </row>
    <row r="371"/>
    <row r="372" ht="16" customHeight="1">
      <c r="A372" s="2" t="inlineStr">
        <is>
          <t>Activity</t>
        </is>
      </c>
      <c r="B372" s="1" t="inlineStr">
        <is>
          <t>IBIS fasteners production, for Li-O2 battery</t>
        </is>
      </c>
    </row>
    <row r="373">
      <c r="A373" t="inlineStr">
        <is>
          <t>comment</t>
        </is>
      </c>
      <c r="B373" t="inlineStr">
        <is>
          <t>Retrieved from Ellingsen et al. (2013). Source: Originally from Wang, F., Deng, Y., &amp; Yuan, C. (2020). Life cycle assessment of lithium oxygen battery for electric vehicles. Journal of Cleaner Production, 264, 121339. https://doi.org/10.1016/j.jclepro.2020.121339</t>
        </is>
      </c>
    </row>
    <row r="374">
      <c r="A374" t="inlineStr">
        <is>
          <t>location</t>
        </is>
      </c>
      <c r="B374" t="inlineStr">
        <is>
          <t>RER</t>
        </is>
      </c>
    </row>
    <row r="375">
      <c r="A375" t="inlineStr">
        <is>
          <t>production amount</t>
        </is>
      </c>
      <c r="B375" t="n">
        <v>1</v>
      </c>
    </row>
    <row r="376">
      <c r="A376" t="inlineStr">
        <is>
          <t>reference product</t>
        </is>
      </c>
      <c r="B376" t="inlineStr">
        <is>
          <t>IBIS fasteners</t>
        </is>
      </c>
    </row>
    <row r="377">
      <c r="A377" t="inlineStr">
        <is>
          <t>unit</t>
        </is>
      </c>
      <c r="B377" t="inlineStr">
        <is>
          <t>kilogram</t>
        </is>
      </c>
    </row>
    <row r="378">
      <c r="A378" t="inlineStr">
        <is>
          <t>source</t>
        </is>
      </c>
      <c r="B378" t="inlineStr">
        <is>
          <t>Originally from Wang, F., Deng, Y., &amp; Yuan, C. (2020). Life cycle assessment of lithium oxygen battery for electric vehicles. Journal of Cleaner Production, 264, 121339. https://doi.org/10.1016/j.jclepro.2020.121339</t>
        </is>
      </c>
    </row>
    <row r="379">
      <c r="A379" s="1" t="inlineStr">
        <is>
          <t>Exchanges</t>
        </is>
      </c>
      <c r="B379" s="1" t="n"/>
      <c r="C379" s="1" t="n"/>
      <c r="D379" s="1" t="n"/>
      <c r="E379" s="1" t="n"/>
      <c r="F379" s="1" t="n"/>
      <c r="G379" s="1" t="n"/>
    </row>
    <row r="380">
      <c r="A380" s="1" t="inlineStr">
        <is>
          <t>name</t>
        </is>
      </c>
      <c r="B380" s="1" t="inlineStr">
        <is>
          <t>amount</t>
        </is>
      </c>
      <c r="C380" s="1" t="inlineStr">
        <is>
          <t>unit</t>
        </is>
      </c>
      <c r="D380" s="1" t="inlineStr">
        <is>
          <t>categories</t>
        </is>
      </c>
      <c r="E380" s="1" t="inlineStr">
        <is>
          <t>location</t>
        </is>
      </c>
      <c r="F380" s="1" t="inlineStr">
        <is>
          <t>type</t>
        </is>
      </c>
      <c r="G380" s="1" t="inlineStr">
        <is>
          <t>reference product</t>
        </is>
      </c>
      <c r="H380" s="1" t="inlineStr">
        <is>
          <t>comment</t>
        </is>
      </c>
    </row>
    <row r="381">
      <c r="A381" t="inlineStr">
        <is>
          <t>IBIS fasteners production, for Li-O2 battery</t>
        </is>
      </c>
      <c r="B381" t="n">
        <v>1</v>
      </c>
      <c r="C381" t="inlineStr">
        <is>
          <t>kilogram</t>
        </is>
      </c>
      <c r="E381" t="inlineStr">
        <is>
          <t>RER</t>
        </is>
      </c>
      <c r="F381" t="inlineStr">
        <is>
          <t>production</t>
        </is>
      </c>
      <c r="G381" t="inlineStr">
        <is>
          <t>IBIS fasteners</t>
        </is>
      </c>
    </row>
    <row r="382">
      <c r="A382" t="inlineStr">
        <is>
          <t>market for steel, low-alloyed</t>
        </is>
      </c>
      <c r="B382" s="3" t="n">
        <v>1</v>
      </c>
      <c r="C382" t="inlineStr">
        <is>
          <t>kilogram</t>
        </is>
      </c>
      <c r="E382" t="inlineStr">
        <is>
          <t>GLO</t>
        </is>
      </c>
      <c r="F382" t="inlineStr">
        <is>
          <t>technosphere</t>
        </is>
      </c>
      <c r="G382" t="inlineStr">
        <is>
          <t>steel, low-alloyed</t>
        </is>
      </c>
      <c r="H382" t="inlineStr">
        <is>
          <t>fixings</t>
        </is>
      </c>
    </row>
    <row r="383">
      <c r="A383" t="inlineStr">
        <is>
          <t>metal working, average for steel product manufacturing</t>
        </is>
      </c>
      <c r="B383" s="3" t="n">
        <v>1</v>
      </c>
      <c r="C383" t="inlineStr">
        <is>
          <t>kilogram</t>
        </is>
      </c>
      <c r="E383" t="inlineStr">
        <is>
          <t>RER</t>
        </is>
      </c>
      <c r="F383" t="inlineStr">
        <is>
          <t>technosphere</t>
        </is>
      </c>
      <c r="G383" t="inlineStr">
        <is>
          <t>metal working, average for steel product manufacturing</t>
        </is>
      </c>
    </row>
    <row r="384">
      <c r="A384" t="inlineStr">
        <is>
          <t>market for transport, freight, lorry &gt;32 metric ton, EURO6</t>
        </is>
      </c>
      <c r="B384" s="3" t="n">
        <v>0.1</v>
      </c>
      <c r="C384" t="inlineStr">
        <is>
          <t>ton kilometer</t>
        </is>
      </c>
      <c r="E384" t="inlineStr">
        <is>
          <t>RER</t>
        </is>
      </c>
      <c r="F384" t="inlineStr">
        <is>
          <t>technosphere</t>
        </is>
      </c>
      <c r="G384" t="inlineStr">
        <is>
          <t>transport, freight, lorry &gt;32 metric ton, EURO6</t>
        </is>
      </c>
    </row>
    <row r="385">
      <c r="A385" t="inlineStr">
        <is>
          <t>market for transport, freight train</t>
        </is>
      </c>
      <c r="B385" s="3" t="n">
        <v>0.2</v>
      </c>
      <c r="C385" t="inlineStr">
        <is>
          <t>ton kilometer</t>
        </is>
      </c>
      <c r="E385" t="inlineStr">
        <is>
          <t>Europe without Switzerland</t>
        </is>
      </c>
      <c r="F385" t="inlineStr">
        <is>
          <t>technosphere</t>
        </is>
      </c>
      <c r="G385" t="inlineStr">
        <is>
          <t>transport, freight train</t>
        </is>
      </c>
    </row>
    <row r="386">
      <c r="A386" t="inlineStr">
        <is>
          <t>metal working factory construction</t>
        </is>
      </c>
      <c r="B386" s="3" t="n">
        <v>4.6e-10</v>
      </c>
      <c r="C386" t="inlineStr">
        <is>
          <t>unit</t>
        </is>
      </c>
      <c r="E386" t="inlineStr">
        <is>
          <t>RER</t>
        </is>
      </c>
      <c r="F386" t="inlineStr">
        <is>
          <t>technosphere</t>
        </is>
      </c>
      <c r="G386" t="inlineStr">
        <is>
          <t>metal working factory</t>
        </is>
      </c>
    </row>
    <row r="387"/>
    <row r="388"/>
    <row r="389" ht="16" customHeight="1">
      <c r="A389" s="2" t="inlineStr">
        <is>
          <t>Activity</t>
        </is>
      </c>
      <c r="B389" s="1" t="inlineStr">
        <is>
          <t>high voltage system production, for Li-O2 battery</t>
        </is>
      </c>
    </row>
    <row r="390">
      <c r="A390" t="inlineStr">
        <is>
          <t>comment</t>
        </is>
      </c>
      <c r="B390" t="inlineStr">
        <is>
          <t>Retrieved from Ellingsen et al. (2013). Source: Originally from Wang, F., Deng, Y., &amp; Yuan, C. (2020). Life cycle assessment of lithium oxygen battery for electric vehicles. Journal of Cleaner Production, 264, 121339. https://doi.org/10.1016/j.jclepro.2020.121339</t>
        </is>
      </c>
    </row>
    <row r="391">
      <c r="A391" t="inlineStr">
        <is>
          <t>location</t>
        </is>
      </c>
      <c r="B391" t="inlineStr">
        <is>
          <t>RER</t>
        </is>
      </c>
    </row>
    <row r="392">
      <c r="A392" t="inlineStr">
        <is>
          <t>production amount</t>
        </is>
      </c>
      <c r="B392" t="n">
        <v>1</v>
      </c>
    </row>
    <row r="393">
      <c r="A393" t="inlineStr">
        <is>
          <t>reference product</t>
        </is>
      </c>
      <c r="B393" t="inlineStr">
        <is>
          <t>high voltage system</t>
        </is>
      </c>
    </row>
    <row r="394">
      <c r="A394" t="inlineStr">
        <is>
          <t>unit</t>
        </is>
      </c>
      <c r="B394" t="inlineStr">
        <is>
          <t>kilogram</t>
        </is>
      </c>
    </row>
    <row r="395">
      <c r="A395" t="inlineStr">
        <is>
          <t>source</t>
        </is>
      </c>
      <c r="B395" t="inlineStr">
        <is>
          <t>Originally from Wang, F., Deng, Y., &amp; Yuan, C. (2020). Life cycle assessment of lithium oxygen battery for electric vehicles. Journal of Cleaner Production, 264, 121339. https://doi.org/10.1016/j.jclepro.2020.121339</t>
        </is>
      </c>
    </row>
    <row r="396">
      <c r="A396" s="1" t="inlineStr">
        <is>
          <t>Exchanges</t>
        </is>
      </c>
      <c r="B396" s="1" t="n"/>
      <c r="C396" s="1" t="n"/>
      <c r="D396" s="1" t="n"/>
      <c r="E396" s="1" t="n"/>
      <c r="F396" s="1" t="n"/>
      <c r="G396" s="1" t="n"/>
    </row>
    <row r="397">
      <c r="A397" s="1" t="inlineStr">
        <is>
          <t>name</t>
        </is>
      </c>
      <c r="B397" s="1" t="inlineStr">
        <is>
          <t>amount</t>
        </is>
      </c>
      <c r="C397" s="1" t="inlineStr">
        <is>
          <t>unit</t>
        </is>
      </c>
      <c r="D397" s="1" t="inlineStr">
        <is>
          <t>categories</t>
        </is>
      </c>
      <c r="E397" s="1" t="inlineStr">
        <is>
          <t>location</t>
        </is>
      </c>
      <c r="F397" s="1" t="inlineStr">
        <is>
          <t>type</t>
        </is>
      </c>
      <c r="G397" s="1" t="inlineStr">
        <is>
          <t>reference product</t>
        </is>
      </c>
      <c r="H397" s="1" t="inlineStr">
        <is>
          <t>comment</t>
        </is>
      </c>
    </row>
    <row r="398">
      <c r="A398" t="inlineStr">
        <is>
          <t>high voltage system production, for Li-O2 battery</t>
        </is>
      </c>
      <c r="B398" t="n">
        <v>1</v>
      </c>
      <c r="C398" t="inlineStr">
        <is>
          <t>kilogram</t>
        </is>
      </c>
      <c r="E398" t="inlineStr">
        <is>
          <t>RER</t>
        </is>
      </c>
      <c r="F398" t="inlineStr">
        <is>
          <t>production</t>
        </is>
      </c>
      <c r="G398" t="inlineStr">
        <is>
          <t>high voltage system</t>
        </is>
      </c>
    </row>
    <row r="399">
      <c r="A399" t="inlineStr">
        <is>
          <t>market for steel, low-alloyed</t>
        </is>
      </c>
      <c r="B399" s="3" t="n">
        <v>0.0014</v>
      </c>
      <c r="C399" t="inlineStr">
        <is>
          <t>kilogram</t>
        </is>
      </c>
      <c r="E399" t="inlineStr">
        <is>
          <t>GLO</t>
        </is>
      </c>
      <c r="F399" t="inlineStr">
        <is>
          <t>technosphere</t>
        </is>
      </c>
      <c r="G399" t="inlineStr">
        <is>
          <t>steel, low-alloyed</t>
        </is>
      </c>
    </row>
    <row r="400">
      <c r="A400" t="inlineStr">
        <is>
          <t>market for aluminium, in mixed metal scrap</t>
        </is>
      </c>
      <c r="B400" s="3" t="n">
        <v>0.12</v>
      </c>
      <c r="C400" t="inlineStr">
        <is>
          <t>kilogram</t>
        </is>
      </c>
      <c r="E400" t="inlineStr">
        <is>
          <t>Europe without Switzerland</t>
        </is>
      </c>
      <c r="F400" t="inlineStr">
        <is>
          <t>technosphere</t>
        </is>
      </c>
      <c r="G400" t="inlineStr">
        <is>
          <t>aluminium, in mixed metal scrap</t>
        </is>
      </c>
    </row>
    <row r="401">
      <c r="A401" t="inlineStr">
        <is>
          <t>market for nylon 6-6</t>
        </is>
      </c>
      <c r="B401" s="3" t="n">
        <v>0.044</v>
      </c>
      <c r="C401" t="inlineStr">
        <is>
          <t>kilogram</t>
        </is>
      </c>
      <c r="E401" t="inlineStr">
        <is>
          <t>RER</t>
        </is>
      </c>
      <c r="F401" t="inlineStr">
        <is>
          <t>technosphere</t>
        </is>
      </c>
      <c r="G401" t="inlineStr">
        <is>
          <t>nylon 6-6</t>
        </is>
      </c>
    </row>
    <row r="402">
      <c r="A402" t="inlineStr">
        <is>
          <t>synthetic rubber production</t>
        </is>
      </c>
      <c r="B402" s="3" t="n">
        <v>0.0036</v>
      </c>
      <c r="C402" t="inlineStr">
        <is>
          <t>kilogram</t>
        </is>
      </c>
      <c r="E402" t="inlineStr">
        <is>
          <t>RER</t>
        </is>
      </c>
      <c r="F402" t="inlineStr">
        <is>
          <t>technosphere</t>
        </is>
      </c>
      <c r="G402" t="inlineStr">
        <is>
          <t>synthetic rubber</t>
        </is>
      </c>
    </row>
    <row r="403">
      <c r="A403" t="inlineStr">
        <is>
          <t>polyethylene terephthalate production, granulate, amorphous</t>
        </is>
      </c>
      <c r="B403" s="3" t="n">
        <v>0.057</v>
      </c>
      <c r="C403" t="inlineStr">
        <is>
          <t>kilogram</t>
        </is>
      </c>
      <c r="E403" t="inlineStr">
        <is>
          <t>RER</t>
        </is>
      </c>
      <c r="F403" t="inlineStr">
        <is>
          <t>technosphere</t>
        </is>
      </c>
      <c r="G403" t="inlineStr">
        <is>
          <t>polyethylene terephthalate, granulate, amorphous</t>
        </is>
      </c>
    </row>
    <row r="404">
      <c r="A404" t="inlineStr">
        <is>
          <t>market for copper, cathode</t>
        </is>
      </c>
      <c r="B404" s="3" t="n">
        <v>0.23</v>
      </c>
      <c r="C404" t="inlineStr">
        <is>
          <t>kilogram</t>
        </is>
      </c>
      <c r="E404" t="inlineStr">
        <is>
          <t>GLO</t>
        </is>
      </c>
      <c r="F404" t="inlineStr">
        <is>
          <t>technosphere</t>
        </is>
      </c>
      <c r="G404" t="inlineStr">
        <is>
          <t>copper, cathode</t>
        </is>
      </c>
    </row>
    <row r="405">
      <c r="A405" t="inlineStr">
        <is>
          <t>market for scrap copper</t>
        </is>
      </c>
      <c r="B405" s="3">
        <f>0.041*-1</f>
        <v>-4.1000000000000002E-2</v>
      </c>
      <c r="C405" t="inlineStr">
        <is>
          <t>kilogram</t>
        </is>
      </c>
      <c r="E405" t="inlineStr">
        <is>
          <t>Europe without Switzerland</t>
        </is>
      </c>
      <c r="F405" t="inlineStr">
        <is>
          <t>technosphere</t>
        </is>
      </c>
      <c r="G405" t="inlineStr">
        <is>
          <t>scrap copper</t>
        </is>
      </c>
    </row>
    <row r="406">
      <c r="A406" t="inlineStr">
        <is>
          <t>market for polyphenylene sulfide</t>
        </is>
      </c>
      <c r="B406" s="3" t="n">
        <v>0.032</v>
      </c>
      <c r="C406" t="inlineStr">
        <is>
          <t>kilogram</t>
        </is>
      </c>
      <c r="E406" t="inlineStr">
        <is>
          <t>GLO</t>
        </is>
      </c>
      <c r="F406" t="inlineStr">
        <is>
          <t>technosphere</t>
        </is>
      </c>
      <c r="G406" t="inlineStr">
        <is>
          <t>polyphenylene sulfide</t>
        </is>
      </c>
    </row>
    <row r="407">
      <c r="A407" t="inlineStr">
        <is>
          <t>market for tin</t>
        </is>
      </c>
      <c r="B407" s="3" t="n">
        <v>0.016</v>
      </c>
      <c r="C407" t="inlineStr">
        <is>
          <t>kilogram</t>
        </is>
      </c>
      <c r="E407" t="inlineStr">
        <is>
          <t>GLO</t>
        </is>
      </c>
      <c r="F407" t="inlineStr">
        <is>
          <t>technosphere</t>
        </is>
      </c>
      <c r="G407" t="inlineStr">
        <is>
          <t>tin</t>
        </is>
      </c>
    </row>
    <row r="408">
      <c r="A408" t="inlineStr">
        <is>
          <t>market for cable, ribbon cable, 20-pin, with plugs</t>
        </is>
      </c>
      <c r="B408" s="3" t="n">
        <v>0.45</v>
      </c>
      <c r="C408" t="inlineStr">
        <is>
          <t>kilogram</t>
        </is>
      </c>
      <c r="E408" t="inlineStr">
        <is>
          <t>GLO</t>
        </is>
      </c>
      <c r="F408" t="inlineStr">
        <is>
          <t>technosphere</t>
        </is>
      </c>
      <c r="G408" t="inlineStr">
        <is>
          <t>cable, ribbon cable, 20-pin, with plugs</t>
        </is>
      </c>
    </row>
    <row r="409">
      <c r="A409" t="inlineStr">
        <is>
          <t>metal working, average for steel product manufacturing</t>
        </is>
      </c>
      <c r="B409" s="3" t="n">
        <v>0.0014</v>
      </c>
      <c r="C409" t="inlineStr">
        <is>
          <t>kilogram</t>
        </is>
      </c>
      <c r="E409" t="inlineStr">
        <is>
          <t>RER</t>
        </is>
      </c>
      <c r="F409" t="inlineStr">
        <is>
          <t>technosphere</t>
        </is>
      </c>
      <c r="G409" t="inlineStr">
        <is>
          <t>metal working, average for steel product manufacturing</t>
        </is>
      </c>
    </row>
    <row r="410">
      <c r="A410" t="inlineStr">
        <is>
          <t>metal working, average for aluminium product manufacturing</t>
        </is>
      </c>
      <c r="B410" s="3" t="n">
        <v>0.12</v>
      </c>
      <c r="C410" t="inlineStr">
        <is>
          <t>kilogram</t>
        </is>
      </c>
      <c r="E410" t="inlineStr">
        <is>
          <t>RER</t>
        </is>
      </c>
      <c r="F410" t="inlineStr">
        <is>
          <t>technosphere</t>
        </is>
      </c>
      <c r="G410" t="inlineStr">
        <is>
          <t>metal working, average for aluminium product manufacturing</t>
        </is>
      </c>
    </row>
    <row r="411">
      <c r="A411" t="inlineStr">
        <is>
          <t>metal working, average for copper product manufacturing</t>
        </is>
      </c>
      <c r="B411" s="3" t="n">
        <v>0.27</v>
      </c>
      <c r="C411" t="inlineStr">
        <is>
          <t>kilogram</t>
        </is>
      </c>
      <c r="E411" t="inlineStr">
        <is>
          <t>RER</t>
        </is>
      </c>
      <c r="F411" t="inlineStr">
        <is>
          <t>technosphere</t>
        </is>
      </c>
      <c r="G411" t="inlineStr">
        <is>
          <t>metal working, average for copper product manufacturing</t>
        </is>
      </c>
    </row>
    <row r="412">
      <c r="A412" t="inlineStr">
        <is>
          <t>metal working, average for metal product manufacturing</t>
        </is>
      </c>
      <c r="B412" s="3" t="n">
        <v>0.016</v>
      </c>
      <c r="C412" t="inlineStr">
        <is>
          <t>kilogram</t>
        </is>
      </c>
      <c r="E412" t="inlineStr">
        <is>
          <t>RER</t>
        </is>
      </c>
      <c r="F412" t="inlineStr">
        <is>
          <t>technosphere</t>
        </is>
      </c>
      <c r="G412" t="inlineStr">
        <is>
          <t>metal working, average for metal product manufacturing</t>
        </is>
      </c>
    </row>
    <row r="413">
      <c r="A413" t="inlineStr">
        <is>
          <t>injection moulding</t>
        </is>
      </c>
      <c r="B413" s="3" t="n">
        <v>0.14</v>
      </c>
      <c r="C413" t="inlineStr">
        <is>
          <t>kilogram</t>
        </is>
      </c>
      <c r="E413" t="inlineStr">
        <is>
          <t>RER</t>
        </is>
      </c>
      <c r="F413" t="inlineStr">
        <is>
          <t>technosphere</t>
        </is>
      </c>
      <c r="G413" t="inlineStr">
        <is>
          <t>injection moulding</t>
        </is>
      </c>
    </row>
    <row r="414">
      <c r="A414" t="inlineStr">
        <is>
          <t>market for transport, freight, lorry &gt;32 metric ton, EURO6</t>
        </is>
      </c>
      <c r="B414" s="3" t="n">
        <v>0.11</v>
      </c>
      <c r="C414" t="inlineStr">
        <is>
          <t>ton kilometer</t>
        </is>
      </c>
      <c r="E414" t="inlineStr">
        <is>
          <t>RER</t>
        </is>
      </c>
      <c r="F414" t="inlineStr">
        <is>
          <t>technosphere</t>
        </is>
      </c>
      <c r="G414" t="inlineStr">
        <is>
          <t>transport, freight, lorry &gt;32 metric ton, EURO6</t>
        </is>
      </c>
    </row>
    <row r="415">
      <c r="A415" t="inlineStr">
        <is>
          <t>market for transport, freight train</t>
        </is>
      </c>
      <c r="B415" s="3" t="n">
        <v>0.055</v>
      </c>
      <c r="C415" t="inlineStr">
        <is>
          <t>ton kilometer</t>
        </is>
      </c>
      <c r="E415" t="inlineStr">
        <is>
          <t>Europe without Switzerland</t>
        </is>
      </c>
      <c r="F415" t="inlineStr">
        <is>
          <t>technosphere</t>
        </is>
      </c>
      <c r="G415" t="inlineStr">
        <is>
          <t>transport, freight train</t>
        </is>
      </c>
    </row>
    <row r="416">
      <c r="A416" t="inlineStr">
        <is>
          <t>market for electronic component factory</t>
        </is>
      </c>
      <c r="B416" s="3" t="n">
        <v>2e-08</v>
      </c>
      <c r="C416" t="inlineStr">
        <is>
          <t>unit</t>
        </is>
      </c>
      <c r="E416" t="inlineStr">
        <is>
          <t>GLO</t>
        </is>
      </c>
      <c r="F416" t="inlineStr">
        <is>
          <t>technosphere</t>
        </is>
      </c>
      <c r="G416" t="inlineStr">
        <is>
          <t>electronic component factory</t>
        </is>
      </c>
    </row>
    <row r="417"/>
    <row r="418" ht="16" customHeight="1">
      <c r="A418" s="2" t="inlineStr">
        <is>
          <t>Activity</t>
        </is>
      </c>
      <c r="B418" s="1" t="inlineStr">
        <is>
          <t>low voltage system production, for Li-O2 battery</t>
        </is>
      </c>
    </row>
    <row r="419">
      <c r="A419" t="inlineStr">
        <is>
          <t>comment</t>
        </is>
      </c>
      <c r="B419" t="inlineStr">
        <is>
          <t>Retrieved from Ellingsen et al. (2013). Source: Originally from Wang, F., Deng, Y., &amp; Yuan, C. (2020). Life cycle assessment of lithium oxygen battery for electric vehicles. Journal of Cleaner Production, 264, 121339. https://doi.org/10.1016/j.jclepro.2020.121339</t>
        </is>
      </c>
    </row>
    <row r="420">
      <c r="A420" t="inlineStr">
        <is>
          <t>location</t>
        </is>
      </c>
      <c r="B420" t="inlineStr">
        <is>
          <t>RER</t>
        </is>
      </c>
    </row>
    <row r="421">
      <c r="A421" t="inlineStr">
        <is>
          <t>production amount</t>
        </is>
      </c>
      <c r="B421" t="n">
        <v>1</v>
      </c>
    </row>
    <row r="422">
      <c r="A422" t="inlineStr">
        <is>
          <t>reference product</t>
        </is>
      </c>
      <c r="B422" t="inlineStr">
        <is>
          <t>low voltage system</t>
        </is>
      </c>
    </row>
    <row r="423">
      <c r="A423" t="inlineStr">
        <is>
          <t>unit</t>
        </is>
      </c>
      <c r="B423" t="inlineStr">
        <is>
          <t>kilogram</t>
        </is>
      </c>
    </row>
    <row r="424">
      <c r="A424" t="inlineStr">
        <is>
          <t>source</t>
        </is>
      </c>
      <c r="B424" t="inlineStr">
        <is>
          <t>Originally from Wang, F., Deng, Y., &amp; Yuan, C. (2020). Life cycle assessment of lithium oxygen battery for electric vehicles. Journal of Cleaner Production, 264, 121339. https://doi.org/10.1016/j.jclepro.2020.121339</t>
        </is>
      </c>
    </row>
    <row r="425">
      <c r="A425" s="1" t="inlineStr">
        <is>
          <t>Exchanges</t>
        </is>
      </c>
      <c r="B425" s="1" t="n"/>
      <c r="C425" s="1" t="n"/>
      <c r="D425" s="1" t="n"/>
      <c r="E425" s="1" t="n"/>
      <c r="F425" s="1" t="n"/>
      <c r="G425" s="1" t="n"/>
    </row>
    <row r="426">
      <c r="A426" s="1" t="inlineStr">
        <is>
          <t>name</t>
        </is>
      </c>
      <c r="B426" s="1" t="inlineStr">
        <is>
          <t>amount</t>
        </is>
      </c>
      <c r="C426" s="1" t="inlineStr">
        <is>
          <t>unit</t>
        </is>
      </c>
      <c r="D426" s="1" t="inlineStr">
        <is>
          <t>categories</t>
        </is>
      </c>
      <c r="E426" s="1" t="inlineStr">
        <is>
          <t>location</t>
        </is>
      </c>
      <c r="F426" s="1" t="inlineStr">
        <is>
          <t>type</t>
        </is>
      </c>
      <c r="G426" s="1" t="inlineStr">
        <is>
          <t>reference product</t>
        </is>
      </c>
      <c r="H426" s="1" t="inlineStr">
        <is>
          <t>comment</t>
        </is>
      </c>
    </row>
    <row r="427">
      <c r="A427" t="inlineStr">
        <is>
          <t>low voltage system production, for Li-O2 battery</t>
        </is>
      </c>
      <c r="B427" t="n">
        <v>1</v>
      </c>
      <c r="C427" t="inlineStr">
        <is>
          <t>kilogram</t>
        </is>
      </c>
      <c r="E427" t="inlineStr">
        <is>
          <t>RER</t>
        </is>
      </c>
      <c r="F427" t="inlineStr">
        <is>
          <t>production</t>
        </is>
      </c>
      <c r="G427" t="inlineStr">
        <is>
          <t>low voltage system</t>
        </is>
      </c>
    </row>
    <row r="428">
      <c r="A428" t="inlineStr">
        <is>
          <t>market for nylon 6-6</t>
        </is>
      </c>
      <c r="B428" s="3" t="n">
        <v>0.029</v>
      </c>
      <c r="C428" t="inlineStr">
        <is>
          <t>kilogram</t>
        </is>
      </c>
      <c r="E428" t="inlineStr">
        <is>
          <t>RER</t>
        </is>
      </c>
      <c r="F428" t="inlineStr">
        <is>
          <t>technosphere</t>
        </is>
      </c>
      <c r="G428" t="inlineStr">
        <is>
          <t>nylon 6-6</t>
        </is>
      </c>
    </row>
    <row r="429">
      <c r="A429" t="inlineStr">
        <is>
          <t>market for electronic component, passive, unspecified</t>
        </is>
      </c>
      <c r="B429" s="3" t="n">
        <v>0.97</v>
      </c>
      <c r="C429" t="inlineStr">
        <is>
          <t>kilogram</t>
        </is>
      </c>
      <c r="E429" t="inlineStr">
        <is>
          <t>GLO</t>
        </is>
      </c>
      <c r="F429" t="inlineStr">
        <is>
          <t>technosphere</t>
        </is>
      </c>
      <c r="G429" t="inlineStr">
        <is>
          <t>electronic component, passive, unspecified</t>
        </is>
      </c>
    </row>
    <row r="430">
      <c r="A430" t="inlineStr">
        <is>
          <t>injection moulding</t>
        </is>
      </c>
      <c r="B430" s="3" t="n">
        <v>0.029</v>
      </c>
      <c r="C430" t="inlineStr">
        <is>
          <t>kilogram</t>
        </is>
      </c>
      <c r="E430" t="inlineStr">
        <is>
          <t>RER</t>
        </is>
      </c>
      <c r="F430" t="inlineStr">
        <is>
          <t>technosphere</t>
        </is>
      </c>
      <c r="G430" t="inlineStr">
        <is>
          <t>injection moulding</t>
        </is>
      </c>
    </row>
    <row r="431">
      <c r="A431" t="inlineStr">
        <is>
          <t>market for transport, freight, lorry &gt;32 metric ton, EURO6</t>
        </is>
      </c>
      <c r="B431" s="3" t="n">
        <v>0.11</v>
      </c>
      <c r="C431" t="inlineStr">
        <is>
          <t>ton kilometer</t>
        </is>
      </c>
      <c r="E431" t="inlineStr">
        <is>
          <t>RER</t>
        </is>
      </c>
      <c r="F431" t="inlineStr">
        <is>
          <t>technosphere</t>
        </is>
      </c>
      <c r="G431" t="inlineStr">
        <is>
          <t>transport, freight, lorry &gt;32 metric ton, EURO6</t>
        </is>
      </c>
    </row>
    <row r="432">
      <c r="A432" t="inlineStr">
        <is>
          <t>market for transport, freight train</t>
        </is>
      </c>
      <c r="B432" s="3" t="n">
        <v>0.2</v>
      </c>
      <c r="C432" t="inlineStr">
        <is>
          <t>ton kilometer</t>
        </is>
      </c>
      <c r="E432" t="inlineStr">
        <is>
          <t>Europe without Switzerland</t>
        </is>
      </c>
      <c r="F432" t="inlineStr">
        <is>
          <t>technosphere</t>
        </is>
      </c>
      <c r="G432" t="inlineStr">
        <is>
          <t>transport, freight train</t>
        </is>
      </c>
    </row>
    <row r="433">
      <c r="A433" t="inlineStr">
        <is>
          <t>market for electronic component factory</t>
        </is>
      </c>
      <c r="B433" s="3" t="n">
        <v>2e-08</v>
      </c>
      <c r="C433" t="inlineStr">
        <is>
          <t>unit</t>
        </is>
      </c>
      <c r="E433" t="inlineStr">
        <is>
          <t>GLO</t>
        </is>
      </c>
      <c r="F433" t="inlineStr">
        <is>
          <t>technosphere</t>
        </is>
      </c>
      <c r="G433" t="inlineStr">
        <is>
          <t>electronic component factory</t>
        </is>
      </c>
    </row>
    <row r="434"/>
    <row r="435"/>
    <row r="436" ht="16" customHeight="1">
      <c r="A436" s="2" t="inlineStr">
        <is>
          <t>Activity</t>
        </is>
      </c>
      <c r="B436" s="1" t="inlineStr">
        <is>
          <t>cooling system production, for Li-O2 battery</t>
        </is>
      </c>
    </row>
    <row r="437">
      <c r="A437" t="inlineStr">
        <is>
          <t>comment</t>
        </is>
      </c>
      <c r="B437" t="inlineStr">
        <is>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is>
      </c>
    </row>
    <row r="438">
      <c r="A438" t="inlineStr">
        <is>
          <t>location</t>
        </is>
      </c>
      <c r="B438" t="inlineStr">
        <is>
          <t>RER</t>
        </is>
      </c>
    </row>
    <row r="439">
      <c r="A439" t="inlineStr">
        <is>
          <t>production amount</t>
        </is>
      </c>
      <c r="B439" t="n">
        <v>1</v>
      </c>
    </row>
    <row r="440">
      <c r="A440" t="inlineStr">
        <is>
          <t>reference product</t>
        </is>
      </c>
      <c r="B440" t="inlineStr">
        <is>
          <t>cooling system</t>
        </is>
      </c>
    </row>
    <row r="441">
      <c r="A441" t="inlineStr">
        <is>
          <t>unit</t>
        </is>
      </c>
      <c r="B441" t="inlineStr">
        <is>
          <t>kilogram</t>
        </is>
      </c>
    </row>
    <row r="442">
      <c r="A442" t="inlineStr">
        <is>
          <t>source</t>
        </is>
      </c>
      <c r="B442" t="inlineStr">
        <is>
          <t>Originally from Wang, F., Deng, Y., &amp; Yuan, C. (2020). Life cycle assessment of lithium oxygen battery for electric vehicles. Journal of Cleaner Production, 264, 121339. https://doi.org/10.1016/j.jclepro.2020.121339</t>
        </is>
      </c>
    </row>
    <row r="443">
      <c r="A443" s="1" t="inlineStr">
        <is>
          <t>Exchanges</t>
        </is>
      </c>
      <c r="B443" s="1" t="n"/>
      <c r="C443" s="1" t="n"/>
      <c r="D443" s="1" t="n"/>
      <c r="E443" s="1" t="n"/>
      <c r="F443" s="1" t="n"/>
      <c r="G443" s="1" t="n"/>
    </row>
    <row r="444">
      <c r="A444" s="1" t="inlineStr">
        <is>
          <t>name</t>
        </is>
      </c>
      <c r="B444" s="1" t="inlineStr">
        <is>
          <t>amount</t>
        </is>
      </c>
      <c r="C444" s="1" t="inlineStr">
        <is>
          <t>unit</t>
        </is>
      </c>
      <c r="D444" s="1" t="inlineStr">
        <is>
          <t>categories</t>
        </is>
      </c>
      <c r="E444" s="1" t="inlineStr">
        <is>
          <t>location</t>
        </is>
      </c>
      <c r="F444" s="1" t="inlineStr">
        <is>
          <t>type</t>
        </is>
      </c>
      <c r="G444" s="1" t="inlineStr">
        <is>
          <t>reference product</t>
        </is>
      </c>
      <c r="H444" s="1" t="inlineStr">
        <is>
          <t>comment</t>
        </is>
      </c>
    </row>
    <row r="445">
      <c r="A445" t="inlineStr">
        <is>
          <t>cooling system production, for Li-O2 battery</t>
        </is>
      </c>
      <c r="B445" t="n">
        <v>1</v>
      </c>
      <c r="C445" t="inlineStr">
        <is>
          <t>kilogram</t>
        </is>
      </c>
      <c r="E445" t="inlineStr">
        <is>
          <t>RER</t>
        </is>
      </c>
      <c r="F445" t="inlineStr">
        <is>
          <t>production</t>
        </is>
      </c>
      <c r="G445" t="inlineStr">
        <is>
          <t>cooling system</t>
        </is>
      </c>
    </row>
    <row r="446">
      <c r="A446" t="inlineStr">
        <is>
          <t>radiator production, for Li-O2 battery</t>
        </is>
      </c>
      <c r="B446" s="3" t="n">
        <v>0.87</v>
      </c>
      <c r="C446" t="inlineStr">
        <is>
          <t>kilogram</t>
        </is>
      </c>
      <c r="E446" t="inlineStr">
        <is>
          <t>RER</t>
        </is>
      </c>
      <c r="F446" t="inlineStr">
        <is>
          <t>technosphere</t>
        </is>
      </c>
      <c r="G446" t="inlineStr">
        <is>
          <t>radiator</t>
        </is>
      </c>
    </row>
    <row r="447">
      <c r="A447" t="inlineStr">
        <is>
          <t>manifolds production, for Li-O2 battery</t>
        </is>
      </c>
      <c r="B447" s="3" t="n">
        <v>0.038</v>
      </c>
      <c r="C447" t="inlineStr">
        <is>
          <t>kilogram</t>
        </is>
      </c>
      <c r="E447" t="inlineStr">
        <is>
          <t>RER</t>
        </is>
      </c>
      <c r="F447" t="inlineStr">
        <is>
          <t>technosphere</t>
        </is>
      </c>
      <c r="G447" t="inlineStr">
        <is>
          <t>manifolds</t>
        </is>
      </c>
    </row>
    <row r="448">
      <c r="A448" t="inlineStr">
        <is>
          <t>clamps and fasteners production, for Li-O2 battery</t>
        </is>
      </c>
      <c r="B448" s="3" t="n">
        <v>0.023</v>
      </c>
      <c r="C448" t="inlineStr">
        <is>
          <t>kilogram</t>
        </is>
      </c>
      <c r="E448" t="inlineStr">
        <is>
          <t>RER</t>
        </is>
      </c>
      <c r="F448" t="inlineStr">
        <is>
          <t>technosphere</t>
        </is>
      </c>
      <c r="G448" t="inlineStr">
        <is>
          <t>clamps and fasteners</t>
        </is>
      </c>
    </row>
    <row r="449">
      <c r="A449" t="inlineStr">
        <is>
          <t>pipe fitting production, for Li-O2 battery</t>
        </is>
      </c>
      <c r="B449" s="3" t="n">
        <v>0.00096</v>
      </c>
      <c r="C449" t="inlineStr">
        <is>
          <t>kilogram</t>
        </is>
      </c>
      <c r="E449" t="inlineStr">
        <is>
          <t>RER</t>
        </is>
      </c>
      <c r="F449" t="inlineStr">
        <is>
          <t>technosphere</t>
        </is>
      </c>
      <c r="G449" t="inlineStr">
        <is>
          <t>pipe fitting</t>
        </is>
      </c>
    </row>
    <row r="450">
      <c r="A450" t="inlineStr">
        <is>
          <t>thermal pad production, for Li-O2 battery</t>
        </is>
      </c>
      <c r="B450" s="3" t="n">
        <v>0.02</v>
      </c>
      <c r="C450" t="inlineStr">
        <is>
          <t>kilogram</t>
        </is>
      </c>
      <c r="E450" t="inlineStr">
        <is>
          <t>RER</t>
        </is>
      </c>
      <c r="F450" t="inlineStr">
        <is>
          <t>technosphere</t>
        </is>
      </c>
      <c r="G450" t="inlineStr">
        <is>
          <t>thermal pad</t>
        </is>
      </c>
    </row>
    <row r="451">
      <c r="A451" t="inlineStr">
        <is>
          <t>ethylene glycol production</t>
        </is>
      </c>
      <c r="B451" s="3" t="n">
        <v>0.048</v>
      </c>
      <c r="C451" t="inlineStr">
        <is>
          <t>kilogram</t>
        </is>
      </c>
      <c r="E451" t="inlineStr">
        <is>
          <t>RER</t>
        </is>
      </c>
      <c r="F451" t="inlineStr">
        <is>
          <t>technosphere</t>
        </is>
      </c>
      <c r="G451" t="inlineStr">
        <is>
          <t>ethylene glycol</t>
        </is>
      </c>
      <c r="H451" s="6">
        <f>B451*B283</f>
        <v>6.2026168224299056E-3</v>
      </c>
    </row>
    <row r="452">
      <c r="A452" t="inlineStr">
        <is>
          <t>market for transport, freight train</t>
        </is>
      </c>
      <c r="B452" s="3" t="n">
        <v>0.22</v>
      </c>
      <c r="C452" t="inlineStr">
        <is>
          <t>ton kilometer</t>
        </is>
      </c>
      <c r="E452" t="inlineStr">
        <is>
          <t>Europe without Switzerland</t>
        </is>
      </c>
      <c r="F452" t="inlineStr">
        <is>
          <t>technosphere</t>
        </is>
      </c>
      <c r="G452" t="inlineStr">
        <is>
          <t>transport, freight train</t>
        </is>
      </c>
    </row>
    <row r="453">
      <c r="A453" t="inlineStr">
        <is>
          <t>market for transport, freight, lorry &gt;32 metric ton, EURO6</t>
        </is>
      </c>
      <c r="B453" s="3" t="n">
        <v>0.1</v>
      </c>
      <c r="C453" t="inlineStr">
        <is>
          <t>ton kilometer</t>
        </is>
      </c>
      <c r="E453" t="inlineStr">
        <is>
          <t>RER</t>
        </is>
      </c>
      <c r="F453" t="inlineStr">
        <is>
          <t>technosphere</t>
        </is>
      </c>
      <c r="G453" t="inlineStr">
        <is>
          <t>transport, freight, lorry &gt;32 metric ton, EURO6</t>
        </is>
      </c>
    </row>
    <row r="454"/>
    <row r="455"/>
    <row r="456" ht="16" customHeight="1">
      <c r="A456" s="2" t="inlineStr">
        <is>
          <t>Activity</t>
        </is>
      </c>
      <c r="B456" s="1" t="inlineStr">
        <is>
          <t>radiator production, for Li-O2 battery</t>
        </is>
      </c>
    </row>
    <row r="457">
      <c r="A457" t="inlineStr">
        <is>
          <t>comment</t>
        </is>
      </c>
      <c r="B457" t="inlineStr">
        <is>
          <t>Retrieved from Ellingsen et al. (2013). Source: Originally from Wang, F., Deng, Y., &amp; Yuan, C. (2020). Life cycle assessment of lithium oxygen battery for electric vehicles. Journal of Cleaner Production, 264, 121339. https://doi.org/10.1016/j.jclepro.2020.121339</t>
        </is>
      </c>
    </row>
    <row r="458">
      <c r="A458" t="inlineStr">
        <is>
          <t>location</t>
        </is>
      </c>
      <c r="B458" t="inlineStr">
        <is>
          <t>RER</t>
        </is>
      </c>
    </row>
    <row r="459">
      <c r="A459" t="inlineStr">
        <is>
          <t>production amount</t>
        </is>
      </c>
      <c r="B459" t="n">
        <v>1</v>
      </c>
    </row>
    <row r="460">
      <c r="A460" t="inlineStr">
        <is>
          <t>reference product</t>
        </is>
      </c>
      <c r="B460" t="inlineStr">
        <is>
          <t>radiator</t>
        </is>
      </c>
    </row>
    <row r="461">
      <c r="A461" t="inlineStr">
        <is>
          <t>unit</t>
        </is>
      </c>
      <c r="B461" t="inlineStr">
        <is>
          <t>kilogram</t>
        </is>
      </c>
    </row>
    <row r="462">
      <c r="A462" t="inlineStr">
        <is>
          <t>source</t>
        </is>
      </c>
      <c r="B462" t="inlineStr">
        <is>
          <t>Originally from Wang, F., Deng, Y., &amp; Yuan, C. (2020). Life cycle assessment of lithium oxygen battery for electric vehicles. Journal of Cleaner Production, 264, 121339. https://doi.org/10.1016/j.jclepro.2020.121339</t>
        </is>
      </c>
    </row>
    <row r="463">
      <c r="A463" s="1" t="inlineStr">
        <is>
          <t>Exchanges</t>
        </is>
      </c>
      <c r="B463" s="1" t="n"/>
      <c r="C463" s="1" t="n"/>
      <c r="D463" s="1" t="n"/>
      <c r="E463" s="1" t="n"/>
      <c r="F463" s="1" t="n"/>
      <c r="G463" s="1" t="n"/>
    </row>
    <row r="464">
      <c r="A464" s="1" t="inlineStr">
        <is>
          <t>name</t>
        </is>
      </c>
      <c r="B464" s="1" t="inlineStr">
        <is>
          <t>amount</t>
        </is>
      </c>
      <c r="C464" s="1" t="inlineStr">
        <is>
          <t>unit</t>
        </is>
      </c>
      <c r="D464" s="1" t="inlineStr">
        <is>
          <t>categories</t>
        </is>
      </c>
      <c r="E464" s="1" t="inlineStr">
        <is>
          <t>location</t>
        </is>
      </c>
      <c r="F464" s="1" t="inlineStr">
        <is>
          <t>type</t>
        </is>
      </c>
      <c r="G464" s="1" t="inlineStr">
        <is>
          <t>reference product</t>
        </is>
      </c>
      <c r="H464" s="1" t="inlineStr">
        <is>
          <t>comment</t>
        </is>
      </c>
    </row>
    <row r="465">
      <c r="A465" t="inlineStr">
        <is>
          <t>radiator production, for Li-O2 battery</t>
        </is>
      </c>
      <c r="B465" t="n">
        <v>1</v>
      </c>
      <c r="C465" t="inlineStr">
        <is>
          <t>kilogram</t>
        </is>
      </c>
      <c r="E465" t="inlineStr">
        <is>
          <t>RER</t>
        </is>
      </c>
      <c r="F465" t="inlineStr">
        <is>
          <t>production</t>
        </is>
      </c>
      <c r="G465" t="inlineStr">
        <is>
          <t>radiator</t>
        </is>
      </c>
    </row>
    <row r="466">
      <c r="A466" t="inlineStr">
        <is>
          <t>market for aluminium, in mixed metal scrap</t>
        </is>
      </c>
      <c r="B466" s="3" t="n">
        <v>1</v>
      </c>
      <c r="C466" t="inlineStr">
        <is>
          <t>kilogram</t>
        </is>
      </c>
      <c r="E466" t="inlineStr">
        <is>
          <t>Europe without Switzerland</t>
        </is>
      </c>
      <c r="F466" t="inlineStr">
        <is>
          <t>technosphere</t>
        </is>
      </c>
      <c r="G466" t="inlineStr">
        <is>
          <t>aluminium, in mixed metal scrap</t>
        </is>
      </c>
    </row>
    <row r="467">
      <c r="A467" t="inlineStr">
        <is>
          <t>sheet rolling, aluminium</t>
        </is>
      </c>
      <c r="B467" t="n">
        <v>1</v>
      </c>
      <c r="C467" t="inlineStr">
        <is>
          <t>kilogram</t>
        </is>
      </c>
      <c r="E467" t="inlineStr">
        <is>
          <t>RER</t>
        </is>
      </c>
      <c r="F467" t="inlineStr">
        <is>
          <t>technosphere</t>
        </is>
      </c>
      <c r="G467" t="inlineStr">
        <is>
          <t>sheet rolling, aluminium</t>
        </is>
      </c>
    </row>
    <row r="468">
      <c r="A468" t="inlineStr">
        <is>
          <t>market for transport, freight train</t>
        </is>
      </c>
      <c r="B468" s="3" t="n">
        <v>0.2</v>
      </c>
      <c r="C468" t="inlineStr">
        <is>
          <t>ton kilometer</t>
        </is>
      </c>
      <c r="E468" t="inlineStr">
        <is>
          <t>Europe without Switzerland</t>
        </is>
      </c>
      <c r="F468" t="inlineStr">
        <is>
          <t>technosphere</t>
        </is>
      </c>
      <c r="G468" t="inlineStr">
        <is>
          <t>transport, freight train</t>
        </is>
      </c>
    </row>
    <row r="469">
      <c r="A469" t="inlineStr">
        <is>
          <t>market for transport, freight, lorry &gt;32 metric ton, EURO6</t>
        </is>
      </c>
      <c r="B469" s="3" t="n">
        <v>0.1</v>
      </c>
      <c r="C469" t="inlineStr">
        <is>
          <t>ton kilometer</t>
        </is>
      </c>
      <c r="E469" t="inlineStr">
        <is>
          <t>RER</t>
        </is>
      </c>
      <c r="F469" t="inlineStr">
        <is>
          <t>technosphere</t>
        </is>
      </c>
      <c r="G469" t="inlineStr">
        <is>
          <t>transport, freight, lorry &gt;32 metric ton, EURO6</t>
        </is>
      </c>
    </row>
    <row r="470">
      <c r="A470" t="inlineStr">
        <is>
          <t>aluminium casting facility construction</t>
        </is>
      </c>
      <c r="B470" s="3" t="n">
        <v>1.5e-10</v>
      </c>
      <c r="C470" t="inlineStr">
        <is>
          <t>unit</t>
        </is>
      </c>
      <c r="E470" t="inlineStr">
        <is>
          <t>RER</t>
        </is>
      </c>
      <c r="F470" t="inlineStr">
        <is>
          <t>technosphere</t>
        </is>
      </c>
      <c r="G470" t="inlineStr">
        <is>
          <t>aluminium casting facility</t>
        </is>
      </c>
    </row>
    <row r="471"/>
    <row r="472"/>
    <row r="473" ht="16" customHeight="1">
      <c r="A473" s="2" t="inlineStr">
        <is>
          <t>Activity</t>
        </is>
      </c>
      <c r="B473" s="1" t="inlineStr">
        <is>
          <t>manifolds production, for Li-O2 battery</t>
        </is>
      </c>
    </row>
    <row r="474">
      <c r="A474" t="inlineStr">
        <is>
          <t>comment</t>
        </is>
      </c>
      <c r="B474" t="inlineStr">
        <is>
          <t>Retrieved from Ellingsen et al. (2013). Source: Originally from Wang, F., Deng, Y., &amp; Yuan, C. (2020). Life cycle assessment of lithium oxygen battery for electric vehicles. Journal of Cleaner Production, 264, 121339. https://doi.org/10.1016/j.jclepro.2020.121339</t>
        </is>
      </c>
    </row>
    <row r="475">
      <c r="A475" t="inlineStr">
        <is>
          <t>location</t>
        </is>
      </c>
      <c r="B475" t="inlineStr">
        <is>
          <t>RER</t>
        </is>
      </c>
    </row>
    <row r="476">
      <c r="A476" t="inlineStr">
        <is>
          <t>production amount</t>
        </is>
      </c>
      <c r="B476" t="n">
        <v>1</v>
      </c>
    </row>
    <row r="477">
      <c r="A477" t="inlineStr">
        <is>
          <t>reference product</t>
        </is>
      </c>
      <c r="B477" t="inlineStr">
        <is>
          <t>manifolds</t>
        </is>
      </c>
    </row>
    <row r="478">
      <c r="A478" t="inlineStr">
        <is>
          <t>unit</t>
        </is>
      </c>
      <c r="B478" t="inlineStr">
        <is>
          <t>kilogram</t>
        </is>
      </c>
    </row>
    <row r="479">
      <c r="A479" t="inlineStr">
        <is>
          <t>source</t>
        </is>
      </c>
      <c r="B479" t="inlineStr">
        <is>
          <t>Originally from Wang, F., Deng, Y., &amp; Yuan, C. (2020). Life cycle assessment of lithium oxygen battery for electric vehicles. Journal of Cleaner Production, 264, 121339. https://doi.org/10.1016/j.jclepro.2020.121339</t>
        </is>
      </c>
    </row>
    <row r="480">
      <c r="A480" s="1" t="inlineStr">
        <is>
          <t>Exchanges</t>
        </is>
      </c>
      <c r="B480" s="1" t="n"/>
      <c r="C480" s="1" t="n"/>
      <c r="D480" s="1" t="n"/>
      <c r="E480" s="1" t="n"/>
      <c r="F480" s="1" t="n"/>
      <c r="G480" s="1" t="n"/>
    </row>
    <row r="481">
      <c r="A481" s="1" t="inlineStr">
        <is>
          <t>name</t>
        </is>
      </c>
      <c r="B481" s="1" t="inlineStr">
        <is>
          <t>amount</t>
        </is>
      </c>
      <c r="C481" s="1" t="inlineStr">
        <is>
          <t>unit</t>
        </is>
      </c>
      <c r="D481" s="1" t="inlineStr">
        <is>
          <t>categories</t>
        </is>
      </c>
      <c r="E481" s="1" t="inlineStr">
        <is>
          <t>location</t>
        </is>
      </c>
      <c r="F481" s="1" t="inlineStr">
        <is>
          <t>type</t>
        </is>
      </c>
      <c r="G481" s="1" t="inlineStr">
        <is>
          <t>reference product</t>
        </is>
      </c>
      <c r="H481" s="1" t="inlineStr">
        <is>
          <t>comment</t>
        </is>
      </c>
    </row>
    <row r="482">
      <c r="A482" t="inlineStr">
        <is>
          <t>manifolds production, for Li-O2 battery</t>
        </is>
      </c>
      <c r="B482" t="n">
        <v>1</v>
      </c>
      <c r="C482" t="inlineStr">
        <is>
          <t>kilogram</t>
        </is>
      </c>
      <c r="E482" t="inlineStr">
        <is>
          <t>RER</t>
        </is>
      </c>
      <c r="F482" t="inlineStr">
        <is>
          <t>production</t>
        </is>
      </c>
      <c r="G482" t="inlineStr">
        <is>
          <t>manifolds</t>
        </is>
      </c>
    </row>
    <row r="483">
      <c r="A483" t="inlineStr">
        <is>
          <t>market for aluminium, in mixed metal scrap</t>
        </is>
      </c>
      <c r="B483" s="3" t="n">
        <v>1</v>
      </c>
      <c r="C483" t="inlineStr">
        <is>
          <t>kilogram</t>
        </is>
      </c>
      <c r="E483" t="inlineStr">
        <is>
          <t>Europe without Switzerland</t>
        </is>
      </c>
      <c r="F483" t="inlineStr">
        <is>
          <t>technosphere</t>
        </is>
      </c>
      <c r="G483" t="inlineStr">
        <is>
          <t>aluminium, in mixed metal scrap</t>
        </is>
      </c>
    </row>
    <row r="484">
      <c r="A484" t="inlineStr">
        <is>
          <t>metal working, average for aluminium product manufacturing</t>
        </is>
      </c>
      <c r="B484" s="3" t="n">
        <v>1</v>
      </c>
      <c r="C484" t="inlineStr">
        <is>
          <t>kilogram</t>
        </is>
      </c>
      <c r="E484" t="inlineStr">
        <is>
          <t>RER</t>
        </is>
      </c>
      <c r="F484" t="inlineStr">
        <is>
          <t>technosphere</t>
        </is>
      </c>
      <c r="G484" t="inlineStr">
        <is>
          <t>metal working, average for aluminium product manufacturing</t>
        </is>
      </c>
    </row>
    <row r="485">
      <c r="A485" t="inlineStr">
        <is>
          <t>market for transport, freight train</t>
        </is>
      </c>
      <c r="B485" s="3" t="n">
        <v>0.2</v>
      </c>
      <c r="C485" t="inlineStr">
        <is>
          <t>ton kilometer</t>
        </is>
      </c>
      <c r="E485" t="inlineStr">
        <is>
          <t>Europe without Switzerland</t>
        </is>
      </c>
      <c r="F485" t="inlineStr">
        <is>
          <t>technosphere</t>
        </is>
      </c>
      <c r="G485" t="inlineStr">
        <is>
          <t>transport, freight train</t>
        </is>
      </c>
    </row>
    <row r="486">
      <c r="A486" t="inlineStr">
        <is>
          <t>market for transport, freight, lorry &gt;32 metric ton, EURO6</t>
        </is>
      </c>
      <c r="B486" s="3" t="n">
        <v>0.1</v>
      </c>
      <c r="C486" t="inlineStr">
        <is>
          <t>ton kilometer</t>
        </is>
      </c>
      <c r="E486" t="inlineStr">
        <is>
          <t>RER</t>
        </is>
      </c>
      <c r="F486" t="inlineStr">
        <is>
          <t>technosphere</t>
        </is>
      </c>
      <c r="G486" t="inlineStr">
        <is>
          <t>transport, freight, lorry &gt;32 metric ton, EURO6</t>
        </is>
      </c>
    </row>
    <row r="487">
      <c r="A487" t="inlineStr">
        <is>
          <t>aluminium casting facility construction</t>
        </is>
      </c>
      <c r="B487" s="3" t="n">
        <v>1.5e-10</v>
      </c>
      <c r="C487" t="inlineStr">
        <is>
          <t>unit</t>
        </is>
      </c>
      <c r="E487" t="inlineStr">
        <is>
          <t>RER</t>
        </is>
      </c>
      <c r="F487" t="inlineStr">
        <is>
          <t>technosphere</t>
        </is>
      </c>
      <c r="G487" t="inlineStr">
        <is>
          <t>aluminium casting facility</t>
        </is>
      </c>
    </row>
    <row r="488"/>
    <row r="489"/>
    <row r="490" ht="16" customHeight="1">
      <c r="A490" s="2" t="inlineStr">
        <is>
          <t>Activity</t>
        </is>
      </c>
      <c r="B490" s="1" t="inlineStr">
        <is>
          <t>clamps and fasteners production, for Li-O2 battery</t>
        </is>
      </c>
    </row>
    <row r="491">
      <c r="A491" t="inlineStr">
        <is>
          <t>comment</t>
        </is>
      </c>
      <c r="B491" t="inlineStr">
        <is>
          <t>Retrieved from Ellingsen et al. (2013). Source: Originally from Wang, F., Deng, Y., &amp; Yuan, C. (2020). Life cycle assessment of lithium oxygen battery for electric vehicles. Journal of Cleaner Production, 264, 121339. https://doi.org/10.1016/j.jclepro.2020.121339</t>
        </is>
      </c>
    </row>
    <row r="492">
      <c r="A492" t="inlineStr">
        <is>
          <t>location</t>
        </is>
      </c>
      <c r="B492" t="inlineStr">
        <is>
          <t>RER</t>
        </is>
      </c>
    </row>
    <row r="493">
      <c r="A493" t="inlineStr">
        <is>
          <t>production amount</t>
        </is>
      </c>
      <c r="B493" t="n">
        <v>1</v>
      </c>
    </row>
    <row r="494">
      <c r="A494" t="inlineStr">
        <is>
          <t>reference product</t>
        </is>
      </c>
      <c r="B494" t="inlineStr">
        <is>
          <t>clamps and fasteners</t>
        </is>
      </c>
    </row>
    <row r="495">
      <c r="A495" t="inlineStr">
        <is>
          <t>unit</t>
        </is>
      </c>
      <c r="B495" t="inlineStr">
        <is>
          <t>kilogram</t>
        </is>
      </c>
    </row>
    <row r="496">
      <c r="A496" t="inlineStr">
        <is>
          <t>source</t>
        </is>
      </c>
      <c r="B496" t="inlineStr">
        <is>
          <t>Originally from Wang, F., Deng, Y., &amp; Yuan, C. (2020). Life cycle assessment of lithium oxygen battery for electric vehicles. Journal of Cleaner Production, 264, 121339. https://doi.org/10.1016/j.jclepro.2020.121339</t>
        </is>
      </c>
    </row>
    <row r="497">
      <c r="A497" s="1" t="inlineStr">
        <is>
          <t>Exchanges</t>
        </is>
      </c>
      <c r="B497" s="1" t="n"/>
      <c r="C497" s="1" t="n"/>
      <c r="D497" s="1" t="n"/>
      <c r="E497" s="1" t="n"/>
      <c r="F497" s="1" t="n"/>
      <c r="G497" s="1" t="n"/>
    </row>
    <row r="498">
      <c r="A498" s="1" t="inlineStr">
        <is>
          <t>name</t>
        </is>
      </c>
      <c r="B498" s="1" t="inlineStr">
        <is>
          <t>amount</t>
        </is>
      </c>
      <c r="C498" s="1" t="inlineStr">
        <is>
          <t>unit</t>
        </is>
      </c>
      <c r="D498" s="1" t="inlineStr">
        <is>
          <t>categories</t>
        </is>
      </c>
      <c r="E498" s="1" t="inlineStr">
        <is>
          <t>location</t>
        </is>
      </c>
      <c r="F498" s="1" t="inlineStr">
        <is>
          <t>type</t>
        </is>
      </c>
      <c r="G498" s="1" t="inlineStr">
        <is>
          <t>reference product</t>
        </is>
      </c>
    </row>
    <row r="499">
      <c r="A499" t="inlineStr">
        <is>
          <t>clamps and fasteners production, for Li-O2 battery</t>
        </is>
      </c>
      <c r="B499" t="n">
        <v>1</v>
      </c>
      <c r="C499" t="inlineStr">
        <is>
          <t>kilogram</t>
        </is>
      </c>
      <c r="E499" t="inlineStr">
        <is>
          <t>RER</t>
        </is>
      </c>
      <c r="F499" t="inlineStr">
        <is>
          <t>production</t>
        </is>
      </c>
      <c r="G499" t="inlineStr">
        <is>
          <t>clamps and fasteners</t>
        </is>
      </c>
    </row>
    <row r="500">
      <c r="A500" t="inlineStr">
        <is>
          <t>market for steel, low-alloyed</t>
        </is>
      </c>
      <c r="B500" s="3" t="n">
        <v>1</v>
      </c>
      <c r="C500" t="inlineStr">
        <is>
          <t>kilogram</t>
        </is>
      </c>
      <c r="E500" t="inlineStr">
        <is>
          <t>GLO</t>
        </is>
      </c>
      <c r="F500" t="inlineStr">
        <is>
          <t>technosphere</t>
        </is>
      </c>
      <c r="G500" t="inlineStr">
        <is>
          <t>steel, low-alloyed</t>
        </is>
      </c>
    </row>
    <row r="501">
      <c r="A501" t="inlineStr">
        <is>
          <t>metal working, average for steel product manufacturing</t>
        </is>
      </c>
      <c r="B501" s="3" t="n">
        <v>1</v>
      </c>
      <c r="C501" t="inlineStr">
        <is>
          <t>kilogram</t>
        </is>
      </c>
      <c r="E501" t="inlineStr">
        <is>
          <t>RER</t>
        </is>
      </c>
      <c r="F501" t="inlineStr">
        <is>
          <t>technosphere</t>
        </is>
      </c>
      <c r="G501" t="inlineStr">
        <is>
          <t>metal working, average for steel product manufacturing</t>
        </is>
      </c>
    </row>
    <row r="502">
      <c r="A502" t="inlineStr">
        <is>
          <t>market for transport, freight train</t>
        </is>
      </c>
      <c r="B502" s="3" t="n">
        <v>0.2</v>
      </c>
      <c r="C502" t="inlineStr">
        <is>
          <t>ton kilometer</t>
        </is>
      </c>
      <c r="E502" t="inlineStr">
        <is>
          <t>Europe without Switzerland</t>
        </is>
      </c>
      <c r="F502" t="inlineStr">
        <is>
          <t>technosphere</t>
        </is>
      </c>
      <c r="G502" t="inlineStr">
        <is>
          <t>transport, freight train</t>
        </is>
      </c>
    </row>
    <row r="503">
      <c r="A503" t="inlineStr">
        <is>
          <t>market for transport, freight, lorry &gt;32 metric ton, EURO6</t>
        </is>
      </c>
      <c r="B503" s="3" t="n">
        <v>0.1</v>
      </c>
      <c r="C503" t="inlineStr">
        <is>
          <t>ton kilometer</t>
        </is>
      </c>
      <c r="E503" t="inlineStr">
        <is>
          <t>RER</t>
        </is>
      </c>
      <c r="F503" t="inlineStr">
        <is>
          <t>technosphere</t>
        </is>
      </c>
      <c r="G503" t="inlineStr">
        <is>
          <t>transport, freight, lorry &gt;32 metric ton, EURO6</t>
        </is>
      </c>
    </row>
    <row r="504">
      <c r="A504" t="inlineStr">
        <is>
          <t>market for metal working factory</t>
        </is>
      </c>
      <c r="B504" s="3" t="n">
        <v>4.6e-10</v>
      </c>
      <c r="C504" t="inlineStr">
        <is>
          <t>unit</t>
        </is>
      </c>
      <c r="E504" t="inlineStr">
        <is>
          <t>GLO</t>
        </is>
      </c>
      <c r="F504" t="inlineStr">
        <is>
          <t>technosphere</t>
        </is>
      </c>
      <c r="G504" t="inlineStr">
        <is>
          <t>metal working factory</t>
        </is>
      </c>
    </row>
    <row r="505"/>
    <row r="506"/>
    <row r="507" ht="16" customHeight="1">
      <c r="A507" s="2" t="inlineStr">
        <is>
          <t>Activity</t>
        </is>
      </c>
      <c r="B507" s="1" t="inlineStr">
        <is>
          <t>pipe fitting production, for Li-O2 battery</t>
        </is>
      </c>
    </row>
    <row r="508">
      <c r="A508" t="inlineStr">
        <is>
          <t>comment</t>
        </is>
      </c>
      <c r="B508" t="inlineStr">
        <is>
          <t>Retrieved from Ellingsen et al. (2013). Source: Originally from Wang, F., Deng, Y., &amp; Yuan, C. (2020). Life cycle assessment of lithium oxygen battery for electric vehicles. Journal of Cleaner Production, 264, 121339. https://doi.org/10.1016/j.jclepro.2020.121339</t>
        </is>
      </c>
    </row>
    <row r="509">
      <c r="A509" t="inlineStr">
        <is>
          <t>location</t>
        </is>
      </c>
      <c r="B509" t="inlineStr">
        <is>
          <t>RER</t>
        </is>
      </c>
    </row>
    <row r="510">
      <c r="A510" t="inlineStr">
        <is>
          <t>production amount</t>
        </is>
      </c>
      <c r="B510" t="n">
        <v>1</v>
      </c>
    </row>
    <row r="511">
      <c r="A511" t="inlineStr">
        <is>
          <t>reference product</t>
        </is>
      </c>
      <c r="B511" t="inlineStr">
        <is>
          <t>pipe fitting</t>
        </is>
      </c>
    </row>
    <row r="512">
      <c r="A512" t="inlineStr">
        <is>
          <t>unit</t>
        </is>
      </c>
      <c r="B512" t="inlineStr">
        <is>
          <t>kilogram</t>
        </is>
      </c>
    </row>
    <row r="513">
      <c r="A513" t="inlineStr">
        <is>
          <t>source</t>
        </is>
      </c>
      <c r="B513" t="inlineStr">
        <is>
          <t>Originally from Wang, F., Deng, Y., &amp; Yuan, C. (2020). Life cycle assessment of lithium oxygen battery for electric vehicles. Journal of Cleaner Production, 264, 121339. https://doi.org/10.1016/j.jclepro.2020.121339</t>
        </is>
      </c>
    </row>
    <row r="514">
      <c r="A514" s="1" t="inlineStr">
        <is>
          <t>Exchanges</t>
        </is>
      </c>
      <c r="B514" s="1" t="n"/>
      <c r="C514" s="1" t="n"/>
      <c r="D514" s="1" t="n"/>
      <c r="E514" s="1" t="n"/>
      <c r="F514" s="1" t="n"/>
      <c r="G514" s="1" t="n"/>
    </row>
    <row r="515">
      <c r="A515" s="1" t="inlineStr">
        <is>
          <t>name</t>
        </is>
      </c>
      <c r="B515" s="1" t="inlineStr">
        <is>
          <t>amount</t>
        </is>
      </c>
      <c r="C515" s="1" t="inlineStr">
        <is>
          <t>unit</t>
        </is>
      </c>
      <c r="D515" s="1" t="inlineStr">
        <is>
          <t>categories</t>
        </is>
      </c>
      <c r="E515" s="1" t="inlineStr">
        <is>
          <t>location</t>
        </is>
      </c>
      <c r="F515" s="1" t="inlineStr">
        <is>
          <t>type</t>
        </is>
      </c>
      <c r="G515" s="1" t="inlineStr">
        <is>
          <t>reference product</t>
        </is>
      </c>
      <c r="H515" s="1" t="inlineStr">
        <is>
          <t>comment</t>
        </is>
      </c>
    </row>
    <row r="516">
      <c r="A516" t="inlineStr">
        <is>
          <t>pipe fitting production, for Li-O2 battery</t>
        </is>
      </c>
      <c r="B516" t="n">
        <v>1</v>
      </c>
      <c r="C516" t="inlineStr">
        <is>
          <t>kilogram</t>
        </is>
      </c>
      <c r="E516" t="inlineStr">
        <is>
          <t>RER</t>
        </is>
      </c>
      <c r="F516" t="inlineStr">
        <is>
          <t>production</t>
        </is>
      </c>
      <c r="G516" t="inlineStr">
        <is>
          <t>pipe fitting</t>
        </is>
      </c>
    </row>
    <row r="517">
      <c r="A517" t="inlineStr">
        <is>
          <t>polyvinylchloride production, bulk polymerisation</t>
        </is>
      </c>
      <c r="B517" s="3" t="n">
        <v>0.75</v>
      </c>
      <c r="C517" t="inlineStr">
        <is>
          <t>kilogram</t>
        </is>
      </c>
      <c r="E517" t="inlineStr">
        <is>
          <t>RER</t>
        </is>
      </c>
      <c r="F517" t="inlineStr">
        <is>
          <t>technosphere</t>
        </is>
      </c>
      <c r="G517" t="inlineStr">
        <is>
          <t>polyvinylchloride, bulk polymerised</t>
        </is>
      </c>
    </row>
    <row r="518">
      <c r="A518" t="inlineStr">
        <is>
          <t>synthetic rubber production</t>
        </is>
      </c>
      <c r="B518" s="3" t="n">
        <v>0.25</v>
      </c>
      <c r="C518" t="inlineStr">
        <is>
          <t>kilogram</t>
        </is>
      </c>
      <c r="E518" t="inlineStr">
        <is>
          <t>RER</t>
        </is>
      </c>
      <c r="F518" t="inlineStr">
        <is>
          <t>technosphere</t>
        </is>
      </c>
      <c r="G518" t="inlineStr">
        <is>
          <t>synthetic rubber</t>
        </is>
      </c>
    </row>
    <row r="519">
      <c r="A519" t="inlineStr">
        <is>
          <t>injection moulding</t>
        </is>
      </c>
      <c r="B519" s="3" t="n">
        <v>1</v>
      </c>
      <c r="C519" t="inlineStr">
        <is>
          <t>kilogram</t>
        </is>
      </c>
      <c r="E519" t="inlineStr">
        <is>
          <t>RER</t>
        </is>
      </c>
      <c r="F519" t="inlineStr">
        <is>
          <t>technosphere</t>
        </is>
      </c>
      <c r="G519" t="inlineStr">
        <is>
          <t>injection moulding</t>
        </is>
      </c>
    </row>
    <row r="520">
      <c r="A520" t="inlineStr">
        <is>
          <t>market for transport, freight train</t>
        </is>
      </c>
      <c r="B520" s="3" t="n">
        <v>0.2</v>
      </c>
      <c r="C520" t="inlineStr">
        <is>
          <t>ton kilometer</t>
        </is>
      </c>
      <c r="E520" t="inlineStr">
        <is>
          <t>Europe without Switzerland</t>
        </is>
      </c>
      <c r="F520" t="inlineStr">
        <is>
          <t>technosphere</t>
        </is>
      </c>
      <c r="G520" t="inlineStr">
        <is>
          <t>transport, freight train</t>
        </is>
      </c>
    </row>
    <row r="521">
      <c r="A521" t="inlineStr">
        <is>
          <t>market for transport, freight, lorry &gt;32 metric ton, EURO6</t>
        </is>
      </c>
      <c r="B521" s="3" t="n">
        <v>0.1</v>
      </c>
      <c r="C521" t="inlineStr">
        <is>
          <t>ton kilometer</t>
        </is>
      </c>
      <c r="E521" t="inlineStr">
        <is>
          <t>RER</t>
        </is>
      </c>
      <c r="F521" t="inlineStr">
        <is>
          <t>technosphere</t>
        </is>
      </c>
      <c r="G521" t="inlineStr">
        <is>
          <t>transport, freight, lorry &gt;32 metric ton, EURO6</t>
        </is>
      </c>
    </row>
    <row r="522">
      <c r="A522" t="inlineStr">
        <is>
          <t>plastic processing factory construction</t>
        </is>
      </c>
      <c r="B522" s="3" t="n">
        <v>7.4e-10</v>
      </c>
      <c r="C522" t="inlineStr">
        <is>
          <t>unit</t>
        </is>
      </c>
      <c r="E522" t="inlineStr">
        <is>
          <t>RER</t>
        </is>
      </c>
      <c r="F522" t="inlineStr">
        <is>
          <t>technosphere</t>
        </is>
      </c>
      <c r="G522" t="inlineStr">
        <is>
          <t>plastic processing factory</t>
        </is>
      </c>
    </row>
    <row r="523"/>
    <row r="524"/>
    <row r="525" ht="16" customHeight="1">
      <c r="A525" s="2" t="inlineStr">
        <is>
          <t>Activity</t>
        </is>
      </c>
      <c r="B525" s="1" t="inlineStr">
        <is>
          <t>thermal pad production, for Li-O2 battery</t>
        </is>
      </c>
    </row>
    <row r="526">
      <c r="A526" t="inlineStr">
        <is>
          <t>comment</t>
        </is>
      </c>
      <c r="B526" t="inlineStr">
        <is>
          <t>Retrieved from Ellingsen et al. (2013). Source: Originally from Wang, F., Deng, Y., &amp; Yuan, C. (2020). Life cycle assessment of lithium oxygen battery for electric vehicles. Journal of Cleaner Production, 264, 121339. https://doi.org/10.1016/j.jclepro.2020.121339</t>
        </is>
      </c>
    </row>
    <row r="527">
      <c r="A527" t="inlineStr">
        <is>
          <t>location</t>
        </is>
      </c>
      <c r="B527" t="inlineStr">
        <is>
          <t>RER</t>
        </is>
      </c>
    </row>
    <row r="528">
      <c r="A528" t="inlineStr">
        <is>
          <t>production amount</t>
        </is>
      </c>
      <c r="B528" t="n">
        <v>1</v>
      </c>
    </row>
    <row r="529">
      <c r="A529" t="inlineStr">
        <is>
          <t>reference product</t>
        </is>
      </c>
      <c r="B529" t="inlineStr">
        <is>
          <t>thermal pad</t>
        </is>
      </c>
    </row>
    <row r="530">
      <c r="A530" t="inlineStr">
        <is>
          <t>unit</t>
        </is>
      </c>
      <c r="B530" t="inlineStr">
        <is>
          <t>kilogram</t>
        </is>
      </c>
    </row>
    <row r="531">
      <c r="A531" t="inlineStr">
        <is>
          <t>source</t>
        </is>
      </c>
      <c r="B531" t="inlineStr">
        <is>
          <t>Originally from Wang, F., Deng, Y., &amp; Yuan, C. (2020). Life cycle assessment of lithium oxygen battery for electric vehicles. Journal of Cleaner Production, 264, 121339. https://doi.org/10.1016/j.jclepro.2020.121339</t>
        </is>
      </c>
    </row>
    <row r="532">
      <c r="A532" s="1" t="inlineStr">
        <is>
          <t>Exchanges</t>
        </is>
      </c>
      <c r="B532" s="1" t="n"/>
      <c r="C532" s="1" t="n"/>
      <c r="D532" s="1" t="n"/>
      <c r="E532" s="1" t="n"/>
      <c r="F532" s="1" t="n"/>
      <c r="G532" s="1" t="n"/>
    </row>
    <row r="533">
      <c r="A533" s="1" t="inlineStr">
        <is>
          <t>name</t>
        </is>
      </c>
      <c r="B533" s="1" t="inlineStr">
        <is>
          <t>amount</t>
        </is>
      </c>
      <c r="C533" s="1" t="inlineStr">
        <is>
          <t>unit</t>
        </is>
      </c>
      <c r="D533" s="1" t="inlineStr">
        <is>
          <t>categories</t>
        </is>
      </c>
      <c r="E533" s="1" t="inlineStr">
        <is>
          <t>location</t>
        </is>
      </c>
      <c r="F533" s="1" t="inlineStr">
        <is>
          <t>type</t>
        </is>
      </c>
      <c r="G533" s="1" t="inlineStr">
        <is>
          <t>reference product</t>
        </is>
      </c>
      <c r="H533" s="1" t="inlineStr">
        <is>
          <t>comment</t>
        </is>
      </c>
    </row>
    <row r="534">
      <c r="A534" t="inlineStr">
        <is>
          <t>thermal pad production, for Li-O2 battery</t>
        </is>
      </c>
      <c r="B534" t="n">
        <v>1</v>
      </c>
      <c r="C534" t="inlineStr">
        <is>
          <t>kilogram</t>
        </is>
      </c>
      <c r="E534" t="inlineStr">
        <is>
          <t>RER</t>
        </is>
      </c>
      <c r="F534" t="inlineStr">
        <is>
          <t>production</t>
        </is>
      </c>
      <c r="G534" t="inlineStr">
        <is>
          <t>thermal pad</t>
        </is>
      </c>
    </row>
    <row r="535">
      <c r="A535" t="inlineStr">
        <is>
          <t>glass fibre production</t>
        </is>
      </c>
      <c r="B535" s="3" t="n">
        <v>0.1</v>
      </c>
      <c r="C535" t="inlineStr">
        <is>
          <t>kilogram</t>
        </is>
      </c>
      <c r="E535" t="inlineStr">
        <is>
          <t>RER</t>
        </is>
      </c>
      <c r="F535" t="inlineStr">
        <is>
          <t>technosphere</t>
        </is>
      </c>
      <c r="G535" t="inlineStr">
        <is>
          <t>glass fibre</t>
        </is>
      </c>
    </row>
    <row r="536">
      <c r="A536" t="inlineStr">
        <is>
          <t>silicon production, electronics grade</t>
        </is>
      </c>
      <c r="B536" s="3" t="n">
        <v>0.3</v>
      </c>
      <c r="C536" t="inlineStr">
        <is>
          <t>kilogram</t>
        </is>
      </c>
      <c r="E536" t="inlineStr">
        <is>
          <t>DE</t>
        </is>
      </c>
      <c r="F536" t="inlineStr">
        <is>
          <t>technosphere</t>
        </is>
      </c>
      <c r="G536" t="inlineStr">
        <is>
          <t>silicon, electronics grade</t>
        </is>
      </c>
    </row>
    <row r="537">
      <c r="A537" t="inlineStr">
        <is>
          <t>market for acrylonitrile-butadiene-styrene copolymer</t>
        </is>
      </c>
      <c r="B537" s="3" t="n">
        <v>0.6</v>
      </c>
      <c r="C537" t="inlineStr">
        <is>
          <t>kilogram</t>
        </is>
      </c>
      <c r="E537" t="inlineStr">
        <is>
          <t>GLO</t>
        </is>
      </c>
      <c r="F537" t="inlineStr">
        <is>
          <t>technosphere</t>
        </is>
      </c>
      <c r="G537" t="inlineStr">
        <is>
          <t>acrylonitrile-butadiene-styrene copolymer</t>
        </is>
      </c>
    </row>
    <row r="538">
      <c r="A538" t="inlineStr">
        <is>
          <t>injection moulding</t>
        </is>
      </c>
      <c r="B538" s="3" t="n">
        <v>1</v>
      </c>
      <c r="C538" t="inlineStr">
        <is>
          <t>kilogram</t>
        </is>
      </c>
      <c r="E538" t="inlineStr">
        <is>
          <t>RER</t>
        </is>
      </c>
      <c r="F538" t="inlineStr">
        <is>
          <t>technosphere</t>
        </is>
      </c>
      <c r="G538" t="inlineStr">
        <is>
          <t>injection moulding</t>
        </is>
      </c>
    </row>
    <row r="539">
      <c r="A539" t="inlineStr">
        <is>
          <t>market for transport, freight train</t>
        </is>
      </c>
      <c r="B539" s="3" t="n">
        <v>0.2</v>
      </c>
      <c r="C539" t="inlineStr">
        <is>
          <t>ton kilometer</t>
        </is>
      </c>
      <c r="E539" t="inlineStr">
        <is>
          <t>Europe without Switzerland</t>
        </is>
      </c>
      <c r="F539" t="inlineStr">
        <is>
          <t>technosphere</t>
        </is>
      </c>
      <c r="G539" t="inlineStr">
        <is>
          <t>transport, freight train</t>
        </is>
      </c>
    </row>
    <row r="540">
      <c r="A540" t="inlineStr">
        <is>
          <t>market for transport, freight, lorry &gt;32 metric ton, EURO6</t>
        </is>
      </c>
      <c r="B540" s="3" t="n">
        <v>0.1</v>
      </c>
      <c r="C540" t="inlineStr">
        <is>
          <t>ton kilometer</t>
        </is>
      </c>
      <c r="E540" t="inlineStr">
        <is>
          <t>RER</t>
        </is>
      </c>
      <c r="F540" t="inlineStr">
        <is>
          <t>technosphere</t>
        </is>
      </c>
      <c r="G540" t="inlineStr">
        <is>
          <t>transport, freight, lorry &gt;32 metric ton, EURO6</t>
        </is>
      </c>
    </row>
    <row r="541">
      <c r="A541" t="inlineStr">
        <is>
          <t>plastic processing factory construction</t>
        </is>
      </c>
      <c r="B541" s="3" t="n">
        <v>7.4e-10</v>
      </c>
      <c r="C541" t="inlineStr">
        <is>
          <t>unit</t>
        </is>
      </c>
      <c r="E541" t="inlineStr">
        <is>
          <t>RER</t>
        </is>
      </c>
      <c r="F541" t="inlineStr">
        <is>
          <t>technosphere</t>
        </is>
      </c>
      <c r="G541" t="inlineStr">
        <is>
          <t>plastic processing factory</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Hahn Menacho Alvaro Jose</dc:creator>
  <dcterms:created xmlns:dcterms="http://purl.org/dc/terms/" xmlns:xsi="http://www.w3.org/2001/XMLSchema-instance" xsi:type="dcterms:W3CDTF">2015-06-05T18:19:34Z</dcterms:created>
  <dcterms:modified xmlns:dcterms="http://purl.org/dc/terms/" xmlns:xsi="http://www.w3.org/2001/XMLSchema-instance" xsi:type="dcterms:W3CDTF">2026-07-07T14:16:25Z</dcterms:modified>
  <cp:lastModifiedBy>Romain Sacchi</cp:lastModifiedBy>
</cp:coreProperties>
</file>