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3"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H164" i="1"/>
  <c r="B161" i="1"/>
  <c r="H161" i="1" s="1"/>
  <c r="B160" i="1"/>
  <c r="H160" i="1" s="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<sst xmlns="http://schemas.openxmlformats.org/spreadsheetml/2006/main" count="1709" uniqueCount="281">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</sst>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s">
        <v>266</v>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f>-5.505/1000</f>
        <v>-5.5049999999999995E-3</v>
      </c>
      <c r="C51" t="s">
        <v>9</v>
      </c>
      <c r="E51" t="s">
        <v>63</v>
      </c>
      <c r="F51" t="s">
        <v>27</v>
      </c>
      <c r="G51" t="s">
        <v>76</v>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s">
        <v>263</v>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s">
        <v>112</v>
      </c>
      <c r="B160">
        <f>45/1000</f>
        <v>4.4999999999999998E-2</v>
      </c>
      <c r="C160" t="s">
        <v>9</v>
      </c>
      <c r="E160" t="s">
        <v>48</v>
      </c>
      <c r="F160" t="s">
        <v>27</v>
      </c>
      <c r="G160" t="s">
        <v>113</v>
      </c>
      <c r="H160">
        <f t="shared" ref="H160:H169" si="0">184*B$24*B160</f>
        <v>0.47195999999999994</v>
      </c>
    </row>
    <row r="161" spans="1:8" x14ac:dyDescent="0.2">
      <c r="A161" t="s">
        <v>114</v>
      </c>
      <c r="B161">
        <f>0.0000000000349</f>
        <v>3.4899999999999997E-11</v>
      </c>
      <c r="C161" t="s">
        <v>8</v>
      </c>
      <c r="E161" t="s">
        <v>48</v>
      </c>
      <c r="F161" t="s">
        <v>27</v>
      </c>
      <c r="G161" t="s">
        <v>115</v>
      </c>
      <c r="H161">
        <f t="shared" si="0"/>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s">
        <v>118</v>
      </c>
      <c r="B164">
        <f>0.234*-1</f>
        <v>-0.23400000000000001</v>
      </c>
      <c r="C164" t="s">
        <v>9</v>
      </c>
      <c r="E164" t="s">
        <v>63</v>
      </c>
      <c r="F164" t="s">
        <v>27</v>
      </c>
      <c r="G164" t="s">
        <v>119</v>
      </c>
      <c r="H164">
        <f t="shared" si="0"/>
        <v>-2.4541919999999999</v>
      </c>
    </row>
    <row r="165" spans="1:8" x14ac:dyDescent="0.2">
      <c r="A165" t="s">
        <v>120</v>
      </c>
      <c r="B165">
        <v>0.23200000000000001</v>
      </c>
      <c r="C165" t="s">
        <v>9</v>
      </c>
      <c r="E165" t="s">
        <v>5</v>
      </c>
      <c r="F165" t="s">
        <v>27</v>
      </c>
      <c r="G165" t="s">
        <v>111</v>
      </c>
      <c r="H165">
        <f t="shared" si="0"/>
        <v>2.4332159999999998</v>
      </c>
    </row>
    <row r="166" spans="1:8" x14ac:dyDescent="0.2">
      <c r="A166" t="s">
        <v>106</v>
      </c>
      <c r="B166">
        <v>0.76800000000000002</v>
      </c>
      <c r="C166" t="s">
        <v>9</v>
      </c>
      <c r="E166" t="s">
        <v>5</v>
      </c>
      <c r="F166" t="s">
        <v>27</v>
      </c>
      <c r="G166" t="s">
        <v>107</v>
      </c>
      <c r="H166">
        <f t="shared" si="0"/>
        <v>8.0547839999999997</v>
      </c>
    </row>
    <row r="167" spans="1:8" x14ac:dyDescent="0.2">
      <c r="A167" t="s">
        <v>87</v>
      </c>
      <c r="B167">
        <v>0.2</v>
      </c>
      <c r="C167" t="s">
        <v>88</v>
      </c>
      <c r="E167" t="s">
        <v>63</v>
      </c>
      <c r="F167" t="s">
        <v>27</v>
      </c>
      <c r="G167" t="s">
        <v>89</v>
      </c>
      <c r="H167">
        <f t="shared" si="0"/>
        <v>2.0975999999999999</v>
      </c>
    </row>
    <row r="168" spans="1:8" x14ac:dyDescent="0.2">
      <c r="A168" t="s">
        <v>90</v>
      </c>
      <c r="B168">
        <v>0.1</v>
      </c>
      <c r="C168" t="s">
        <v>88</v>
      </c>
      <c r="E168" t="s">
        <v>48</v>
      </c>
      <c r="F168" t="s">
        <v>27</v>
      </c>
      <c r="G168" t="s">
        <v>91</v>
      </c>
      <c r="H168">
        <f t="shared" si="0"/>
        <v>1.0488</v>
      </c>
    </row>
    <row r="169" spans="1:8" x14ac:dyDescent="0.2">
      <c r="A169" t="s">
        <v>121</v>
      </c>
      <c r="B169">
        <f>-18/1000</f>
        <v>-1.7999999999999999E-2</v>
      </c>
      <c r="C169" t="s">
        <v>9</v>
      </c>
      <c r="E169" t="s">
        <v>63</v>
      </c>
      <c r="F169" t="s">
        <v>27</v>
      </c>
      <c r="G169" t="s">
        <v>122</v>
      </c>
      <c r="H169">
        <f t="shared" si="0"/>
        <v>-0.18878399999999998</v>
      </c>
    </row>
    <row r="172" spans="1:8" ht="16" x14ac:dyDescent="0.2">
      <c r="A172" s="2" t="s">
        <v>2</v>
      </c>
      <c r="B172" s="2" t="s">
        <v>23</v>
      </c>
    </row>
    <row r="173" spans="1:8" ht="16" x14ac:dyDescent="0.2">
      <c r="A173" s="7" t="s">
        <v>3</v>
      </c>
      <c r="B173" s="7" t="s">
        <v>263</v>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s">
        <v>112</v>
      </c>
      <c r="B183">
        <v>0.129</v>
      </c>
      <c r="C183" t="s">
        <v>9</v>
      </c>
      <c r="E183" t="s">
        <v>48</v>
      </c>
      <c r="F183" t="s">
        <v>27</v>
      </c>
      <c r="G183" t="s">
        <v>113</v>
      </c>
      <c r="H183">
        <f t="shared" ref="H183:H188" si="1">184*B$23*B183</f>
        <v>0.87823200000000001</v>
      </c>
    </row>
    <row r="184" spans="1:8" x14ac:dyDescent="0.2">
      <c r="A184" t="s">
        <v>123</v>
      </c>
      <c r="B184">
        <v>0.20599999999999999</v>
      </c>
      <c r="C184" t="s">
        <v>9</v>
      </c>
      <c r="E184" t="s">
        <v>5</v>
      </c>
      <c r="F184" t="s">
        <v>27</v>
      </c>
      <c r="G184" t="s">
        <v>124</v>
      </c>
      <c r="H184">
        <f t="shared" si="1"/>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s">
        <v>262</v>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s">
        <v>257</v>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s">
        <v>217</v>
      </c>
      <c r="B400" s="3">
        <v>0.12</v>
      </c>
      <c r="C400" t="s">
        <v>9</v>
      </c>
      <c r="E400" t="s">
        <v>63</v>
      </c>
      <c r="F400" t="s">
        <v>27</v>
      </c>
      <c r="G400" t="s">
        <v>218</v>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s">
        <v>118</v>
      </c>
      <c r="B405" s="3">
        <f>0.041*-1</f>
        <v>-4.1000000000000002E-2</v>
      </c>
      <c r="C405" t="s">
        <v>9</v>
      </c>
      <c r="E405" t="s">
        <v>63</v>
      </c>
      <c r="F405" t="s">
        <v>27</v>
      </c>
      <c r="G405" t="s">
        <v>119</v>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