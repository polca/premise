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<sst xmlns="http://schemas.openxmlformats.org/spreadsheetml/2006/main" count="1709" uniqueCount="281">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</sst>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3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is>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0.0</v>
      </c>
      <c r="C14" t="s">
        <v>9</v>
      </c>
      <c r="E14" t="s">
        <v>5</v>
      </c>
      <c r="F14" t="s">
        <v>27</v>
      </c>
      <c r="G14" t="s">
        <v>28</v>
      </c>
      <c r="H14" t="s">
        <v>29</v>
      </c>
    </row>
    <row r="15" spans="1:8" x14ac:dyDescent="0.2">
      <c r="A15" t="s">
        <v>57</v>
      </c>
      <c r="B15" s="6">
        <v>0.07880613362541074</v>
      </c>
      <c r="C15" t="s">
        <v>9</v>
      </c>
      <c r="E15" t="s">
        <v>48</v>
      </c>
      <c r="F15" t="s">
        <v>27</v>
      </c>
      <c r="G15" t="s">
        <v>58</v>
      </c>
      <c r="H15" t="s">
        <v>256</v>
      </c>
    </row>
    <row r="16" spans="1:8" x14ac:dyDescent="0.2">
      <c r="A16" t="s">
        <v>19</v>
      </c>
      <c r="B16" s="6">
        <v>0.01823658269441402</v>
      </c>
      <c r="C16" t="s">
        <v>9</v>
      </c>
      <c r="E16" t="s">
        <v>48</v>
      </c>
      <c r="F16" t="s">
        <v>27</v>
      </c>
      <c r="G16" t="s">
        <v>41</v>
      </c>
    </row>
    <row r="17" spans="1:20" x14ac:dyDescent="0.2">
      <c r="A17" t="s">
        <v>20</v>
      </c>
      <c r="B17" s="6">
        <v>0.11648411829134721</v>
      </c>
      <c r="C17" t="s">
        <v>9</v>
      </c>
      <c r="E17" t="s">
        <v>48</v>
      </c>
      <c r="F17" t="s">
        <v>27</v>
      </c>
      <c r="G17" t="s">
        <v>33</v>
      </c>
    </row>
    <row r="18" spans="1:20" x14ac:dyDescent="0.2">
      <c r="A18" t="s">
        <v>21</v>
      </c>
      <c r="B18" s="6">
        <v>0.10602409638554217</v>
      </c>
      <c r="C18" t="s">
        <v>9</v>
      </c>
      <c r="E18" t="s">
        <v>48</v>
      </c>
      <c r="F18" t="s">
        <v>27</v>
      </c>
      <c r="G18" t="s">
        <v>34</v>
      </c>
    </row>
    <row r="19" spans="1:20" x14ac:dyDescent="0.2">
      <c r="A19" t="s">
        <v>22</v>
      </c>
      <c r="B19" s="6">
        <v>0.21407447973713037</v>
      </c>
      <c r="C19" t="s">
        <v>9</v>
      </c>
      <c r="E19" t="s">
        <v>48</v>
      </c>
      <c r="F19" t="s">
        <v>27</v>
      </c>
      <c r="G19" t="s">
        <v>38</v>
      </c>
    </row>
    <row r="20" spans="1:20" x14ac:dyDescent="0.2">
      <c r="A20" t="s">
        <v>39</v>
      </c>
      <c r="B20" s="6">
        <v>0.01598582883723446</v>
      </c>
      <c r="C20" t="s">
        <v>9</v>
      </c>
      <c r="E20" t="s">
        <v>48</v>
      </c>
      <c r="F20" t="s">
        <v>27</v>
      </c>
      <c r="G20" t="s">
        <v>40</v>
      </c>
    </row>
    <row r="21" spans="1:20" x14ac:dyDescent="0.2">
      <c r="A21" t="s">
        <v>31</v>
      </c>
      <c r="B21" s="6">
        <v>0.3077272051167633</v>
      </c>
      <c r="C21" t="s">
        <v>9</v>
      </c>
      <c r="E21" t="s">
        <v>5</v>
      </c>
      <c r="F21" t="s">
        <v>27</v>
      </c>
      <c r="G21" t="s">
        <v>32</v>
      </c>
      <c r="H21" t="s">
        <v>30</v>
      </c>
    </row>
    <row r="22" spans="1:20" x14ac:dyDescent="0.2">
      <c r="A22" t="s">
        <v>169</v>
      </c>
      <c r="B22" s="6">
        <v>0.048466593647316536</v>
      </c>
      <c r="C22" t="s">
        <v>9</v>
      </c>
      <c r="E22" t="s">
        <v>48</v>
      </c>
      <c r="F22" t="s">
        <v>27</v>
      </c>
      <c r="G22" t="s">
        <v>35</v>
      </c>
    </row>
    <row r="23" spans="1:20" x14ac:dyDescent="0.2">
      <c r="A23" t="s">
        <v>23</v>
      </c>
      <c r="B23" s="6">
        <v>0.03663745892661556</v>
      </c>
      <c r="C23" t="s">
        <v>9</v>
      </c>
      <c r="E23" t="s">
        <v>48</v>
      </c>
      <c r="F23" t="s">
        <v>27</v>
      </c>
      <c r="G23" t="s">
        <v>36</v>
      </c>
    </row>
    <row r="24" spans="1:20" x14ac:dyDescent="0.2">
      <c r="A24" t="s">
        <v>24</v>
      </c>
      <c r="B24" s="6">
        <v>0.05750273822562979</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1</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COLLECTOR FACILITY SOURCE OMISSION, 2026-10-18. Wang et al. (2020), DOI 10.1016/j.jclepro.2020.121339, supporting information Table S10 lists 1.5E-10 pieces RER aluminium casting plant per kg aluminium current collector. Add the existing RER aluminium casting facility construction supplier at 1.5E-10 unit/kg in blank exchange row 147. This restores the source infrastructure proxy; it does not validate the casting/rolling facility design, manufacturing yield or the unresolved 0.825 kg aluminium feed per kg output. Keep aluminium feed, sheet rolling, transport and all other coefficients unchanged.
PREVIOUS NOTES (retained as history; the correction above takes precedence):
 Source: Originally from Wang, F., Deng, Y., &amp; Yuan, C. (2020). Life cycle assessment of lithium oxygen battery for electric vehicles. Journal of Cleaner Production, 264, 121339. https://doi.org/10.1016/j.jclepro.2020.121339</t>
        </is>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1</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7">
      <c r="A147" t="inlineStr">
        <is>
          <t>aluminium casting facility construction</t>
        </is>
      </c>
      <c r="B147">
        <v>1.5e-10</v>
      </c>
      <c r="C147" t="inlineStr">
        <is>
          <t>unit</t>
        </is>
      </c>
      <c r="E147" t="inlineStr">
        <is>
          <t>RER</t>
        </is>
      </c>
      <c r="F147" t="inlineStr">
        <is>
          <t>technosphere</t>
        </is>
      </c>
      <c r="G147" t="inlineStr">
        <is>
          <t>aluminium casting facility</t>
        </is>
      </c>
      <c r="H147" t="inlineStr">
        <is>
          <t>Wang et al. (2020), DOI 10.1016/j.jclepro.2020.121339, SI Table S10: 1.5E-10 RER aluminium casting plant units/kg collector. Source facility proxy; no measured design or manufacturing-yield validation.</t>
        </is>
      </c>
    </row>
    <row r="149" spans="1:8" ht="16" x14ac:dyDescent="0.2">
      <c r="A149" s="2" t="s">
        <v>2</v>
      </c>
      <c r="B149" s="2" t="s">
        <v>24</v>
      </c>
    </row>
    <row r="150" spans="1:8" ht="16" x14ac:dyDescent="0.2">
      <c r="A150" s="7" t="s">
        <v>3</v>
      </c>
      <c r="B150" s="7" t="inlineStr">
        <is>
          <t xml:space="preserve">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0.23238095238095238</v>
      </c>
      <c r="C159" t="s">
        <v>9</v>
      </c>
      <c r="E159" t="s">
        <v>110</v>
      </c>
      <c r="F159" t="s">
        <v>27</v>
      </c>
      <c r="G159" t="s">
        <v>109</v>
      </c>
      <c r="H159">
        <f>184*B$24*B159</f>
        <v>8.6525999999999996</v>
      </c>
    </row>
    <row r="160" spans="1:8" x14ac:dyDescent="0.2">
      <c r="A160" t="inlineStr">
        <is>
          <t>market for aluminium, wrought alloy</t>
        </is>
      </c>
      <c r="B160">
        <f>0</f>
        <v>0</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0.7676190476190476</v>
      </c>
      <c r="C163" t="s">
        <v>9</v>
      </c>
      <c r="E163" t="s">
        <v>5</v>
      </c>
      <c r="F163" t="s">
        <v>27</v>
      </c>
      <c r="G163" t="s">
        <v>117</v>
      </c>
      <c r="H163">
        <f t="shared" si="0"/>
        <v>7.477943999999999</v>
      </c>
    </row>
    <row r="164" spans="1:8" x14ac:dyDescent="0.2">
      <c r="A164" t="inlineStr">
        <is>
          <t>market for copper, cathode</t>
        </is>
      </c>
      <c r="B164">
        <f>0</f>
        <v>0</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0.23238095238095238</v>
      </c>
      <c r="C165" t="s">
        <v>9</v>
      </c>
      <c r="E165" t="s">
        <v>5</v>
      </c>
      <c r="F165" t="s">
        <v>27</v>
      </c>
      <c r="G165" t="s">
        <v>111</v>
      </c>
      <c r="H165">
        <f t="shared" si="4" ref="H165:H169">184*B$24*B165</f>
        <v>2.4332159999999998</v>
      </c>
    </row>
    <row r="166" spans="1:8" x14ac:dyDescent="0.2">
      <c r="A166" t="s">
        <v>106</v>
      </c>
      <c r="B166">
        <v>0.7676190476190476</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0</f>
        <v>0</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0.2860071758072783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0.5197334700153767</v>
      </c>
      <c r="C217" t="s">
        <v>9</v>
      </c>
      <c r="E217" t="s">
        <v>110</v>
      </c>
      <c r="F217" t="s">
        <v>27</v>
      </c>
      <c r="G217" t="s">
        <v>109</v>
      </c>
      <c r="H217">
        <f t="shared" si="2"/>
        <v>4.1352803738317755E-2</v>
      </c>
    </row>
    <row r="218" spans="1:8" x14ac:dyDescent="0.2">
      <c r="A218" t="s">
        <v>133</v>
      </c>
      <c r="B218">
        <v>0.14915427985648386</v>
      </c>
      <c r="C218" t="s">
        <v>9</v>
      </c>
      <c r="E218" t="s">
        <v>48</v>
      </c>
      <c r="F218" t="s">
        <v>27</v>
      </c>
      <c r="G218" t="s">
        <v>133</v>
      </c>
      <c r="H218">
        <f t="shared" si="2"/>
        <v>5.7643302180685361E-3</v>
      </c>
    </row>
    <row r="219" spans="1:8" x14ac:dyDescent="0.2">
      <c r="A219" t="s">
        <v>134</v>
      </c>
      <c r="B219">
        <v>0.4760917282583603</v>
      </c>
      <c r="C219" t="s">
        <v>135</v>
      </c>
      <c r="E219" t="s">
        <v>48</v>
      </c>
      <c r="F219" t="s">
        <v>27</v>
      </c>
      <c r="G219" t="s">
        <v>134</v>
      </c>
      <c r="H219">
        <f t="shared" si="2"/>
        <v>3.0074766355140187E-2</v>
      </c>
    </row>
    <row r="220" spans="1:8" x14ac:dyDescent="0.2">
      <c r="A220" t="s">
        <v>168</v>
      </c>
      <c r="B220">
        <v>0.03434136340338288</v>
      </c>
      <c r="C220" t="s">
        <v>9</v>
      </c>
      <c r="E220" t="s">
        <v>5</v>
      </c>
      <c r="F220" t="s">
        <v>27</v>
      </c>
      <c r="G220" t="s">
        <v>167</v>
      </c>
      <c r="H220">
        <f t="shared" si="2"/>
        <v>2.4561059190031155E-3</v>
      </c>
    </row>
    <row r="221" spans="1:8" x14ac:dyDescent="0.2">
      <c r="A221" t="s">
        <v>136</v>
      </c>
      <c r="B221">
        <v>0.2860071758072783</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0.010763710917478214</v>
      </c>
      <c r="C223" t="s">
        <v>9</v>
      </c>
      <c r="E223" t="s">
        <v>48</v>
      </c>
      <c r="F223" t="s">
        <v>27</v>
      </c>
      <c r="G223" t="s">
        <v>139</v>
      </c>
      <c r="H223">
        <f t="shared" si="2"/>
        <v>3.3583489096573214E-3</v>
      </c>
    </row>
    <row r="224" spans="1:8" x14ac:dyDescent="0.2">
      <c r="A224" t="s">
        <v>120</v>
      </c>
      <c r="B224">
        <v>0.5197334700153767</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0</f>
        <v>0</v>
      </c>
      <c r="C227" t="s">
        <v>9</v>
      </c>
      <c r="E227" t="s">
        <v>63</v>
      </c>
      <c r="F227" t="s">
        <v>27</v>
      </c>
      <c r="G227" t="s">
        <v>122</v>
      </c>
      <c r="H227">
        <f t="shared" si="2"/>
        <v>-9.7742990654205615E-3</v>
      </c>
    </row>
    <row r="228">
      <c r="A228" t="inlineStr">
        <is>
          <t>market for copper, cathode</t>
        </is>
      </c>
      <c r="B228">
        <v>0.14915427985648386</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29">
      <c r="A229" t="inlineStr">
        <is>
          <t>market for polypropylene, granulate</t>
        </is>
      </c>
      <c r="B229">
        <v>0.010763710917478214</v>
      </c>
      <c r="C229" t="inlineStr">
        <is>
          <t>kilogram</t>
        </is>
      </c>
      <c r="E229" t="inlineStr">
        <is>
          <t>GLO</t>
        </is>
      </c>
      <c r="F229" t="inlineStr">
        <is>
          <t>technosphere</t>
        </is>
      </c>
      <c r="G229" t="inlineStr">
        <is>
          <t>polypropylene, granulate</t>
        </is>
      </c>
      <c r="H229" t="inlineStr">
        <is>
          <t>S3 spacer material: PP engineering proxy; retained mass.</t>
        </is>
      </c>
    </row>
    <row r="230" spans="1:8" ht="16" x14ac:dyDescent="0.2">
      <c r="A230" s="2" t="s">
        <v>2</v>
      </c>
      <c r="B230" s="2" t="s">
        <v>140</v>
      </c>
    </row>
    <row r="231" spans="1:8" x14ac:dyDescent="0.2">
      <c r="A231" t="s">
        <v>3</v>
      </c>
      <c r="B231"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0.9239752690634303</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0.9239752690634303</v>
      </c>
      <c r="C243" t="s">
        <v>9</v>
      </c>
      <c r="E243" t="s">
        <v>5</v>
      </c>
      <c r="F243" t="s">
        <v>27</v>
      </c>
      <c r="G243" t="s">
        <v>143</v>
      </c>
      <c r="H243" s="6">
        <f t="shared" si="3"/>
        <v>0.10093445482866042</v>
      </c>
    </row>
    <row r="244" spans="1:8" x14ac:dyDescent="0.2">
      <c r="A244" t="s">
        <v>144</v>
      </c>
      <c r="B244" s="3">
        <v>0.05541561712846347</v>
      </c>
      <c r="C244" t="s">
        <v>9</v>
      </c>
      <c r="E244" t="s">
        <v>5</v>
      </c>
      <c r="F244" t="s">
        <v>27</v>
      </c>
      <c r="G244" t="s">
        <v>145</v>
      </c>
      <c r="H244" s="6">
        <f t="shared" si="3"/>
        <v>3.5927725856697819E-3</v>
      </c>
    </row>
    <row r="245" spans="1:8" x14ac:dyDescent="0.2">
      <c r="A245" t="s">
        <v>146</v>
      </c>
      <c r="B245">
        <v>0.05541561712846347</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inlineStr">
        <is>
          <t>resistance heating alloy, binary NiCr80/20 engineering reference</t>
        </is>
      </c>
      <c r="B248">
        <f>0.004579803068468056</f>
        <v>0.004579803068468056</v>
      </c>
      <c r="C248" t="s">
        <v>9</v>
      </c>
      <c r="E248" t="inlineStr">
        <is>
          <t>GLO</t>
        </is>
      </c>
      <c r="F248" t="s">
        <v>27</v>
      </c>
      <c r="G248" t="inlineStr">
        <is>
          <t>resistance heating alloy, binary NiCr80/20 engineering reference</t>
        </is>
      </c>
      <c r="H248" s="6">
        <f>B248*B$280</f>
        <v>-8.6451090342679112E-3</v>
      </c>
    </row>
    <row r="249">
      <c r="A249" t="inlineStr">
        <is>
          <t>market for copper, cathode</t>
        </is>
      </c>
      <c r="B249">
        <v>0.016029310739638192</v>
      </c>
      <c r="C249" t="inlineStr">
        <is>
          <t>kilogram</t>
        </is>
      </c>
      <c r="E249" t="inlineStr">
        <is>
          <t>GLO</t>
        </is>
      </c>
      <c r="F249" t="inlineStr">
        <is>
          <t>technosphere</t>
        </is>
      </c>
      <c r="G249" t="inlineStr">
        <is>
          <t>copper, cathode</t>
        </is>
      </c>
      <c r="H249" t="inlineStr">
        <is>
          <t>S3 pack connection copper;100percent retention reference.</t>
        </is>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PREVIOUS NOTES (retained as history; the correction above takes precedence):
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0.5469522240527184</f>
        <v>0.5469522240527184</v>
      </c>
      <c r="C278" t="s">
        <v>9</v>
      </c>
      <c r="E278" t="s">
        <v>5</v>
      </c>
      <c r="F278" t="s">
        <v>27</v>
      </c>
      <c r="G278" t="s">
        <v>270</v>
      </c>
      <c r="H278" t="s">
        <v>269</v>
      </c>
    </row>
    <row r="279" spans="1:8" x14ac:dyDescent="0.2">
      <c r="A279" t="s">
        <v>131</v>
      </c>
      <c r="B279">
        <f>0.05843941890070392</f>
        <v>0.05843941890070392</v>
      </c>
      <c r="C279" t="s">
        <v>9</v>
      </c>
      <c r="E279" t="s">
        <v>48</v>
      </c>
      <c r="F279" t="s">
        <v>27</v>
      </c>
      <c r="G279" t="s">
        <v>132</v>
      </c>
    </row>
    <row r="280" spans="1:8" x14ac:dyDescent="0.2">
      <c r="A280" t="s">
        <v>140</v>
      </c>
      <c r="B280">
        <f>0.13080724876441518</f>
        <v>0.13080724876441518</v>
      </c>
      <c r="C280" t="s">
        <v>9</v>
      </c>
      <c r="E280" t="s">
        <v>48</v>
      </c>
      <c r="F280" t="s">
        <v>27</v>
      </c>
      <c r="G280" t="s">
        <v>141</v>
      </c>
    </row>
    <row r="281" spans="1:8" x14ac:dyDescent="0.2">
      <c r="A281" t="s">
        <v>128</v>
      </c>
      <c r="B281">
        <f>0.16474464579901155</f>
        <v>0.16474464579901155</v>
      </c>
      <c r="C281" t="s">
        <v>9</v>
      </c>
      <c r="E281" t="s">
        <v>48</v>
      </c>
      <c r="F281" t="s">
        <v>27</v>
      </c>
      <c r="G281" t="s">
        <v>127</v>
      </c>
    </row>
    <row r="282" spans="1:8" x14ac:dyDescent="0.2">
      <c r="A282" t="inlineStr">
        <is>
          <t>battery central controls and protection, engineering reference</t>
        </is>
      </c>
      <c r="B282">
        <f>0.002651932002076728</f>
        <v>0.002651932002076728</v>
      </c>
      <c r="C282" t="inlineStr">
        <is>
          <t>unit</t>
        </is>
      </c>
      <c r="E282" t="inlineStr">
        <is>
          <t>GLO</t>
        </is>
      </c>
      <c r="F282" t="s">
        <v>27</v>
      </c>
      <c r="G282" t="inlineStr">
        <is>
          <t>battery central controls and protection, engineering reference</t>
        </is>
      </c>
    </row>
    <row r="283" spans="1:8" x14ac:dyDescent="0.2">
      <c r="A283" t="inlineStr">
        <is>
          <t>cooling system, Li-O2 S3 engineering reference</t>
        </is>
      </c>
      <c r="B283">
        <f>0.08707503369776846</f>
        <v>0.08707503369776846</v>
      </c>
      <c r="C283" t="s">
        <v>9</v>
      </c>
      <c r="E283" t="inlineStr">
        <is>
          <t>GLO</t>
        </is>
      </c>
      <c r="F283" t="s">
        <v>27</v>
      </c>
      <c r="G283" t="inlineStr">
        <is>
          <t>cooling system, Li-O2 S3 engineering reference</t>
        </is>
      </c>
    </row>
    <row r="284" spans="1:8" ht="16" x14ac:dyDescent="0.2">
      <c r="A284" s="7" t="s">
        <v>147</v>
      </c>
      <c r="B284">
        <f>0</f>
        <v>0</v>
      </c>
      <c r="C284" t="s">
        <v>9</v>
      </c>
      <c r="E284" t="s">
        <v>48</v>
      </c>
      <c r="F284" t="s">
        <v>27</v>
      </c>
      <c r="G284" t="s">
        <v>148</v>
      </c>
      <c r="H284" t="inlineStr">
        <is>
          <t>Disabled duplicate treatment fragment: original formula -1/321 kg waste/kg battery; now zero. The capacity market applies the complete mass through the existing LiO2-specific recycling activity. See activity comment for source and limits.</t>
        </is>
      </c>
    </row>
    <row r="286" spans="1:8" ht="16" x14ac:dyDescent="0.2">
      <c r="A286" s="2" t="s">
        <v>2</v>
      </c>
      <c r="B286" s="2" t="s">
        <v>271</v>
      </c>
    </row>
    <row r="287" spans="1:8" x14ac:dyDescent="0.2">
      <c r="A287" t="s">
        <v>3</v>
      </c>
      <c r="B28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row r="544">
      <c r="A544" t="inlineStr">
        <is>
          <t>Activity</t>
        </is>
      </c>
      <c r="B544" t="inlineStr">
        <is>
          <t>resistance heating alloy, binary NiCr80/20 engineering reference</t>
        </is>
      </c>
    </row>
    <row r="545">
      <c r="A545" t="inlineStr">
        <is>
          <t>location</t>
        </is>
      </c>
      <c r="B545" t="inlineStr">
        <is>
          <t>GLO</t>
        </is>
      </c>
    </row>
    <row r="546">
      <c r="A546" t="inlineStr">
        <is>
          <t>production amount</t>
        </is>
      </c>
      <c r="B546">
        <v>1</v>
      </c>
    </row>
    <row r="547">
      <c r="A547" t="inlineStr">
        <is>
          <t>reference product</t>
        </is>
      </c>
      <c r="B547" t="inlineStr">
        <is>
          <t>resistance heating alloy, binary NiCr80/20 engineering reference</t>
        </is>
      </c>
    </row>
    <row r="548">
      <c r="A548" t="inlineStr">
        <is>
          <t>unit</t>
        </is>
      </c>
      <c r="B548" t="inlineStr">
        <is>
          <t>kilogram</t>
        </is>
      </c>
    </row>
    <row r="549">
      <c r="A549" t="inlineStr">
        <is>
          <t>source</t>
        </is>
      </c>
      <c r="B549" t="inlineStr">
        <is>
          <t>Wang,Deng,Yuan2020 DOI10.1016/j.jclepro.2020.121339, SI TablesS3/S4/S5/S16; Kanthal resistance-wire datasheet https://www.kanthal.com/products/datasheets/material-datasheets/wire/resistance-heating-wire-and-resistance-wire/nikrothal-80/</t>
        </is>
      </c>
    </row>
    <row r="550">
      <c r="A550" t="inlineStr">
        <is>
          <t>comment</t>
        </is>
      </c>
      <c r="B550"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51">
      <c r="A551" t="inlineStr">
        <is>
          <t>Exchanges</t>
        </is>
      </c>
    </row>
    <row r="552">
      <c r="A552" t="inlineStr">
        <is>
          <t>name</t>
        </is>
      </c>
      <c r="B552" t="inlineStr">
        <is>
          <t>amount</t>
        </is>
      </c>
      <c r="C552" t="inlineStr">
        <is>
          <t>location</t>
        </is>
      </c>
      <c r="D552" t="inlineStr">
        <is>
          <t>unit</t>
        </is>
      </c>
      <c r="E552" t="inlineStr">
        <is>
          <t>categories</t>
        </is>
      </c>
      <c r="F552" t="inlineStr">
        <is>
          <t>type</t>
        </is>
      </c>
      <c r="G552" t="inlineStr">
        <is>
          <t>reference product</t>
        </is>
      </c>
      <c r="H552" t="inlineStr">
        <is>
          <t>comment</t>
        </is>
      </c>
    </row>
    <row r="553">
      <c r="A553" t="inlineStr">
        <is>
          <t>resistance heating alloy, binary NiCr80/20 engineering reference</t>
        </is>
      </c>
      <c r="B553">
        <v>1</v>
      </c>
      <c r="C553" t="inlineStr">
        <is>
          <t>GLO</t>
        </is>
      </c>
      <c r="D553" t="inlineStr">
        <is>
          <t>kilogram</t>
        </is>
      </c>
      <c r="F553" t="inlineStr">
        <is>
          <t>production</t>
        </is>
      </c>
      <c r="G553" t="inlineStr">
        <is>
          <t>resistance heating alloy, binary NiCr80/20 engineering reference</t>
        </is>
      </c>
    </row>
    <row r="554">
      <c r="A554" t="inlineStr">
        <is>
          <t>market for nickel, class 1</t>
        </is>
      </c>
      <c r="B554">
        <v>0.8</v>
      </c>
      <c r="C554" t="inlineStr">
        <is>
          <t>GLO</t>
        </is>
      </c>
      <c r="D554" t="inlineStr">
        <is>
          <t>kilogram</t>
        </is>
      </c>
      <c r="F554" t="inlineStr">
        <is>
          <t>technosphere</t>
        </is>
      </c>
      <c r="G554" t="inlineStr">
        <is>
          <t>nickel, class 1</t>
        </is>
      </c>
    </row>
    <row r="555">
      <c r="A555" t="inlineStr">
        <is>
          <t>market for chromium</t>
        </is>
      </c>
      <c r="B555">
        <v>0.2</v>
      </c>
      <c r="C555" t="inlineStr">
        <is>
          <t>GLO</t>
        </is>
      </c>
      <c r="D555" t="inlineStr">
        <is>
          <t>kilogram</t>
        </is>
      </c>
      <c r="F555" t="inlineStr">
        <is>
          <t>technosphere</t>
        </is>
      </c>
      <c r="G555" t="inlineStr">
        <is>
          <t>chromium</t>
        </is>
      </c>
    </row>
    <row r="556">
      <c r="A556" t="inlineStr">
        <is>
          <t>metal working, average for metal product manufacturing</t>
        </is>
      </c>
      <c r="B556">
        <v>1</v>
      </c>
      <c r="C556" t="inlineStr">
        <is>
          <t>RER</t>
        </is>
      </c>
      <c r="D556" t="inlineStr">
        <is>
          <t>kilogram</t>
        </is>
      </c>
      <c r="F556" t="inlineStr">
        <is>
          <t>technosphere</t>
        </is>
      </c>
      <c r="G556" t="inlineStr">
        <is>
          <t>metal working, average for metal product manufacturing</t>
        </is>
      </c>
    </row>
    <row r="559">
      <c r="A559" t="inlineStr">
        <is>
          <t>Activity</t>
        </is>
      </c>
      <c r="B559" t="inlineStr">
        <is>
          <t>cooling system, Li-O2 S3 engineering reference</t>
        </is>
      </c>
    </row>
    <row r="560">
      <c r="A560" t="inlineStr">
        <is>
          <t>location</t>
        </is>
      </c>
      <c r="B560" t="inlineStr">
        <is>
          <t>GLO</t>
        </is>
      </c>
    </row>
    <row r="561">
      <c r="A561" t="inlineStr">
        <is>
          <t>production amount</t>
        </is>
      </c>
      <c r="B561">
        <v>1</v>
      </c>
    </row>
    <row r="562">
      <c r="A562" t="inlineStr">
        <is>
          <t>reference product</t>
        </is>
      </c>
      <c r="B562" t="inlineStr">
        <is>
          <t>cooling system, Li-O2 S3 engineering reference</t>
        </is>
      </c>
    </row>
    <row r="563">
      <c r="A563" t="inlineStr">
        <is>
          <t>unit</t>
        </is>
      </c>
      <c r="B563" t="inlineStr">
        <is>
          <t>kilogram</t>
        </is>
      </c>
    </row>
    <row r="564">
      <c r="A564" t="inlineStr">
        <is>
          <t>source</t>
        </is>
      </c>
      <c r="B564" t="inlineStr">
        <is>
          <t>Wang,Deng,Yuan2020 DOI10.1016/j.jclepro.2020.121339, SI TablesS3/S4/S5/S16; Kanthal resistance-wire datasheet https://www.kanthal.com/products/datasheets/material-datasheets/wire/resistance-heating-wire-and-resistance-wire/nikrothal-80/</t>
        </is>
      </c>
    </row>
    <row r="565">
      <c r="A565" t="inlineStr">
        <is>
          <t>comment</t>
        </is>
      </c>
      <c r="B56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66">
      <c r="A566" t="inlineStr">
        <is>
          <t>Exchanges</t>
        </is>
      </c>
    </row>
    <row r="567">
      <c r="A567" t="inlineStr">
        <is>
          <t>name</t>
        </is>
      </c>
      <c r="B567" t="inlineStr">
        <is>
          <t>amount</t>
        </is>
      </c>
      <c r="C567" t="inlineStr">
        <is>
          <t>location</t>
        </is>
      </c>
      <c r="D567" t="inlineStr">
        <is>
          <t>unit</t>
        </is>
      </c>
      <c r="E567" t="inlineStr">
        <is>
          <t>categories</t>
        </is>
      </c>
      <c r="F567" t="inlineStr">
        <is>
          <t>type</t>
        </is>
      </c>
      <c r="G567" t="inlineStr">
        <is>
          <t>reference product</t>
        </is>
      </c>
      <c r="H567" t="inlineStr">
        <is>
          <t>comment</t>
        </is>
      </c>
    </row>
    <row r="568">
      <c r="A568" t="inlineStr">
        <is>
          <t>cooling system, Li-O2 S3 engineering reference</t>
        </is>
      </c>
      <c r="B568">
        <v>1</v>
      </c>
      <c r="C568" t="inlineStr">
        <is>
          <t>GLO</t>
        </is>
      </c>
      <c r="D568" t="inlineStr">
        <is>
          <t>kilogram</t>
        </is>
      </c>
      <c r="F568" t="inlineStr">
        <is>
          <t>production</t>
        </is>
      </c>
      <c r="G568" t="inlineStr">
        <is>
          <t>cooling system, Li-O2 S3 engineering reference</t>
        </is>
      </c>
    </row>
    <row r="569">
      <c r="A569" t="inlineStr">
        <is>
          <t>market for aluminium, wrought alloy</t>
        </is>
      </c>
      <c r="B569">
        <v>0.24079807361541108</v>
      </c>
      <c r="C569" t="inlineStr">
        <is>
          <t>GLO</t>
        </is>
      </c>
      <c r="D569" t="inlineStr">
        <is>
          <t>kilogram</t>
        </is>
      </c>
      <c r="F569" t="inlineStr">
        <is>
          <t>technosphere</t>
        </is>
      </c>
      <c r="G569" t="inlineStr">
        <is>
          <t>aluminium, wrought alloy</t>
        </is>
      </c>
    </row>
    <row r="570">
      <c r="A570" t="inlineStr">
        <is>
          <t>ethylene glycol production</t>
        </is>
      </c>
      <c r="B570">
        <v>0.7592019263845889</v>
      </c>
      <c r="C570" t="inlineStr">
        <is>
          <t>RER</t>
        </is>
      </c>
      <c r="D570" t="inlineStr">
        <is>
          <t>kilogram</t>
        </is>
      </c>
      <c r="F570" t="inlineStr">
        <is>
          <t>technosphere</t>
        </is>
      </c>
      <c r="G570" t="inlineStr">
        <is>
          <t>ethylene glycol</t>
        </is>
      </c>
    </row>
    <row r="571">
      <c r="A571" t="inlineStr">
        <is>
          <t>metal working, average for aluminium product manufacturing</t>
        </is>
      </c>
      <c r="B571">
        <v>0.24079807361541108</v>
      </c>
      <c r="C571" t="inlineStr">
        <is>
          <t>RER</t>
        </is>
      </c>
      <c r="D571" t="inlineStr">
        <is>
          <t>kilogram</t>
        </is>
      </c>
      <c r="F571" t="inlineStr">
        <is>
          <t>technosphere</t>
        </is>
      </c>
      <c r="G571" t="inlineStr">
        <is>
          <t>metal working, average for aluminium product manufacturing</t>
        </is>
      </c>
    </row>
    <row r="574">
      <c r="A574" t="inlineStr">
        <is>
          <t>Activity</t>
        </is>
      </c>
      <c r="B574" t="inlineStr">
        <is>
          <t>market for battery hardware, Li-oxygen, engineering reference</t>
        </is>
      </c>
    </row>
    <row r="575">
      <c r="A575" t="inlineStr">
        <is>
          <t>location</t>
        </is>
      </c>
      <c r="B575" t="inlineStr">
        <is>
          <t>GLO</t>
        </is>
      </c>
    </row>
    <row r="576">
      <c r="A576" t="inlineStr">
        <is>
          <t>production amount</t>
        </is>
      </c>
      <c r="B576">
        <v>1</v>
      </c>
    </row>
    <row r="577">
      <c r="A577" t="inlineStr">
        <is>
          <t>reference product</t>
        </is>
      </c>
      <c r="B577" t="inlineStr">
        <is>
          <t>battery hardware, Li-oxygen, engineering reference</t>
        </is>
      </c>
    </row>
    <row r="578">
      <c r="A578" t="inlineStr">
        <is>
          <t>unit</t>
        </is>
      </c>
      <c r="B578" t="inlineStr">
        <is>
          <t>kilogram</t>
        </is>
      </c>
    </row>
    <row r="579">
      <c r="A579" t="inlineStr">
        <is>
          <t>source</t>
        </is>
      </c>
      <c r="B579" t="inlineStr">
        <is>
          <t>Wang,Deng,Yuan2020 DOI10.1016/j.jclepro.2020.121339, SI TablesS3/S4/S5/S16; Kanthal resistance-wire datasheet https://www.kanthal.com/products/datasheets/material-datasheets/wire/resistance-heating-wire-and-resistance-wire/nikrothal-80/</t>
        </is>
      </c>
    </row>
    <row r="580">
      <c r="A580" t="inlineStr">
        <is>
          <t>comment</t>
        </is>
      </c>
      <c r="B580"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81">
      <c r="A581" t="inlineStr">
        <is>
          <t>Exchanges</t>
        </is>
      </c>
    </row>
    <row r="582">
      <c r="A582" t="inlineStr">
        <is>
          <t>name</t>
        </is>
      </c>
      <c r="B582" t="inlineStr">
        <is>
          <t>amount</t>
        </is>
      </c>
      <c r="C582" t="inlineStr">
        <is>
          <t>location</t>
        </is>
      </c>
      <c r="D582" t="inlineStr">
        <is>
          <t>unit</t>
        </is>
      </c>
      <c r="E582" t="inlineStr">
        <is>
          <t>categories</t>
        </is>
      </c>
      <c r="F582" t="inlineStr">
        <is>
          <t>type</t>
        </is>
      </c>
      <c r="G582" t="inlineStr">
        <is>
          <t>reference product</t>
        </is>
      </c>
      <c r="H582" t="inlineStr">
        <is>
          <t>comment</t>
        </is>
      </c>
    </row>
    <row r="583">
      <c r="A583" t="inlineStr">
        <is>
          <t>market for battery hardware, Li-oxygen, engineering reference</t>
        </is>
      </c>
      <c r="B583">
        <v>1</v>
      </c>
      <c r="C583" t="inlineStr">
        <is>
          <t>GLO</t>
        </is>
      </c>
      <c r="D583" t="inlineStr">
        <is>
          <t>kilogram</t>
        </is>
      </c>
      <c r="F583" t="inlineStr">
        <is>
          <t>production</t>
        </is>
      </c>
      <c r="G583" t="inlineStr">
        <is>
          <t>battery hardware, Li-oxygen, engineering reference</t>
        </is>
      </c>
    </row>
    <row r="584">
      <c r="A584" t="inlineStr">
        <is>
          <t>battery cell production, Li-O2</t>
        </is>
      </c>
      <c r="B584">
        <v>0.7429408414028806</v>
      </c>
      <c r="C584" t="inlineStr">
        <is>
          <t>GLO</t>
        </is>
      </c>
      <c r="D584" t="inlineStr">
        <is>
          <t>kilogram</t>
        </is>
      </c>
      <c r="F584" t="inlineStr">
        <is>
          <t>technosphere</t>
        </is>
      </c>
      <c r="G584" t="inlineStr">
        <is>
          <t>battery cell</t>
        </is>
      </c>
    </row>
    <row r="585">
      <c r="A585" t="inlineStr">
        <is>
          <t>module packaging, for Li-O2 battery</t>
        </is>
      </c>
      <c r="B585">
        <v>0.07937993327365939</v>
      </c>
      <c r="C585" t="inlineStr">
        <is>
          <t>RER</t>
        </is>
      </c>
      <c r="D585" t="inlineStr">
        <is>
          <t>kilogram</t>
        </is>
      </c>
      <c r="F585" t="inlineStr">
        <is>
          <t>technosphere</t>
        </is>
      </c>
      <c r="G585" t="inlineStr">
        <is>
          <t>module packaging</t>
        </is>
      </c>
    </row>
    <row r="586">
      <c r="A586" t="inlineStr">
        <is>
          <t>pack packaging, for Li-O2 battery</t>
        </is>
      </c>
      <c r="B586">
        <v>0.17767922532346003</v>
      </c>
      <c r="C586" t="inlineStr">
        <is>
          <t>RER</t>
        </is>
      </c>
      <c r="D586" t="inlineStr">
        <is>
          <t>kilogram</t>
        </is>
      </c>
      <c r="F586" t="inlineStr">
        <is>
          <t>technosphere</t>
        </is>
      </c>
      <c r="G586" t="inlineStr">
        <is>
          <t>pack packaging</t>
        </is>
      </c>
    </row>
    <row r="589">
      <c r="A589" t="inlineStr">
        <is>
          <t>Activity</t>
        </is>
      </c>
      <c r="B589" t="inlineStr">
        <is>
          <t>battery auxiliary lifecycle, Li-O2 engineering reference</t>
        </is>
      </c>
    </row>
    <row r="590">
      <c r="A590" t="inlineStr">
        <is>
          <t>location</t>
        </is>
      </c>
      <c r="B590" t="inlineStr">
        <is>
          <t>GLO</t>
        </is>
      </c>
    </row>
    <row r="591">
      <c r="A591" t="inlineStr">
        <is>
          <t>production amount</t>
        </is>
      </c>
      <c r="B591">
        <v>1</v>
      </c>
    </row>
    <row r="592">
      <c r="A592" t="inlineStr">
        <is>
          <t>reference product</t>
        </is>
      </c>
      <c r="B592" t="inlineStr">
        <is>
          <t>battery auxiliary lifecycle, Li-O2 engineering reference</t>
        </is>
      </c>
    </row>
    <row r="593">
      <c r="A593" t="inlineStr">
        <is>
          <t>unit</t>
        </is>
      </c>
      <c r="B593" t="inlineStr">
        <is>
          <t>unit</t>
        </is>
      </c>
    </row>
    <row r="594">
      <c r="A594" t="inlineStr">
        <is>
          <t>source</t>
        </is>
      </c>
      <c r="B594" t="inlineStr">
        <is>
          <t>Wang,Deng,Yuan2020 DOI10.1016/j.jclepro.2020.121339, SI TablesS3/S4/S5/S16; Kanthal resistance-wire datasheet https://www.kanthal.com/products/datasheets/material-datasheets/wire/resistance-heating-wire-and-resistance-wire/nikrothal-80/</t>
        </is>
      </c>
    </row>
    <row r="595">
      <c r="A595" t="inlineStr">
        <is>
          <t>comment</t>
        </is>
      </c>
      <c r="B59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96">
      <c r="A596" t="inlineStr">
        <is>
          <t>Exchanges</t>
        </is>
      </c>
    </row>
    <row r="597">
      <c r="A597" t="inlineStr">
        <is>
          <t>name</t>
        </is>
      </c>
      <c r="B597" t="inlineStr">
        <is>
          <t>amount</t>
        </is>
      </c>
      <c r="C597" t="inlineStr">
        <is>
          <t>location</t>
        </is>
      </c>
      <c r="D597" t="inlineStr">
        <is>
          <t>unit</t>
        </is>
      </c>
      <c r="E597" t="inlineStr">
        <is>
          <t>categories</t>
        </is>
      </c>
      <c r="F597" t="inlineStr">
        <is>
          <t>type</t>
        </is>
      </c>
      <c r="G597" t="inlineStr">
        <is>
          <t>reference product</t>
        </is>
      </c>
      <c r="H597" t="inlineStr">
        <is>
          <t>comment</t>
        </is>
      </c>
    </row>
    <row r="598">
      <c r="A598" t="inlineStr">
        <is>
          <t>battery auxiliary lifecycle, Li-O2 engineering reference</t>
        </is>
      </c>
      <c r="B598">
        <v>1</v>
      </c>
      <c r="C598" t="inlineStr">
        <is>
          <t>GLO</t>
        </is>
      </c>
      <c r="D598" t="inlineStr">
        <is>
          <t>unit</t>
        </is>
      </c>
      <c r="F598" t="inlineStr">
        <is>
          <t>production</t>
        </is>
      </c>
      <c r="G598" t="inlineStr">
        <is>
          <t>battery auxiliary lifecycle, Li-O2 engineering reference</t>
        </is>
      </c>
    </row>
    <row r="599">
      <c r="A599" t="inlineStr">
        <is>
          <t>oxygen tank production, for Li-O2 battery</t>
        </is>
      </c>
      <c r="B599">
        <v>55</v>
      </c>
      <c r="C599" t="inlineStr">
        <is>
          <t>RER</t>
        </is>
      </c>
      <c r="D599" t="inlineStr">
        <is>
          <t>kilogram</t>
        </is>
      </c>
      <c r="F599" t="inlineStr">
        <is>
          <t>technosphere</t>
        </is>
      </c>
      <c r="G599" t="inlineStr">
        <is>
          <t>oxygen tank</t>
        </is>
      </c>
    </row>
    <row r="600">
      <c r="A600" t="inlineStr">
        <is>
          <t>battery central controls and protection, engineering reference</t>
        </is>
      </c>
      <c r="B600">
        <v>0.8853474988933157</v>
      </c>
      <c r="C600" t="inlineStr">
        <is>
          <t>GLO</t>
        </is>
      </c>
      <c r="D600" t="inlineStr">
        <is>
          <t>unit</t>
        </is>
      </c>
      <c r="F600" t="inlineStr">
        <is>
          <t>technosphere</t>
        </is>
      </c>
      <c r="G600" t="inlineStr">
        <is>
          <t>battery central controls and protection, engineering reference</t>
        </is>
      </c>
    </row>
    <row r="601">
      <c r="A601" t="inlineStr">
        <is>
          <t>cooling system, Li-O2 S3 engineering reference</t>
        </is>
      </c>
      <c r="B601">
        <v>29.07</v>
      </c>
      <c r="C601" t="inlineStr">
        <is>
          <t>GLO</t>
        </is>
      </c>
      <c r="D601" t="inlineStr">
        <is>
          <t>kilogram</t>
        </is>
      </c>
      <c r="F601" t="inlineStr">
        <is>
          <t>technosphere</t>
        </is>
      </c>
      <c r="G601" t="inlineStr">
        <is>
          <t>cooling system, Li-O2 S3 engineering reference</t>
        </is>
      </c>
    </row>
    <row r="602">
      <c r="A602" t="inlineStr">
        <is>
          <t>treatment of LiO2 battery, for recycling</t>
        </is>
      </c>
      <c r="B602">
        <v>-88.07</v>
      </c>
      <c r="C602" t="inlineStr">
        <is>
          <t>RER</t>
        </is>
      </c>
      <c r="D602" t="inlineStr">
        <is>
          <t>kilogram</t>
        </is>
      </c>
      <c r="F602" t="inlineStr">
        <is>
          <t>technosphere</t>
        </is>
      </c>
      <c r="G602" t="inlineStr">
        <is>
          <t>waste LiO2 battery</t>
        </is>
      </c>
    </row>
    <row r="605">
      <c r="A605" t="inlineStr">
        <is>
          <t>Activity</t>
        </is>
      </c>
      <c r="B605" t="inlineStr">
        <is>
          <t>market for battery cells, Li-ion, Li-O2, density-scaled reference</t>
        </is>
      </c>
    </row>
    <row r="606">
      <c r="A606" t="inlineStr">
        <is>
          <t>location</t>
        </is>
      </c>
      <c r="B606" t="inlineStr">
        <is>
          <t>GLO</t>
        </is>
      </c>
    </row>
    <row r="607">
      <c r="A607" t="inlineStr">
        <is>
          <t>production amount</t>
        </is>
      </c>
      <c r="B607">
        <v>1</v>
      </c>
    </row>
    <row r="608">
      <c r="A608" t="inlineStr">
        <is>
          <t>reference product</t>
        </is>
      </c>
      <c r="B608" t="inlineStr">
        <is>
          <t>market for battery cells, Li-ion, Li-O2, density-scaled reference</t>
        </is>
      </c>
    </row>
    <row r="609">
      <c r="A609" t="inlineStr">
        <is>
          <t>unit</t>
        </is>
      </c>
      <c r="B609" t="inlineStr">
        <is>
          <t>kilogram</t>
        </is>
      </c>
    </row>
    <row r="610">
      <c r="A610" t="inlineStr">
        <is>
          <t>source</t>
        </is>
      </c>
      <c r="B610"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611">
      <c r="A611" t="inlineStr">
        <is>
          <t>comment</t>
        </is>
      </c>
      <c r="B611"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12">
      <c r="A612" t="inlineStr">
        <is>
          <t>Exchanges</t>
        </is>
      </c>
    </row>
    <row r="613">
      <c r="A613" t="inlineStr">
        <is>
          <t>name</t>
        </is>
      </c>
      <c r="B613" t="inlineStr">
        <is>
          <t>amount</t>
        </is>
      </c>
      <c r="C613" t="inlineStr">
        <is>
          <t>location</t>
        </is>
      </c>
      <c r="D613" t="inlineStr">
        <is>
          <t>unit</t>
        </is>
      </c>
      <c r="E613" t="inlineStr">
        <is>
          <t>categories</t>
        </is>
      </c>
      <c r="F613" t="inlineStr">
        <is>
          <t>type</t>
        </is>
      </c>
      <c r="G613" t="inlineStr">
        <is>
          <t>reference product</t>
        </is>
      </c>
      <c r="H613" t="inlineStr">
        <is>
          <t>comment</t>
        </is>
      </c>
      <c r="I613" t="inlineStr">
        <is>
          <t>product</t>
        </is>
      </c>
    </row>
    <row r="614">
      <c r="A614" t="inlineStr">
        <is>
          <t>market for battery cells, Li-ion, Li-O2, density-scaled reference</t>
        </is>
      </c>
      <c r="B614">
        <v>1</v>
      </c>
      <c r="C614" t="inlineStr">
        <is>
          <t>GLO</t>
        </is>
      </c>
      <c r="D614" t="inlineStr">
        <is>
          <t>kilogram</t>
        </is>
      </c>
      <c r="F614" t="inlineStr">
        <is>
          <t>production</t>
        </is>
      </c>
      <c r="G614" t="inlineStr">
        <is>
          <t>market for battery cells, Li-ion, Li-O2, density-scaled reference</t>
        </is>
      </c>
      <c r="I614" t="inlineStr">
        <is>
          <t>market for battery cells, Li-ion, Li-O2, density-scaled reference</t>
        </is>
      </c>
    </row>
    <row r="615">
      <c r="A615" t="inlineStr">
        <is>
          <t>battery cell production, Li-O2</t>
        </is>
      </c>
      <c r="B615">
        <v>1</v>
      </c>
      <c r="C615" t="inlineStr">
        <is>
          <t>GLO</t>
        </is>
      </c>
      <c r="D615" t="inlineStr">
        <is>
          <t>kilogram</t>
        </is>
      </c>
      <c r="F615" t="inlineStr">
        <is>
          <t>technosphere</t>
        </is>
      </c>
      <c r="G615" t="inlineStr">
        <is>
          <t>battery cell</t>
        </is>
      </c>
      <c r="I615" t="inlineStr">
        <is>
          <t>battery cell</t>
        </is>
      </c>
    </row>
    <row r="616">
      <c r="A616" t="inlineStr">
        <is>
          <t>treatment of LiO2 battery, for recycling</t>
        </is>
      </c>
      <c r="B616">
        <v>-1</v>
      </c>
      <c r="C616" t="inlineStr">
        <is>
          <t>RER</t>
        </is>
      </c>
      <c r="D616" t="inlineStr">
        <is>
          <t>kilogram</t>
        </is>
      </c>
      <c r="F616" t="inlineStr">
        <is>
          <t>technosphere</t>
        </is>
      </c>
      <c r="G616" t="inlineStr">
        <is>
          <t>waste LiO2 battery</t>
        </is>
      </c>
      <c r="I616" t="inlineStr">
        <is>
          <t>waste LiO2 battery</t>
        </is>
      </c>
    </row>
    <row r="619">
      <c r="A619" t="inlineStr">
        <is>
          <t>Activity</t>
        </is>
      </c>
      <c r="B619" t="inlineStr">
        <is>
          <t>battery fixed noncell hardware, Li-ion, Li-O2, baseline-kWh reference</t>
        </is>
      </c>
    </row>
    <row r="620">
      <c r="A620" t="inlineStr">
        <is>
          <t>location</t>
        </is>
      </c>
      <c r="B620" t="inlineStr">
        <is>
          <t>GLO</t>
        </is>
      </c>
    </row>
    <row r="621">
      <c r="A621" t="inlineStr">
        <is>
          <t>production amount</t>
        </is>
      </c>
      <c r="B621">
        <v>1</v>
      </c>
    </row>
    <row r="622">
      <c r="A622" t="inlineStr">
        <is>
          <t>reference product</t>
        </is>
      </c>
      <c r="B622" t="inlineStr">
        <is>
          <t>battery fixed noncell hardware, Li-ion, Li-O2, baseline-kWh reference</t>
        </is>
      </c>
    </row>
    <row r="623">
      <c r="A623" t="inlineStr">
        <is>
          <t>unit</t>
        </is>
      </c>
      <c r="B623" t="inlineStr">
        <is>
          <t>unit</t>
        </is>
      </c>
    </row>
    <row r="624">
      <c r="A624" t="inlineStr">
        <is>
          <t>source</t>
        </is>
      </c>
      <c r="B624"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625">
      <c r="A625" t="inlineStr">
        <is>
          <t>comment</t>
        </is>
      </c>
      <c r="B625"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26">
      <c r="A626" t="inlineStr">
        <is>
          <t>Exchanges</t>
        </is>
      </c>
    </row>
    <row r="627">
      <c r="A627" t="inlineStr">
        <is>
          <t>name</t>
        </is>
      </c>
      <c r="B627" t="inlineStr">
        <is>
          <t>amount</t>
        </is>
      </c>
      <c r="C627" t="inlineStr">
        <is>
          <t>location</t>
        </is>
      </c>
      <c r="D627" t="inlineStr">
        <is>
          <t>unit</t>
        </is>
      </c>
      <c r="E627" t="inlineStr">
        <is>
          <t>categories</t>
        </is>
      </c>
      <c r="F627" t="inlineStr">
        <is>
          <t>type</t>
        </is>
      </c>
      <c r="G627" t="inlineStr">
        <is>
          <t>reference product</t>
        </is>
      </c>
      <c r="H627" t="inlineStr">
        <is>
          <t>comment</t>
        </is>
      </c>
      <c r="I627" t="inlineStr">
        <is>
          <t>product</t>
        </is>
      </c>
    </row>
    <row r="628">
      <c r="A628" t="inlineStr">
        <is>
          <t>battery fixed noncell hardware, Li-ion, Li-O2, baseline-kWh reference</t>
        </is>
      </c>
      <c r="B628">
        <v>1</v>
      </c>
      <c r="C628" t="inlineStr">
        <is>
          <t>GLO</t>
        </is>
      </c>
      <c r="D628" t="inlineStr">
        <is>
          <t>unit</t>
        </is>
      </c>
      <c r="F628" t="inlineStr">
        <is>
          <t>production</t>
        </is>
      </c>
      <c r="G628" t="inlineStr">
        <is>
          <t>battery fixed noncell hardware, Li-ion, Li-O2, baseline-kWh reference</t>
        </is>
      </c>
      <c r="I628" t="inlineStr">
        <is>
          <t>battery fixed noncell hardware, Li-ion, Li-O2, baseline-kWh reference</t>
        </is>
      </c>
    </row>
    <row r="629">
      <c r="A629" t="inlineStr">
        <is>
          <t>module packaging, for Li-O2 battery</t>
        </is>
      </c>
      <c r="B629">
        <v>0.307244094488189</v>
      </c>
      <c r="C629" t="inlineStr">
        <is>
          <t>RER</t>
        </is>
      </c>
      <c r="D629" t="inlineStr">
        <is>
          <t>kilogram</t>
        </is>
      </c>
      <c r="F629" t="inlineStr">
        <is>
          <t>technosphere</t>
        </is>
      </c>
      <c r="G629" t="inlineStr">
        <is>
          <t>module packaging</t>
        </is>
      </c>
      <c r="I629" t="inlineStr">
        <is>
          <t>module packaging</t>
        </is>
      </c>
    </row>
    <row r="630">
      <c r="A630" t="inlineStr">
        <is>
          <t>pack packaging, for Li-O2 battery</t>
        </is>
      </c>
      <c r="B630">
        <v>0.6877165354330709</v>
      </c>
      <c r="C630" t="inlineStr">
        <is>
          <t>RER</t>
        </is>
      </c>
      <c r="D630" t="inlineStr">
        <is>
          <t>kilogram</t>
        </is>
      </c>
      <c r="F630" t="inlineStr">
        <is>
          <t>technosphere</t>
        </is>
      </c>
      <c r="G630" t="inlineStr">
        <is>
          <t>pack packaging</t>
        </is>
      </c>
      <c r="I630" t="inlineStr">
        <is>
          <t>pack packaging</t>
        </is>
      </c>
    </row>
    <row r="631">
      <c r="A631" t="inlineStr">
        <is>
          <t>treatment of LiO2 battery, for recycling</t>
        </is>
      </c>
      <c r="B631">
        <v>-0.9949606299212597</v>
      </c>
      <c r="C631" t="inlineStr">
        <is>
          <t>RER</t>
        </is>
      </c>
      <c r="D631" t="inlineStr">
        <is>
          <t>kilogram</t>
        </is>
      </c>
      <c r="F631" t="inlineStr">
        <is>
          <t>technosphere</t>
        </is>
      </c>
      <c r="G631" t="inlineStr">
        <is>
          <t>waste LiO2 battery</t>
        </is>
      </c>
      <c r="I631" t="inlineStr">
        <is>
          <t>waste LiO2 battery</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