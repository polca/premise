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<sst xmlns="http://schemas.openxmlformats.org/spreadsheetml/2006/main" count="1378" uniqueCount="116">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</sst>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14"/>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1/(0.060391730229986965*$B$100)</f>
        <v>22.338649641643293</v>
      </c>
      <c r="C104" t="s">
        <v>7</v>
      </c>
      <c r="D104" t="s">
        <v>3</v>
      </c>
      <c r="E104" t="s">
        <v>14</v>
      </c>
      <c r="F104" t="inlineStr">
        <is>
          <t>battery hardware, Li-ion, LTO, engineering reference</t>
        </is>
      </c>
      <c r="G104">
        <v>5</v>
      </c>
      <c r="H104" s="7">
        <f>B104</f>
        <v>22.338649641643293</v>
      </c>
      <c r="I104" s="7">
        <f>B104*0.75</f>
        <v>16.753987231232472</v>
      </c>
      <c r="J104" s="7">
        <f>B104*1.25</f>
        <v>27.923312052054115</v>
      </c>
    </row>
    <row r="105" spans="1:14" ns3:dyDescent="0.2">
      <c r="A105" t="s">
        <v>53</v>
      </c>
      <c r="B105" s="3">
        <f>-B104</f>
        <v>-22.338649641643293</v>
      </c>
      <c r="C105" t="s">
        <v>7</v>
      </c>
      <c r="D105" t="s">
        <v>3</v>
      </c>
      <c r="E105" t="s">
        <v>14</v>
      </c>
      <c r="F105" t="s">
        <v>54</v>
      </c>
      <c r="G105">
        <v>5</v>
      </c>
      <c r="H105" s="7">
        <f>B105</f>
        <v>-22.338649641643293</v>
      </c>
      <c r="I105" s="7">
        <f>B105*1.25</f>
        <v>-27.923312052054115</v>
      </c>
      <c r="J105" s="7">
        <f>B105*0.75</f>
        <v>-16.753987231232472</v>
      </c>
      <c r="K105" t="b">
        <v>1</v>
      </c>
      <c r="M105" s="7"/>
      <c r="N105" s="7"/>
    </row>
    <row r="106">
      <c r="A106" t="inlineStr">
        <is>
          <t>battery monitoring and central controls, LTO, engineering reference</t>
        </is>
      </c>
      <c r="B106">
        <v>0.1532774093704082</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hardware, Li-oxygen, engineering reference</t>
        </is>
      </c>
      <c r="B143" s="3">
        <f>3.870551181102362</f>
        <v>3.870551181102362</v>
      </c>
      <c r="C143" t="s">
        <v>7</v>
      </c>
      <c r="D143" t="s">
        <v>3</v>
      </c>
      <c r="E143" t="s">
        <v>14</v>
      </c>
      <c r="F143" t="inlineStr">
        <is>
          <t>battery hardware, Li-oxygen, engineering reference</t>
        </is>
      </c>
      <c r="G143">
        <v>5</v>
      </c>
      <c r="H143" s="7">
        <f>3.870551181102362</f>
        <v>3.870551181102362</v>
      </c>
      <c r="I143" s="7">
        <f>2.9029133858267713</f>
        <v>2.9029133858267713</v>
      </c>
      <c r="J143" s="7">
        <f>4.838188976377952</f>
        <v>4.838188976377952</v>
      </c>
    </row>
    <row r="144" spans="1:14" ns3:dyDescent="0.2">
      <c r="A144" t="inlineStr">
        <is>
          <t>treatment of LiO2 battery, for recycling</t>
        </is>
      </c>
      <c r="B144" s="3">
        <f>-3.870551181102362</f>
        <v>-3.870551181102362</v>
      </c>
      <c r="C144" t="s">
        <v>7</v>
      </c>
      <c r="D144" t="inlineStr">
        <is>
          <t>RER</t>
        </is>
      </c>
      <c r="E144" t="s">
        <v>14</v>
      </c>
      <c r="F144" t="inlineStr">
        <is>
          <t>waste LiO2 battery</t>
        </is>
      </c>
      <c r="G144">
        <v>5</v>
      </c>
      <c r="H144" s="7">
        <f>-3.870551181102362</f>
        <v>-3.870551181102362</v>
      </c>
      <c r="I144" s="7">
        <f>-4.838188976377952</f>
        <v>-4.838188976377952</v>
      </c>
      <c r="J144" s="7">
        <f>-2.9029133858267713</f>
        <v>-2.9029133858267713</v>
      </c>
      <c r="K144" t="b">
        <v>1</v>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high-power battery capacity, FCEV car, engineering reference</t>
        </is>
      </c>
    </row>
    <row r="270">
      <c r="A270" t="inlineStr">
        <is>
          <t>location</t>
        </is>
      </c>
      <c r="B270" t="inlineStr">
        <is>
          <t>GLO</t>
        </is>
      </c>
    </row>
    <row r="271">
      <c r="A271" t="inlineStr">
        <is>
          <t>production amount</t>
        </is>
      </c>
      <c r="B271">
        <v>1</v>
      </c>
    </row>
    <row r="272">
      <c r="A272" t="inlineStr">
        <is>
          <t>reference product</t>
        </is>
      </c>
      <c r="B272" t="inlineStr">
        <is>
          <t>high-power battery capacity, FCEV car, engineering reference</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high-power battery capacity, FCEV car, engineering reference</t>
        </is>
      </c>
      <c r="B278">
        <v>1</v>
      </c>
      <c r="C278" t="inlineStr">
        <is>
          <t>GLO</t>
        </is>
      </c>
      <c r="D278" t="inlineStr">
        <is>
          <t>kilowatt hour</t>
        </is>
      </c>
      <c r="F278" t="inlineStr">
        <is>
          <t>production</t>
        </is>
      </c>
      <c r="G278" t="inlineStr">
        <is>
          <t>high-power battery capacity, FCEV car, engineering reference</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battery central controls and protection, engineering reference</t>
        </is>
      </c>
      <c r="B280">
        <v>0.8043758043758044</v>
      </c>
      <c r="C280" t="inlineStr">
        <is>
          <t>GLO</t>
        </is>
      </c>
      <c r="D280" t="inlineStr">
        <is>
          <t>unit</t>
        </is>
      </c>
      <c r="F280" t="inlineStr">
        <is>
          <t>technosphere</t>
        </is>
      </c>
      <c r="G280" t="inlineStr">
        <is>
          <t>battery central controls and protection, engineering reference</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high-power battery capacity, FCEV truck, engineering reference</t>
        </is>
      </c>
    </row>
    <row r="293">
      <c r="A293" t="inlineStr">
        <is>
          <t>location</t>
        </is>
      </c>
      <c r="B293" t="inlineStr">
        <is>
          <t>GLO</t>
        </is>
      </c>
    </row>
    <row r="294">
      <c r="A294" t="inlineStr">
        <is>
          <t>production amount</t>
        </is>
      </c>
      <c r="B294">
        <v>1</v>
      </c>
    </row>
    <row r="295">
      <c r="A295" t="inlineStr">
        <is>
          <t>reference product</t>
        </is>
      </c>
      <c r="B295" t="inlineStr">
        <is>
          <t>high-power battery capacity, FCEV truck, engineering reference</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high-power battery capacity, FCEV truck, engineering reference</t>
        </is>
      </c>
      <c r="B301">
        <v>1</v>
      </c>
      <c r="C301" t="inlineStr">
        <is>
          <t>GLO</t>
        </is>
      </c>
      <c r="D301" t="inlineStr">
        <is>
          <t>kilowatt hour</t>
        </is>
      </c>
      <c r="F301" t="inlineStr">
        <is>
          <t>production</t>
        </is>
      </c>
      <c r="G301" t="inlineStr">
        <is>
          <t>high-power battery capacity, FCEV truck, engineering reference</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battery central controls and protection, engineering reference</t>
        </is>
      </c>
      <c r="B303">
        <v>0.04</v>
      </c>
      <c r="C303" t="inlineStr">
        <is>
          <t>GLO</t>
        </is>
      </c>
      <c r="D303" t="inlineStr">
        <is>
          <t>unit</t>
        </is>
      </c>
      <c r="F303" t="inlineStr">
        <is>
          <t>technosphere</t>
        </is>
      </c>
      <c r="G303" t="inlineStr">
        <is>
          <t>battery central controls and protection, engineering reference</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