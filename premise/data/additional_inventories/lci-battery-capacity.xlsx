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<sst xmlns="http://schemas.openxmlformats.org/spreadsheetml/2006/main" count="1378" uniqueCount="116">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</sst>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339"/>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0.7497078994157989</f>
        <v>0.7497078994157989</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inlineStr">
        <is>
          <t>market for battery hardware, Li-ion, LFP, engineering reference</t>
        </is>
      </c>
      <c r="B13" s="7">
        <f>8.336580159913266</f>
        <v>8.336580159913266</v>
      </c>
      <c r="C13" t="s">
        <v>7</v>
      </c>
      <c r="D13" t="s">
        <v>3</v>
      </c>
      <c r="E13" t="s">
        <v>14</v>
      </c>
      <c r="F13" t="inlineStr">
        <is>
          <t>battery hardware, Li-ion, LFP, engineering reference</t>
        </is>
      </c>
      <c r="G13">
        <v>5</v>
      </c>
      <c r="H13" s="7">
        <f>8.336580159913266</f>
        <v>8.336580159913266</v>
      </c>
      <c r="I13" s="7">
        <f>7.020278029400646</f>
        <v>7.020278029400646</v>
      </c>
      <c r="J13" s="7">
        <f>9.527520182758018</f>
        <v>9.527520182758018</v>
      </c>
    </row>
    <row r="14" spans="1:14" ns3:dyDescent="0.2">
      <c r="A14" t="s">
        <v>53</v>
      </c>
      <c r="B14" s="7">
        <f>-8.336580159913266</f>
        <v>-8.336580159913266</v>
      </c>
      <c r="C14" t="s">
        <v>7</v>
      </c>
      <c r="D14" t="s">
        <v>3</v>
      </c>
      <c r="E14" t="s">
        <v>14</v>
      </c>
      <c r="F14" t="s">
        <v>54</v>
      </c>
      <c r="G14">
        <v>5</v>
      </c>
      <c r="H14" s="7">
        <f>-8.336580159913266</f>
        <v>-8.336580159913266</v>
      </c>
      <c r="I14" s="7">
        <f>-9.527520182758018</f>
        <v>-9.527520182758018</v>
      </c>
      <c r="J14" s="7">
        <f>-7.020278029400646</f>
        <v>-7.020278029400646</v>
      </c>
      <c r="K14" t="b">
        <v>1</v>
      </c>
      <c r="M14" s="7"/>
      <c r="N14" s="7"/>
    </row>
    <row r="15">
      <c r="A15" t="inlineStr">
        <is>
          <t>battery monitoring and central controls, LFP, engineering reference</t>
        </is>
      </c>
      <c r="B15">
        <v>0.042349911912183215</v>
      </c>
      <c r="C15" t="inlineStr">
        <is>
          <t>unit</t>
        </is>
      </c>
      <c r="D15" t="inlineStr">
        <is>
          <t>GLO</t>
        </is>
      </c>
      <c r="E15" t="inlineStr">
        <is>
          <t>technosphere</t>
        </is>
      </c>
      <c r="F15" t="inlineStr">
        <is>
          <t>battery monitoring and central controls, LFP, engineering reference</t>
        </is>
      </c>
    </row>
    <row r="16" spans="1:14" ht="16" ns3:dyDescent="0.2">
      <c r="A16" s="2" t="s">
        <v>0</v>
      </c>
      <c r="B16" s="2" t="s">
        <v>19</v>
      </c>
    </row>
    <row r="17" spans="1:14" ns3:dyDescent="0.2">
      <c r="A17" t="s">
        <v>1</v>
      </c>
      <c r="B1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0.753554800553668</f>
        <v>0.753554800553668</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inlineStr">
        <is>
          <t>market for battery hardware, Li-ion, NMC111, engineering reference</t>
        </is>
      </c>
      <c r="B26" s="3">
        <f>7.372463889120817</f>
        <v>7.372463889120817</v>
      </c>
      <c r="C26" t="s">
        <v>7</v>
      </c>
      <c r="D26" t="s">
        <v>3</v>
      </c>
      <c r="E26" t="s">
        <v>14</v>
      </c>
      <c r="F26" t="inlineStr">
        <is>
          <t>battery hardware, Li-ion, NMC111, engineering reference</t>
        </is>
      </c>
      <c r="G26">
        <v>5</v>
      </c>
      <c r="H26" s="7">
        <f>7.372463889120817</f>
        <v>7.372463889120817</v>
      </c>
      <c r="I26" s="7">
        <f>6.984439473903931</f>
        <v>6.984439473903931</v>
      </c>
      <c r="J26" s="7">
        <f>9.478882143155333</f>
        <v>9.478882143155333</v>
      </c>
    </row>
    <row r="27" spans="1:14" ns3:dyDescent="0.2">
      <c r="A27" t="s">
        <v>53</v>
      </c>
      <c r="B27" s="3">
        <f>-7.372463889120817</f>
        <v>-7.372463889120817</v>
      </c>
      <c r="C27" t="s">
        <v>7</v>
      </c>
      <c r="D27" t="s">
        <v>3</v>
      </c>
      <c r="E27" t="s">
        <v>14</v>
      </c>
      <c r="F27" t="s">
        <v>54</v>
      </c>
      <c r="G27">
        <v>5</v>
      </c>
      <c r="H27" s="7">
        <f>-7.372463889120817</f>
        <v>-7.372463889120817</v>
      </c>
      <c r="I27" s="7">
        <f>-9.478882143155333</f>
        <v>-9.478882143155333</v>
      </c>
      <c r="J27" s="7">
        <f>-6.984439473903931</f>
        <v>-6.984439473903931</v>
      </c>
      <c r="K27" t="b">
        <v>1</v>
      </c>
      <c r="M27" s="7"/>
      <c r="N27" s="7"/>
    </row>
    <row r="28">
      <c r="A28" t="inlineStr">
        <is>
          <t>battery monitoring and central controls, NMC111, engineering reference</t>
        </is>
      </c>
      <c r="B28">
        <v>0.046385201265388296</v>
      </c>
      <c r="C28" t="inlineStr">
        <is>
          <t>unit</t>
        </is>
      </c>
      <c r="D28" t="inlineStr">
        <is>
          <t>GLO</t>
        </is>
      </c>
      <c r="E28" t="inlineStr">
        <is>
          <t>technosphere</t>
        </is>
      </c>
      <c r="F28" t="inlineStr">
        <is>
          <t>battery monitoring and central controls, NMC111, engineering reference</t>
        </is>
      </c>
    </row>
    <row r="29" spans="1:14" ht="16" ns3:dyDescent="0.2">
      <c r="A29" s="2" t="s">
        <v>0</v>
      </c>
      <c r="B29" s="2" t="s">
        <v>110</v>
      </c>
    </row>
    <row r="30" spans="1:14" ns3:dyDescent="0.2">
      <c r="A30" t="s">
        <v>1</v>
      </c>
      <c r="B30"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0.7412515438452038</f>
        <v>0.7412515438452038</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inlineStr">
        <is>
          <t>market for battery hardware, Li-ion, NMC532, engineering reference</t>
        </is>
      </c>
      <c r="B39" s="3">
        <f>6.7453485143015826</f>
        <v>6.7453485143015826</v>
      </c>
      <c r="C39" t="s">
        <v>7</v>
      </c>
      <c r="D39" t="s">
        <v>3</v>
      </c>
      <c r="E39" t="s">
        <v>14</v>
      </c>
      <c r="F39" t="inlineStr">
        <is>
          <t>battery hardware, Li-ion, NMC532, engineering reference</t>
        </is>
      </c>
      <c r="G39">
        <v>5</v>
      </c>
      <c r="H39" s="7">
        <f>6.7453485143015826</f>
        <v>6.7453485143015826</v>
      </c>
      <c r="I39" s="3">
        <f>6.132135013001438</f>
        <v>6.132135013001438</v>
      </c>
      <c r="J39" s="3">
        <f>7.9357041344724495</f>
        <v>7.9357041344724495</v>
      </c>
    </row>
    <row r="40" spans="1:14" ns3:dyDescent="0.2">
      <c r="A40" t="s">
        <v>53</v>
      </c>
      <c r="B40" s="3">
        <f>-6.7453485143015826</f>
        <v>-6.7453485143015826</v>
      </c>
      <c r="C40" t="s">
        <v>7</v>
      </c>
      <c r="D40" t="s">
        <v>3</v>
      </c>
      <c r="E40" t="s">
        <v>14</v>
      </c>
      <c r="F40" t="s">
        <v>54</v>
      </c>
      <c r="G40">
        <v>5</v>
      </c>
      <c r="H40" s="7">
        <f>-6.7453485143015826</f>
        <v>-6.7453485143015826</v>
      </c>
      <c r="I40" s="3">
        <f>-7.9357041344724495</f>
        <v>-7.9357041344724495</v>
      </c>
      <c r="J40" s="3">
        <f>-6.132135013001438</f>
        <v>-6.132135013001438</v>
      </c>
      <c r="K40" t="b">
        <v>1</v>
      </c>
      <c r="M40" s="3"/>
      <c r="N40" s="3"/>
    </row>
    <row r="41">
      <c r="A41" t="inlineStr">
        <is>
          <t>battery monitoring and central controls, NMC532, engineering reference</t>
        </is>
      </c>
      <c r="B41">
        <v>0.04628343978524484</v>
      </c>
      <c r="C41" t="inlineStr">
        <is>
          <t>unit</t>
        </is>
      </c>
      <c r="D41" t="inlineStr">
        <is>
          <t>GLO</t>
        </is>
      </c>
      <c r="E41" t="inlineStr">
        <is>
          <t>technosphere</t>
        </is>
      </c>
      <c r="F41" t="inlineStr">
        <is>
          <t>battery monitoring and central controls, NMC532, engineering reference</t>
        </is>
      </c>
    </row>
    <row r="42" spans="1:14" ht="16" ns3:dyDescent="0.2">
      <c r="A42" s="2" t="s">
        <v>0</v>
      </c>
      <c r="B42" s="2" t="s">
        <v>22</v>
      </c>
    </row>
    <row r="43" spans="1:14" ns3:dyDescent="0.2">
      <c r="A43" t="s">
        <v>1</v>
      </c>
      <c r="B43"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0.7412515438452038</f>
        <v>0.7412515438452038</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inlineStr">
        <is>
          <t>market for battery hardware, Li-ion, NMC622, engineering reference</t>
        </is>
      </c>
      <c r="B52" s="3">
        <f>5.621123761917986</f>
        <v>5.621123761917986</v>
      </c>
      <c r="C52" t="s">
        <v>7</v>
      </c>
      <c r="D52" t="s">
        <v>3</v>
      </c>
      <c r="E52" t="s">
        <v>14</v>
      </c>
      <c r="F52" t="inlineStr">
        <is>
          <t>battery hardware, Li-ion, NMC622, engineering reference</t>
        </is>
      </c>
      <c r="G52">
        <v>5</v>
      </c>
      <c r="H52" s="7">
        <f>5.621123761917986</f>
        <v>5.621123761917986</v>
      </c>
      <c r="I52" s="3">
        <f>4.818106081643988</f>
        <v>4.818106081643988</v>
      </c>
      <c r="J52" s="3">
        <f>6.745348514301584</f>
        <v>6.745348514301584</v>
      </c>
    </row>
    <row r="53" spans="1:14" ns3:dyDescent="0.2">
      <c r="A53" t="s">
        <v>53</v>
      </c>
      <c r="B53" s="3">
        <f>-5.621123761917986</f>
        <v>-5.621123761917986</v>
      </c>
      <c r="C53" t="s">
        <v>7</v>
      </c>
      <c r="D53" t="s">
        <v>3</v>
      </c>
      <c r="E53" t="s">
        <v>14</v>
      </c>
      <c r="F53" t="s">
        <v>54</v>
      </c>
      <c r="G53">
        <v>5</v>
      </c>
      <c r="H53" s="7">
        <f>-5.621123761917986</f>
        <v>-5.621123761917986</v>
      </c>
      <c r="I53" s="3">
        <f>-6.745348514301584</f>
        <v>-6.745348514301584</v>
      </c>
      <c r="J53" s="3">
        <f>-4.818106081643988</f>
        <v>-4.818106081643988</v>
      </c>
      <c r="K53" t="b">
        <v>1</v>
      </c>
      <c r="M53" s="3"/>
      <c r="N53" s="3"/>
    </row>
    <row r="54">
      <c r="A54" t="inlineStr">
        <is>
          <t>battery monitoring and central controls, NMC622, engineering reference</t>
        </is>
      </c>
      <c r="B54">
        <v>0.0385695331543707</v>
      </c>
      <c r="C54" t="inlineStr">
        <is>
          <t>unit</t>
        </is>
      </c>
      <c r="D54" t="inlineStr">
        <is>
          <t>GLO</t>
        </is>
      </c>
      <c r="E54" t="inlineStr">
        <is>
          <t>technosphere</t>
        </is>
      </c>
      <c r="F54" t="inlineStr">
        <is>
          <t>battery monitoring and central controls, NMC622, engineering reference</t>
        </is>
      </c>
    </row>
    <row r="55" spans="1:14" ht="16" ns3:dyDescent="0.2">
      <c r="A55" s="2" t="s">
        <v>0</v>
      </c>
      <c r="B55" s="2" t="s">
        <v>23</v>
      </c>
    </row>
    <row r="56" spans="1:14" ns3:dyDescent="0.2">
      <c r="A56" t="s">
        <v>1</v>
      </c>
      <c r="B56"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c r="B61">
        <v>0.7410802611620391</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inlineStr">
        <is>
          <t>market for battery hardware, Li-ion, NMC811, engineering reference</t>
        </is>
      </c>
      <c r="B65" s="3">
        <f>4.819219669713574</f>
        <v>4.819219669713574</v>
      </c>
      <c r="C65" t="s">
        <v>7</v>
      </c>
      <c r="D65" t="s">
        <v>3</v>
      </c>
      <c r="E65" t="s">
        <v>14</v>
      </c>
      <c r="F65" t="inlineStr">
        <is>
          <t>battery hardware, Li-ion, NMC811, engineering reference</t>
        </is>
      </c>
      <c r="G65">
        <v>5</v>
      </c>
      <c r="H65" s="7">
        <f>4.819219669713574</f>
        <v>4.819219669713574</v>
      </c>
      <c r="I65" s="3">
        <f>3.96876913976412</f>
        <v>3.96876913976412</v>
      </c>
      <c r="J65" s="3">
        <f>5.622422947999169</f>
        <v>5.622422947999169</v>
      </c>
    </row>
    <row r="66" spans="1:14" ns3:dyDescent="0.2">
      <c r="A66" t="s">
        <v>53</v>
      </c>
      <c r="B66" s="3">
        <f>-4.819219669713574</f>
        <v>-4.819219669713574</v>
      </c>
      <c r="C66" t="s">
        <v>7</v>
      </c>
      <c r="D66" t="s">
        <v>3</v>
      </c>
      <c r="E66" t="s">
        <v>14</v>
      </c>
      <c r="F66" t="s">
        <v>54</v>
      </c>
      <c r="G66">
        <v>5</v>
      </c>
      <c r="H66" s="7">
        <f>-4.819219669713574</f>
        <v>-4.819219669713574</v>
      </c>
      <c r="I66" s="3">
        <f>-5.622422947999169</f>
        <v>-5.622422947999169</v>
      </c>
      <c r="J66" s="3">
        <f>-3.96876913976412</f>
        <v>-3.96876913976412</v>
      </c>
      <c r="K66" t="b">
        <v>1</v>
      </c>
      <c r="M66" s="3"/>
      <c r="N66" s="3"/>
    </row>
    <row r="67">
      <c r="A67" t="inlineStr">
        <is>
          <t>battery monitoring and central controls, NMC811, engineering reference</t>
        </is>
      </c>
      <c r="B67">
        <v>0.03178275848917479</v>
      </c>
      <c r="C67" t="inlineStr">
        <is>
          <t>unit</t>
        </is>
      </c>
      <c r="D67" t="inlineStr">
        <is>
          <t>GLO</t>
        </is>
      </c>
      <c r="E67" t="inlineStr">
        <is>
          <t>technosphere</t>
        </is>
      </c>
      <c r="F67" t="inlineStr">
        <is>
          <t>battery monitoring and central controls, NMC811, engineering reference</t>
        </is>
      </c>
    </row>
    <row r="68" spans="1:14" ht="16" ns3:dyDescent="0.2">
      <c r="A68" s="2" t="s">
        <v>0</v>
      </c>
      <c r="B68" s="2" t="s">
        <v>62</v>
      </c>
    </row>
    <row r="69" spans="1:14" ns3:dyDescent="0.2">
      <c r="A69" t="s">
        <v>1</v>
      </c>
      <c r="B69"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0.7412515438452038</f>
        <v>0.7412515438452038</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inlineStr">
        <is>
          <t>market for battery hardware, Li-ion, NMC955, engineering reference</t>
        </is>
      </c>
      <c r="B78" s="3">
        <f>3.967852067236225</f>
        <v>3.967852067236225</v>
      </c>
      <c r="C78" t="s">
        <v>7</v>
      </c>
      <c r="D78" t="s">
        <v>3</v>
      </c>
      <c r="E78" t="s">
        <v>14</v>
      </c>
      <c r="F78" t="inlineStr">
        <is>
          <t>battery hardware, Li-ion, NMC955, engineering reference</t>
        </is>
      </c>
      <c r="G78">
        <v>5</v>
      </c>
      <c r="H78" s="7">
        <f>3.967852067236225</f>
        <v>3.967852067236225</v>
      </c>
      <c r="I78" s="3">
        <f>3.550183428579781</f>
        <v>3.550183428579781</v>
      </c>
      <c r="J78" s="3">
        <f>4.496899009534389</f>
        <v>4.496899009534389</v>
      </c>
    </row>
    <row r="79" spans="1:14" ns3:dyDescent="0.2">
      <c r="A79" t="s">
        <v>53</v>
      </c>
      <c r="B79" s="3">
        <f>-3.967852067236225</f>
        <v>-3.967852067236225</v>
      </c>
      <c r="C79" t="s">
        <v>7</v>
      </c>
      <c r="D79" t="s">
        <v>3</v>
      </c>
      <c r="E79" t="s">
        <v>14</v>
      </c>
      <c r="F79" t="s">
        <v>54</v>
      </c>
      <c r="G79">
        <v>5</v>
      </c>
      <c r="H79" s="7">
        <f>-3.967852067236225</f>
        <v>-3.967852067236225</v>
      </c>
      <c r="I79" s="3">
        <f>-4.496899009534389</f>
        <v>-4.496899009534389</v>
      </c>
      <c r="J79" s="3">
        <f>-3.550183428579781</f>
        <v>-3.550183428579781</v>
      </c>
      <c r="K79" t="b">
        <v>1</v>
      </c>
      <c r="M79" s="3"/>
      <c r="N79" s="3"/>
    </row>
    <row r="80">
      <c r="A80" t="inlineStr">
        <is>
          <t>battery monitoring and central controls, NMC955, engineering reference</t>
        </is>
      </c>
      <c r="B80">
        <v>0.027225552814849903</v>
      </c>
      <c r="C80" t="inlineStr">
        <is>
          <t>unit</t>
        </is>
      </c>
      <c r="D80" t="inlineStr">
        <is>
          <t>GLO</t>
        </is>
      </c>
      <c r="E80" t="inlineStr">
        <is>
          <t>technosphere</t>
        </is>
      </c>
      <c r="F80" t="inlineStr">
        <is>
          <t>battery monitoring and central controls, NMC955, engineering reference</t>
        </is>
      </c>
    </row>
    <row r="81" spans="1:14" ht="16" ns3:dyDescent="0.2">
      <c r="A81" s="2" t="s">
        <v>0</v>
      </c>
      <c r="B81" s="2" t="s">
        <v>27</v>
      </c>
    </row>
    <row r="82" spans="1:14" ns3:dyDescent="0.2">
      <c r="A82" t="s">
        <v>1</v>
      </c>
      <c r="B8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Chemistry=NCA; geometry proxy=NCA; cellmass=104.96kg, scalablehardware=142.36999999999998kg, assumed cellbaseline=0.28kWh/kg, grossreference=29.3888kWh,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0.7372339678303015</f>
        <v>0.7372339678303015</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inlineStr">
        <is>
          <t>market for battery hardware, Li-ion, NCA, engineering reference</t>
        </is>
      </c>
      <c r="B91" s="3">
        <f>4.844362478222996</f>
        <v>4.844362478222996</v>
      </c>
      <c r="C91" t="s">
        <v>7</v>
      </c>
      <c r="D91" t="s">
        <v>3</v>
      </c>
      <c r="E91" t="s">
        <v>14</v>
      </c>
      <c r="F91" t="inlineStr">
        <is>
          <t>battery hardware, Li-ion, NCA, engineering reference</t>
        </is>
      </c>
      <c r="G91">
        <v>5</v>
      </c>
      <c r="H91" s="7">
        <f>4.844362478222996</f>
        <v>4.844362478222996</v>
      </c>
      <c r="I91" s="3">
        <f>3.989474982065997</f>
        <v>3.989474982065997</v>
      </c>
      <c r="J91" s="3">
        <f>5.651756224593496</f>
        <v>5.651756224593496</v>
      </c>
    </row>
    <row r="92" spans="1:14" ns3:dyDescent="0.2">
      <c r="A92" t="s">
        <v>53</v>
      </c>
      <c r="B92" s="3">
        <f>-4.844362478222996</f>
        <v>-4.844362478222996</v>
      </c>
      <c r="C92" t="s">
        <v>7</v>
      </c>
      <c r="D92" t="s">
        <v>3</v>
      </c>
      <c r="E92" t="s">
        <v>14</v>
      </c>
      <c r="F92" t="s">
        <v>54</v>
      </c>
      <c r="G92">
        <v>5</v>
      </c>
      <c r="H92" s="7">
        <f>-4.844362478222996</f>
        <v>-4.844362478222996</v>
      </c>
      <c r="I92" s="3">
        <f>-5.651756224593496</f>
        <v>-5.651756224593496</v>
      </c>
      <c r="J92" s="3">
        <f>-3.989474982065997</f>
        <v>-3.989474982065997</v>
      </c>
      <c r="K92" t="b">
        <v>1</v>
      </c>
      <c r="M92" s="3"/>
      <c r="N92" s="3"/>
    </row>
    <row r="93">
      <c r="A93" t="inlineStr">
        <is>
          <t>battery monitoring and central controls, NCA, engineering reference</t>
        </is>
      </c>
      <c r="B93">
        <v>0.03402656794425087</v>
      </c>
      <c r="C93" t="inlineStr">
        <is>
          <t>unit</t>
        </is>
      </c>
      <c r="D93" t="inlineStr">
        <is>
          <t>GLO</t>
        </is>
      </c>
      <c r="E93" t="inlineStr">
        <is>
          <t>technosphere</t>
        </is>
      </c>
      <c r="F93" t="inlineStr">
        <is>
          <t>battery monitoring and central controls, NCA, engineering reference</t>
        </is>
      </c>
    </row>
    <row r="94" spans="1:14" ht="16" ns3:dyDescent="0.2">
      <c r="A94" s="2" t="s">
        <v>0</v>
      </c>
      <c r="B94" s="2" t="s">
        <v>30</v>
      </c>
    </row>
    <row r="95" spans="1:14" ns3:dyDescent="0.2">
      <c r="A95" t="s">
        <v>1</v>
      </c>
      <c r="B95" t="inlineStr">
        <is>
          <t>APPROVED SOURCE-CONSISTENT NCA/LTO CELL AND CAPACITY REFERENCE,item22,2026-10-18. Schmidt etal2019 DOI10.1021/acs.est.8b05313, Supporting Data es8b05313_si_002.zip, NCA LTO battery import.xlsx summary!H54=16.040428932169362kg/kWh dry cell components excluding pouch, H56=.5181296021158341kg/kWh pouch; H60=1000/(H54+H56)=60.39173022998696Wh/kg-cell. This is the source harmonized historical NCA/LTO engineering design, not modern fleet validation. The current capacity reference85Wh/kg is inconsistent with that recipe. Restore seven component fractions to source per-kWh masses divided by16.558558534285197kg/kWh; the old six non-pouch fractions were multiplied by rounded.060kWh/kg and the pouch filled the remainder, rather than using the source pouch mass. This restores source component ratios and a1kg component-sum cell. Preserve all previously corrected upstream electrode/graphite/collector recipes and supplier identities, cell water/electricity/heat proxies, reference pack cellmass108.03kg and non-cell geometry37.71kg (NMC622 geometry proxy), controls/protection6.538kg per reference and all vehicle energy/cycle/replacement assumptions. Factory utilities and upstream manufacturing yields remain inherited proxies rather than a claim of complete original-source reproduction. Use exact source cell energy.060391730229986965kWh/kg in the capacity market. Scalable hardware145.74kg now represents6.524118616745492grosskWh, hence22.338649641643293kg/kWh instead of15.871408268944903. Pair identical negative waste mass and signed uncertainty endpoints; retain prior engineering75-125percent mass range, without claiming source statistical confidence. Fixed-unit controls remain unchanged per reference pack, but dose becomes1/6.524118616745492unit/kWh to share the same capacity basis. No future LTO improvement is assumed; existing2020/2050 density-factor ratio is1 even though its YAML absolute values are historical50Wh/kg. No runtime/YAML changes. Original standalone75/25 LTO battery market remains a separate legacy assembly reference, while capacity markets buy the explicit hardware/central-control reference. Source pack48.6049Wh/kg excludes BMS/cooling and is distinct from the adopted cell-specific60.3917Wh/kg. Remaining material-grade, utility, thermal rating, life and future-design limitations remain explicit.
PREVIOUS NOTES (retained as history; the correction above takes precedence):
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Chemistry=LTO; geometry proxy=NMC622; cellmass=108.03kg, scalablehardware=145.74kg, assumed cellbaseline=0.085kWh/kg, grossreference=9.18255kWh,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0.7412515438452038</f>
        <v>0.7412515438452038</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inlineStr">
        <is>
          <t>market for battery hardware, Li-ion, LTO, engineering reference</t>
        </is>
      </c>
      <c r="B104" s="3">
        <f>1/(0.060391730229986965*$B$100)</f>
        <v>22.338649641643293</v>
      </c>
      <c r="C104" t="s">
        <v>7</v>
      </c>
      <c r="D104" t="s">
        <v>3</v>
      </c>
      <c r="E104" t="s">
        <v>14</v>
      </c>
      <c r="F104" t="inlineStr">
        <is>
          <t>battery hardware, Li-ion, LTO, engineering reference</t>
        </is>
      </c>
      <c r="G104">
        <v>5</v>
      </c>
      <c r="H104" s="7">
        <f>B104</f>
        <v>22.338649641643293</v>
      </c>
      <c r="I104" s="7">
        <f>B104*0.75</f>
        <v>16.753987231232472</v>
      </c>
      <c r="J104" s="7">
        <f>B104*1.25</f>
        <v>27.923312052054115</v>
      </c>
    </row>
    <row r="105" spans="1:14" ns3:dyDescent="0.2">
      <c r="A105" t="s">
        <v>53</v>
      </c>
      <c r="B105" s="3">
        <f>-B104</f>
        <v>-22.338649641643293</v>
      </c>
      <c r="C105" t="s">
        <v>7</v>
      </c>
      <c r="D105" t="s">
        <v>3</v>
      </c>
      <c r="E105" t="s">
        <v>14</v>
      </c>
      <c r="F105" t="s">
        <v>54</v>
      </c>
      <c r="G105">
        <v>5</v>
      </c>
      <c r="H105" s="7">
        <f>B105</f>
        <v>-22.338649641643293</v>
      </c>
      <c r="I105" s="7">
        <f>B105*1.25</f>
        <v>-27.923312052054115</v>
      </c>
      <c r="J105" s="7">
        <f>B105*0.75</f>
        <v>-16.753987231232472</v>
      </c>
      <c r="K105" t="b">
        <v>1</v>
      </c>
      <c r="M105" s="7"/>
      <c r="N105" s="7"/>
    </row>
    <row r="106">
      <c r="A106" t="inlineStr">
        <is>
          <t>battery monitoring and central controls, LTO, engineering reference</t>
        </is>
      </c>
      <c r="B106">
        <v>0.1532774093704082</v>
      </c>
      <c r="C106" t="inlineStr">
        <is>
          <t>unit</t>
        </is>
      </c>
      <c r="D106" t="inlineStr">
        <is>
          <t>GLO</t>
        </is>
      </c>
      <c r="E106" t="inlineStr">
        <is>
          <t>technosphere</t>
        </is>
      </c>
      <c r="F106" t="inlineStr">
        <is>
          <t>battery monitoring and central controls, LTO, engineering reference</t>
        </is>
      </c>
    </row>
    <row r="107" spans="1:14" ht="16" ns3:dyDescent="0.2">
      <c r="A107" s="2" t="s">
        <v>0</v>
      </c>
      <c r="B107" s="2" t="s">
        <v>55</v>
      </c>
    </row>
    <row r="108" spans="1:14" ns3:dyDescent="0.2">
      <c r="A108" t="s">
        <v>1</v>
      </c>
      <c r="B10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Chemistry=LiMn2O4; geometry proxy=LiMn2O4; cellmass=146.26999999999998kg, scalablehardware=188.1kg, assumed cellbaseline=0.13kWh/kg, grossreference=19.015099999999997kWh, fixedcontrolmass=6.478kg.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0.7776182881446039</f>
        <v>0.7776182881446039</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inlineStr">
        <is>
          <t>market for battery hardware, Li-ion, LiMn2O4, engineering reference</t>
        </is>
      </c>
      <c r="B117" s="3">
        <f>9.89213835320351</f>
        <v>9.89213835320351</v>
      </c>
      <c r="C117" t="s">
        <v>7</v>
      </c>
      <c r="D117" t="s">
        <v>3</v>
      </c>
      <c r="E117" t="s">
        <v>14</v>
      </c>
      <c r="F117" t="inlineStr">
        <is>
          <t>battery hardware, Li-ion, LiMn2O4, engineering reference</t>
        </is>
      </c>
      <c r="G117">
        <v>5</v>
      </c>
      <c r="H117" s="7">
        <f>9.89213835320351</f>
        <v>9.89213835320351</v>
      </c>
      <c r="I117" s="7">
        <f>7.419103764902632</f>
        <v>7.419103764902632</v>
      </c>
      <c r="J117" s="7">
        <f>12.365172941504387</f>
        <v>12.365172941504387</v>
      </c>
    </row>
    <row r="118" spans="1:14" ns3:dyDescent="0.2">
      <c r="A118" t="s">
        <v>53</v>
      </c>
      <c r="B118" s="3">
        <f>-9.89213835320351</f>
        <v>-9.89213835320351</v>
      </c>
      <c r="C118" t="s">
        <v>7</v>
      </c>
      <c r="D118" t="s">
        <v>3</v>
      </c>
      <c r="E118" t="s">
        <v>14</v>
      </c>
      <c r="F118" t="s">
        <v>54</v>
      </c>
      <c r="G118">
        <v>5</v>
      </c>
      <c r="H118" s="7">
        <f>-9.89213835320351</f>
        <v>-9.89213835320351</v>
      </c>
      <c r="I118" s="7">
        <f>-12.365172941504387</f>
        <v>-12.365172941504387</v>
      </c>
      <c r="J118" s="7">
        <f>-7.419103764902632</f>
        <v>-7.419103764902632</v>
      </c>
      <c r="K118" t="b">
        <v>1</v>
      </c>
      <c r="M118" s="7"/>
      <c r="N118" s="7"/>
    </row>
    <row r="119">
      <c r="A119" t="inlineStr">
        <is>
          <t>battery monitoring and central controls, LiMn2O4, engineering reference</t>
        </is>
      </c>
      <c r="B119">
        <v>0.05258978390857793</v>
      </c>
      <c r="C119" t="inlineStr">
        <is>
          <t>unit</t>
        </is>
      </c>
      <c r="D119" t="inlineStr">
        <is>
          <t>GLO</t>
        </is>
      </c>
      <c r="E119" t="inlineStr">
        <is>
          <t>technosphere</t>
        </is>
      </c>
      <c r="F119" t="inlineStr">
        <is>
          <t>battery monitoring and central controls, LiMn2O4, engineering reference</t>
        </is>
      </c>
    </row>
    <row r="120" spans="1:14" ht="16" ns3:dyDescent="0.2">
      <c r="A120" s="2" t="s">
        <v>0</v>
      </c>
      <c r="B120" s="2" t="s">
        <v>56</v>
      </c>
    </row>
    <row r="121" spans="1:14" ns3:dyDescent="0.2">
      <c r="A121" t="s">
        <v>1</v>
      </c>
      <c r="B121"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is16*19.306152kg cell*0.15kWh/kg=46.3347648kWh; dose=0.0215820670357649unit/kWh. Existing cell density, kg-module recipe, energy/per-MJ coefficients and cycle assumptions are preserved.
PREVIOUS NOTES (retained as history; the correction above takes precedence):
APPROVED Li-S BASE-DESIGN ENGINEERING RECONCILIATION, item15, 2026-10-18. Wickerts corrected SI, DOI10.1021/acssuschemeng.4c01782.s001 Tables S19/S21: use baseline B recipe with the existing150 Wh/kg-cell and1500-cycle reference, rather than technical T ingredients associated with500 Wh/kg. Per cell: Li4g, separator6g, cathode8g, electrolyte29g, pouch.13g, negative tab.12g, positive tab.069g. Detailed retained masses sum47.319g, conflicting with source46g average. Adopt47.319g as the explicit engineering mass basis (not a measured corrected source cell); no arbitrary rescaling of individual ingredients. At150 Wh/kg this is7.09785 Wh/cell. Cathode B perkg: sulfur.28, CMK3.22, PVDF.13, acetonitrile.044, foil.38, organic waste-.054; inputs1.054kg=1kg product+.054kg waste. Preserve process-specific energy and transport. Source PVDF binder uses the existing polyvinylfluoride supply as an explicitly retained cross-version fluoropolymer proxy; exact binder chemistry remains a coverage/model gap, not a verified PVDF route. Per-cell assembly/formation/factory requirements retain their source cell amounts and are divided by47.319g. Module408cells=19.306152kg plus.275Al busbar+.593bimetal+.085Cu+2.75PP+2.5steel =25.509152kg. Cell share is0.7568323713779275. The mobile capacity market normalizes exactly to1 gross kWh at.150kWh/kg-cell, with.120-.180 endpoints and paired waste masses. Future density factors remain the existing relative learning assumption with fixed recipe; this does not validate a future physical cell design, cycle aging or calendar life. Controls/cooling are treated separately under item13. Source average-mass conflict and future recipe evolution remain explicit gaps. This supersedes older24.971kg-module/46g-cell and500Wh/kg-composition statements below.
PREVIOUS NOTES (retained as history; the correction above takes precedence):
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0.7568323713779275</f>
        <v>0.7568323713779275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s">
        <v>33</v>
      </c>
      <c r="B130" s="3">
        <f>8.808643655832261</f>
        <v>8.808643655832261</v>
      </c>
      <c r="C130" t="s">
        <v>7</v>
      </c>
      <c r="D130" t="s">
        <v>3</v>
      </c>
      <c r="E130" t="s">
        <v>14</v>
      </c>
      <c r="F130" t="s">
        <v>34</v>
      </c>
      <c r="G130">
        <v>5</v>
      </c>
      <c r="H130" s="7">
        <f>8.808643655832261</f>
        <v>8.808643655832261</v>
      </c>
      <c r="I130" s="3">
        <f>7.340536379860217</f>
        <v>7.340536379860217</v>
      </c>
      <c r="J130" s="3">
        <f>11.010804569790327</f>
        <v>11.010804569790327</v>
      </c>
    </row>
    <row r="131" spans="1:14" ns3:dyDescent="0.2">
      <c r="A131" t="s">
        <v>53</v>
      </c>
      <c r="B131" s="3">
        <f>-8.808643655832261</f>
        <v>-8.808643655832261</v>
      </c>
      <c r="C131" t="s">
        <v>7</v>
      </c>
      <c r="D131" t="s">
        <v>3</v>
      </c>
      <c r="E131" t="s">
        <v>14</v>
      </c>
      <c r="F131" t="s">
        <v>54</v>
      </c>
      <c r="G131">
        <v>5</v>
      </c>
      <c r="H131" s="7">
        <f>-8.808643655832261</f>
        <v>-8.808643655832261</v>
      </c>
      <c r="I131" s="3">
        <f>-11.010804569790327</f>
        <v>-11.010804569790327</v>
      </c>
      <c r="J131" s="3">
        <f>-7.340536379860217</f>
        <v>-7.340536379860217</v>
      </c>
      <c r="K131" t="b">
        <v>1</v>
      </c>
      <c r="M131" s="3"/>
      <c r="N131" s="3"/>
    </row>
    <row r="132">
      <c r="A132" t="inlineStr">
        <is>
          <t>battery controls and cooling, 16-module engineering reference</t>
        </is>
      </c>
      <c r="B132">
        <v>0.0215820670357649</v>
      </c>
      <c r="C132" t="inlineStr">
        <is>
          <t>unit</t>
        </is>
      </c>
      <c r="D132" t="inlineStr">
        <is>
          <t>GLO</t>
        </is>
      </c>
      <c r="E132" t="inlineStr">
        <is>
          <t>technosphere</t>
        </is>
      </c>
      <c r="F132" t="inlineStr">
        <is>
          <t>battery controls and cooling, 16-module engineering reference</t>
        </is>
      </c>
      <c r="L132" t="inlineStr">
        <is>
          <t>Engineering auxiliary input; fixed unit reference, includes own separate15.6176kg waste.</t>
        </is>
      </c>
    </row>
    <row r="133" spans="1:14" ht="16" ns3:dyDescent="0.2">
      <c r="A133" s="2" t="s">
        <v>0</v>
      </c>
      <c r="B133" s="2" t="s">
        <v>35</v>
      </c>
    </row>
    <row r="134" spans="1:14" ns3:dyDescent="0.2">
      <c r="A134" t="s">
        <v>1</v>
      </c>
      <c r="B134"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The capacity-level treatment amount, sign, triangular bounds and all manufacturing mass formulas/caches are unchanged; purchased and treated mass remain paired as battery density changes.
PREVIOUS NOTES (retained as history; the correction above takes precedence):
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0.7429408414028806</f>
        <v>0.7429408414028806</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inlineStr">
        <is>
          <t>market for battery hardware, Li-oxygen, engineering reference</t>
        </is>
      </c>
      <c r="B143" s="3">
        <f>3.870551181102362</f>
        <v>3.870551181102362</v>
      </c>
      <c r="C143" t="s">
        <v>7</v>
      </c>
      <c r="D143" t="s">
        <v>3</v>
      </c>
      <c r="E143" t="s">
        <v>14</v>
      </c>
      <c r="F143" t="inlineStr">
        <is>
          <t>battery hardware, Li-oxygen, engineering reference</t>
        </is>
      </c>
      <c r="G143">
        <v>5</v>
      </c>
      <c r="H143" s="7">
        <f>3.870551181102362</f>
        <v>3.870551181102362</v>
      </c>
      <c r="I143" s="7">
        <f>2.9029133858267713</f>
        <v>2.9029133858267713</v>
      </c>
      <c r="J143" s="7">
        <f>4.838188976377952</f>
        <v>4.838188976377952</v>
      </c>
    </row>
    <row r="144" spans="1:14" ns3:dyDescent="0.2">
      <c r="A144" t="inlineStr">
        <is>
          <t>treatment of LiO2 battery, for recycling</t>
        </is>
      </c>
      <c r="B144" s="3">
        <f>-3.870551181102362</f>
        <v>-3.870551181102362</v>
      </c>
      <c r="C144" t="s">
        <v>7</v>
      </c>
      <c r="D144" t="inlineStr">
        <is>
          <t>RER</t>
        </is>
      </c>
      <c r="E144" t="s">
        <v>14</v>
      </c>
      <c r="F144" t="inlineStr">
        <is>
          <t>waste LiO2 battery</t>
        </is>
      </c>
      <c r="G144">
        <v>5</v>
      </c>
      <c r="H144" s="7">
        <f>-3.870551181102362</f>
        <v>-3.870551181102362</v>
      </c>
      <c r="I144" s="7">
        <f>-4.838188976377952</f>
        <v>-4.838188976377952</v>
      </c>
      <c r="J144" s="7">
        <f>-2.9029133858267713</f>
        <v>-2.9029133858267713</v>
      </c>
      <c r="K144" t="b">
        <v>1</v>
      </c>
      <c r="M144" s="7"/>
      <c r="N144" s="7"/>
    </row>
    <row r="145">
      <c r="A145" t="inlineStr">
        <is>
          <t>battery auxiliary lifecycle, Li-O2 engineering reference</t>
        </is>
      </c>
      <c r="B145">
        <v>0.015748031496062992</v>
      </c>
      <c r="C145" t="inlineStr">
        <is>
          <t>unit</t>
        </is>
      </c>
      <c r="D145" t="inlineStr">
        <is>
          <t>GLO</t>
        </is>
      </c>
      <c r="E145" t="inlineStr">
        <is>
          <t>technosphere</t>
        </is>
      </c>
      <c r="F145" t="inlineStr">
        <is>
          <t>battery auxiliary lifecycle, Li-O2 engineering reference</t>
        </is>
      </c>
      <c r="L145" t="inlineStr">
        <is>
          <t>Fixed88.07kg auxiliary hardware plus matching dedicated end-of-life.</t>
        </is>
      </c>
    </row>
    <row r="146" spans="1:14" ht="16" ns3:dyDescent="0.2">
      <c r="A146" s="2" t="s">
        <v>0</v>
      </c>
      <c r="B146" s="2" t="s">
        <v>38</v>
      </c>
    </row>
    <row r="147" spans="1:14" ns3:dyDescent="0.2">
      <c r="A147" t="s">
        <v>1</v>
      </c>
      <c r="B147" t="inlineStr">
        <is>
          <t>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0.7515918465419887</f>
        <v>0.7515918465419887</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s">
        <v>39</v>
      </c>
      <c r="B156" s="3">
        <f>1/(0.157*$B$152)</f>
        <v>8.474582023338275</v>
      </c>
      <c r="C156" t="s">
        <v>7</v>
      </c>
      <c r="D156" t="s">
        <v>3</v>
      </c>
      <c r="E156" t="s">
        <v>14</v>
      </c>
      <c r="F156" t="s">
        <v>40</v>
      </c>
      <c r="G156">
        <v>5</v>
      </c>
      <c r="H156" s="7">
        <f>B156</f>
        <v>8.474582023338275</v>
      </c>
      <c r="I156" s="3">
        <f>1/(0.18*$B$152)</f>
        <v>7.391718764800606</v>
      </c>
      <c r="J156" s="3">
        <f>1/(0.12*$B$152)</f>
        <v>11.08757814720091</v>
      </c>
    </row>
    <row r="157" spans="1:14" ns3:dyDescent="0.2">
      <c r="A157" t="s">
        <v>53</v>
      </c>
      <c r="B157" s="3">
        <f>-1*B156</f>
        <v>-8.474582023338275</v>
      </c>
      <c r="C157" t="s">
        <v>7</v>
      </c>
      <c r="D157" t="s">
        <v>3</v>
      </c>
      <c r="E157" t="s">
        <v>14</v>
      </c>
      <c r="F157" t="s">
        <v>54</v>
      </c>
      <c r="G157">
        <v>5</v>
      </c>
      <c r="H157" s="7">
        <f>B157</f>
        <v>-8.474582023338275</v>
      </c>
      <c r="I157" s="3">
        <f>-1/(0.12*$B$152)</f>
        <v>-11.08757814720091</v>
      </c>
      <c r="J157" s="3">
        <f>-1/(0.18*$B$152)</f>
        <v>-7.391718764800606</v>
      </c>
      <c r="K157" t="b">
        <v>1</v>
      </c>
      <c r="M157" s="3"/>
      <c r="N157" s="3"/>
    </row>
    <row r="158">
      <c r="A158" t="inlineStr">
        <is>
          <t>battery controls and cooling, 16-module engineering reference</t>
        </is>
      </c>
      <c r="B158">
        <v>0.02121105988781555</v>
      </c>
      <c r="C158" t="inlineStr">
        <is>
          <t>unit</t>
        </is>
      </c>
      <c r="D158" t="inlineStr">
        <is>
          <t>GLO</t>
        </is>
      </c>
      <c r="E158" t="inlineStr">
        <is>
          <t>technosphere</t>
        </is>
      </c>
      <c r="F158" t="inlineStr">
        <is>
          <t>battery controls and cooling, 16-module engineering reference</t>
        </is>
      </c>
      <c r="L158" t="inlineStr">
        <is>
          <t>Engineering auxiliary input; fixed unit reference, includes own separate15.6176kg waste.</t>
        </is>
      </c>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row r="269">
      <c r="A269" t="inlineStr">
        <is>
          <t>Activity</t>
        </is>
      </c>
      <c r="B269" t="inlineStr">
        <is>
          <t>high-power battery capacity, FCEV car, engineering reference</t>
        </is>
      </c>
    </row>
    <row r="270">
      <c r="A270" t="inlineStr">
        <is>
          <t>location</t>
        </is>
      </c>
      <c r="B270" t="inlineStr">
        <is>
          <t>GLO</t>
        </is>
      </c>
    </row>
    <row r="271">
      <c r="A271" t="inlineStr">
        <is>
          <t>production amount</t>
        </is>
      </c>
      <c r="B271">
        <v>1</v>
      </c>
    </row>
    <row r="272">
      <c r="A272" t="inlineStr">
        <is>
          <t>reference product</t>
        </is>
      </c>
      <c r="B272" t="inlineStr">
        <is>
          <t>high-power battery capacity, FCEV car, engineering reference</t>
        </is>
      </c>
    </row>
    <row r="273">
      <c r="A273" t="inlineStr">
        <is>
          <t>unit</t>
        </is>
      </c>
      <c r="B273" t="inlineStr">
        <is>
          <t>kilowatt hour</t>
        </is>
      </c>
    </row>
    <row r="274">
      <c r="A274" t="inlineStr">
        <is>
          <t>source</t>
        </is>
      </c>
      <c r="B274"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75">
      <c r="A275" t="inlineStr">
        <is>
          <t>comment</t>
        </is>
      </c>
      <c r="B275"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76">
      <c r="A276" t="inlineStr">
        <is>
          <t>Exchanges</t>
        </is>
      </c>
    </row>
    <row r="277">
      <c r="A277" t="inlineStr">
        <is>
          <t>name</t>
        </is>
      </c>
      <c r="B277" t="inlineStr">
        <is>
          <t>amount</t>
        </is>
      </c>
      <c r="C277" t="inlineStr">
        <is>
          <t>location</t>
        </is>
      </c>
      <c r="D277" t="inlineStr">
        <is>
          <t>unit</t>
        </is>
      </c>
      <c r="E277" t="inlineStr">
        <is>
          <t>categories</t>
        </is>
      </c>
      <c r="F277" t="inlineStr">
        <is>
          <t>type</t>
        </is>
      </c>
      <c r="G277" t="inlineStr">
        <is>
          <t>reference product</t>
        </is>
      </c>
      <c r="H277" t="inlineStr">
        <is>
          <t>comment</t>
        </is>
      </c>
    </row>
    <row r="278">
      <c r="A278" t="inlineStr">
        <is>
          <t>high-power battery capacity, FCEV car, engineering reference</t>
        </is>
      </c>
      <c r="B278">
        <v>1</v>
      </c>
      <c r="C278" t="inlineStr">
        <is>
          <t>GLO</t>
        </is>
      </c>
      <c r="D278" t="inlineStr">
        <is>
          <t>kilowatt hour</t>
        </is>
      </c>
      <c r="F278" t="inlineStr">
        <is>
          <t>production</t>
        </is>
      </c>
      <c r="G278" t="inlineStr">
        <is>
          <t>high-power battery capacity, FCEV car, engineering reference</t>
        </is>
      </c>
    </row>
    <row r="279">
      <c r="A279" t="inlineStr">
        <is>
          <t>market for battery cell, Li-ion, NMC622</t>
        </is>
      </c>
      <c r="B279">
        <v>25.11261261261261</v>
      </c>
      <c r="C279" t="inlineStr">
        <is>
          <t>GLO</t>
        </is>
      </c>
      <c r="D279" t="inlineStr">
        <is>
          <t>kilogram</t>
        </is>
      </c>
      <c r="F279" t="inlineStr">
        <is>
          <t>technosphere</t>
        </is>
      </c>
      <c r="G279" t="inlineStr">
        <is>
          <t>battery cell, Li-ion, NMC622</t>
        </is>
      </c>
    </row>
    <row r="280">
      <c r="A280" t="inlineStr">
        <is>
          <t>battery central controls and protection, engineering reference</t>
        </is>
      </c>
      <c r="B280">
        <v>0.8043758043758044</v>
      </c>
      <c r="C280" t="inlineStr">
        <is>
          <t>GLO</t>
        </is>
      </c>
      <c r="D280" t="inlineStr">
        <is>
          <t>unit</t>
        </is>
      </c>
      <c r="F280" t="inlineStr">
        <is>
          <t>technosphere</t>
        </is>
      </c>
      <c r="G280" t="inlineStr">
        <is>
          <t>battery central controls and protection, engineering reference</t>
        </is>
      </c>
    </row>
    <row r="281">
      <c r="A281" t="inlineStr">
        <is>
          <t>market for copper, cathode</t>
        </is>
      </c>
      <c r="B281">
        <v>0.12078060465157239</v>
      </c>
      <c r="C281" t="inlineStr">
        <is>
          <t>GLO</t>
        </is>
      </c>
      <c r="D281" t="inlineStr">
        <is>
          <t>kilogram</t>
        </is>
      </c>
      <c r="F281" t="inlineStr">
        <is>
          <t>technosphere</t>
        </is>
      </c>
      <c r="G281" t="inlineStr">
        <is>
          <t>copper, cathode</t>
        </is>
      </c>
    </row>
    <row r="282">
      <c r="A282" t="inlineStr">
        <is>
          <t>metal working, average for copper product manufacturing</t>
        </is>
      </c>
      <c r="B282">
        <v>0.12078060465157239</v>
      </c>
      <c r="C282" t="inlineStr">
        <is>
          <t>RER</t>
        </is>
      </c>
      <c r="D282" t="inlineStr">
        <is>
          <t>kilogram</t>
        </is>
      </c>
      <c r="F282" t="inlineStr">
        <is>
          <t>technosphere</t>
        </is>
      </c>
      <c r="G282" t="inlineStr">
        <is>
          <t>metal working, average for copper product manufacturing</t>
        </is>
      </c>
    </row>
    <row r="283">
      <c r="A283" t="inlineStr">
        <is>
          <t>market for aluminium, wrought alloy</t>
        </is>
      </c>
      <c r="B283">
        <v>6.566284025961444</v>
      </c>
      <c r="C283" t="inlineStr">
        <is>
          <t>GLO</t>
        </is>
      </c>
      <c r="D283" t="inlineStr">
        <is>
          <t>kilogram</t>
        </is>
      </c>
      <c r="F283" t="inlineStr">
        <is>
          <t>technosphere</t>
        </is>
      </c>
      <c r="G283" t="inlineStr">
        <is>
          <t>aluminium, wrought alloy</t>
        </is>
      </c>
    </row>
    <row r="284">
      <c r="A284" t="inlineStr">
        <is>
          <t>metal working, average for aluminium product manufacturing</t>
        </is>
      </c>
      <c r="B284">
        <v>6.566284025961444</v>
      </c>
      <c r="C284" t="inlineStr">
        <is>
          <t>RER</t>
        </is>
      </c>
      <c r="D284" t="inlineStr">
        <is>
          <t>kilogram</t>
        </is>
      </c>
      <c r="F284" t="inlineStr">
        <is>
          <t>technosphere</t>
        </is>
      </c>
      <c r="G284" t="inlineStr">
        <is>
          <t>metal working, average for aluminium product manufacturing</t>
        </is>
      </c>
    </row>
    <row r="285">
      <c r="A285" t="inlineStr">
        <is>
          <t>market for polyethylene, high density, granulate</t>
        </is>
      </c>
      <c r="B285">
        <v>0.19742983452660873</v>
      </c>
      <c r="C285" t="inlineStr">
        <is>
          <t>GLO</t>
        </is>
      </c>
      <c r="D285" t="inlineStr">
        <is>
          <t>kilogram</t>
        </is>
      </c>
      <c r="F285" t="inlineStr">
        <is>
          <t>technosphere</t>
        </is>
      </c>
      <c r="G285" t="inlineStr">
        <is>
          <t>polyethylene, high density, granulate</t>
        </is>
      </c>
    </row>
    <row r="286">
      <c r="A286" t="inlineStr">
        <is>
          <t>market for glass fibre reinforced plastic, polyester resin, hand lay-up</t>
        </is>
      </c>
      <c r="B286">
        <v>0.025549743291678775</v>
      </c>
      <c r="C286" t="inlineStr">
        <is>
          <t>GLO</t>
        </is>
      </c>
      <c r="D286" t="inlineStr">
        <is>
          <t>kilogram</t>
        </is>
      </c>
      <c r="F286" t="inlineStr">
        <is>
          <t>technosphere</t>
        </is>
      </c>
      <c r="G286" t="inlineStr">
        <is>
          <t>glass fibre reinforced plastic, polyester resin, hand lay-up</t>
        </is>
      </c>
    </row>
    <row r="287">
      <c r="A287" t="inlineStr">
        <is>
          <t>market for steel, low-alloyed</t>
        </is>
      </c>
      <c r="B287">
        <v>0.21833416994707314</v>
      </c>
      <c r="C287" t="inlineStr">
        <is>
          <t>GLO</t>
        </is>
      </c>
      <c r="D287" t="inlineStr">
        <is>
          <t>kilogram</t>
        </is>
      </c>
      <c r="F287" t="inlineStr">
        <is>
          <t>technosphere</t>
        </is>
      </c>
      <c r="G287" t="inlineStr">
        <is>
          <t>steel, low-alloyed</t>
        </is>
      </c>
    </row>
    <row r="288">
      <c r="A288" t="inlineStr">
        <is>
          <t>metal working, average for steel product manufacturing</t>
        </is>
      </c>
      <c r="B288">
        <v>0.21833416994707314</v>
      </c>
      <c r="C288" t="inlineStr">
        <is>
          <t>RER</t>
        </is>
      </c>
      <c r="D288" t="inlineStr">
        <is>
          <t>kilogram</t>
        </is>
      </c>
      <c r="F288" t="inlineStr">
        <is>
          <t>technosphere</t>
        </is>
      </c>
      <c r="G288" t="inlineStr">
        <is>
          <t>metal working, average for steel product manufacturing</t>
        </is>
      </c>
    </row>
    <row r="289">
      <c r="A289" t="inlineStr">
        <is>
          <t>market for used Li-ion battery</t>
        </is>
      </c>
      <c r="B289">
        <v>-35.87516087516087</v>
      </c>
      <c r="C289" t="inlineStr">
        <is>
          <t>GLO</t>
        </is>
      </c>
      <c r="D289" t="inlineStr">
        <is>
          <t>kilogram</t>
        </is>
      </c>
      <c r="F289" t="inlineStr">
        <is>
          <t>technosphere</t>
        </is>
      </c>
      <c r="G289" t="inlineStr">
        <is>
          <t>used Li-ion battery</t>
        </is>
      </c>
    </row>
    <row r="292">
      <c r="A292" t="inlineStr">
        <is>
          <t>Activity</t>
        </is>
      </c>
      <c r="B292" t="inlineStr">
        <is>
          <t>high-power battery capacity, FCEV truck, engineering reference</t>
        </is>
      </c>
    </row>
    <row r="293">
      <c r="A293" t="inlineStr">
        <is>
          <t>location</t>
        </is>
      </c>
      <c r="B293" t="inlineStr">
        <is>
          <t>GLO</t>
        </is>
      </c>
    </row>
    <row r="294">
      <c r="A294" t="inlineStr">
        <is>
          <t>production amount</t>
        </is>
      </c>
      <c r="B294">
        <v>1</v>
      </c>
    </row>
    <row r="295">
      <c r="A295" t="inlineStr">
        <is>
          <t>reference product</t>
        </is>
      </c>
      <c r="B295" t="inlineStr">
        <is>
          <t>high-power battery capacity, FCEV truck, engineering reference</t>
        </is>
      </c>
    </row>
    <row r="296">
      <c r="A296" t="inlineStr">
        <is>
          <t>unit</t>
        </is>
      </c>
      <c r="B296" t="inlineStr">
        <is>
          <t>kilowatt hour</t>
        </is>
      </c>
    </row>
    <row r="297">
      <c r="A297" t="inlineStr">
        <is>
          <t>source</t>
        </is>
      </c>
      <c r="B297" t="inlineStr">
        <is>
          <t>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t>
        </is>
      </c>
    </row>
    <row r="298">
      <c r="A298" t="inlineStr">
        <is>
          <t>comment</t>
        </is>
      </c>
      <c r="B298" t="inlineStr">
        <is>
          <t>APPROVED FCEV HIGH-POWER PACK ENGINEERING REFERENCES, item24, 2026-10-18. Toyota Mirai2 manufacturer https://newsroom.toyota.eu/introducing-the-all-new-toyota-mirai/; AKASOL AKASYSTEM15OEM37PRC May2021 https://www.act-news.com/wp-content/uploads/2020/11/210525_LowRes_AK_Datenblatt_AKASystem_15-OEM-37-PRC_2021_2159x2794mm_EN.pdf; Dai2018 Table8 https://publications.anl.gov/anlpubs/2018/10/146906.pdf. Match complete physical pack mass and nominal energy, not the changing BEV MIX. Car reference44.6kg/1.2432kWh (=310.8V*4Ah/1000),31.5kW for10seconds; truck reference238kg/25kWh,36kW continuous charge,50kW continuous RMS discharge,150kW10second discharge. Retain existing vehicle capacities/power sizing and lifetime replacement counts. These manufacturer ratings are NOT inferred from chemistry or treated as continuous pulse ratings. Material split remains an engineering proxy:70percent cells, as in the truck sizing source; assume the same70percent for cars. NMC622 cell manufacturing is a bulk-composition proxy, NOT a measured Mirai/AKASOL cell design or a validated high-power electrode/capacity recipe. Thus mass-equivalence is corrected while chemistry-specific metal intensities remain uncertain. Sensitivity cell share50-80percent and alternative documented high-power chemistries. One4.518kg central-control/protection assembly per reference pack; remaining mass is allocated using public Dai non-electronic hardware proportions. Car air-cooled reference excludes liquid coolant; unknown fan/duct design is embedded in the residual housing proxy, not independently validated. Truck liquid cooling retains Dai50/50 glycol/water proportions; pump/thermal ratings remain gaps. No module electronics are added on top of the central package; missing distributed monitoring is a coverage gap. All retained material inputs use100percent assembly retention reference; generic working services additional. Equal negative used-battery treatment equals complete manufactured reference mass, including controls, once; no duplicated control waste. These dedicated capacity providers are deliberately outside generic chemistry-density and MIX updates, preserving the already-declared fixed2020 FCEV hardware assumption through2050. Do not interpret corrected mass as a validated manufacturer BOM, annual procurement or primary/secondary content.</t>
        </is>
      </c>
    </row>
    <row r="299">
      <c r="A299" t="inlineStr">
        <is>
          <t>Exchanges</t>
        </is>
      </c>
    </row>
    <row r="300">
      <c r="A300" t="inlineStr">
        <is>
          <t>name</t>
        </is>
      </c>
      <c r="B300" t="inlineStr">
        <is>
          <t>amount</t>
        </is>
      </c>
      <c r="C300" t="inlineStr">
        <is>
          <t>location</t>
        </is>
      </c>
      <c r="D300" t="inlineStr">
        <is>
          <t>unit</t>
        </is>
      </c>
      <c r="E300" t="inlineStr">
        <is>
          <t>categories</t>
        </is>
      </c>
      <c r="F300" t="inlineStr">
        <is>
          <t>type</t>
        </is>
      </c>
      <c r="G300" t="inlineStr">
        <is>
          <t>reference product</t>
        </is>
      </c>
      <c r="H300" t="inlineStr">
        <is>
          <t>comment</t>
        </is>
      </c>
    </row>
    <row r="301">
      <c r="A301" t="inlineStr">
        <is>
          <t>high-power battery capacity, FCEV truck, engineering reference</t>
        </is>
      </c>
      <c r="B301">
        <v>1</v>
      </c>
      <c r="C301" t="inlineStr">
        <is>
          <t>GLO</t>
        </is>
      </c>
      <c r="D301" t="inlineStr">
        <is>
          <t>kilowatt hour</t>
        </is>
      </c>
      <c r="F301" t="inlineStr">
        <is>
          <t>production</t>
        </is>
      </c>
      <c r="G301" t="inlineStr">
        <is>
          <t>high-power battery capacity, FCEV truck, engineering reference</t>
        </is>
      </c>
    </row>
    <row r="302">
      <c r="A302" t="inlineStr">
        <is>
          <t>market for battery cell, Li-ion, NMC622</t>
        </is>
      </c>
      <c r="B302">
        <v>6.664</v>
      </c>
      <c r="C302" t="inlineStr">
        <is>
          <t>GLO</t>
        </is>
      </c>
      <c r="D302" t="inlineStr">
        <is>
          <t>kilogram</t>
        </is>
      </c>
      <c r="F302" t="inlineStr">
        <is>
          <t>technosphere</t>
        </is>
      </c>
      <c r="G302" t="inlineStr">
        <is>
          <t>battery cell, Li-ion, NMC622</t>
        </is>
      </c>
    </row>
    <row r="303">
      <c r="A303" t="inlineStr">
        <is>
          <t>battery central controls and protection, engineering reference</t>
        </is>
      </c>
      <c r="B303">
        <v>0.04</v>
      </c>
      <c r="C303" t="inlineStr">
        <is>
          <t>GLO</t>
        </is>
      </c>
      <c r="D303" t="inlineStr">
        <is>
          <t>unit</t>
        </is>
      </c>
      <c r="F303" t="inlineStr">
        <is>
          <t>technosphere</t>
        </is>
      </c>
      <c r="G303" t="inlineStr">
        <is>
          <t>battery central controls and protection, engineering reference</t>
        </is>
      </c>
    </row>
    <row r="304">
      <c r="A304" t="inlineStr">
        <is>
          <t>market for copper, cathode</t>
        </is>
      </c>
      <c r="B304">
        <v>0.03689062848050915</v>
      </c>
      <c r="C304" t="inlineStr">
        <is>
          <t>GLO</t>
        </is>
      </c>
      <c r="D304" t="inlineStr">
        <is>
          <t>kilogram</t>
        </is>
      </c>
      <c r="F304" t="inlineStr">
        <is>
          <t>technosphere</t>
        </is>
      </c>
      <c r="G304" t="inlineStr">
        <is>
          <t>copper, cathode</t>
        </is>
      </c>
    </row>
    <row r="305">
      <c r="A305" t="inlineStr">
        <is>
          <t>metal working, average for copper product manufacturing</t>
        </is>
      </c>
      <c r="B305">
        <v>0.03689062848050915</v>
      </c>
      <c r="C305" t="inlineStr">
        <is>
          <t>RER</t>
        </is>
      </c>
      <c r="D305" t="inlineStr">
        <is>
          <t>kilogram</t>
        </is>
      </c>
      <c r="F305" t="inlineStr">
        <is>
          <t>technosphere</t>
        </is>
      </c>
      <c r="G305" t="inlineStr">
        <is>
          <t>metal working, average for copper product manufacturing</t>
        </is>
      </c>
    </row>
    <row r="306">
      <c r="A306" t="inlineStr">
        <is>
          <t>market for aluminium, wrought alloy</t>
        </is>
      </c>
      <c r="B306">
        <v>2.005573206046141</v>
      </c>
      <c r="C306" t="inlineStr">
        <is>
          <t>GLO</t>
        </is>
      </c>
      <c r="D306" t="inlineStr">
        <is>
          <t>kilogram</t>
        </is>
      </c>
      <c r="F306" t="inlineStr">
        <is>
          <t>technosphere</t>
        </is>
      </c>
      <c r="G306" t="inlineStr">
        <is>
          <t>aluminium, wrought alloy</t>
        </is>
      </c>
    </row>
    <row r="307">
      <c r="A307" t="inlineStr">
        <is>
          <t>metal working, average for aluminium product manufacturing</t>
        </is>
      </c>
      <c r="B307">
        <v>2.005573206046141</v>
      </c>
      <c r="C307" t="inlineStr">
        <is>
          <t>RER</t>
        </is>
      </c>
      <c r="D307" t="inlineStr">
        <is>
          <t>kilogram</t>
        </is>
      </c>
      <c r="F307" t="inlineStr">
        <is>
          <t>technosphere</t>
        </is>
      </c>
      <c r="G307" t="inlineStr">
        <is>
          <t>metal working, average for aluminium product manufacturing</t>
        </is>
      </c>
    </row>
    <row r="308">
      <c r="A308" t="inlineStr">
        <is>
          <t>market for polyethylene, high density, granulate</t>
        </is>
      </c>
      <c r="B308">
        <v>0.06030198886237072</v>
      </c>
      <c r="C308" t="inlineStr">
        <is>
          <t>GLO</t>
        </is>
      </c>
      <c r="D308" t="inlineStr">
        <is>
          <t>kilogram</t>
        </is>
      </c>
      <c r="F308" t="inlineStr">
        <is>
          <t>technosphere</t>
        </is>
      </c>
      <c r="G308" t="inlineStr">
        <is>
          <t>polyethylene, high density, granulate</t>
        </is>
      </c>
    </row>
    <row r="309">
      <c r="A309" t="inlineStr">
        <is>
          <t>market for glass fibre reinforced plastic, polyester resin, hand lay-up</t>
        </is>
      </c>
      <c r="B309">
        <v>0.007803786793953858</v>
      </c>
      <c r="C309" t="inlineStr">
        <is>
          <t>GLO</t>
        </is>
      </c>
      <c r="D309" t="inlineStr">
        <is>
          <t>kilogram</t>
        </is>
      </c>
      <c r="F309" t="inlineStr">
        <is>
          <t>technosphere</t>
        </is>
      </c>
      <c r="G309" t="inlineStr">
        <is>
          <t>glass fibre reinforced plastic, polyester resin, hand lay-up</t>
        </is>
      </c>
    </row>
    <row r="310">
      <c r="A310" t="inlineStr">
        <is>
          <t>market for steel, low-alloyed</t>
        </is>
      </c>
      <c r="B310">
        <v>0.06668690533015115</v>
      </c>
      <c r="C310" t="inlineStr">
        <is>
          <t>GLO</t>
        </is>
      </c>
      <c r="D310" t="inlineStr">
        <is>
          <t>kilogram</t>
        </is>
      </c>
      <c r="F310" t="inlineStr">
        <is>
          <t>technosphere</t>
        </is>
      </c>
      <c r="G310" t="inlineStr">
        <is>
          <t>steel, low-alloyed</t>
        </is>
      </c>
    </row>
    <row r="311">
      <c r="A311" t="inlineStr">
        <is>
          <t>metal working, average for steel product manufacturing</t>
        </is>
      </c>
      <c r="B311">
        <v>0.06668690533015115</v>
      </c>
      <c r="C311" t="inlineStr">
        <is>
          <t>RER</t>
        </is>
      </c>
      <c r="D311" t="inlineStr">
        <is>
          <t>kilogram</t>
        </is>
      </c>
      <c r="F311" t="inlineStr">
        <is>
          <t>technosphere</t>
        </is>
      </c>
      <c r="G311" t="inlineStr">
        <is>
          <t>metal working, average for steel product manufacturing</t>
        </is>
      </c>
    </row>
    <row r="312">
      <c r="A312" t="inlineStr">
        <is>
          <t>ethylene glycols production, thermal hydrolysis of ethylene oxide</t>
        </is>
      </c>
      <c r="B312">
        <v>0.2490117422434367</v>
      </c>
      <c r="C312" t="inlineStr">
        <is>
          <t>RER</t>
        </is>
      </c>
      <c r="D312" t="inlineStr">
        <is>
          <t>kilogram</t>
        </is>
      </c>
      <c r="F312" t="inlineStr">
        <is>
          <t>technosphere</t>
        </is>
      </c>
      <c r="G312" t="inlineStr">
        <is>
          <t>ethylene glycol</t>
        </is>
      </c>
    </row>
    <row r="313">
      <c r="A313" t="inlineStr">
        <is>
          <t>market for water, deionised</t>
        </is>
      </c>
      <c r="B313">
        <v>0.2490117422434367</v>
      </c>
      <c r="C313" t="inlineStr">
        <is>
          <t>RoW</t>
        </is>
      </c>
      <c r="D313" t="inlineStr">
        <is>
          <t>kilogram</t>
        </is>
      </c>
      <c r="F313" t="inlineStr">
        <is>
          <t>technosphere</t>
        </is>
      </c>
      <c r="G313" t="inlineStr">
        <is>
          <t>water, deionised</t>
        </is>
      </c>
    </row>
    <row r="314">
      <c r="A314" t="inlineStr">
        <is>
          <t>market for used Li-ion battery</t>
        </is>
      </c>
      <c r="B314">
        <v>-9.52</v>
      </c>
      <c r="C314" t="inlineStr">
        <is>
          <t>GLO</t>
        </is>
      </c>
      <c r="D314" t="inlineStr">
        <is>
          <t>kilogram</t>
        </is>
      </c>
      <c r="F314" t="inlineStr">
        <is>
          <t>technosphere</t>
        </is>
      </c>
      <c r="G314" t="inlineStr">
        <is>
          <t>used Li-ion battery</t>
        </is>
      </c>
    </row>
    <row r="317">
      <c r="A317" t="inlineStr">
        <is>
          <t>Activity</t>
        </is>
      </c>
      <c r="B317" t="inlineStr">
        <is>
          <t>battery capacity, hydrogen rail, LFP engineering reference</t>
        </is>
      </c>
    </row>
    <row r="318">
      <c r="A318" t="inlineStr">
        <is>
          <t>location</t>
        </is>
      </c>
      <c r="B318" t="inlineStr">
        <is>
          <t>GLO</t>
        </is>
      </c>
    </row>
    <row r="319">
      <c r="A319" t="inlineStr">
        <is>
          <t>production amount</t>
        </is>
      </c>
      <c r="B319">
        <v>1</v>
      </c>
    </row>
    <row r="320">
      <c r="A320" t="inlineStr">
        <is>
          <t>reference product</t>
        </is>
      </c>
      <c r="B320" t="inlineStr">
        <is>
          <t>battery capacity, hydrogen rail, LFP engineering reference</t>
        </is>
      </c>
    </row>
    <row r="321">
      <c r="A321" t="inlineStr">
        <is>
          <t>unit</t>
        </is>
      </c>
      <c r="B321" t="inlineStr">
        <is>
          <t>kilowatt hour</t>
        </is>
      </c>
    </row>
    <row r="322">
      <c r="A322" t="inlineStr">
        <is>
          <t>source</t>
        </is>
      </c>
      <c r="B322" t="inlineStr">
        <is>
          <t>Knibbe2023 DOI10.1016/j.est.2023.108090,3.6MWhLFP/860kWreference and133Wh/kgpack; Dai2018 public LFP non-cell material proportions https://publications.anl.gov/anlpubs/2018/10/146906.pdf Table8.</t>
        </is>
      </c>
    </row>
    <row r="323">
      <c r="A323" t="inlineStr">
        <is>
          <t>comment</t>
        </is>
      </c>
      <c r="B323"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324">
      <c r="A324" t="inlineStr">
        <is>
          <t>Exchanges</t>
        </is>
      </c>
    </row>
    <row r="325">
      <c r="A325" t="inlineStr">
        <is>
          <t>name</t>
        </is>
      </c>
      <c r="B325" t="inlineStr">
        <is>
          <t>amount</t>
        </is>
      </c>
      <c r="C325" t="inlineStr">
        <is>
          <t>location</t>
        </is>
      </c>
      <c r="D325" t="inlineStr">
        <is>
          <t>unit</t>
        </is>
      </c>
      <c r="E325" t="inlineStr">
        <is>
          <t>categories</t>
        </is>
      </c>
      <c r="F325" t="inlineStr">
        <is>
          <t>type</t>
        </is>
      </c>
      <c r="G325" t="inlineStr">
        <is>
          <t>reference product</t>
        </is>
      </c>
      <c r="H325" t="inlineStr">
        <is>
          <t>comment</t>
        </is>
      </c>
      <c r="I325" t="inlineStr">
        <is>
          <t>product</t>
        </is>
      </c>
    </row>
    <row r="326">
      <c r="A326" t="inlineStr">
        <is>
          <t>battery capacity, hydrogen rail, LFP engineering reference</t>
        </is>
      </c>
      <c r="B326">
        <v>1</v>
      </c>
      <c r="C326" t="inlineStr">
        <is>
          <t>GLO</t>
        </is>
      </c>
      <c r="D326" t="inlineStr">
        <is>
          <t>kilowatt hour</t>
        </is>
      </c>
      <c r="F326" t="inlineStr">
        <is>
          <t>production</t>
        </is>
      </c>
      <c r="G326" t="inlineStr">
        <is>
          <t>battery capacity, hydrogen rail, LFP engineering reference</t>
        </is>
      </c>
      <c r="I326" t="inlineStr">
        <is>
          <t>battery capacity, hydrogen rail, LFP engineering reference</t>
        </is>
      </c>
    </row>
    <row r="327">
      <c r="A327" t="inlineStr">
        <is>
          <t>market for battery cell, Li-ion, LFP</t>
        </is>
      </c>
      <c r="B327">
        <v>6.25</v>
      </c>
      <c r="C327" t="inlineStr">
        <is>
          <t>GLO</t>
        </is>
      </c>
      <c r="D327" t="inlineStr">
        <is>
          <t>kilogram</t>
        </is>
      </c>
      <c r="F327" t="inlineStr">
        <is>
          <t>technosphere</t>
        </is>
      </c>
      <c r="G327" t="inlineStr">
        <is>
          <t>battery cell, Li-ion, LFP</t>
        </is>
      </c>
      <c r="I327" t="inlineStr">
        <is>
          <t>battery cell, Li-ion, LFP</t>
        </is>
      </c>
    </row>
    <row r="328">
      <c r="A328" t="inlineStr">
        <is>
          <t>battery monitoring and central controls, LFP, engineering reference</t>
        </is>
      </c>
      <c r="B328">
        <v>0.01</v>
      </c>
      <c r="C328" t="inlineStr">
        <is>
          <t>GLO</t>
        </is>
      </c>
      <c r="D328" t="inlineStr">
        <is>
          <t>unit</t>
        </is>
      </c>
      <c r="F328" t="inlineStr">
        <is>
          <t>technosphere</t>
        </is>
      </c>
      <c r="G328" t="inlineStr">
        <is>
          <t>battery monitoring and central controls, LFP, engineering reference</t>
        </is>
      </c>
      <c r="I328" t="inlineStr">
        <is>
          <t>battery monitoring and central controls, LFP, engineering reference</t>
        </is>
      </c>
    </row>
    <row r="329">
      <c r="A329" t="inlineStr">
        <is>
          <t>market for copper, cathode</t>
        </is>
      </c>
      <c r="B329">
        <v>0.01512710646109896</v>
      </c>
      <c r="C329" t="inlineStr">
        <is>
          <t>GLO</t>
        </is>
      </c>
      <c r="D329" t="inlineStr">
        <is>
          <t>kilogram</t>
        </is>
      </c>
      <c r="F329" t="inlineStr">
        <is>
          <t>technosphere</t>
        </is>
      </c>
      <c r="G329" t="inlineStr">
        <is>
          <t>copper, cathode</t>
        </is>
      </c>
      <c r="I329" t="inlineStr">
        <is>
          <t>copper, cathode</t>
        </is>
      </c>
    </row>
    <row r="330">
      <c r="A330" t="inlineStr">
        <is>
          <t>metal working, average for copper product manufacturing</t>
        </is>
      </c>
      <c r="B330">
        <v>0.01512710646109896</v>
      </c>
      <c r="C330" t="inlineStr">
        <is>
          <t>RER</t>
        </is>
      </c>
      <c r="D330" t="inlineStr">
        <is>
          <t>kilogram</t>
        </is>
      </c>
      <c r="F330" t="inlineStr">
        <is>
          <t>technosphere</t>
        </is>
      </c>
      <c r="G330" t="inlineStr">
        <is>
          <t>metal working, average for copper product manufacturing</t>
        </is>
      </c>
      <c r="I330" t="inlineStr">
        <is>
          <t>metal working, average for copper product manufacturing</t>
        </is>
      </c>
    </row>
    <row r="331">
      <c r="A331" t="inlineStr">
        <is>
          <t>market for aluminium, wrought alloy</t>
        </is>
      </c>
      <c r="B331">
        <v>0.8717605062178482</v>
      </c>
      <c r="C331" t="inlineStr">
        <is>
          <t>GLO</t>
        </is>
      </c>
      <c r="D331" t="inlineStr">
        <is>
          <t>kilogram</t>
        </is>
      </c>
      <c r="F331" t="inlineStr">
        <is>
          <t>technosphere</t>
        </is>
      </c>
      <c r="G331" t="inlineStr">
        <is>
          <t>aluminium, wrought alloy</t>
        </is>
      </c>
      <c r="I331" t="inlineStr">
        <is>
          <t>aluminium, wrought alloy</t>
        </is>
      </c>
    </row>
    <row r="332">
      <c r="A332" t="inlineStr">
        <is>
          <t>metal working, average for aluminium product manufacturing</t>
        </is>
      </c>
      <c r="B332">
        <v>0.8717605062178482</v>
      </c>
      <c r="C332" t="inlineStr">
        <is>
          <t>RER</t>
        </is>
      </c>
      <c r="D332" t="inlineStr">
        <is>
          <t>kilogram</t>
        </is>
      </c>
      <c r="F332" t="inlineStr">
        <is>
          <t>technosphere</t>
        </is>
      </c>
      <c r="G332" t="inlineStr">
        <is>
          <t>metal working, average for aluminium product manufacturing</t>
        </is>
      </c>
      <c r="I332" t="inlineStr">
        <is>
          <t>metal working, average for aluminium product manufacturing</t>
        </is>
      </c>
    </row>
    <row r="333">
      <c r="A333" t="inlineStr">
        <is>
          <t>market for polyethylene, high density, granulate</t>
        </is>
      </c>
      <c r="B333">
        <v>0.02439855880822413</v>
      </c>
      <c r="C333" t="inlineStr">
        <is>
          <t>GLO</t>
        </is>
      </c>
      <c r="D333" t="inlineStr">
        <is>
          <t>kilogram</t>
        </is>
      </c>
      <c r="F333" t="inlineStr">
        <is>
          <t>technosphere</t>
        </is>
      </c>
      <c r="G333" t="inlineStr">
        <is>
          <t>polyethylene, high density, granulate</t>
        </is>
      </c>
      <c r="I333" t="inlineStr">
        <is>
          <t>polyethylene, high density, granulate</t>
        </is>
      </c>
    </row>
    <row r="334">
      <c r="A334" t="inlineStr">
        <is>
          <t>market for glass fibre reinforced plastic, polyester resin, hand lay-up</t>
        </is>
      </c>
      <c r="B334">
        <v>0.003171812645069137</v>
      </c>
      <c r="C334" t="inlineStr">
        <is>
          <t>GLO</t>
        </is>
      </c>
      <c r="D334" t="inlineStr">
        <is>
          <t>kilogram</t>
        </is>
      </c>
      <c r="F334" t="inlineStr">
        <is>
          <t>technosphere</t>
        </is>
      </c>
      <c r="G334" t="inlineStr">
        <is>
          <t>glass fibre reinforced plastic, polyester resin, hand lay-up</t>
        </is>
      </c>
      <c r="I334" t="inlineStr">
        <is>
          <t>glass fibre reinforced plastic, polyester resin, hand lay-up</t>
        </is>
      </c>
    </row>
    <row r="335">
      <c r="A335" t="inlineStr">
        <is>
          <t>market for steel, low-alloyed</t>
        </is>
      </c>
      <c r="B335">
        <v>0.03513392468384275</v>
      </c>
      <c r="C335" t="inlineStr">
        <is>
          <t>GLO</t>
        </is>
      </c>
      <c r="D335" t="inlineStr">
        <is>
          <t>kilogram</t>
        </is>
      </c>
      <c r="F335" t="inlineStr">
        <is>
          <t>technosphere</t>
        </is>
      </c>
      <c r="G335" t="inlineStr">
        <is>
          <t>steel, low-alloyed</t>
        </is>
      </c>
      <c r="I335" t="inlineStr">
        <is>
          <t>steel, low-alloyed</t>
        </is>
      </c>
    </row>
    <row r="336">
      <c r="A336" t="inlineStr">
        <is>
          <t>metal working, average for steel product manufacturing</t>
        </is>
      </c>
      <c r="B336">
        <v>0.03513392468384275</v>
      </c>
      <c r="C336" t="inlineStr">
        <is>
          <t>RER</t>
        </is>
      </c>
      <c r="D336" t="inlineStr">
        <is>
          <t>kilogram</t>
        </is>
      </c>
      <c r="F336" t="inlineStr">
        <is>
          <t>technosphere</t>
        </is>
      </c>
      <c r="G336" t="inlineStr">
        <is>
          <t>metal working, average for steel product manufacturing</t>
        </is>
      </c>
      <c r="I336" t="inlineStr">
        <is>
          <t>metal working, average for steel product manufacturing</t>
        </is>
      </c>
    </row>
    <row r="337">
      <c r="A337" t="inlineStr">
        <is>
          <t>ethylene glycols production, thermal hydrolysis of ethylene oxide</t>
        </is>
      </c>
      <c r="B337">
        <v>0.12626254183255986</v>
      </c>
      <c r="C337" t="inlineStr">
        <is>
          <t>RER</t>
        </is>
      </c>
      <c r="D337" t="inlineStr">
        <is>
          <t>kilogram</t>
        </is>
      </c>
      <c r="F337" t="inlineStr">
        <is>
          <t>technosphere</t>
        </is>
      </c>
      <c r="G337" t="inlineStr">
        <is>
          <t>ethylene glycol</t>
        </is>
      </c>
      <c r="I337" t="inlineStr">
        <is>
          <t>ethylene glycol</t>
        </is>
      </c>
    </row>
    <row r="338">
      <c r="A338" t="inlineStr">
        <is>
          <t>market for water, deionised</t>
        </is>
      </c>
      <c r="B338">
        <v>0.12626254183255986</v>
      </c>
      <c r="C338" t="inlineStr">
        <is>
          <t>RoW</t>
        </is>
      </c>
      <c r="D338" t="inlineStr">
        <is>
          <t>kilogram</t>
        </is>
      </c>
      <c r="F338" t="inlineStr">
        <is>
          <t>technosphere</t>
        </is>
      </c>
      <c r="G338" t="inlineStr">
        <is>
          <t>water, deionised</t>
        </is>
      </c>
      <c r="I338" t="inlineStr">
        <is>
          <t>water, deionised</t>
        </is>
      </c>
    </row>
    <row r="339">
      <c r="A339" t="inlineStr">
        <is>
          <t>market for used Li-ion battery</t>
        </is>
      </c>
      <c r="B339">
        <v>-7.452116992481203</v>
      </c>
      <c r="C339" t="inlineStr">
        <is>
          <t>GLO</t>
        </is>
      </c>
      <c r="D339" t="inlineStr">
        <is>
          <t>kilogram</t>
        </is>
      </c>
      <c r="F339" t="inlineStr">
        <is>
          <t>technosphere</t>
        </is>
      </c>
      <c r="G339" t="inlineStr">
        <is>
          <t>used Li-ion battery</t>
        </is>
      </c>
      <c r="I339" t="inlineStr">
        <is>
          <t>used Li-ion battery</t>
        </is>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Chemistry=LFP; geometry proxy=LFP; cellmass=147.58kg, scalablehardware=196.85000000000002kg, assumed cellbaseline=0.16kWh/kg, grossreference=23.612800000000004kWh, fixedcontrolmass=6.668kg.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0.7497078994157989</f>
        <v>0.7497078994157989</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inlineStr">
        <is>
          <t>market for battery hardware, Li-ion, LFP, engineering reference</t>
        </is>
      </c>
      <c r="B11" s="7">
        <f>8.336580159913266</f>
        <v>8.336580159913266</v>
      </c>
      <c r="C11" t="s">
        <v>7</v>
      </c>
      <c r="D11" t="s">
        <v>3</v>
      </c>
      <c r="E11" t="s">
        <v>14</v>
      </c>
      <c r="F11" t="inlineStr">
        <is>
          <t>battery hardware, Li-ion, LFP, engineering reference</t>
        </is>
      </c>
      <c r="G11">
        <v>5</v>
      </c>
      <c r="H11" s="7">
        <f>8.336580159913266</f>
        <v>8.336580159913266</v>
      </c>
      <c r="I11" s="7">
        <f>7.020278029400646</f>
        <v>7.020278029400646</v>
      </c>
      <c r="J11" s="7">
        <f>9.527520182758018</f>
        <v>9.527520182758018</v>
      </c>
    </row>
    <row r="12" spans="1:14" ns3:dyDescent="0.2">
      <c r="A12" t="s">
        <v>53</v>
      </c>
      <c r="B12" s="7">
        <f>-8.336580159913266</f>
        <v>-8.336580159913266</v>
      </c>
      <c r="C12" t="s">
        <v>7</v>
      </c>
      <c r="D12" t="s">
        <v>3</v>
      </c>
      <c r="E12" t="s">
        <v>14</v>
      </c>
      <c r="F12" t="s">
        <v>54</v>
      </c>
      <c r="G12">
        <v>5</v>
      </c>
      <c r="H12" s="7">
        <f>-8.336580159913266</f>
        <v>-8.336580159913266</v>
      </c>
      <c r="I12" s="7">
        <f>-9.527520182758018</f>
        <v>-9.527520182758018</v>
      </c>
      <c r="J12" s="7">
        <f>-7.020278029400646</f>
        <v>-7.020278029400646</v>
      </c>
      <c r="K12" t="b">
        <v>1</v>
      </c>
      <c r="M12" s="7"/>
      <c r="N12" s="7"/>
    </row>
    <row r="13">
      <c r="A13" t="inlineStr">
        <is>
          <t>battery monitoring and central controls, LFP, engineering reference</t>
        </is>
      </c>
      <c r="B13">
        <v>0.042349911912183215</v>
      </c>
      <c r="C13" t="inlineStr">
        <is>
          <t>unit</t>
        </is>
      </c>
      <c r="D13" t="inlineStr">
        <is>
          <t>GLO</t>
        </is>
      </c>
      <c r="E13" t="inlineStr">
        <is>
          <t>technosphere</t>
        </is>
      </c>
      <c r="F13" t="inlineStr">
        <is>
          <t>battery monitoring and central controls, LFP, engineering reference</t>
        </is>
      </c>
    </row>
    <row r="14" spans="1:14" ht="16" ns3:dyDescent="0.2">
      <c r="A14" s="2" t="s">
        <v>0</v>
      </c>
      <c r="B14" s="2" t="s">
        <v>80</v>
      </c>
    </row>
    <row r="15" spans="1:14" ns3:dyDescent="0.2">
      <c r="A15" t="s">
        <v>1</v>
      </c>
      <c r="B15"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Chemistry=NMC111; geometry proxy=NMC111; cellmass=119.77kg, scalablehardware=158.94000000000003kg, assumed cellbaseline=0.18kWh/kg, grossreference=21.5586kWh, fixedcontrolmass=6.548kg.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0.753554800553668</f>
        <v>0.753554800553668</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inlineStr">
        <is>
          <t>market for battery hardware, Li-ion, NMC111, engineering reference</t>
        </is>
      </c>
      <c r="B24" s="3">
        <f>7.372463889120817</f>
        <v>7.372463889120817</v>
      </c>
      <c r="C24" t="s">
        <v>7</v>
      </c>
      <c r="D24" t="s">
        <v>3</v>
      </c>
      <c r="E24" t="s">
        <v>14</v>
      </c>
      <c r="F24" t="inlineStr">
        <is>
          <t>battery hardware, Li-ion, NMC111, engineering reference</t>
        </is>
      </c>
      <c r="G24">
        <v>5</v>
      </c>
      <c r="H24" s="7">
        <f>7.372463889120817</f>
        <v>7.372463889120817</v>
      </c>
      <c r="I24" s="7">
        <f>6.984439473903931</f>
        <v>6.984439473903931</v>
      </c>
      <c r="J24" s="7">
        <f>9.478882143155333</f>
        <v>9.478882143155333</v>
      </c>
    </row>
    <row r="25" spans="1:14" ns3:dyDescent="0.2">
      <c r="A25" t="s">
        <v>53</v>
      </c>
      <c r="B25" s="3">
        <f>-7.372463889120817</f>
        <v>-7.372463889120817</v>
      </c>
      <c r="C25" t="s">
        <v>7</v>
      </c>
      <c r="D25" t="s">
        <v>3</v>
      </c>
      <c r="E25" t="s">
        <v>14</v>
      </c>
      <c r="F25" t="s">
        <v>54</v>
      </c>
      <c r="G25">
        <v>5</v>
      </c>
      <c r="H25" s="7">
        <f>-7.372463889120817</f>
        <v>-7.372463889120817</v>
      </c>
      <c r="I25" s="7">
        <f>-9.478882143155333</f>
        <v>-9.478882143155333</v>
      </c>
      <c r="J25" s="7">
        <f>-6.984439473903931</f>
        <v>-6.984439473903931</v>
      </c>
      <c r="K25" t="b">
        <v>1</v>
      </c>
      <c r="M25" s="7"/>
      <c r="N25" s="7"/>
    </row>
    <row r="26">
      <c r="A26" t="inlineStr">
        <is>
          <t>battery monitoring and central controls, NMC111, engineering reference</t>
        </is>
      </c>
      <c r="B26">
        <v>0.046385201265388296</v>
      </c>
      <c r="C26" t="inlineStr">
        <is>
          <t>unit</t>
        </is>
      </c>
      <c r="D26" t="inlineStr">
        <is>
          <t>GLO</t>
        </is>
      </c>
      <c r="E26" t="inlineStr">
        <is>
          <t>technosphere</t>
        </is>
      </c>
      <c r="F26" t="inlineStr">
        <is>
          <t>battery monitoring and central controls, NMC111, engineering reference</t>
        </is>
      </c>
    </row>
    <row r="27" spans="1:14" ht="16" ns3:dyDescent="0.2">
      <c r="A27" s="2" t="s">
        <v>0</v>
      </c>
      <c r="B27" s="2" t="s">
        <v>114</v>
      </c>
    </row>
    <row r="28" spans="1:14" ns3:dyDescent="0.2">
      <c r="A28" t="s">
        <v>1</v>
      </c>
      <c r="B28"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Chemistry=NMC532; geometry proxy=NMC622; cellmass=108.03kg, scalablehardware=145.74kg, assumed cellbaseline=0.2kWh/kg, grossreference=21.606kWh,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0.7412515438452038</f>
        <v>0.7412515438452038</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inlineStr">
        <is>
          <t>market for battery hardware, Li-ion, NMC532, engineering reference</t>
        </is>
      </c>
      <c r="B37" s="3">
        <f>6.7453485143015826</f>
        <v>6.7453485143015826</v>
      </c>
      <c r="C37" t="s">
        <v>7</v>
      </c>
      <c r="D37" t="s">
        <v>3</v>
      </c>
      <c r="E37" t="s">
        <v>14</v>
      </c>
      <c r="F37" t="inlineStr">
        <is>
          <t>battery hardware, Li-ion, NMC532, engineering reference</t>
        </is>
      </c>
      <c r="G37">
        <v>5</v>
      </c>
      <c r="H37" s="7">
        <f>6.7453485143015826</f>
        <v>6.7453485143015826</v>
      </c>
      <c r="I37" s="3">
        <f>6.132135013001438</f>
        <v>6.132135013001438</v>
      </c>
      <c r="J37" s="3">
        <f>7.9357041344724495</f>
        <v>7.9357041344724495</v>
      </c>
    </row>
    <row r="38" spans="1:14" ns3:dyDescent="0.2">
      <c r="A38" t="s">
        <v>53</v>
      </c>
      <c r="B38" s="3">
        <f>-6.7453485143015826</f>
        <v>-6.7453485143015826</v>
      </c>
      <c r="C38" t="s">
        <v>7</v>
      </c>
      <c r="D38" t="s">
        <v>3</v>
      </c>
      <c r="E38" t="s">
        <v>14</v>
      </c>
      <c r="F38" t="s">
        <v>54</v>
      </c>
      <c r="G38">
        <v>5</v>
      </c>
      <c r="H38" s="7">
        <f>-6.7453485143015826</f>
        <v>-6.7453485143015826</v>
      </c>
      <c r="I38" s="3">
        <f>-7.9357041344724495</f>
        <v>-7.9357041344724495</v>
      </c>
      <c r="J38" s="3">
        <f>-6.132135013001438</f>
        <v>-6.132135013001438</v>
      </c>
      <c r="K38" t="b">
        <v>1</v>
      </c>
      <c r="M38" s="3"/>
      <c r="N38" s="3"/>
    </row>
    <row r="39">
      <c r="A39" t="inlineStr">
        <is>
          <t>battery monitoring and central controls, NMC532, engineering reference</t>
        </is>
      </c>
      <c r="B39">
        <v>0.04628343978524484</v>
      </c>
      <c r="C39" t="inlineStr">
        <is>
          <t>unit</t>
        </is>
      </c>
      <c r="D39" t="inlineStr">
        <is>
          <t>GLO</t>
        </is>
      </c>
      <c r="E39" t="inlineStr">
        <is>
          <t>technosphere</t>
        </is>
      </c>
      <c r="F39" t="inlineStr">
        <is>
          <t>battery monitoring and central controls, NMC532, engineering reference</t>
        </is>
      </c>
    </row>
    <row r="40" spans="1:14" ht="16" ns3:dyDescent="0.2">
      <c r="A40" s="2" t="s">
        <v>0</v>
      </c>
      <c r="B40" s="2" t="s">
        <v>81</v>
      </c>
    </row>
    <row r="41" spans="1:14" ns3:dyDescent="0.2">
      <c r="A41" t="s">
        <v>1</v>
      </c>
      <c r="B41"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Chemistry=NMC622; geometry proxy=NMC622; cellmass=108.03kg, scalablehardware=145.74kg, assumed cellbaseline=0.24kWh/kg, grossreference=25.9272kWh,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0.7412515438452038</f>
        <v>0.7412515438452038</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inlineStr">
        <is>
          <t>market for battery hardware, Li-ion, NMC622, engineering reference</t>
        </is>
      </c>
      <c r="B50" s="3">
        <f>5.621123761917986</f>
        <v>5.621123761917986</v>
      </c>
      <c r="C50" t="s">
        <v>7</v>
      </c>
      <c r="D50" t="s">
        <v>3</v>
      </c>
      <c r="E50" t="s">
        <v>14</v>
      </c>
      <c r="F50" t="inlineStr">
        <is>
          <t>battery hardware, Li-ion, NMC622, engineering reference</t>
        </is>
      </c>
      <c r="G50">
        <v>5</v>
      </c>
      <c r="H50" s="7">
        <f>5.621123761917986</f>
        <v>5.621123761917986</v>
      </c>
      <c r="I50" s="3">
        <f>4.818106081643988</f>
        <v>4.818106081643988</v>
      </c>
      <c r="J50" s="3">
        <f>6.745348514301584</f>
        <v>6.745348514301584</v>
      </c>
    </row>
    <row r="51" spans="1:14" ns3:dyDescent="0.2">
      <c r="A51" t="s">
        <v>53</v>
      </c>
      <c r="B51" s="3">
        <f>-5.621123761917986</f>
        <v>-5.621123761917986</v>
      </c>
      <c r="C51" t="s">
        <v>7</v>
      </c>
      <c r="D51" t="s">
        <v>3</v>
      </c>
      <c r="E51" t="s">
        <v>14</v>
      </c>
      <c r="F51" t="s">
        <v>54</v>
      </c>
      <c r="G51">
        <v>5</v>
      </c>
      <c r="H51" s="7">
        <f>-5.621123761917986</f>
        <v>-5.621123761917986</v>
      </c>
      <c r="I51" s="3">
        <f>-6.745348514301584</f>
        <v>-6.745348514301584</v>
      </c>
      <c r="J51" s="3">
        <f>-4.818106081643988</f>
        <v>-4.818106081643988</v>
      </c>
      <c r="K51" t="b">
        <v>1</v>
      </c>
      <c r="M51" s="3"/>
      <c r="N51" s="3"/>
    </row>
    <row r="52">
      <c r="A52" t="inlineStr">
        <is>
          <t>battery monitoring and central controls, NMC622, engineering reference</t>
        </is>
      </c>
      <c r="B52">
        <v>0.0385695331543707</v>
      </c>
      <c r="C52" t="inlineStr">
        <is>
          <t>unit</t>
        </is>
      </c>
      <c r="D52" t="inlineStr">
        <is>
          <t>GLO</t>
        </is>
      </c>
      <c r="E52" t="inlineStr">
        <is>
          <t>technosphere</t>
        </is>
      </c>
      <c r="F52" t="inlineStr">
        <is>
          <t>battery monitoring and central controls, NMC622, engineering reference</t>
        </is>
      </c>
    </row>
    <row r="53" spans="1:14" ht="16" ns3:dyDescent="0.2">
      <c r="A53" s="2" t="s">
        <v>0</v>
      </c>
      <c r="B53" s="2" t="s">
        <v>82</v>
      </c>
    </row>
    <row r="54" spans="1:14" ns3:dyDescent="0.2">
      <c r="A54" t="s">
        <v>1</v>
      </c>
      <c r="B54"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Chemistry=NMC811; geometry proxy=NMC811; cellmass=112.37kg, scalablehardware=151.63000000000002kg, assumed cellbaseline=0.28kWh/kg, grossreference=31.463600000000003kWh, fixedcontrolmass=6.568kg.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c r="B59">
        <v>0.7410802611620391</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inlineStr">
        <is>
          <t>market for battery hardware, Li-ion, NMC811, engineering reference</t>
        </is>
      </c>
      <c r="B63" s="3">
        <f>4.819219669713574</f>
        <v>4.819219669713574</v>
      </c>
      <c r="C63" t="s">
        <v>7</v>
      </c>
      <c r="D63" t="s">
        <v>3</v>
      </c>
      <c r="E63" t="s">
        <v>14</v>
      </c>
      <c r="F63" t="inlineStr">
        <is>
          <t>battery hardware, Li-ion, NMC811, engineering reference</t>
        </is>
      </c>
      <c r="G63">
        <v>5</v>
      </c>
      <c r="H63" s="7">
        <f>4.819219669713574</f>
        <v>4.819219669713574</v>
      </c>
      <c r="I63" s="3">
        <f>3.96876913976412</f>
        <v>3.96876913976412</v>
      </c>
      <c r="J63" s="3">
        <f>5.622422947999169</f>
        <v>5.622422947999169</v>
      </c>
    </row>
    <row r="64" spans="1:14" ns3:dyDescent="0.2">
      <c r="A64" t="s">
        <v>53</v>
      </c>
      <c r="B64" s="3">
        <f>-4.819219669713574</f>
        <v>-4.819219669713574</v>
      </c>
      <c r="C64" t="s">
        <v>7</v>
      </c>
      <c r="D64" t="s">
        <v>3</v>
      </c>
      <c r="E64" t="s">
        <v>14</v>
      </c>
      <c r="F64" t="s">
        <v>54</v>
      </c>
      <c r="G64">
        <v>5</v>
      </c>
      <c r="H64" s="7">
        <f>-4.819219669713574</f>
        <v>-4.819219669713574</v>
      </c>
      <c r="I64" s="3">
        <f>-5.622422947999169</f>
        <v>-5.622422947999169</v>
      </c>
      <c r="J64" s="3">
        <f>-3.96876913976412</f>
        <v>-3.96876913976412</v>
      </c>
      <c r="K64" t="b">
        <v>1</v>
      </c>
      <c r="M64" s="3"/>
      <c r="N64" s="3"/>
    </row>
    <row r="65">
      <c r="A65" t="inlineStr">
        <is>
          <t>battery monitoring and central controls, NMC811, engineering reference</t>
        </is>
      </c>
      <c r="B65">
        <v>0.03178275848917479</v>
      </c>
      <c r="C65" t="inlineStr">
        <is>
          <t>unit</t>
        </is>
      </c>
      <c r="D65" t="inlineStr">
        <is>
          <t>GLO</t>
        </is>
      </c>
      <c r="E65" t="inlineStr">
        <is>
          <t>technosphere</t>
        </is>
      </c>
      <c r="F65" t="inlineStr">
        <is>
          <t>battery monitoring and central controls, NMC811, engineering reference</t>
        </is>
      </c>
    </row>
    <row r="66" spans="1:14" ht="16" ns3:dyDescent="0.2">
      <c r="A66" s="2" t="s">
        <v>0</v>
      </c>
      <c r="B66" s="2" t="s">
        <v>83</v>
      </c>
    </row>
    <row r="67" spans="1:14" ns3:dyDescent="0.2">
      <c r="A67" t="s">
        <v>1</v>
      </c>
      <c r="B67" t="inlineStr">
        <is>
          <t>APPROVED ENGINEERING PACK CONTROL BOUNDARY, item14, 2026-10-18. Dai etal2018, Argonne ANL/ESD-18/4, https://publications.anl.gov/anlpubs/2018/10/146906.pdf, Table8 BEV material inventory; Wickerts corrected SI S26 and Ellingsen2014 BMS component function split. Replace opaque whole-pack supply in capacity markets by explicit public-source cell+non-electronic module/pack hardware, plus one separately named monitoring/central-protection package. This avoids combining module monitors with an undifferentiated whole BMS. Dai per-pack module electronics1.12kg are represented ONCE by populated-PCB proxy; assume4kg of the reported pack electronics correspond to the former undifferentiated BMS, remove that proxy and substitute one central4.518kg engineering package (0.49board+2.8HV+1.2LV+.028fasteners) with no module monitoring. Remaining pack electronics=(Dai pack electronics-4kg), represented once by the same generic PCB proxy with unspecified function; the4kg split is an engineering function assumption, not a source component breakdown. The inherited LTO cell source states60Wh/kg while the configured85Wh/kg remains an explicit unresolved performance assumption. Thermal mass uses Dai coolant, assumed50/50 ethylene glycol/water; module aluminium includes source thermal interface, while hoses/pump/control thermal ratings remain gaps. Hardware materials are retained mass with100percent assembly retention reference and generic working/injection services; source rounding is resolved by adding listed components, not silently forcing source totals. No native proprietary pack inventory is copied or numerically subtracted. Generic PCB, insulation proxies (module glass fibre reinforced plastic; pack HDPE), material grades and manufacturing energy remain engineering limitations. NMC532/NMC955/LTO use NMC622 non-cell geometry as an explicit proxy, retaining their own existing cell supplier. No claim of chemistry-specific validated outer-pack geometry. Use each declared cell-baseline specific energy (.16LFP,.18NMC111,.20NMC532,.24NMC622,.28NMC811/NCA,.34NMC955,.085LTO,.13LMO kWh/kg), correcting small mismatches between historical rounded share metadata/formulas: gross reference kWh=source cellmass*that baseline. Thus the historical23.5kWh Dai label is not forced onto a different configured cell density. Fixed controls use unit input1/referencekWh; scalable hardware and equal negative waste usekg. Future density learning changes kg hardware/waste while fixed controls and their own waste stay fixed. Controls are conservatively co-replaced with delivered packs; independent life remains unknown. No common glider/roadway or new recovery credits. Sensitivities: central split3-5kg, module monitoring0.5-2x, fixed versus scalable non-cell materials. These engineering packs resolve accounting duplication but are not verified vehicle designs. Chemistry=NMC955; geometry proxy=NMC622; cellmass=108.03kg, scalablehardware=145.74kg, assumed cellbaseline=0.34kWh/kg, grossreference=36.7302kWh, fixedcontrolmass=6.538kg. Retained listed hardware material coefficients sum1kg/kg; upstream cell/processing yields are not overwritten. Raw source rounding and cell-specific gaps remain in those providers. Cell-share metadata now refers only to scalable hardware; total installed pack also includes fixed unit-valued control hardware.
PREVIOUS NOTES (retained as history; the correction above takes precedence):
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0.7412515438452038</f>
        <v>0.7412515438452038</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inlineStr">
        <is>
          <t>market for battery hardware, Li-ion, NMC955, engineering reference</t>
        </is>
      </c>
      <c r="B76" s="3">
        <f>3.967852067236225</f>
        <v>3.967852067236225</v>
      </c>
      <c r="C76" t="s">
        <v>7</v>
      </c>
      <c r="D76" t="s">
        <v>3</v>
      </c>
      <c r="E76" t="s">
        <v>14</v>
      </c>
      <c r="F76" t="inlineStr">
        <is>
          <t>battery hardware, Li-ion, NMC955, engineering reference</t>
        </is>
      </c>
      <c r="G76">
        <v>5</v>
      </c>
      <c r="H76" s="7">
        <f>3.967852067236225</f>
        <v>3.967852067236225</v>
      </c>
      <c r="I76" s="3">
        <f>3.550183428579781</f>
        <v>3.550183428579781</v>
      </c>
      <c r="J76" s="3">
        <f>4.496899009534389</f>
        <v>4.496899009534389</v>
      </c>
    </row>
    <row r="77" spans="1:14" ns3:dyDescent="0.2">
      <c r="A77" t="s">
        <v>53</v>
      </c>
      <c r="B77" s="3">
        <f>-3.967852067236225</f>
        <v>-3.967852067236225</v>
      </c>
      <c r="C77" t="s">
        <v>7</v>
      </c>
      <c r="D77" t="s">
        <v>3</v>
      </c>
      <c r="E77" t="s">
        <v>14</v>
      </c>
      <c r="F77" t="s">
        <v>54</v>
      </c>
      <c r="G77">
        <v>5</v>
      </c>
      <c r="H77" s="7">
        <f>-3.967852067236225</f>
        <v>-3.967852067236225</v>
      </c>
      <c r="I77" s="3">
        <f>-4.496899009534389</f>
        <v>-4.496899009534389</v>
      </c>
      <c r="J77" s="3">
        <f>-3.550183428579781</f>
        <v>-3.550183428579781</v>
      </c>
      <c r="K77" t="b">
        <v>1</v>
      </c>
      <c r="M77" s="3"/>
      <c r="N77" s="3"/>
    </row>
    <row r="79">
      <c r="A79" t="inlineStr">
        <is>
          <t>battery monitoring and central controls, NMC955, engineering reference</t>
        </is>
      </c>
      <c r="B79">
        <v>0.027225552814849903</v>
      </c>
      <c r="C79" t="inlineStr">
        <is>
          <t>unit</t>
        </is>
      </c>
      <c r="D79" t="inlineStr">
        <is>
          <t>GLO</t>
        </is>
      </c>
      <c r="E79" t="inlineStr">
        <is>
          <t>technosphere</t>
        </is>
      </c>
      <c r="F79" t="inlineStr">
        <is>
          <t>battery monitoring and central controls, NMC955, engineering reference</t>
        </is>
      </c>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inlineStr">
        <is>
          <t>APPROVED STATIONARY SODIUM-ION SHARED CAPACITY REFERENCE, item21,2026-10-18. The stationary NMMT/HC module recipe and baseline specific energy match the existing chemistry-specific capacity reference. Its stationary name is absent from energy_density.yaml, so direct kg inputs stay constant while the common chemistry reference follows157Wh/kg-cell in2020 to200Wh/kg-cell in2050. Preserve workbook-only scope by purchasing exactly1kWh of market for battery capacity,Sodium-ion,SiB atGLO. This existing reference already supplies module manufacturing, equal negative end-of-life mass and the separately fixed-unit monitoring/protection/cooling package. Remove the stationary wrapper duplicate kg-manufacturing, waste and auxiliary inputs; do not add end-of-life twice. The wrapper itself is unmapped and receives no second density adjustment. Original stationary storage operating efficiency, calendar/cycle life and aggregate scenario shares are unchanged; this capacity reference contains manufacture and end-of-life rather than vehicle operation. The cell density trajectory is the existing scenario assumption, not a measured stationary pack design. Expected module mass8.474582023338275kg/kWh in2020 and6.652546888320545kg/kWh in2050, with fixed auxiliary input0.02121105988781555unit/kWh. No runtime or YAML modification.
PREVIOUS NOTES (retained as history; the correction above takes precedence):
APPROVED ENGINEERING CONTROL/THERMAL COVERAGE, item13, 2026-10-18. Wickerts corrected SI DOI10.1021/acssuschemeng.4c01782.s001 S26/S27; original Ellingsen2014 SI S39/S40, DOI10.1111/jiec.12072. Separate module monitoring from central protection: per16-module reference,1.1kg populated PCB monitors, central0.49kg populated PCB+2.8kg HV system+1.2kg LV system+.028kg fasteners=4.518kg. Use existing HV/LV/fastener process providers and generic populated through-hole PCB perkg; this is an explicit board-technology/material proxy rather than the source-specific board fabrication model. No whole BMS is added on top. Adopt one nominal10kg liquid-cooling assembly per reference: Al9.08, steel.23, PVC/rubber pipe.0096, thermal pad.2 (silicon.06, glass.02, ABS.12), ethylene glycol.48kg; source-rounded sum9.9996kg. Metal working/injection services are included; 100percent retention of listed finished materials is assumed. No stationary rack housing/container, common vehicle body or roadway is added. Monitoring/protection/cooling are added once as a unit-valued capacity input; kg module and matching waste remain separate, so density learning does not shrink fixed controls. Central and cooling hardware are conservatively co-replaced with each delivered pack; longer independent hardware life is not established. End-of-life uses the existing generic used Li-ion route for15.6176kg of auxiliary hardware per reference, without recovery credits; this is a treatment proxy for controls/cooling, not proof of chemistry-specific recovery. Source thermal duty, pump/radiator performance, protection ratings, inverter/pack interface, full outer pack enclosure and vehicle-specific module topology remain coverage/design gaps. The SIB cell-mass-equivalent module retains its existing18.768kg cell+6.203kg module hardware reference; it is not a demonstrated integer21700-cell topology. LiS uses the corrected19.306152kg cell+6.203kg module hardware. These are engineering references, not fleet-validated designs; use0.5-2x auxiliary-size and independent-replacement-life sensitivities. Reference gross capacity is16*18.768kg cell*0.157kWh/kg=47.145216000000005kWh; dose=0.02121105988781555unit/kWh. Existing cell density, kg-module recipe, energy/per-MJ coefficients and cycle assumptions are preserved.
PREVIOUS NOTES (retained as history; the correction above takes precedence):
APPROVED STATIONARY SODIUM-ION CAPACITY BASELINE NORMALIZATION, 2026-10-18. Zhang et al. (2024), Future climate impacts of sodium-ion batteries, Resources, Conservation and Recycling 202, 107362, DOI 10.1016/j.resconrec.2023.107362, Table 4, page 5: baseline NMMT/HC cell specific energy is 157 Wh/kg (0.157 kWh/kg), consistent with the existing source description and Premise density baseline. Primary paper: https://pub.epsilon.slu.se/32553/1/zhang-s-et-al-20240122.pdf . The linked existing SIB module recipe contains 0.7515918465419887 kg NMMT cell/kg module (lci-batteries-SIB.xlsx, sodium-ion batteries B493); its battery market purchases one kg of this module per kg delivered. Use this actual recipe coefficient, not a rounded 75 percent fraction, and 0.157 kWh/kg cell: 1/(0.157*0.7515918465419887) = 8.474582023338275 kg delivered module/kWh gross capacity. The previous 1/(0.16*0.75) = 8.333333333333334 kg represented 0.9833326658924353 kWh under those declared specifications. The module dose increases 1.6949842800592974 percent; this is not a percent change in overall transport or system metal demand. Set battery cell mass share to the linked recipe coefficient. Keep existing cell-specific density uncertainty endpoints 0.12 and 0.18 kWh/kg, translating them with the same module fraction; retain triangular type 5, equal negative waste mass and paired signed bounds/locations. Update formula caches consistently. The original rounded specific-energy/fraction/mass figures below are historical notes superseded by this paragraph. All supplier identities/geographies, the one-kWh output, cell/module manufacturing recipes, other chemistries, prospective density trajectory and lifetime/per-MJ allocations remain unchanged. This normalizes to declared cell energy and an existing module proxy; it does not validate measured pack performance, future electrochemical charge, cycle life or operating conditions. The Li-S-derived module architecture and missing BMS/cooling coverage remain unresolved. No electronics, racks, treatment route, recovery credit or primary/secondary share is added. Current full-system metal effects remain unquantified without a scenario rebuild. STATIONARY MAPPING LIMITATION: This stationary capacity-market name is absent from the existing density aliases. The current unmodified updater therefore leaves its mass and uncertainty bounds fixed through 2050. This corrects the initial normalization only; it does not implement the mobile density trajectory or resolve that mapping gap. The stationary market was inactive in the last 28-case audit, so no current system-metal effect is inferred. The previous mobile correction is preserved.
PREVIOUS SOURCE NOTES (ROUNDED VALUES SUPERSEDED ABOVE):
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0.7515918465419887</f>
        <v>0.7515918465419887</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inlineStr">
        <is>
          <t>market for battery capacity, Sodium-ion, SiB</t>
        </is>
      </c>
      <c r="B118" s="3">
        <f>1</f>
        <v>1</v>
      </c>
      <c r="C118" t="inlineStr">
        <is>
          <t>kilowatt hour</t>
        </is>
      </c>
      <c r="D118" t="s">
        <v>3</v>
      </c>
      <c r="E118" t="s">
        <v>14</v>
      </c>
      <c r="F118" t="inlineStr">
        <is>
          <t>electricity storage capacity</t>
        </is>
      </c>
      <c r="G118">
        <v>0</v>
      </c>
      <c r="H118" s="7"/>
      <c r="I118" s="3"/>
      <c r="J118" s="3"/>
    </row>
    <row r="119" spans="1:14" ns3:dyDescent="0.2">
      <c r="A119"/>
      <c r="B119" s="3"/>
      <c r="C119"/>
      <c r="D119"/>
      <c r="E119"/>
      <c r="F119"/>
      <c r="G119"/>
      <c r="H119" s="7"/>
      <c r="I119" s="3"/>
      <c r="J119" s="3"/>
      <c r="K119"/>
      <c r="M119" s="3"/>
      <c r="N119" s="3"/>
    </row>
    <row r="120">
      <c r="A120"/>
      <c r="B120"/>
      <c r="C120"/>
      <c r="D120"/>
      <c r="E120"/>
      <c r="F120"/>
      <c r="L120"/>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