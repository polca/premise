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<sst xmlns="http://schemas.openxmlformats.org/spreadsheetml/2006/main" count="1378" uniqueCount="116">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</sst>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79"/>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 xml:space="preserve">market for battery cell, lithium-ion, lfp, including end-of-life treatment</t>
        </is>
      </c>
      <c r="B13" s="7">
        <f>6.249999999999999</f>
        <v>6.249999999999999</v>
      </c>
      <c r="C13" t="s">
        <v>7</v>
      </c>
      <c r="D13" t="inlineStr">
        <is>
          <t>GLO</t>
        </is>
      </c>
      <c r="E13" t="s">
        <v>14</v>
      </c>
      <c r="F13" t="inlineStr">
        <is>
          <t xml:space="preserve">battery cell, Li-ion, LFP, including end-of-life treatment</t>
        </is>
      </c>
      <c r="G13">
        <v>5</v>
      </c>
      <c r="H13" s="7">
        <f>6.249999999999999</f>
        <v>6.249999999999999</v>
      </c>
      <c r="I13" s="7">
        <f>5.263157894736842</f>
        <v>5.263157894736842</v>
      </c>
      <c r="J13" s="7">
        <f>7.1428571428571415</f>
        <v>7.1428571428571415</v>
      </c>
    </row>
    <row r="14" spans="1:14" ns3:dyDescent="0.2">
      <c r="A14" t="inlineStr">
        <is>
          <t xml:space="preserve">battery pack component production and end-of-life treatment, lithium-ion, lfp, without cells and controls</t>
        </is>
      </c>
      <c r="B14" s="7">
        <f>1</f>
        <v>1</v>
      </c>
      <c r="C14" t="inlineStr">
        <is>
          <t xml:space="preserve">kilowatt hour</t>
        </is>
      </c>
      <c r="D14" t="inlineStr">
        <is>
          <t>GLO</t>
        </is>
      </c>
      <c r="E14" t="s">
        <v>14</v>
      </c>
      <c r="F14" t="inlineStr">
        <is>
          <t xml:space="preserve">battery pack component provision, Li-ion, LFP, without cells and controls</t>
        </is>
      </c>
      <c r="G14">
        <v>0</v>
      </c>
      <c r="H14" s="7">
        <f>1</f>
        <v>1</v>
      </c>
      <c r="I14" s="7">
        <f>1</f>
        <v>1</v>
      </c>
      <c r="J14" s="7">
        <f>1</f>
        <v>1</v>
      </c>
      <c r="K14" t="inlineStr">
        <is>
          <t/>
        </is>
      </c>
      <c r="M14" s="7"/>
      <c r="N14" s="7"/>
    </row>
    <row r="15">
      <c r="A15" t="inlineStr">
        <is>
          <t xml:space="preserve">battery monitoring and central control system production, lithium-ion, lfp</t>
        </is>
      </c>
      <c r="B15">
        <v>0.042349911912183215</v>
      </c>
      <c r="C15" t="inlineStr">
        <is>
          <t>unit</t>
        </is>
      </c>
      <c r="D15" t="inlineStr">
        <is>
          <t>GLO</t>
        </is>
      </c>
      <c r="E15" t="inlineStr">
        <is>
          <t>technosphere</t>
        </is>
      </c>
      <c r="F15" t="inlineStr">
        <is>
          <t xml:space="preserve">battery monitoring and central control system, Li-ion, LFP</t>
        </is>
      </c>
    </row>
    <row r="16" spans="1:14" ht="16" ns3:dyDescent="0.2">
      <c r="A16" s="2" t="s">
        <v>0</v>
      </c>
      <c r="B16" s="2" t="s">
        <v>19</v>
      </c>
    </row>
    <row r="17" spans="1:14" ns3:dyDescent="0.2">
      <c r="A17" t="s">
        <v>1</v>
      </c>
      <c r="B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 xml:space="preserve">market for battery cell, lithium-ion, nmc111, including end-of-life treatment</t>
        </is>
      </c>
      <c r="B26" s="3">
        <f>5.555555555555555</f>
        <v>5.555555555555555</v>
      </c>
      <c r="C26" t="s">
        <v>7</v>
      </c>
      <c r="D26" t="inlineStr">
        <is>
          <t>GLO</t>
        </is>
      </c>
      <c r="E26" t="s">
        <v>14</v>
      </c>
      <c r="F26" t="inlineStr">
        <is>
          <t xml:space="preserve">battery cell, Li-ion, NMC111, including end-of-life treatment</t>
        </is>
      </c>
      <c r="G26">
        <v>5</v>
      </c>
      <c r="H26" s="7">
        <f>5.555555555555555</f>
        <v>5.555555555555555</v>
      </c>
      <c r="I26" s="7">
        <f>5.263157894736842</f>
        <v>5.263157894736842</v>
      </c>
      <c r="J26" s="7">
        <f>7.142857142857141</f>
        <v>7.142857142857141</v>
      </c>
    </row>
    <row r="27" spans="1:14" ns3:dyDescent="0.2">
      <c r="A27" t="inlineStr">
        <is>
          <t xml:space="preserve">battery pack component production and end-of-life treatment, lithium-ion, nmc111, without cells and controls</t>
        </is>
      </c>
      <c r="B27" s="3">
        <f>1</f>
        <v>1</v>
      </c>
      <c r="C27" t="inlineStr">
        <is>
          <t xml:space="preserve">kilowatt hour</t>
        </is>
      </c>
      <c r="D27" t="inlineStr">
        <is>
          <t>GLO</t>
        </is>
      </c>
      <c r="E27" t="s">
        <v>14</v>
      </c>
      <c r="F27" t="inlineStr">
        <is>
          <t xml:space="preserve">battery pack component provision, Li-ion, NMC111, without cells and controls</t>
        </is>
      </c>
      <c r="G27">
        <v>0</v>
      </c>
      <c r="H27" s="7">
        <f>1</f>
        <v>1</v>
      </c>
      <c r="I27" s="7">
        <f>1</f>
        <v>1</v>
      </c>
      <c r="J27" s="7">
        <f>1</f>
        <v>1</v>
      </c>
      <c r="K27" t="inlineStr">
        <is>
          <t/>
        </is>
      </c>
      <c r="M27" s="7"/>
      <c r="N27" s="7"/>
    </row>
    <row r="28">
      <c r="A28" t="inlineStr">
        <is>
          <t xml:space="preserve">battery monitoring and central control system production, lithium-ion, nmc111</t>
        </is>
      </c>
      <c r="B28">
        <v>0.046385201265388296</v>
      </c>
      <c r="C28" t="inlineStr">
        <is>
          <t>unit</t>
        </is>
      </c>
      <c r="D28" t="inlineStr">
        <is>
          <t>GLO</t>
        </is>
      </c>
      <c r="E28" t="inlineStr">
        <is>
          <t>technosphere</t>
        </is>
      </c>
      <c r="F28" t="inlineStr">
        <is>
          <t xml:space="preserve">battery monitoring and central control system, Li-ion, NMC111</t>
        </is>
      </c>
    </row>
    <row r="29" spans="1:14" ht="16" ns3:dyDescent="0.2">
      <c r="A29" s="2" t="s">
        <v>0</v>
      </c>
      <c r="B29" s="2" t="s">
        <v>110</v>
      </c>
    </row>
    <row r="30" spans="1:14" ns3:dyDescent="0.2">
      <c r="A30" t="s">
        <v>1</v>
      </c>
      <c r="B30"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 xml:space="preserve">market for battery cell, lithium-ion, nmc532, including end-of-life treatment</t>
        </is>
      </c>
      <c r="B39" s="3">
        <f>4.999999999999999</f>
        <v>4.999999999999999</v>
      </c>
      <c r="C39" t="s">
        <v>7</v>
      </c>
      <c r="D39" t="inlineStr">
        <is>
          <t>GLO</t>
        </is>
      </c>
      <c r="E39" t="s">
        <v>14</v>
      </c>
      <c r="F39" t="inlineStr">
        <is>
          <t xml:space="preserve">battery cell, Li-ion, NMC532, including end-of-life treatment</t>
        </is>
      </c>
      <c r="G39">
        <v>5</v>
      </c>
      <c r="H39" s="7">
        <f>4.999999999999999</f>
        <v>4.999999999999999</v>
      </c>
      <c r="I39" s="3">
        <f>4.545454545454544</f>
        <v>4.545454545454544</v>
      </c>
      <c r="J39" s="3">
        <f>5.882352941176469</f>
        <v>5.882352941176469</v>
      </c>
    </row>
    <row r="40" spans="1:14" ns3:dyDescent="0.2">
      <c r="A40" t="inlineStr">
        <is>
          <t xml:space="preserve">battery pack component production and end-of-life treatment, lithium-ion, nmc532, without cells and controls</t>
        </is>
      </c>
      <c r="B40" s="3">
        <f>1</f>
        <v>1</v>
      </c>
      <c r="C40" t="inlineStr">
        <is>
          <t xml:space="preserve">kilowatt hour</t>
        </is>
      </c>
      <c r="D40" t="inlineStr">
        <is>
          <t>GLO</t>
        </is>
      </c>
      <c r="E40" t="s">
        <v>14</v>
      </c>
      <c r="F40" t="inlineStr">
        <is>
          <t xml:space="preserve">battery pack component provision, Li-ion, NMC532, without cells and controls</t>
        </is>
      </c>
      <c r="G40">
        <v>0</v>
      </c>
      <c r="H40" s="7">
        <f>1</f>
        <v>1</v>
      </c>
      <c r="I40" s="3">
        <f>1</f>
        <v>1</v>
      </c>
      <c r="J40" s="3">
        <f>1</f>
        <v>1</v>
      </c>
      <c r="K40" t="inlineStr">
        <is>
          <t/>
        </is>
      </c>
      <c r="M40" s="3"/>
      <c r="N40" s="3"/>
    </row>
    <row r="41">
      <c r="A41" t="inlineStr">
        <is>
          <t xml:space="preserve">battery monitoring and central control system production, lithium-ion, nmc532</t>
        </is>
      </c>
      <c r="B41">
        <v>0.04628343978524484</v>
      </c>
      <c r="C41" t="inlineStr">
        <is>
          <t>unit</t>
        </is>
      </c>
      <c r="D41" t="inlineStr">
        <is>
          <t>GLO</t>
        </is>
      </c>
      <c r="E41" t="inlineStr">
        <is>
          <t>technosphere</t>
        </is>
      </c>
      <c r="F41" t="inlineStr">
        <is>
          <t xml:space="preserve">battery monitoring and central control system, Li-ion, NMC532</t>
        </is>
      </c>
    </row>
    <row r="42" spans="1:14" ht="16" ns3:dyDescent="0.2">
      <c r="A42" s="2" t="s">
        <v>0</v>
      </c>
      <c r="B42" s="2" t="s">
        <v>22</v>
      </c>
    </row>
    <row r="43" spans="1:14" ns3:dyDescent="0.2">
      <c r="A43" t="s">
        <v>1</v>
      </c>
      <c r="B43"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 xml:space="preserve">market for battery cell, lithium-ion, nmc622, including end-of-life treatment</t>
        </is>
      </c>
      <c r="B52" s="3">
        <f>4.166666666666667</f>
        <v>4.166666666666667</v>
      </c>
      <c r="C52" t="s">
        <v>7</v>
      </c>
      <c r="D52" t="inlineStr">
        <is>
          <t>GLO</t>
        </is>
      </c>
      <c r="E52" t="s">
        <v>14</v>
      </c>
      <c r="F52" t="inlineStr">
        <is>
          <t xml:space="preserve">battery cell, Li-ion, NMC622, including end-of-life treatment</t>
        </is>
      </c>
      <c r="G52">
        <v>5</v>
      </c>
      <c r="H52" s="7">
        <f>4.166666666666667</f>
        <v>4.166666666666667</v>
      </c>
      <c r="I52" s="3">
        <f>3.571428571428571</f>
        <v>3.571428571428571</v>
      </c>
      <c r="J52" s="3">
        <f>5.000000000000001</f>
        <v>5.000000000000001</v>
      </c>
    </row>
    <row r="53" spans="1:14" ns3:dyDescent="0.2">
      <c r="A53" t="inlineStr">
        <is>
          <t xml:space="preserve">battery pack component production and end-of-life treatment, lithium-ion, nmc622, without cells and controls</t>
        </is>
      </c>
      <c r="B53" s="3">
        <f>1</f>
        <v>1</v>
      </c>
      <c r="C53" t="inlineStr">
        <is>
          <t xml:space="preserve">kilowatt hour</t>
        </is>
      </c>
      <c r="D53" t="inlineStr">
        <is>
          <t>GLO</t>
        </is>
      </c>
      <c r="E53" t="s">
        <v>14</v>
      </c>
      <c r="F53" t="inlineStr">
        <is>
          <t xml:space="preserve">battery pack component provision, Li-ion, NMC622, without cells and controls</t>
        </is>
      </c>
      <c r="G53">
        <v>0</v>
      </c>
      <c r="H53" s="7">
        <f>1</f>
        <v>1</v>
      </c>
      <c r="I53" s="3">
        <f>1</f>
        <v>1</v>
      </c>
      <c r="J53" s="3">
        <f>1</f>
        <v>1</v>
      </c>
      <c r="K53" t="inlineStr">
        <is>
          <t/>
        </is>
      </c>
      <c r="M53" s="3"/>
      <c r="N53" s="3"/>
    </row>
    <row r="54">
      <c r="A54" t="inlineStr">
        <is>
          <t xml:space="preserve">battery monitoring and central control system production, lithium-ion, nmc622</t>
        </is>
      </c>
      <c r="B54">
        <v>0.0385695331543707</v>
      </c>
      <c r="C54" t="inlineStr">
        <is>
          <t>unit</t>
        </is>
      </c>
      <c r="D54" t="inlineStr">
        <is>
          <t>GLO</t>
        </is>
      </c>
      <c r="E54" t="inlineStr">
        <is>
          <t>technosphere</t>
        </is>
      </c>
      <c r="F54" t="inlineStr">
        <is>
          <t xml:space="preserve">battery monitoring and central control system, Li-ion, NMC622</t>
        </is>
      </c>
    </row>
    <row r="55" spans="1:14" ht="16" ns3:dyDescent="0.2">
      <c r="A55" s="2" t="s">
        <v>0</v>
      </c>
      <c r="B55" s="2" t="s">
        <v>23</v>
      </c>
    </row>
    <row r="56" spans="1:14" ns3:dyDescent="0.2">
      <c r="A56" t="s">
        <v>1</v>
      </c>
      <c r="B56"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 xml:space="preserve">market for battery cell, lithium-ion, nmc811, including end-of-life treatment</t>
        </is>
      </c>
      <c r="B65" s="3">
        <f>3.571428571428571</f>
        <v>3.571428571428571</v>
      </c>
      <c r="C65" t="s">
        <v>7</v>
      </c>
      <c r="D65" t="inlineStr">
        <is>
          <t>GLO</t>
        </is>
      </c>
      <c r="E65" t="s">
        <v>14</v>
      </c>
      <c r="F65" t="inlineStr">
        <is>
          <t xml:space="preserve">battery cell, Li-ion, NMC811, including end-of-life treatment</t>
        </is>
      </c>
      <c r="G65">
        <v>5</v>
      </c>
      <c r="H65" s="7">
        <f>3.571428571428571</f>
        <v>3.571428571428571</v>
      </c>
      <c r="I65" s="3">
        <f>2.9411764705882355</f>
        <v>2.9411764705882355</v>
      </c>
      <c r="J65" s="3">
        <f>4.166666666666666</f>
        <v>4.166666666666666</v>
      </c>
    </row>
    <row r="66" spans="1:14" ns3:dyDescent="0.2">
      <c r="A66" t="inlineStr">
        <is>
          <t xml:space="preserve">battery pack component production and end-of-life treatment, lithium-ion, nmc811, without cells and controls</t>
        </is>
      </c>
      <c r="B66" s="3">
        <f>1</f>
        <v>1</v>
      </c>
      <c r="C66" t="inlineStr">
        <is>
          <t xml:space="preserve">kilowatt hour</t>
        </is>
      </c>
      <c r="D66" t="inlineStr">
        <is>
          <t>GLO</t>
        </is>
      </c>
      <c r="E66" t="s">
        <v>14</v>
      </c>
      <c r="F66" t="inlineStr">
        <is>
          <t xml:space="preserve">battery pack component provision, Li-ion, NMC811, without cells and controls</t>
        </is>
      </c>
      <c r="G66">
        <v>0</v>
      </c>
      <c r="H66" s="7">
        <f>1</f>
        <v>1</v>
      </c>
      <c r="I66" s="3">
        <f>1</f>
        <v>1</v>
      </c>
      <c r="J66" s="3">
        <f>1</f>
        <v>1</v>
      </c>
      <c r="K66" t="inlineStr">
        <is>
          <t/>
        </is>
      </c>
      <c r="M66" s="3"/>
      <c r="N66" s="3"/>
    </row>
    <row r="67">
      <c r="A67" t="inlineStr">
        <is>
          <t xml:space="preserve">battery monitoring and central control system production, lithium-ion, nmc811</t>
        </is>
      </c>
      <c r="B67">
        <v>0.03178275848917479</v>
      </c>
      <c r="C67" t="inlineStr">
        <is>
          <t>unit</t>
        </is>
      </c>
      <c r="D67" t="inlineStr">
        <is>
          <t>GLO</t>
        </is>
      </c>
      <c r="E67" t="inlineStr">
        <is>
          <t>technosphere</t>
        </is>
      </c>
      <c r="F67" t="inlineStr">
        <is>
          <t xml:space="preserve">battery monitoring and central control system, Li-ion, NMC811</t>
        </is>
      </c>
    </row>
    <row r="68" spans="1:14" ht="16" ns3:dyDescent="0.2">
      <c r="A68" s="2" t="s">
        <v>0</v>
      </c>
      <c r="B68" s="2" t="s">
        <v>62</v>
      </c>
    </row>
    <row r="69" spans="1:14" ns3:dyDescent="0.2">
      <c r="A69" t="s">
        <v>1</v>
      </c>
      <c r="B6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 xml:space="preserve">market for battery cell, lithium-ion, nmc955, including end-of-life treatment</t>
        </is>
      </c>
      <c r="B78" s="3">
        <f>2.941176470588235</f>
        <v>2.941176470588235</v>
      </c>
      <c r="C78" t="s">
        <v>7</v>
      </c>
      <c r="D78" t="inlineStr">
        <is>
          <t>GLO</t>
        </is>
      </c>
      <c r="E78" t="s">
        <v>14</v>
      </c>
      <c r="F78" t="inlineStr">
        <is>
          <t xml:space="preserve">battery cell, Li-ion, NMC955, including end-of-life treatment</t>
        </is>
      </c>
      <c r="G78">
        <v>5</v>
      </c>
      <c r="H78" s="7">
        <f>2.941176470588235</f>
        <v>2.941176470588235</v>
      </c>
      <c r="I78" s="3">
        <f>2.6315789473684212</f>
        <v>2.6315789473684212</v>
      </c>
      <c r="J78" s="3">
        <f>3.333333333333334</f>
        <v>3.333333333333334</v>
      </c>
    </row>
    <row r="79" spans="1:14" ns3:dyDescent="0.2">
      <c r="A79" t="inlineStr">
        <is>
          <t xml:space="preserve">battery pack component production and end-of-life treatment, lithium-ion, nmc955, without cells and controls</t>
        </is>
      </c>
      <c r="B79" s="3">
        <f>1</f>
        <v>1</v>
      </c>
      <c r="C79" t="inlineStr">
        <is>
          <t xml:space="preserve">kilowatt hour</t>
        </is>
      </c>
      <c r="D79" t="inlineStr">
        <is>
          <t>GLO</t>
        </is>
      </c>
      <c r="E79" t="s">
        <v>14</v>
      </c>
      <c r="F79" t="inlineStr">
        <is>
          <t xml:space="preserve">battery pack component provision, Li-ion, NMC955, without cells and controls</t>
        </is>
      </c>
      <c r="G79">
        <v>0</v>
      </c>
      <c r="H79" s="7">
        <f>1</f>
        <v>1</v>
      </c>
      <c r="I79" s="3">
        <f>1</f>
        <v>1</v>
      </c>
      <c r="J79" s="3">
        <f>1</f>
        <v>1</v>
      </c>
      <c r="K79" t="inlineStr">
        <is>
          <t/>
        </is>
      </c>
      <c r="M79" s="3"/>
      <c r="N79" s="3"/>
    </row>
    <row r="80">
      <c r="A80" t="inlineStr">
        <is>
          <t xml:space="preserve">battery monitoring and central control system production, lithium-ion, nmc955</t>
        </is>
      </c>
      <c r="B80">
        <v>0.027225552814849903</v>
      </c>
      <c r="C80" t="inlineStr">
        <is>
          <t>unit</t>
        </is>
      </c>
      <c r="D80" t="inlineStr">
        <is>
          <t>GLO</t>
        </is>
      </c>
      <c r="E80" t="inlineStr">
        <is>
          <t>technosphere</t>
        </is>
      </c>
      <c r="F80" t="inlineStr">
        <is>
          <t xml:space="preserve">battery monitoring and central control system, Li-ion, NMC955</t>
        </is>
      </c>
    </row>
    <row r="81" spans="1:14" ht="16" ns3:dyDescent="0.2">
      <c r="A81" s="2" t="s">
        <v>0</v>
      </c>
      <c r="B81" s="2" t="s">
        <v>27</v>
      </c>
    </row>
    <row r="82" spans="1:14" ns3:dyDescent="0.2">
      <c r="A82" t="s">
        <v>1</v>
      </c>
      <c r="B82"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 xml:space="preserve">market for battery cell, lithium-ion, nca, including end-of-life treatment</t>
        </is>
      </c>
      <c r="B91" s="3">
        <f>3.571428571428571</f>
        <v>3.571428571428571</v>
      </c>
      <c r="C91" t="s">
        <v>7</v>
      </c>
      <c r="D91" t="inlineStr">
        <is>
          <t>GLO</t>
        </is>
      </c>
      <c r="E91" t="s">
        <v>14</v>
      </c>
      <c r="F91" t="inlineStr">
        <is>
          <t xml:space="preserve">battery cell, Li-ion, NCA, including end-of-life treatment</t>
        </is>
      </c>
      <c r="G91">
        <v>5</v>
      </c>
      <c r="H91" s="7">
        <f>3.571428571428571</f>
        <v>3.571428571428571</v>
      </c>
      <c r="I91" s="3">
        <f>2.9411764705882355</f>
        <v>2.9411764705882355</v>
      </c>
      <c r="J91" s="3">
        <f>4.166666666666667</f>
        <v>4.166666666666667</v>
      </c>
    </row>
    <row r="92" spans="1:14" ns3:dyDescent="0.2">
      <c r="A92" t="inlineStr">
        <is>
          <t xml:space="preserve">battery pack component production and end-of-life treatment, lithium-ion, nca, without cells and controls</t>
        </is>
      </c>
      <c r="B92" s="3">
        <f>1</f>
        <v>1</v>
      </c>
      <c r="C92" t="inlineStr">
        <is>
          <t xml:space="preserve">kilowatt hour</t>
        </is>
      </c>
      <c r="D92" t="inlineStr">
        <is>
          <t>GLO</t>
        </is>
      </c>
      <c r="E92" t="s">
        <v>14</v>
      </c>
      <c r="F92" t="inlineStr">
        <is>
          <t xml:space="preserve">battery pack component provision, Li-ion, NCA, without cells and controls</t>
        </is>
      </c>
      <c r="G92">
        <v>0</v>
      </c>
      <c r="H92" s="7">
        <f>1</f>
        <v>1</v>
      </c>
      <c r="I92" s="3">
        <f>1</f>
        <v>1</v>
      </c>
      <c r="J92" s="3">
        <f>1</f>
        <v>1</v>
      </c>
      <c r="K92" t="inlineStr">
        <is>
          <t/>
        </is>
      </c>
      <c r="M92" s="3"/>
      <c r="N92" s="3"/>
    </row>
    <row r="93">
      <c r="A93" t="inlineStr">
        <is>
          <t xml:space="preserve">battery monitoring and central control system production, lithium-ion, nca</t>
        </is>
      </c>
      <c r="B93">
        <v>0.03402656794425087</v>
      </c>
      <c r="C93" t="inlineStr">
        <is>
          <t>unit</t>
        </is>
      </c>
      <c r="D93" t="inlineStr">
        <is>
          <t>GLO</t>
        </is>
      </c>
      <c r="E93" t="inlineStr">
        <is>
          <t>technosphere</t>
        </is>
      </c>
      <c r="F93" t="inlineStr">
        <is>
          <t xml:space="preserve">battery monitoring and central control system, Li-ion, NCA</t>
        </is>
      </c>
    </row>
    <row r="94" spans="1:14" ht="16" ns3:dyDescent="0.2">
      <c r="A94" s="2" t="s">
        <v>0</v>
      </c>
      <c r="B94" s="2" t="s">
        <v>30</v>
      </c>
    </row>
    <row r="95" spans="1:14" ns3:dyDescent="0.2">
      <c r="A95" t="s">
        <v>1</v>
      </c>
      <c r="B95"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 xml:space="preserve">market for battery cell, lithium-ion, lto, including end-of-life treatment</t>
        </is>
      </c>
      <c r="B104" s="3">
        <f>16.558558534285197</f>
        <v>16.558558534285197</v>
      </c>
      <c r="C104" t="s">
        <v>7</v>
      </c>
      <c r="D104" t="inlineStr">
        <is>
          <t>GLO</t>
        </is>
      </c>
      <c r="E104" t="s">
        <v>14</v>
      </c>
      <c r="F104" t="inlineStr">
        <is>
          <t xml:space="preserve">battery cell, Li-ion, LTO, including end-of-life treatment</t>
        </is>
      </c>
      <c r="G104">
        <v>5</v>
      </c>
      <c r="H104" s="7">
        <f>16.558558534285197</f>
        <v>16.558558534285197</v>
      </c>
      <c r="I104" s="7">
        <f>12.4189189007139</f>
        <v>12.4189189007139</v>
      </c>
      <c r="J104" s="7">
        <f>20.698198167856496</f>
        <v>20.698198167856496</v>
      </c>
    </row>
    <row r="105" spans="1:14" ns3:dyDescent="0.2">
      <c r="A105" t="inlineStr">
        <is>
          <t xml:space="preserve">battery pack component production and end-of-life treatment, lithium-ion, lto, without cells and controls</t>
        </is>
      </c>
      <c r="B105" s="3">
        <f>1</f>
        <v>1</v>
      </c>
      <c r="C105" t="inlineStr">
        <is>
          <t xml:space="preserve">kilowatt hour</t>
        </is>
      </c>
      <c r="D105" t="inlineStr">
        <is>
          <t>GLO</t>
        </is>
      </c>
      <c r="E105" t="s">
        <v>14</v>
      </c>
      <c r="F105" t="inlineStr">
        <is>
          <t xml:space="preserve">battery pack component provision, Li-ion, LTO, without cells and controls</t>
        </is>
      </c>
      <c r="G105">
        <v>0</v>
      </c>
      <c r="H105" s="7">
        <f>1</f>
        <v>1</v>
      </c>
      <c r="I105" s="7">
        <f>1</f>
        <v>1</v>
      </c>
      <c r="J105" s="7">
        <f>1</f>
        <v>1</v>
      </c>
      <c r="K105" t="inlineStr">
        <is>
          <t/>
        </is>
      </c>
      <c r="M105" s="7"/>
      <c r="N105" s="7"/>
    </row>
    <row r="106">
      <c r="A106" t="inlineStr">
        <is>
          <t xml:space="preserve">battery monitoring and central control system production, lithium-ion, lto</t>
        </is>
      </c>
      <c r="B106">
        <v>0.1532774093704082</v>
      </c>
      <c r="C106" t="inlineStr">
        <is>
          <t>unit</t>
        </is>
      </c>
      <c r="D106" t="inlineStr">
        <is>
          <t>GLO</t>
        </is>
      </c>
      <c r="E106" t="inlineStr">
        <is>
          <t>technosphere</t>
        </is>
      </c>
      <c r="F106" t="inlineStr">
        <is>
          <t xml:space="preserve">battery monitoring and central control system, Li-ion, LTO</t>
        </is>
      </c>
    </row>
    <row r="107" spans="1:14" ht="16" ns3:dyDescent="0.2">
      <c r="A107" s="2" t="s">
        <v>0</v>
      </c>
      <c r="B107" s="2" t="s">
        <v>55</v>
      </c>
    </row>
    <row r="108" spans="1:14" ns3:dyDescent="0.2">
      <c r="A108" t="s">
        <v>1</v>
      </c>
      <c r="B108"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 xml:space="preserve">market for battery cell, lithium-ion, limn2o4, including end-of-life treatment</t>
        </is>
      </c>
      <c r="B117" s="3">
        <f>7.692307692307694</f>
        <v>7.692307692307694</v>
      </c>
      <c r="C117" t="s">
        <v>7</v>
      </c>
      <c r="D117" t="inlineStr">
        <is>
          <t>GLO</t>
        </is>
      </c>
      <c r="E117" t="s">
        <v>14</v>
      </c>
      <c r="F117" t="inlineStr">
        <is>
          <t xml:space="preserve">battery cell, Li-ion, LiMn2O4, including end-of-life treatment</t>
        </is>
      </c>
      <c r="G117">
        <v>5</v>
      </c>
      <c r="H117" s="7">
        <f>7.692307692307695</f>
        <v>7.692307692307695</v>
      </c>
      <c r="I117" s="7">
        <f>5.76923076923077</f>
        <v>5.76923076923077</v>
      </c>
      <c r="J117" s="7">
        <f>9.615384615384617</f>
        <v>9.615384615384617</v>
      </c>
    </row>
    <row r="118" spans="1:14" ns3:dyDescent="0.2">
      <c r="A118" t="inlineStr">
        <is>
          <t xml:space="preserve">battery pack component production and end-of-life treatment, lithium-ion, limn2o4, without cells and controls</t>
        </is>
      </c>
      <c r="B118" s="3">
        <f>1</f>
        <v>1</v>
      </c>
      <c r="C118" t="inlineStr">
        <is>
          <t xml:space="preserve">kilowatt hour</t>
        </is>
      </c>
      <c r="D118" t="inlineStr">
        <is>
          <t>GLO</t>
        </is>
      </c>
      <c r="E118" t="s">
        <v>14</v>
      </c>
      <c r="F118" t="inlineStr">
        <is>
          <t xml:space="preserve">battery pack component provision, Li-ion, LiMn2O4, without cells and controls</t>
        </is>
      </c>
      <c r="G118">
        <v>0</v>
      </c>
      <c r="H118" s="7">
        <f>1</f>
        <v>1</v>
      </c>
      <c r="I118" s="7">
        <f>1</f>
        <v>1</v>
      </c>
      <c r="J118" s="7">
        <f>1</f>
        <v>1</v>
      </c>
      <c r="K118" t="inlineStr">
        <is>
          <t/>
        </is>
      </c>
      <c r="M118" s="7"/>
      <c r="N118" s="7"/>
    </row>
    <row r="119">
      <c r="A119" t="inlineStr">
        <is>
          <t xml:space="preserve">battery monitoring and central control system production, lithium-ion, limn2o4</t>
        </is>
      </c>
      <c r="B119">
        <v>0.05258978390857793</v>
      </c>
      <c r="C119" t="inlineStr">
        <is>
          <t>unit</t>
        </is>
      </c>
      <c r="D119" t="inlineStr">
        <is>
          <t>GLO</t>
        </is>
      </c>
      <c r="E119" t="inlineStr">
        <is>
          <t>technosphere</t>
        </is>
      </c>
      <c r="F119" t="inlineStr">
        <is>
          <t xml:space="preserve">battery monitoring and central control system, Li-ion, LiMn2O4</t>
        </is>
      </c>
    </row>
    <row r="120" spans="1:14" ht="16" ns3:dyDescent="0.2">
      <c r="A120" s="2" t="s">
        <v>0</v>
      </c>
      <c r="B120" s="2" t="s">
        <v>56</v>
      </c>
    </row>
    <row r="121" spans="1:14" ns3:dyDescent="0.2">
      <c r="A121" t="s">
        <v>1</v>
      </c>
      <c r="B121"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inlineStr">
        <is>
          <t xml:space="preserve">market for battery cell, lithium-sulfur, including end-of-life treatment</t>
        </is>
      </c>
      <c r="B130" s="3">
        <f>6.666666666666667</f>
        <v>6.666666666666667</v>
      </c>
      <c r="C130" t="s">
        <v>7</v>
      </c>
      <c r="D130" t="inlineStr">
        <is>
          <t>GLO</t>
        </is>
      </c>
      <c r="E130" t="s">
        <v>14</v>
      </c>
      <c r="F130" t="inlineStr">
        <is>
          <t xml:space="preserve">battery cell, Li-sulfur, Li-S, including end-of-life treatment</t>
        </is>
      </c>
      <c r="G130">
        <v>5</v>
      </c>
      <c r="H130" s="7">
        <f>6.666666666666667</f>
        <v>6.666666666666667</v>
      </c>
      <c r="I130" s="3">
        <f>5.555555555555555</f>
        <v>5.555555555555555</v>
      </c>
      <c r="J130" s="3">
        <f>8.333333333333334</f>
        <v>8.333333333333334</v>
      </c>
    </row>
    <row r="131" spans="1:14" ns3:dyDescent="0.2">
      <c r="A131" t="inlineStr">
        <is>
          <t xml:space="preserve">battery pack component production and end-of-life treatment, lithium-sulfur, without cells and controls</t>
        </is>
      </c>
      <c r="B131" s="3">
        <f>1</f>
        <v>1</v>
      </c>
      <c r="C131" t="inlineStr">
        <is>
          <t xml:space="preserve">kilowatt hour</t>
        </is>
      </c>
      <c r="D131" t="inlineStr">
        <is>
          <t>GLO</t>
        </is>
      </c>
      <c r="E131" t="s">
        <v>14</v>
      </c>
      <c r="F131" t="inlineStr">
        <is>
          <t xml:space="preserve">battery pack component provision, Li-sulfur, Li-S, without cells and controls</t>
        </is>
      </c>
      <c r="G131">
        <v>0</v>
      </c>
      <c r="H131" s="7">
        <f>1</f>
        <v>1</v>
      </c>
      <c r="I131" s="3">
        <f>1</f>
        <v>1</v>
      </c>
      <c r="J131" s="3">
        <f>1</f>
        <v>1</v>
      </c>
      <c r="K131" t="inlineStr">
        <is>
          <t/>
        </is>
      </c>
      <c r="M131" s="3"/>
      <c r="N131" s="3"/>
    </row>
    <row r="132">
      <c r="A132" t="inlineStr">
        <is>
          <t xml:space="preserve">battery control and cooling system production, 16 modules</t>
        </is>
      </c>
      <c r="B132">
        <v>0.0215820670357649</v>
      </c>
      <c r="C132" t="inlineStr">
        <is>
          <t>unit</t>
        </is>
      </c>
      <c r="D132" t="inlineStr">
        <is>
          <t>GLO</t>
        </is>
      </c>
      <c r="E132" t="inlineStr">
        <is>
          <t>technosphere</t>
        </is>
      </c>
      <c r="F132" t="inlineStr">
        <is>
          <t xml:space="preserve">battery control and cooling system, 16 modules</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 xml:space="preserve">market for battery cell, lithium-oxygen, including end-of-life treatment</t>
        </is>
      </c>
      <c r="B143" s="3">
        <f>2.875590551181102</f>
        <v>2.875590551181102</v>
      </c>
      <c r="C143" t="s">
        <v>7</v>
      </c>
      <c r="D143" t="inlineStr">
        <is>
          <t>GLO</t>
        </is>
      </c>
      <c r="E143" t="s">
        <v>14</v>
      </c>
      <c r="F143" t="inlineStr">
        <is>
          <t xml:space="preserve">battery cell, Li-ion, Li-O2, including end-of-life treatment</t>
        </is>
      </c>
      <c r="G143">
        <v>5</v>
      </c>
      <c r="H143" s="7">
        <f>2.875590551181102</f>
        <v>2.875590551181102</v>
      </c>
      <c r="I143" s="7">
        <f>2.1566929133858266</f>
        <v>2.1566929133858266</v>
      </c>
      <c r="J143" s="7">
        <f>3.5944881889763773</f>
        <v>3.5944881889763773</v>
      </c>
    </row>
    <row r="144" spans="1:14" ns3:dyDescent="0.2">
      <c r="A144" t="inlineStr">
        <is>
          <t xml:space="preserve">battery pack component production and end-of-life treatment, lithium-oxygen, without cells and controls</t>
        </is>
      </c>
      <c r="B144" s="3">
        <f>1</f>
        <v>1</v>
      </c>
      <c r="C144" t="inlineStr">
        <is>
          <t xml:space="preserve">kilowatt hour</t>
        </is>
      </c>
      <c r="D144" t="inlineStr">
        <is>
          <t>GLO</t>
        </is>
      </c>
      <c r="E144" t="s">
        <v>14</v>
      </c>
      <c r="F144" t="inlineStr">
        <is>
          <t xml:space="preserve">battery pack component provision, Li-ion, Li-O2, without cells and controls</t>
        </is>
      </c>
      <c r="G144">
        <v>0</v>
      </c>
      <c r="H144" s="7">
        <f>1</f>
        <v>1</v>
      </c>
      <c r="I144" s="7">
        <f>1</f>
        <v>1</v>
      </c>
      <c r="J144" s="7">
        <f>1</f>
        <v>1</v>
      </c>
      <c r="K144" t="inlineStr">
        <is>
          <t/>
        </is>
      </c>
      <c r="M144" s="7"/>
      <c r="N144" s="7"/>
    </row>
    <row r="145">
      <c r="A145" t="inlineStr">
        <is>
          <t xml:space="preserve">battery auxiliaries supply and end-of-life treatment, lithium-oxygen</t>
        </is>
      </c>
      <c r="B145">
        <v>0.015748031496062992</v>
      </c>
      <c r="C145" t="inlineStr">
        <is>
          <t>unit</t>
        </is>
      </c>
      <c r="D145" t="inlineStr">
        <is>
          <t>GLO</t>
        </is>
      </c>
      <c r="E145" t="inlineStr">
        <is>
          <t>technosphere</t>
        </is>
      </c>
      <c r="F145" t="inlineStr">
        <is>
          <t xml:space="preserve">battery auxiliaries supply and end-of-life treatment, lithium-oxygen</t>
        </is>
      </c>
      <c r="L145" t="inlineStr">
        <is>
          <t>Fixed88.07kg auxiliary hardware plus matching dedicated end-of-life.</t>
        </is>
      </c>
    </row>
    <row r="146" spans="1:14" ht="16" ns3:dyDescent="0.2">
      <c r="A146" s="2" t="s">
        <v>0</v>
      </c>
      <c r="B146" s="2" t="s">
        <v>38</v>
      </c>
    </row>
    <row r="147" spans="1:14" ns3:dyDescent="0.2">
      <c r="A147" t="s">
        <v>1</v>
      </c>
      <c r="B14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inlineStr">
        <is>
          <t xml:space="preserve">market for battery cell, sodium-ion, including end-of-life treatment</t>
        </is>
      </c>
      <c r="B156" s="3">
        <f>6.369426751592357</f>
        <v>6.369426751592357</v>
      </c>
      <c r="C156" t="s">
        <v>7</v>
      </c>
      <c r="D156" t="inlineStr">
        <is>
          <t>GLO</t>
        </is>
      </c>
      <c r="E156" t="s">
        <v>14</v>
      </c>
      <c r="F156" t="inlineStr">
        <is>
          <t xml:space="preserve">battery cell, Sodium-ion, SiB, including end-of-life treatment</t>
        </is>
      </c>
      <c r="G156">
        <v>5</v>
      </c>
      <c r="H156" s="7">
        <f>6.369426751592357</f>
        <v>6.369426751592357</v>
      </c>
      <c r="I156" s="3">
        <f>5.555555555555555</f>
        <v>5.555555555555555</v>
      </c>
      <c r="J156" s="3">
        <f>8.333333333333334</f>
        <v>8.333333333333334</v>
      </c>
    </row>
    <row r="157" spans="1:14" ns3:dyDescent="0.2">
      <c r="A157" t="inlineStr">
        <is>
          <t xml:space="preserve">battery pack component production and end-of-life treatment, sodium-ion, without cells and controls</t>
        </is>
      </c>
      <c r="B157" s="3">
        <f>1</f>
        <v>1</v>
      </c>
      <c r="C157" t="inlineStr">
        <is>
          <t xml:space="preserve">kilowatt hour</t>
        </is>
      </c>
      <c r="D157" t="inlineStr">
        <is>
          <t>GLO</t>
        </is>
      </c>
      <c r="E157" t="s">
        <v>14</v>
      </c>
      <c r="F157" t="inlineStr">
        <is>
          <t xml:space="preserve">battery pack component provision, Sodium-ion, SiB, without cells and controls</t>
        </is>
      </c>
      <c r="G157">
        <v>0</v>
      </c>
      <c r="H157" s="7">
        <f>1</f>
        <v>1</v>
      </c>
      <c r="I157" s="3">
        <f>1</f>
        <v>1</v>
      </c>
      <c r="J157" s="3">
        <f>1</f>
        <v>1</v>
      </c>
      <c r="K157" t="inlineStr">
        <is>
          <t/>
        </is>
      </c>
      <c r="M157" s="3"/>
      <c r="N157" s="3"/>
    </row>
    <row r="158">
      <c r="A158" t="inlineStr">
        <is>
          <t xml:space="preserve">battery control and cooling system production, 16 modules</t>
        </is>
      </c>
      <c r="B158">
        <v>0.02121105988781555</v>
      </c>
      <c r="C158" t="inlineStr">
        <is>
          <t>unit</t>
        </is>
      </c>
      <c r="D158" t="inlineStr">
        <is>
          <t>GLO</t>
        </is>
      </c>
      <c r="E158" t="inlineStr">
        <is>
          <t>technosphere</t>
        </is>
      </c>
      <c r="F158" t="inlineStr">
        <is>
          <t xml:space="preserve">battery control and cooling system, 16 modules</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 xml:space="preserve">market for electricity storage capacity, battery, high power, fuel cell passenger car</t>
        </is>
      </c>
    </row>
    <row r="270">
      <c r="A270" t="inlineStr">
        <is>
          <t>location</t>
        </is>
      </c>
      <c r="B270" t="inlineStr">
        <is>
          <t>GLO</t>
        </is>
      </c>
    </row>
    <row r="271">
      <c r="A271" t="inlineStr">
        <is>
          <t>production amount</t>
        </is>
      </c>
      <c r="B271">
        <v>1</v>
      </c>
    </row>
    <row r="272">
      <c r="A272" t="inlineStr">
        <is>
          <t>reference product</t>
        </is>
      </c>
      <c r="B272" t="inlineStr">
        <is>
          <t xml:space="preserve">electricity storage capacity, high power, fuel cell passenger car</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 xml:space="preserve">Nomenclature revision, 2026-10-19. Former activity name: high-power battery capacity, FCEV car, engineering reference. Former reference product: high-power battery capacity, FCEV car,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 xml:space="preserve">type</t>
        </is>
      </c>
      <c r="B276" t="inlineStr">
        <is>
          <t xml:space="preserve">processwithreferenceproduct</t>
        </is>
      </c>
    </row>
    <row r="277">
      <c r="A277" t="inlineStr">
        <is>
          <t>Exchanges</t>
        </is>
      </c>
    </row>
    <row r="278">
      <c r="A278" t="inlineStr">
        <is>
          <t>name</t>
        </is>
      </c>
      <c r="B278" t="inlineStr">
        <is>
          <t>amount</t>
        </is>
      </c>
      <c r="C278" t="inlineStr">
        <is>
          <t>location</t>
        </is>
      </c>
      <c r="D278" t="inlineStr">
        <is>
          <t>unit</t>
        </is>
      </c>
      <c r="E278" t="inlineStr">
        <is>
          <t>categories</t>
        </is>
      </c>
      <c r="F278" t="inlineStr">
        <is>
          <t>type</t>
        </is>
      </c>
      <c r="G278" t="inlineStr">
        <is>
          <t>reference product</t>
        </is>
      </c>
      <c r="H278" t="inlineStr">
        <is>
          <t>comment</t>
        </is>
      </c>
    </row>
    <row r="279">
      <c r="A279" t="inlineStr">
        <is>
          <t xml:space="preserve">market for electricity storage capacity, battery, high power, fuel cell passenger car</t>
        </is>
      </c>
      <c r="B279">
        <v>1</v>
      </c>
      <c r="C279" t="inlineStr">
        <is>
          <t>GLO</t>
        </is>
      </c>
      <c r="D279" t="inlineStr">
        <is>
          <t>kilowatt hour</t>
        </is>
      </c>
      <c r="F279" t="inlineStr">
        <is>
          <t>production</t>
        </is>
      </c>
      <c r="G279" t="inlineStr">
        <is>
          <t xml:space="preserve">electricity storage capacity, high power, fuel cell passenger car</t>
        </is>
      </c>
    </row>
    <row r="280">
      <c r="A280" t="inlineStr">
        <is>
          <t>market for battery cell, Li-ion, NMC622</t>
        </is>
      </c>
      <c r="B280">
        <v>25.11261261261261</v>
      </c>
      <c r="C280" t="inlineStr">
        <is>
          <t>GLO</t>
        </is>
      </c>
      <c r="D280" t="inlineStr">
        <is>
          <t>kilogram</t>
        </is>
      </c>
      <c r="F280" t="inlineStr">
        <is>
          <t>technosphere</t>
        </is>
      </c>
      <c r="G280" t="inlineStr">
        <is>
          <t>battery cell, Li-ion, NMC622</t>
        </is>
      </c>
    </row>
    <row r="281">
      <c r="A281" t="inlineStr">
        <is>
          <t xml:space="preserve">battery central control and protection unit production</t>
        </is>
      </c>
      <c r="B281">
        <v>0.8043758043758044</v>
      </c>
      <c r="C281" t="inlineStr">
        <is>
          <t>GLO</t>
        </is>
      </c>
      <c r="D281" t="inlineStr">
        <is>
          <t>unit</t>
        </is>
      </c>
      <c r="F281" t="inlineStr">
        <is>
          <t>technosphere</t>
        </is>
      </c>
      <c r="G281" t="inlineStr">
        <is>
          <t xml:space="preserve">battery central control and protection unit</t>
        </is>
      </c>
    </row>
    <row r="282">
      <c r="A282" t="inlineStr">
        <is>
          <t>market for copper, cathode</t>
        </is>
      </c>
      <c r="B282">
        <v>0.12078060465157239</v>
      </c>
      <c r="C282" t="inlineStr">
        <is>
          <t>GLO</t>
        </is>
      </c>
      <c r="D282" t="inlineStr">
        <is>
          <t>kilogram</t>
        </is>
      </c>
      <c r="F282" t="inlineStr">
        <is>
          <t>technosphere</t>
        </is>
      </c>
      <c r="G282" t="inlineStr">
        <is>
          <t>copper, cathode</t>
        </is>
      </c>
    </row>
    <row r="283">
      <c r="A283" t="inlineStr">
        <is>
          <t>metal working, average for copper product manufacturing</t>
        </is>
      </c>
      <c r="B283">
        <v>0.12078060465157239</v>
      </c>
      <c r="C283" t="inlineStr">
        <is>
          <t>RER</t>
        </is>
      </c>
      <c r="D283" t="inlineStr">
        <is>
          <t>kilogram</t>
        </is>
      </c>
      <c r="F283" t="inlineStr">
        <is>
          <t>technosphere</t>
        </is>
      </c>
      <c r="G283" t="inlineStr">
        <is>
          <t>metal working, average for copper product manufacturing</t>
        </is>
      </c>
    </row>
    <row r="284">
      <c r="A284" t="inlineStr">
        <is>
          <t>market for aluminium, wrought alloy</t>
        </is>
      </c>
      <c r="B284">
        <v>6.566284025961444</v>
      </c>
      <c r="C284" t="inlineStr">
        <is>
          <t>GLO</t>
        </is>
      </c>
      <c r="D284" t="inlineStr">
        <is>
          <t>kilogram</t>
        </is>
      </c>
      <c r="F284" t="inlineStr">
        <is>
          <t>technosphere</t>
        </is>
      </c>
      <c r="G284" t="inlineStr">
        <is>
          <t>aluminium, wrought alloy</t>
        </is>
      </c>
    </row>
    <row r="285">
      <c r="A285" t="inlineStr">
        <is>
          <t>metal working, average for aluminium product manufacturing</t>
        </is>
      </c>
      <c r="B285">
        <v>6.566284025961444</v>
      </c>
      <c r="C285" t="inlineStr">
        <is>
          <t>RER</t>
        </is>
      </c>
      <c r="D285" t="inlineStr">
        <is>
          <t>kilogram</t>
        </is>
      </c>
      <c r="F285" t="inlineStr">
        <is>
          <t>technosphere</t>
        </is>
      </c>
      <c r="G285" t="inlineStr">
        <is>
          <t>metal working, average for aluminium product manufacturing</t>
        </is>
      </c>
    </row>
    <row r="286">
      <c r="A286" t="inlineStr">
        <is>
          <t>market for polyethylene, high density, granulate</t>
        </is>
      </c>
      <c r="B286">
        <v>0.19742983452660873</v>
      </c>
      <c r="C286" t="inlineStr">
        <is>
          <t>GLO</t>
        </is>
      </c>
      <c r="D286" t="inlineStr">
        <is>
          <t>kilogram</t>
        </is>
      </c>
      <c r="F286" t="inlineStr">
        <is>
          <t>technosphere</t>
        </is>
      </c>
      <c r="G286" t="inlineStr">
        <is>
          <t>polyethylene, high density, granulate</t>
        </is>
      </c>
    </row>
    <row r="287">
      <c r="A287" t="inlineStr">
        <is>
          <t>market for glass fibre reinforced plastic, polyester resin, hand lay-up</t>
        </is>
      </c>
      <c r="B287">
        <v>0.025549743291678775</v>
      </c>
      <c r="C287" t="inlineStr">
        <is>
          <t>GLO</t>
        </is>
      </c>
      <c r="D287" t="inlineStr">
        <is>
          <t>kilogram</t>
        </is>
      </c>
      <c r="F287" t="inlineStr">
        <is>
          <t>technosphere</t>
        </is>
      </c>
      <c r="G287" t="inlineStr">
        <is>
          <t>glass fibre reinforced plastic, polyester resin, hand lay-up</t>
        </is>
      </c>
    </row>
    <row r="288">
      <c r="A288" t="inlineStr">
        <is>
          <t>market for steel, low-alloyed</t>
        </is>
      </c>
      <c r="B288">
        <v>0.21833416994707314</v>
      </c>
      <c r="C288" t="inlineStr">
        <is>
          <t>GLO</t>
        </is>
      </c>
      <c r="D288" t="inlineStr">
        <is>
          <t>kilogram</t>
        </is>
      </c>
      <c r="F288" t="inlineStr">
        <is>
          <t>technosphere</t>
        </is>
      </c>
      <c r="G288" t="inlineStr">
        <is>
          <t>steel, low-alloyed</t>
        </is>
      </c>
    </row>
    <row r="289">
      <c r="A289" t="inlineStr">
        <is>
          <t>metal working, average for steel product manufacturing</t>
        </is>
      </c>
      <c r="B289">
        <v>0.21833416994707314</v>
      </c>
      <c r="C289" t="inlineStr">
        <is>
          <t>RER</t>
        </is>
      </c>
      <c r="D289" t="inlineStr">
        <is>
          <t>kilogram</t>
        </is>
      </c>
      <c r="F289" t="inlineStr">
        <is>
          <t>technosphere</t>
        </is>
      </c>
      <c r="G289" t="inlineStr">
        <is>
          <t>metal working, average for steel product manufacturing</t>
        </is>
      </c>
    </row>
    <row r="290">
      <c r="A290" t="inlineStr">
        <is>
          <t>market for used Li-ion battery</t>
        </is>
      </c>
      <c r="B290">
        <v>-35.87516087516087</v>
      </c>
      <c r="C290" t="inlineStr">
        <is>
          <t>GLO</t>
        </is>
      </c>
      <c r="D290" t="inlineStr">
        <is>
          <t>kilogram</t>
        </is>
      </c>
      <c r="F290" t="inlineStr">
        <is>
          <t>technosphere</t>
        </is>
      </c>
      <c r="G290" t="inlineStr">
        <is>
          <t>used Li-ion battery</t>
        </is>
      </c>
    </row>
    <row r="293">
      <c r="A293" t="inlineStr">
        <is>
          <t>Activity</t>
        </is>
      </c>
      <c r="B293" t="inlineStr">
        <is>
          <t xml:space="preserve">market for electricity storage capacity, battery, high power, fuel cell truck</t>
        </is>
      </c>
    </row>
    <row r="294">
      <c r="A294" t="inlineStr">
        <is>
          <t>location</t>
        </is>
      </c>
      <c r="B294" t="inlineStr">
        <is>
          <t>GLO</t>
        </is>
      </c>
    </row>
    <row r="295">
      <c r="A295" t="inlineStr">
        <is>
          <t>production amount</t>
        </is>
      </c>
      <c r="B295">
        <v>1</v>
      </c>
    </row>
    <row r="296">
      <c r="A296" t="inlineStr">
        <is>
          <t>reference product</t>
        </is>
      </c>
      <c r="B296" t="inlineStr">
        <is>
          <t xml:space="preserve">electricity storage capacity, high power, fuel cell truck</t>
        </is>
      </c>
    </row>
    <row r="297">
      <c r="A297" t="inlineStr">
        <is>
          <t>unit</t>
        </is>
      </c>
      <c r="B297" t="inlineStr">
        <is>
          <t>kilowatt hour</t>
        </is>
      </c>
    </row>
    <row r="298">
      <c r="A298" t="inlineStr">
        <is>
          <t>source</t>
        </is>
      </c>
      <c r="B298"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9">
      <c r="A299" t="inlineStr">
        <is>
          <t>comment</t>
        </is>
      </c>
      <c r="B299" t="inlineStr">
        <is>
          <t xml:space="preserve">Nomenclature revision, 2026-10-19. Former activity name: high-power battery capacity, FCEV truck, engineering reference. Former reference product: high-power battery capacity, FCEV truck, engineering reference. Activity/product labels and supplier references only; coefficients, formulas, uncertainty, declared output and unit are unchanged. Original engineering assumptions, functional-unit basis and limitations remain below.
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300">
      <c r="A300" t="inlineStr">
        <is>
          <t xml:space="preserve">type</t>
        </is>
      </c>
      <c r="B300" t="inlineStr">
        <is>
          <t xml:space="preserve">processwithreferenceproduct</t>
        </is>
      </c>
    </row>
    <row r="301">
      <c r="A301" t="inlineStr">
        <is>
          <t>Exchanges</t>
        </is>
      </c>
    </row>
    <row r="302">
      <c r="A302" t="inlineStr">
        <is>
          <t>name</t>
        </is>
      </c>
      <c r="B302" t="inlineStr">
        <is>
          <t>amount</t>
        </is>
      </c>
      <c r="C302" t="inlineStr">
        <is>
          <t>location</t>
        </is>
      </c>
      <c r="D302" t="inlineStr">
        <is>
          <t>unit</t>
        </is>
      </c>
      <c r="E302" t="inlineStr">
        <is>
          <t>categories</t>
        </is>
      </c>
      <c r="F302" t="inlineStr">
        <is>
          <t>type</t>
        </is>
      </c>
      <c r="G302" t="inlineStr">
        <is>
          <t>reference product</t>
        </is>
      </c>
      <c r="H302" t="inlineStr">
        <is>
          <t>comment</t>
        </is>
      </c>
    </row>
    <row r="303">
      <c r="A303" t="inlineStr">
        <is>
          <t xml:space="preserve">market for electricity storage capacity, battery, high power, fuel cell truck</t>
        </is>
      </c>
      <c r="B303">
        <v>1</v>
      </c>
      <c r="C303" t="inlineStr">
        <is>
          <t>GLO</t>
        </is>
      </c>
      <c r="D303" t="inlineStr">
        <is>
          <t>kilowatt hour</t>
        </is>
      </c>
      <c r="F303" t="inlineStr">
        <is>
          <t>production</t>
        </is>
      </c>
      <c r="G303" t="inlineStr">
        <is>
          <t xml:space="preserve">electricity storage capacity, high power, fuel cell truck</t>
        </is>
      </c>
    </row>
    <row r="304">
      <c r="A304" t="inlineStr">
        <is>
          <t>market for battery cell, Li-ion, NMC622</t>
        </is>
      </c>
      <c r="B304">
        <v>6.664</v>
      </c>
      <c r="C304" t="inlineStr">
        <is>
          <t>GLO</t>
        </is>
      </c>
      <c r="D304" t="inlineStr">
        <is>
          <t>kilogram</t>
        </is>
      </c>
      <c r="F304" t="inlineStr">
        <is>
          <t>technosphere</t>
        </is>
      </c>
      <c r="G304" t="inlineStr">
        <is>
          <t>battery cell, Li-ion, NMC622</t>
        </is>
      </c>
    </row>
    <row r="305">
      <c r="A305" t="inlineStr">
        <is>
          <t xml:space="preserve">battery central control and protection unit production</t>
        </is>
      </c>
      <c r="B305">
        <v>0.04</v>
      </c>
      <c r="C305" t="inlineStr">
        <is>
          <t>GLO</t>
        </is>
      </c>
      <c r="D305" t="inlineStr">
        <is>
          <t>unit</t>
        </is>
      </c>
      <c r="F305" t="inlineStr">
        <is>
          <t>technosphere</t>
        </is>
      </c>
      <c r="G305" t="inlineStr">
        <is>
          <t xml:space="preserve">battery central control and protection unit</t>
        </is>
      </c>
    </row>
    <row r="306">
      <c r="A306" t="inlineStr">
        <is>
          <t>market for copper, cathode</t>
        </is>
      </c>
      <c r="B306">
        <v>0.03689062848050915</v>
      </c>
      <c r="C306" t="inlineStr">
        <is>
          <t>GLO</t>
        </is>
      </c>
      <c r="D306" t="inlineStr">
        <is>
          <t>kilogram</t>
        </is>
      </c>
      <c r="F306" t="inlineStr">
        <is>
          <t>technosphere</t>
        </is>
      </c>
      <c r="G306" t="inlineStr">
        <is>
          <t>copper, cathode</t>
        </is>
      </c>
    </row>
    <row r="307">
      <c r="A307" t="inlineStr">
        <is>
          <t>metal working, average for copper product manufacturing</t>
        </is>
      </c>
      <c r="B307">
        <v>0.03689062848050915</v>
      </c>
      <c r="C307" t="inlineStr">
        <is>
          <t>RER</t>
        </is>
      </c>
      <c r="D307" t="inlineStr">
        <is>
          <t>kilogram</t>
        </is>
      </c>
      <c r="F307" t="inlineStr">
        <is>
          <t>technosphere</t>
        </is>
      </c>
      <c r="G307" t="inlineStr">
        <is>
          <t>metal working, average for copper product manufacturing</t>
        </is>
      </c>
    </row>
    <row r="308">
      <c r="A308" t="inlineStr">
        <is>
          <t>market for aluminium, wrought alloy</t>
        </is>
      </c>
      <c r="B308">
        <v>2.005573206046141</v>
      </c>
      <c r="C308" t="inlineStr">
        <is>
          <t>GLO</t>
        </is>
      </c>
      <c r="D308" t="inlineStr">
        <is>
          <t>kilogram</t>
        </is>
      </c>
      <c r="F308" t="inlineStr">
        <is>
          <t>technosphere</t>
        </is>
      </c>
      <c r="G308" t="inlineStr">
        <is>
          <t>aluminium, wrought alloy</t>
        </is>
      </c>
    </row>
    <row r="309">
      <c r="A309" t="inlineStr">
        <is>
          <t>metal working, average for aluminium product manufacturing</t>
        </is>
      </c>
      <c r="B309">
        <v>2.005573206046141</v>
      </c>
      <c r="C309" t="inlineStr">
        <is>
          <t>RER</t>
        </is>
      </c>
      <c r="D309" t="inlineStr">
        <is>
          <t>kilogram</t>
        </is>
      </c>
      <c r="F309" t="inlineStr">
        <is>
          <t>technosphere</t>
        </is>
      </c>
      <c r="G309" t="inlineStr">
        <is>
          <t>metal working, average for aluminium product manufacturing</t>
        </is>
      </c>
    </row>
    <row r="310">
      <c r="A310" t="inlineStr">
        <is>
          <t>market for polyethylene, high density, granulate</t>
        </is>
      </c>
      <c r="B310">
        <v>0.06030198886237072</v>
      </c>
      <c r="C310" t="inlineStr">
        <is>
          <t>GLO</t>
        </is>
      </c>
      <c r="D310" t="inlineStr">
        <is>
          <t>kilogram</t>
        </is>
      </c>
      <c r="F310" t="inlineStr">
        <is>
          <t>technosphere</t>
        </is>
      </c>
      <c r="G310" t="inlineStr">
        <is>
          <t>polyethylene, high density, granulate</t>
        </is>
      </c>
    </row>
    <row r="311">
      <c r="A311" t="inlineStr">
        <is>
          <t>market for glass fibre reinforced plastic, polyester resin, hand lay-up</t>
        </is>
      </c>
      <c r="B311">
        <v>0.007803786793953858</v>
      </c>
      <c r="C311" t="inlineStr">
        <is>
          <t>GLO</t>
        </is>
      </c>
      <c r="D311" t="inlineStr">
        <is>
          <t>kilogram</t>
        </is>
      </c>
      <c r="F311" t="inlineStr">
        <is>
          <t>technosphere</t>
        </is>
      </c>
      <c r="G311" t="inlineStr">
        <is>
          <t>glass fibre reinforced plastic, polyester resin, hand lay-up</t>
        </is>
      </c>
    </row>
    <row r="312">
      <c r="A312" t="inlineStr">
        <is>
          <t>market for steel, low-alloyed</t>
        </is>
      </c>
      <c r="B312">
        <v>0.06668690533015115</v>
      </c>
      <c r="C312" t="inlineStr">
        <is>
          <t>GLO</t>
        </is>
      </c>
      <c r="D312" t="inlineStr">
        <is>
          <t>kilogram</t>
        </is>
      </c>
      <c r="F312" t="inlineStr">
        <is>
          <t>technosphere</t>
        </is>
      </c>
      <c r="G312" t="inlineStr">
        <is>
          <t>steel, low-alloyed</t>
        </is>
      </c>
    </row>
    <row r="313">
      <c r="A313" t="inlineStr">
        <is>
          <t>metal working, average for steel product manufacturing</t>
        </is>
      </c>
      <c r="B313">
        <v>0.06668690533015115</v>
      </c>
      <c r="C313" t="inlineStr">
        <is>
          <t>RER</t>
        </is>
      </c>
      <c r="D313" t="inlineStr">
        <is>
          <t>kilogram</t>
        </is>
      </c>
      <c r="F313" t="inlineStr">
        <is>
          <t>technosphere</t>
        </is>
      </c>
      <c r="G313" t="inlineStr">
        <is>
          <t>metal working, average for steel product manufacturing</t>
        </is>
      </c>
    </row>
    <row r="314">
      <c r="A314" t="inlineStr">
        <is>
          <t>ethylene glycols production, thermal hydrolysis of ethylene oxide</t>
        </is>
      </c>
      <c r="B314">
        <v>0.2490117422434367</v>
      </c>
      <c r="C314" t="inlineStr">
        <is>
          <t>RER</t>
        </is>
      </c>
      <c r="D314" t="inlineStr">
        <is>
          <t>kilogram</t>
        </is>
      </c>
      <c r="F314" t="inlineStr">
        <is>
          <t>technosphere</t>
        </is>
      </c>
      <c r="G314" t="inlineStr">
        <is>
          <t>ethylene glycol</t>
        </is>
      </c>
    </row>
    <row r="315">
      <c r="A315" t="inlineStr">
        <is>
          <t>market for water, deionised</t>
        </is>
      </c>
      <c r="B315">
        <v>0.2490117422434367</v>
      </c>
      <c r="C315" t="inlineStr">
        <is>
          <t>RoW</t>
        </is>
      </c>
      <c r="D315" t="inlineStr">
        <is>
          <t>kilogram</t>
        </is>
      </c>
      <c r="F315" t="inlineStr">
        <is>
          <t>technosphere</t>
        </is>
      </c>
      <c r="G315" t="inlineStr">
        <is>
          <t>water, deionised</t>
        </is>
      </c>
    </row>
    <row r="316">
      <c r="A316" t="inlineStr">
        <is>
          <t>market for used Li-ion battery</t>
        </is>
      </c>
      <c r="B316">
        <v>-9.52</v>
      </c>
      <c r="C316" t="inlineStr">
        <is>
          <t>GLO</t>
        </is>
      </c>
      <c r="D316" t="inlineStr">
        <is>
          <t>kilogram</t>
        </is>
      </c>
      <c r="F316" t="inlineStr">
        <is>
          <t>technosphere</t>
        </is>
      </c>
      <c r="G316" t="inlineStr">
        <is>
          <t>used Li-ion battery</t>
        </is>
      </c>
    </row>
    <row r="319">
      <c r="A319" t="inlineStr">
        <is>
          <t>Activity</t>
        </is>
      </c>
      <c r="B319" t="inlineStr">
        <is>
          <t xml:space="preserve">market for electricity storage capacity, battery, lithium-ion, lfp, hydrogen train</t>
        </is>
      </c>
    </row>
    <row r="320">
      <c r="A320" t="inlineStr">
        <is>
          <t>location</t>
        </is>
      </c>
      <c r="B320" t="inlineStr">
        <is>
          <t>GLO</t>
        </is>
      </c>
    </row>
    <row r="321">
      <c r="A321" t="inlineStr">
        <is>
          <t>production amount</t>
        </is>
      </c>
      <c r="B321">
        <v>1</v>
      </c>
    </row>
    <row r="322">
      <c r="A322" t="inlineStr">
        <is>
          <t>reference product</t>
        </is>
      </c>
      <c r="B322" t="inlineStr">
        <is>
          <t xml:space="preserve">electricity storage capacity, Li-ion, LFP, hydrogen train</t>
        </is>
      </c>
    </row>
    <row r="323">
      <c r="A323" t="inlineStr">
        <is>
          <t>unit</t>
        </is>
      </c>
      <c r="B323" t="inlineStr">
        <is>
          <t>kilowatt hour</t>
        </is>
      </c>
    </row>
    <row r="324">
      <c r="A324" t="inlineStr">
        <is>
          <t>source</t>
        </is>
      </c>
      <c r="B324" t="inlineStr">
        <is>
          <t>Knibbe2023 DOI10.1016/j.est.2023.108090,3.6MWhLFP/860kWreference and133Wh/kgpack; Dai2018 public LFP non-cell material proportions https://publications.anl.gov/anlpubs/2018/10/146906.pdf Table8.</t>
        </is>
      </c>
    </row>
    <row r="325">
      <c r="A325" t="inlineStr">
        <is>
          <t>comment</t>
        </is>
      </c>
      <c r="B325" t="inlineStr">
        <is>
          <t xml:space="preserve">Nomenclature revision, 2026-10-19. Former activity name: battery capacity, hydrogen rail, LFP engineering reference. Former reference product: battery capacity, hydrogen rail, LFP engineering reference. Activity/product labels and supplier references only; coefficients, formulas, uncertainty, declared output and unit are unchanged. Original engineering assumptions, functional-unit basis and limitations remain below.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6">
      <c r="A326" t="inlineStr">
        <is>
          <t xml:space="preserve">type</t>
        </is>
      </c>
      <c r="B326" t="inlineStr">
        <is>
          <t xml:space="preserve">processwithreferenceproduct</t>
        </is>
      </c>
    </row>
    <row r="327">
      <c r="A327" t="inlineStr">
        <is>
          <t>Exchanges</t>
        </is>
      </c>
    </row>
    <row r="328">
      <c r="A328" t="inlineStr">
        <is>
          <t>name</t>
        </is>
      </c>
      <c r="B328" t="inlineStr">
        <is>
          <t>amount</t>
        </is>
      </c>
      <c r="C328" t="inlineStr">
        <is>
          <t>location</t>
        </is>
      </c>
      <c r="D328" t="inlineStr">
        <is>
          <t>unit</t>
        </is>
      </c>
      <c r="E328" t="inlineStr">
        <is>
          <t>categories</t>
        </is>
      </c>
      <c r="F328" t="inlineStr">
        <is>
          <t>type</t>
        </is>
      </c>
      <c r="G328" t="inlineStr">
        <is>
          <t>reference product</t>
        </is>
      </c>
      <c r="H328" t="inlineStr">
        <is>
          <t>comment</t>
        </is>
      </c>
      <c r="I328" t="inlineStr">
        <is>
          <t>product</t>
        </is>
      </c>
    </row>
    <row r="329">
      <c r="A329" t="inlineStr">
        <is>
          <t xml:space="preserve">market for electricity storage capacity, battery, lithium-ion, lfp, hydrogen train</t>
        </is>
      </c>
      <c r="B329">
        <v>1</v>
      </c>
      <c r="C329" t="inlineStr">
        <is>
          <t>GLO</t>
        </is>
      </c>
      <c r="D329" t="inlineStr">
        <is>
          <t>kilowatt hour</t>
        </is>
      </c>
      <c r="F329" t="inlineStr">
        <is>
          <t>production</t>
        </is>
      </c>
      <c r="G329" t="inlineStr">
        <is>
          <t xml:space="preserve">electricity storage capacity, Li-ion, LFP, hydrogen train</t>
        </is>
      </c>
      <c r="I329" t="inlineStr">
        <is>
          <t xml:space="preserve">electricity storage capacity, Li-ion, LFP, hydrogen train</t>
        </is>
      </c>
    </row>
    <row r="330">
      <c r="A330" t="inlineStr">
        <is>
          <t>market for battery cell, Li-ion, LFP</t>
        </is>
      </c>
      <c r="B330">
        <v>6.25</v>
      </c>
      <c r="C330" t="inlineStr">
        <is>
          <t>GLO</t>
        </is>
      </c>
      <c r="D330" t="inlineStr">
        <is>
          <t>kilogram</t>
        </is>
      </c>
      <c r="F330" t="inlineStr">
        <is>
          <t>technosphere</t>
        </is>
      </c>
      <c r="G330" t="inlineStr">
        <is>
          <t>battery cell, Li-ion, LFP</t>
        </is>
      </c>
      <c r="I330" t="inlineStr">
        <is>
          <t>battery cell, Li-ion, LFP</t>
        </is>
      </c>
    </row>
    <row r="331">
      <c r="A331" t="inlineStr">
        <is>
          <t xml:space="preserve">battery monitoring and central control system production, lithium-ion, lfp</t>
        </is>
      </c>
      <c r="B331">
        <v>0.01</v>
      </c>
      <c r="C331" t="inlineStr">
        <is>
          <t>GLO</t>
        </is>
      </c>
      <c r="D331" t="inlineStr">
        <is>
          <t>unit</t>
        </is>
      </c>
      <c r="F331" t="inlineStr">
        <is>
          <t>technosphere</t>
        </is>
      </c>
      <c r="G331" t="inlineStr">
        <is>
          <t xml:space="preserve">battery monitoring and central control system, Li-ion, LFP</t>
        </is>
      </c>
      <c r="I331" t="inlineStr">
        <is>
          <t xml:space="preserve">battery monitoring and central control system, Li-ion, LFP</t>
        </is>
      </c>
    </row>
    <row r="332">
      <c r="A332" t="inlineStr">
        <is>
          <t>market for copper, cathode</t>
        </is>
      </c>
      <c r="B332">
        <v>0.01512710646109896</v>
      </c>
      <c r="C332" t="inlineStr">
        <is>
          <t>GLO</t>
        </is>
      </c>
      <c r="D332" t="inlineStr">
        <is>
          <t>kilogram</t>
        </is>
      </c>
      <c r="F332" t="inlineStr">
        <is>
          <t>technosphere</t>
        </is>
      </c>
      <c r="G332" t="inlineStr">
        <is>
          <t>copper, cathode</t>
        </is>
      </c>
      <c r="I332" t="inlineStr">
        <is>
          <t>copper, cathode</t>
        </is>
      </c>
    </row>
    <row r="333">
      <c r="A333" t="inlineStr">
        <is>
          <t>metal working, average for copper product manufacturing</t>
        </is>
      </c>
      <c r="B333">
        <v>0.01512710646109896</v>
      </c>
      <c r="C333" t="inlineStr">
        <is>
          <t>RER</t>
        </is>
      </c>
      <c r="D333" t="inlineStr">
        <is>
          <t>kilogram</t>
        </is>
      </c>
      <c r="F333" t="inlineStr">
        <is>
          <t>technosphere</t>
        </is>
      </c>
      <c r="G333" t="inlineStr">
        <is>
          <t>metal working, average for copper product manufacturing</t>
        </is>
      </c>
      <c r="I333" t="inlineStr">
        <is>
          <t>metal working, average for copper product manufacturing</t>
        </is>
      </c>
    </row>
    <row r="334">
      <c r="A334" t="inlineStr">
        <is>
          <t>market for aluminium, wrought alloy</t>
        </is>
      </c>
      <c r="B334">
        <v>0.8717605062178482</v>
      </c>
      <c r="C334" t="inlineStr">
        <is>
          <t>GLO</t>
        </is>
      </c>
      <c r="D334" t="inlineStr">
        <is>
          <t>kilogram</t>
        </is>
      </c>
      <c r="F334" t="inlineStr">
        <is>
          <t>technosphere</t>
        </is>
      </c>
      <c r="G334" t="inlineStr">
        <is>
          <t>aluminium, wrought alloy</t>
        </is>
      </c>
      <c r="I334" t="inlineStr">
        <is>
          <t>aluminium, wrought alloy</t>
        </is>
      </c>
    </row>
    <row r="335">
      <c r="A335" t="inlineStr">
        <is>
          <t>metal working, average for aluminium product manufacturing</t>
        </is>
      </c>
      <c r="B335">
        <v>0.8717605062178482</v>
      </c>
      <c r="C335" t="inlineStr">
        <is>
          <t>RER</t>
        </is>
      </c>
      <c r="D335" t="inlineStr">
        <is>
          <t>kilogram</t>
        </is>
      </c>
      <c r="F335" t="inlineStr">
        <is>
          <t>technosphere</t>
        </is>
      </c>
      <c r="G335" t="inlineStr">
        <is>
          <t>metal working, average for aluminium product manufacturing</t>
        </is>
      </c>
      <c r="I335" t="inlineStr">
        <is>
          <t>metal working, average for aluminium product manufacturing</t>
        </is>
      </c>
    </row>
    <row r="336">
      <c r="A336" t="inlineStr">
        <is>
          <t>market for polyethylene, high density, granulate</t>
        </is>
      </c>
      <c r="B336">
        <v>0.02439855880822413</v>
      </c>
      <c r="C336" t="inlineStr">
        <is>
          <t>GLO</t>
        </is>
      </c>
      <c r="D336" t="inlineStr">
        <is>
          <t>kilogram</t>
        </is>
      </c>
      <c r="F336" t="inlineStr">
        <is>
          <t>technosphere</t>
        </is>
      </c>
      <c r="G336" t="inlineStr">
        <is>
          <t>polyethylene, high density, granulate</t>
        </is>
      </c>
      <c r="I336" t="inlineStr">
        <is>
          <t>polyethylene, high density, granulate</t>
        </is>
      </c>
    </row>
    <row r="337">
      <c r="A337" t="inlineStr">
        <is>
          <t>market for glass fibre reinforced plastic, polyester resin, hand lay-up</t>
        </is>
      </c>
      <c r="B337">
        <v>0.003171812645069137</v>
      </c>
      <c r="C337" t="inlineStr">
        <is>
          <t>GLO</t>
        </is>
      </c>
      <c r="D337" t="inlineStr">
        <is>
          <t>kilogram</t>
        </is>
      </c>
      <c r="F337" t="inlineStr">
        <is>
          <t>technosphere</t>
        </is>
      </c>
      <c r="G337" t="inlineStr">
        <is>
          <t>glass fibre reinforced plastic, polyester resin, hand lay-up</t>
        </is>
      </c>
      <c r="I337" t="inlineStr">
        <is>
          <t>glass fibre reinforced plastic, polyester resin, hand lay-up</t>
        </is>
      </c>
    </row>
    <row r="338">
      <c r="A338" t="inlineStr">
        <is>
          <t>market for steel, low-alloyed</t>
        </is>
      </c>
      <c r="B338">
        <v>0.03513392468384275</v>
      </c>
      <c r="C338" t="inlineStr">
        <is>
          <t>GLO</t>
        </is>
      </c>
      <c r="D338" t="inlineStr">
        <is>
          <t>kilogram</t>
        </is>
      </c>
      <c r="F338" t="inlineStr">
        <is>
          <t>technosphere</t>
        </is>
      </c>
      <c r="G338" t="inlineStr">
        <is>
          <t>steel, low-alloyed</t>
        </is>
      </c>
      <c r="I338" t="inlineStr">
        <is>
          <t>steel, low-alloyed</t>
        </is>
      </c>
    </row>
    <row r="339">
      <c r="A339" t="inlineStr">
        <is>
          <t>metal working, average for steel product manufacturing</t>
        </is>
      </c>
      <c r="B339">
        <v>0.03513392468384275</v>
      </c>
      <c r="C339" t="inlineStr">
        <is>
          <t>RER</t>
        </is>
      </c>
      <c r="D339" t="inlineStr">
        <is>
          <t>kilogram</t>
        </is>
      </c>
      <c r="F339" t="inlineStr">
        <is>
          <t>technosphere</t>
        </is>
      </c>
      <c r="G339" t="inlineStr">
        <is>
          <t>metal working, average for steel product manufacturing</t>
        </is>
      </c>
      <c r="I339" t="inlineStr">
        <is>
          <t>metal working, average for steel product manufacturing</t>
        </is>
      </c>
    </row>
    <row r="340">
      <c r="A340" t="inlineStr">
        <is>
          <t>ethylene glycols production, thermal hydrolysis of ethylene oxide</t>
        </is>
      </c>
      <c r="B340">
        <v>0.12626254183255986</v>
      </c>
      <c r="C340" t="inlineStr">
        <is>
          <t>RER</t>
        </is>
      </c>
      <c r="D340" t="inlineStr">
        <is>
          <t>kilogram</t>
        </is>
      </c>
      <c r="F340" t="inlineStr">
        <is>
          <t>technosphere</t>
        </is>
      </c>
      <c r="G340" t="inlineStr">
        <is>
          <t>ethylene glycol</t>
        </is>
      </c>
      <c r="I340" t="inlineStr">
        <is>
          <t>ethylene glycol</t>
        </is>
      </c>
    </row>
    <row r="341">
      <c r="A341" t="inlineStr">
        <is>
          <t>market for water, deionised</t>
        </is>
      </c>
      <c r="B341">
        <v>0.12626254183255986</v>
      </c>
      <c r="C341" t="inlineStr">
        <is>
          <t>RoW</t>
        </is>
      </c>
      <c r="D341" t="inlineStr">
        <is>
          <t>kilogram</t>
        </is>
      </c>
      <c r="F341" t="inlineStr">
        <is>
          <t>technosphere</t>
        </is>
      </c>
      <c r="G341" t="inlineStr">
        <is>
          <t>water, deionised</t>
        </is>
      </c>
      <c r="I341" t="inlineStr">
        <is>
          <t>water, deionised</t>
        </is>
      </c>
    </row>
    <row r="342">
      <c r="A342" t="inlineStr">
        <is>
          <t>market for used Li-ion battery</t>
        </is>
      </c>
      <c r="B342">
        <v>-7.452116992481203</v>
      </c>
      <c r="C342" t="inlineStr">
        <is>
          <t>GLO</t>
        </is>
      </c>
      <c r="D342" t="inlineStr">
        <is>
          <t>kilogram</t>
        </is>
      </c>
      <c r="F342" t="inlineStr">
        <is>
          <t>technosphere</t>
        </is>
      </c>
      <c r="G342" t="inlineStr">
        <is>
          <t>used Li-ion battery</t>
        </is>
      </c>
      <c r="I342" t="inlineStr">
        <is>
          <t>used Li-ion battery</t>
        </is>
      </c>
    </row>
    <row r="345">
      <c r="A345" t="inlineStr">
        <is>
          <t>Activity</t>
        </is>
      </c>
      <c r="B345" t="inlineStr">
        <is>
          <t xml:space="preserve">battery pack production, lithium-ion, lto, fuel cell bus, without controls</t>
        </is>
      </c>
    </row>
    <row r="346">
      <c r="A346" t="inlineStr">
        <is>
          <t>location</t>
        </is>
      </c>
      <c r="B346" t="inlineStr">
        <is>
          <t>GLO</t>
        </is>
      </c>
    </row>
    <row r="347">
      <c r="A347" t="inlineStr">
        <is>
          <t>production amount</t>
        </is>
      </c>
      <c r="B347">
        <v>1</v>
      </c>
    </row>
    <row r="348">
      <c r="A348" t="inlineStr">
        <is>
          <t>reference product</t>
        </is>
      </c>
      <c r="B348" t="inlineStr">
        <is>
          <t xml:space="preserve">battery pack, Li-ion, LTO, fuel cell bus, without controls</t>
        </is>
      </c>
    </row>
    <row r="349">
      <c r="A349" t="inlineStr">
        <is>
          <t>unit</t>
        </is>
      </c>
      <c r="B349" t="inlineStr">
        <is>
          <t>unit</t>
        </is>
      </c>
    </row>
    <row r="350">
      <c r="A350" t="inlineStr">
        <is>
          <t>source</t>
        </is>
      </c>
      <c r="B350"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51">
      <c r="A351" t="inlineStr">
        <is>
          <t>comment</t>
        </is>
      </c>
      <c r="B351" t="inlineStr">
        <is>
          <t xml:space="preserve">Nomenclature revision, 2026-10-19. Former activity name: battery hardware, fuel-cell bus LTO, engineering reference. Former reference product: battery hardware,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52">
      <c r="A352" t="inlineStr">
        <is>
          <t xml:space="preserve">type</t>
        </is>
      </c>
      <c r="B352" t="inlineStr">
        <is>
          <t xml:space="preserve">processwithreferenceproduct</t>
        </is>
      </c>
    </row>
    <row r="353">
      <c r="A353" t="inlineStr">
        <is>
          <t>Exchanges</t>
        </is>
      </c>
    </row>
    <row r="354">
      <c r="A354" t="inlineStr">
        <is>
          <t>name</t>
        </is>
      </c>
      <c r="B354" t="inlineStr">
        <is>
          <t>amount</t>
        </is>
      </c>
      <c r="C354" t="inlineStr">
        <is>
          <t>location</t>
        </is>
      </c>
      <c r="D354" t="inlineStr">
        <is>
          <t>unit</t>
        </is>
      </c>
      <c r="E354" t="inlineStr">
        <is>
          <t>categories</t>
        </is>
      </c>
      <c r="F354" t="inlineStr">
        <is>
          <t>type</t>
        </is>
      </c>
      <c r="G354" t="inlineStr">
        <is>
          <t>reference product</t>
        </is>
      </c>
      <c r="H354" t="inlineStr">
        <is>
          <t>comment</t>
        </is>
      </c>
      <c r="I354" t="inlineStr">
        <is>
          <t>product</t>
        </is>
      </c>
    </row>
    <row r="355">
      <c r="A355" t="inlineStr">
        <is>
          <t xml:space="preserve">battery pack production, lithium-ion, lto, fuel cell bus, without controls</t>
        </is>
      </c>
      <c r="B355">
        <v>1</v>
      </c>
      <c r="C355" t="inlineStr">
        <is>
          <t>GLO</t>
        </is>
      </c>
      <c r="D355" t="inlineStr">
        <is>
          <t>unit</t>
        </is>
      </c>
      <c r="F355" t="inlineStr">
        <is>
          <t>production</t>
        </is>
      </c>
      <c r="G355" t="inlineStr">
        <is>
          <t xml:space="preserve">battery pack, Li-ion, LTO, fuel cell bus, without controls</t>
        </is>
      </c>
      <c r="I355" t="inlineStr">
        <is>
          <t xml:space="preserve">battery pack, Li-ion, LTO, fuel cell bus, without controls</t>
        </is>
      </c>
    </row>
    <row r="356">
      <c r="A356" t="inlineStr">
        <is>
          <t>battery cell production, Li-ion, LTO</t>
        </is>
      </c>
      <c r="B356">
        <v>182.5</v>
      </c>
      <c r="C356" t="inlineStr">
        <is>
          <t>GLO</t>
        </is>
      </c>
      <c r="D356" t="inlineStr">
        <is>
          <t>kilogram</t>
        </is>
      </c>
      <c r="F356" t="inlineStr">
        <is>
          <t>technosphere</t>
        </is>
      </c>
      <c r="G356" t="inlineStr">
        <is>
          <t>battery cell, Li-ion, LTO</t>
        </is>
      </c>
      <c r="I356" t="inlineStr">
        <is>
          <t>battery cell, Li-ion, LTO</t>
        </is>
      </c>
    </row>
    <row r="357">
      <c r="A357" t="inlineStr">
        <is>
          <t>market for aluminium, wrought alloy</t>
        </is>
      </c>
      <c r="B357">
        <v>35.481</v>
      </c>
      <c r="C357" t="inlineStr">
        <is>
          <t>GLO</t>
        </is>
      </c>
      <c r="D357" t="inlineStr">
        <is>
          <t>kilogram</t>
        </is>
      </c>
      <c r="F357" t="inlineStr">
        <is>
          <t>technosphere</t>
        </is>
      </c>
      <c r="G357" t="inlineStr">
        <is>
          <t>aluminium, wrought alloy</t>
        </is>
      </c>
      <c r="I357" t="inlineStr">
        <is>
          <t>aluminium, wrought alloy</t>
        </is>
      </c>
    </row>
    <row r="358">
      <c r="A358" t="inlineStr">
        <is>
          <t>market for copper, cathode</t>
        </is>
      </c>
      <c r="B358">
        <v>10.6443</v>
      </c>
      <c r="C358" t="inlineStr">
        <is>
          <t>GLO</t>
        </is>
      </c>
      <c r="D358" t="inlineStr">
        <is>
          <t>kilogram</t>
        </is>
      </c>
      <c r="F358" t="inlineStr">
        <is>
          <t>technosphere</t>
        </is>
      </c>
      <c r="G358" t="inlineStr">
        <is>
          <t>copper, cathode</t>
        </is>
      </c>
      <c r="I358" t="inlineStr">
        <is>
          <t>copper, cathode</t>
        </is>
      </c>
    </row>
    <row r="359">
      <c r="A359" t="inlineStr">
        <is>
          <t>market for steel, low-alloyed</t>
        </is>
      </c>
      <c r="B359">
        <v>7.0962000000000005</v>
      </c>
      <c r="C359" t="inlineStr">
        <is>
          <t>GLO</t>
        </is>
      </c>
      <c r="D359" t="inlineStr">
        <is>
          <t>kilogram</t>
        </is>
      </c>
      <c r="F359" t="inlineStr">
        <is>
          <t>technosphere</t>
        </is>
      </c>
      <c r="G359" t="inlineStr">
        <is>
          <t>steel, low-alloyed</t>
        </is>
      </c>
      <c r="I359" t="inlineStr">
        <is>
          <t>steel, low-alloyed</t>
        </is>
      </c>
    </row>
    <row r="360">
      <c r="A360" t="inlineStr">
        <is>
          <t>market for nylon 6</t>
        </is>
      </c>
      <c r="B360">
        <v>7.0962000000000005</v>
      </c>
      <c r="C360" t="inlineStr">
        <is>
          <t>RER</t>
        </is>
      </c>
      <c r="D360" t="inlineStr">
        <is>
          <t>kilogram</t>
        </is>
      </c>
      <c r="F360" t="inlineStr">
        <is>
          <t>technosphere</t>
        </is>
      </c>
      <c r="G360" t="inlineStr">
        <is>
          <t>nylon 6</t>
        </is>
      </c>
      <c r="I360" t="inlineStr">
        <is>
          <t>nylon 6</t>
        </is>
      </c>
    </row>
    <row r="361">
      <c r="A361" t="inlineStr">
        <is>
          <t>ethylene glycols production, thermal hydrolysis of ethylene oxide</t>
        </is>
      </c>
      <c r="B361">
        <v>5.32215</v>
      </c>
      <c r="C361" t="inlineStr">
        <is>
          <t>RER</t>
        </is>
      </c>
      <c r="D361" t="inlineStr">
        <is>
          <t>kilogram</t>
        </is>
      </c>
      <c r="F361" t="inlineStr">
        <is>
          <t>technosphere</t>
        </is>
      </c>
      <c r="G361" t="inlineStr">
        <is>
          <t>ethylene glycol</t>
        </is>
      </c>
      <c r="I361" t="inlineStr">
        <is>
          <t>ethylene glycol</t>
        </is>
      </c>
    </row>
    <row r="362">
      <c r="A362" t="inlineStr">
        <is>
          <t>market for water, deionised</t>
        </is>
      </c>
      <c r="B362">
        <v>5.32215</v>
      </c>
      <c r="C362" t="inlineStr">
        <is>
          <t>RoW</t>
        </is>
      </c>
      <c r="D362" t="inlineStr">
        <is>
          <t>kilogram</t>
        </is>
      </c>
      <c r="F362" t="inlineStr">
        <is>
          <t>technosphere</t>
        </is>
      </c>
      <c r="G362" t="inlineStr">
        <is>
          <t>water, deionised</t>
        </is>
      </c>
      <c r="I362" t="inlineStr">
        <is>
          <t>water, deionised</t>
        </is>
      </c>
    </row>
    <row r="363">
      <c r="A363" t="inlineStr">
        <is>
          <t>market group for electricity, medium voltage</t>
        </is>
      </c>
      <c r="B363">
        <v>260</v>
      </c>
      <c r="C363" t="inlineStr">
        <is>
          <t>GLO</t>
        </is>
      </c>
      <c r="D363" t="inlineStr">
        <is>
          <t>kilowatt hour</t>
        </is>
      </c>
      <c r="F363" t="inlineStr">
        <is>
          <t>technosphere</t>
        </is>
      </c>
      <c r="G363" t="inlineStr">
        <is>
          <t>electricity, medium voltage</t>
        </is>
      </c>
      <c r="I363" t="inlineStr">
        <is>
          <t>electricity, medium voltage</t>
        </is>
      </c>
    </row>
    <row r="366">
      <c r="A366" t="inlineStr">
        <is>
          <t>Activity</t>
        </is>
      </c>
      <c r="B366" t="inlineStr">
        <is>
          <t xml:space="preserve">market for electricity storage capacity, battery, lithium-ion, lto, high power, fuel cell bus</t>
        </is>
      </c>
    </row>
    <row r="367">
      <c r="A367" t="inlineStr">
        <is>
          <t>location</t>
        </is>
      </c>
      <c r="B367" t="inlineStr">
        <is>
          <t>GLO</t>
        </is>
      </c>
    </row>
    <row r="368">
      <c r="A368" t="inlineStr">
        <is>
          <t>production amount</t>
        </is>
      </c>
      <c r="B368">
        <v>1</v>
      </c>
    </row>
    <row r="369">
      <c r="A369" t="inlineStr">
        <is>
          <t>reference product</t>
        </is>
      </c>
      <c r="B369" t="inlineStr">
        <is>
          <t xml:space="preserve">electricity storage capacity, Li-ion, LTO, high power, fuel cell bus</t>
        </is>
      </c>
    </row>
    <row r="370">
      <c r="A370" t="inlineStr">
        <is>
          <t>unit</t>
        </is>
      </c>
      <c r="B370" t="inlineStr">
        <is>
          <t>kilowatt hour</t>
        </is>
      </c>
    </row>
    <row r="371">
      <c r="A371" t="inlineStr">
        <is>
          <t>source</t>
        </is>
      </c>
      <c r="B371" t="inlineStr">
        <is>
          <t>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t>
        </is>
      </c>
    </row>
    <row r="372">
      <c r="A372" t="inlineStr">
        <is>
          <t>comment</t>
        </is>
      </c>
      <c r="B372" t="inlineStr">
        <is>
          <t xml:space="preserve">Nomenclature revision, 2026-10-19. Former activity name: high-power battery capacity, fuel-cell bus LTO, engineering reference. Former reference product: high-power battery capacity, fuel-cell bus LTO, engineering reference. Activity/product labels and supplier references only; coefficients, formulas, uncertainty, declared output and unit are unchanged. Original engineering assumptions, functional-unit basis and limitations remain below.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t>
        </is>
      </c>
    </row>
    <row r="373">
      <c r="A373" t="inlineStr">
        <is>
          <t xml:space="preserve">type</t>
        </is>
      </c>
      <c r="B373" t="inlineStr">
        <is>
          <t xml:space="preserve">processwithreferenceproduct</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 xml:space="preserve">market for electricity storage capacity, battery, lithium-ion, lto, high power, fuel cell bus</t>
        </is>
      </c>
      <c r="B376">
        <v>1</v>
      </c>
      <c r="C376" t="inlineStr">
        <is>
          <t>GLO</t>
        </is>
      </c>
      <c r="D376" t="inlineStr">
        <is>
          <t>kilowatt hour</t>
        </is>
      </c>
      <c r="F376" t="inlineStr">
        <is>
          <t>production</t>
        </is>
      </c>
      <c r="G376" t="inlineStr">
        <is>
          <t xml:space="preserve">electricity storage capacity, Li-ion, LTO, high power, fuel cell bus</t>
        </is>
      </c>
      <c r="I376" t="inlineStr">
        <is>
          <t xml:space="preserve">electricity storage capacity, Li-ion, LTO, high power, fuel cell bus</t>
        </is>
      </c>
    </row>
    <row r="377">
      <c r="A377" t="inlineStr">
        <is>
          <t xml:space="preserve">battery pack production, lithium-ion, lto, fuel cell bus, without controls</t>
        </is>
      </c>
      <c r="B377">
        <v>0.0684931506849315</v>
      </c>
      <c r="C377" t="inlineStr">
        <is>
          <t>GLO</t>
        </is>
      </c>
      <c r="D377" t="inlineStr">
        <is>
          <t>unit</t>
        </is>
      </c>
      <c r="F377" t="inlineStr">
        <is>
          <t>technosphere</t>
        </is>
      </c>
      <c r="G377" t="inlineStr">
        <is>
          <t xml:space="preserve">battery pack, Li-ion, LTO, fuel cell bus, without controls</t>
        </is>
      </c>
      <c r="I377" t="inlineStr">
        <is>
          <t xml:space="preserve">battery pack, Li-ion, LTO, fuel cell bus, without controls</t>
        </is>
      </c>
    </row>
    <row r="378">
      <c r="A378" t="inlineStr">
        <is>
          <t xml:space="preserve">battery monitoring and central control system production, lithium-ion, nmc955</t>
        </is>
      </c>
      <c r="B378">
        <v>0.0684931506849315</v>
      </c>
      <c r="C378" t="inlineStr">
        <is>
          <t>GLO</t>
        </is>
      </c>
      <c r="D378" t="inlineStr">
        <is>
          <t>unit</t>
        </is>
      </c>
      <c r="F378" t="inlineStr">
        <is>
          <t>technosphere</t>
        </is>
      </c>
      <c r="G378" t="inlineStr">
        <is>
          <t xml:space="preserve">battery monitoring and central control system, Li-ion, NMC955</t>
        </is>
      </c>
      <c r="I378" t="inlineStr">
        <is>
          <t xml:space="preserve">battery monitoring and central control system, Li-ion, NMC955</t>
        </is>
      </c>
    </row>
    <row r="379">
      <c r="A379" t="inlineStr">
        <is>
          <t>market for used Li-ion battery</t>
        </is>
      </c>
      <c r="B379">
        <v>-17.360410958904108</v>
      </c>
      <c r="C379" t="inlineStr">
        <is>
          <t>GLO</t>
        </is>
      </c>
      <c r="D379" t="inlineStr">
        <is>
          <t>kilogram</t>
        </is>
      </c>
      <c r="F379" t="inlineStr">
        <is>
          <t>technosphere</t>
        </is>
      </c>
      <c r="G379" t="inlineStr">
        <is>
          <t>used Li-ion battery</t>
        </is>
      </c>
      <c r="I379"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 xml:space="preserve">market for battery cell, lithium-ion, lfp, including end-of-life treatment</t>
        </is>
      </c>
      <c r="B11" s="7">
        <f>6.249999999999999</f>
        <v>6.249999999999999</v>
      </c>
      <c r="C11" t="inlineStr">
        <is>
          <t>kilogram</t>
        </is>
      </c>
      <c r="D11" t="inlineStr">
        <is>
          <t>GLO</t>
        </is>
      </c>
      <c r="E11" t="inlineStr">
        <is>
          <t>technosphere</t>
        </is>
      </c>
      <c r="F11" t="inlineStr">
        <is>
          <t xml:space="preserve">battery cell, Li-ion, LFP, including end-of-life treatment</t>
        </is>
      </c>
      <c r="G11">
        <v>5</v>
      </c>
      <c r="H11" s="7">
        <f>6.249999999999999</f>
        <v>6.249999999999999</v>
      </c>
      <c r="I11" s="7">
        <f>5.263157894736842</f>
        <v>5.263157894736842</v>
      </c>
      <c r="J11" s="7">
        <f>7.1428571428571415</f>
        <v>7.1428571428571415</v>
      </c>
    </row>
    <row r="12" spans="1:14" ns3:dyDescent="0.2">
      <c r="A12" t="inlineStr">
        <is>
          <t xml:space="preserve">battery pack component production and end-of-life treatment, lithium-ion, lfp, without cells and controls</t>
        </is>
      </c>
      <c r="B12" s="7">
        <f>1</f>
        <v>1</v>
      </c>
      <c r="C12" t="inlineStr">
        <is>
          <t xml:space="preserve">kilowatt hour</t>
        </is>
      </c>
      <c r="D12" t="inlineStr">
        <is>
          <t>GLO</t>
        </is>
      </c>
      <c r="E12" t="inlineStr">
        <is>
          <t>technosphere</t>
        </is>
      </c>
      <c r="F12" t="inlineStr">
        <is>
          <t xml:space="preserve">battery pack component provision, Li-ion, LFP, without cells and controls</t>
        </is>
      </c>
      <c r="G12">
        <v>0</v>
      </c>
      <c r="H12" s="7">
        <f>1</f>
        <v>1</v>
      </c>
      <c r="I12" s="7">
        <f>1</f>
        <v>1</v>
      </c>
      <c r="J12" s="7">
        <f>1</f>
        <v>1</v>
      </c>
      <c r="K12" t="inlineStr">
        <is>
          <t/>
        </is>
      </c>
      <c r="M12" s="7"/>
      <c r="N12" s="7"/>
    </row>
    <row r="13">
      <c r="A13" t="inlineStr">
        <is>
          <t xml:space="preserve">battery monitoring and central control system production, lithium-ion, lfp</t>
        </is>
      </c>
      <c r="B13">
        <v>0.042349911912183215</v>
      </c>
      <c r="C13" t="inlineStr">
        <is>
          <t>unit</t>
        </is>
      </c>
      <c r="D13" t="inlineStr">
        <is>
          <t>GLO</t>
        </is>
      </c>
      <c r="E13" t="inlineStr">
        <is>
          <t>technosphere</t>
        </is>
      </c>
      <c r="F13" t="inlineStr">
        <is>
          <t xml:space="preserve">battery monitoring and central control system, Li-ion, LFP</t>
        </is>
      </c>
    </row>
    <row r="14" spans="1:14" ht="16" ns3:dyDescent="0.2">
      <c r="A14" s="2" t="s">
        <v>0</v>
      </c>
      <c r="B14" s="2" t="s">
        <v>80</v>
      </c>
    </row>
    <row r="15" spans="1:14" ns3:dyDescent="0.2">
      <c r="A15" t="s">
        <v>1</v>
      </c>
      <c r="B15"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 xml:space="preserve">market for battery cell, lithium-ion, nmc111, including end-of-life treatment</t>
        </is>
      </c>
      <c r="B24" s="3">
        <f>5.555555555555555</f>
        <v>5.555555555555555</v>
      </c>
      <c r="C24" t="inlineStr">
        <is>
          <t>kilogram</t>
        </is>
      </c>
      <c r="D24" t="inlineStr">
        <is>
          <t>GLO</t>
        </is>
      </c>
      <c r="E24" t="inlineStr">
        <is>
          <t>technosphere</t>
        </is>
      </c>
      <c r="F24" t="inlineStr">
        <is>
          <t xml:space="preserve">battery cell, Li-ion, NMC111, including end-of-life treatment</t>
        </is>
      </c>
      <c r="G24">
        <v>5</v>
      </c>
      <c r="H24" s="7">
        <f>5.555555555555555</f>
        <v>5.555555555555555</v>
      </c>
      <c r="I24" s="7">
        <f>5.263157894736842</f>
        <v>5.263157894736842</v>
      </c>
      <c r="J24" s="7">
        <f>7.142857142857141</f>
        <v>7.142857142857141</v>
      </c>
    </row>
    <row r="25" spans="1:14" ns3:dyDescent="0.2">
      <c r="A25" t="inlineStr">
        <is>
          <t xml:space="preserve">battery pack component production and end-of-life treatment, lithium-ion, nmc111, without cells and controls</t>
        </is>
      </c>
      <c r="B25" s="3">
        <f>1</f>
        <v>1</v>
      </c>
      <c r="C25" t="inlineStr">
        <is>
          <t xml:space="preserve">kilowatt hour</t>
        </is>
      </c>
      <c r="D25" t="inlineStr">
        <is>
          <t>GLO</t>
        </is>
      </c>
      <c r="E25" t="inlineStr">
        <is>
          <t>technosphere</t>
        </is>
      </c>
      <c r="F25" t="inlineStr">
        <is>
          <t xml:space="preserve">battery pack component provision, Li-ion, NMC111, without cells and controls</t>
        </is>
      </c>
      <c r="G25">
        <v>0</v>
      </c>
      <c r="H25" s="7">
        <f>1</f>
        <v>1</v>
      </c>
      <c r="I25" s="7">
        <f>1</f>
        <v>1</v>
      </c>
      <c r="J25" s="7">
        <f>1</f>
        <v>1</v>
      </c>
      <c r="K25" t="inlineStr">
        <is>
          <t/>
        </is>
      </c>
      <c r="M25" s="7"/>
      <c r="N25" s="7"/>
    </row>
    <row r="26">
      <c r="A26" t="inlineStr">
        <is>
          <t xml:space="preserve">battery monitoring and central control system production, lithium-ion, nmc111</t>
        </is>
      </c>
      <c r="B26">
        <v>0.046385201265388296</v>
      </c>
      <c r="C26" t="inlineStr">
        <is>
          <t>unit</t>
        </is>
      </c>
      <c r="D26" t="inlineStr">
        <is>
          <t>GLO</t>
        </is>
      </c>
      <c r="E26" t="inlineStr">
        <is>
          <t>technosphere</t>
        </is>
      </c>
      <c r="F26" t="inlineStr">
        <is>
          <t xml:space="preserve">battery monitoring and central control system, Li-ion, NMC111</t>
        </is>
      </c>
    </row>
    <row r="27" spans="1:14" ht="16" ns3:dyDescent="0.2">
      <c r="A27" s="2" t="s">
        <v>0</v>
      </c>
      <c r="B27" s="2" t="s">
        <v>114</v>
      </c>
    </row>
    <row r="28" spans="1:14" ns3:dyDescent="0.2">
      <c r="A28" t="s">
        <v>1</v>
      </c>
      <c r="B28"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 xml:space="preserve">market for battery cell, lithium-ion, nmc532, including end-of-life treatment</t>
        </is>
      </c>
      <c r="B37" s="3">
        <f>4.999999999999999</f>
        <v>4.999999999999999</v>
      </c>
      <c r="C37" t="inlineStr">
        <is>
          <t>kilogram</t>
        </is>
      </c>
      <c r="D37" t="inlineStr">
        <is>
          <t>GLO</t>
        </is>
      </c>
      <c r="E37" t="inlineStr">
        <is>
          <t>technosphere</t>
        </is>
      </c>
      <c r="F37" t="inlineStr">
        <is>
          <t xml:space="preserve">battery cell, Li-ion, NMC532, including end-of-life treatment</t>
        </is>
      </c>
      <c r="G37">
        <v>5</v>
      </c>
      <c r="H37" s="7">
        <f>4.999999999999999</f>
        <v>4.999999999999999</v>
      </c>
      <c r="I37" s="3">
        <f>4.545454545454544</f>
        <v>4.545454545454544</v>
      </c>
      <c r="J37" s="3">
        <f>5.882352941176469</f>
        <v>5.882352941176469</v>
      </c>
    </row>
    <row r="38" spans="1:14" ns3:dyDescent="0.2">
      <c r="A38" t="inlineStr">
        <is>
          <t xml:space="preserve">battery pack component production and end-of-life treatment, lithium-ion, nmc532, without cells and controls</t>
        </is>
      </c>
      <c r="B38" s="3">
        <f>1</f>
        <v>1</v>
      </c>
      <c r="C38" t="inlineStr">
        <is>
          <t xml:space="preserve">kilowatt hour</t>
        </is>
      </c>
      <c r="D38" t="inlineStr">
        <is>
          <t>GLO</t>
        </is>
      </c>
      <c r="E38" t="inlineStr">
        <is>
          <t>technosphere</t>
        </is>
      </c>
      <c r="F38" t="inlineStr">
        <is>
          <t xml:space="preserve">battery pack component provision, Li-ion, NMC532, without cells and controls</t>
        </is>
      </c>
      <c r="G38">
        <v>0</v>
      </c>
      <c r="H38" s="7">
        <f>1</f>
        <v>1</v>
      </c>
      <c r="I38" s="3">
        <f>1</f>
        <v>1</v>
      </c>
      <c r="J38" s="3">
        <f>1</f>
        <v>1</v>
      </c>
      <c r="K38" t="inlineStr">
        <is>
          <t/>
        </is>
      </c>
      <c r="M38" s="3"/>
      <c r="N38" s="3"/>
    </row>
    <row r="39">
      <c r="A39" t="inlineStr">
        <is>
          <t xml:space="preserve">battery monitoring and central control system production, lithium-ion, nmc532</t>
        </is>
      </c>
      <c r="B39">
        <v>0.04628343978524484</v>
      </c>
      <c r="C39" t="inlineStr">
        <is>
          <t>unit</t>
        </is>
      </c>
      <c r="D39" t="inlineStr">
        <is>
          <t>GLO</t>
        </is>
      </c>
      <c r="E39" t="inlineStr">
        <is>
          <t>technosphere</t>
        </is>
      </c>
      <c r="F39" t="inlineStr">
        <is>
          <t xml:space="preserve">battery monitoring and central control system, Li-ion, NMC532</t>
        </is>
      </c>
    </row>
    <row r="40" spans="1:14" ht="16" ns3:dyDescent="0.2">
      <c r="A40" s="2" t="s">
        <v>0</v>
      </c>
      <c r="B40" s="2" t="s">
        <v>81</v>
      </c>
    </row>
    <row r="41" spans="1:14" ns3:dyDescent="0.2">
      <c r="A41" t="s">
        <v>1</v>
      </c>
      <c r="B41"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 xml:space="preserve">market for battery cell, lithium-ion, nmc622, including end-of-life treatment</t>
        </is>
      </c>
      <c r="B50" s="3">
        <f>4.166666666666667</f>
        <v>4.166666666666667</v>
      </c>
      <c r="C50" t="inlineStr">
        <is>
          <t>kilogram</t>
        </is>
      </c>
      <c r="D50" t="inlineStr">
        <is>
          <t>GLO</t>
        </is>
      </c>
      <c r="E50" t="inlineStr">
        <is>
          <t>technosphere</t>
        </is>
      </c>
      <c r="F50" t="inlineStr">
        <is>
          <t xml:space="preserve">battery cell, Li-ion, NMC622, including end-of-life treatment</t>
        </is>
      </c>
      <c r="G50">
        <v>5</v>
      </c>
      <c r="H50" s="7">
        <f>4.166666666666667</f>
        <v>4.166666666666667</v>
      </c>
      <c r="I50" s="3">
        <f>3.571428571428571</f>
        <v>3.571428571428571</v>
      </c>
      <c r="J50" s="3">
        <f>5.000000000000001</f>
        <v>5.000000000000001</v>
      </c>
    </row>
    <row r="51" spans="1:14" ns3:dyDescent="0.2">
      <c r="A51" t="inlineStr">
        <is>
          <t xml:space="preserve">battery pack component production and end-of-life treatment, lithium-ion, nmc622, without cells and controls</t>
        </is>
      </c>
      <c r="B51" s="3">
        <f>1</f>
        <v>1</v>
      </c>
      <c r="C51" t="inlineStr">
        <is>
          <t xml:space="preserve">kilowatt hour</t>
        </is>
      </c>
      <c r="D51" t="inlineStr">
        <is>
          <t>GLO</t>
        </is>
      </c>
      <c r="E51" t="inlineStr">
        <is>
          <t>technosphere</t>
        </is>
      </c>
      <c r="F51" t="inlineStr">
        <is>
          <t xml:space="preserve">battery pack component provision, Li-ion, NMC622, without cells and controls</t>
        </is>
      </c>
      <c r="G51">
        <v>0</v>
      </c>
      <c r="H51" s="7">
        <f>1</f>
        <v>1</v>
      </c>
      <c r="I51" s="3">
        <f>1</f>
        <v>1</v>
      </c>
      <c r="J51" s="3">
        <f>1</f>
        <v>1</v>
      </c>
      <c r="K51" t="inlineStr">
        <is>
          <t/>
        </is>
      </c>
      <c r="M51" s="3"/>
      <c r="N51" s="3"/>
    </row>
    <row r="52">
      <c r="A52" t="inlineStr">
        <is>
          <t xml:space="preserve">battery monitoring and central control system production, lithium-ion, nmc622</t>
        </is>
      </c>
      <c r="B52">
        <v>0.0385695331543707</v>
      </c>
      <c r="C52" t="inlineStr">
        <is>
          <t>unit</t>
        </is>
      </c>
      <c r="D52" t="inlineStr">
        <is>
          <t>GLO</t>
        </is>
      </c>
      <c r="E52" t="inlineStr">
        <is>
          <t>technosphere</t>
        </is>
      </c>
      <c r="F52" t="inlineStr">
        <is>
          <t xml:space="preserve">battery monitoring and central control system, Li-ion, NMC622</t>
        </is>
      </c>
    </row>
    <row r="53" spans="1:14" ht="16" ns3:dyDescent="0.2">
      <c r="A53" s="2" t="s">
        <v>0</v>
      </c>
      <c r="B53" s="2" t="s">
        <v>82</v>
      </c>
    </row>
    <row r="54" spans="1:14" ns3:dyDescent="0.2">
      <c r="A54" t="s">
        <v>1</v>
      </c>
      <c r="B54"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 xml:space="preserve">market for battery cell, lithium-ion, nmc811, including end-of-life treatment</t>
        </is>
      </c>
      <c r="B63" s="3">
        <f>3.571428571428571</f>
        <v>3.571428571428571</v>
      </c>
      <c r="C63" t="inlineStr">
        <is>
          <t>kilogram</t>
        </is>
      </c>
      <c r="D63" t="inlineStr">
        <is>
          <t>GLO</t>
        </is>
      </c>
      <c r="E63" t="inlineStr">
        <is>
          <t>technosphere</t>
        </is>
      </c>
      <c r="F63" t="inlineStr">
        <is>
          <t xml:space="preserve">battery cell, Li-ion, NMC811, including end-of-life treatment</t>
        </is>
      </c>
      <c r="G63">
        <v>5</v>
      </c>
      <c r="H63" s="7">
        <f>3.571428571428571</f>
        <v>3.571428571428571</v>
      </c>
      <c r="I63" s="3">
        <f>2.9411764705882355</f>
        <v>2.9411764705882355</v>
      </c>
      <c r="J63" s="3">
        <f>4.166666666666666</f>
        <v>4.166666666666666</v>
      </c>
    </row>
    <row r="64" spans="1:14" ns3:dyDescent="0.2">
      <c r="A64" t="inlineStr">
        <is>
          <t xml:space="preserve">battery pack component production and end-of-life treatment, lithium-ion, nmc811, without cells and controls</t>
        </is>
      </c>
      <c r="B64" s="3">
        <f>1</f>
        <v>1</v>
      </c>
      <c r="C64" t="inlineStr">
        <is>
          <t xml:space="preserve">kilowatt hour</t>
        </is>
      </c>
      <c r="D64" t="inlineStr">
        <is>
          <t>GLO</t>
        </is>
      </c>
      <c r="E64" t="inlineStr">
        <is>
          <t>technosphere</t>
        </is>
      </c>
      <c r="F64" t="inlineStr">
        <is>
          <t xml:space="preserve">battery pack component provision, Li-ion, NMC811, without cells and controls</t>
        </is>
      </c>
      <c r="G64">
        <v>0</v>
      </c>
      <c r="H64" s="7">
        <f>1</f>
        <v>1</v>
      </c>
      <c r="I64" s="3">
        <f>1</f>
        <v>1</v>
      </c>
      <c r="J64" s="3">
        <f>1</f>
        <v>1</v>
      </c>
      <c r="K64" t="inlineStr">
        <is>
          <t/>
        </is>
      </c>
      <c r="M64" s="3"/>
      <c r="N64" s="3"/>
    </row>
    <row r="65">
      <c r="A65" t="inlineStr">
        <is>
          <t xml:space="preserve">battery monitoring and central control system production, lithium-ion, nmc811</t>
        </is>
      </c>
      <c r="B65">
        <v>0.03178275848917479</v>
      </c>
      <c r="C65" t="inlineStr">
        <is>
          <t>unit</t>
        </is>
      </c>
      <c r="D65" t="inlineStr">
        <is>
          <t>GLO</t>
        </is>
      </c>
      <c r="E65" t="inlineStr">
        <is>
          <t>technosphere</t>
        </is>
      </c>
      <c r="F65" t="inlineStr">
        <is>
          <t xml:space="preserve">battery monitoring and central control system, Li-ion, NMC811</t>
        </is>
      </c>
    </row>
    <row r="66" spans="1:14" ht="16" ns3:dyDescent="0.2">
      <c r="A66" s="2" t="s">
        <v>0</v>
      </c>
      <c r="B66" s="2" t="s">
        <v>83</v>
      </c>
    </row>
    <row r="67" spans="1:14" ns3:dyDescent="0.2">
      <c r="A67" t="s">
        <v>1</v>
      </c>
      <c r="B67" t="inlineStr">
        <is>
          <t>APPROVED STATIONARY CELL-ONLY DENSITY LEARNING, issue64,2026-10-18. Carry the issue63 fixed-noncell boundary through to six stationary lithium-ion capacity references. Preserve original stationary chemistry,baseline complete-pack materials,controls and capacity. Copy the corresponding mobile capacity references at the same chemistry-specific kgcell/kWh and fixed-noncell unit/kWh; these suppliers use the identical existing source pack architecture already used by stationary inventories. This does not transfer vehicle operation,chargers or roads into stationary storage. Only cell manufacture and its pairedcell disposal follow the existing cell-density curve. Noncellcase,busbar,coolant,packaging and associated disposal remain fixed inside the existing unit provider; central/module controls are already supplied once and treated by their own helper. Keep the stationary capacity activity identities so existing stationary scenario markets and dispatch/efficiency assumptions remain. There is no additional outer purchase of mobile capacity, no repeated density scaling and no second waste treatment. LFP,NMC111,NMC532,NMC622,NMC811,NMC955 baseline material/service vectors must match their pre-change stationary references,not only totalkg. The existing mobile geometry is an explicit shared engineering design; stationary-specific container/cooling/inverter topology and replacement lives are not validated by this change. No runtime,YAML or native edits; uncertainty on scalablecell quantity retained, fixedhardware deterministic as inissue63. Sodium-ion stationary already forwards1kWh to its corrected common capacity and needs no second change. Home-storage,leadacid and flowbattery designs remain separate.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 xml:space="preserve">market for battery cell, lithium-ion, nmc955, including end-of-life treatment</t>
        </is>
      </c>
      <c r="B76" s="3">
        <f>2.941176470588235</f>
        <v>2.941176470588235</v>
      </c>
      <c r="C76" t="inlineStr">
        <is>
          <t>kilogram</t>
        </is>
      </c>
      <c r="D76" t="inlineStr">
        <is>
          <t>GLO</t>
        </is>
      </c>
      <c r="E76" t="inlineStr">
        <is>
          <t>technosphere</t>
        </is>
      </c>
      <c r="F76" t="inlineStr">
        <is>
          <t xml:space="preserve">battery cell, Li-ion, NMC955, including end-of-life treatment</t>
        </is>
      </c>
      <c r="G76">
        <v>5</v>
      </c>
      <c r="H76" s="7">
        <f>2.941176470588235</f>
        <v>2.941176470588235</v>
      </c>
      <c r="I76" s="3">
        <f>2.6315789473684212</f>
        <v>2.6315789473684212</v>
      </c>
      <c r="J76" s="3">
        <f>3.333333333333334</f>
        <v>3.333333333333334</v>
      </c>
    </row>
    <row r="77" spans="1:14" ns3:dyDescent="0.2">
      <c r="A77" t="inlineStr">
        <is>
          <t xml:space="preserve">battery pack component production and end-of-life treatment, lithium-ion, nmc955, without cells and controls</t>
        </is>
      </c>
      <c r="B77" s="3">
        <f>1</f>
        <v>1</v>
      </c>
      <c r="C77" t="inlineStr">
        <is>
          <t xml:space="preserve">kilowatt hour</t>
        </is>
      </c>
      <c r="D77" t="inlineStr">
        <is>
          <t>GLO</t>
        </is>
      </c>
      <c r="E77" t="inlineStr">
        <is>
          <t>technosphere</t>
        </is>
      </c>
      <c r="F77" t="inlineStr">
        <is>
          <t xml:space="preserve">battery pack component provision, Li-ion, NMC955, without cells and controls</t>
        </is>
      </c>
      <c r="G77">
        <v>0</v>
      </c>
      <c r="H77" s="7">
        <f>1</f>
        <v>1</v>
      </c>
      <c r="I77" s="3">
        <f>1</f>
        <v>1</v>
      </c>
      <c r="J77" s="3">
        <f>1</f>
        <v>1</v>
      </c>
      <c r="K77" t="inlineStr">
        <is>
          <t/>
        </is>
      </c>
      <c r="M77" s="3"/>
      <c r="N77" s="3"/>
    </row>
    <row r="79">
      <c r="A79" t="inlineStr">
        <is>
          <t xml:space="preserve">battery monitoring and central control system production, lithium-ion, nmc955</t>
        </is>
      </c>
      <c r="B79">
        <v>0.027225552814849903</v>
      </c>
      <c r="C79" t="inlineStr">
        <is>
          <t>unit</t>
        </is>
      </c>
      <c r="D79" t="inlineStr">
        <is>
          <t>GLO</t>
        </is>
      </c>
      <c r="E79" t="inlineStr">
        <is>
          <t>technosphere</t>
        </is>
      </c>
      <c r="F79" t="inlineStr">
        <is>
          <t xml:space="preserve">battery monitoring and central control system, Li-ion, NMC955</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 xml:space="preserve">market for used redox-flow battery, vanadium</t>
        </is>
      </c>
      <c r="B91" s="3">
        <v>-59.64062663729406</v>
      </c>
      <c r="C91" t="s">
        <v>7</v>
      </c>
      <c r="D91" t="s">
        <v>3</v>
      </c>
      <c r="E91" t="s">
        <v>14</v>
      </c>
      <c r="F91" t="inlineStr">
        <is>
          <t xml:space="preserve">used redox-flow battery, vanadium</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