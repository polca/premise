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<sst xmlns="http://schemas.openxmlformats.org/spreadsheetml/2006/main" count="1378" uniqueCount="116">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</sst>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374"/>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market for battery hardware, Li-ion, LFP, engineering reference</t>
        </is>
      </c>
      <c r="B13" s="7">
        <f>8.336580159913266</f>
        <v>8.336580159913266</v>
      </c>
      <c r="C13" t="s">
        <v>7</v>
      </c>
      <c r="D13" t="s">
        <v>3</v>
      </c>
      <c r="E13" t="s">
        <v>14</v>
      </c>
      <c r="F13" t="inlineStr">
        <is>
          <t>battery hardware, Li-ion, LFP, engineering reference</t>
        </is>
      </c>
      <c r="G13">
        <v>5</v>
      </c>
      <c r="H13" s="7">
        <f>8.336580159913266</f>
        <v>8.336580159913266</v>
      </c>
      <c r="I13" s="7">
        <f>7.020278029400646</f>
        <v>7.020278029400646</v>
      </c>
      <c r="J13" s="7">
        <f>9.527520182758018</f>
        <v>9.527520182758018</v>
      </c>
    </row>
    <row r="14" spans="1:14" ns3:dyDescent="0.2">
      <c r="A14" t="s">
        <v>53</v>
      </c>
      <c r="B14" s="7">
        <f>-8.336580159913266</f>
        <v>-8.336580159913266</v>
      </c>
      <c r="C14" t="s">
        <v>7</v>
      </c>
      <c r="D14" t="s">
        <v>3</v>
      </c>
      <c r="E14" t="s">
        <v>14</v>
      </c>
      <c r="F14" t="s">
        <v>54</v>
      </c>
      <c r="G14">
        <v>5</v>
      </c>
      <c r="H14" s="7">
        <f>-8.336580159913266</f>
        <v>-8.336580159913266</v>
      </c>
      <c r="I14" s="7">
        <f>-9.527520182758018</f>
        <v>-9.527520182758018</v>
      </c>
      <c r="J14" s="7">
        <f>-7.020278029400646</f>
        <v>-7.020278029400646</v>
      </c>
      <c r="K14" t="b">
        <v>1</v>
      </c>
      <c r="M14" s="7"/>
      <c r="N14" s="7"/>
    </row>
    <row r="15">
      <c r="A15" t="inlineStr">
        <is>
          <t>battery monitoring and central controls, LFP, engineering reference</t>
        </is>
      </c>
      <c r="B15">
        <v>0.042349911912183215</v>
      </c>
      <c r="C15" t="inlineStr">
        <is>
          <t>unit</t>
        </is>
      </c>
      <c r="D15" t="inlineStr">
        <is>
          <t>GLO</t>
        </is>
      </c>
      <c r="E15" t="inlineStr">
        <is>
          <t>technosphere</t>
        </is>
      </c>
      <c r="F15" t="inlineStr">
        <is>
          <t>battery monitoring and central controls, LFP, engineering reference</t>
        </is>
      </c>
    </row>
    <row r="16" spans="1:14" ht="16" ns3:dyDescent="0.2">
      <c r="A16" s="2" t="s">
        <v>0</v>
      </c>
      <c r="B16" s="2" t="s">
        <v>19</v>
      </c>
    </row>
    <row r="17" spans="1:14" ns3:dyDescent="0.2">
      <c r="A17" t="s">
        <v>1</v>
      </c>
      <c r="B1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market for battery hardware, Li-ion, NMC111, engineering reference</t>
        </is>
      </c>
      <c r="B26" s="3">
        <f>7.372463889120817</f>
        <v>7.372463889120817</v>
      </c>
      <c r="C26" t="s">
        <v>7</v>
      </c>
      <c r="D26" t="s">
        <v>3</v>
      </c>
      <c r="E26" t="s">
        <v>14</v>
      </c>
      <c r="F26" t="inlineStr">
        <is>
          <t>battery hardware, Li-ion, NMC111, engineering reference</t>
        </is>
      </c>
      <c r="G26">
        <v>5</v>
      </c>
      <c r="H26" s="7">
        <f>7.372463889120817</f>
        <v>7.372463889120817</v>
      </c>
      <c r="I26" s="7">
        <f>6.984439473903931</f>
        <v>6.984439473903931</v>
      </c>
      <c r="J26" s="7">
        <f>9.478882143155333</f>
        <v>9.478882143155333</v>
      </c>
    </row>
    <row r="27" spans="1:14" ns3:dyDescent="0.2">
      <c r="A27" t="s">
        <v>53</v>
      </c>
      <c r="B27" s="3">
        <f>-7.372463889120817</f>
        <v>-7.372463889120817</v>
      </c>
      <c r="C27" t="s">
        <v>7</v>
      </c>
      <c r="D27" t="s">
        <v>3</v>
      </c>
      <c r="E27" t="s">
        <v>14</v>
      </c>
      <c r="F27" t="s">
        <v>54</v>
      </c>
      <c r="G27">
        <v>5</v>
      </c>
      <c r="H27" s="7">
        <f>-7.372463889120817</f>
        <v>-7.372463889120817</v>
      </c>
      <c r="I27" s="7">
        <f>-9.478882143155333</f>
        <v>-9.478882143155333</v>
      </c>
      <c r="J27" s="7">
        <f>-6.984439473903931</f>
        <v>-6.984439473903931</v>
      </c>
      <c r="K27" t="b">
        <v>1</v>
      </c>
      <c r="M27" s="7"/>
      <c r="N27" s="7"/>
    </row>
    <row r="28">
      <c r="A28" t="inlineStr">
        <is>
          <t>battery monitoring and central controls, NMC111, engineering reference</t>
        </is>
      </c>
      <c r="B28">
        <v>0.046385201265388296</v>
      </c>
      <c r="C28" t="inlineStr">
        <is>
          <t>unit</t>
        </is>
      </c>
      <c r="D28" t="inlineStr">
        <is>
          <t>GLO</t>
        </is>
      </c>
      <c r="E28" t="inlineStr">
        <is>
          <t>technosphere</t>
        </is>
      </c>
      <c r="F28" t="inlineStr">
        <is>
          <t>battery monitoring and central controls, NMC111, engineering reference</t>
        </is>
      </c>
    </row>
    <row r="29" spans="1:14" ht="16" ns3:dyDescent="0.2">
      <c r="A29" s="2" t="s">
        <v>0</v>
      </c>
      <c r="B29" s="2" t="s">
        <v>110</v>
      </c>
    </row>
    <row r="30" spans="1:14" ns3:dyDescent="0.2">
      <c r="A30" t="s">
        <v>1</v>
      </c>
      <c r="B30"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market for battery hardware, Li-ion, NMC532, engineering reference</t>
        </is>
      </c>
      <c r="B39" s="3">
        <f>6.7453485143015826</f>
        <v>6.7453485143015826</v>
      </c>
      <c r="C39" t="s">
        <v>7</v>
      </c>
      <c r="D39" t="s">
        <v>3</v>
      </c>
      <c r="E39" t="s">
        <v>14</v>
      </c>
      <c r="F39" t="inlineStr">
        <is>
          <t>battery hardware, Li-ion, NMC532, engineering reference</t>
        </is>
      </c>
      <c r="G39">
        <v>5</v>
      </c>
      <c r="H39" s="7">
        <f>6.7453485143015826</f>
        <v>6.7453485143015826</v>
      </c>
      <c r="I39" s="3">
        <f>6.132135013001438</f>
        <v>6.132135013001438</v>
      </c>
      <c r="J39" s="3">
        <f>7.9357041344724495</f>
        <v>7.9357041344724495</v>
      </c>
    </row>
    <row r="40" spans="1:14" ns3:dyDescent="0.2">
      <c r="A40" t="s">
        <v>53</v>
      </c>
      <c r="B40" s="3">
        <f>-6.7453485143015826</f>
        <v>-6.7453485143015826</v>
      </c>
      <c r="C40" t="s">
        <v>7</v>
      </c>
      <c r="D40" t="s">
        <v>3</v>
      </c>
      <c r="E40" t="s">
        <v>14</v>
      </c>
      <c r="F40" t="s">
        <v>54</v>
      </c>
      <c r="G40">
        <v>5</v>
      </c>
      <c r="H40" s="7">
        <f>-6.7453485143015826</f>
        <v>-6.7453485143015826</v>
      </c>
      <c r="I40" s="3">
        <f>-7.9357041344724495</f>
        <v>-7.9357041344724495</v>
      </c>
      <c r="J40" s="3">
        <f>-6.132135013001438</f>
        <v>-6.132135013001438</v>
      </c>
      <c r="K40" t="b">
        <v>1</v>
      </c>
      <c r="M40" s="3"/>
      <c r="N40" s="3"/>
    </row>
    <row r="41">
      <c r="A41" t="inlineStr">
        <is>
          <t>battery monitoring and central controls, NMC532, engineering reference</t>
        </is>
      </c>
      <c r="B41">
        <v>0.04628343978524484</v>
      </c>
      <c r="C41" t="inlineStr">
        <is>
          <t>unit</t>
        </is>
      </c>
      <c r="D41" t="inlineStr">
        <is>
          <t>GLO</t>
        </is>
      </c>
      <c r="E41" t="inlineStr">
        <is>
          <t>technosphere</t>
        </is>
      </c>
      <c r="F41" t="inlineStr">
        <is>
          <t>battery monitoring and central controls, NMC532, engineering reference</t>
        </is>
      </c>
    </row>
    <row r="42" spans="1:14" ht="16" ns3:dyDescent="0.2">
      <c r="A42" s="2" t="s">
        <v>0</v>
      </c>
      <c r="B42" s="2" t="s">
        <v>22</v>
      </c>
    </row>
    <row r="43" spans="1:14" ns3:dyDescent="0.2">
      <c r="A43" t="s">
        <v>1</v>
      </c>
      <c r="B43"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market for battery hardware, Li-ion, NMC622, engineering reference</t>
        </is>
      </c>
      <c r="B52" s="3">
        <f>5.621123761917986</f>
        <v>5.621123761917986</v>
      </c>
      <c r="C52" t="s">
        <v>7</v>
      </c>
      <c r="D52" t="s">
        <v>3</v>
      </c>
      <c r="E52" t="s">
        <v>14</v>
      </c>
      <c r="F52" t="inlineStr">
        <is>
          <t>battery hardware, Li-ion, NMC622, engineering reference</t>
        </is>
      </c>
      <c r="G52">
        <v>5</v>
      </c>
      <c r="H52" s="7">
        <f>5.621123761917986</f>
        <v>5.621123761917986</v>
      </c>
      <c r="I52" s="3">
        <f>4.818106081643988</f>
        <v>4.818106081643988</v>
      </c>
      <c r="J52" s="3">
        <f>6.745348514301584</f>
        <v>6.745348514301584</v>
      </c>
    </row>
    <row r="53" spans="1:14" ns3:dyDescent="0.2">
      <c r="A53" t="s">
        <v>53</v>
      </c>
      <c r="B53" s="3">
        <f>-5.621123761917986</f>
        <v>-5.621123761917986</v>
      </c>
      <c r="C53" t="s">
        <v>7</v>
      </c>
      <c r="D53" t="s">
        <v>3</v>
      </c>
      <c r="E53" t="s">
        <v>14</v>
      </c>
      <c r="F53" t="s">
        <v>54</v>
      </c>
      <c r="G53">
        <v>5</v>
      </c>
      <c r="H53" s="7">
        <f>-5.621123761917986</f>
        <v>-5.621123761917986</v>
      </c>
      <c r="I53" s="3">
        <f>-6.745348514301584</f>
        <v>-6.745348514301584</v>
      </c>
      <c r="J53" s="3">
        <f>-4.818106081643988</f>
        <v>-4.818106081643988</v>
      </c>
      <c r="K53" t="b">
        <v>1</v>
      </c>
      <c r="M53" s="3"/>
      <c r="N53" s="3"/>
    </row>
    <row r="54">
      <c r="A54" t="inlineStr">
        <is>
          <t>battery monitoring and central controls, NMC622, engineering reference</t>
        </is>
      </c>
      <c r="B54">
        <v>0.0385695331543707</v>
      </c>
      <c r="C54" t="inlineStr">
        <is>
          <t>unit</t>
        </is>
      </c>
      <c r="D54" t="inlineStr">
        <is>
          <t>GLO</t>
        </is>
      </c>
      <c r="E54" t="inlineStr">
        <is>
          <t>technosphere</t>
        </is>
      </c>
      <c r="F54" t="inlineStr">
        <is>
          <t>battery monitoring and central controls, NMC622, engineering reference</t>
        </is>
      </c>
    </row>
    <row r="55" spans="1:14" ht="16" ns3:dyDescent="0.2">
      <c r="A55" s="2" t="s">
        <v>0</v>
      </c>
      <c r="B55" s="2" t="s">
        <v>23</v>
      </c>
    </row>
    <row r="56" spans="1:14" ns3:dyDescent="0.2">
      <c r="A56" t="s">
        <v>1</v>
      </c>
      <c r="B56"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market for battery hardware, Li-ion, NMC811, engineering reference</t>
        </is>
      </c>
      <c r="B65" s="3">
        <f>4.819219669713574</f>
        <v>4.819219669713574</v>
      </c>
      <c r="C65" t="s">
        <v>7</v>
      </c>
      <c r="D65" t="s">
        <v>3</v>
      </c>
      <c r="E65" t="s">
        <v>14</v>
      </c>
      <c r="F65" t="inlineStr">
        <is>
          <t>battery hardware, Li-ion, NMC811, engineering reference</t>
        </is>
      </c>
      <c r="G65">
        <v>5</v>
      </c>
      <c r="H65" s="7">
        <f>4.819219669713574</f>
        <v>4.819219669713574</v>
      </c>
      <c r="I65" s="3">
        <f>3.96876913976412</f>
        <v>3.96876913976412</v>
      </c>
      <c r="J65" s="3">
        <f>5.622422947999169</f>
        <v>5.622422947999169</v>
      </c>
    </row>
    <row r="66" spans="1:14" ns3:dyDescent="0.2">
      <c r="A66" t="s">
        <v>53</v>
      </c>
      <c r="B66" s="3">
        <f>-4.819219669713574</f>
        <v>-4.819219669713574</v>
      </c>
      <c r="C66" t="s">
        <v>7</v>
      </c>
      <c r="D66" t="s">
        <v>3</v>
      </c>
      <c r="E66" t="s">
        <v>14</v>
      </c>
      <c r="F66" t="s">
        <v>54</v>
      </c>
      <c r="G66">
        <v>5</v>
      </c>
      <c r="H66" s="7">
        <f>-4.819219669713574</f>
        <v>-4.819219669713574</v>
      </c>
      <c r="I66" s="3">
        <f>-5.622422947999169</f>
        <v>-5.622422947999169</v>
      </c>
      <c r="J66" s="3">
        <f>-3.96876913976412</f>
        <v>-3.96876913976412</v>
      </c>
      <c r="K66" t="b">
        <v>1</v>
      </c>
      <c r="M66" s="3"/>
      <c r="N66" s="3"/>
    </row>
    <row r="67">
      <c r="A67" t="inlineStr">
        <is>
          <t>battery monitoring and central controls, NMC811, engineering reference</t>
        </is>
      </c>
      <c r="B67">
        <v>0.03178275848917479</v>
      </c>
      <c r="C67" t="inlineStr">
        <is>
          <t>unit</t>
        </is>
      </c>
      <c r="D67" t="inlineStr">
        <is>
          <t>GLO</t>
        </is>
      </c>
      <c r="E67" t="inlineStr">
        <is>
          <t>technosphere</t>
        </is>
      </c>
      <c r="F67" t="inlineStr">
        <is>
          <t>battery monitoring and central controls, NMC811, engineering reference</t>
        </is>
      </c>
    </row>
    <row r="68" spans="1:14" ht="16" ns3:dyDescent="0.2">
      <c r="A68" s="2" t="s">
        <v>0</v>
      </c>
      <c r="B68" s="2" t="s">
        <v>62</v>
      </c>
    </row>
    <row r="69" spans="1:14" ns3:dyDescent="0.2">
      <c r="A69" t="s">
        <v>1</v>
      </c>
      <c r="B69"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market for battery hardware, Li-ion, NMC955, engineering reference</t>
        </is>
      </c>
      <c r="B78" s="3">
        <f>3.967852067236225</f>
        <v>3.967852067236225</v>
      </c>
      <c r="C78" t="s">
        <v>7</v>
      </c>
      <c r="D78" t="s">
        <v>3</v>
      </c>
      <c r="E78" t="s">
        <v>14</v>
      </c>
      <c r="F78" t="inlineStr">
        <is>
          <t>battery hardware, Li-ion, NMC955, engineering reference</t>
        </is>
      </c>
      <c r="G78">
        <v>5</v>
      </c>
      <c r="H78" s="7">
        <f>3.967852067236225</f>
        <v>3.967852067236225</v>
      </c>
      <c r="I78" s="3">
        <f>3.550183428579781</f>
        <v>3.550183428579781</v>
      </c>
      <c r="J78" s="3">
        <f>4.496899009534389</f>
        <v>4.496899009534389</v>
      </c>
    </row>
    <row r="79" spans="1:14" ns3:dyDescent="0.2">
      <c r="A79" t="s">
        <v>53</v>
      </c>
      <c r="B79" s="3">
        <f>-3.967852067236225</f>
        <v>-3.967852067236225</v>
      </c>
      <c r="C79" t="s">
        <v>7</v>
      </c>
      <c r="D79" t="s">
        <v>3</v>
      </c>
      <c r="E79" t="s">
        <v>14</v>
      </c>
      <c r="F79" t="s">
        <v>54</v>
      </c>
      <c r="G79">
        <v>5</v>
      </c>
      <c r="H79" s="7">
        <f>-3.967852067236225</f>
        <v>-3.967852067236225</v>
      </c>
      <c r="I79" s="3">
        <f>-4.496899009534389</f>
        <v>-4.496899009534389</v>
      </c>
      <c r="J79" s="3">
        <f>-3.550183428579781</f>
        <v>-3.550183428579781</v>
      </c>
      <c r="K79" t="b">
        <v>1</v>
      </c>
      <c r="M79" s="3"/>
      <c r="N79" s="3"/>
    </row>
    <row r="80">
      <c r="A80" t="inlineStr">
        <is>
          <t>battery monitoring and central controls, NMC955, engineering reference</t>
        </is>
      </c>
      <c r="B80">
        <v>0.027225552814849903</v>
      </c>
      <c r="C80" t="inlineStr">
        <is>
          <t>unit</t>
        </is>
      </c>
      <c r="D80" t="inlineStr">
        <is>
          <t>GLO</t>
        </is>
      </c>
      <c r="E80" t="inlineStr">
        <is>
          <t>technosphere</t>
        </is>
      </c>
      <c r="F80" t="inlineStr">
        <is>
          <t>battery monitoring and central controls, NMC955, engineering reference</t>
        </is>
      </c>
    </row>
    <row r="81" spans="1:14" ht="16" ns3:dyDescent="0.2">
      <c r="A81" s="2" t="s">
        <v>0</v>
      </c>
      <c r="B81" s="2" t="s">
        <v>27</v>
      </c>
    </row>
    <row r="82" spans="1:14" ns3:dyDescent="0.2">
      <c r="A82" t="s">
        <v>1</v>
      </c>
      <c r="B8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market for battery hardware, Li-ion, NCA, engineering reference</t>
        </is>
      </c>
      <c r="B91" s="3">
        <f>4.844362478222996</f>
        <v>4.844362478222996</v>
      </c>
      <c r="C91" t="s">
        <v>7</v>
      </c>
      <c r="D91" t="s">
        <v>3</v>
      </c>
      <c r="E91" t="s">
        <v>14</v>
      </c>
      <c r="F91" t="inlineStr">
        <is>
          <t>battery hardware, Li-ion, NCA, engineering reference</t>
        </is>
      </c>
      <c r="G91">
        <v>5</v>
      </c>
      <c r="H91" s="7">
        <f>4.844362478222996</f>
        <v>4.844362478222996</v>
      </c>
      <c r="I91" s="3">
        <f>3.989474982065997</f>
        <v>3.989474982065997</v>
      </c>
      <c r="J91" s="3">
        <f>5.651756224593496</f>
        <v>5.651756224593496</v>
      </c>
    </row>
    <row r="92" spans="1:14" ns3:dyDescent="0.2">
      <c r="A92" t="s">
        <v>53</v>
      </c>
      <c r="B92" s="3">
        <f>-4.844362478222996</f>
        <v>-4.844362478222996</v>
      </c>
      <c r="C92" t="s">
        <v>7</v>
      </c>
      <c r="D92" t="s">
        <v>3</v>
      </c>
      <c r="E92" t="s">
        <v>14</v>
      </c>
      <c r="F92" t="s">
        <v>54</v>
      </c>
      <c r="G92">
        <v>5</v>
      </c>
      <c r="H92" s="7">
        <f>-4.844362478222996</f>
        <v>-4.844362478222996</v>
      </c>
      <c r="I92" s="3">
        <f>-5.651756224593496</f>
        <v>-5.651756224593496</v>
      </c>
      <c r="J92" s="3">
        <f>-3.989474982065997</f>
        <v>-3.989474982065997</v>
      </c>
      <c r="K92" t="b">
        <v>1</v>
      </c>
      <c r="M92" s="3"/>
      <c r="N92" s="3"/>
    </row>
    <row r="93">
      <c r="A93" t="inlineStr">
        <is>
          <t>battery monitoring and central controls, NCA, engineering reference</t>
        </is>
      </c>
      <c r="B93">
        <v>0.03402656794425087</v>
      </c>
      <c r="C93" t="inlineStr">
        <is>
          <t>unit</t>
        </is>
      </c>
      <c r="D93" t="inlineStr">
        <is>
          <t>GLO</t>
        </is>
      </c>
      <c r="E93" t="inlineStr">
        <is>
          <t>technosphere</t>
        </is>
      </c>
      <c r="F93" t="inlineStr">
        <is>
          <t>battery monitoring and central controls, NCA, engineering reference</t>
        </is>
      </c>
    </row>
    <row r="94" spans="1:14" ht="16" ns3:dyDescent="0.2">
      <c r="A94" s="2" t="s">
        <v>0</v>
      </c>
      <c r="B94" s="2" t="s">
        <v>30</v>
      </c>
    </row>
    <row r="95" spans="1:14" ns3:dyDescent="0.2">
      <c r="A95" t="s">
        <v>1</v>
      </c>
      <c r="B95" t="inlineStr">
        <is>
          <t>APPROVED SOURCE-CONSISTENT NCA/LTO CELL AND CAPACITY REFERENCE,item22,2026-10-18. Schmidt etal2019 DOI10.1021/acs.est.8b05313, Supporting Data es8b05313_si_002.zip, NCA LTO battery import.xlsx summary!H54=16.040428932169362kg/kWh dry cell components excluding pouch, H56=.5181296021158341kg/kWh pouch; H60=1000/(H54+H56)=60.39173022998696Wh/kg-cell. This is the source harmonized historical NCA/LTO engineering design, not modern fleet validation. The current capacity reference85Wh/kg is inconsistent with that recipe. Restore seven component fractions to source per-kWh masses divided by16.558558534285197kg/kWh; the old six non-pouch fractions were multiplied by rounded.060kWh/kg and the pouch filled the remainder, rather than using the source pouch mass. This restores source component ratios and a1kg component-sum cell. Preserve all previously corrected upstream electrode/graphite/collector recipes and supplier identities, cell water/electricity/heat proxies, reference pack cellmass108.03kg and non-cell geometry37.71kg (NMC622 geometry proxy), controls/protection6.538kg per reference and all vehicle energy/cycle/replacement assumptions. Factory utilities and upstream manufacturing yields remain inherited proxies rather than a claim of complete original-source reproduction. Use exact source cell energy.060391730229986965kWh/kg in the capacity market. Scalable hardware145.74kg now represents6.524118616745492grosskWh, hence22.338649641643293kg/kWh instead of15.871408268944903. Pair identical negative waste mass and signed uncertainty endpoints; retain prior engineering75-125percent mass range, without claiming source statistical confidence. Fixed-unit controls remain unchanged per reference pack, but dose becomes1/6.524118616745492unit/kWh to share the same capacity basis. No future LTO improvement is assumed; existing2020/2050 density-factor ratio is1 even though its YAML absolute values are historical50Wh/kg. No runtime/YAML changes. Original standalone75/25 LTO battery market remains a separate legacy assembly reference, while capacity markets buy the explicit hardware/central-control reference. Source pack48.6049Wh/kg excludes BMS/cooling and is distinct from the adopted cell-specific60.3917Wh/kg. Remaining material-grade, utility, thermal rating, life and future-design limitations remain explicit.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market for battery hardware, Li-ion, LTO, engineering reference</t>
        </is>
      </c>
      <c r="B104" s="3">
        <f>1/(0.060391730229986965*$B$100)</f>
        <v>22.338649641643293</v>
      </c>
      <c r="C104" t="s">
        <v>7</v>
      </c>
      <c r="D104" t="s">
        <v>3</v>
      </c>
      <c r="E104" t="s">
        <v>14</v>
      </c>
      <c r="F104" t="inlineStr">
        <is>
          <t>battery hardware, Li-ion, LTO, engineering reference</t>
        </is>
      </c>
      <c r="G104">
        <v>5</v>
      </c>
      <c r="H104" s="7">
        <f>B104</f>
        <v>22.338649641643293</v>
      </c>
      <c r="I104" s="7">
        <f>B104*0.75</f>
        <v>16.753987231232472</v>
      </c>
      <c r="J104" s="7">
        <f>B104*1.25</f>
        <v>27.923312052054115</v>
      </c>
    </row>
    <row r="105" spans="1:14" ns3:dyDescent="0.2">
      <c r="A105" t="s">
        <v>53</v>
      </c>
      <c r="B105" s="3">
        <f>-B104</f>
        <v>-22.338649641643293</v>
      </c>
      <c r="C105" t="s">
        <v>7</v>
      </c>
      <c r="D105" t="s">
        <v>3</v>
      </c>
      <c r="E105" t="s">
        <v>14</v>
      </c>
      <c r="F105" t="s">
        <v>54</v>
      </c>
      <c r="G105">
        <v>5</v>
      </c>
      <c r="H105" s="7">
        <f>B105</f>
        <v>-22.338649641643293</v>
      </c>
      <c r="I105" s="7">
        <f>B105*1.25</f>
        <v>-27.923312052054115</v>
      </c>
      <c r="J105" s="7">
        <f>B105*0.75</f>
        <v>-16.753987231232472</v>
      </c>
      <c r="K105" t="b">
        <v>1</v>
      </c>
      <c r="M105" s="7"/>
      <c r="N105" s="7"/>
    </row>
    <row r="106">
      <c r="A106" t="inlineStr">
        <is>
          <t>battery monitoring and central controls, LTO, engineering reference</t>
        </is>
      </c>
      <c r="B106">
        <v>0.1532774093704082</v>
      </c>
      <c r="C106" t="inlineStr">
        <is>
          <t>unit</t>
        </is>
      </c>
      <c r="D106" t="inlineStr">
        <is>
          <t>GLO</t>
        </is>
      </c>
      <c r="E106" t="inlineStr">
        <is>
          <t>technosphere</t>
        </is>
      </c>
      <c r="F106" t="inlineStr">
        <is>
          <t>battery monitoring and central controls, LTO, engineering reference</t>
        </is>
      </c>
    </row>
    <row r="107" spans="1:14" ht="16" ns3:dyDescent="0.2">
      <c r="A107" s="2" t="s">
        <v>0</v>
      </c>
      <c r="B107" s="2" t="s">
        <v>55</v>
      </c>
    </row>
    <row r="108" spans="1:14" ns3:dyDescent="0.2">
      <c r="A108" t="s">
        <v>1</v>
      </c>
      <c r="B10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market for battery hardware, Li-ion, LiMn2O4, engineering reference</t>
        </is>
      </c>
      <c r="B117" s="3">
        <f>9.89213835320351</f>
        <v>9.89213835320351</v>
      </c>
      <c r="C117" t="s">
        <v>7</v>
      </c>
      <c r="D117" t="s">
        <v>3</v>
      </c>
      <c r="E117" t="s">
        <v>14</v>
      </c>
      <c r="F117" t="inlineStr">
        <is>
          <t>battery hardware, Li-ion, LiMn2O4, engineering reference</t>
        </is>
      </c>
      <c r="G117">
        <v>5</v>
      </c>
      <c r="H117" s="7">
        <f>9.89213835320351</f>
        <v>9.89213835320351</v>
      </c>
      <c r="I117" s="7">
        <f>7.419103764902632</f>
        <v>7.419103764902632</v>
      </c>
      <c r="J117" s="7">
        <f>12.365172941504387</f>
        <v>12.365172941504387</v>
      </c>
    </row>
    <row r="118" spans="1:14" ns3:dyDescent="0.2">
      <c r="A118" t="s">
        <v>53</v>
      </c>
      <c r="B118" s="3">
        <f>-9.89213835320351</f>
        <v>-9.89213835320351</v>
      </c>
      <c r="C118" t="s">
        <v>7</v>
      </c>
      <c r="D118" t="s">
        <v>3</v>
      </c>
      <c r="E118" t="s">
        <v>14</v>
      </c>
      <c r="F118" t="s">
        <v>54</v>
      </c>
      <c r="G118">
        <v>5</v>
      </c>
      <c r="H118" s="7">
        <f>-9.89213835320351</f>
        <v>-9.89213835320351</v>
      </c>
      <c r="I118" s="7">
        <f>-12.365172941504387</f>
        <v>-12.365172941504387</v>
      </c>
      <c r="J118" s="7">
        <f>-7.419103764902632</f>
        <v>-7.419103764902632</v>
      </c>
      <c r="K118" t="b">
        <v>1</v>
      </c>
      <c r="M118" s="7"/>
      <c r="N118" s="7"/>
    </row>
    <row r="119">
      <c r="A119" t="inlineStr">
        <is>
          <t>battery monitoring and central controls, LiMn2O4, engineering reference</t>
        </is>
      </c>
      <c r="B119">
        <v>0.05258978390857793</v>
      </c>
      <c r="C119" t="inlineStr">
        <is>
          <t>unit</t>
        </is>
      </c>
      <c r="D119" t="inlineStr">
        <is>
          <t>GLO</t>
        </is>
      </c>
      <c r="E119" t="inlineStr">
        <is>
          <t>technosphere</t>
        </is>
      </c>
      <c r="F119" t="inlineStr">
        <is>
          <t>battery monitoring and central controls, LiMn2O4, engineering reference</t>
        </is>
      </c>
    </row>
    <row r="120" spans="1:14" ht="16" ns3:dyDescent="0.2">
      <c r="A120" s="2" t="s">
        <v>0</v>
      </c>
      <c r="B120" s="2" t="s">
        <v>56</v>
      </c>
    </row>
    <row r="121" spans="1:14" ns3:dyDescent="0.2">
      <c r="A121" t="s">
        <v>1</v>
      </c>
      <c r="B12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8.808643655832261</f>
        <v>8.808643655832261</v>
      </c>
      <c r="C130" t="s">
        <v>7</v>
      </c>
      <c r="D130" t="s">
        <v>3</v>
      </c>
      <c r="E130" t="s">
        <v>14</v>
      </c>
      <c r="F130" t="s">
        <v>34</v>
      </c>
      <c r="G130">
        <v>5</v>
      </c>
      <c r="H130" s="7">
        <f>8.808643655832261</f>
        <v>8.808643655832261</v>
      </c>
      <c r="I130" s="3">
        <f>7.340536379860217</f>
        <v>7.340536379860217</v>
      </c>
      <c r="J130" s="3">
        <f>11.010804569790327</f>
        <v>11.010804569790327</v>
      </c>
    </row>
    <row r="131" spans="1:14" ns3:dyDescent="0.2">
      <c r="A131" t="s">
        <v>53</v>
      </c>
      <c r="B131" s="3">
        <f>-8.808643655832261</f>
        <v>-8.808643655832261</v>
      </c>
      <c r="C131" t="s">
        <v>7</v>
      </c>
      <c r="D131" t="s">
        <v>3</v>
      </c>
      <c r="E131" t="s">
        <v>14</v>
      </c>
      <c r="F131" t="s">
        <v>54</v>
      </c>
      <c r="G131">
        <v>5</v>
      </c>
      <c r="H131" s="7">
        <f>-8.808643655832261</f>
        <v>-8.808643655832261</v>
      </c>
      <c r="I131" s="3">
        <f>-11.010804569790327</f>
        <v>-11.010804569790327</v>
      </c>
      <c r="J131" s="3">
        <f>-7.340536379860217</f>
        <v>-7.340536379860217</v>
      </c>
      <c r="K131" t="b">
        <v>1</v>
      </c>
      <c r="M131" s="3"/>
      <c r="N131" s="3"/>
    </row>
    <row r="132">
      <c r="A132" t="inlineStr">
        <is>
          <t>battery controls and cooling, 16-module engineering reference</t>
        </is>
      </c>
      <c r="B132">
        <v>0.0215820670357649</v>
      </c>
      <c r="C132" t="inlineStr">
        <is>
          <t>unit</t>
        </is>
      </c>
      <c r="D132" t="inlineStr">
        <is>
          <t>GLO</t>
        </is>
      </c>
      <c r="E132" t="inlineStr">
        <is>
          <t>technosphere</t>
        </is>
      </c>
      <c r="F132" t="inlineStr">
        <is>
          <t>battery controls and cooling, 16-module engineering reference</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market for battery hardware, Li-oxygen, engineering reference</t>
        </is>
      </c>
      <c r="B143" s="3">
        <f>3.870551181102362</f>
        <v>3.870551181102362</v>
      </c>
      <c r="C143" t="s">
        <v>7</v>
      </c>
      <c r="D143" t="s">
        <v>3</v>
      </c>
      <c r="E143" t="s">
        <v>14</v>
      </c>
      <c r="F143" t="inlineStr">
        <is>
          <t>battery hardware, Li-oxygen, engineering reference</t>
        </is>
      </c>
      <c r="G143">
        <v>5</v>
      </c>
      <c r="H143" s="7">
        <f>3.870551181102362</f>
        <v>3.870551181102362</v>
      </c>
      <c r="I143" s="7">
        <f>2.9029133858267713</f>
        <v>2.9029133858267713</v>
      </c>
      <c r="J143" s="7">
        <f>4.838188976377952</f>
        <v>4.838188976377952</v>
      </c>
    </row>
    <row r="144" spans="1:14" ns3:dyDescent="0.2">
      <c r="A144" t="inlineStr">
        <is>
          <t>treatment of LiO2 battery, for recycling</t>
        </is>
      </c>
      <c r="B144" s="3">
        <f>-3.870551181102362</f>
        <v>-3.870551181102362</v>
      </c>
      <c r="C144" t="s">
        <v>7</v>
      </c>
      <c r="D144" t="inlineStr">
        <is>
          <t>RER</t>
        </is>
      </c>
      <c r="E144" t="s">
        <v>14</v>
      </c>
      <c r="F144" t="inlineStr">
        <is>
          <t>waste LiO2 battery</t>
        </is>
      </c>
      <c r="G144">
        <v>5</v>
      </c>
      <c r="H144" s="7">
        <f>-3.870551181102362</f>
        <v>-3.870551181102362</v>
      </c>
      <c r="I144" s="7">
        <f>-4.838188976377952</f>
        <v>-4.838188976377952</v>
      </c>
      <c r="J144" s="7">
        <f>-2.9029133858267713</f>
        <v>-2.9029133858267713</v>
      </c>
      <c r="K144" t="b">
        <v>1</v>
      </c>
      <c r="M144" s="7"/>
      <c r="N144" s="7"/>
    </row>
    <row r="145">
      <c r="A145" t="inlineStr">
        <is>
          <t>battery auxiliary lifecycle, Li-O2 engineering reference</t>
        </is>
      </c>
      <c r="B145">
        <v>0.015748031496062992</v>
      </c>
      <c r="C145" t="inlineStr">
        <is>
          <t>unit</t>
        </is>
      </c>
      <c r="D145" t="inlineStr">
        <is>
          <t>GLO</t>
        </is>
      </c>
      <c r="E145" t="inlineStr">
        <is>
          <t>technosphere</t>
        </is>
      </c>
      <c r="F145" t="inlineStr">
        <is>
          <t>battery auxiliary lifecycle, Li-O2 engineering reference</t>
        </is>
      </c>
      <c r="L145" t="inlineStr">
        <is>
          <t>Fixed88.07kg auxiliary hardware plus matching dedicated end-of-life.</t>
        </is>
      </c>
    </row>
    <row r="146" spans="1:14" ht="16" ns3:dyDescent="0.2">
      <c r="A146" s="2" t="s">
        <v>0</v>
      </c>
      <c r="B146" s="2" t="s">
        <v>38</v>
      </c>
    </row>
    <row r="147" spans="1:14" ns3:dyDescent="0.2">
      <c r="A147" t="s">
        <v>1</v>
      </c>
      <c r="B147"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8">
      <c r="A158" t="inlineStr">
        <is>
          <t>battery controls and cooling, 16-module engineering reference</t>
        </is>
      </c>
      <c r="B158">
        <v>0.02121105988781555</v>
      </c>
      <c r="C158" t="inlineStr">
        <is>
          <t>unit</t>
        </is>
      </c>
      <c r="D158" t="inlineStr">
        <is>
          <t>GLO</t>
        </is>
      </c>
      <c r="E158" t="inlineStr">
        <is>
          <t>technosphere</t>
        </is>
      </c>
      <c r="F158" t="inlineStr">
        <is>
          <t>battery controls and cooling, 16-module engineering reference</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row r="269">
      <c r="A269" t="inlineStr">
        <is>
          <t>Activity</t>
        </is>
      </c>
      <c r="B269" t="inlineStr">
        <is>
          <t>high-power battery capacity, FCEV car, engineering reference</t>
        </is>
      </c>
    </row>
    <row r="270">
      <c r="A270" t="inlineStr">
        <is>
          <t>location</t>
        </is>
      </c>
      <c r="B270" t="inlineStr">
        <is>
          <t>GLO</t>
        </is>
      </c>
    </row>
    <row r="271">
      <c r="A271" t="inlineStr">
        <is>
          <t>production amount</t>
        </is>
      </c>
      <c r="B271">
        <v>1</v>
      </c>
    </row>
    <row r="272">
      <c r="A272" t="inlineStr">
        <is>
          <t>reference product</t>
        </is>
      </c>
      <c r="B272" t="inlineStr">
        <is>
          <t>high-power battery capacity, FCEV car, engineering reference</t>
        </is>
      </c>
    </row>
    <row r="273">
      <c r="A273" t="inlineStr">
        <is>
          <t>unit</t>
        </is>
      </c>
      <c r="B273" t="inlineStr">
        <is>
          <t>kilowatt hour</t>
        </is>
      </c>
    </row>
    <row r="274">
      <c r="A274" t="inlineStr">
        <is>
          <t>source</t>
        </is>
      </c>
      <c r="B274"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75">
      <c r="A275" t="inlineStr">
        <is>
          <t>comment</t>
        </is>
      </c>
      <c r="B27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76">
      <c r="A276" t="inlineStr">
        <is>
          <t>Exchanges</t>
        </is>
      </c>
    </row>
    <row r="277">
      <c r="A277" t="inlineStr">
        <is>
          <t>name</t>
        </is>
      </c>
      <c r="B277" t="inlineStr">
        <is>
          <t>amount</t>
        </is>
      </c>
      <c r="C277" t="inlineStr">
        <is>
          <t>location</t>
        </is>
      </c>
      <c r="D277" t="inlineStr">
        <is>
          <t>unit</t>
        </is>
      </c>
      <c r="E277" t="inlineStr">
        <is>
          <t>categories</t>
        </is>
      </c>
      <c r="F277" t="inlineStr">
        <is>
          <t>type</t>
        </is>
      </c>
      <c r="G277" t="inlineStr">
        <is>
          <t>reference product</t>
        </is>
      </c>
      <c r="H277" t="inlineStr">
        <is>
          <t>comment</t>
        </is>
      </c>
    </row>
    <row r="278">
      <c r="A278" t="inlineStr">
        <is>
          <t>high-power battery capacity, FCEV car, engineering reference</t>
        </is>
      </c>
      <c r="B278">
        <v>1</v>
      </c>
      <c r="C278" t="inlineStr">
        <is>
          <t>GLO</t>
        </is>
      </c>
      <c r="D278" t="inlineStr">
        <is>
          <t>kilowatt hour</t>
        </is>
      </c>
      <c r="F278" t="inlineStr">
        <is>
          <t>production</t>
        </is>
      </c>
      <c r="G278" t="inlineStr">
        <is>
          <t>high-power battery capacity, FCEV car, engineering reference</t>
        </is>
      </c>
    </row>
    <row r="279">
      <c r="A279" t="inlineStr">
        <is>
          <t>market for battery cell, Li-ion, NMC622</t>
        </is>
      </c>
      <c r="B279">
        <v>25.11261261261261</v>
      </c>
      <c r="C279" t="inlineStr">
        <is>
          <t>GLO</t>
        </is>
      </c>
      <c r="D279" t="inlineStr">
        <is>
          <t>kilogram</t>
        </is>
      </c>
      <c r="F279" t="inlineStr">
        <is>
          <t>technosphere</t>
        </is>
      </c>
      <c r="G279" t="inlineStr">
        <is>
          <t>battery cell, Li-ion, NMC622</t>
        </is>
      </c>
    </row>
    <row r="280">
      <c r="A280" t="inlineStr">
        <is>
          <t>battery central controls and protection, engineering reference</t>
        </is>
      </c>
      <c r="B280">
        <v>0.8043758043758044</v>
      </c>
      <c r="C280" t="inlineStr">
        <is>
          <t>GLO</t>
        </is>
      </c>
      <c r="D280" t="inlineStr">
        <is>
          <t>unit</t>
        </is>
      </c>
      <c r="F280" t="inlineStr">
        <is>
          <t>technosphere</t>
        </is>
      </c>
      <c r="G280" t="inlineStr">
        <is>
          <t>battery central controls and protection, engineering reference</t>
        </is>
      </c>
    </row>
    <row r="281">
      <c r="A281" t="inlineStr">
        <is>
          <t>market for copper, cathode</t>
        </is>
      </c>
      <c r="B281">
        <v>0.12078060465157239</v>
      </c>
      <c r="C281" t="inlineStr">
        <is>
          <t>GLO</t>
        </is>
      </c>
      <c r="D281" t="inlineStr">
        <is>
          <t>kilogram</t>
        </is>
      </c>
      <c r="F281" t="inlineStr">
        <is>
          <t>technosphere</t>
        </is>
      </c>
      <c r="G281" t="inlineStr">
        <is>
          <t>copper, cathode</t>
        </is>
      </c>
    </row>
    <row r="282">
      <c r="A282" t="inlineStr">
        <is>
          <t>metal working, average for copper product manufacturing</t>
        </is>
      </c>
      <c r="B282">
        <v>0.12078060465157239</v>
      </c>
      <c r="C282" t="inlineStr">
        <is>
          <t>RER</t>
        </is>
      </c>
      <c r="D282" t="inlineStr">
        <is>
          <t>kilogram</t>
        </is>
      </c>
      <c r="F282" t="inlineStr">
        <is>
          <t>technosphere</t>
        </is>
      </c>
      <c r="G282" t="inlineStr">
        <is>
          <t>metal working, average for copper product manufacturing</t>
        </is>
      </c>
    </row>
    <row r="283">
      <c r="A283" t="inlineStr">
        <is>
          <t>market for aluminium, wrought alloy</t>
        </is>
      </c>
      <c r="B283">
        <v>6.566284025961444</v>
      </c>
      <c r="C283" t="inlineStr">
        <is>
          <t>GLO</t>
        </is>
      </c>
      <c r="D283" t="inlineStr">
        <is>
          <t>kilogram</t>
        </is>
      </c>
      <c r="F283" t="inlineStr">
        <is>
          <t>technosphere</t>
        </is>
      </c>
      <c r="G283" t="inlineStr">
        <is>
          <t>aluminium, wrought alloy</t>
        </is>
      </c>
    </row>
    <row r="284">
      <c r="A284" t="inlineStr">
        <is>
          <t>metal working, average for aluminium product manufacturing</t>
        </is>
      </c>
      <c r="B284">
        <v>6.566284025961444</v>
      </c>
      <c r="C284" t="inlineStr">
        <is>
          <t>RER</t>
        </is>
      </c>
      <c r="D284" t="inlineStr">
        <is>
          <t>kilogram</t>
        </is>
      </c>
      <c r="F284" t="inlineStr">
        <is>
          <t>technosphere</t>
        </is>
      </c>
      <c r="G284" t="inlineStr">
        <is>
          <t>metal working, average for aluminium product manufacturing</t>
        </is>
      </c>
    </row>
    <row r="285">
      <c r="A285" t="inlineStr">
        <is>
          <t>market for polyethylene, high density, granulate</t>
        </is>
      </c>
      <c r="B285">
        <v>0.19742983452660873</v>
      </c>
      <c r="C285" t="inlineStr">
        <is>
          <t>GLO</t>
        </is>
      </c>
      <c r="D285" t="inlineStr">
        <is>
          <t>kilogram</t>
        </is>
      </c>
      <c r="F285" t="inlineStr">
        <is>
          <t>technosphere</t>
        </is>
      </c>
      <c r="G285" t="inlineStr">
        <is>
          <t>polyethylene, high density, granulate</t>
        </is>
      </c>
    </row>
    <row r="286">
      <c r="A286" t="inlineStr">
        <is>
          <t>market for glass fibre reinforced plastic, polyester resin, hand lay-up</t>
        </is>
      </c>
      <c r="B286">
        <v>0.025549743291678775</v>
      </c>
      <c r="C286" t="inlineStr">
        <is>
          <t>GLO</t>
        </is>
      </c>
      <c r="D286" t="inlineStr">
        <is>
          <t>kilogram</t>
        </is>
      </c>
      <c r="F286" t="inlineStr">
        <is>
          <t>technosphere</t>
        </is>
      </c>
      <c r="G286" t="inlineStr">
        <is>
          <t>glass fibre reinforced plastic, polyester resin, hand lay-up</t>
        </is>
      </c>
    </row>
    <row r="287">
      <c r="A287" t="inlineStr">
        <is>
          <t>market for steel, low-alloyed</t>
        </is>
      </c>
      <c r="B287">
        <v>0.21833416994707314</v>
      </c>
      <c r="C287" t="inlineStr">
        <is>
          <t>GLO</t>
        </is>
      </c>
      <c r="D287" t="inlineStr">
        <is>
          <t>kilogram</t>
        </is>
      </c>
      <c r="F287" t="inlineStr">
        <is>
          <t>technosphere</t>
        </is>
      </c>
      <c r="G287" t="inlineStr">
        <is>
          <t>steel, low-alloyed</t>
        </is>
      </c>
    </row>
    <row r="288">
      <c r="A288" t="inlineStr">
        <is>
          <t>metal working, average for steel product manufacturing</t>
        </is>
      </c>
      <c r="B288">
        <v>0.21833416994707314</v>
      </c>
      <c r="C288" t="inlineStr">
        <is>
          <t>RER</t>
        </is>
      </c>
      <c r="D288" t="inlineStr">
        <is>
          <t>kilogram</t>
        </is>
      </c>
      <c r="F288" t="inlineStr">
        <is>
          <t>technosphere</t>
        </is>
      </c>
      <c r="G288" t="inlineStr">
        <is>
          <t>metal working, average for steel product manufacturing</t>
        </is>
      </c>
    </row>
    <row r="289">
      <c r="A289" t="inlineStr">
        <is>
          <t>market for used Li-ion battery</t>
        </is>
      </c>
      <c r="B289">
        <v>-35.87516087516087</v>
      </c>
      <c r="C289" t="inlineStr">
        <is>
          <t>GLO</t>
        </is>
      </c>
      <c r="D289" t="inlineStr">
        <is>
          <t>kilogram</t>
        </is>
      </c>
      <c r="F289" t="inlineStr">
        <is>
          <t>technosphere</t>
        </is>
      </c>
      <c r="G289" t="inlineStr">
        <is>
          <t>used Li-ion battery</t>
        </is>
      </c>
    </row>
    <row r="292">
      <c r="A292" t="inlineStr">
        <is>
          <t>Activity</t>
        </is>
      </c>
      <c r="B292" t="inlineStr">
        <is>
          <t>high-power battery capacity, FCEV truck, engineering reference</t>
        </is>
      </c>
    </row>
    <row r="293">
      <c r="A293" t="inlineStr">
        <is>
          <t>location</t>
        </is>
      </c>
      <c r="B293" t="inlineStr">
        <is>
          <t>GLO</t>
        </is>
      </c>
    </row>
    <row r="294">
      <c r="A294" t="inlineStr">
        <is>
          <t>production amount</t>
        </is>
      </c>
      <c r="B294">
        <v>1</v>
      </c>
    </row>
    <row r="295">
      <c r="A295" t="inlineStr">
        <is>
          <t>reference product</t>
        </is>
      </c>
      <c r="B295" t="inlineStr">
        <is>
          <t>high-power battery capacity, FCEV truck, engineering reference</t>
        </is>
      </c>
    </row>
    <row r="296">
      <c r="A296" t="inlineStr">
        <is>
          <t>unit</t>
        </is>
      </c>
      <c r="B296" t="inlineStr">
        <is>
          <t>kilowatt hour</t>
        </is>
      </c>
    </row>
    <row r="297">
      <c r="A297" t="inlineStr">
        <is>
          <t>source</t>
        </is>
      </c>
      <c r="B297"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98">
      <c r="A298" t="inlineStr">
        <is>
          <t>comment</t>
        </is>
      </c>
      <c r="B298"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99">
      <c r="A299" t="inlineStr">
        <is>
          <t>Exchanges</t>
        </is>
      </c>
    </row>
    <row r="300">
      <c r="A300" t="inlineStr">
        <is>
          <t>name</t>
        </is>
      </c>
      <c r="B300" t="inlineStr">
        <is>
          <t>amount</t>
        </is>
      </c>
      <c r="C300" t="inlineStr">
        <is>
          <t>location</t>
        </is>
      </c>
      <c r="D300" t="inlineStr">
        <is>
          <t>unit</t>
        </is>
      </c>
      <c r="E300" t="inlineStr">
        <is>
          <t>categories</t>
        </is>
      </c>
      <c r="F300" t="inlineStr">
        <is>
          <t>type</t>
        </is>
      </c>
      <c r="G300" t="inlineStr">
        <is>
          <t>reference product</t>
        </is>
      </c>
      <c r="H300" t="inlineStr">
        <is>
          <t>comment</t>
        </is>
      </c>
    </row>
    <row r="301">
      <c r="A301" t="inlineStr">
        <is>
          <t>high-power battery capacity, FCEV truck, engineering reference</t>
        </is>
      </c>
      <c r="B301">
        <v>1</v>
      </c>
      <c r="C301" t="inlineStr">
        <is>
          <t>GLO</t>
        </is>
      </c>
      <c r="D301" t="inlineStr">
        <is>
          <t>kilowatt hour</t>
        </is>
      </c>
      <c r="F301" t="inlineStr">
        <is>
          <t>production</t>
        </is>
      </c>
      <c r="G301" t="inlineStr">
        <is>
          <t>high-power battery capacity, FCEV truck, engineering reference</t>
        </is>
      </c>
    </row>
    <row r="302">
      <c r="A302" t="inlineStr">
        <is>
          <t>market for battery cell, Li-ion, NMC622</t>
        </is>
      </c>
      <c r="B302">
        <v>6.664</v>
      </c>
      <c r="C302" t="inlineStr">
        <is>
          <t>GLO</t>
        </is>
      </c>
      <c r="D302" t="inlineStr">
        <is>
          <t>kilogram</t>
        </is>
      </c>
      <c r="F302" t="inlineStr">
        <is>
          <t>technosphere</t>
        </is>
      </c>
      <c r="G302" t="inlineStr">
        <is>
          <t>battery cell, Li-ion, NMC622</t>
        </is>
      </c>
    </row>
    <row r="303">
      <c r="A303" t="inlineStr">
        <is>
          <t>battery central controls and protection, engineering reference</t>
        </is>
      </c>
      <c r="B303">
        <v>0.04</v>
      </c>
      <c r="C303" t="inlineStr">
        <is>
          <t>GLO</t>
        </is>
      </c>
      <c r="D303" t="inlineStr">
        <is>
          <t>unit</t>
        </is>
      </c>
      <c r="F303" t="inlineStr">
        <is>
          <t>technosphere</t>
        </is>
      </c>
      <c r="G303" t="inlineStr">
        <is>
          <t>battery central controls and protection, engineering reference</t>
        </is>
      </c>
    </row>
    <row r="304">
      <c r="A304" t="inlineStr">
        <is>
          <t>market for copper, cathode</t>
        </is>
      </c>
      <c r="B304">
        <v>0.03689062848050915</v>
      </c>
      <c r="C304" t="inlineStr">
        <is>
          <t>GLO</t>
        </is>
      </c>
      <c r="D304" t="inlineStr">
        <is>
          <t>kilogram</t>
        </is>
      </c>
      <c r="F304" t="inlineStr">
        <is>
          <t>technosphere</t>
        </is>
      </c>
      <c r="G304" t="inlineStr">
        <is>
          <t>copper, cathode</t>
        </is>
      </c>
    </row>
    <row r="305">
      <c r="A305" t="inlineStr">
        <is>
          <t>metal working, average for copper product manufacturing</t>
        </is>
      </c>
      <c r="B305">
        <v>0.03689062848050915</v>
      </c>
      <c r="C305" t="inlineStr">
        <is>
          <t>RER</t>
        </is>
      </c>
      <c r="D305" t="inlineStr">
        <is>
          <t>kilogram</t>
        </is>
      </c>
      <c r="F305" t="inlineStr">
        <is>
          <t>technosphere</t>
        </is>
      </c>
      <c r="G305" t="inlineStr">
        <is>
          <t>metal working, average for copper product manufacturing</t>
        </is>
      </c>
    </row>
    <row r="306">
      <c r="A306" t="inlineStr">
        <is>
          <t>market for aluminium, wrought alloy</t>
        </is>
      </c>
      <c r="B306">
        <v>2.005573206046141</v>
      </c>
      <c r="C306" t="inlineStr">
        <is>
          <t>GLO</t>
        </is>
      </c>
      <c r="D306" t="inlineStr">
        <is>
          <t>kilogram</t>
        </is>
      </c>
      <c r="F306" t="inlineStr">
        <is>
          <t>technosphere</t>
        </is>
      </c>
      <c r="G306" t="inlineStr">
        <is>
          <t>aluminium, wrought alloy</t>
        </is>
      </c>
    </row>
    <row r="307">
      <c r="A307" t="inlineStr">
        <is>
          <t>metal working, average for aluminium product manufacturing</t>
        </is>
      </c>
      <c r="B307">
        <v>2.005573206046141</v>
      </c>
      <c r="C307" t="inlineStr">
        <is>
          <t>RER</t>
        </is>
      </c>
      <c r="D307" t="inlineStr">
        <is>
          <t>kilogram</t>
        </is>
      </c>
      <c r="F307" t="inlineStr">
        <is>
          <t>technosphere</t>
        </is>
      </c>
      <c r="G307" t="inlineStr">
        <is>
          <t>metal working, average for aluminium product manufacturing</t>
        </is>
      </c>
    </row>
    <row r="308">
      <c r="A308" t="inlineStr">
        <is>
          <t>market for polyethylene, high density, granulate</t>
        </is>
      </c>
      <c r="B308">
        <v>0.06030198886237072</v>
      </c>
      <c r="C308" t="inlineStr">
        <is>
          <t>GLO</t>
        </is>
      </c>
      <c r="D308" t="inlineStr">
        <is>
          <t>kilogram</t>
        </is>
      </c>
      <c r="F308" t="inlineStr">
        <is>
          <t>technosphere</t>
        </is>
      </c>
      <c r="G308" t="inlineStr">
        <is>
          <t>polyethylene, high density, granulate</t>
        </is>
      </c>
    </row>
    <row r="309">
      <c r="A309" t="inlineStr">
        <is>
          <t>market for glass fibre reinforced plastic, polyester resin, hand lay-up</t>
        </is>
      </c>
      <c r="B309">
        <v>0.007803786793953858</v>
      </c>
      <c r="C309" t="inlineStr">
        <is>
          <t>GLO</t>
        </is>
      </c>
      <c r="D309" t="inlineStr">
        <is>
          <t>kilogram</t>
        </is>
      </c>
      <c r="F309" t="inlineStr">
        <is>
          <t>technosphere</t>
        </is>
      </c>
      <c r="G309" t="inlineStr">
        <is>
          <t>glass fibre reinforced plastic, polyester resin, hand lay-up</t>
        </is>
      </c>
    </row>
    <row r="310">
      <c r="A310" t="inlineStr">
        <is>
          <t>market for steel, low-alloyed</t>
        </is>
      </c>
      <c r="B310">
        <v>0.06668690533015115</v>
      </c>
      <c r="C310" t="inlineStr">
        <is>
          <t>GLO</t>
        </is>
      </c>
      <c r="D310" t="inlineStr">
        <is>
          <t>kilogram</t>
        </is>
      </c>
      <c r="F310" t="inlineStr">
        <is>
          <t>technosphere</t>
        </is>
      </c>
      <c r="G310" t="inlineStr">
        <is>
          <t>steel, low-alloyed</t>
        </is>
      </c>
    </row>
    <row r="311">
      <c r="A311" t="inlineStr">
        <is>
          <t>metal working, average for steel product manufacturing</t>
        </is>
      </c>
      <c r="B311">
        <v>0.06668690533015115</v>
      </c>
      <c r="C311" t="inlineStr">
        <is>
          <t>RER</t>
        </is>
      </c>
      <c r="D311" t="inlineStr">
        <is>
          <t>kilogram</t>
        </is>
      </c>
      <c r="F311" t="inlineStr">
        <is>
          <t>technosphere</t>
        </is>
      </c>
      <c r="G311" t="inlineStr">
        <is>
          <t>metal working, average for steel product manufacturing</t>
        </is>
      </c>
    </row>
    <row r="312">
      <c r="A312" t="inlineStr">
        <is>
          <t>ethylene glycols production, thermal hydrolysis of ethylene oxide</t>
        </is>
      </c>
      <c r="B312">
        <v>0.2490117422434367</v>
      </c>
      <c r="C312" t="inlineStr">
        <is>
          <t>RER</t>
        </is>
      </c>
      <c r="D312" t="inlineStr">
        <is>
          <t>kilogram</t>
        </is>
      </c>
      <c r="F312" t="inlineStr">
        <is>
          <t>technosphere</t>
        </is>
      </c>
      <c r="G312" t="inlineStr">
        <is>
          <t>ethylene glycol</t>
        </is>
      </c>
    </row>
    <row r="313">
      <c r="A313" t="inlineStr">
        <is>
          <t>market for water, deionised</t>
        </is>
      </c>
      <c r="B313">
        <v>0.2490117422434367</v>
      </c>
      <c r="C313" t="inlineStr">
        <is>
          <t>RoW</t>
        </is>
      </c>
      <c r="D313" t="inlineStr">
        <is>
          <t>kilogram</t>
        </is>
      </c>
      <c r="F313" t="inlineStr">
        <is>
          <t>technosphere</t>
        </is>
      </c>
      <c r="G313" t="inlineStr">
        <is>
          <t>water, deionised</t>
        </is>
      </c>
    </row>
    <row r="314">
      <c r="A314" t="inlineStr">
        <is>
          <t>market for used Li-ion battery</t>
        </is>
      </c>
      <c r="B314">
        <v>-9.52</v>
      </c>
      <c r="C314" t="inlineStr">
        <is>
          <t>GLO</t>
        </is>
      </c>
      <c r="D314" t="inlineStr">
        <is>
          <t>kilogram</t>
        </is>
      </c>
      <c r="F314" t="inlineStr">
        <is>
          <t>technosphere</t>
        </is>
      </c>
      <c r="G314" t="inlineStr">
        <is>
          <t>used Li-ion battery</t>
        </is>
      </c>
    </row>
    <row r="317">
      <c r="A317" t="inlineStr">
        <is>
          <t>Activity</t>
        </is>
      </c>
      <c r="B317" t="inlineStr">
        <is>
          <t>battery capacity, hydrogen rail, LFP engineering reference</t>
        </is>
      </c>
    </row>
    <row r="318">
      <c r="A318" t="inlineStr">
        <is>
          <t>location</t>
        </is>
      </c>
      <c r="B318" t="inlineStr">
        <is>
          <t>GLO</t>
        </is>
      </c>
    </row>
    <row r="319">
      <c r="A319" t="inlineStr">
        <is>
          <t>production amount</t>
        </is>
      </c>
      <c r="B319">
        <v>1</v>
      </c>
    </row>
    <row r="320">
      <c r="A320" t="inlineStr">
        <is>
          <t>reference product</t>
        </is>
      </c>
      <c r="B320" t="inlineStr">
        <is>
          <t>battery capacity, hydrogen rail, LFP engineering reference</t>
        </is>
      </c>
    </row>
    <row r="321">
      <c r="A321" t="inlineStr">
        <is>
          <t>unit</t>
        </is>
      </c>
      <c r="B321" t="inlineStr">
        <is>
          <t>kilowatt hour</t>
        </is>
      </c>
    </row>
    <row r="322">
      <c r="A322" t="inlineStr">
        <is>
          <t>source</t>
        </is>
      </c>
      <c r="B322" t="inlineStr">
        <is>
          <t>Knibbe2023 DOI10.1016/j.est.2023.108090,3.6MWhLFP/860kWreference and133Wh/kgpack; Dai2018 public LFP non-cell material proportions https://publications.anl.gov/anlpubs/2018/10/146906.pdf Table8.</t>
        </is>
      </c>
    </row>
    <row r="323">
      <c r="A323" t="inlineStr">
        <is>
          <t>comment</t>
        </is>
      </c>
      <c r="B323"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324">
      <c r="A324" t="inlineStr">
        <is>
          <t>Exchanges</t>
        </is>
      </c>
    </row>
    <row r="325">
      <c r="A325" t="inlineStr">
        <is>
          <t>name</t>
        </is>
      </c>
      <c r="B325" t="inlineStr">
        <is>
          <t>amount</t>
        </is>
      </c>
      <c r="C325" t="inlineStr">
        <is>
          <t>location</t>
        </is>
      </c>
      <c r="D325" t="inlineStr">
        <is>
          <t>unit</t>
        </is>
      </c>
      <c r="E325" t="inlineStr">
        <is>
          <t>categories</t>
        </is>
      </c>
      <c r="F325" t="inlineStr">
        <is>
          <t>type</t>
        </is>
      </c>
      <c r="G325" t="inlineStr">
        <is>
          <t>reference product</t>
        </is>
      </c>
      <c r="H325" t="inlineStr">
        <is>
          <t>comment</t>
        </is>
      </c>
      <c r="I325" t="inlineStr">
        <is>
          <t>product</t>
        </is>
      </c>
    </row>
    <row r="326">
      <c r="A326" t="inlineStr">
        <is>
          <t>battery capacity, hydrogen rail, LFP engineering reference</t>
        </is>
      </c>
      <c r="B326">
        <v>1</v>
      </c>
      <c r="C326" t="inlineStr">
        <is>
          <t>GLO</t>
        </is>
      </c>
      <c r="D326" t="inlineStr">
        <is>
          <t>kilowatt hour</t>
        </is>
      </c>
      <c r="F326" t="inlineStr">
        <is>
          <t>production</t>
        </is>
      </c>
      <c r="G326" t="inlineStr">
        <is>
          <t>battery capacity, hydrogen rail, LFP engineering reference</t>
        </is>
      </c>
      <c r="I326" t="inlineStr">
        <is>
          <t>battery capacity, hydrogen rail, LFP engineering reference</t>
        </is>
      </c>
    </row>
    <row r="327">
      <c r="A327" t="inlineStr">
        <is>
          <t>market for battery cell, Li-ion, LFP</t>
        </is>
      </c>
      <c r="B327">
        <v>6.25</v>
      </c>
      <c r="C327" t="inlineStr">
        <is>
          <t>GLO</t>
        </is>
      </c>
      <c r="D327" t="inlineStr">
        <is>
          <t>kilogram</t>
        </is>
      </c>
      <c r="F327" t="inlineStr">
        <is>
          <t>technosphere</t>
        </is>
      </c>
      <c r="G327" t="inlineStr">
        <is>
          <t>battery cell, Li-ion, LFP</t>
        </is>
      </c>
      <c r="I327" t="inlineStr">
        <is>
          <t>battery cell, Li-ion, LFP</t>
        </is>
      </c>
    </row>
    <row r="328">
      <c r="A328" t="inlineStr">
        <is>
          <t>battery monitoring and central controls, LFP, engineering reference</t>
        </is>
      </c>
      <c r="B328">
        <v>0.01</v>
      </c>
      <c r="C328" t="inlineStr">
        <is>
          <t>GLO</t>
        </is>
      </c>
      <c r="D328" t="inlineStr">
        <is>
          <t>unit</t>
        </is>
      </c>
      <c r="F328" t="inlineStr">
        <is>
          <t>technosphere</t>
        </is>
      </c>
      <c r="G328" t="inlineStr">
        <is>
          <t>battery monitoring and central controls, LFP, engineering reference</t>
        </is>
      </c>
      <c r="I328" t="inlineStr">
        <is>
          <t>battery monitoring and central controls, LFP, engineering reference</t>
        </is>
      </c>
    </row>
    <row r="329">
      <c r="A329" t="inlineStr">
        <is>
          <t>market for copper, cathode</t>
        </is>
      </c>
      <c r="B329">
        <v>0.01512710646109896</v>
      </c>
      <c r="C329" t="inlineStr">
        <is>
          <t>GLO</t>
        </is>
      </c>
      <c r="D329" t="inlineStr">
        <is>
          <t>kilogram</t>
        </is>
      </c>
      <c r="F329" t="inlineStr">
        <is>
          <t>technosphere</t>
        </is>
      </c>
      <c r="G329" t="inlineStr">
        <is>
          <t>copper, cathode</t>
        </is>
      </c>
      <c r="I329" t="inlineStr">
        <is>
          <t>copper, cathode</t>
        </is>
      </c>
    </row>
    <row r="330">
      <c r="A330" t="inlineStr">
        <is>
          <t>metal working, average for copper product manufacturing</t>
        </is>
      </c>
      <c r="B330">
        <v>0.01512710646109896</v>
      </c>
      <c r="C330" t="inlineStr">
        <is>
          <t>RER</t>
        </is>
      </c>
      <c r="D330" t="inlineStr">
        <is>
          <t>kilogram</t>
        </is>
      </c>
      <c r="F330" t="inlineStr">
        <is>
          <t>technosphere</t>
        </is>
      </c>
      <c r="G330" t="inlineStr">
        <is>
          <t>metal working, average for copper product manufacturing</t>
        </is>
      </c>
      <c r="I330" t="inlineStr">
        <is>
          <t>metal working, average for copper product manufacturing</t>
        </is>
      </c>
    </row>
    <row r="331">
      <c r="A331" t="inlineStr">
        <is>
          <t>market for aluminium, wrought alloy</t>
        </is>
      </c>
      <c r="B331">
        <v>0.8717605062178482</v>
      </c>
      <c r="C331" t="inlineStr">
        <is>
          <t>GLO</t>
        </is>
      </c>
      <c r="D331" t="inlineStr">
        <is>
          <t>kilogram</t>
        </is>
      </c>
      <c r="F331" t="inlineStr">
        <is>
          <t>technosphere</t>
        </is>
      </c>
      <c r="G331" t="inlineStr">
        <is>
          <t>aluminium, wrought alloy</t>
        </is>
      </c>
      <c r="I331" t="inlineStr">
        <is>
          <t>aluminium, wrought alloy</t>
        </is>
      </c>
    </row>
    <row r="332">
      <c r="A332" t="inlineStr">
        <is>
          <t>metal working, average for aluminium product manufacturing</t>
        </is>
      </c>
      <c r="B332">
        <v>0.8717605062178482</v>
      </c>
      <c r="C332" t="inlineStr">
        <is>
          <t>RER</t>
        </is>
      </c>
      <c r="D332" t="inlineStr">
        <is>
          <t>kilogram</t>
        </is>
      </c>
      <c r="F332" t="inlineStr">
        <is>
          <t>technosphere</t>
        </is>
      </c>
      <c r="G332" t="inlineStr">
        <is>
          <t>metal working, average for aluminium product manufacturing</t>
        </is>
      </c>
      <c r="I332" t="inlineStr">
        <is>
          <t>metal working, average for aluminium product manufacturing</t>
        </is>
      </c>
    </row>
    <row r="333">
      <c r="A333" t="inlineStr">
        <is>
          <t>market for polyethylene, high density, granulate</t>
        </is>
      </c>
      <c r="B333">
        <v>0.02439855880822413</v>
      </c>
      <c r="C333" t="inlineStr">
        <is>
          <t>GLO</t>
        </is>
      </c>
      <c r="D333" t="inlineStr">
        <is>
          <t>kilogram</t>
        </is>
      </c>
      <c r="F333" t="inlineStr">
        <is>
          <t>technosphere</t>
        </is>
      </c>
      <c r="G333" t="inlineStr">
        <is>
          <t>polyethylene, high density, granulate</t>
        </is>
      </c>
      <c r="I333" t="inlineStr">
        <is>
          <t>polyethylene, high density, granulate</t>
        </is>
      </c>
    </row>
    <row r="334">
      <c r="A334" t="inlineStr">
        <is>
          <t>market for glass fibre reinforced plastic, polyester resin, hand lay-up</t>
        </is>
      </c>
      <c r="B334">
        <v>0.003171812645069137</v>
      </c>
      <c r="C334" t="inlineStr">
        <is>
          <t>GLO</t>
        </is>
      </c>
      <c r="D334" t="inlineStr">
        <is>
          <t>kilogram</t>
        </is>
      </c>
      <c r="F334" t="inlineStr">
        <is>
          <t>technosphere</t>
        </is>
      </c>
      <c r="G334" t="inlineStr">
        <is>
          <t>glass fibre reinforced plastic, polyester resin, hand lay-up</t>
        </is>
      </c>
      <c r="I334" t="inlineStr">
        <is>
          <t>glass fibre reinforced plastic, polyester resin, hand lay-up</t>
        </is>
      </c>
    </row>
    <row r="335">
      <c r="A335" t="inlineStr">
        <is>
          <t>market for steel, low-alloyed</t>
        </is>
      </c>
      <c r="B335">
        <v>0.03513392468384275</v>
      </c>
      <c r="C335" t="inlineStr">
        <is>
          <t>GLO</t>
        </is>
      </c>
      <c r="D335" t="inlineStr">
        <is>
          <t>kilogram</t>
        </is>
      </c>
      <c r="F335" t="inlineStr">
        <is>
          <t>technosphere</t>
        </is>
      </c>
      <c r="G335" t="inlineStr">
        <is>
          <t>steel, low-alloyed</t>
        </is>
      </c>
      <c r="I335" t="inlineStr">
        <is>
          <t>steel, low-alloyed</t>
        </is>
      </c>
    </row>
    <row r="336">
      <c r="A336" t="inlineStr">
        <is>
          <t>metal working, average for steel product manufacturing</t>
        </is>
      </c>
      <c r="B336">
        <v>0.03513392468384275</v>
      </c>
      <c r="C336" t="inlineStr">
        <is>
          <t>RER</t>
        </is>
      </c>
      <c r="D336" t="inlineStr">
        <is>
          <t>kilogram</t>
        </is>
      </c>
      <c r="F336" t="inlineStr">
        <is>
          <t>technosphere</t>
        </is>
      </c>
      <c r="G336" t="inlineStr">
        <is>
          <t>metal working, average for steel product manufacturing</t>
        </is>
      </c>
      <c r="I336" t="inlineStr">
        <is>
          <t>metal working, average for steel product manufacturing</t>
        </is>
      </c>
    </row>
    <row r="337">
      <c r="A337" t="inlineStr">
        <is>
          <t>ethylene glycols production, thermal hydrolysis of ethylene oxide</t>
        </is>
      </c>
      <c r="B337">
        <v>0.12626254183255986</v>
      </c>
      <c r="C337" t="inlineStr">
        <is>
          <t>RER</t>
        </is>
      </c>
      <c r="D337" t="inlineStr">
        <is>
          <t>kilogram</t>
        </is>
      </c>
      <c r="F337" t="inlineStr">
        <is>
          <t>technosphere</t>
        </is>
      </c>
      <c r="G337" t="inlineStr">
        <is>
          <t>ethylene glycol</t>
        </is>
      </c>
      <c r="I337" t="inlineStr">
        <is>
          <t>ethylene glycol</t>
        </is>
      </c>
    </row>
    <row r="338">
      <c r="A338" t="inlineStr">
        <is>
          <t>market for water, deionised</t>
        </is>
      </c>
      <c r="B338">
        <v>0.12626254183255986</v>
      </c>
      <c r="C338" t="inlineStr">
        <is>
          <t>RoW</t>
        </is>
      </c>
      <c r="D338" t="inlineStr">
        <is>
          <t>kilogram</t>
        </is>
      </c>
      <c r="F338" t="inlineStr">
        <is>
          <t>technosphere</t>
        </is>
      </c>
      <c r="G338" t="inlineStr">
        <is>
          <t>water, deionised</t>
        </is>
      </c>
      <c r="I338" t="inlineStr">
        <is>
          <t>water, deionised</t>
        </is>
      </c>
    </row>
    <row r="339">
      <c r="A339" t="inlineStr">
        <is>
          <t>market for used Li-ion battery</t>
        </is>
      </c>
      <c r="B339">
        <v>-7.452116992481203</v>
      </c>
      <c r="C339" t="inlineStr">
        <is>
          <t>GLO</t>
        </is>
      </c>
      <c r="D339" t="inlineStr">
        <is>
          <t>kilogram</t>
        </is>
      </c>
      <c r="F339" t="inlineStr">
        <is>
          <t>technosphere</t>
        </is>
      </c>
      <c r="G339" t="inlineStr">
        <is>
          <t>used Li-ion battery</t>
        </is>
      </c>
      <c r="I339" t="inlineStr">
        <is>
          <t>used Li-ion battery</t>
        </is>
      </c>
    </row>
    <row r="342">
      <c r="A342" t="inlineStr">
        <is>
          <t>Activity</t>
        </is>
      </c>
      <c r="B342" t="inlineStr">
        <is>
          <t>battery hardware, fuel-cell bus LTO, engineering reference</t>
        </is>
      </c>
    </row>
    <row r="343">
      <c r="A343" t="inlineStr">
        <is>
          <t>location</t>
        </is>
      </c>
      <c r="B343" t="inlineStr">
        <is>
          <t>GLO</t>
        </is>
      </c>
    </row>
    <row r="344">
      <c r="A344" t="inlineStr">
        <is>
          <t>production amount</t>
        </is>
      </c>
      <c r="B344">
        <v>1</v>
      </c>
    </row>
    <row r="345">
      <c r="A345" t="inlineStr">
        <is>
          <t>reference product</t>
        </is>
      </c>
      <c r="B345" t="inlineStr">
        <is>
          <t>battery hardware, fuel-cell bus LTO, engineering reference</t>
        </is>
      </c>
    </row>
    <row r="346">
      <c r="A346" t="inlineStr">
        <is>
          <t>unit</t>
        </is>
      </c>
      <c r="B346" t="inlineStr">
        <is>
          <t>unit</t>
        </is>
      </c>
    </row>
    <row r="347">
      <c r="A347" t="inlineStr">
        <is>
          <t>source</t>
        </is>
      </c>
      <c r="B347"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48">
      <c r="A348" t="inlineStr">
        <is>
          <t>comment</t>
        </is>
      </c>
      <c r="B348" t="inlineStr">
        <is>
          <t>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49">
      <c r="A349" t="inlineStr">
        <is>
          <t>Exchanges</t>
        </is>
      </c>
    </row>
    <row r="350">
      <c r="A350" t="inlineStr">
        <is>
          <t>name</t>
        </is>
      </c>
      <c r="B350" t="inlineStr">
        <is>
          <t>amount</t>
        </is>
      </c>
      <c r="C350" t="inlineStr">
        <is>
          <t>location</t>
        </is>
      </c>
      <c r="D350" t="inlineStr">
        <is>
          <t>unit</t>
        </is>
      </c>
      <c r="E350" t="inlineStr">
        <is>
          <t>categories</t>
        </is>
      </c>
      <c r="F350" t="inlineStr">
        <is>
          <t>type</t>
        </is>
      </c>
      <c r="G350" t="inlineStr">
        <is>
          <t>reference product</t>
        </is>
      </c>
      <c r="H350" t="inlineStr">
        <is>
          <t>comment</t>
        </is>
      </c>
      <c r="I350" t="inlineStr">
        <is>
          <t>product</t>
        </is>
      </c>
    </row>
    <row r="351">
      <c r="A351" t="inlineStr">
        <is>
          <t>battery hardware, fuel-cell bus LTO, engineering reference</t>
        </is>
      </c>
      <c r="B351">
        <v>1</v>
      </c>
      <c r="C351" t="inlineStr">
        <is>
          <t>GLO</t>
        </is>
      </c>
      <c r="D351" t="inlineStr">
        <is>
          <t>unit</t>
        </is>
      </c>
      <c r="F351" t="inlineStr">
        <is>
          <t>production</t>
        </is>
      </c>
      <c r="G351" t="inlineStr">
        <is>
          <t>battery hardware, fuel-cell bus LTO, engineering reference</t>
        </is>
      </c>
      <c r="I351" t="inlineStr">
        <is>
          <t>battery hardware, fuel-cell bus LTO, engineering reference</t>
        </is>
      </c>
    </row>
    <row r="352">
      <c r="A352" t="inlineStr">
        <is>
          <t>battery cell production, Li-ion, LTO</t>
        </is>
      </c>
      <c r="B352">
        <v>182.5</v>
      </c>
      <c r="C352" t="inlineStr">
        <is>
          <t>GLO</t>
        </is>
      </c>
      <c r="D352" t="inlineStr">
        <is>
          <t>kilogram</t>
        </is>
      </c>
      <c r="F352" t="inlineStr">
        <is>
          <t>technosphere</t>
        </is>
      </c>
      <c r="G352" t="inlineStr">
        <is>
          <t>battery cell, Li-ion, LTO</t>
        </is>
      </c>
      <c r="I352" t="inlineStr">
        <is>
          <t>battery cell, Li-ion, LTO</t>
        </is>
      </c>
    </row>
    <row r="353">
      <c r="A353" t="inlineStr">
        <is>
          <t>market for aluminium, wrought alloy</t>
        </is>
      </c>
      <c r="B353">
        <v>35.481</v>
      </c>
      <c r="C353" t="inlineStr">
        <is>
          <t>GLO</t>
        </is>
      </c>
      <c r="D353" t="inlineStr">
        <is>
          <t>kilogram</t>
        </is>
      </c>
      <c r="F353" t="inlineStr">
        <is>
          <t>technosphere</t>
        </is>
      </c>
      <c r="G353" t="inlineStr">
        <is>
          <t>aluminium, wrought alloy</t>
        </is>
      </c>
      <c r="I353" t="inlineStr">
        <is>
          <t>aluminium, wrought alloy</t>
        </is>
      </c>
    </row>
    <row r="354">
      <c r="A354" t="inlineStr">
        <is>
          <t>market for copper, cathode</t>
        </is>
      </c>
      <c r="B354">
        <v>10.6443</v>
      </c>
      <c r="C354" t="inlineStr">
        <is>
          <t>GLO</t>
        </is>
      </c>
      <c r="D354" t="inlineStr">
        <is>
          <t>kilogram</t>
        </is>
      </c>
      <c r="F354" t="inlineStr">
        <is>
          <t>technosphere</t>
        </is>
      </c>
      <c r="G354" t="inlineStr">
        <is>
          <t>copper, cathode</t>
        </is>
      </c>
      <c r="I354" t="inlineStr">
        <is>
          <t>copper, cathode</t>
        </is>
      </c>
    </row>
    <row r="355">
      <c r="A355" t="inlineStr">
        <is>
          <t>market for steel, low-alloyed</t>
        </is>
      </c>
      <c r="B355">
        <v>7.0962000000000005</v>
      </c>
      <c r="C355" t="inlineStr">
        <is>
          <t>GLO</t>
        </is>
      </c>
      <c r="D355" t="inlineStr">
        <is>
          <t>kilogram</t>
        </is>
      </c>
      <c r="F355" t="inlineStr">
        <is>
          <t>technosphere</t>
        </is>
      </c>
      <c r="G355" t="inlineStr">
        <is>
          <t>steel, low-alloyed</t>
        </is>
      </c>
      <c r="I355" t="inlineStr">
        <is>
          <t>steel, low-alloyed</t>
        </is>
      </c>
    </row>
    <row r="356">
      <c r="A356" t="inlineStr">
        <is>
          <t>market for nylon 6</t>
        </is>
      </c>
      <c r="B356">
        <v>7.0962000000000005</v>
      </c>
      <c r="C356" t="inlineStr">
        <is>
          <t>RER</t>
        </is>
      </c>
      <c r="D356" t="inlineStr">
        <is>
          <t>kilogram</t>
        </is>
      </c>
      <c r="F356" t="inlineStr">
        <is>
          <t>technosphere</t>
        </is>
      </c>
      <c r="G356" t="inlineStr">
        <is>
          <t>nylon 6</t>
        </is>
      </c>
      <c r="I356" t="inlineStr">
        <is>
          <t>nylon 6</t>
        </is>
      </c>
    </row>
    <row r="357">
      <c r="A357" t="inlineStr">
        <is>
          <t>ethylene glycols production, thermal hydrolysis of ethylene oxide</t>
        </is>
      </c>
      <c r="B357">
        <v>5.32215</v>
      </c>
      <c r="C357" t="inlineStr">
        <is>
          <t>RER</t>
        </is>
      </c>
      <c r="D357" t="inlineStr">
        <is>
          <t>kilogram</t>
        </is>
      </c>
      <c r="F357" t="inlineStr">
        <is>
          <t>technosphere</t>
        </is>
      </c>
      <c r="G357" t="inlineStr">
        <is>
          <t>ethylene glycol</t>
        </is>
      </c>
      <c r="I357" t="inlineStr">
        <is>
          <t>ethylene glycol</t>
        </is>
      </c>
    </row>
    <row r="358">
      <c r="A358" t="inlineStr">
        <is>
          <t>market for water, deionised</t>
        </is>
      </c>
      <c r="B358">
        <v>5.32215</v>
      </c>
      <c r="C358" t="inlineStr">
        <is>
          <t>RoW</t>
        </is>
      </c>
      <c r="D358" t="inlineStr">
        <is>
          <t>kilogram</t>
        </is>
      </c>
      <c r="F358" t="inlineStr">
        <is>
          <t>technosphere</t>
        </is>
      </c>
      <c r="G358" t="inlineStr">
        <is>
          <t>water, deionised</t>
        </is>
      </c>
      <c r="I358" t="inlineStr">
        <is>
          <t>water, deionised</t>
        </is>
      </c>
    </row>
    <row r="359">
      <c r="A359" t="inlineStr">
        <is>
          <t>market group for electricity, medium voltage</t>
        </is>
      </c>
      <c r="B359">
        <v>260</v>
      </c>
      <c r="C359" t="inlineStr">
        <is>
          <t>GLO</t>
        </is>
      </c>
      <c r="D359" t="inlineStr">
        <is>
          <t>kilowatt hour</t>
        </is>
      </c>
      <c r="F359" t="inlineStr">
        <is>
          <t>technosphere</t>
        </is>
      </c>
      <c r="G359" t="inlineStr">
        <is>
          <t>electricity, medium voltage</t>
        </is>
      </c>
      <c r="I359" t="inlineStr">
        <is>
          <t>electricity, medium voltage</t>
        </is>
      </c>
    </row>
    <row r="362">
      <c r="A362" t="inlineStr">
        <is>
          <t>Activity</t>
        </is>
      </c>
      <c r="B362" t="inlineStr">
        <is>
          <t>high-power battery capacity, fuel-cell bus LTO, engineering reference</t>
        </is>
      </c>
    </row>
    <row r="363">
      <c r="A363" t="inlineStr">
        <is>
          <t>location</t>
        </is>
      </c>
      <c r="B363" t="inlineStr">
        <is>
          <t>GLO</t>
        </is>
      </c>
    </row>
    <row r="364">
      <c r="A364" t="inlineStr">
        <is>
          <t>production amount</t>
        </is>
      </c>
      <c r="B364">
        <v>1</v>
      </c>
    </row>
    <row r="365">
      <c r="A365" t="inlineStr">
        <is>
          <t>reference product</t>
        </is>
      </c>
      <c r="B365" t="inlineStr">
        <is>
          <t>high-power battery capacity, fuel-cell bus LTO, engineering reference</t>
        </is>
      </c>
    </row>
    <row r="366">
      <c r="A366" t="inlineStr">
        <is>
          <t>unit</t>
        </is>
      </c>
      <c r="B366" t="inlineStr">
        <is>
          <t>kilowatt hour</t>
        </is>
      </c>
    </row>
    <row r="367">
      <c r="A367" t="inlineStr">
        <is>
          <t>source</t>
        </is>
      </c>
      <c r="B367"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68">
      <c r="A368" t="inlineStr">
        <is>
          <t>comment</t>
        </is>
      </c>
      <c r="B368" t="inlineStr">
        <is>
          <t>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69">
      <c r="A369" t="inlineStr">
        <is>
          <t>Exchanges</t>
        </is>
      </c>
    </row>
    <row r="370">
      <c r="A370" t="inlineStr">
        <is>
          <t>name</t>
        </is>
      </c>
      <c r="B370" t="inlineStr">
        <is>
          <t>amount</t>
        </is>
      </c>
      <c r="C370" t="inlineStr">
        <is>
          <t>location</t>
        </is>
      </c>
      <c r="D370" t="inlineStr">
        <is>
          <t>unit</t>
        </is>
      </c>
      <c r="E370" t="inlineStr">
        <is>
          <t>categories</t>
        </is>
      </c>
      <c r="F370" t="inlineStr">
        <is>
          <t>type</t>
        </is>
      </c>
      <c r="G370" t="inlineStr">
        <is>
          <t>reference product</t>
        </is>
      </c>
      <c r="H370" t="inlineStr">
        <is>
          <t>comment</t>
        </is>
      </c>
      <c r="I370" t="inlineStr">
        <is>
          <t>product</t>
        </is>
      </c>
    </row>
    <row r="371">
      <c r="A371" t="inlineStr">
        <is>
          <t>high-power battery capacity, fuel-cell bus LTO, engineering reference</t>
        </is>
      </c>
      <c r="B371">
        <v>1</v>
      </c>
      <c r="C371" t="inlineStr">
        <is>
          <t>GLO</t>
        </is>
      </c>
      <c r="D371" t="inlineStr">
        <is>
          <t>kilowatt hour</t>
        </is>
      </c>
      <c r="F371" t="inlineStr">
        <is>
          <t>production</t>
        </is>
      </c>
      <c r="G371" t="inlineStr">
        <is>
          <t>high-power battery capacity, fuel-cell bus LTO, engineering reference</t>
        </is>
      </c>
      <c r="I371" t="inlineStr">
        <is>
          <t>high-power battery capacity, fuel-cell bus LTO, engineering reference</t>
        </is>
      </c>
    </row>
    <row r="372">
      <c r="A372" t="inlineStr">
        <is>
          <t>battery hardware, fuel-cell bus LTO, engineering reference</t>
        </is>
      </c>
      <c r="B372">
        <v>0.0684931506849315</v>
      </c>
      <c r="C372" t="inlineStr">
        <is>
          <t>GLO</t>
        </is>
      </c>
      <c r="D372" t="inlineStr">
        <is>
          <t>unit</t>
        </is>
      </c>
      <c r="F372" t="inlineStr">
        <is>
          <t>technosphere</t>
        </is>
      </c>
      <c r="G372" t="inlineStr">
        <is>
          <t>battery hardware, fuel-cell bus LTO, engineering reference</t>
        </is>
      </c>
      <c r="I372" t="inlineStr">
        <is>
          <t>battery hardware, fuel-cell bus LTO, engineering reference</t>
        </is>
      </c>
    </row>
    <row r="373">
      <c r="A373" t="inlineStr">
        <is>
          <t>battery monitoring and central controls, NMC955, engineering reference</t>
        </is>
      </c>
      <c r="B373">
        <v>0.0684931506849315</v>
      </c>
      <c r="C373" t="inlineStr">
        <is>
          <t>GLO</t>
        </is>
      </c>
      <c r="D373" t="inlineStr">
        <is>
          <t>unit</t>
        </is>
      </c>
      <c r="F373" t="inlineStr">
        <is>
          <t>technosphere</t>
        </is>
      </c>
      <c r="G373" t="inlineStr">
        <is>
          <t>battery monitoring and central controls, NMC955, engineering reference</t>
        </is>
      </c>
      <c r="I373" t="inlineStr">
        <is>
          <t>battery monitoring and central controls, NMC955, engineering reference</t>
        </is>
      </c>
    </row>
    <row r="374">
      <c r="A374" t="inlineStr">
        <is>
          <t>market for used Li-ion battery</t>
        </is>
      </c>
      <c r="B374">
        <v>-17.360410958904108</v>
      </c>
      <c r="C374" t="inlineStr">
        <is>
          <t>GLO</t>
        </is>
      </c>
      <c r="D374" t="inlineStr">
        <is>
          <t>kilogram</t>
        </is>
      </c>
      <c r="F374" t="inlineStr">
        <is>
          <t>technosphere</t>
        </is>
      </c>
      <c r="G374" t="inlineStr">
        <is>
          <t>used Li-ion battery</t>
        </is>
      </c>
      <c r="I374" t="inlineStr">
        <is>
          <t>used Li-ion battery</t>
        </is>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market for battery hardware, Li-ion, LFP, engineering reference</t>
        </is>
      </c>
      <c r="B11" s="7">
        <f>8.336580159913266</f>
        <v>8.336580159913266</v>
      </c>
      <c r="C11" t="s">
        <v>7</v>
      </c>
      <c r="D11" t="s">
        <v>3</v>
      </c>
      <c r="E11" t="s">
        <v>14</v>
      </c>
      <c r="F11" t="inlineStr">
        <is>
          <t>battery hardware, Li-ion, LFP, engineering reference</t>
        </is>
      </c>
      <c r="G11">
        <v>5</v>
      </c>
      <c r="H11" s="7">
        <f>8.336580159913266</f>
        <v>8.336580159913266</v>
      </c>
      <c r="I11" s="7">
        <f>7.020278029400646</f>
        <v>7.020278029400646</v>
      </c>
      <c r="J11" s="7">
        <f>9.527520182758018</f>
        <v>9.527520182758018</v>
      </c>
    </row>
    <row r="12" spans="1:14" ns3:dyDescent="0.2">
      <c r="A12" t="s">
        <v>53</v>
      </c>
      <c r="B12" s="7">
        <f>-8.336580159913266</f>
        <v>-8.336580159913266</v>
      </c>
      <c r="C12" t="s">
        <v>7</v>
      </c>
      <c r="D12" t="s">
        <v>3</v>
      </c>
      <c r="E12" t="s">
        <v>14</v>
      </c>
      <c r="F12" t="s">
        <v>54</v>
      </c>
      <c r="G12">
        <v>5</v>
      </c>
      <c r="H12" s="7">
        <f>-8.336580159913266</f>
        <v>-8.336580159913266</v>
      </c>
      <c r="I12" s="7">
        <f>-9.527520182758018</f>
        <v>-9.527520182758018</v>
      </c>
      <c r="J12" s="7">
        <f>-7.020278029400646</f>
        <v>-7.020278029400646</v>
      </c>
      <c r="K12" t="b">
        <v>1</v>
      </c>
      <c r="M12" s="7"/>
      <c r="N12" s="7"/>
    </row>
    <row r="13">
      <c r="A13" t="inlineStr">
        <is>
          <t>battery monitoring and central controls, LFP, engineering reference</t>
        </is>
      </c>
      <c r="B13">
        <v>0.042349911912183215</v>
      </c>
      <c r="C13" t="inlineStr">
        <is>
          <t>unit</t>
        </is>
      </c>
      <c r="D13" t="inlineStr">
        <is>
          <t>GLO</t>
        </is>
      </c>
      <c r="E13" t="inlineStr">
        <is>
          <t>technosphere</t>
        </is>
      </c>
      <c r="F13" t="inlineStr">
        <is>
          <t>battery monitoring and central controls, LFP, engineering reference</t>
        </is>
      </c>
    </row>
    <row r="14" spans="1:14" ht="16" ns3:dyDescent="0.2">
      <c r="A14" s="2" t="s">
        <v>0</v>
      </c>
      <c r="B14" s="2" t="s">
        <v>80</v>
      </c>
    </row>
    <row r="15" spans="1:14" ns3:dyDescent="0.2">
      <c r="A15" t="s">
        <v>1</v>
      </c>
      <c r="B1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market for battery hardware, Li-ion, NMC111, engineering reference</t>
        </is>
      </c>
      <c r="B24" s="3">
        <f>7.372463889120817</f>
        <v>7.372463889120817</v>
      </c>
      <c r="C24" t="s">
        <v>7</v>
      </c>
      <c r="D24" t="s">
        <v>3</v>
      </c>
      <c r="E24" t="s">
        <v>14</v>
      </c>
      <c r="F24" t="inlineStr">
        <is>
          <t>battery hardware, Li-ion, NMC111, engineering reference</t>
        </is>
      </c>
      <c r="G24">
        <v>5</v>
      </c>
      <c r="H24" s="7">
        <f>7.372463889120817</f>
        <v>7.372463889120817</v>
      </c>
      <c r="I24" s="7">
        <f>6.984439473903931</f>
        <v>6.984439473903931</v>
      </c>
      <c r="J24" s="7">
        <f>9.478882143155333</f>
        <v>9.478882143155333</v>
      </c>
    </row>
    <row r="25" spans="1:14" ns3:dyDescent="0.2">
      <c r="A25" t="s">
        <v>53</v>
      </c>
      <c r="B25" s="3">
        <f>-7.372463889120817</f>
        <v>-7.372463889120817</v>
      </c>
      <c r="C25" t="s">
        <v>7</v>
      </c>
      <c r="D25" t="s">
        <v>3</v>
      </c>
      <c r="E25" t="s">
        <v>14</v>
      </c>
      <c r="F25" t="s">
        <v>54</v>
      </c>
      <c r="G25">
        <v>5</v>
      </c>
      <c r="H25" s="7">
        <f>-7.372463889120817</f>
        <v>-7.372463889120817</v>
      </c>
      <c r="I25" s="7">
        <f>-9.478882143155333</f>
        <v>-9.478882143155333</v>
      </c>
      <c r="J25" s="7">
        <f>-6.984439473903931</f>
        <v>-6.984439473903931</v>
      </c>
      <c r="K25" t="b">
        <v>1</v>
      </c>
      <c r="M25" s="7"/>
      <c r="N25" s="7"/>
    </row>
    <row r="26">
      <c r="A26" t="inlineStr">
        <is>
          <t>battery monitoring and central controls, NMC111, engineering reference</t>
        </is>
      </c>
      <c r="B26">
        <v>0.046385201265388296</v>
      </c>
      <c r="C26" t="inlineStr">
        <is>
          <t>unit</t>
        </is>
      </c>
      <c r="D26" t="inlineStr">
        <is>
          <t>GLO</t>
        </is>
      </c>
      <c r="E26" t="inlineStr">
        <is>
          <t>technosphere</t>
        </is>
      </c>
      <c r="F26" t="inlineStr">
        <is>
          <t>battery monitoring and central controls, NMC111, engineering reference</t>
        </is>
      </c>
    </row>
    <row r="27" spans="1:14" ht="16" ns3:dyDescent="0.2">
      <c r="A27" s="2" t="s">
        <v>0</v>
      </c>
      <c r="B27" s="2" t="s">
        <v>114</v>
      </c>
    </row>
    <row r="28" spans="1:14" ns3:dyDescent="0.2">
      <c r="A28" t="s">
        <v>1</v>
      </c>
      <c r="B2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market for battery hardware, Li-ion, NMC532, engineering reference</t>
        </is>
      </c>
      <c r="B37" s="3">
        <f>6.7453485143015826</f>
        <v>6.7453485143015826</v>
      </c>
      <c r="C37" t="s">
        <v>7</v>
      </c>
      <c r="D37" t="s">
        <v>3</v>
      </c>
      <c r="E37" t="s">
        <v>14</v>
      </c>
      <c r="F37" t="inlineStr">
        <is>
          <t>battery hardware, Li-ion, NMC532, engineering reference</t>
        </is>
      </c>
      <c r="G37">
        <v>5</v>
      </c>
      <c r="H37" s="7">
        <f>6.7453485143015826</f>
        <v>6.7453485143015826</v>
      </c>
      <c r="I37" s="3">
        <f>6.132135013001438</f>
        <v>6.132135013001438</v>
      </c>
      <c r="J37" s="3">
        <f>7.9357041344724495</f>
        <v>7.9357041344724495</v>
      </c>
    </row>
    <row r="38" spans="1:14" ns3:dyDescent="0.2">
      <c r="A38" t="s">
        <v>53</v>
      </c>
      <c r="B38" s="3">
        <f>-6.7453485143015826</f>
        <v>-6.7453485143015826</v>
      </c>
      <c r="C38" t="s">
        <v>7</v>
      </c>
      <c r="D38" t="s">
        <v>3</v>
      </c>
      <c r="E38" t="s">
        <v>14</v>
      </c>
      <c r="F38" t="s">
        <v>54</v>
      </c>
      <c r="G38">
        <v>5</v>
      </c>
      <c r="H38" s="7">
        <f>-6.7453485143015826</f>
        <v>-6.7453485143015826</v>
      </c>
      <c r="I38" s="3">
        <f>-7.9357041344724495</f>
        <v>-7.9357041344724495</v>
      </c>
      <c r="J38" s="3">
        <f>-6.132135013001438</f>
        <v>-6.132135013001438</v>
      </c>
      <c r="K38" t="b">
        <v>1</v>
      </c>
      <c r="M38" s="3"/>
      <c r="N38" s="3"/>
    </row>
    <row r="39">
      <c r="A39" t="inlineStr">
        <is>
          <t>battery monitoring and central controls, NMC532, engineering reference</t>
        </is>
      </c>
      <c r="B39">
        <v>0.04628343978524484</v>
      </c>
      <c r="C39" t="inlineStr">
        <is>
          <t>unit</t>
        </is>
      </c>
      <c r="D39" t="inlineStr">
        <is>
          <t>GLO</t>
        </is>
      </c>
      <c r="E39" t="inlineStr">
        <is>
          <t>technosphere</t>
        </is>
      </c>
      <c r="F39" t="inlineStr">
        <is>
          <t>battery monitoring and central controls, NMC532, engineering reference</t>
        </is>
      </c>
    </row>
    <row r="40" spans="1:14" ht="16" ns3:dyDescent="0.2">
      <c r="A40" s="2" t="s">
        <v>0</v>
      </c>
      <c r="B40" s="2" t="s">
        <v>81</v>
      </c>
    </row>
    <row r="41" spans="1:14" ns3:dyDescent="0.2">
      <c r="A41" t="s">
        <v>1</v>
      </c>
      <c r="B41"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market for battery hardware, Li-ion, NMC622, engineering reference</t>
        </is>
      </c>
      <c r="B50" s="3">
        <f>5.621123761917986</f>
        <v>5.621123761917986</v>
      </c>
      <c r="C50" t="s">
        <v>7</v>
      </c>
      <c r="D50" t="s">
        <v>3</v>
      </c>
      <c r="E50" t="s">
        <v>14</v>
      </c>
      <c r="F50" t="inlineStr">
        <is>
          <t>battery hardware, Li-ion, NMC622, engineering reference</t>
        </is>
      </c>
      <c r="G50">
        <v>5</v>
      </c>
      <c r="H50" s="7">
        <f>5.621123761917986</f>
        <v>5.621123761917986</v>
      </c>
      <c r="I50" s="3">
        <f>4.818106081643988</f>
        <v>4.818106081643988</v>
      </c>
      <c r="J50" s="3">
        <f>6.745348514301584</f>
        <v>6.745348514301584</v>
      </c>
    </row>
    <row r="51" spans="1:14" ns3:dyDescent="0.2">
      <c r="A51" t="s">
        <v>53</v>
      </c>
      <c r="B51" s="3">
        <f>-5.621123761917986</f>
        <v>-5.621123761917986</v>
      </c>
      <c r="C51" t="s">
        <v>7</v>
      </c>
      <c r="D51" t="s">
        <v>3</v>
      </c>
      <c r="E51" t="s">
        <v>14</v>
      </c>
      <c r="F51" t="s">
        <v>54</v>
      </c>
      <c r="G51">
        <v>5</v>
      </c>
      <c r="H51" s="7">
        <f>-5.621123761917986</f>
        <v>-5.621123761917986</v>
      </c>
      <c r="I51" s="3">
        <f>-6.745348514301584</f>
        <v>-6.745348514301584</v>
      </c>
      <c r="J51" s="3">
        <f>-4.818106081643988</f>
        <v>-4.818106081643988</v>
      </c>
      <c r="K51" t="b">
        <v>1</v>
      </c>
      <c r="M51" s="3"/>
      <c r="N51" s="3"/>
    </row>
    <row r="52">
      <c r="A52" t="inlineStr">
        <is>
          <t>battery monitoring and central controls, NMC622, engineering reference</t>
        </is>
      </c>
      <c r="B52">
        <v>0.0385695331543707</v>
      </c>
      <c r="C52" t="inlineStr">
        <is>
          <t>unit</t>
        </is>
      </c>
      <c r="D52" t="inlineStr">
        <is>
          <t>GLO</t>
        </is>
      </c>
      <c r="E52" t="inlineStr">
        <is>
          <t>technosphere</t>
        </is>
      </c>
      <c r="F52" t="inlineStr">
        <is>
          <t>battery monitoring and central controls, NMC622, engineering reference</t>
        </is>
      </c>
    </row>
    <row r="53" spans="1:14" ht="16" ns3:dyDescent="0.2">
      <c r="A53" s="2" t="s">
        <v>0</v>
      </c>
      <c r="B53" s="2" t="s">
        <v>82</v>
      </c>
    </row>
    <row r="54" spans="1:14" ns3:dyDescent="0.2">
      <c r="A54" t="s">
        <v>1</v>
      </c>
      <c r="B5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market for battery hardware, Li-ion, NMC811, engineering reference</t>
        </is>
      </c>
      <c r="B63" s="3">
        <f>4.819219669713574</f>
        <v>4.819219669713574</v>
      </c>
      <c r="C63" t="s">
        <v>7</v>
      </c>
      <c r="D63" t="s">
        <v>3</v>
      </c>
      <c r="E63" t="s">
        <v>14</v>
      </c>
      <c r="F63" t="inlineStr">
        <is>
          <t>battery hardware, Li-ion, NMC811, engineering reference</t>
        </is>
      </c>
      <c r="G63">
        <v>5</v>
      </c>
      <c r="H63" s="7">
        <f>4.819219669713574</f>
        <v>4.819219669713574</v>
      </c>
      <c r="I63" s="3">
        <f>3.96876913976412</f>
        <v>3.96876913976412</v>
      </c>
      <c r="J63" s="3">
        <f>5.622422947999169</f>
        <v>5.622422947999169</v>
      </c>
    </row>
    <row r="64" spans="1:14" ns3:dyDescent="0.2">
      <c r="A64" t="s">
        <v>53</v>
      </c>
      <c r="B64" s="3">
        <f>-4.819219669713574</f>
        <v>-4.819219669713574</v>
      </c>
      <c r="C64" t="s">
        <v>7</v>
      </c>
      <c r="D64" t="s">
        <v>3</v>
      </c>
      <c r="E64" t="s">
        <v>14</v>
      </c>
      <c r="F64" t="s">
        <v>54</v>
      </c>
      <c r="G64">
        <v>5</v>
      </c>
      <c r="H64" s="7">
        <f>-4.819219669713574</f>
        <v>-4.819219669713574</v>
      </c>
      <c r="I64" s="3">
        <f>-5.622422947999169</f>
        <v>-5.622422947999169</v>
      </c>
      <c r="J64" s="3">
        <f>-3.96876913976412</f>
        <v>-3.96876913976412</v>
      </c>
      <c r="K64" t="b">
        <v>1</v>
      </c>
      <c r="M64" s="3"/>
      <c r="N64" s="3"/>
    </row>
    <row r="65">
      <c r="A65" t="inlineStr">
        <is>
          <t>battery monitoring and central controls, NMC811, engineering reference</t>
        </is>
      </c>
      <c r="B65">
        <v>0.03178275848917479</v>
      </c>
      <c r="C65" t="inlineStr">
        <is>
          <t>unit</t>
        </is>
      </c>
      <c r="D65" t="inlineStr">
        <is>
          <t>GLO</t>
        </is>
      </c>
      <c r="E65" t="inlineStr">
        <is>
          <t>technosphere</t>
        </is>
      </c>
      <c r="F65" t="inlineStr">
        <is>
          <t>battery monitoring and central controls, NMC811, engineering reference</t>
        </is>
      </c>
    </row>
    <row r="66" spans="1:14" ht="16" ns3:dyDescent="0.2">
      <c r="A66" s="2" t="s">
        <v>0</v>
      </c>
      <c r="B66" s="2" t="s">
        <v>83</v>
      </c>
    </row>
    <row r="67" spans="1:14" ns3:dyDescent="0.2">
      <c r="A67" t="s">
        <v>1</v>
      </c>
      <c r="B6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market for battery hardware, Li-ion, NMC955, engineering reference</t>
        </is>
      </c>
      <c r="B76" s="3">
        <f>3.967852067236225</f>
        <v>3.967852067236225</v>
      </c>
      <c r="C76" t="s">
        <v>7</v>
      </c>
      <c r="D76" t="s">
        <v>3</v>
      </c>
      <c r="E76" t="s">
        <v>14</v>
      </c>
      <c r="F76" t="inlineStr">
        <is>
          <t>battery hardware, Li-ion, NMC955, engineering reference</t>
        </is>
      </c>
      <c r="G76">
        <v>5</v>
      </c>
      <c r="H76" s="7">
        <f>3.967852067236225</f>
        <v>3.967852067236225</v>
      </c>
      <c r="I76" s="3">
        <f>3.550183428579781</f>
        <v>3.550183428579781</v>
      </c>
      <c r="J76" s="3">
        <f>4.496899009534389</f>
        <v>4.496899009534389</v>
      </c>
    </row>
    <row r="77" spans="1:14" ns3:dyDescent="0.2">
      <c r="A77" t="s">
        <v>53</v>
      </c>
      <c r="B77" s="3">
        <f>-3.967852067236225</f>
        <v>-3.967852067236225</v>
      </c>
      <c r="C77" t="s">
        <v>7</v>
      </c>
      <c r="D77" t="s">
        <v>3</v>
      </c>
      <c r="E77" t="s">
        <v>14</v>
      </c>
      <c r="F77" t="s">
        <v>54</v>
      </c>
      <c r="G77">
        <v>5</v>
      </c>
      <c r="H77" s="7">
        <f>-3.967852067236225</f>
        <v>-3.967852067236225</v>
      </c>
      <c r="I77" s="3">
        <f>-4.496899009534389</f>
        <v>-4.496899009534389</v>
      </c>
      <c r="J77" s="3">
        <f>-3.550183428579781</f>
        <v>-3.550183428579781</v>
      </c>
      <c r="K77" t="b">
        <v>1</v>
      </c>
      <c r="M77" s="3"/>
      <c r="N77" s="3"/>
    </row>
    <row r="79">
      <c r="A79" t="inlineStr">
        <is>
          <t>battery monitoring and central controls, NMC955, engineering reference</t>
        </is>
      </c>
      <c r="B79">
        <v>0.027225552814849903</v>
      </c>
      <c r="C79" t="inlineStr">
        <is>
          <t>unit</t>
        </is>
      </c>
      <c r="D79" t="inlineStr">
        <is>
          <t>GLO</t>
        </is>
      </c>
      <c r="E79" t="inlineStr">
        <is>
          <t>technosphere</t>
        </is>
      </c>
      <c r="F79" t="inlineStr">
        <is>
          <t>battery monitoring and central controls, NMC955, engineering reference</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