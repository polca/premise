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<sst xmlns="http://schemas.openxmlformats.org/spreadsheetml/2006/main" count="1378" uniqueCount="116">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</sst>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 xml:space="preserve">market for battery cell, Li-ion, LFP, including end-of-life treatment</t>
        </is>
      </c>
      <c r="B13" s="7">
        <f>6.249999999999999</f>
        <v>6.249999999999999</v>
      </c>
      <c r="C13" t="s">
        <v>7</v>
      </c>
      <c r="D13" t="inlineStr">
        <is>
          <t>GLO</t>
        </is>
      </c>
      <c r="E13" t="s">
        <v>14</v>
      </c>
      <c r="F13" t="inlineStr">
        <is>
          <t xml:space="preserve">battery cell, Li-ion, LFP, including end-of-life treatment</t>
        </is>
      </c>
      <c r="G13">
        <v>5</v>
      </c>
      <c r="H13" s="7">
        <f>6.249999999999999</f>
        <v>6.249999999999999</v>
      </c>
      <c r="I13" s="7">
        <f>5.263157894736842</f>
        <v>5.263157894736842</v>
      </c>
      <c r="J13" s="7">
        <f>7.1428571428571415</f>
        <v>7.1428571428571415</v>
      </c>
    </row>
    <row r="14" spans="1:14" ns3:dyDescent="0.2">
      <c r="A14" t="inlineStr">
        <is>
          <t xml:space="preserve">battery pack component production and end-of-life treatment, Li-ion, LFP, without cells and controls</t>
        </is>
      </c>
      <c r="B14" s="7">
        <f>1</f>
        <v>1</v>
      </c>
      <c r="C14" t="inlineStr">
        <is>
          <t xml:space="preserve">kilowatt hour</t>
        </is>
      </c>
      <c r="D14" t="inlineStr">
        <is>
          <t>GLO</t>
        </is>
      </c>
      <c r="E14" t="s">
        <v>14</v>
      </c>
      <c r="F14" t="inlineStr">
        <is>
          <t xml:space="preserve">battery pack component provision, Li-ion, LFP, without cells and controls</t>
        </is>
      </c>
      <c r="G14">
        <v>0</v>
      </c>
      <c r="H14" s="7">
        <f>1</f>
        <v>1</v>
      </c>
      <c r="I14" s="7">
        <f>1</f>
        <v>1</v>
      </c>
      <c r="J14" s="7">
        <f>1</f>
        <v>1</v>
      </c>
      <c r="K14" t="inlineStr">
        <is>
          <t/>
        </is>
      </c>
      <c r="M14" s="7"/>
      <c r="N14" s="7"/>
    </row>
    <row r="15">
      <c r="A15" t="inlineStr">
        <is>
          <t xml:space="preserve">battery monitoring and central control system production, Li-ion, LFP</t>
        </is>
      </c>
      <c r="B15">
        <v>0.042349911912183215</v>
      </c>
      <c r="C15" t="inlineStr">
        <is>
          <t>unit</t>
        </is>
      </c>
      <c r="D15" t="inlineStr">
        <is>
          <t>GLO</t>
        </is>
      </c>
      <c r="E15" t="inlineStr">
        <is>
          <t>technosphere</t>
        </is>
      </c>
      <c r="F15" t="inlineStr">
        <is>
          <t xml:space="preserve">battery monitoring and central control system, Li-ion, LFP</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 xml:space="preserve">market for battery cell, Li-ion, NMC111, including end-of-life treatment</t>
        </is>
      </c>
      <c r="B26" s="3">
        <f>5.555555555555555</f>
        <v>5.555555555555555</v>
      </c>
      <c r="C26" t="s">
        <v>7</v>
      </c>
      <c r="D26" t="inlineStr">
        <is>
          <t>GLO</t>
        </is>
      </c>
      <c r="E26" t="s">
        <v>14</v>
      </c>
      <c r="F26" t="inlineStr">
        <is>
          <t xml:space="preserve">battery cell, Li-ion, NMC111, including end-of-life treatment</t>
        </is>
      </c>
      <c r="G26">
        <v>5</v>
      </c>
      <c r="H26" s="7">
        <f>5.555555555555555</f>
        <v>5.555555555555555</v>
      </c>
      <c r="I26" s="7">
        <f>5.263157894736842</f>
        <v>5.263157894736842</v>
      </c>
      <c r="J26" s="7">
        <f>7.142857142857141</f>
        <v>7.142857142857141</v>
      </c>
    </row>
    <row r="27" spans="1:14" ns3:dyDescent="0.2">
      <c r="A27" t="inlineStr">
        <is>
          <t xml:space="preserve">battery pack component production and end-of-life treatment, Li-ion, NMC111, without cells and controls</t>
        </is>
      </c>
      <c r="B27" s="3">
        <f>1</f>
        <v>1</v>
      </c>
      <c r="C27" t="inlineStr">
        <is>
          <t xml:space="preserve">kilowatt hour</t>
        </is>
      </c>
      <c r="D27" t="inlineStr">
        <is>
          <t>GLO</t>
        </is>
      </c>
      <c r="E27" t="s">
        <v>14</v>
      </c>
      <c r="F27" t="inlineStr">
        <is>
          <t xml:space="preserve">battery pack component provision, Li-ion, NMC111, without cells and controls</t>
        </is>
      </c>
      <c r="G27">
        <v>0</v>
      </c>
      <c r="H27" s="7">
        <f>1</f>
        <v>1</v>
      </c>
      <c r="I27" s="7">
        <f>1</f>
        <v>1</v>
      </c>
      <c r="J27" s="7">
        <f>1</f>
        <v>1</v>
      </c>
      <c r="K27" t="inlineStr">
        <is>
          <t/>
        </is>
      </c>
      <c r="M27" s="7"/>
      <c r="N27" s="7"/>
    </row>
    <row r="28">
      <c r="A28" t="inlineStr">
        <is>
          <t xml:space="preserve">battery monitoring and central control system production, Li-ion, NMC111</t>
        </is>
      </c>
      <c r="B28">
        <v>0.046385201265388296</v>
      </c>
      <c r="C28" t="inlineStr">
        <is>
          <t>unit</t>
        </is>
      </c>
      <c r="D28" t="inlineStr">
        <is>
          <t>GLO</t>
        </is>
      </c>
      <c r="E28" t="inlineStr">
        <is>
          <t>technosphere</t>
        </is>
      </c>
      <c r="F28" t="inlineStr">
        <is>
          <t xml:space="preserve">battery monitoring and central control system, Li-ion, NMC111</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 xml:space="preserve">market for battery cell, Li-ion, NMC532, including end-of-life treatment</t>
        </is>
      </c>
      <c r="B39" s="3">
        <f>4.999999999999999</f>
        <v>4.999999999999999</v>
      </c>
      <c r="C39" t="s">
        <v>7</v>
      </c>
      <c r="D39" t="inlineStr">
        <is>
          <t>GLO</t>
        </is>
      </c>
      <c r="E39" t="s">
        <v>14</v>
      </c>
      <c r="F39" t="inlineStr">
        <is>
          <t xml:space="preserve">battery cell, Li-ion, NMC532, including end-of-life treatment</t>
        </is>
      </c>
      <c r="G39">
        <v>5</v>
      </c>
      <c r="H39" s="7">
        <f>4.999999999999999</f>
        <v>4.999999999999999</v>
      </c>
      <c r="I39" s="3">
        <f>4.545454545454544</f>
        <v>4.545454545454544</v>
      </c>
      <c r="J39" s="3">
        <f>5.882352941176469</f>
        <v>5.882352941176469</v>
      </c>
    </row>
    <row r="40" spans="1:14" ns3:dyDescent="0.2">
      <c r="A40" t="inlineStr">
        <is>
          <t xml:space="preserve">battery pack component production and end-of-life treatment, Li-ion, NMC532, without cells and controls</t>
        </is>
      </c>
      <c r="B40" s="3">
        <f>1</f>
        <v>1</v>
      </c>
      <c r="C40" t="inlineStr">
        <is>
          <t xml:space="preserve">kilowatt hour</t>
        </is>
      </c>
      <c r="D40" t="inlineStr">
        <is>
          <t>GLO</t>
        </is>
      </c>
      <c r="E40" t="s">
        <v>14</v>
      </c>
      <c r="F40" t="inlineStr">
        <is>
          <t xml:space="preserve">battery pack component provision, Li-ion, NMC532, without cells and controls</t>
        </is>
      </c>
      <c r="G40">
        <v>0</v>
      </c>
      <c r="H40" s="7">
        <f>1</f>
        <v>1</v>
      </c>
      <c r="I40" s="3">
        <f>1</f>
        <v>1</v>
      </c>
      <c r="J40" s="3">
        <f>1</f>
        <v>1</v>
      </c>
      <c r="K40" t="inlineStr">
        <is>
          <t/>
        </is>
      </c>
      <c r="M40" s="3"/>
      <c r="N40" s="3"/>
    </row>
    <row r="41">
      <c r="A41" t="inlineStr">
        <is>
          <t xml:space="preserve">battery monitoring and central control system production, Li-ion, NMC532</t>
        </is>
      </c>
      <c r="B41">
        <v>0.04628343978524484</v>
      </c>
      <c r="C41" t="inlineStr">
        <is>
          <t>unit</t>
        </is>
      </c>
      <c r="D41" t="inlineStr">
        <is>
          <t>GLO</t>
        </is>
      </c>
      <c r="E41" t="inlineStr">
        <is>
          <t>technosphere</t>
        </is>
      </c>
      <c r="F41" t="inlineStr">
        <is>
          <t xml:space="preserve">battery monitoring and central control system, Li-ion, NMC532</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 xml:space="preserve">market for battery cell, Li-ion, NMC622, including end-of-life treatment</t>
        </is>
      </c>
      <c r="B52" s="3">
        <f>4.166666666666667</f>
        <v>4.166666666666667</v>
      </c>
      <c r="C52" t="s">
        <v>7</v>
      </c>
      <c r="D52" t="inlineStr">
        <is>
          <t>GLO</t>
        </is>
      </c>
      <c r="E52" t="s">
        <v>14</v>
      </c>
      <c r="F52" t="inlineStr">
        <is>
          <t xml:space="preserve">battery cell, Li-ion, NMC622, including end-of-life treatment</t>
        </is>
      </c>
      <c r="G52">
        <v>5</v>
      </c>
      <c r="H52" s="7">
        <f>4.166666666666667</f>
        <v>4.166666666666667</v>
      </c>
      <c r="I52" s="3">
        <f>3.571428571428571</f>
        <v>3.571428571428571</v>
      </c>
      <c r="J52" s="3">
        <f>5.000000000000001</f>
        <v>5.000000000000001</v>
      </c>
    </row>
    <row r="53" spans="1:14" ns3:dyDescent="0.2">
      <c r="A53" t="inlineStr">
        <is>
          <t xml:space="preserve">battery pack component production and end-of-life treatment, Li-ion, NMC622, without cells and controls</t>
        </is>
      </c>
      <c r="B53" s="3">
        <f>1</f>
        <v>1</v>
      </c>
      <c r="C53" t="inlineStr">
        <is>
          <t xml:space="preserve">kilowatt hour</t>
        </is>
      </c>
      <c r="D53" t="inlineStr">
        <is>
          <t>GLO</t>
        </is>
      </c>
      <c r="E53" t="s">
        <v>14</v>
      </c>
      <c r="F53" t="inlineStr">
        <is>
          <t xml:space="preserve">battery pack component provision, Li-ion, NMC622, without cells and controls</t>
        </is>
      </c>
      <c r="G53">
        <v>0</v>
      </c>
      <c r="H53" s="7">
        <f>1</f>
        <v>1</v>
      </c>
      <c r="I53" s="3">
        <f>1</f>
        <v>1</v>
      </c>
      <c r="J53" s="3">
        <f>1</f>
        <v>1</v>
      </c>
      <c r="K53" t="inlineStr">
        <is>
          <t/>
        </is>
      </c>
      <c r="M53" s="3"/>
      <c r="N53" s="3"/>
    </row>
    <row r="54">
      <c r="A54" t="inlineStr">
        <is>
          <t xml:space="preserve">battery monitoring and central control system production, Li-ion, NMC622</t>
        </is>
      </c>
      <c r="B54">
        <v>0.0385695331543707</v>
      </c>
      <c r="C54" t="inlineStr">
        <is>
          <t>unit</t>
        </is>
      </c>
      <c r="D54" t="inlineStr">
        <is>
          <t>GLO</t>
        </is>
      </c>
      <c r="E54" t="inlineStr">
        <is>
          <t>technosphere</t>
        </is>
      </c>
      <c r="F54" t="inlineStr">
        <is>
          <t xml:space="preserve">battery monitoring and central control system, Li-ion, NMC622</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 xml:space="preserve">market for battery cell, Li-ion, NMC811, including end-of-life treatment</t>
        </is>
      </c>
      <c r="B65" s="3">
        <f>3.571428571428571</f>
        <v>3.571428571428571</v>
      </c>
      <c r="C65" t="s">
        <v>7</v>
      </c>
      <c r="D65" t="inlineStr">
        <is>
          <t>GLO</t>
        </is>
      </c>
      <c r="E65" t="s">
        <v>14</v>
      </c>
      <c r="F65" t="inlineStr">
        <is>
          <t xml:space="preserve">battery cell, Li-ion, NMC811, including end-of-life treatment</t>
        </is>
      </c>
      <c r="G65">
        <v>5</v>
      </c>
      <c r="H65" s="7">
        <f>3.571428571428571</f>
        <v>3.571428571428571</v>
      </c>
      <c r="I65" s="3">
        <f>2.9411764705882355</f>
        <v>2.9411764705882355</v>
      </c>
      <c r="J65" s="3">
        <f>4.166666666666666</f>
        <v>4.166666666666666</v>
      </c>
    </row>
    <row r="66" spans="1:14" ns3:dyDescent="0.2">
      <c r="A66" t="inlineStr">
        <is>
          <t xml:space="preserve">battery pack component production and end-of-life treatment, Li-ion, NMC811, without cells and controls</t>
        </is>
      </c>
      <c r="B66" s="3">
        <f>1</f>
        <v>1</v>
      </c>
      <c r="C66" t="inlineStr">
        <is>
          <t xml:space="preserve">kilowatt hour</t>
        </is>
      </c>
      <c r="D66" t="inlineStr">
        <is>
          <t>GLO</t>
        </is>
      </c>
      <c r="E66" t="s">
        <v>14</v>
      </c>
      <c r="F66" t="inlineStr">
        <is>
          <t xml:space="preserve">battery pack component provision, Li-ion, NMC811, without cells and controls</t>
        </is>
      </c>
      <c r="G66">
        <v>0</v>
      </c>
      <c r="H66" s="7">
        <f>1</f>
        <v>1</v>
      </c>
      <c r="I66" s="3">
        <f>1</f>
        <v>1</v>
      </c>
      <c r="J66" s="3">
        <f>1</f>
        <v>1</v>
      </c>
      <c r="K66" t="inlineStr">
        <is>
          <t/>
        </is>
      </c>
      <c r="M66" s="3"/>
      <c r="N66" s="3"/>
    </row>
    <row r="67">
      <c r="A67" t="inlineStr">
        <is>
          <t xml:space="preserve">battery monitoring and central control system production, Li-ion, NMC811</t>
        </is>
      </c>
      <c r="B67">
        <v>0.03178275848917479</v>
      </c>
      <c r="C67" t="inlineStr">
        <is>
          <t>unit</t>
        </is>
      </c>
      <c r="D67" t="inlineStr">
        <is>
          <t>GLO</t>
        </is>
      </c>
      <c r="E67" t="inlineStr">
        <is>
          <t>technosphere</t>
        </is>
      </c>
      <c r="F67" t="inlineStr">
        <is>
          <t xml:space="preserve">battery monitoring and central control system, Li-ion, NMC811</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 xml:space="preserve">market for battery cell, Li-ion, NMC955, including end-of-life treatment</t>
        </is>
      </c>
      <c r="B78" s="3">
        <f>2.941176470588235</f>
        <v>2.941176470588235</v>
      </c>
      <c r="C78" t="s">
        <v>7</v>
      </c>
      <c r="D78" t="inlineStr">
        <is>
          <t>GLO</t>
        </is>
      </c>
      <c r="E78" t="s">
        <v>14</v>
      </c>
      <c r="F78" t="inlineStr">
        <is>
          <t xml:space="preserve">battery cell, Li-ion, NMC955, including end-of-life treatment</t>
        </is>
      </c>
      <c r="G78">
        <v>5</v>
      </c>
      <c r="H78" s="7">
        <f>2.941176470588235</f>
        <v>2.941176470588235</v>
      </c>
      <c r="I78" s="3">
        <f>2.6315789473684212</f>
        <v>2.6315789473684212</v>
      </c>
      <c r="J78" s="3">
        <f>3.333333333333334</f>
        <v>3.333333333333334</v>
      </c>
    </row>
    <row r="79" spans="1:14" ns3:dyDescent="0.2">
      <c r="A79" t="inlineStr">
        <is>
          <t xml:space="preserve">battery pack component production and end-of-life treatment, Li-ion, NMC955, without cells and controls</t>
        </is>
      </c>
      <c r="B79" s="3">
        <f>1</f>
        <v>1</v>
      </c>
      <c r="C79" t="inlineStr">
        <is>
          <t xml:space="preserve">kilowatt hour</t>
        </is>
      </c>
      <c r="D79" t="inlineStr">
        <is>
          <t>GLO</t>
        </is>
      </c>
      <c r="E79" t="s">
        <v>14</v>
      </c>
      <c r="F79" t="inlineStr">
        <is>
          <t xml:space="preserve">battery pack component provision, Li-ion, NMC955, without cells and controls</t>
        </is>
      </c>
      <c r="G79">
        <v>0</v>
      </c>
      <c r="H79" s="7">
        <f>1</f>
        <v>1</v>
      </c>
      <c r="I79" s="3">
        <f>1</f>
        <v>1</v>
      </c>
      <c r="J79" s="3">
        <f>1</f>
        <v>1</v>
      </c>
      <c r="K79" t="inlineStr">
        <is>
          <t/>
        </is>
      </c>
      <c r="M79" s="3"/>
      <c r="N79" s="3"/>
    </row>
    <row r="80">
      <c r="A80" t="inlineStr">
        <is>
          <t xml:space="preserve">battery monitoring and central control system production, Li-ion, NMC955</t>
        </is>
      </c>
      <c r="B80">
        <v>0.027225552814849903</v>
      </c>
      <c r="C80" t="inlineStr">
        <is>
          <t>unit</t>
        </is>
      </c>
      <c r="D80" t="inlineStr">
        <is>
          <t>GLO</t>
        </is>
      </c>
      <c r="E80" t="inlineStr">
        <is>
          <t>technosphere</t>
        </is>
      </c>
      <c r="F80" t="inlineStr">
        <is>
          <t xml:space="preserve">battery monitoring and central control system, Li-ion, NMC955</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 xml:space="preserve">market for battery cell, Li-ion, NCA, including end-of-life treatment</t>
        </is>
      </c>
      <c r="B91" s="3">
        <f>3.571428571428571</f>
        <v>3.571428571428571</v>
      </c>
      <c r="C91" t="s">
        <v>7</v>
      </c>
      <c r="D91" t="inlineStr">
        <is>
          <t>GLO</t>
        </is>
      </c>
      <c r="E91" t="s">
        <v>14</v>
      </c>
      <c r="F91" t="inlineStr">
        <is>
          <t xml:space="preserve">battery cell, Li-ion, NCA, including end-of-life treatment</t>
        </is>
      </c>
      <c r="G91">
        <v>5</v>
      </c>
      <c r="H91" s="7">
        <f>3.571428571428571</f>
        <v>3.571428571428571</v>
      </c>
      <c r="I91" s="3">
        <f>2.9411764705882355</f>
        <v>2.9411764705882355</v>
      </c>
      <c r="J91" s="3">
        <f>4.166666666666667</f>
        <v>4.166666666666667</v>
      </c>
    </row>
    <row r="92" spans="1:14" ns3:dyDescent="0.2">
      <c r="A92" t="inlineStr">
        <is>
          <t xml:space="preserve">battery pack component production and end-of-life treatment, Li-ion, NCA, without cells and controls</t>
        </is>
      </c>
      <c r="B92" s="3">
        <f>1</f>
        <v>1</v>
      </c>
      <c r="C92" t="inlineStr">
        <is>
          <t xml:space="preserve">kilowatt hour</t>
        </is>
      </c>
      <c r="D92" t="inlineStr">
        <is>
          <t>GLO</t>
        </is>
      </c>
      <c r="E92" t="s">
        <v>14</v>
      </c>
      <c r="F92" t="inlineStr">
        <is>
          <t xml:space="preserve">battery pack component provision, Li-ion, NCA, without cells and controls</t>
        </is>
      </c>
      <c r="G92">
        <v>0</v>
      </c>
      <c r="H92" s="7">
        <f>1</f>
        <v>1</v>
      </c>
      <c r="I92" s="3">
        <f>1</f>
        <v>1</v>
      </c>
      <c r="J92" s="3">
        <f>1</f>
        <v>1</v>
      </c>
      <c r="K92" t="inlineStr">
        <is>
          <t/>
        </is>
      </c>
      <c r="M92" s="3"/>
      <c r="N92" s="3"/>
    </row>
    <row r="93">
      <c r="A93" t="inlineStr">
        <is>
          <t xml:space="preserve">battery monitoring and central control system production, Li-ion, NCA</t>
        </is>
      </c>
      <c r="B93">
        <v>0.03402656794425087</v>
      </c>
      <c r="C93" t="inlineStr">
        <is>
          <t>unit</t>
        </is>
      </c>
      <c r="D93" t="inlineStr">
        <is>
          <t>GLO</t>
        </is>
      </c>
      <c r="E93" t="inlineStr">
        <is>
          <t>technosphere</t>
        </is>
      </c>
      <c r="F93" t="inlineStr">
        <is>
          <t xml:space="preserve">battery monitoring and central control system, Li-ion, NCA</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 xml:space="preserve">market for battery cell, Li-ion, LTO, including end-of-life treatment</t>
        </is>
      </c>
      <c r="B104" s="3">
        <f>16.558558534285197</f>
        <v>16.558558534285197</v>
      </c>
      <c r="C104" t="s">
        <v>7</v>
      </c>
      <c r="D104" t="inlineStr">
        <is>
          <t>GLO</t>
        </is>
      </c>
      <c r="E104" t="s">
        <v>14</v>
      </c>
      <c r="F104" t="inlineStr">
        <is>
          <t xml:space="preserve">battery cell, Li-ion, LTO, including end-of-life treatment</t>
        </is>
      </c>
      <c r="G104">
        <v>5</v>
      </c>
      <c r="H104" s="7">
        <f>16.558558534285197</f>
        <v>16.558558534285197</v>
      </c>
      <c r="I104" s="7">
        <f>12.4189189007139</f>
        <v>12.4189189007139</v>
      </c>
      <c r="J104" s="7">
        <f>20.698198167856496</f>
        <v>20.698198167856496</v>
      </c>
    </row>
    <row r="105" spans="1:14" ns3:dyDescent="0.2">
      <c r="A105" t="inlineStr">
        <is>
          <t xml:space="preserve">battery pack component production and end-of-life treatment, Li-ion, LTO, without cells and controls</t>
        </is>
      </c>
      <c r="B105" s="3">
        <f>1</f>
        <v>1</v>
      </c>
      <c r="C105" t="inlineStr">
        <is>
          <t xml:space="preserve">kilowatt hour</t>
        </is>
      </c>
      <c r="D105" t="inlineStr">
        <is>
          <t>GLO</t>
        </is>
      </c>
      <c r="E105" t="s">
        <v>14</v>
      </c>
      <c r="F105" t="inlineStr">
        <is>
          <t xml:space="preserve">battery pack component provision, Li-ion, LTO, without cells and controls</t>
        </is>
      </c>
      <c r="G105">
        <v>0</v>
      </c>
      <c r="H105" s="7">
        <f>1</f>
        <v>1</v>
      </c>
      <c r="I105" s="7">
        <f>1</f>
        <v>1</v>
      </c>
      <c r="J105" s="7">
        <f>1</f>
        <v>1</v>
      </c>
      <c r="K105" t="inlineStr">
        <is>
          <t/>
        </is>
      </c>
      <c r="M105" s="7"/>
      <c r="N105" s="7"/>
    </row>
    <row r="106">
      <c r="A106" t="inlineStr">
        <is>
          <t xml:space="preserve">battery monitoring and central control system production, Li-ion, LTO</t>
        </is>
      </c>
      <c r="B106">
        <v>0.1532774093704082</v>
      </c>
      <c r="C106" t="inlineStr">
        <is>
          <t>unit</t>
        </is>
      </c>
      <c r="D106" t="inlineStr">
        <is>
          <t>GLO</t>
        </is>
      </c>
      <c r="E106" t="inlineStr">
        <is>
          <t>technosphere</t>
        </is>
      </c>
      <c r="F106" t="inlineStr">
        <is>
          <t xml:space="preserve">battery monitoring and central control system, Li-ion, LTO</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 xml:space="preserve">market for battery cell, Li-ion, LiMn2O4, including end-of-life treatment</t>
        </is>
      </c>
      <c r="B117" s="3">
        <f>7.692307692307694</f>
        <v>7.692307692307694</v>
      </c>
      <c r="C117" t="s">
        <v>7</v>
      </c>
      <c r="D117" t="inlineStr">
        <is>
          <t>GLO</t>
        </is>
      </c>
      <c r="E117" t="s">
        <v>14</v>
      </c>
      <c r="F117" t="inlineStr">
        <is>
          <t xml:space="preserve">battery cell, Li-ion, LiMn2O4, including end-of-life treatment</t>
        </is>
      </c>
      <c r="G117">
        <v>5</v>
      </c>
      <c r="H117" s="7">
        <f>7.692307692307695</f>
        <v>7.692307692307695</v>
      </c>
      <c r="I117" s="7">
        <f>5.76923076923077</f>
        <v>5.76923076923077</v>
      </c>
      <c r="J117" s="7">
        <f>9.615384615384617</f>
        <v>9.615384615384617</v>
      </c>
    </row>
    <row r="118" spans="1:14" ns3:dyDescent="0.2">
      <c r="A118" t="inlineStr">
        <is>
          <t xml:space="preserve">battery pack component production and end-of-life treatment, Li-ion, LiMn2O4, without cells and controls</t>
        </is>
      </c>
      <c r="B118" s="3">
        <f>1</f>
        <v>1</v>
      </c>
      <c r="C118" t="inlineStr">
        <is>
          <t xml:space="preserve">kilowatt hour</t>
        </is>
      </c>
      <c r="D118" t="inlineStr">
        <is>
          <t>GLO</t>
        </is>
      </c>
      <c r="E118" t="s">
        <v>14</v>
      </c>
      <c r="F118" t="inlineStr">
        <is>
          <t xml:space="preserve">battery pack component provision, Li-ion, LiMn2O4, without cells and controls</t>
        </is>
      </c>
      <c r="G118">
        <v>0</v>
      </c>
      <c r="H118" s="7">
        <f>1</f>
        <v>1</v>
      </c>
      <c r="I118" s="7">
        <f>1</f>
        <v>1</v>
      </c>
      <c r="J118" s="7">
        <f>1</f>
        <v>1</v>
      </c>
      <c r="K118" t="inlineStr">
        <is>
          <t/>
        </is>
      </c>
      <c r="M118" s="7"/>
      <c r="N118" s="7"/>
    </row>
    <row r="119">
      <c r="A119" t="inlineStr">
        <is>
          <t xml:space="preserve">battery monitoring and central control system production, Li-ion, LiMn2O4</t>
        </is>
      </c>
      <c r="B119">
        <v>0.05258978390857793</v>
      </c>
      <c r="C119" t="inlineStr">
        <is>
          <t>unit</t>
        </is>
      </c>
      <c r="D119" t="inlineStr">
        <is>
          <t>GLO</t>
        </is>
      </c>
      <c r="E119" t="inlineStr">
        <is>
          <t>technosphere</t>
        </is>
      </c>
      <c r="F119" t="inlineStr">
        <is>
          <t xml:space="preserve">battery monitoring and central control system, Li-ion, LiMn2O4</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 xml:space="preserve">market for battery cell, Li-sulfur, Li-S, including end-of-life treatment</t>
        </is>
      </c>
      <c r="B130" s="3">
        <f>6.666666666666667</f>
        <v>6.666666666666667</v>
      </c>
      <c r="C130" t="s">
        <v>7</v>
      </c>
      <c r="D130" t="inlineStr">
        <is>
          <t>GLO</t>
        </is>
      </c>
      <c r="E130" t="s">
        <v>14</v>
      </c>
      <c r="F130" t="inlineStr">
        <is>
          <t xml:space="preserve">battery cell, Li-sulfur, Li-S, including end-of-life treatment</t>
        </is>
      </c>
      <c r="G130">
        <v>5</v>
      </c>
      <c r="H130" s="7">
        <f>6.666666666666667</f>
        <v>6.666666666666667</v>
      </c>
      <c r="I130" s="3">
        <f>5.555555555555555</f>
        <v>5.555555555555555</v>
      </c>
      <c r="J130" s="3">
        <f>8.333333333333334</f>
        <v>8.333333333333334</v>
      </c>
    </row>
    <row r="131" spans="1:14" ns3:dyDescent="0.2">
      <c r="A131" t="inlineStr">
        <is>
          <t xml:space="preserve">battery pack component production and end-of-life treatment, Li-sulfur, Li-S, without cells and controls</t>
        </is>
      </c>
      <c r="B131" s="3">
        <f>1</f>
        <v>1</v>
      </c>
      <c r="C131" t="inlineStr">
        <is>
          <t xml:space="preserve">kilowatt hour</t>
        </is>
      </c>
      <c r="D131" t="inlineStr">
        <is>
          <t>GLO</t>
        </is>
      </c>
      <c r="E131" t="s">
        <v>14</v>
      </c>
      <c r="F131" t="inlineStr">
        <is>
          <t xml:space="preserve">battery pack component provision, Li-sulfur, Li-S, without cells and controls</t>
        </is>
      </c>
      <c r="G131">
        <v>0</v>
      </c>
      <c r="H131" s="7">
        <f>1</f>
        <v>1</v>
      </c>
      <c r="I131" s="3">
        <f>1</f>
        <v>1</v>
      </c>
      <c r="J131" s="3">
        <f>1</f>
        <v>1</v>
      </c>
      <c r="K131" t="inlineStr">
        <is>
          <t/>
        </is>
      </c>
      <c r="M131" s="3"/>
      <c r="N131" s="3"/>
    </row>
    <row r="132">
      <c r="A132" t="inlineStr">
        <is>
          <t xml:space="preserve">battery control and cooling system production, 16 modules</t>
        </is>
      </c>
      <c r="B132">
        <v>0.0215820670357649</v>
      </c>
      <c r="C132" t="inlineStr">
        <is>
          <t>unit</t>
        </is>
      </c>
      <c r="D132" t="inlineStr">
        <is>
          <t>GLO</t>
        </is>
      </c>
      <c r="E132" t="inlineStr">
        <is>
          <t>technosphere</t>
        </is>
      </c>
      <c r="F132" t="inlineStr">
        <is>
          <t xml:space="preserve">battery control and cooling system, 16 modules</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 xml:space="preserve">market for battery cell, Li-ion, Li-O2, including end-of-life treatment</t>
        </is>
      </c>
      <c r="B143" s="3">
        <f>2.875590551181102</f>
        <v>2.875590551181102</v>
      </c>
      <c r="C143" t="s">
        <v>7</v>
      </c>
      <c r="D143" t="inlineStr">
        <is>
          <t>GLO</t>
        </is>
      </c>
      <c r="E143" t="s">
        <v>14</v>
      </c>
      <c r="F143" t="inlineStr">
        <is>
          <t xml:space="preserve">battery cell, Li-ion, Li-O2, including end-of-life treatment</t>
        </is>
      </c>
      <c r="G143">
        <v>5</v>
      </c>
      <c r="H143" s="7">
        <f>2.875590551181102</f>
        <v>2.875590551181102</v>
      </c>
      <c r="I143" s="7">
        <f>2.1566929133858266</f>
        <v>2.1566929133858266</v>
      </c>
      <c r="J143" s="7">
        <f>3.5944881889763773</f>
        <v>3.5944881889763773</v>
      </c>
    </row>
    <row r="144" spans="1:14" ns3:dyDescent="0.2">
      <c r="A144" t="inlineStr">
        <is>
          <t xml:space="preserve">battery pack component production and end-of-life treatment, Li-ion, Li-O2, without cells and controls</t>
        </is>
      </c>
      <c r="B144" s="3">
        <f>1</f>
        <v>1</v>
      </c>
      <c r="C144" t="inlineStr">
        <is>
          <t xml:space="preserve">kilowatt hour</t>
        </is>
      </c>
      <c r="D144" t="inlineStr">
        <is>
          <t>GLO</t>
        </is>
      </c>
      <c r="E144" t="s">
        <v>14</v>
      </c>
      <c r="F144" t="inlineStr">
        <is>
          <t xml:space="preserve">battery pack component provision, Li-ion, Li-O2, without cells and controls</t>
        </is>
      </c>
      <c r="G144">
        <v>0</v>
      </c>
      <c r="H144" s="7">
        <f>1</f>
        <v>1</v>
      </c>
      <c r="I144" s="7">
        <f>1</f>
        <v>1</v>
      </c>
      <c r="J144" s="7">
        <f>1</f>
        <v>1</v>
      </c>
      <c r="K144" t="inlineStr">
        <is>
          <t/>
        </is>
      </c>
      <c r="M144" s="7"/>
      <c r="N144" s="7"/>
    </row>
    <row r="145">
      <c r="A145" t="inlineStr">
        <is>
          <t xml:space="preserve">battery auxiliaries supply and end-of-life treatment, lithium-oxygen</t>
        </is>
      </c>
      <c r="B145">
        <v>0.015748031496062992</v>
      </c>
      <c r="C145" t="inlineStr">
        <is>
          <t>unit</t>
        </is>
      </c>
      <c r="D145" t="inlineStr">
        <is>
          <t>GLO</t>
        </is>
      </c>
      <c r="E145" t="inlineStr">
        <is>
          <t>technosphere</t>
        </is>
      </c>
      <c r="F145" t="inlineStr">
        <is>
          <t xml:space="preserve">battery auxiliaries supply and end-of-life treatment, lithium-oxygen</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 xml:space="preserve">market for battery cell, Sodium-ion, SiB, including end-of-life treatment</t>
        </is>
      </c>
      <c r="B156" s="3">
        <f>6.369426751592357</f>
        <v>6.369426751592357</v>
      </c>
      <c r="C156" t="s">
        <v>7</v>
      </c>
      <c r="D156" t="inlineStr">
        <is>
          <t>GLO</t>
        </is>
      </c>
      <c r="E156" t="s">
        <v>14</v>
      </c>
      <c r="F156" t="inlineStr">
        <is>
          <t xml:space="preserve">battery cell, Sodium-ion, SiB, including end-of-life treatment</t>
        </is>
      </c>
      <c r="G156">
        <v>5</v>
      </c>
      <c r="H156" s="7">
        <f>6.369426751592357</f>
        <v>6.369426751592357</v>
      </c>
      <c r="I156" s="3">
        <f>5.555555555555555</f>
        <v>5.555555555555555</v>
      </c>
      <c r="J156" s="3">
        <f>8.333333333333334</f>
        <v>8.333333333333334</v>
      </c>
    </row>
    <row r="157" spans="1:14" ns3:dyDescent="0.2">
      <c r="A157" t="inlineStr">
        <is>
          <t xml:space="preserve">battery pack component production and end-of-life treatment, Sodium-ion, SiB, without cells and controls</t>
        </is>
      </c>
      <c r="B157" s="3">
        <f>1</f>
        <v>1</v>
      </c>
      <c r="C157" t="inlineStr">
        <is>
          <t xml:space="preserve">kilowatt hour</t>
        </is>
      </c>
      <c r="D157" t="inlineStr">
        <is>
          <t>GLO</t>
        </is>
      </c>
      <c r="E157" t="s">
        <v>14</v>
      </c>
      <c r="F157" t="inlineStr">
        <is>
          <t xml:space="preserve">battery pack component provision, Sodium-ion, SiB, without cells and controls</t>
        </is>
      </c>
      <c r="G157">
        <v>0</v>
      </c>
      <c r="H157" s="7">
        <f>1</f>
        <v>1</v>
      </c>
      <c r="I157" s="3">
        <f>1</f>
        <v>1</v>
      </c>
      <c r="J157" s="3">
        <f>1</f>
        <v>1</v>
      </c>
      <c r="K157" t="inlineStr">
        <is>
          <t/>
        </is>
      </c>
      <c r="M157" s="3"/>
      <c r="N157" s="3"/>
    </row>
    <row r="158">
      <c r="A158" t="inlineStr">
        <is>
          <t xml:space="preserve">battery control and cooling system production, 16 modules</t>
        </is>
      </c>
      <c r="B158">
        <v>0.02121105988781555</v>
      </c>
      <c r="C158" t="inlineStr">
        <is>
          <t>unit</t>
        </is>
      </c>
      <c r="D158" t="inlineStr">
        <is>
          <t>GLO</t>
        </is>
      </c>
      <c r="E158" t="inlineStr">
        <is>
          <t>technosphere</t>
        </is>
      </c>
      <c r="F158" t="inlineStr">
        <is>
          <t xml:space="preserve">battery control and cooling system, 16 modules</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 xml:space="preserve">market for electricity storage capacity, battery, high power, fuel cell passenger car</t>
        </is>
      </c>
    </row>
    <row r="270">
      <c r="A270" t="inlineStr">
        <is>
          <t>location</t>
        </is>
      </c>
      <c r="B270" t="inlineStr">
        <is>
          <t>GLO</t>
        </is>
      </c>
    </row>
    <row r="271">
      <c r="A271" t="inlineStr">
        <is>
          <t>production amount</t>
        </is>
      </c>
      <c r="B271">
        <v>1</v>
      </c>
    </row>
    <row r="272">
      <c r="A272" t="inlineStr">
        <is>
          <t>reference product</t>
        </is>
      </c>
      <c r="B272" t="inlineStr">
        <is>
          <t xml:space="preserve">electricity storage capacity, high power, fuel cell passenger car</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 xml:space="preserve">Nomenclature revision, 2026-10-19. Former activity name: high-power battery capacity, FCEV car, engineering reference. Former reference product: high-power battery capacity, FCEV car,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 xml:space="preserve">market for electricity storage capacity, battery, high power, fuel cell passenger car</t>
        </is>
      </c>
      <c r="B278">
        <v>1</v>
      </c>
      <c r="C278" t="inlineStr">
        <is>
          <t>GLO</t>
        </is>
      </c>
      <c r="D278" t="inlineStr">
        <is>
          <t>kilowatt hour</t>
        </is>
      </c>
      <c r="F278" t="inlineStr">
        <is>
          <t>production</t>
        </is>
      </c>
      <c r="G278" t="inlineStr">
        <is>
          <t xml:space="preserve">electricity storage capacity, high power, fuel cell passenger car</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 xml:space="preserve">battery central control and protection unit production</t>
        </is>
      </c>
      <c r="B280">
        <v>0.8043758043758044</v>
      </c>
      <c r="C280" t="inlineStr">
        <is>
          <t>GLO</t>
        </is>
      </c>
      <c r="D280" t="inlineStr">
        <is>
          <t>unit</t>
        </is>
      </c>
      <c r="F280" t="inlineStr">
        <is>
          <t>technosphere</t>
        </is>
      </c>
      <c r="G280" t="inlineStr">
        <is>
          <t xml:space="preserve">battery central control and protection unit</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 xml:space="preserve">market for electricity storage capacity, battery, high power, fuel cell truck</t>
        </is>
      </c>
    </row>
    <row r="293">
      <c r="A293" t="inlineStr">
        <is>
          <t>location</t>
        </is>
      </c>
      <c r="B293" t="inlineStr">
        <is>
          <t>GLO</t>
        </is>
      </c>
    </row>
    <row r="294">
      <c r="A294" t="inlineStr">
        <is>
          <t>production amount</t>
        </is>
      </c>
      <c r="B294">
        <v>1</v>
      </c>
    </row>
    <row r="295">
      <c r="A295" t="inlineStr">
        <is>
          <t>reference product</t>
        </is>
      </c>
      <c r="B295" t="inlineStr">
        <is>
          <t xml:space="preserve">electricity storage capacity, high power, fuel cell truck</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 xml:space="preserve">Nomenclature revision, 2026-10-19. Former activity name: high-power battery capacity, FCEV truck, engineering reference. Former reference product: high-power battery capacity, FCEV truck,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 xml:space="preserve">market for electricity storage capacity, battery, high power, fuel cell truck</t>
        </is>
      </c>
      <c r="B301">
        <v>1</v>
      </c>
      <c r="C301" t="inlineStr">
        <is>
          <t>GLO</t>
        </is>
      </c>
      <c r="D301" t="inlineStr">
        <is>
          <t>kilowatt hour</t>
        </is>
      </c>
      <c r="F301" t="inlineStr">
        <is>
          <t>production</t>
        </is>
      </c>
      <c r="G301" t="inlineStr">
        <is>
          <t xml:space="preserve">electricity storage capacity, high power, fuel cell truck</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 xml:space="preserve">battery central control and protection unit production</t>
        </is>
      </c>
      <c r="B303">
        <v>0.04</v>
      </c>
      <c r="C303" t="inlineStr">
        <is>
          <t>GLO</t>
        </is>
      </c>
      <c r="D303" t="inlineStr">
        <is>
          <t>unit</t>
        </is>
      </c>
      <c r="F303" t="inlineStr">
        <is>
          <t>technosphere</t>
        </is>
      </c>
      <c r="G303" t="inlineStr">
        <is>
          <t xml:space="preserve">battery central control and protection unit</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 xml:space="preserve">market for electricity storage capacity, battery, Li-ion, LFP, hydrogen train</t>
        </is>
      </c>
    </row>
    <row r="318">
      <c r="A318" t="inlineStr">
        <is>
          <t>location</t>
        </is>
      </c>
      <c r="B318" t="inlineStr">
        <is>
          <t>GLO</t>
        </is>
      </c>
    </row>
    <row r="319">
      <c r="A319" t="inlineStr">
        <is>
          <t>production amount</t>
        </is>
      </c>
      <c r="B319">
        <v>1</v>
      </c>
    </row>
    <row r="320">
      <c r="A320" t="inlineStr">
        <is>
          <t>reference product</t>
        </is>
      </c>
      <c r="B320" t="inlineStr">
        <is>
          <t xml:space="preserve">electricity storage capacity, Li-ion, LFP, hydrogen train</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 xml:space="preserve">Nomenclature revision, 2026-10-19. Former activity name: battery capacity, hydrogen rail, LFP engineering reference. Former reference product: battery capacity, hydrogen rail, LFP engineering reference. Activity/product labels and supplier references only; coefficients, formulas, uncertainty, declared output and unit are unchanged. Original engineering assumptions, functional-unit basis and limitations remain below.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 xml:space="preserve">market for electricity storage capacity, battery, Li-ion, LFP, hydrogen train</t>
        </is>
      </c>
      <c r="B326">
        <v>1</v>
      </c>
      <c r="C326" t="inlineStr">
        <is>
          <t>GLO</t>
        </is>
      </c>
      <c r="D326" t="inlineStr">
        <is>
          <t>kilowatt hour</t>
        </is>
      </c>
      <c r="F326" t="inlineStr">
        <is>
          <t>production</t>
        </is>
      </c>
      <c r="G326" t="inlineStr">
        <is>
          <t xml:space="preserve">electricity storage capacity, Li-ion, LFP, hydrogen train</t>
        </is>
      </c>
      <c r="I326" t="inlineStr">
        <is>
          <t xml:space="preserve">electricity storage capacity, Li-ion, LFP, hydrogen train</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 xml:space="preserve">battery monitoring and central control system production, Li-ion, LFP</t>
        </is>
      </c>
      <c r="B328">
        <v>0.01</v>
      </c>
      <c r="C328" t="inlineStr">
        <is>
          <t>GLO</t>
        </is>
      </c>
      <c r="D328" t="inlineStr">
        <is>
          <t>unit</t>
        </is>
      </c>
      <c r="F328" t="inlineStr">
        <is>
          <t>technosphere</t>
        </is>
      </c>
      <c r="G328" t="inlineStr">
        <is>
          <t xml:space="preserve">battery monitoring and central control system, Li-ion, LFP</t>
        </is>
      </c>
      <c r="I328" t="inlineStr">
        <is>
          <t xml:space="preserve">battery monitoring and central control system, Li-ion, LFP</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row r="342">
      <c r="A342" t="inlineStr">
        <is>
          <t>Activity</t>
        </is>
      </c>
      <c r="B342" t="inlineStr">
        <is>
          <t xml:space="preserve">battery pack production, Li-ion, LTO, fuel cell bus, without controls</t>
        </is>
      </c>
    </row>
    <row r="343">
      <c r="A343" t="inlineStr">
        <is>
          <t>location</t>
        </is>
      </c>
      <c r="B343" t="inlineStr">
        <is>
          <t>GLO</t>
        </is>
      </c>
    </row>
    <row r="344">
      <c r="A344" t="inlineStr">
        <is>
          <t>production amount</t>
        </is>
      </c>
      <c r="B344">
        <v>1</v>
      </c>
    </row>
    <row r="345">
      <c r="A345" t="inlineStr">
        <is>
          <t>reference product</t>
        </is>
      </c>
      <c r="B345" t="inlineStr">
        <is>
          <t xml:space="preserve">battery pack, Li-ion, LTO, fuel cell bus, without controls</t>
        </is>
      </c>
    </row>
    <row r="346">
      <c r="A346" t="inlineStr">
        <is>
          <t>unit</t>
        </is>
      </c>
      <c r="B346" t="inlineStr">
        <is>
          <t>unit</t>
        </is>
      </c>
    </row>
    <row r="347">
      <c r="A347" t="inlineStr">
        <is>
          <t>source</t>
        </is>
      </c>
      <c r="B34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48">
      <c r="A348" t="inlineStr">
        <is>
          <t>comment</t>
        </is>
      </c>
      <c r="B348" t="inlineStr">
        <is>
          <t xml:space="preserve">Nomenclature revision, 2026-10-19. Former activity name: battery hardware, fuel-cell bus LTO, engineering reference. Former reference product: battery hardware,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49">
      <c r="A349" t="inlineStr">
        <is>
          <t>Exchanges</t>
        </is>
      </c>
    </row>
    <row r="350">
      <c r="A350" t="inlineStr">
        <is>
          <t>name</t>
        </is>
      </c>
      <c r="B350" t="inlineStr">
        <is>
          <t>amount</t>
        </is>
      </c>
      <c r="C350" t="inlineStr">
        <is>
          <t>location</t>
        </is>
      </c>
      <c r="D350" t="inlineStr">
        <is>
          <t>unit</t>
        </is>
      </c>
      <c r="E350" t="inlineStr">
        <is>
          <t>categories</t>
        </is>
      </c>
      <c r="F350" t="inlineStr">
        <is>
          <t>type</t>
        </is>
      </c>
      <c r="G350" t="inlineStr">
        <is>
          <t>reference product</t>
        </is>
      </c>
      <c r="H350" t="inlineStr">
        <is>
          <t>comment</t>
        </is>
      </c>
      <c r="I350" t="inlineStr">
        <is>
          <t>product</t>
        </is>
      </c>
    </row>
    <row r="351">
      <c r="A351" t="inlineStr">
        <is>
          <t xml:space="preserve">battery pack production, Li-ion, LTO, fuel cell bus, without controls</t>
        </is>
      </c>
      <c r="B351">
        <v>1</v>
      </c>
      <c r="C351" t="inlineStr">
        <is>
          <t>GLO</t>
        </is>
      </c>
      <c r="D351" t="inlineStr">
        <is>
          <t>unit</t>
        </is>
      </c>
      <c r="F351" t="inlineStr">
        <is>
          <t>production</t>
        </is>
      </c>
      <c r="G351" t="inlineStr">
        <is>
          <t xml:space="preserve">battery pack, Li-ion, LTO, fuel cell bus, without controls</t>
        </is>
      </c>
      <c r="I351" t="inlineStr">
        <is>
          <t xml:space="preserve">battery pack, Li-ion, LTO, fuel cell bus, without controls</t>
        </is>
      </c>
    </row>
    <row r="352">
      <c r="A352" t="inlineStr">
        <is>
          <t>battery cell production, Li-ion, LTO</t>
        </is>
      </c>
      <c r="B352">
        <v>182.5</v>
      </c>
      <c r="C352" t="inlineStr">
        <is>
          <t>GLO</t>
        </is>
      </c>
      <c r="D352" t="inlineStr">
        <is>
          <t>kilogram</t>
        </is>
      </c>
      <c r="F352" t="inlineStr">
        <is>
          <t>technosphere</t>
        </is>
      </c>
      <c r="G352" t="inlineStr">
        <is>
          <t>battery cell, Li-ion, LTO</t>
        </is>
      </c>
      <c r="I352" t="inlineStr">
        <is>
          <t>battery cell, Li-ion, LTO</t>
        </is>
      </c>
    </row>
    <row r="353">
      <c r="A353" t="inlineStr">
        <is>
          <t>market for aluminium, wrought alloy</t>
        </is>
      </c>
      <c r="B353">
        <v>35.481</v>
      </c>
      <c r="C353" t="inlineStr">
        <is>
          <t>GLO</t>
        </is>
      </c>
      <c r="D353" t="inlineStr">
        <is>
          <t>kilogram</t>
        </is>
      </c>
      <c r="F353" t="inlineStr">
        <is>
          <t>technosphere</t>
        </is>
      </c>
      <c r="G353" t="inlineStr">
        <is>
          <t>aluminium, wrought alloy</t>
        </is>
      </c>
      <c r="I353" t="inlineStr">
        <is>
          <t>aluminium, wrought alloy</t>
        </is>
      </c>
    </row>
    <row r="354">
      <c r="A354" t="inlineStr">
        <is>
          <t>market for copper, cathode</t>
        </is>
      </c>
      <c r="B354">
        <v>10.6443</v>
      </c>
      <c r="C354" t="inlineStr">
        <is>
          <t>GLO</t>
        </is>
      </c>
      <c r="D354" t="inlineStr">
        <is>
          <t>kilogram</t>
        </is>
      </c>
      <c r="F354" t="inlineStr">
        <is>
          <t>technosphere</t>
        </is>
      </c>
      <c r="G354" t="inlineStr">
        <is>
          <t>copper, cathode</t>
        </is>
      </c>
      <c r="I354" t="inlineStr">
        <is>
          <t>copper, cathode</t>
        </is>
      </c>
    </row>
    <row r="355">
      <c r="A355" t="inlineStr">
        <is>
          <t>market for steel, low-alloyed</t>
        </is>
      </c>
      <c r="B355">
        <v>7.0962000000000005</v>
      </c>
      <c r="C355" t="inlineStr">
        <is>
          <t>GLO</t>
        </is>
      </c>
      <c r="D355" t="inlineStr">
        <is>
          <t>kilogram</t>
        </is>
      </c>
      <c r="F355" t="inlineStr">
        <is>
          <t>technosphere</t>
        </is>
      </c>
      <c r="G355" t="inlineStr">
        <is>
          <t>steel, low-alloyed</t>
        </is>
      </c>
      <c r="I355" t="inlineStr">
        <is>
          <t>steel, low-alloyed</t>
        </is>
      </c>
    </row>
    <row r="356">
      <c r="A356" t="inlineStr">
        <is>
          <t>market for nylon 6</t>
        </is>
      </c>
      <c r="B356">
        <v>7.0962000000000005</v>
      </c>
      <c r="C356" t="inlineStr">
        <is>
          <t>RER</t>
        </is>
      </c>
      <c r="D356" t="inlineStr">
        <is>
          <t>kilogram</t>
        </is>
      </c>
      <c r="F356" t="inlineStr">
        <is>
          <t>technosphere</t>
        </is>
      </c>
      <c r="G356" t="inlineStr">
        <is>
          <t>nylon 6</t>
        </is>
      </c>
      <c r="I356" t="inlineStr">
        <is>
          <t>nylon 6</t>
        </is>
      </c>
    </row>
    <row r="357">
      <c r="A357" t="inlineStr">
        <is>
          <t>ethylene glycols production, thermal hydrolysis of ethylene oxide</t>
        </is>
      </c>
      <c r="B357">
        <v>5.32215</v>
      </c>
      <c r="C357" t="inlineStr">
        <is>
          <t>RER</t>
        </is>
      </c>
      <c r="D357" t="inlineStr">
        <is>
          <t>kilogram</t>
        </is>
      </c>
      <c r="F357" t="inlineStr">
        <is>
          <t>technosphere</t>
        </is>
      </c>
      <c r="G357" t="inlineStr">
        <is>
          <t>ethylene glycol</t>
        </is>
      </c>
      <c r="I357" t="inlineStr">
        <is>
          <t>ethylene glycol</t>
        </is>
      </c>
    </row>
    <row r="358">
      <c r="A358" t="inlineStr">
        <is>
          <t>market for water, deionised</t>
        </is>
      </c>
      <c r="B358">
        <v>5.32215</v>
      </c>
      <c r="C358" t="inlineStr">
        <is>
          <t>RoW</t>
        </is>
      </c>
      <c r="D358" t="inlineStr">
        <is>
          <t>kilogram</t>
        </is>
      </c>
      <c r="F358" t="inlineStr">
        <is>
          <t>technosphere</t>
        </is>
      </c>
      <c r="G358" t="inlineStr">
        <is>
          <t>water, deionised</t>
        </is>
      </c>
      <c r="I358" t="inlineStr">
        <is>
          <t>water, deionised</t>
        </is>
      </c>
    </row>
    <row r="359">
      <c r="A359" t="inlineStr">
        <is>
          <t>market group for electricity, medium voltage</t>
        </is>
      </c>
      <c r="B359">
        <v>260</v>
      </c>
      <c r="C359" t="inlineStr">
        <is>
          <t>GLO</t>
        </is>
      </c>
      <c r="D359" t="inlineStr">
        <is>
          <t>kilowatt hour</t>
        </is>
      </c>
      <c r="F359" t="inlineStr">
        <is>
          <t>technosphere</t>
        </is>
      </c>
      <c r="G359" t="inlineStr">
        <is>
          <t>electricity, medium voltage</t>
        </is>
      </c>
      <c r="I359" t="inlineStr">
        <is>
          <t>electricity, medium voltage</t>
        </is>
      </c>
    </row>
    <row r="362">
      <c r="A362" t="inlineStr">
        <is>
          <t>Activity</t>
        </is>
      </c>
      <c r="B362" t="inlineStr">
        <is>
          <t xml:space="preserve">market for electricity storage capacity, battery, Li-ion, LTO, high power, fuel cell bus</t>
        </is>
      </c>
    </row>
    <row r="363">
      <c r="A363" t="inlineStr">
        <is>
          <t>location</t>
        </is>
      </c>
      <c r="B363" t="inlineStr">
        <is>
          <t>GLO</t>
        </is>
      </c>
    </row>
    <row r="364">
      <c r="A364" t="inlineStr">
        <is>
          <t>production amount</t>
        </is>
      </c>
      <c r="B364">
        <v>1</v>
      </c>
    </row>
    <row r="365">
      <c r="A365" t="inlineStr">
        <is>
          <t>reference product</t>
        </is>
      </c>
      <c r="B365" t="inlineStr">
        <is>
          <t xml:space="preserve">electricity storage capacity, Li-ion, LTO, high power, fuel cell bus</t>
        </is>
      </c>
    </row>
    <row r="366">
      <c r="A366" t="inlineStr">
        <is>
          <t>unit</t>
        </is>
      </c>
      <c r="B366" t="inlineStr">
        <is>
          <t>kilowatt hour</t>
        </is>
      </c>
    </row>
    <row r="367">
      <c r="A367" t="inlineStr">
        <is>
          <t>source</t>
        </is>
      </c>
      <c r="B36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68">
      <c r="A368" t="inlineStr">
        <is>
          <t>comment</t>
        </is>
      </c>
      <c r="B368" t="inlineStr">
        <is>
          <t xml:space="preserve">Nomenclature revision, 2026-10-19. Former activity name: high-power battery capacity, fuel-cell bus LTO, engineering reference. Former reference product: high-power battery capacity,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69">
      <c r="A369" t="inlineStr">
        <is>
          <t>Exchanges</t>
        </is>
      </c>
    </row>
    <row r="370">
      <c r="A370" t="inlineStr">
        <is>
          <t>name</t>
        </is>
      </c>
      <c r="B370" t="inlineStr">
        <is>
          <t>amount</t>
        </is>
      </c>
      <c r="C370" t="inlineStr">
        <is>
          <t>location</t>
        </is>
      </c>
      <c r="D370" t="inlineStr">
        <is>
          <t>unit</t>
        </is>
      </c>
      <c r="E370" t="inlineStr">
        <is>
          <t>categories</t>
        </is>
      </c>
      <c r="F370" t="inlineStr">
        <is>
          <t>type</t>
        </is>
      </c>
      <c r="G370" t="inlineStr">
        <is>
          <t>reference product</t>
        </is>
      </c>
      <c r="H370" t="inlineStr">
        <is>
          <t>comment</t>
        </is>
      </c>
      <c r="I370" t="inlineStr">
        <is>
          <t>product</t>
        </is>
      </c>
    </row>
    <row r="371">
      <c r="A371" t="inlineStr">
        <is>
          <t xml:space="preserve">market for electricity storage capacity, battery, Li-ion, LTO, high power, fuel cell bus</t>
        </is>
      </c>
      <c r="B371">
        <v>1</v>
      </c>
      <c r="C371" t="inlineStr">
        <is>
          <t>GLO</t>
        </is>
      </c>
      <c r="D371" t="inlineStr">
        <is>
          <t>kilowatt hour</t>
        </is>
      </c>
      <c r="F371" t="inlineStr">
        <is>
          <t>production</t>
        </is>
      </c>
      <c r="G371" t="inlineStr">
        <is>
          <t xml:space="preserve">electricity storage capacity, Li-ion, LTO, high power, fuel cell bus</t>
        </is>
      </c>
      <c r="I371" t="inlineStr">
        <is>
          <t xml:space="preserve">electricity storage capacity, Li-ion, LTO, high power, fuel cell bus</t>
        </is>
      </c>
    </row>
    <row r="372">
      <c r="A372" t="inlineStr">
        <is>
          <t xml:space="preserve">battery pack production, Li-ion, LTO, fuel cell bus, without controls</t>
        </is>
      </c>
      <c r="B372">
        <v>0.0684931506849315</v>
      </c>
      <c r="C372" t="inlineStr">
        <is>
          <t>GLO</t>
        </is>
      </c>
      <c r="D372" t="inlineStr">
        <is>
          <t>unit</t>
        </is>
      </c>
      <c r="F372" t="inlineStr">
        <is>
          <t>technosphere</t>
        </is>
      </c>
      <c r="G372" t="inlineStr">
        <is>
          <t xml:space="preserve">battery pack, Li-ion, LTO, fuel cell bus, without controls</t>
        </is>
      </c>
      <c r="I372" t="inlineStr">
        <is>
          <t xml:space="preserve">battery pack, Li-ion, LTO, fuel cell bus, without controls</t>
        </is>
      </c>
    </row>
    <row r="373">
      <c r="A373" t="inlineStr">
        <is>
          <t xml:space="preserve">battery monitoring and central control system production, Li-ion, NMC955</t>
        </is>
      </c>
      <c r="B373">
        <v>0.0684931506849315</v>
      </c>
      <c r="C373" t="inlineStr">
        <is>
          <t>GLO</t>
        </is>
      </c>
      <c r="D373" t="inlineStr">
        <is>
          <t>unit</t>
        </is>
      </c>
      <c r="F373" t="inlineStr">
        <is>
          <t>technosphere</t>
        </is>
      </c>
      <c r="G373" t="inlineStr">
        <is>
          <t xml:space="preserve">battery monitoring and central control system, Li-ion, NMC955</t>
        </is>
      </c>
      <c r="I373" t="inlineStr">
        <is>
          <t xml:space="preserve">battery monitoring and central control system, Li-ion, NMC955</t>
        </is>
      </c>
    </row>
    <row r="374">
      <c r="A374" t="inlineStr">
        <is>
          <t>market for used Li-ion battery</t>
        </is>
      </c>
      <c r="B374">
        <v>-17.360410958904108</v>
      </c>
      <c r="C374" t="inlineStr">
        <is>
          <t>GLO</t>
        </is>
      </c>
      <c r="D374" t="inlineStr">
        <is>
          <t>kilogram</t>
        </is>
      </c>
      <c r="F374" t="inlineStr">
        <is>
          <t>technosphere</t>
        </is>
      </c>
      <c r="G374" t="inlineStr">
        <is>
          <t>used Li-ion battery</t>
        </is>
      </c>
      <c r="I37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 xml:space="preserve">market for battery cell, Li-ion, LFP, including end-of-life treatment</t>
        </is>
      </c>
      <c r="B11" s="7">
        <f>6.249999999999999</f>
        <v>6.249999999999999</v>
      </c>
      <c r="C11" t="inlineStr">
        <is>
          <t>kilogram</t>
        </is>
      </c>
      <c r="D11" t="inlineStr">
        <is>
          <t>GLO</t>
        </is>
      </c>
      <c r="E11" t="inlineStr">
        <is>
          <t>technosphere</t>
        </is>
      </c>
      <c r="F11" t="inlineStr">
        <is>
          <t xml:space="preserve">battery cell, Li-ion, LFP, including end-of-life treatment</t>
        </is>
      </c>
      <c r="G11">
        <v>5</v>
      </c>
      <c r="H11" s="7">
        <f>6.249999999999999</f>
        <v>6.249999999999999</v>
      </c>
      <c r="I11" s="7">
        <f>5.263157894736842</f>
        <v>5.263157894736842</v>
      </c>
      <c r="J11" s="7">
        <f>7.1428571428571415</f>
        <v>7.1428571428571415</v>
      </c>
    </row>
    <row r="12" spans="1:14" ns3:dyDescent="0.2">
      <c r="A12" t="inlineStr">
        <is>
          <t xml:space="preserve">battery pack component production and end-of-life treatment, Li-ion, LFP, without cells and controls</t>
        </is>
      </c>
      <c r="B12" s="7">
        <f>1</f>
        <v>1</v>
      </c>
      <c r="C12" t="inlineStr">
        <is>
          <t xml:space="preserve">kilowatt hour</t>
        </is>
      </c>
      <c r="D12" t="inlineStr">
        <is>
          <t>GLO</t>
        </is>
      </c>
      <c r="E12" t="inlineStr">
        <is>
          <t>technosphere</t>
        </is>
      </c>
      <c r="F12" t="inlineStr">
        <is>
          <t xml:space="preserve">battery pack component provision, Li-ion, LFP, without cells and controls</t>
        </is>
      </c>
      <c r="G12">
        <v>0</v>
      </c>
      <c r="H12" s="7">
        <f>1</f>
        <v>1</v>
      </c>
      <c r="I12" s="7">
        <f>1</f>
        <v>1</v>
      </c>
      <c r="J12" s="7">
        <f>1</f>
        <v>1</v>
      </c>
      <c r="K12" t="inlineStr">
        <is>
          <t/>
        </is>
      </c>
      <c r="M12" s="7"/>
      <c r="N12" s="7"/>
    </row>
    <row r="13">
      <c r="A13" t="inlineStr">
        <is>
          <t xml:space="preserve">battery monitoring and central control system production, Li-ion, LFP</t>
        </is>
      </c>
      <c r="B13">
        <v>0.042349911912183215</v>
      </c>
      <c r="C13" t="inlineStr">
        <is>
          <t>unit</t>
        </is>
      </c>
      <c r="D13" t="inlineStr">
        <is>
          <t>GLO</t>
        </is>
      </c>
      <c r="E13" t="inlineStr">
        <is>
          <t>technosphere</t>
        </is>
      </c>
      <c r="F13" t="inlineStr">
        <is>
          <t xml:space="preserve">battery monitoring and central control system, Li-ion, LFP</t>
        </is>
      </c>
    </row>
    <row r="14" spans="1:14" ht="16" ns3:dyDescent="0.2">
      <c r="A14" s="2" t="s">
        <v>0</v>
      </c>
      <c r="B14" s="2" t="s">
        <v>80</v>
      </c>
    </row>
    <row r="15" spans="1:14" ns3:dyDescent="0.2">
      <c r="A15" t="s">
        <v>1</v>
      </c>
      <c r="B15"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 xml:space="preserve">market for battery cell, Li-ion, NMC111, including end-of-life treatment</t>
        </is>
      </c>
      <c r="B24" s="3">
        <f>5.555555555555555</f>
        <v>5.555555555555555</v>
      </c>
      <c r="C24" t="inlineStr">
        <is>
          <t>kilogram</t>
        </is>
      </c>
      <c r="D24" t="inlineStr">
        <is>
          <t>GLO</t>
        </is>
      </c>
      <c r="E24" t="inlineStr">
        <is>
          <t>technosphere</t>
        </is>
      </c>
      <c r="F24" t="inlineStr">
        <is>
          <t xml:space="preserve">battery cell, Li-ion, NMC111, including end-of-life treatment</t>
        </is>
      </c>
      <c r="G24">
        <v>5</v>
      </c>
      <c r="H24" s="7">
        <f>5.555555555555555</f>
        <v>5.555555555555555</v>
      </c>
      <c r="I24" s="7">
        <f>5.263157894736842</f>
        <v>5.263157894736842</v>
      </c>
      <c r="J24" s="7">
        <f>7.142857142857141</f>
        <v>7.142857142857141</v>
      </c>
    </row>
    <row r="25" spans="1:14" ns3:dyDescent="0.2">
      <c r="A25" t="inlineStr">
        <is>
          <t xml:space="preserve">battery pack component production and end-of-life treatment, Li-ion, NMC111, without cells and controls</t>
        </is>
      </c>
      <c r="B25" s="3">
        <f>1</f>
        <v>1</v>
      </c>
      <c r="C25" t="inlineStr">
        <is>
          <t xml:space="preserve">kilowatt hour</t>
        </is>
      </c>
      <c r="D25" t="inlineStr">
        <is>
          <t>GLO</t>
        </is>
      </c>
      <c r="E25" t="inlineStr">
        <is>
          <t>technosphere</t>
        </is>
      </c>
      <c r="F25" t="inlineStr">
        <is>
          <t xml:space="preserve">battery pack component provision, Li-ion, NMC111, without cells and controls</t>
        </is>
      </c>
      <c r="G25">
        <v>0</v>
      </c>
      <c r="H25" s="7">
        <f>1</f>
        <v>1</v>
      </c>
      <c r="I25" s="7">
        <f>1</f>
        <v>1</v>
      </c>
      <c r="J25" s="7">
        <f>1</f>
        <v>1</v>
      </c>
      <c r="K25" t="inlineStr">
        <is>
          <t/>
        </is>
      </c>
      <c r="M25" s="7"/>
      <c r="N25" s="7"/>
    </row>
    <row r="26">
      <c r="A26" t="inlineStr">
        <is>
          <t xml:space="preserve">battery monitoring and central control system production, Li-ion, NMC111</t>
        </is>
      </c>
      <c r="B26">
        <v>0.046385201265388296</v>
      </c>
      <c r="C26" t="inlineStr">
        <is>
          <t>unit</t>
        </is>
      </c>
      <c r="D26" t="inlineStr">
        <is>
          <t>GLO</t>
        </is>
      </c>
      <c r="E26" t="inlineStr">
        <is>
          <t>technosphere</t>
        </is>
      </c>
      <c r="F26" t="inlineStr">
        <is>
          <t xml:space="preserve">battery monitoring and central control system, Li-ion, NMC111</t>
        </is>
      </c>
    </row>
    <row r="27" spans="1:14" ht="16" ns3:dyDescent="0.2">
      <c r="A27" s="2" t="s">
        <v>0</v>
      </c>
      <c r="B27" s="2" t="s">
        <v>114</v>
      </c>
    </row>
    <row r="28" spans="1:14" ns3:dyDescent="0.2">
      <c r="A28" t="s">
        <v>1</v>
      </c>
      <c r="B28"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 xml:space="preserve">market for battery cell, Li-ion, NMC532, including end-of-life treatment</t>
        </is>
      </c>
      <c r="B37" s="3">
        <f>4.999999999999999</f>
        <v>4.999999999999999</v>
      </c>
      <c r="C37" t="inlineStr">
        <is>
          <t>kilogram</t>
        </is>
      </c>
      <c r="D37" t="inlineStr">
        <is>
          <t>GLO</t>
        </is>
      </c>
      <c r="E37" t="inlineStr">
        <is>
          <t>technosphere</t>
        </is>
      </c>
      <c r="F37" t="inlineStr">
        <is>
          <t xml:space="preserve">battery cell, Li-ion, NMC532, including end-of-life treatment</t>
        </is>
      </c>
      <c r="G37">
        <v>5</v>
      </c>
      <c r="H37" s="7">
        <f>4.999999999999999</f>
        <v>4.999999999999999</v>
      </c>
      <c r="I37" s="3">
        <f>4.545454545454544</f>
        <v>4.545454545454544</v>
      </c>
      <c r="J37" s="3">
        <f>5.882352941176469</f>
        <v>5.882352941176469</v>
      </c>
    </row>
    <row r="38" spans="1:14" ns3:dyDescent="0.2">
      <c r="A38" t="inlineStr">
        <is>
          <t xml:space="preserve">battery pack component production and end-of-life treatment, Li-ion, NMC532, without cells and controls</t>
        </is>
      </c>
      <c r="B38" s="3">
        <f>1</f>
        <v>1</v>
      </c>
      <c r="C38" t="inlineStr">
        <is>
          <t xml:space="preserve">kilowatt hour</t>
        </is>
      </c>
      <c r="D38" t="inlineStr">
        <is>
          <t>GLO</t>
        </is>
      </c>
      <c r="E38" t="inlineStr">
        <is>
          <t>technosphere</t>
        </is>
      </c>
      <c r="F38" t="inlineStr">
        <is>
          <t xml:space="preserve">battery pack component provision, Li-ion, NMC532, without cells and controls</t>
        </is>
      </c>
      <c r="G38">
        <v>0</v>
      </c>
      <c r="H38" s="7">
        <f>1</f>
        <v>1</v>
      </c>
      <c r="I38" s="3">
        <f>1</f>
        <v>1</v>
      </c>
      <c r="J38" s="3">
        <f>1</f>
        <v>1</v>
      </c>
      <c r="K38" t="inlineStr">
        <is>
          <t/>
        </is>
      </c>
      <c r="M38" s="3"/>
      <c r="N38" s="3"/>
    </row>
    <row r="39">
      <c r="A39" t="inlineStr">
        <is>
          <t xml:space="preserve">battery monitoring and central control system production, Li-ion, NMC532</t>
        </is>
      </c>
      <c r="B39">
        <v>0.04628343978524484</v>
      </c>
      <c r="C39" t="inlineStr">
        <is>
          <t>unit</t>
        </is>
      </c>
      <c r="D39" t="inlineStr">
        <is>
          <t>GLO</t>
        </is>
      </c>
      <c r="E39" t="inlineStr">
        <is>
          <t>technosphere</t>
        </is>
      </c>
      <c r="F39" t="inlineStr">
        <is>
          <t xml:space="preserve">battery monitoring and central control system, Li-ion, NMC532</t>
        </is>
      </c>
    </row>
    <row r="40" spans="1:14" ht="16" ns3:dyDescent="0.2">
      <c r="A40" s="2" t="s">
        <v>0</v>
      </c>
      <c r="B40" s="2" t="s">
        <v>81</v>
      </c>
    </row>
    <row r="41" spans="1:14" ns3:dyDescent="0.2">
      <c r="A41" t="s">
        <v>1</v>
      </c>
      <c r="B41"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 xml:space="preserve">market for battery cell, Li-ion, NMC622, including end-of-life treatment</t>
        </is>
      </c>
      <c r="B50" s="3">
        <f>4.166666666666667</f>
        <v>4.166666666666667</v>
      </c>
      <c r="C50" t="inlineStr">
        <is>
          <t>kilogram</t>
        </is>
      </c>
      <c r="D50" t="inlineStr">
        <is>
          <t>GLO</t>
        </is>
      </c>
      <c r="E50" t="inlineStr">
        <is>
          <t>technosphere</t>
        </is>
      </c>
      <c r="F50" t="inlineStr">
        <is>
          <t xml:space="preserve">battery cell, Li-ion, NMC622, including end-of-life treatment</t>
        </is>
      </c>
      <c r="G50">
        <v>5</v>
      </c>
      <c r="H50" s="7">
        <f>4.166666666666667</f>
        <v>4.166666666666667</v>
      </c>
      <c r="I50" s="3">
        <f>3.571428571428571</f>
        <v>3.571428571428571</v>
      </c>
      <c r="J50" s="3">
        <f>5.000000000000001</f>
        <v>5.000000000000001</v>
      </c>
    </row>
    <row r="51" spans="1:14" ns3:dyDescent="0.2">
      <c r="A51" t="inlineStr">
        <is>
          <t xml:space="preserve">battery pack component production and end-of-life treatment, Li-ion, NMC622, without cells and controls</t>
        </is>
      </c>
      <c r="B51" s="3">
        <f>1</f>
        <v>1</v>
      </c>
      <c r="C51" t="inlineStr">
        <is>
          <t xml:space="preserve">kilowatt hour</t>
        </is>
      </c>
      <c r="D51" t="inlineStr">
        <is>
          <t>GLO</t>
        </is>
      </c>
      <c r="E51" t="inlineStr">
        <is>
          <t>technosphere</t>
        </is>
      </c>
      <c r="F51" t="inlineStr">
        <is>
          <t xml:space="preserve">battery pack component provision, Li-ion, NMC622, without cells and controls</t>
        </is>
      </c>
      <c r="G51">
        <v>0</v>
      </c>
      <c r="H51" s="7">
        <f>1</f>
        <v>1</v>
      </c>
      <c r="I51" s="3">
        <f>1</f>
        <v>1</v>
      </c>
      <c r="J51" s="3">
        <f>1</f>
        <v>1</v>
      </c>
      <c r="K51" t="inlineStr">
        <is>
          <t/>
        </is>
      </c>
      <c r="M51" s="3"/>
      <c r="N51" s="3"/>
    </row>
    <row r="52">
      <c r="A52" t="inlineStr">
        <is>
          <t xml:space="preserve">battery monitoring and central control system production, Li-ion, NMC622</t>
        </is>
      </c>
      <c r="B52">
        <v>0.0385695331543707</v>
      </c>
      <c r="C52" t="inlineStr">
        <is>
          <t>unit</t>
        </is>
      </c>
      <c r="D52" t="inlineStr">
        <is>
          <t>GLO</t>
        </is>
      </c>
      <c r="E52" t="inlineStr">
        <is>
          <t>technosphere</t>
        </is>
      </c>
      <c r="F52" t="inlineStr">
        <is>
          <t xml:space="preserve">battery monitoring and central control system, Li-ion, NMC622</t>
        </is>
      </c>
    </row>
    <row r="53" spans="1:14" ht="16" ns3:dyDescent="0.2">
      <c r="A53" s="2" t="s">
        <v>0</v>
      </c>
      <c r="B53" s="2" t="s">
        <v>82</v>
      </c>
    </row>
    <row r="54" spans="1:14" ns3:dyDescent="0.2">
      <c r="A54" t="s">
        <v>1</v>
      </c>
      <c r="B54"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 xml:space="preserve">market for battery cell, Li-ion, NMC811, including end-of-life treatment</t>
        </is>
      </c>
      <c r="B63" s="3">
        <f>3.571428571428571</f>
        <v>3.571428571428571</v>
      </c>
      <c r="C63" t="inlineStr">
        <is>
          <t>kilogram</t>
        </is>
      </c>
      <c r="D63" t="inlineStr">
        <is>
          <t>GLO</t>
        </is>
      </c>
      <c r="E63" t="inlineStr">
        <is>
          <t>technosphere</t>
        </is>
      </c>
      <c r="F63" t="inlineStr">
        <is>
          <t xml:space="preserve">battery cell, Li-ion, NMC811, including end-of-life treatment</t>
        </is>
      </c>
      <c r="G63">
        <v>5</v>
      </c>
      <c r="H63" s="7">
        <f>3.571428571428571</f>
        <v>3.571428571428571</v>
      </c>
      <c r="I63" s="3">
        <f>2.9411764705882355</f>
        <v>2.9411764705882355</v>
      </c>
      <c r="J63" s="3">
        <f>4.166666666666666</f>
        <v>4.166666666666666</v>
      </c>
    </row>
    <row r="64" spans="1:14" ns3:dyDescent="0.2">
      <c r="A64" t="inlineStr">
        <is>
          <t xml:space="preserve">battery pack component production and end-of-life treatment, Li-ion, NMC811, without cells and controls</t>
        </is>
      </c>
      <c r="B64" s="3">
        <f>1</f>
        <v>1</v>
      </c>
      <c r="C64" t="inlineStr">
        <is>
          <t xml:space="preserve">kilowatt hour</t>
        </is>
      </c>
      <c r="D64" t="inlineStr">
        <is>
          <t>GLO</t>
        </is>
      </c>
      <c r="E64" t="inlineStr">
        <is>
          <t>technosphere</t>
        </is>
      </c>
      <c r="F64" t="inlineStr">
        <is>
          <t xml:space="preserve">battery pack component provision, Li-ion, NMC811, without cells and controls</t>
        </is>
      </c>
      <c r="G64">
        <v>0</v>
      </c>
      <c r="H64" s="7">
        <f>1</f>
        <v>1</v>
      </c>
      <c r="I64" s="3">
        <f>1</f>
        <v>1</v>
      </c>
      <c r="J64" s="3">
        <f>1</f>
        <v>1</v>
      </c>
      <c r="K64" t="inlineStr">
        <is>
          <t/>
        </is>
      </c>
      <c r="M64" s="3"/>
      <c r="N64" s="3"/>
    </row>
    <row r="65">
      <c r="A65" t="inlineStr">
        <is>
          <t xml:space="preserve">battery monitoring and central control system production, Li-ion, NMC811</t>
        </is>
      </c>
      <c r="B65">
        <v>0.03178275848917479</v>
      </c>
      <c r="C65" t="inlineStr">
        <is>
          <t>unit</t>
        </is>
      </c>
      <c r="D65" t="inlineStr">
        <is>
          <t>GLO</t>
        </is>
      </c>
      <c r="E65" t="inlineStr">
        <is>
          <t>technosphere</t>
        </is>
      </c>
      <c r="F65" t="inlineStr">
        <is>
          <t xml:space="preserve">battery monitoring and central control system, Li-ion, NMC811</t>
        </is>
      </c>
    </row>
    <row r="66" spans="1:14" ht="16" ns3:dyDescent="0.2">
      <c r="A66" s="2" t="s">
        <v>0</v>
      </c>
      <c r="B66" s="2" t="s">
        <v>83</v>
      </c>
    </row>
    <row r="67" spans="1:14" ns3:dyDescent="0.2">
      <c r="A67" t="s">
        <v>1</v>
      </c>
      <c r="B67"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 xml:space="preserve">market for battery cell, Li-ion, NMC955, including end-of-life treatment</t>
        </is>
      </c>
      <c r="B76" s="3">
        <f>2.941176470588235</f>
        <v>2.941176470588235</v>
      </c>
      <c r="C76" t="inlineStr">
        <is>
          <t>kilogram</t>
        </is>
      </c>
      <c r="D76" t="inlineStr">
        <is>
          <t>GLO</t>
        </is>
      </c>
      <c r="E76" t="inlineStr">
        <is>
          <t>technosphere</t>
        </is>
      </c>
      <c r="F76" t="inlineStr">
        <is>
          <t xml:space="preserve">battery cell, Li-ion, NMC955, including end-of-life treatment</t>
        </is>
      </c>
      <c r="G76">
        <v>5</v>
      </c>
      <c r="H76" s="7">
        <f>2.941176470588235</f>
        <v>2.941176470588235</v>
      </c>
      <c r="I76" s="3">
        <f>2.6315789473684212</f>
        <v>2.6315789473684212</v>
      </c>
      <c r="J76" s="3">
        <f>3.333333333333334</f>
        <v>3.333333333333334</v>
      </c>
    </row>
    <row r="77" spans="1:14" ns3:dyDescent="0.2">
      <c r="A77" t="inlineStr">
        <is>
          <t xml:space="preserve">battery pack component production and end-of-life treatment, Li-ion, NMC955, without cells and controls</t>
        </is>
      </c>
      <c r="B77" s="3">
        <f>1</f>
        <v>1</v>
      </c>
      <c r="C77" t="inlineStr">
        <is>
          <t xml:space="preserve">kilowatt hour</t>
        </is>
      </c>
      <c r="D77" t="inlineStr">
        <is>
          <t>GLO</t>
        </is>
      </c>
      <c r="E77" t="inlineStr">
        <is>
          <t>technosphere</t>
        </is>
      </c>
      <c r="F77" t="inlineStr">
        <is>
          <t xml:space="preserve">battery pack component provision, Li-ion, NMC955, without cells and controls</t>
        </is>
      </c>
      <c r="G77">
        <v>0</v>
      </c>
      <c r="H77" s="7">
        <f>1</f>
        <v>1</v>
      </c>
      <c r="I77" s="3">
        <f>1</f>
        <v>1</v>
      </c>
      <c r="J77" s="3">
        <f>1</f>
        <v>1</v>
      </c>
      <c r="K77" t="inlineStr">
        <is>
          <t/>
        </is>
      </c>
      <c r="M77" s="3"/>
      <c r="N77" s="3"/>
    </row>
    <row r="79">
      <c r="A79" t="inlineStr">
        <is>
          <t xml:space="preserve">battery monitoring and central control system production, Li-ion, NMC955</t>
        </is>
      </c>
      <c r="B79">
        <v>0.027225552814849903</v>
      </c>
      <c r="C79" t="inlineStr">
        <is>
          <t>unit</t>
        </is>
      </c>
      <c r="D79" t="inlineStr">
        <is>
          <t>GLO</t>
        </is>
      </c>
      <c r="E79" t="inlineStr">
        <is>
          <t>technosphere</t>
        </is>
      </c>
      <c r="F79" t="inlineStr">
        <is>
          <t xml:space="preserve">battery monitoring and central control system, Li-ion, NMC955</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 xml:space="preserve">market for used redox-flow battery, vanadium</t>
        </is>
      </c>
      <c r="B91" s="3">
        <v>-59.64062663729406</v>
      </c>
      <c r="C91" t="s">
        <v>7</v>
      </c>
      <c r="D91" t="s">
        <v>3</v>
      </c>
      <c r="E91" t="s">
        <v>14</v>
      </c>
      <c r="F91" t="inlineStr">
        <is>
          <t xml:space="preserve">used redox-flow battery, vanadium</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