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F695C9D6-308E-D943-95CD-FA6782439EA4}" xr6:coauthVersionLast="47" xr6:coauthVersionMax="47" xr10:uidLastSave="{00000000-0000-0000-0000-000000000000}"/>
  <bookViews>
    <workbookView xWindow="37440" yWindow="400" windowWidth="25600" windowHeight="17640" activeTab="1" xr2:uid="{00000000-000D-0000-FFFF-FFFF00000000}"/>
  </bookViews>
  <sheets>
    <sheet name="Battery - NMC" sheetId="1" r:id="rId1"/>
    <sheet name="Battery - stationary" sheetId="2" r:id="rId2"/>
  </sheets>
  <definedNames>
    <definedName name="_xlnm._FilterDatabase" localSheetId="0" hidden="1">'Battery - NMC'!$A$1:$N$266</definedName>
    <definedName name="_xlnm._FilterDatabase" localSheetId="1" hidden="1">'Battery - stationary'!$A$1:$N$203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19" i="2" l="1"/>
  <c r="I119" i="2"/>
  <c r="J118" i="2"/>
  <c r="I118" i="2"/>
  <c r="J157" i="1"/>
  <c r="I157" i="1"/>
  <c r="J156" i="1"/>
  <c r="I156" i="1"/>
  <c r="J131" i="1"/>
  <c r="I131" i="1"/>
  <c r="J130" i="1"/>
  <c r="I130" i="1"/>
  <c r="H188" i="2"/>
  <c r="J187" i="2"/>
  <c r="I187" i="2"/>
  <c r="B187" i="2"/>
  <c r="H187" i="2" s="1"/>
  <c r="F186" i="2"/>
  <c r="A186" i="2"/>
  <c r="I105" i="2"/>
  <c r="J104" i="2"/>
  <c r="I104" i="2"/>
  <c r="J105" i="2" s="1"/>
  <c r="F165" i="2"/>
  <c r="F144" i="2"/>
  <c r="B131" i="2"/>
  <c r="B132" i="2" s="1"/>
  <c r="F130" i="2"/>
  <c r="D130" i="2"/>
  <c r="A130" i="2"/>
  <c r="B104" i="2"/>
  <c r="B105" i="2" s="1"/>
  <c r="I132" i="2" l="1"/>
  <c r="H132" i="2"/>
  <c r="J132" i="2"/>
  <c r="H131" i="2"/>
  <c r="I131" i="2"/>
  <c r="J131" i="2"/>
  <c r="H104" i="2"/>
  <c r="F103" i="2"/>
  <c r="C103" i="2"/>
  <c r="A103" i="2"/>
  <c r="H105" i="2" l="1"/>
  <c r="F89" i="2"/>
  <c r="C89" i="2"/>
  <c r="A89" i="2"/>
  <c r="A165" i="2"/>
  <c r="A144" i="2"/>
  <c r="B118" i="2"/>
  <c r="B119" i="2" s="1"/>
  <c r="H119" i="2" s="1"/>
  <c r="F117" i="2"/>
  <c r="C117" i="2"/>
  <c r="A117" i="2"/>
  <c r="B114" i="2"/>
  <c r="J77" i="2"/>
  <c r="I77" i="2"/>
  <c r="J76" i="2"/>
  <c r="I76" i="2"/>
  <c r="B76" i="2"/>
  <c r="B77" i="2" s="1"/>
  <c r="H77" i="2" s="1"/>
  <c r="F75" i="2"/>
  <c r="C75" i="2"/>
  <c r="A75" i="2"/>
  <c r="B72" i="2"/>
  <c r="J64" i="2"/>
  <c r="I64" i="2"/>
  <c r="J63" i="2"/>
  <c r="I63" i="2"/>
  <c r="B63" i="2"/>
  <c r="H63" i="2" s="1"/>
  <c r="F62" i="2"/>
  <c r="C62" i="2"/>
  <c r="A62" i="2"/>
  <c r="B60" i="2"/>
  <c r="J51" i="2"/>
  <c r="I51" i="2"/>
  <c r="J50" i="2"/>
  <c r="I50" i="2"/>
  <c r="B50" i="2"/>
  <c r="B51" i="2" s="1"/>
  <c r="H51" i="2" s="1"/>
  <c r="F49" i="2"/>
  <c r="C49" i="2"/>
  <c r="A49" i="2"/>
  <c r="B46" i="2"/>
  <c r="J38" i="2"/>
  <c r="I38" i="2"/>
  <c r="J37" i="2"/>
  <c r="I37" i="2"/>
  <c r="B37" i="2"/>
  <c r="H37" i="2" s="1"/>
  <c r="F36" i="2"/>
  <c r="C36" i="2"/>
  <c r="A36" i="2"/>
  <c r="B33" i="2"/>
  <c r="J25" i="2"/>
  <c r="I25" i="2"/>
  <c r="J24" i="2"/>
  <c r="I24" i="2"/>
  <c r="B24" i="2"/>
  <c r="H24" i="2" s="1"/>
  <c r="F23" i="2"/>
  <c r="C23" i="2"/>
  <c r="A23" i="2"/>
  <c r="B20" i="2"/>
  <c r="J12" i="2"/>
  <c r="I12" i="2"/>
  <c r="J11" i="2"/>
  <c r="I11" i="2"/>
  <c r="B11" i="2"/>
  <c r="H11" i="2" s="1"/>
  <c r="F10" i="2"/>
  <c r="C10" i="2"/>
  <c r="A10" i="2"/>
  <c r="B7" i="2"/>
  <c r="A253" i="1"/>
  <c r="A229" i="1"/>
  <c r="A205" i="1"/>
  <c r="A181" i="1"/>
  <c r="B25" i="2"/>
  <c r="H25" i="2" s="1"/>
  <c r="H76" i="2"/>
  <c r="H118" i="2"/>
  <c r="H50" i="2"/>
  <c r="B12" i="2"/>
  <c r="H12" i="2" s="1"/>
  <c r="B38" i="2"/>
  <c r="H38" i="2" s="1"/>
  <c r="B64" i="2"/>
  <c r="H64" i="2" s="1"/>
  <c r="J92" i="1"/>
  <c r="I92" i="1"/>
  <c r="J79" i="1"/>
  <c r="I79" i="1"/>
  <c r="J66" i="1"/>
  <c r="I66" i="1"/>
  <c r="J53" i="1"/>
  <c r="I53" i="1"/>
  <c r="J40" i="1"/>
  <c r="I40" i="1"/>
  <c r="J27" i="1"/>
  <c r="I27" i="1"/>
  <c r="I14" i="1"/>
  <c r="J14" i="1"/>
  <c r="I78" i="1" l="1"/>
  <c r="B156" i="1"/>
  <c r="J78" i="1"/>
  <c r="B78" i="1"/>
  <c r="B79" i="1" s="1"/>
  <c r="H79" i="1" s="1"/>
  <c r="J13" i="1"/>
  <c r="I13" i="1"/>
  <c r="B13" i="1"/>
  <c r="J91" i="1"/>
  <c r="I91" i="1"/>
  <c r="H91" i="1"/>
  <c r="B91" i="1"/>
  <c r="B92" i="1" s="1"/>
  <c r="H92" i="1" s="1"/>
  <c r="J65" i="1"/>
  <c r="I65" i="1"/>
  <c r="B62" i="1"/>
  <c r="B65" i="1"/>
  <c r="J52" i="1"/>
  <c r="I52" i="1"/>
  <c r="B52" i="1"/>
  <c r="J39" i="1"/>
  <c r="I39" i="1"/>
  <c r="B39" i="1"/>
  <c r="J26" i="1"/>
  <c r="I26" i="1"/>
  <c r="B26" i="1"/>
  <c r="F77" i="1"/>
  <c r="C77" i="1"/>
  <c r="A77" i="1"/>
  <c r="B74" i="1"/>
  <c r="F38" i="1"/>
  <c r="C38" i="1"/>
  <c r="A38" i="1"/>
  <c r="B35" i="1"/>
  <c r="H13" i="1"/>
  <c r="B113" i="1"/>
  <c r="B117" i="1"/>
  <c r="B118" i="1" s="1"/>
  <c r="F116" i="1"/>
  <c r="C116" i="1"/>
  <c r="A116" i="1"/>
  <c r="B139" i="1"/>
  <c r="B143" i="1"/>
  <c r="B144" i="1" s="1"/>
  <c r="H78" i="1" l="1"/>
  <c r="J144" i="1"/>
  <c r="I144" i="1"/>
  <c r="J118" i="1"/>
  <c r="I118" i="1"/>
  <c r="H118" i="1"/>
  <c r="H26" i="1"/>
  <c r="H117" i="1"/>
  <c r="J117" i="1"/>
  <c r="H39" i="1"/>
  <c r="B14" i="1"/>
  <c r="I143" i="1"/>
  <c r="B40" i="1"/>
  <c r="H144" i="1"/>
  <c r="H143" i="1"/>
  <c r="J143" i="1"/>
  <c r="I117" i="1"/>
  <c r="B152" i="1"/>
  <c r="B126" i="1"/>
  <c r="B100" i="1"/>
  <c r="B87" i="1"/>
  <c r="B48" i="1"/>
  <c r="B22" i="1"/>
  <c r="B9" i="1"/>
  <c r="B169" i="1"/>
  <c r="F168" i="1"/>
  <c r="D168" i="1"/>
  <c r="A168" i="1"/>
  <c r="H40" i="1" l="1"/>
  <c r="H14" i="1"/>
  <c r="B170" i="1"/>
  <c r="I169" i="1"/>
  <c r="H169" i="1"/>
  <c r="J169" i="1"/>
  <c r="B157" i="1"/>
  <c r="H156" i="1"/>
  <c r="F155" i="1"/>
  <c r="C155" i="1"/>
  <c r="A155" i="1"/>
  <c r="J170" i="1" l="1"/>
  <c r="I170" i="1"/>
  <c r="H170" i="1"/>
  <c r="H157" i="1"/>
  <c r="F142" i="1"/>
  <c r="C142" i="1"/>
  <c r="A142" i="1"/>
  <c r="B130" i="1" l="1"/>
  <c r="F129" i="1"/>
  <c r="C129" i="1"/>
  <c r="A129" i="1"/>
  <c r="B104" i="1"/>
  <c r="F103" i="1"/>
  <c r="C103" i="1"/>
  <c r="A103" i="1"/>
  <c r="F90" i="1"/>
  <c r="C90" i="1"/>
  <c r="A90" i="1"/>
  <c r="B27" i="1"/>
  <c r="F64" i="1"/>
  <c r="C64" i="1"/>
  <c r="A64" i="1"/>
  <c r="F51" i="1"/>
  <c r="C51" i="1"/>
  <c r="A51" i="1"/>
  <c r="F25" i="1"/>
  <c r="C25" i="1"/>
  <c r="A25" i="1"/>
  <c r="F12" i="1"/>
  <c r="C12" i="1"/>
  <c r="A12" i="1"/>
  <c r="B105" i="1" l="1"/>
  <c r="J104" i="1"/>
  <c r="I104" i="1"/>
  <c r="H104" i="1"/>
  <c r="B66" i="1"/>
  <c r="H65" i="1"/>
  <c r="H27" i="1"/>
  <c r="B53" i="1"/>
  <c r="H52" i="1"/>
  <c r="B131" i="1"/>
  <c r="H130" i="1"/>
  <c r="I105" i="1" l="1"/>
  <c r="J105" i="1"/>
  <c r="H66" i="1"/>
  <c r="H131" i="1"/>
  <c r="H53" i="1"/>
  <c r="H105" i="1"/>
</calcChain>
</file>

<file path=xl/sharedStrings.xml><?xml version="1.0" encoding="utf-8"?>
<sst xmlns="http://schemas.openxmlformats.org/spreadsheetml/2006/main" count="1378" uniqueCount="116">
  <si>
    <t>Activity</t>
  </si>
  <si>
    <t>comment</t>
  </si>
  <si>
    <t>location</t>
  </si>
  <si>
    <t>GLO</t>
  </si>
  <si>
    <t>production amount</t>
  </si>
  <si>
    <t>reference product</t>
  </si>
  <si>
    <t>unit</t>
  </si>
  <si>
    <t>kilogram</t>
  </si>
  <si>
    <t>source</t>
  </si>
  <si>
    <t>Exchanges</t>
  </si>
  <si>
    <t>name</t>
  </si>
  <si>
    <t>amount</t>
  </si>
  <si>
    <t>type</t>
  </si>
  <si>
    <t>production</t>
  </si>
  <si>
    <t>technosphere</t>
  </si>
  <si>
    <t>kilowatt hour</t>
  </si>
  <si>
    <t>market for battery capacity, Li-ion, LFP</t>
  </si>
  <si>
    <t>market for battery, Li-ion, LFP, rechargeable, prismatic</t>
  </si>
  <si>
    <t>battery, Li-ion, LFP, rechargeable, prismatic</t>
  </si>
  <si>
    <t>market for battery capacity, Li-ion, NMC111</t>
  </si>
  <si>
    <t>market for battery, Li-ion, NMC111, rechargeable, prismatic</t>
  </si>
  <si>
    <t>battery, Li-ion, NMC111, rechargeable, prismatic</t>
  </si>
  <si>
    <t>market for battery capacity, Li-ion, NMC622</t>
  </si>
  <si>
    <t>market for battery capacity, Li-ion, NMC811</t>
  </si>
  <si>
    <t>market for battery, Li-ion, NMC811, rechargeable, prismatic</t>
  </si>
  <si>
    <t>market for battery, Li-ion, NMC622</t>
  </si>
  <si>
    <t>battery, Li-ion, NMC622</t>
  </si>
  <si>
    <t>market for battery capacity, Li-ion, NCA</t>
  </si>
  <si>
    <t>market for battery, Li-ion, NCA, rechargeable, prismatic</t>
  </si>
  <si>
    <t>battery, Li-ion, NCA, rechargeable, prismatic</t>
  </si>
  <si>
    <t>market for battery capacity, Li-ion, LTO</t>
  </si>
  <si>
    <t>market for battery, Li-ion, LTO</t>
  </si>
  <si>
    <t>battery, Li-ion, LTO</t>
  </si>
  <si>
    <t>market for battery, Li-sulfur, Li-S</t>
  </si>
  <si>
    <t>battery, Li-S</t>
  </si>
  <si>
    <t>market for battery capacity, Li-ion, Li-O2</t>
  </si>
  <si>
    <t>market for battery, Li-oxygen, Li-O2</t>
  </si>
  <si>
    <t>battery, Li-O2</t>
  </si>
  <si>
    <t>market for battery capacity, Sodium-ion, SiB</t>
  </si>
  <si>
    <t>market for battery, Sodium-ion, SiB</t>
  </si>
  <si>
    <t>battery, SiB</t>
  </si>
  <si>
    <t>market for battery, NaCl</t>
  </si>
  <si>
    <t>battery, NaCl</t>
  </si>
  <si>
    <t>This dataset provides 1 kWh of battery gross capacity (NOT net), using a Li-ion LTO battery. Specific energy density in 2020: 0.085 kWh/kg cell. Battery management (BoP) mass share: 36%. Battery energy density in 2020: 0.053 kWh/kg battery. Battery mass per kWh: 18.4 kg. Lifetime: 10'000 cycles. Source for parameters: Life cycle assessment of battery electric buses. Transportation Research Part D: Transport and Environment. Linda Ager-Wick Ellingsen, Rebecca Jayne Thorne, Julia Wind, Erik Figenbaum, Mia Romare and Anders Nordelöf.</t>
  </si>
  <si>
    <t>Inventories from ecoinvent 3.10</t>
  </si>
  <si>
    <t>This dataset provides 1 kWh of battery gross capacity (NOT net), using a Sodium-Nickel-Chloride battery. Battery energy density in 2020: 0.116 kWh/kg battery. Battery mass per kWh: 8.62 kg. Lifetime: 1'000-2'500. Source for parameters: Dustmann C.-H. (2004) Advances in ZEBRA batteries. Journal of Power Sources 127, 85-93. and Turconi, A. (2007) Developments and Improvements in Zebra Nickel Sodium Chloride Batteries. EVS-23, Dec. 2-5, Anaheim, DE.</t>
  </si>
  <si>
    <t>battery, Li-ion, NMC811, rechargeable, prismatic</t>
  </si>
  <si>
    <t>market for battery capacity, Sodium-Nickel-Chloride, Na-NiCl</t>
  </si>
  <si>
    <t>battery cell mass share</t>
  </si>
  <si>
    <t>This dataset provides 1 kWh of battery gross capacity (NOT net), using a Lithium-oxygen Li-O2 battery. Specific energy density in 2020: 0.360 kWh/kg cell. Battery management (BoP) mass share: 45%. Battery energy density in 2020: 0.238 kWh/kg battery (excl. O2 tanks). System energy density in 2020: 0.198 kWh/kg battery (incl. O2 tanks). Battery mass per kWh: 5.05 kg. Battery lifetime: 305 kWh/kg (1.76 MJ/km x 2e5 km / 321 kg). Source for parameters: Originally from Wang, F., Deng, Y., &amp; Yuan, C. (2020). Life cycle assessment of lithium oxygen battery for electric vehicles. Journal of Cleaner Production, 264, 121339. https://doi.org/10.1016/j.jclepro.2020.121339</t>
  </si>
  <si>
    <t>market for battery, Li-ion, LiMn2O4, rechargeable, prismatic</t>
  </si>
  <si>
    <t>battery, Li-ion, LiMn2O4, rechargeable, prismatic</t>
  </si>
  <si>
    <t>This dataset provides 1 kWh of battery gross capacity (NOT net), using a Li-ion LMO battery. Specific energy density in 2020: 0.13 kWh/kg cell. Battery management (BoP) mass share: 13%. Battery energy density in 2020: 0.114 kWh/kg battery. Battery mass per kWh: 18.4 kg. Lifetime: 10'000 cycles. Source for parameters: Life cycle assessment of battery electric buses. Transportation Research Part D: Transport and Environment. Linda Ager-Wick Ellingsen, Rebecca Jayne Thorne, Julia Wind, Erik Figenbaum, Mia Romare and Anders Nordelöf.</t>
  </si>
  <si>
    <t>market for used Li-ion battery</t>
  </si>
  <si>
    <t>used Li-ion battery</t>
  </si>
  <si>
    <t>market for battery capacity, Li-ion, LiMn2O4</t>
  </si>
  <si>
    <t>market for battery capacity, Li-sulfur, Li-S</t>
  </si>
  <si>
    <t>uncertainty type</t>
  </si>
  <si>
    <t>loc</t>
  </si>
  <si>
    <t>minimum</t>
  </si>
  <si>
    <t>maximum</t>
  </si>
  <si>
    <t>negative</t>
  </si>
  <si>
    <t>market for battery capacity, Li-ion, NMC955</t>
  </si>
  <si>
    <t>market for battery, Li-ion, NMC955</t>
  </si>
  <si>
    <t>battery, Li-ion, NMC955</t>
  </si>
  <si>
    <t>This dataset provides 1 kWh of battery gross capacity (NOT net), using a Li-ion LFP battery. Specific energy density in 2020: (min, mean, max) 0.140, 0.160, 0.190 kWh/kg cell. Battery management (BoP) mass share: 27%. Battery energy density in 2020: 0.10 kWh/kg battery. Battery mass per kWh: 8.6 kg. Lifetime: 3'000-3'500 cycles. Source for parameters: Hasselwander, S.; Meyer, M.; Österle, I. Techno-Economic Analysis of Different Battery Cell Chemistries for the Passenger Vehicle Market. Batteries 2023, 9, 379. https://doi.org/10.3390/batteries9070379.</t>
  </si>
  <si>
    <t>This dataset provides 1 kWh of battery gross capacity (NOT net), using a Li-ion NMC111 battery. Specific cell energy density in 2020: (min, mean, max) 0.150, 0.180, 0.190 kWh/kg cell. Battery management (BoP) mass share: 27%. Battery energy density in 2020: 0.13 kWh/kg battery. Battery mass per kWh: 7.6 kg. Lifetime: 1'000-1'800 cycles. Source for parameters: Hasselwander, S.; Meyer, M.; Österle, I. Techno-Economic Analysis of Different Battery Cell Chemistries for the Passenger Vehicle Market. Batteries 2023, 9, 379. https://doi.org/10.3390/batteries9070379.</t>
  </si>
  <si>
    <t>This dataset provides 1 kWh of battery gross capacity (NOT net), using a Li-ion NMC622 battery. Specific energy density in 2020: (min, mean, max) 0.200, 0.240, 0.280 kWh/kg cell. Battery management (BoP) mass share: 27%. Battery energy density in 2020: 0.180 kWh/kg battery. Battery mass per kWh: 6.85 kg. Lifetime: 1'000-1'500 cycles. Source for parameters: Hasselwander, S.; Meyer, M.; Österle, I. Techno-Economic Analysis of Different Battery Cell Chemistries for the Passenger Vehicle Market. Batteries 2023, 9, 379. https://doi.org/10.3390/batteries9070379.</t>
  </si>
  <si>
    <t>This dataset provides 1 kWh of battery gross capacity (not NET), using a Li-ion NMC811 battery. Specific energy density in 2020: (min, mean, max) 0.240, 0.280, 0.340 kWh/kg cell. Battery management (BoP) mass share: 29%. Battery energy density in 2020: 0.20 kWh/kg battery. Battery mass per kWh: 5.03 kg. Lifetime: 1'000-1'200 cycles. Source for parameters: Hasselwander, S.; Meyer, M.; Österle, I. Techno-Economic Analysis of Different Battery Cell Chemistries for the Passenger Vehicle Market. Batteries 2023, 9, 379. https://doi.org/10.3390/batteries9070379.</t>
  </si>
  <si>
    <t>This dataset provides 1 kWh of battery gross capacity (not NET), using a Li-ion NCA battery. Specific energy density in 2020: (min, mean, max) 0.240, 0.280, 0.340 kWh/kg cell. Battery management (BoP) mass share: 29%. Battery energy density in 2020: 0.20 kWh/kg battery. Battery mass per kWh: 5.03 kg. Lifetime: 800-1'600 cycles. Source for parameters: Hasselwander, S.; Meyer, M.; Österle, I. Techno-Economic Analysis of Different Battery Cell Chemistries for the Passenger Vehicle Market. Batteries 2023, 9, 379. https://doi.org/10.3390/batteries9070379.</t>
  </si>
  <si>
    <t>This dataset provides 1 kWh of battery gross capacity (NOT net), using a Sodium-ion battery. Specific energy density in 2020: 0.157 kWh/kg cell. Battery management (BoP) mass share: 25%. Battery energy density in 2020: 0.12 kWh/kg battery. Battery mass per kWh: 8.5 kg. Lifetime: 628 kWh/kg cell (4000 cycles x 0.157 kWh) or 2'500-4'000 cycles. Source for parameters: Zhang, S., Steubing, B., Potter, H. K., Hansson, P. A., &amp; Nordberg, Å. (2024). Future climate impacts of sodium-ion batteries. Resources, Conservation and Recycling, 202, 107362. https://doi.org/10.1016/j.resconrec.2023.107362. Min and max values from: Hasselwander, S.; Meyer, M.; Österle, I. Techno-Economic Analysis of Different Battery Cell Chemistries for the Passenger Vehicle Market. Batteries 2023, 9, 379. https://doi.org/10.3390/batteries9070379.</t>
  </si>
  <si>
    <t>This dataset provides 1 kWh of battery gross capacity (NOT net), using a Li-ion Li-S battery. Specific energy density in 2020: 0.15 kWh/kg cell, 0.5 kWh/kg cell in the future. Battery management (BoP) mass share: 25%. Battery energy density in 2020: 0.11 kWh/kg battery. Battery mass per kWh: 8.9 kg. Cycle life: 800-1'500 or Lifetime: 225 kWh/kg. Source: Wickerts et al. (2023). Prospective Life Cycle Assessment of Lithium-Sulfur Batteries for Stationary Energy Storage. ACS Sustainable Chemistry &amp; Engineering. https://doi.org/10.1021/acssuschemeng.3c00141</t>
  </si>
  <si>
    <t>This dataset provides 1 kWh of battery gross capacity (not NET), using a Li-ion NMC955 battery. Specific energy density in 2020: (min, mean, max) 0.300, 0.340, 0.380 kWh/kg cell. Battery management (BoP) mass share: 29%. Battery energy density in 2030: 0.240 kWh/kg battery. Battery mass per kWh: 5.03 kg. Lifetime: 1'000-1'500 cycles. Source for parameters: Hasselwander, S.; Meyer, M.; Österle, I. Techno-Economic Analysis of Different Battery Cell Chemistries for the Passenger Vehicle Market. Batteries 2023, 9, 379. https://doi.org/10.3390/batteries9070379.</t>
  </si>
  <si>
    <t>This dataset provides a market average for 1 kWh of battery gross capacity (NOT net). It is based on shares provided by Degen, F., Winter, M., Bendig, D. et al. Energy consumption of current and future production of lithium-ion and post lithium-ion battery cells. Nat Energy 8, 1284–1295 (2023). https://doi.org/10.1038/s41560-023-01355-z. The default scenario is "MIX scenario", which sees an increasing market share for novel post-lithium chemistries.</t>
  </si>
  <si>
    <t>Market shares from Degen, F., Winter, M., Bendig, D. et al. Energy consumption of current and future production of lithium-ion and post lithium-ion battery cells. Nat Energy 8, 1284–1295 (2023). https://doi.org/10.1038/s41560-023-01355-z</t>
  </si>
  <si>
    <t>market for battery capacity (MIX scenario)</t>
  </si>
  <si>
    <t>market for battery capacity (LFP scenario)</t>
  </si>
  <si>
    <t>market for battery capacity (NCx scenario)</t>
  </si>
  <si>
    <t>market for battery capacity (PLiB scenario)</t>
  </si>
  <si>
    <t>market for battery capacity, Li-ion, LFP, stationary</t>
  </si>
  <si>
    <t>market for battery capacity, Li-ion, NMC111, stationary</t>
  </si>
  <si>
    <t>market for battery capacity, Li-ion, NMC622, stationary</t>
  </si>
  <si>
    <t>market for battery capacity, Li-ion, NMC811, stationary</t>
  </si>
  <si>
    <t>market for battery capacity, Li-ion, NMC955, stationary</t>
  </si>
  <si>
    <t>market for battery capacity, Sodium-ion, SiB, stationary</t>
  </si>
  <si>
    <t>market for battery, redox-flow, Vanadium</t>
  </si>
  <si>
    <t>market for used redox-flow battery</t>
  </si>
  <si>
    <t>used redox-flow battery</t>
  </si>
  <si>
    <t>This dataset provides 1 kWh of battery gross capacity (NOT net), using a vanadium redox-flow battery. EFFECTIVE energy density in 2020: 0.0194 kWh/kg cell. Battery management (BoP) mass share: 21%. Source for parameters: https://doi.org/10.1021/acs.est.8b02073. Min and max values from: https://doi.org/10.1039/C7CP07456E</t>
  </si>
  <si>
    <t>market for battery capacity, lead acid, rechargeable, stationary</t>
  </si>
  <si>
    <t>market for battery, lead acid, rechargeable, stationary</t>
  </si>
  <si>
    <t>battery, lead acid, rechargeable, stationary</t>
  </si>
  <si>
    <t>market for scrap lead acid battery</t>
  </si>
  <si>
    <t>scrap lead acid battery</t>
  </si>
  <si>
    <t>Activities from ecoinvent. Current energy values from: http://dx.doi.org/10.1016/j.rser.2014.10.072. Future energy density values from: https://doi.org/10.1007/s41918-022-00134-w</t>
  </si>
  <si>
    <t>market for battery capacity, Sodium-Nickel-Chloride, Na-NiCl, stationary</t>
  </si>
  <si>
    <t>market for battery capacity, stationary (CONT scenario)</t>
  </si>
  <si>
    <t>market for battery capacity, stationary (TC scenario)</t>
  </si>
  <si>
    <t>battery, redox-flow, Vanadium</t>
  </si>
  <si>
    <t>database</t>
  </si>
  <si>
    <t>batteries</t>
  </si>
  <si>
    <t>market for battery capacity, redox-flow, Vanadium, stationary</t>
  </si>
  <si>
    <t>Market shares provided by Schlichenmaier &amp; Naegler (2022) https://doi.org/10.1016/j.egyr.2022.11.025</t>
  </si>
  <si>
    <t>This dataset provides a market average for 1 kWh of battery gross capacity (NOT net). It is based on shares provided by Schlichenmaier &amp; Naegler (2022) https://doi.org/10.1016/j.egyr.2022.11.025. Includes charging and discharging losses of 33%.</t>
  </si>
  <si>
    <t>electricity, low voltage</t>
  </si>
  <si>
    <t>market group for electricity, low voltage</t>
  </si>
  <si>
    <t>electricity storage capacity</t>
  </si>
  <si>
    <t>electricity supply, from stationary battery (CONT scenario)</t>
  </si>
  <si>
    <t>This dataset provides a market average for 1 kWh of battery gross capacity (NOT net). It is based on shares provided by Schlichenmaier &amp; Naegler (2022) https://doi.org/10.1016/j.egyr.2022.11.025.</t>
  </si>
  <si>
    <t>This dataset provides a kilowatt hour from a stationary battery system. Assumed lifetime : 2'500 cycles, or 2'500 kWh. Min: 1'500 cycles. Max: 5'000 cycles. Includes charging and discharging losses of 33%.</t>
  </si>
  <si>
    <t>market for battery capacity, Li-ion, NMC532</t>
  </si>
  <si>
    <t>This dataset provides 1 kWh of battery gross capacity (NOT net), using a Li-ion NMC532 battery. Specific energy density in 2020: (min, mean, max) 0.170, 0.200, 0.220 kWh/kg cell. Battery management (BoP) mass share: 27%. Battery energy density in 2020: 0.150 kWh/kg battery. Battery mass per kWh: 6.95 kg. Lifetime: 1'000-1'500 cycles. Source for parameters: Hasselwander, S.; Meyer, M.; Österle, I. Techno-Economic Analysis of Different Battery Cell Chemistries for the Passenger Vehicle Market. Batteries 2023, 9, 379. https://doi.org/10.3390/batteries9070379.</t>
  </si>
  <si>
    <t>market for battery, Li-ion, NMC532</t>
  </si>
  <si>
    <t>battery, Li-ion, NMC532</t>
  </si>
  <si>
    <t>market for battery capacity, Li-ion, NMC532, stationary</t>
  </si>
  <si>
    <t>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</si>
</sst>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9" fontId="5" fillId="0" borderId="0" applyFont="0" applyFill="0" applyBorder="0" applyAlignment="0" applyProtection="0"/>
  </cellStyleXfs>
  <cellXfs count="9">
    <xf numFmtId="0" fontId="0" fillId="0" borderId="0" xfId="0"/>
    <xf numFmtId="0" fontId="6" fillId="0" borderId="0" xfId="0" applyFont="1"/>
    <xf numFmtId="0" fontId="7" fillId="0" borderId="0" xfId="0" applyFont="1"/>
    <xf numFmtId="2" fontId="0" fillId="0" borderId="0" xfId="0" applyNumberFormat="1"/>
    <xf numFmtId="0" fontId="4" fillId="0" borderId="0" xfId="0" applyFont="1"/>
    <xf numFmtId="0" fontId="3" fillId="0" borderId="0" xfId="0" applyFont="1"/>
    <xf numFmtId="0" fontId="2" fillId="0" borderId="0" xfId="0" applyFont="1"/>
    <xf numFmtId="164" fontId="0" fillId="0" borderId="0" xfId="0" applyNumberFormat="1"/>
    <xf numFmtId="0" fontId="1" fillId="0" borderId="0" xfId="0" applyFont="1"/>
  </cellXfs>
  <cellStyles count="3">
    <cellStyle name="Normal" xfId="0" builtinId="0"/>
    <cellStyle name="Normal 2" xfId="1" xr:uid="{0E23583C-AEE8-A14E-BBED-EFF8448F4281}"/>
    <cellStyle name="Per cent 2" xfId="2" xr:uid="{D55BF8F8-B642-CC4D-B89F-8E30605497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00000000-0001-0000-0000-000000000000}">
  <dimension ref="A1:N266"/>
  <sheetViews>
    <sheetView workbookViewId="0">
      <selection activeCell="A270" sqref="A270"/>
    </sheetView>
  </sheetViews>
  <sheetFormatPr baseColWidth="10" defaultColWidth="8.83203125" defaultRowHeight="15" ns3:dyDescent="0.2"/>
  <cols>
    <col min="1" max="1" width="46.5" customWidth="1"/>
    <col min="2" max="2" width="24.1640625" customWidth="1"/>
    <col min="6" max="6" width="8.83203125" customWidth="1"/>
  </cols>
  <sheetData>
    <row r="1" spans="1:14" ns3:dyDescent="0.2">
      <c r="A1" s="1" t="s">
        <v>99</v>
      </c>
      <c r="B1" t="s">
        <v>100</v>
      </c>
    </row>
    <row r="3" spans="1:14" ht="16" ns3:dyDescent="0.2">
      <c r="A3" s="2" t="s">
        <v>0</v>
      </c>
      <c r="B3" s="2" t="s">
        <v>16</v>
      </c>
    </row>
    <row r="4" spans="1:14" ns3:dyDescent="0.2">
      <c r="A4" t="s">
        <v>1</v>
      </c>
      <c r="B4" t="s">
        <v>65</v>
      </c>
    </row>
    <row r="5" spans="1:14" ns3:dyDescent="0.2">
      <c r="A5" t="s">
        <v>2</v>
      </c>
      <c r="B5" t="s">
        <v>3</v>
      </c>
    </row>
    <row r="6" spans="1:14" ns3:dyDescent="0.2">
      <c r="A6" t="s">
        <v>4</v>
      </c>
      <c r="B6">
        <v>1</v>
      </c>
    </row>
    <row r="7" spans="1:14" ns3:dyDescent="0.2">
      <c r="A7" t="s">
        <v>5</v>
      </c>
      <c r="B7" t="s">
        <v>106</v>
      </c>
    </row>
    <row r="8" spans="1:14" ns3:dyDescent="0.2">
      <c r="A8" t="s">
        <v>6</v>
      </c>
      <c r="B8" t="s">
        <v>15</v>
      </c>
      <c r="F8" s="7"/>
    </row>
    <row r="9" spans="1:14" ns3:dyDescent="0.2">
      <c r="A9" t="s">
        <v>48</v>
      </c>
      <c r="B9">
        <f>1-0.27</f>
        <v>0.73</v>
      </c>
    </row>
    <row r="10" spans="1:14" ht="16" ns3:dyDescent="0.2">
      <c r="A10" s="2" t="s">
        <v>9</v>
      </c>
      <c r="B10" s="7"/>
    </row>
    <row r="11" spans="1:14" ns3:dyDescent="0.2">
      <c r="A11" s="1" t="s">
        <v>10</v>
      </c>
      <c r="B11" s="1" t="s">
        <v>11</v>
      </c>
      <c r="C11" s="1" t="s">
        <v>6</v>
      </c>
      <c r="D11" s="1" t="s">
        <v>2</v>
      </c>
      <c r="E11" s="1" t="s">
        <v>12</v>
      </c>
      <c r="F11" s="1" t="s">
        <v>5</v>
      </c>
      <c r="G11" s="1" t="s">
        <v>57</v>
      </c>
      <c r="H11" s="1" t="s">
        <v>58</v>
      </c>
      <c r="I11" s="1" t="s">
        <v>59</v>
      </c>
      <c r="J11" s="1" t="s">
        <v>60</v>
      </c>
      <c r="K11" s="1" t="s">
        <v>61</v>
      </c>
    </row>
    <row r="12" spans="1:14" ht="16" ns3:dyDescent="0.2">
      <c r="A12" s="4" t="str">
        <f>B3</f>
        <v>market for battery capacity, Li-ion, LFP</v>
      </c>
      <c r="B12">
        <v>1</v>
      </c>
      <c r="C12" t="str">
        <f>B8</f>
        <v>kilowatt hour</v>
      </c>
      <c r="D12" t="s">
        <v>3</v>
      </c>
      <c r="E12" t="s">
        <v>13</v>
      </c>
      <c r="F12" t="str">
        <f>B7</f>
        <v>electricity storage capacity</v>
      </c>
    </row>
    <row r="13" spans="1:14" ns3:dyDescent="0.2">
      <c r="A13" t="s">
        <v>17</v>
      </c>
      <c r="B13" s="7">
        <f>1/(0.16*(1-27%))</f>
        <v>8.5616438356164384</v>
      </c>
      <c r="C13" t="s">
        <v>7</v>
      </c>
      <c r="D13" t="s">
        <v>3</v>
      </c>
      <c r="E13" t="s">
        <v>14</v>
      </c>
      <c r="F13" t="s">
        <v>18</v>
      </c>
      <c r="G13">
        <v>5</v>
      </c>
      <c r="H13" s="7">
        <f>B13</f>
        <v>8.5616438356164384</v>
      </c>
      <c r="I13" s="7">
        <f>1/(0.19*(1-27%))</f>
        <v>7.2098053352559486</v>
      </c>
      <c r="J13" s="7">
        <f>1/(0.14*(1-27%))</f>
        <v>9.7847358121330714</v>
      </c>
    </row>
    <row r="14" spans="1:14" ns3:dyDescent="0.2">
      <c r="A14" t="s">
        <v>53</v>
      </c>
      <c r="B14" s="7">
        <f>-1*B13</f>
        <v>-8.5616438356164384</v>
      </c>
      <c r="C14" t="s">
        <v>7</v>
      </c>
      <c r="D14" t="s">
        <v>3</v>
      </c>
      <c r="E14" t="s">
        <v>14</v>
      </c>
      <c r="F14" t="s">
        <v>54</v>
      </c>
      <c r="G14">
        <v>5</v>
      </c>
      <c r="H14" s="7">
        <f>B14</f>
        <v>-8.5616438356164384</v>
      </c>
      <c r="I14" s="7">
        <f>-1/(0.14*(1-27%))</f>
        <v>-9.7847358121330714</v>
      </c>
      <c r="J14" s="7">
        <f>-1/(0.19*(1-27%))</f>
        <v>-7.2098053352559486</v>
      </c>
      <c r="K14" t="b">
        <v>1</v>
      </c>
      <c r="M14" s="7"/>
      <c r="N14" s="7"/>
    </row>
    <row r="16" spans="1:14" ht="16" ns3:dyDescent="0.2">
      <c r="A16" s="2" t="s">
        <v>0</v>
      </c>
      <c r="B16" s="2" t="s">
        <v>19</v>
      </c>
    </row>
    <row r="17" spans="1:14" ns3:dyDescent="0.2">
      <c r="A17" t="s">
        <v>1</v>
      </c>
      <c r="B17" t="s">
        <v>66</v>
      </c>
    </row>
    <row r="18" spans="1:14" ns3:dyDescent="0.2">
      <c r="A18" t="s">
        <v>2</v>
      </c>
      <c r="B18" t="s">
        <v>3</v>
      </c>
    </row>
    <row r="19" spans="1:14" ns3:dyDescent="0.2">
      <c r="A19" t="s">
        <v>4</v>
      </c>
      <c r="B19">
        <v>1</v>
      </c>
    </row>
    <row r="20" spans="1:14" ns3:dyDescent="0.2">
      <c r="A20" t="s">
        <v>5</v>
      </c>
      <c r="B20" t="s">
        <v>106</v>
      </c>
    </row>
    <row r="21" spans="1:14" ns3:dyDescent="0.2">
      <c r="A21" t="s">
        <v>6</v>
      </c>
      <c r="B21" t="s">
        <v>15</v>
      </c>
    </row>
    <row r="22" spans="1:14" ns3:dyDescent="0.2">
      <c r="A22" t="s">
        <v>48</v>
      </c>
      <c r="B22">
        <f>1-0.27</f>
        <v>0.73</v>
      </c>
    </row>
    <row r="23" spans="1:14" ht="16" ns3:dyDescent="0.2">
      <c r="A23" s="2" t="s">
        <v>9</v>
      </c>
      <c r="B23" s="3"/>
    </row>
    <row r="24" spans="1:14" ns3:dyDescent="0.2">
      <c r="A24" s="1" t="s">
        <v>10</v>
      </c>
      <c r="B24" s="1" t="s">
        <v>11</v>
      </c>
      <c r="C24" s="1" t="s">
        <v>6</v>
      </c>
      <c r="D24" s="1" t="s">
        <v>2</v>
      </c>
      <c r="E24" s="1" t="s">
        <v>12</v>
      </c>
      <c r="F24" s="1" t="s">
        <v>5</v>
      </c>
      <c r="G24" s="1" t="s">
        <v>57</v>
      </c>
      <c r="H24" s="1" t="s">
        <v>58</v>
      </c>
      <c r="I24" s="1" t="s">
        <v>59</v>
      </c>
      <c r="J24" s="1" t="s">
        <v>60</v>
      </c>
      <c r="K24" s="1" t="s">
        <v>61</v>
      </c>
    </row>
    <row r="25" spans="1:14" ht="16" ns3:dyDescent="0.2">
      <c r="A25" s="4" t="str">
        <f>B16</f>
        <v>market for battery capacity, Li-ion, NMC111</v>
      </c>
      <c r="B25">
        <v>1</v>
      </c>
      <c r="C25" t="str">
        <f>B21</f>
        <v>kilowatt hour</v>
      </c>
      <c r="D25" t="s">
        <v>3</v>
      </c>
      <c r="E25" t="s">
        <v>13</v>
      </c>
      <c r="F25" t="str">
        <f>B20</f>
        <v>electricity storage capacity</v>
      </c>
    </row>
    <row r="26" spans="1:14" ns3:dyDescent="0.2">
      <c r="A26" t="s">
        <v>20</v>
      </c>
      <c r="B26" s="3">
        <f>1/(0.18*73%)</f>
        <v>7.6103500761035017</v>
      </c>
      <c r="C26" t="s">
        <v>7</v>
      </c>
      <c r="D26" t="s">
        <v>3</v>
      </c>
      <c r="E26" t="s">
        <v>14</v>
      </c>
      <c r="F26" t="s">
        <v>21</v>
      </c>
      <c r="G26">
        <v>5</v>
      </c>
      <c r="H26" s="7">
        <f>B26</f>
        <v>7.6103500761035017</v>
      </c>
      <c r="I26" s="7">
        <f>1/(0.19*73%)</f>
        <v>7.2098053352559486</v>
      </c>
      <c r="J26" s="7">
        <f>1/(0.14*73%)</f>
        <v>9.7847358121330714</v>
      </c>
    </row>
    <row r="27" spans="1:14" ns3:dyDescent="0.2">
      <c r="A27" t="s">
        <v>53</v>
      </c>
      <c r="B27" s="3">
        <f>-1*B26</f>
        <v>-7.6103500761035017</v>
      </c>
      <c r="C27" t="s">
        <v>7</v>
      </c>
      <c r="D27" t="s">
        <v>3</v>
      </c>
      <c r="E27" t="s">
        <v>14</v>
      </c>
      <c r="F27" t="s">
        <v>54</v>
      </c>
      <c r="G27">
        <v>5</v>
      </c>
      <c r="H27" s="7">
        <f>B27</f>
        <v>-7.6103500761035017</v>
      </c>
      <c r="I27" s="7">
        <f>-1/(0.14*(1-27%))</f>
        <v>-9.7847358121330714</v>
      </c>
      <c r="J27" s="7">
        <f>-1/(0.19*73%)</f>
        <v>-7.2098053352559486</v>
      </c>
      <c r="K27" t="b">
        <v>1</v>
      </c>
      <c r="M27" s="7"/>
      <c r="N27" s="7"/>
    </row>
    <row r="29" spans="1:14" ht="16" ns3:dyDescent="0.2">
      <c r="A29" s="2" t="s">
        <v>0</v>
      </c>
      <c r="B29" s="2" t="s">
        <v>110</v>
      </c>
    </row>
    <row r="30" spans="1:14" ns3:dyDescent="0.2">
      <c r="A30" t="s">
        <v>1</v>
      </c>
      <c r="B30" t="s">
        <v>111</v>
      </c>
    </row>
    <row r="31" spans="1:14" ns3:dyDescent="0.2">
      <c r="A31" t="s">
        <v>2</v>
      </c>
      <c r="B31" t="s">
        <v>3</v>
      </c>
    </row>
    <row r="32" spans="1:14" ns3:dyDescent="0.2">
      <c r="A32" t="s">
        <v>4</v>
      </c>
      <c r="B32">
        <v>1</v>
      </c>
    </row>
    <row r="33" spans="1:14" ns3:dyDescent="0.2">
      <c r="A33" t="s">
        <v>5</v>
      </c>
      <c r="B33" t="s">
        <v>106</v>
      </c>
    </row>
    <row r="34" spans="1:14" ns3:dyDescent="0.2">
      <c r="A34" t="s">
        <v>6</v>
      </c>
      <c r="B34" t="s">
        <v>15</v>
      </c>
    </row>
    <row r="35" spans="1:14" ns3:dyDescent="0.2">
      <c r="A35" t="s">
        <v>48</v>
      </c>
      <c r="B35">
        <f>1-0.27</f>
        <v>0.73</v>
      </c>
    </row>
    <row r="36" spans="1:14" ht="16" ns3:dyDescent="0.2">
      <c r="A36" s="2" t="s">
        <v>9</v>
      </c>
      <c r="B36" s="3"/>
    </row>
    <row r="37" spans="1:14" ns3:dyDescent="0.2">
      <c r="A37" s="1" t="s">
        <v>10</v>
      </c>
      <c r="B37" s="1" t="s">
        <v>11</v>
      </c>
      <c r="C37" s="1" t="s">
        <v>6</v>
      </c>
      <c r="D37" s="1" t="s">
        <v>2</v>
      </c>
      <c r="E37" s="1" t="s">
        <v>12</v>
      </c>
      <c r="F37" s="1" t="s">
        <v>5</v>
      </c>
      <c r="G37" s="1" t="s">
        <v>57</v>
      </c>
      <c r="H37" s="1" t="s">
        <v>58</v>
      </c>
      <c r="I37" s="1" t="s">
        <v>59</v>
      </c>
      <c r="J37" s="1" t="s">
        <v>60</v>
      </c>
      <c r="K37" s="1" t="s">
        <v>61</v>
      </c>
    </row>
    <row r="38" spans="1:14" ht="16" ns3:dyDescent="0.2">
      <c r="A38" s="4" t="str">
        <f>B29</f>
        <v>market for battery capacity, Li-ion, NMC532</v>
      </c>
      <c r="B38">
        <v>1</v>
      </c>
      <c r="C38" t="str">
        <f>B34</f>
        <v>kilowatt hour</v>
      </c>
      <c r="D38" t="s">
        <v>3</v>
      </c>
      <c r="E38" t="s">
        <v>13</v>
      </c>
      <c r="F38" t="str">
        <f>B33</f>
        <v>electricity storage capacity</v>
      </c>
    </row>
    <row r="39" spans="1:14" ns3:dyDescent="0.2">
      <c r="A39" t="s">
        <v>112</v>
      </c>
      <c r="B39" s="3">
        <f>1/(0.2*73%)</f>
        <v>6.8493150684931514</v>
      </c>
      <c r="C39" t="s">
        <v>7</v>
      </c>
      <c r="D39" t="s">
        <v>3</v>
      </c>
      <c r="E39" t="s">
        <v>14</v>
      </c>
      <c r="F39" t="s">
        <v>113</v>
      </c>
      <c r="G39">
        <v>5</v>
      </c>
      <c r="H39" s="7">
        <f>B39</f>
        <v>6.8493150684931514</v>
      </c>
      <c r="I39" s="3">
        <f>1/(0.22*73%)</f>
        <v>6.2266500622665006</v>
      </c>
      <c r="J39" s="3">
        <f>1/(0.17*73%)</f>
        <v>8.058017727639001</v>
      </c>
    </row>
    <row r="40" spans="1:14" ns3:dyDescent="0.2">
      <c r="A40" t="s">
        <v>53</v>
      </c>
      <c r="B40" s="3">
        <f>-1*B39</f>
        <v>-6.8493150684931514</v>
      </c>
      <c r="C40" t="s">
        <v>7</v>
      </c>
      <c r="D40" t="s">
        <v>3</v>
      </c>
      <c r="E40" t="s">
        <v>14</v>
      </c>
      <c r="F40" t="s">
        <v>54</v>
      </c>
      <c r="G40">
        <v>5</v>
      </c>
      <c r="H40" s="7">
        <f>B40</f>
        <v>-6.8493150684931514</v>
      </c>
      <c r="I40" s="3">
        <f>-1/(0.17*73%)</f>
        <v>-8.058017727639001</v>
      </c>
      <c r="J40" s="3">
        <f>-1/(0.22*73%)</f>
        <v>-6.2266500622665006</v>
      </c>
      <c r="K40" t="b">
        <v>1</v>
      </c>
      <c r="M40" s="3"/>
      <c r="N40" s="3"/>
    </row>
    <row r="42" spans="1:14" ht="16" ns3:dyDescent="0.2">
      <c r="A42" s="2" t="s">
        <v>0</v>
      </c>
      <c r="B42" s="2" t="s">
        <v>22</v>
      </c>
    </row>
    <row r="43" spans="1:14" ns3:dyDescent="0.2">
      <c r="A43" t="s">
        <v>1</v>
      </c>
      <c r="B43" t="s">
        <v>67</v>
      </c>
    </row>
    <row r="44" spans="1:14" ns3:dyDescent="0.2">
      <c r="A44" t="s">
        <v>2</v>
      </c>
      <c r="B44" t="s">
        <v>3</v>
      </c>
    </row>
    <row r="45" spans="1:14" ns3:dyDescent="0.2">
      <c r="A45" t="s">
        <v>4</v>
      </c>
      <c r="B45">
        <v>1</v>
      </c>
    </row>
    <row r="46" spans="1:14" ns3:dyDescent="0.2">
      <c r="A46" t="s">
        <v>5</v>
      </c>
      <c r="B46" t="s">
        <v>106</v>
      </c>
      <c r="E46" s="3"/>
    </row>
    <row r="47" spans="1:14" ns3:dyDescent="0.2">
      <c r="A47" t="s">
        <v>6</v>
      </c>
      <c r="B47" t="s">
        <v>15</v>
      </c>
      <c r="E47" s="3"/>
    </row>
    <row r="48" spans="1:14" ns3:dyDescent="0.2">
      <c r="A48" t="s">
        <v>48</v>
      </c>
      <c r="B48">
        <f>1-0.27</f>
        <v>0.73</v>
      </c>
    </row>
    <row r="49" spans="1:14" ht="16" ns3:dyDescent="0.2">
      <c r="A49" s="2" t="s">
        <v>9</v>
      </c>
      <c r="B49" s="3"/>
    </row>
    <row r="50" spans="1:14" ns3:dyDescent="0.2">
      <c r="A50" s="1" t="s">
        <v>10</v>
      </c>
      <c r="B50" s="1" t="s">
        <v>11</v>
      </c>
      <c r="C50" s="1" t="s">
        <v>6</v>
      </c>
      <c r="D50" s="1" t="s">
        <v>2</v>
      </c>
      <c r="E50" s="1" t="s">
        <v>12</v>
      </c>
      <c r="F50" s="1" t="s">
        <v>5</v>
      </c>
      <c r="G50" s="1" t="s">
        <v>57</v>
      </c>
      <c r="H50" s="1" t="s">
        <v>58</v>
      </c>
      <c r="I50" s="1" t="s">
        <v>59</v>
      </c>
      <c r="J50" s="1" t="s">
        <v>60</v>
      </c>
      <c r="K50" s="1" t="s">
        <v>61</v>
      </c>
    </row>
    <row r="51" spans="1:14" ht="16" ns3:dyDescent="0.2">
      <c r="A51" s="4" t="str">
        <f>B42</f>
        <v>market for battery capacity, Li-ion, NMC622</v>
      </c>
      <c r="B51">
        <v>1</v>
      </c>
      <c r="C51" t="str">
        <f>B47</f>
        <v>kilowatt hour</v>
      </c>
      <c r="D51" t="s">
        <v>3</v>
      </c>
      <c r="E51" t="s">
        <v>13</v>
      </c>
      <c r="F51" t="str">
        <f>B46</f>
        <v>electricity storage capacity</v>
      </c>
    </row>
    <row r="52" spans="1:14" ns3:dyDescent="0.2">
      <c r="A52" t="s">
        <v>25</v>
      </c>
      <c r="B52" s="3">
        <f>1/(0.24*73%)</f>
        <v>5.7077625570776256</v>
      </c>
      <c r="C52" t="s">
        <v>7</v>
      </c>
      <c r="D52" t="s">
        <v>3</v>
      </c>
      <c r="E52" t="s">
        <v>14</v>
      </c>
      <c r="F52" t="s">
        <v>26</v>
      </c>
      <c r="G52">
        <v>5</v>
      </c>
      <c r="H52" s="7">
        <f>B52</f>
        <v>5.7077625570776256</v>
      </c>
      <c r="I52" s="3">
        <f>1/(0.28*73%)</f>
        <v>4.8923679060665357</v>
      </c>
      <c r="J52" s="3">
        <f>1/(0.2*73%)</f>
        <v>6.8493150684931514</v>
      </c>
    </row>
    <row r="53" spans="1:14" ns3:dyDescent="0.2">
      <c r="A53" t="s">
        <v>53</v>
      </c>
      <c r="B53" s="3">
        <f>-1*B52</f>
        <v>-5.7077625570776256</v>
      </c>
      <c r="C53" t="s">
        <v>7</v>
      </c>
      <c r="D53" t="s">
        <v>3</v>
      </c>
      <c r="E53" t="s">
        <v>14</v>
      </c>
      <c r="F53" t="s">
        <v>54</v>
      </c>
      <c r="G53">
        <v>5</v>
      </c>
      <c r="H53" s="7">
        <f>B53</f>
        <v>-5.7077625570776256</v>
      </c>
      <c r="I53" s="3">
        <f>-1/(0.2*73%)</f>
        <v>-6.8493150684931514</v>
      </c>
      <c r="J53" s="3">
        <f>-1/(0.28*73%)</f>
        <v>-4.8923679060665357</v>
      </c>
      <c r="K53" t="b">
        <v>1</v>
      </c>
      <c r="M53" s="3"/>
      <c r="N53" s="3"/>
    </row>
    <row r="55" spans="1:14" ht="16" ns3:dyDescent="0.2">
      <c r="A55" s="2" t="s">
        <v>0</v>
      </c>
      <c r="B55" s="2" t="s">
        <v>23</v>
      </c>
    </row>
    <row r="56" spans="1:14" ns3:dyDescent="0.2">
      <c r="A56" t="s">
        <v>1</v>
      </c>
      <c r="B56" t="s">
        <v>68</v>
      </c>
    </row>
    <row r="57" spans="1:14" ns3:dyDescent="0.2">
      <c r="A57" t="s">
        <v>2</v>
      </c>
      <c r="B57" t="s">
        <v>3</v>
      </c>
    </row>
    <row r="58" spans="1:14" ns3:dyDescent="0.2">
      <c r="A58" t="s">
        <v>4</v>
      </c>
      <c r="B58">
        <v>1</v>
      </c>
    </row>
    <row r="59" spans="1:14" ns3:dyDescent="0.2">
      <c r="A59" t="s">
        <v>5</v>
      </c>
      <c r="B59" t="s">
        <v>106</v>
      </c>
    </row>
    <row r="60" spans="1:14" ns3:dyDescent="0.2">
      <c r="A60" t="s">
        <v>6</v>
      </c>
      <c r="B60" t="s">
        <v>15</v>
      </c>
      <c r="E60" s="3"/>
    </row>
    <row r="61" spans="1:14" ns3:dyDescent="0.2">
      <c r="A61" t="s">
        <v>48</v>
      </c>
    </row>
    <row r="62" spans="1:14" ht="16" ns3:dyDescent="0.2">
      <c r="A62" s="2" t="s">
        <v>9</v>
      </c>
      <c r="B62" s="3">
        <f>(0.28*71%)</f>
        <v>0.1988</v>
      </c>
    </row>
    <row r="63" spans="1:14" ns3:dyDescent="0.2">
      <c r="A63" s="1" t="s">
        <v>10</v>
      </c>
      <c r="B63" s="1" t="s">
        <v>11</v>
      </c>
      <c r="C63" s="1" t="s">
        <v>6</v>
      </c>
      <c r="D63" s="1" t="s">
        <v>2</v>
      </c>
      <c r="E63" s="1" t="s">
        <v>12</v>
      </c>
      <c r="F63" s="1" t="s">
        <v>5</v>
      </c>
      <c r="G63" s="1" t="s">
        <v>57</v>
      </c>
      <c r="H63" s="1" t="s">
        <v>58</v>
      </c>
      <c r="I63" s="1" t="s">
        <v>59</v>
      </c>
      <c r="J63" s="1" t="s">
        <v>60</v>
      </c>
      <c r="K63" s="1" t="s">
        <v>61</v>
      </c>
    </row>
    <row r="64" spans="1:14" ht="16" ns3:dyDescent="0.2">
      <c r="A64" s="4" t="str">
        <f>B55</f>
        <v>market for battery capacity, Li-ion, NMC811</v>
      </c>
      <c r="B64">
        <v>1</v>
      </c>
      <c r="C64" t="str">
        <f>B60</f>
        <v>kilowatt hour</v>
      </c>
      <c r="D64" t="s">
        <v>3</v>
      </c>
      <c r="E64" t="s">
        <v>13</v>
      </c>
      <c r="F64" t="str">
        <f>B59</f>
        <v>electricity storage capacity</v>
      </c>
    </row>
    <row r="65" spans="1:14" ns3:dyDescent="0.2">
      <c r="A65" t="s">
        <v>24</v>
      </c>
      <c r="B65" s="3">
        <f>1/(0.28*71%)</f>
        <v>5.0301810865191143</v>
      </c>
      <c r="C65" t="s">
        <v>7</v>
      </c>
      <c r="D65" t="s">
        <v>3</v>
      </c>
      <c r="E65" t="s">
        <v>14</v>
      </c>
      <c r="F65" t="s">
        <v>46</v>
      </c>
      <c r="G65">
        <v>5</v>
      </c>
      <c r="H65" s="7">
        <f>B65</f>
        <v>5.0301810865191143</v>
      </c>
      <c r="I65" s="3">
        <f>1/(0.34*71%)</f>
        <v>4.1425020712510356</v>
      </c>
      <c r="J65" s="3">
        <f>1/(0.24*71%)</f>
        <v>5.868544600938967</v>
      </c>
    </row>
    <row r="66" spans="1:14" ns3:dyDescent="0.2">
      <c r="A66" t="s">
        <v>53</v>
      </c>
      <c r="B66" s="3">
        <f>-1*B65</f>
        <v>-5.0301810865191143</v>
      </c>
      <c r="C66" t="s">
        <v>7</v>
      </c>
      <c r="D66" t="s">
        <v>3</v>
      </c>
      <c r="E66" t="s">
        <v>14</v>
      </c>
      <c r="F66" t="s">
        <v>54</v>
      </c>
      <c r="G66">
        <v>5</v>
      </c>
      <c r="H66" s="7">
        <f>B66</f>
        <v>-5.0301810865191143</v>
      </c>
      <c r="I66" s="3">
        <f>-1/(0.24*71%)</f>
        <v>-5.868544600938967</v>
      </c>
      <c r="J66" s="3">
        <f>-1/(0.34*71%)</f>
        <v>-4.1425020712510356</v>
      </c>
      <c r="K66" t="b">
        <v>1</v>
      </c>
      <c r="M66" s="3"/>
      <c r="N66" s="3"/>
    </row>
    <row r="68" spans="1:14" ht="16" ns3:dyDescent="0.2">
      <c r="A68" s="2" t="s">
        <v>0</v>
      </c>
      <c r="B68" s="2" t="s">
        <v>62</v>
      </c>
    </row>
    <row r="69" spans="1:14" ns3:dyDescent="0.2">
      <c r="A69" t="s">
        <v>1</v>
      </c>
      <c r="B69" t="inlineStr">
        <is>
          <t>Provides 1 kWh gross battery capacity using a Li-ion NMC955 pack. The complete-pack manufacturing recipe in lci-batteries-NMC955-LTO.xlsx contains 0.72591 kg cells per kg pack (72.591% cells, 27.409% other pack components). Use this manufactured cell fraction instead of the former generic 71% assumption. At the retained 2020 cell energy densities (minimum/mean/maximum) of 0.300/0.340/0.380 kWh per kg cell, pack mass is 1/(cell density * cell mass share): mean 4.051709537805285 kg/kWh, range 3.625213796983677 to 4.591937476179324 kg/kWh. Manufacturing and end of life use equal pack mass; signed disposal bounds mirror the manufacturing bounds. Source density/lifetime parameters: Hasselwander et al. (2023), https://doi.org/10.3390/batteries9070379. The source lifetime of 1000-1500 cycles and the existing future density trajectory remain modelling assumptions. Matching cell fraction is an allocation correction, not validation of practical cell performance. Rebuild scenario databases to apply.</t>
        </is>
      </c>
    </row>
    <row r="70" spans="1:14" ns3:dyDescent="0.2">
      <c r="A70" t="s">
        <v>2</v>
      </c>
      <c r="B70" t="s">
        <v>3</v>
      </c>
    </row>
    <row r="71" spans="1:14" ns3:dyDescent="0.2">
      <c r="A71" t="s">
        <v>4</v>
      </c>
      <c r="B71">
        <v>1</v>
      </c>
    </row>
    <row r="72" spans="1:14" ns3:dyDescent="0.2">
      <c r="A72" t="s">
        <v>5</v>
      </c>
      <c r="B72" t="s">
        <v>106</v>
      </c>
    </row>
    <row r="73" spans="1:14" ns3:dyDescent="0.2">
      <c r="A73" t="s">
        <v>6</v>
      </c>
      <c r="B73" t="s">
        <v>15</v>
      </c>
      <c r="E73" s="3"/>
    </row>
    <row r="74" spans="1:14" ns3:dyDescent="0.2">
      <c r="A74" t="s">
        <v>48</v>
      </c>
      <c r="B74">
        <f>0.72591</f>
        <v>0.72591000000000006</v>
      </c>
    </row>
    <row r="75" spans="1:14" ht="16" ns3:dyDescent="0.2">
      <c r="A75" s="2" t="s">
        <v>9</v>
      </c>
    </row>
    <row r="76" spans="1:14" ns3:dyDescent="0.2">
      <c r="A76" s="1" t="s">
        <v>10</v>
      </c>
      <c r="B76" s="1" t="s">
        <v>11</v>
      </c>
      <c r="C76" s="1" t="s">
        <v>6</v>
      </c>
      <c r="D76" s="1" t="s">
        <v>2</v>
      </c>
      <c r="E76" s="1" t="s">
        <v>12</v>
      </c>
      <c r="F76" s="1" t="s">
        <v>5</v>
      </c>
      <c r="G76" s="1" t="s">
        <v>57</v>
      </c>
      <c r="H76" s="1" t="s">
        <v>58</v>
      </c>
      <c r="I76" s="1" t="s">
        <v>59</v>
      </c>
      <c r="J76" s="1" t="s">
        <v>60</v>
      </c>
      <c r="K76" s="1" t="s">
        <v>61</v>
      </c>
    </row>
    <row r="77" spans="1:14" ht="16" ns3:dyDescent="0.2">
      <c r="A77" s="4" t="str">
        <f>B68</f>
        <v>market for battery capacity, Li-ion, NMC955</v>
      </c>
      <c r="B77">
        <v>1</v>
      </c>
      <c r="C77" t="str">
        <f>B73</f>
        <v>kilowatt hour</v>
      </c>
      <c r="D77" t="s">
        <v>3</v>
      </c>
      <c r="E77" t="s">
        <v>13</v>
      </c>
      <c r="F77" t="str">
        <f>B72</f>
        <v>electricity storage capacity</v>
      </c>
    </row>
    <row r="78" spans="1:14" ns3:dyDescent="0.2">
      <c r="A78" t="s">
        <v>63</v>
      </c>
      <c r="B78" s="3">
        <f>1/(0.34*$B$74)</f>
        <v>4.0517095378052854</v>
      </c>
      <c r="C78" t="s">
        <v>7</v>
      </c>
      <c r="D78" t="s">
        <v>3</v>
      </c>
      <c r="E78" t="s">
        <v>14</v>
      </c>
      <c r="F78" t="s">
        <v>64</v>
      </c>
      <c r="G78">
        <v>5</v>
      </c>
      <c r="H78" s="7">
        <f>B78</f>
        <v>4.0517095378052854</v>
      </c>
      <c r="I78" s="3">
        <f>1/(0.38*$B$74)</f>
        <v>3.6252137969836769</v>
      </c>
      <c r="J78" s="3">
        <f>1/(0.3*$B$74)</f>
        <v>4.5919374761793241</v>
      </c>
    </row>
    <row r="79" spans="1:14" ns3:dyDescent="0.2">
      <c r="A79" t="s">
        <v>53</v>
      </c>
      <c r="B79" s="3">
        <f>-1*B78</f>
        <v>-4.0517095378052854</v>
      </c>
      <c r="C79" t="s">
        <v>7</v>
      </c>
      <c r="D79" t="s">
        <v>3</v>
      </c>
      <c r="E79" t="s">
        <v>14</v>
      </c>
      <c r="F79" t="s">
        <v>54</v>
      </c>
      <c r="G79">
        <v>5</v>
      </c>
      <c r="H79" s="7">
        <f>B79</f>
        <v>-4.0517095378052854</v>
      </c>
      <c r="I79" s="3">
        <f>-J78</f>
        <v>-4.5919374761793241</v>
      </c>
      <c r="J79" s="3">
        <f>-I78</f>
        <v>-3.6252137969836769</v>
      </c>
      <c r="K79" t="b">
        <v>1</v>
      </c>
      <c r="M79" s="3"/>
      <c r="N79" s="3"/>
    </row>
    <row r="81" spans="1:14" ht="16" ns3:dyDescent="0.2">
      <c r="A81" s="2" t="s">
        <v>0</v>
      </c>
      <c r="B81" s="2" t="s">
        <v>27</v>
      </c>
    </row>
    <row r="82" spans="1:14" ns3:dyDescent="0.2">
      <c r="A82" t="s">
        <v>1</v>
      </c>
      <c r="B82" t="s">
        <v>69</v>
      </c>
    </row>
    <row r="83" spans="1:14" ns3:dyDescent="0.2">
      <c r="A83" t="s">
        <v>2</v>
      </c>
      <c r="B83" t="s">
        <v>3</v>
      </c>
    </row>
    <row r="84" spans="1:14" ns3:dyDescent="0.2">
      <c r="A84" t="s">
        <v>4</v>
      </c>
      <c r="B84">
        <v>1</v>
      </c>
    </row>
    <row r="85" spans="1:14" ns3:dyDescent="0.2">
      <c r="A85" t="s">
        <v>5</v>
      </c>
      <c r="B85" t="s">
        <v>106</v>
      </c>
    </row>
    <row r="86" spans="1:14" ns3:dyDescent="0.2">
      <c r="A86" t="s">
        <v>6</v>
      </c>
      <c r="B86" t="s">
        <v>15</v>
      </c>
      <c r="D86" s="3"/>
    </row>
    <row r="87" spans="1:14" ns3:dyDescent="0.2">
      <c r="A87" t="s">
        <v>48</v>
      </c>
      <c r="B87">
        <f>1-0.293</f>
        <v>0.70700000000000007</v>
      </c>
    </row>
    <row r="88" spans="1:14" ht="16" ns3:dyDescent="0.2">
      <c r="A88" s="2" t="s">
        <v>9</v>
      </c>
    </row>
    <row r="89" spans="1:14" ns3:dyDescent="0.2">
      <c r="A89" s="1" t="s">
        <v>10</v>
      </c>
      <c r="B89" s="1" t="s">
        <v>11</v>
      </c>
      <c r="C89" s="1" t="s">
        <v>6</v>
      </c>
      <c r="D89" s="1" t="s">
        <v>2</v>
      </c>
      <c r="E89" s="1" t="s">
        <v>12</v>
      </c>
      <c r="F89" s="1" t="s">
        <v>5</v>
      </c>
      <c r="G89" s="1" t="s">
        <v>57</v>
      </c>
      <c r="H89" s="1" t="s">
        <v>58</v>
      </c>
      <c r="I89" s="1" t="s">
        <v>59</v>
      </c>
      <c r="J89" s="1" t="s">
        <v>60</v>
      </c>
      <c r="K89" s="1" t="s">
        <v>61</v>
      </c>
    </row>
    <row r="90" spans="1:14" ht="16" ns3:dyDescent="0.2">
      <c r="A90" s="4" t="str">
        <f>B81</f>
        <v>market for battery capacity, Li-ion, NCA</v>
      </c>
      <c r="B90">
        <v>1</v>
      </c>
      <c r="C90" t="str">
        <f>B86</f>
        <v>kilowatt hour</v>
      </c>
      <c r="D90" t="s">
        <v>3</v>
      </c>
      <c r="E90" t="s">
        <v>13</v>
      </c>
      <c r="F90" t="str">
        <f>B85</f>
        <v>electricity storage capacity</v>
      </c>
    </row>
    <row r="91" spans="1:14" ns3:dyDescent="0.2">
      <c r="A91" t="s">
        <v>28</v>
      </c>
      <c r="B91" s="3">
        <f>1/(0.28*71%)</f>
        <v>5.0301810865191143</v>
      </c>
      <c r="C91" t="s">
        <v>7</v>
      </c>
      <c r="D91" t="s">
        <v>3</v>
      </c>
      <c r="E91" t="s">
        <v>14</v>
      </c>
      <c r="F91" t="s">
        <v>29</v>
      </c>
      <c r="G91">
        <v>5</v>
      </c>
      <c r="H91" s="7">
        <f>B91</f>
        <v>5.0301810865191143</v>
      </c>
      <c r="I91" s="3">
        <f>1/(0.34*71%)</f>
        <v>4.1425020712510356</v>
      </c>
      <c r="J91" s="3">
        <f>1/(0.24*71%)</f>
        <v>5.868544600938967</v>
      </c>
    </row>
    <row r="92" spans="1:14" ns3:dyDescent="0.2">
      <c r="A92" t="s">
        <v>53</v>
      </c>
      <c r="B92" s="3">
        <f>-1*B91</f>
        <v>-5.0301810865191143</v>
      </c>
      <c r="C92" t="s">
        <v>7</v>
      </c>
      <c r="D92" t="s">
        <v>3</v>
      </c>
      <c r="E92" t="s">
        <v>14</v>
      </c>
      <c r="F92" t="s">
        <v>54</v>
      </c>
      <c r="G92">
        <v>5</v>
      </c>
      <c r="H92" s="7">
        <f>B92</f>
        <v>-5.0301810865191143</v>
      </c>
      <c r="I92" s="3">
        <f>-1/(0.24*71%)</f>
        <v>-5.868544600938967</v>
      </c>
      <c r="J92" s="3">
        <f>-1/(0.34*71%)</f>
        <v>-4.1425020712510356</v>
      </c>
      <c r="K92" t="b">
        <v>1</v>
      </c>
      <c r="M92" s="3"/>
      <c r="N92" s="3"/>
    </row>
    <row r="94" spans="1:14" ht="16" ns3:dyDescent="0.2">
      <c r="A94" s="2" t="s">
        <v>0</v>
      </c>
      <c r="B94" s="2" t="s">
        <v>30</v>
      </c>
    </row>
    <row r="95" spans="1:14" ns3:dyDescent="0.2">
      <c r="A95" t="s">
        <v>1</v>
      </c>
      <c r="B95" t="s">
        <v>43</v>
      </c>
    </row>
    <row r="96" spans="1:14" ns3:dyDescent="0.2">
      <c r="A96" t="s">
        <v>2</v>
      </c>
      <c r="B96" t="s">
        <v>3</v>
      </c>
    </row>
    <row r="97" spans="1:14" ns3:dyDescent="0.2">
      <c r="A97" t="s">
        <v>4</v>
      </c>
      <c r="B97">
        <v>1</v>
      </c>
    </row>
    <row r="98" spans="1:14" ns3:dyDescent="0.2">
      <c r="A98" t="s">
        <v>5</v>
      </c>
      <c r="B98" t="s">
        <v>106</v>
      </c>
      <c r="E98" s="3"/>
    </row>
    <row r="99" spans="1:14" ns3:dyDescent="0.2">
      <c r="A99" t="s">
        <v>6</v>
      </c>
      <c r="B99" t="s">
        <v>15</v>
      </c>
    </row>
    <row r="100" spans="1:14" ns3:dyDescent="0.2">
      <c r="A100" t="s">
        <v>48</v>
      </c>
      <c r="B100">
        <f>1-0.36</f>
        <v>0.64</v>
      </c>
    </row>
    <row r="101" spans="1:14" ht="16" ns3:dyDescent="0.2">
      <c r="A101" s="2" t="s">
        <v>9</v>
      </c>
    </row>
    <row r="102" spans="1:14" ns3:dyDescent="0.2">
      <c r="A102" s="1" t="s">
        <v>10</v>
      </c>
      <c r="B102" s="1" t="s">
        <v>11</v>
      </c>
      <c r="C102" s="1" t="s">
        <v>6</v>
      </c>
      <c r="D102" s="1" t="s">
        <v>2</v>
      </c>
      <c r="E102" s="1" t="s">
        <v>12</v>
      </c>
      <c r="F102" s="1" t="s">
        <v>5</v>
      </c>
      <c r="G102" s="1" t="s">
        <v>57</v>
      </c>
      <c r="H102" s="1" t="s">
        <v>58</v>
      </c>
      <c r="I102" s="1" t="s">
        <v>59</v>
      </c>
      <c r="J102" s="1" t="s">
        <v>60</v>
      </c>
      <c r="K102" s="1" t="s">
        <v>61</v>
      </c>
    </row>
    <row r="103" spans="1:14" ht="16" ns3:dyDescent="0.2">
      <c r="A103" s="6" t="str">
        <f>B94</f>
        <v>market for battery capacity, Li-ion, LTO</v>
      </c>
      <c r="B103">
        <v>1</v>
      </c>
      <c r="C103" t="str">
        <f>B99</f>
        <v>kilowatt hour</v>
      </c>
      <c r="D103" t="s">
        <v>3</v>
      </c>
      <c r="E103" t="s">
        <v>13</v>
      </c>
      <c r="F103" t="str">
        <f>B98</f>
        <v>electricity storage capacity</v>
      </c>
    </row>
    <row r="104" spans="1:14" ns3:dyDescent="0.2">
      <c r="A104" t="s">
        <v>31</v>
      </c>
      <c r="B104" s="3">
        <f>1/(0.085*64%)</f>
        <v>18.382352941176471</v>
      </c>
      <c r="C104" t="s">
        <v>7</v>
      </c>
      <c r="D104" t="s">
        <v>3</v>
      </c>
      <c r="E104" t="s">
        <v>14</v>
      </c>
      <c r="F104" t="s">
        <v>32</v>
      </c>
      <c r="G104">
        <v>5</v>
      </c>
      <c r="H104" s="7">
        <f>B104</f>
        <v>18.382352941176471</v>
      </c>
      <c r="I104" s="7">
        <f>B104*0.75</f>
        <v>13.786764705882353</v>
      </c>
      <c r="J104" s="7">
        <f>B104*1.25</f>
        <v>22.977941176470587</v>
      </c>
    </row>
    <row r="105" spans="1:14" ns3:dyDescent="0.2">
      <c r="A105" t="s">
        <v>53</v>
      </c>
      <c r="B105" s="3">
        <f>-1*B104</f>
        <v>-18.382352941176471</v>
      </c>
      <c r="C105" t="s">
        <v>7</v>
      </c>
      <c r="D105" t="s">
        <v>3</v>
      </c>
      <c r="E105" t="s">
        <v>14</v>
      </c>
      <c r="F105" t="s">
        <v>54</v>
      </c>
      <c r="G105">
        <v>5</v>
      </c>
      <c r="H105" s="7">
        <f>B105</f>
        <v>-18.382352941176471</v>
      </c>
      <c r="I105" s="7">
        <f>B105*1.25</f>
        <v>-22.977941176470587</v>
      </c>
      <c r="J105" s="7">
        <f>B105*0.75</f>
        <v>-13.786764705882353</v>
      </c>
      <c r="K105" t="b">
        <v>1</v>
      </c>
      <c r="M105" s="7"/>
      <c r="N105" s="7"/>
    </row>
    <row r="107" spans="1:14" ht="16" ns3:dyDescent="0.2">
      <c r="A107" s="2" t="s">
        <v>0</v>
      </c>
      <c r="B107" s="2" t="s">
        <v>55</v>
      </c>
    </row>
    <row r="108" spans="1:14" ns3:dyDescent="0.2">
      <c r="A108" t="s">
        <v>1</v>
      </c>
      <c r="B108" t="s">
        <v>52</v>
      </c>
    </row>
    <row r="109" spans="1:14" ns3:dyDescent="0.2">
      <c r="A109" t="s">
        <v>2</v>
      </c>
      <c r="B109" t="s">
        <v>3</v>
      </c>
    </row>
    <row r="110" spans="1:14" ns3:dyDescent="0.2">
      <c r="A110" t="s">
        <v>4</v>
      </c>
      <c r="B110">
        <v>1</v>
      </c>
    </row>
    <row r="111" spans="1:14" ns3:dyDescent="0.2">
      <c r="A111" t="s">
        <v>5</v>
      </c>
      <c r="B111" t="s">
        <v>106</v>
      </c>
    </row>
    <row r="112" spans="1:14" ns3:dyDescent="0.2">
      <c r="A112" t="s">
        <v>6</v>
      </c>
      <c r="B112" t="s">
        <v>15</v>
      </c>
      <c r="E112" s="3"/>
    </row>
    <row r="113" spans="1:14" ns3:dyDescent="0.2">
      <c r="A113" t="s">
        <v>48</v>
      </c>
      <c r="B113">
        <f>1-0.13</f>
        <v>0.87</v>
      </c>
    </row>
    <row r="114" spans="1:14" ht="16" ns3:dyDescent="0.2">
      <c r="A114" s="2" t="s">
        <v>9</v>
      </c>
    </row>
    <row r="115" spans="1:14" ns3:dyDescent="0.2">
      <c r="A115" s="1" t="s">
        <v>10</v>
      </c>
      <c r="B115" s="1" t="s">
        <v>11</v>
      </c>
      <c r="C115" s="1" t="s">
        <v>6</v>
      </c>
      <c r="D115" s="1" t="s">
        <v>2</v>
      </c>
      <c r="E115" s="1" t="s">
        <v>12</v>
      </c>
      <c r="F115" s="1" t="s">
        <v>5</v>
      </c>
      <c r="G115" s="1" t="s">
        <v>57</v>
      </c>
      <c r="H115" s="1" t="s">
        <v>58</v>
      </c>
      <c r="I115" s="1" t="s">
        <v>59</v>
      </c>
      <c r="J115" s="1" t="s">
        <v>60</v>
      </c>
      <c r="K115" s="1" t="s">
        <v>61</v>
      </c>
    </row>
    <row r="116" spans="1:14" ht="16" ns3:dyDescent="0.2">
      <c r="A116" s="6" t="str">
        <f>B107</f>
        <v>market for battery capacity, Li-ion, LiMn2O4</v>
      </c>
      <c r="B116">
        <v>1</v>
      </c>
      <c r="C116" t="str">
        <f>B112</f>
        <v>kilowatt hour</v>
      </c>
      <c r="D116" t="s">
        <v>3</v>
      </c>
      <c r="E116" t="s">
        <v>13</v>
      </c>
      <c r="F116" t="str">
        <f>B111</f>
        <v>electricity storage capacity</v>
      </c>
    </row>
    <row r="117" spans="1:14" ns3:dyDescent="0.2">
      <c r="A117" t="s">
        <v>50</v>
      </c>
      <c r="B117" s="3">
        <f>1/(32/280)</f>
        <v>8.75</v>
      </c>
      <c r="C117" t="s">
        <v>7</v>
      </c>
      <c r="D117" t="s">
        <v>3</v>
      </c>
      <c r="E117" t="s">
        <v>14</v>
      </c>
      <c r="F117" t="s">
        <v>51</v>
      </c>
      <c r="G117">
        <v>5</v>
      </c>
      <c r="H117" s="7">
        <f>B117</f>
        <v>8.75</v>
      </c>
      <c r="I117" s="7">
        <f>B117*0.75</f>
        <v>6.5625</v>
      </c>
      <c r="J117" s="7">
        <f>B117*1.25</f>
        <v>10.9375</v>
      </c>
    </row>
    <row r="118" spans="1:14" ns3:dyDescent="0.2">
      <c r="A118" t="s">
        <v>53</v>
      </c>
      <c r="B118" s="3">
        <f>-1*B117</f>
        <v>-8.75</v>
      </c>
      <c r="C118" t="s">
        <v>7</v>
      </c>
      <c r="D118" t="s">
        <v>3</v>
      </c>
      <c r="E118" t="s">
        <v>14</v>
      </c>
      <c r="F118" t="s">
        <v>54</v>
      </c>
      <c r="G118">
        <v>5</v>
      </c>
      <c r="H118" s="7">
        <f>B118</f>
        <v>-8.75</v>
      </c>
      <c r="I118" s="7">
        <f>B118*1.25</f>
        <v>-10.9375</v>
      </c>
      <c r="J118" s="7">
        <f>B118*0.75</f>
        <v>-6.5625</v>
      </c>
      <c r="K118" t="b">
        <v>1</v>
      </c>
      <c r="M118" s="7"/>
      <c r="N118" s="7"/>
    </row>
    <row r="120" spans="1:14" ht="16" ns3:dyDescent="0.2">
      <c r="A120" s="2" t="s">
        <v>0</v>
      </c>
      <c r="B120" s="2" t="s">
        <v>56</v>
      </c>
    </row>
    <row r="121" spans="1:14" ns3:dyDescent="0.2">
      <c r="A121" t="s">
        <v>1</v>
      </c>
      <c r="B121" t="inlineStr">
        <is>
          <t>APPROVED Li-S BASE-DESIGN ENGINEERING RECONCILIATION, item15, 2026-10-18. Wickerts corrected SI, DOI10.1021/acssuschemeng.4c01782.s001 Tables S19/S21: use baseline B recipe with the existing150 Wh/kg-cell and1500-cycle reference, rather than technical T ingredients associated with500 Wh/kg. Per cell: Li4g, separator6g, cathode8g, electrolyte29g, pouch.13g, negative tab.12g, positive tab.069g. Detailed retained masses sum47.319g, conflicting with source46g average. Adopt47.319g as the explicit engineering mass basis (not a measured corrected source cell); no arbitrary rescaling of individual ingredients. At150 Wh/kg this is7.09785 Wh/cell. Cathode B perkg: sulfur.28, CMK3.22, PVDF.13, acetonitrile.044, foil.38, organic waste-.054; inputs1.054kg=1kg product+.054kg waste. Preserve process-specific energy and transport. Source PVDF binder uses the existing polyvinylfluoride supply as an explicitly retained cross-version fluoropolymer proxy; exact binder chemistry remains a coverage/model gap, not a verified PVDF route. Per-cell assembly/formation/factory requirements retain their source cell amounts and are divided by47.319g. Module408cells=19.306152kg plus.275Al busbar+.593bimetal+.085Cu+2.75PP+2.5steel =25.509152kg. Cell share is0.7568323713779275. The mobile capacity market normalizes exactly to1 gross kWh at.150kWh/kg-cell, with.120-.180 endpoints and paired waste masses. Future density factors remain the existing relative learning assumption with fixed recipe; this does not validate a future physical cell design, cycle aging or calendar life. Controls/cooling are treated separately under item13. Source average-mass conflict and future recipe evolution remain explicit gaps. This supersedes older24.971kg-module/46g-cell and500Wh/kg-composition statements below.
PREVIOUS NOTES (retained as history; the correction above takes precedence):
This dataset provides 1 kWh of battery gross capacity (NOT net), using a Li-ion Li-S battery. Specific energy density in 2020: 0.15 kWh/kg cell, 0.5 kWh/kg cell in the future. Battery management (BoP) mass share: 25%. Battery energy density in 2020: 0.11 kWh/kg battery. Battery mass per kWh: 8.9 kg. Cycle life: 800-1'500 or Lifetime: 225 kWh/kg. Source: Wickerts et al. (2023). Prospective Life Cycle Assessment of Lithium-Sulfur Batteries for Stationary Energy Storage. ACS Sustainable Chemistry &amp; Engineering. https://doi.org/10.1021/acssuschemeng.3c00141</t>
        </is>
      </c>
    </row>
    <row r="122" spans="1:14" ns3:dyDescent="0.2">
      <c r="A122" t="s">
        <v>2</v>
      </c>
      <c r="B122" t="s">
        <v>3</v>
      </c>
    </row>
    <row r="123" spans="1:14" ns3:dyDescent="0.2">
      <c r="A123" t="s">
        <v>4</v>
      </c>
      <c r="B123">
        <v>1</v>
      </c>
    </row>
    <row r="124" spans="1:14" ns3:dyDescent="0.2">
      <c r="A124" t="s">
        <v>5</v>
      </c>
      <c r="B124" t="s">
        <v>106</v>
      </c>
    </row>
    <row r="125" spans="1:14" ns3:dyDescent="0.2">
      <c r="A125" t="s">
        <v>6</v>
      </c>
      <c r="B125" t="s">
        <v>15</v>
      </c>
      <c r="D125" s="3"/>
    </row>
    <row r="126" spans="1:14" ns3:dyDescent="0.2">
      <c r="A126" t="s">
        <v>48</v>
      </c>
      <c r="B126">
        <f>0.7568323713779275</f>
        <v>0.7568323713779275</v>
      </c>
    </row>
    <row r="127" spans="1:14" ht="16" ns3:dyDescent="0.2">
      <c r="A127" s="2" t="s">
        <v>9</v>
      </c>
    </row>
    <row r="128" spans="1:14" ns3:dyDescent="0.2">
      <c r="A128" s="1" t="s">
        <v>10</v>
      </c>
      <c r="B128" s="1" t="s">
        <v>11</v>
      </c>
      <c r="C128" s="1" t="s">
        <v>6</v>
      </c>
      <c r="D128" s="1" t="s">
        <v>2</v>
      </c>
      <c r="E128" s="1" t="s">
        <v>12</v>
      </c>
      <c r="F128" s="1" t="s">
        <v>5</v>
      </c>
      <c r="G128" s="1" t="s">
        <v>57</v>
      </c>
      <c r="H128" s="1" t="s">
        <v>58</v>
      </c>
      <c r="I128" s="1" t="s">
        <v>59</v>
      </c>
      <c r="J128" s="1" t="s">
        <v>60</v>
      </c>
      <c r="K128" s="1" t="s">
        <v>61</v>
      </c>
    </row>
    <row r="129" spans="1:14" ht="16" ns3:dyDescent="0.2">
      <c r="A129" s="4" t="str">
        <f>B120</f>
        <v>market for battery capacity, Li-sulfur, Li-S</v>
      </c>
      <c r="B129">
        <v>1</v>
      </c>
      <c r="C129" t="str">
        <f>B125</f>
        <v>kilowatt hour</v>
      </c>
      <c r="D129" t="s">
        <v>3</v>
      </c>
      <c r="E129" t="s">
        <v>13</v>
      </c>
      <c r="F129" t="str">
        <f>B124</f>
        <v>electricity storage capacity</v>
      </c>
    </row>
    <row r="130" spans="1:14" ns3:dyDescent="0.2">
      <c r="A130" t="s">
        <v>33</v>
      </c>
      <c r="B130" s="3">
        <f>8.808643655832261</f>
        <v>8.808643655832261</v>
      </c>
      <c r="C130" t="s">
        <v>7</v>
      </c>
      <c r="D130" t="s">
        <v>3</v>
      </c>
      <c r="E130" t="s">
        <v>14</v>
      </c>
      <c r="F130" t="s">
        <v>34</v>
      </c>
      <c r="G130">
        <v>5</v>
      </c>
      <c r="H130" s="7">
        <f>8.808643655832261</f>
        <v>8.808643655832261</v>
      </c>
      <c r="I130" s="3">
        <f>7.340536379860217</f>
        <v>7.340536379860217</v>
      </c>
      <c r="J130" s="3">
        <f>11.010804569790327</f>
        <v>11.010804569790327</v>
      </c>
    </row>
    <row r="131" spans="1:14" ns3:dyDescent="0.2">
      <c r="A131" t="s">
        <v>53</v>
      </c>
      <c r="B131" s="3">
        <f>-8.808643655832261</f>
        <v>-8.808643655832261</v>
      </c>
      <c r="C131" t="s">
        <v>7</v>
      </c>
      <c r="D131" t="s">
        <v>3</v>
      </c>
      <c r="E131" t="s">
        <v>14</v>
      </c>
      <c r="F131" t="s">
        <v>54</v>
      </c>
      <c r="G131">
        <v>5</v>
      </c>
      <c r="H131" s="7">
        <f>-8.808643655832261</f>
        <v>-8.808643655832261</v>
      </c>
      <c r="I131" s="3">
        <f>-11.010804569790327</f>
        <v>-11.010804569790327</v>
      </c>
      <c r="J131" s="3">
        <f>-7.340536379860217</f>
        <v>-7.340536379860217</v>
      </c>
      <c r="K131" t="b">
        <v>1</v>
      </c>
      <c r="M131" s="3"/>
      <c r="N131" s="3"/>
    </row>
    <row r="133" spans="1:14" ht="16" ns3:dyDescent="0.2">
      <c r="A133" s="2" t="s">
        <v>0</v>
      </c>
      <c r="B133" s="2" t="s">
        <v>35</v>
      </c>
    </row>
    <row r="134" spans="1:14" ns3:dyDescent="0.2">
      <c r="A134" t="s">
        <v>1</v>
      </c>
      <c r="B134" t="inlineStr">
        <is>
          <t>APPROVED Li-O2 SINGLE RECYCLING BOUNDARY, 2026-10-18. Wang, Deng and Yuan (2020), DOI 10.1016/j.jclepro.2020.121339, supporting information Table S16, explicitly describes recycling per 1 kg Li-O2 battery system. Its six treatment coefficients are retained. Set the former -1/321 kg/kg internal treatment fragment to a deterministic zero and apply end of life only at market for battery capacity, Li-ion, Li-O2: the full purchased battery mass is sent to treatment of LiO2 battery, for recycling (RER; waste LiO2 battery). Standalone manufacture is manufacturing-only. DefaultInventory may retain the zero exchange; it contributes no treatment flow. Do not add a second generic Li-ion route. This restores a single historical source-specific accounting route; treatment yields, whole-system mass normalization, modern recovery and primary/secondary shares remain unvalidated. No new recovery credit or change to manufacturing recipes, density or lifetime. The capacity-level treatment amount, sign, triangular bounds and all manufacturing mass formulas/caches are unchanged; purchased and treated mass remain paired as battery density changes.
PREVIOUS NOTES (retained as history; the correction above takes precedence):
This dataset provides 1 kWh of battery gross capacity (NOT net), using a Lithium-oxygen Li-O2 battery. Specific energy density in 2020: 0.360 kWh/kg cell. Battery management (BoP) mass share: 45%. Battery energy density in 2020: 0.238 kWh/kg battery (excl. O2 tanks). System energy density in 2020: 0.198 kWh/kg battery (incl. O2 tanks). Battery mass per kWh: 5.05 kg. Battery lifetime: 305 kWh/kg (1.76 MJ/km x 2e5 km / 321 kg). Source for parameters: Originally from Wang, F., Deng, Y., &amp; Yuan, C. (2020). Life cycle assessment of lithium oxygen battery for electric vehicles. Journal of Cleaner Production, 264, 121339. https://doi.org/10.1016/j.jclepro.2020.121339</t>
        </is>
      </c>
    </row>
    <row r="135" spans="1:14" ns3:dyDescent="0.2">
      <c r="A135" t="s">
        <v>2</v>
      </c>
      <c r="B135" t="s">
        <v>3</v>
      </c>
    </row>
    <row r="136" spans="1:14" ns3:dyDescent="0.2">
      <c r="A136" t="s">
        <v>4</v>
      </c>
      <c r="B136">
        <v>1</v>
      </c>
    </row>
    <row r="137" spans="1:14" ns3:dyDescent="0.2">
      <c r="A137" t="s">
        <v>5</v>
      </c>
      <c r="B137" t="s">
        <v>106</v>
      </c>
    </row>
    <row r="138" spans="1:14" ns3:dyDescent="0.2">
      <c r="A138" t="s">
        <v>6</v>
      </c>
      <c r="B138" t="s">
        <v>15</v>
      </c>
    </row>
    <row r="139" spans="1:14" ns3:dyDescent="0.2">
      <c r="A139" t="s">
        <v>48</v>
      </c>
      <c r="B139">
        <f>1-0.45</f>
        <v>0.55000000000000004</v>
      </c>
    </row>
    <row r="140" spans="1:14" ht="16" ns3:dyDescent="0.2">
      <c r="A140" s="2" t="s">
        <v>9</v>
      </c>
    </row>
    <row r="141" spans="1:14" ns3:dyDescent="0.2">
      <c r="A141" s="1" t="s">
        <v>10</v>
      </c>
      <c r="B141" s="1" t="s">
        <v>11</v>
      </c>
      <c r="C141" s="1" t="s">
        <v>6</v>
      </c>
      <c r="D141" s="1" t="s">
        <v>2</v>
      </c>
      <c r="E141" s="1" t="s">
        <v>12</v>
      </c>
      <c r="F141" s="1" t="s">
        <v>5</v>
      </c>
      <c r="G141" s="1" t="s">
        <v>57</v>
      </c>
      <c r="H141" s="1" t="s">
        <v>58</v>
      </c>
      <c r="I141" s="1" t="s">
        <v>59</v>
      </c>
      <c r="J141" s="1" t="s">
        <v>60</v>
      </c>
      <c r="K141" s="1" t="s">
        <v>61</v>
      </c>
    </row>
    <row r="142" spans="1:14" ht="16" ns3:dyDescent="0.2">
      <c r="A142" s="4" t="str">
        <f>B133</f>
        <v>market for battery capacity, Li-ion, Li-O2</v>
      </c>
      <c r="B142">
        <v>1</v>
      </c>
      <c r="C142" t="str">
        <f>B138</f>
        <v>kilowatt hour</v>
      </c>
      <c r="D142" t="s">
        <v>3</v>
      </c>
      <c r="E142" t="s">
        <v>13</v>
      </c>
      <c r="F142" t="str">
        <f>B137</f>
        <v>electricity storage capacity</v>
      </c>
    </row>
    <row r="143" spans="1:14" ns3:dyDescent="0.2">
      <c r="A143" t="s">
        <v>36</v>
      </c>
      <c r="B143" s="3">
        <f>1/0.198</f>
        <v>5.0505050505050502</v>
      </c>
      <c r="C143" t="s">
        <v>7</v>
      </c>
      <c r="D143" t="s">
        <v>3</v>
      </c>
      <c r="E143" t="s">
        <v>14</v>
      </c>
      <c r="F143" t="s">
        <v>37</v>
      </c>
      <c r="G143">
        <v>5</v>
      </c>
      <c r="H143" s="7">
        <f>B143</f>
        <v>5.0505050505050502</v>
      </c>
      <c r="I143" s="7">
        <f>B143*0.75</f>
        <v>3.7878787878787876</v>
      </c>
      <c r="J143" s="7">
        <f>B143*1.25</f>
        <v>6.3131313131313131</v>
      </c>
    </row>
    <row r="144" spans="1:14" ns3:dyDescent="0.2">
      <c r="A144" t="inlineStr">
        <is>
          <t>treatment of LiO2 battery, for recycling</t>
        </is>
      </c>
      <c r="B144" s="3">
        <f>-1*B143</f>
        <v>-5.0505050505050502</v>
      </c>
      <c r="C144" t="s">
        <v>7</v>
      </c>
      <c r="D144" t="inlineStr">
        <is>
          <t>RER</t>
        </is>
      </c>
      <c r="E144" t="s">
        <v>14</v>
      </c>
      <c r="F144" t="inlineStr">
        <is>
          <t>waste LiO2 battery</t>
        </is>
      </c>
      <c r="G144">
        <v>5</v>
      </c>
      <c r="H144" s="7">
        <f>B144</f>
        <v>-5.0505050505050502</v>
      </c>
      <c r="I144" s="7">
        <f>B144*1.25</f>
        <v>-6.3131313131313131</v>
      </c>
      <c r="J144" s="7">
        <f>B144*0.75</f>
        <v>-3.7878787878787876</v>
      </c>
      <c r="K144" t="b">
        <v>1</v>
      </c>
      <c r="M144" s="7"/>
      <c r="N144" s="7"/>
    </row>
    <row r="146" spans="1:14" ht="16" ns3:dyDescent="0.2">
      <c r="A146" s="2" t="s">
        <v>0</v>
      </c>
      <c r="B146" s="2" t="s">
        <v>38</v>
      </c>
    </row>
    <row r="147" spans="1:14" ns3:dyDescent="0.2">
      <c r="A147" t="s">
        <v>1</v>
      </c>
      <c r="B147" t="inlineStr">
        <is>
          <t>APPROVED SODIUM-ION CAPACITY BASELINE NORMALIZATION, 2026-10-18. Zhang et al. (2024), Future climate impacts of sodium-ion batteries, Resources, Conservation and Recycling 202, 107362, DOI 10.1016/j.resconrec.2023.107362, Table 4, page 5: baseline NMMT/HC cell specific energy is 157 Wh/kg (0.157 kWh/kg), consistent with the existing source description and Premise density baseline. Primary paper: https://pub.epsilon.slu.se/32553/1/zhang-s-et-al-20240122.pdf . The linked existing SIB module recipe contains 0.7515918465419887 kg NMMT cell/kg module (lci-batteries-SIB.xlsx, sodium-ion batteries B493); its battery market purchases one kg of this module per kg delivered. Use this actual recipe coefficient, not a rounded 75 percent fraction, and 0.157 kWh/kg cell: 1/(0.157*0.7515918465419887) = 8.474582023338275 kg delivered module/kWh gross capacity. The previous 1/(0.16*0.75) = 8.333333333333334 kg represented 0.9833326658924353 kWh under those declared specifications. The module dose increases 1.6949842800592974 percent; this is not a percent change in overall transport or system metal demand. Set battery cell mass share to the linked recipe coefficient. Keep existing cell-specific density uncertainty endpoints 0.12 and 0.18 kWh/kg, translating them with the same module fraction; retain triangular type 5, equal negative waste mass and paired signed bounds/locations. Update formula caches consistently. The original rounded specific-energy/fraction/mass figures below are historical notes superseded by this paragraph. All supplier identities/geographies, the one-kWh output, cell/module manufacturing recipes, other chemistries, prospective density trajectory and lifetime/per-MJ allocations remain unchanged. This normalizes to declared cell energy and an existing module proxy; it does not validate measured pack performance, future electrochemical charge, cycle life or operating conditions. The Li-S-derived module architecture and missing BMS/cooling coverage remain unresolved. No electronics, racks, treatment route, recovery credit or primary/secondary share is added. Current full-system metal effects remain unquantified without a scenario rebuild.
PREVIOUS SOURCE NOTES (ROUNDED VALUES SUPERSEDED ABOVE):
This dataset provides 1 kWh of battery gross capacity (NOT net), using a Sodium-ion battery. Specific energy density in 2020: 0.157 kWh/kg cell. Battery management (BoP) mass share: 25%. Battery energy density in 2020: 0.12 kWh/kg battery. Battery mass per kWh: 8.5 kg. Lifetime: 628 kWh/kg cell (4000 cycles x 0.157 kWh) or 2'500-4'000 cycles. Source for parameters: Zhang, S., Steubing, B., Potter, H. K., Hansson, P. A., &amp; Nordberg, Å. (2024). Future climate impacts of sodium-ion batteries. Resources, Conservation and Recycling, 202, 107362. https://doi.org/10.1016/j.resconrec.2023.107362. Min and max values from: Hasselwander, S.; Meyer, M.; Österle, I. Techno-Economic Analysis of Different Battery Cell Chemistries for the Passenger Vehicle Market. Batteries 2023, 9, 379. https://doi.org/10.3390/batteries9070379.</t>
        </is>
      </c>
    </row>
    <row r="148" spans="1:14" ns3:dyDescent="0.2">
      <c r="A148" t="s">
        <v>2</v>
      </c>
      <c r="B148" t="s">
        <v>3</v>
      </c>
    </row>
    <row r="149" spans="1:14" ns3:dyDescent="0.2">
      <c r="A149" t="s">
        <v>4</v>
      </c>
      <c r="B149">
        <v>1</v>
      </c>
    </row>
    <row r="150" spans="1:14" ns3:dyDescent="0.2">
      <c r="A150" t="s">
        <v>5</v>
      </c>
      <c r="B150" t="s">
        <v>106</v>
      </c>
      <c r="E150" s="3"/>
    </row>
    <row r="151" spans="1:14" ns3:dyDescent="0.2">
      <c r="A151" t="s">
        <v>6</v>
      </c>
      <c r="B151" t="s">
        <v>15</v>
      </c>
    </row>
    <row r="152" spans="1:14" ns3:dyDescent="0.2">
      <c r="A152" t="s">
        <v>48</v>
      </c>
      <c r="B152">
        <f>0.7515918465419887</f>
        <v>0.7515918465419887</v>
      </c>
    </row>
    <row r="153" spans="1:14" ht="16" ns3:dyDescent="0.2">
      <c r="A153" s="2" t="s">
        <v>9</v>
      </c>
    </row>
    <row r="154" spans="1:14" ns3:dyDescent="0.2">
      <c r="A154" s="1" t="s">
        <v>10</v>
      </c>
      <c r="B154" s="1" t="s">
        <v>11</v>
      </c>
      <c r="C154" s="1" t="s">
        <v>6</v>
      </c>
      <c r="D154" s="1" t="s">
        <v>2</v>
      </c>
      <c r="E154" s="1" t="s">
        <v>12</v>
      </c>
      <c r="F154" s="1" t="s">
        <v>5</v>
      </c>
      <c r="G154" s="1" t="s">
        <v>57</v>
      </c>
      <c r="H154" s="1" t="s">
        <v>58</v>
      </c>
      <c r="I154" s="1" t="s">
        <v>59</v>
      </c>
      <c r="J154" s="1" t="s">
        <v>60</v>
      </c>
      <c r="K154" s="1" t="s">
        <v>61</v>
      </c>
    </row>
    <row r="155" spans="1:14" ht="16" ns3:dyDescent="0.2">
      <c r="A155" s="4" t="str">
        <f>B146</f>
        <v>market for battery capacity, Sodium-ion, SiB</v>
      </c>
      <c r="B155">
        <v>1</v>
      </c>
      <c r="C155" t="str">
        <f>B151</f>
        <v>kilowatt hour</v>
      </c>
      <c r="D155" t="s">
        <v>3</v>
      </c>
      <c r="E155" t="s">
        <v>13</v>
      </c>
      <c r="F155" t="str">
        <f>B150</f>
        <v>electricity storage capacity</v>
      </c>
    </row>
    <row r="156" spans="1:14" ns3:dyDescent="0.2">
      <c r="A156" t="s">
        <v>39</v>
      </c>
      <c r="B156" s="3">
        <f>1/(0.157*$B$152)</f>
        <v>8.474582023338275</v>
      </c>
      <c r="C156" t="s">
        <v>7</v>
      </c>
      <c r="D156" t="s">
        <v>3</v>
      </c>
      <c r="E156" t="s">
        <v>14</v>
      </c>
      <c r="F156" t="s">
        <v>40</v>
      </c>
      <c r="G156">
        <v>5</v>
      </c>
      <c r="H156" s="7">
        <f>B156</f>
        <v>8.474582023338275</v>
      </c>
      <c r="I156" s="3">
        <f>1/(0.18*$B$152)</f>
        <v>7.391718764800606</v>
      </c>
      <c r="J156" s="3">
        <f>1/(0.12*$B$152)</f>
        <v>11.08757814720091</v>
      </c>
    </row>
    <row r="157" spans="1:14" ns3:dyDescent="0.2">
      <c r="A157" t="s">
        <v>53</v>
      </c>
      <c r="B157" s="3">
        <f>-1*B156</f>
        <v>-8.474582023338275</v>
      </c>
      <c r="C157" t="s">
        <v>7</v>
      </c>
      <c r="D157" t="s">
        <v>3</v>
      </c>
      <c r="E157" t="s">
        <v>14</v>
      </c>
      <c r="F157" t="s">
        <v>54</v>
      </c>
      <c r="G157">
        <v>5</v>
      </c>
      <c r="H157" s="7">
        <f>B157</f>
        <v>-8.474582023338275</v>
      </c>
      <c r="I157" s="3">
        <f>-1/(0.12*$B$152)</f>
        <v>-11.08757814720091</v>
      </c>
      <c r="J157" s="3">
        <f>-1/(0.18*$B$152)</f>
        <v>-7.391718764800606</v>
      </c>
      <c r="K157" t="b">
        <v>1</v>
      </c>
      <c r="M157" s="3"/>
      <c r="N157" s="3"/>
    </row>
    <row r="159" spans="1:14" ht="16" ns3:dyDescent="0.2">
      <c r="A159" s="2" t="s">
        <v>0</v>
      </c>
      <c r="B159" s="2" t="s">
        <v>47</v>
      </c>
    </row>
    <row r="160" spans="1:14" ns3:dyDescent="0.2">
      <c r="A160" t="s">
        <v>1</v>
      </c>
      <c r="B160" t="s">
        <v>45</v>
      </c>
    </row>
    <row r="161" spans="1:14" ns3:dyDescent="0.2">
      <c r="A161" t="s">
        <v>2</v>
      </c>
      <c r="B161" t="s">
        <v>3</v>
      </c>
    </row>
    <row r="162" spans="1:14" ns3:dyDescent="0.2">
      <c r="A162" t="s">
        <v>4</v>
      </c>
      <c r="B162">
        <v>1</v>
      </c>
    </row>
    <row r="163" spans="1:14" ns3:dyDescent="0.2">
      <c r="A163" t="s">
        <v>5</v>
      </c>
      <c r="B163" t="s">
        <v>106</v>
      </c>
    </row>
    <row r="164" spans="1:14" ns3:dyDescent="0.2">
      <c r="A164" t="s">
        <v>6</v>
      </c>
      <c r="B164" t="s">
        <v>15</v>
      </c>
    </row>
    <row r="165" spans="1:14" ns3:dyDescent="0.2">
      <c r="A165" t="s">
        <v>8</v>
      </c>
      <c r="B165" t="s">
        <v>44</v>
      </c>
    </row>
    <row r="166" spans="1:14" ns3:dyDescent="0.2">
      <c r="A166" s="1" t="s">
        <v>9</v>
      </c>
      <c r="B166" s="1"/>
      <c r="C166" s="1"/>
      <c r="D166" s="1"/>
      <c r="E166" s="1"/>
      <c r="F166" s="1"/>
      <c r="G166" s="1"/>
    </row>
    <row r="167" spans="1:14" ns3:dyDescent="0.2">
      <c r="A167" s="1" t="s">
        <v>10</v>
      </c>
      <c r="B167" s="1" t="s">
        <v>11</v>
      </c>
      <c r="C167" s="1" t="s">
        <v>6</v>
      </c>
      <c r="D167" s="1" t="s">
        <v>2</v>
      </c>
      <c r="E167" s="1" t="s">
        <v>12</v>
      </c>
      <c r="F167" s="1" t="s">
        <v>5</v>
      </c>
      <c r="G167" s="1" t="s">
        <v>57</v>
      </c>
      <c r="H167" s="1" t="s">
        <v>58</v>
      </c>
      <c r="I167" s="1" t="s">
        <v>59</v>
      </c>
      <c r="J167" s="1" t="s">
        <v>60</v>
      </c>
      <c r="K167" s="1" t="s">
        <v>61</v>
      </c>
    </row>
    <row r="168" spans="1:14" ht="16" ns3:dyDescent="0.2">
      <c r="A168" s="5" t="str">
        <f>B159</f>
        <v>market for battery capacity, Sodium-Nickel-Chloride, Na-NiCl</v>
      </c>
      <c r="B168">
        <v>1</v>
      </c>
      <c r="C168" t="s">
        <v>15</v>
      </c>
      <c r="D168" t="str">
        <f>B161</f>
        <v>GLO</v>
      </c>
      <c r="E168" t="s">
        <v>13</v>
      </c>
      <c r="F168" t="str">
        <f>B163</f>
        <v>electricity storage capacity</v>
      </c>
    </row>
    <row r="169" spans="1:14" ns3:dyDescent="0.2">
      <c r="A169" t="s">
        <v>41</v>
      </c>
      <c r="B169" s="3">
        <f>1/0.116</f>
        <v>8.6206896551724128</v>
      </c>
      <c r="C169" t="s">
        <v>7</v>
      </c>
      <c r="D169" t="s">
        <v>3</v>
      </c>
      <c r="E169" t="s">
        <v>14</v>
      </c>
      <c r="F169" t="s">
        <v>42</v>
      </c>
      <c r="G169">
        <v>5</v>
      </c>
      <c r="H169" s="7">
        <f>B169</f>
        <v>8.6206896551724128</v>
      </c>
      <c r="I169" s="7">
        <f>B169*0.75</f>
        <v>6.4655172413793096</v>
      </c>
      <c r="J169" s="7">
        <f>B169*1.25</f>
        <v>10.775862068965516</v>
      </c>
    </row>
    <row r="170" spans="1:14" ns3:dyDescent="0.2">
      <c r="A170" t="s">
        <v>53</v>
      </c>
      <c r="B170" s="3">
        <f>-1*B169</f>
        <v>-8.6206896551724128</v>
      </c>
      <c r="C170" t="s">
        <v>7</v>
      </c>
      <c r="D170" t="s">
        <v>3</v>
      </c>
      <c r="E170" t="s">
        <v>14</v>
      </c>
      <c r="F170" t="s">
        <v>54</v>
      </c>
      <c r="G170">
        <v>5</v>
      </c>
      <c r="H170" s="7">
        <f>B170</f>
        <v>-8.6206896551724128</v>
      </c>
      <c r="I170" s="7">
        <f>B170*1.25</f>
        <v>-10.775862068965516</v>
      </c>
      <c r="J170" s="7">
        <f>B170*0.75</f>
        <v>-6.4655172413793096</v>
      </c>
      <c r="K170" t="b">
        <v>1</v>
      </c>
      <c r="M170" s="7"/>
      <c r="N170" s="7"/>
    </row>
    <row r="172" spans="1:14" ht="16" ns3:dyDescent="0.2">
      <c r="A172" s="2" t="s">
        <v>0</v>
      </c>
      <c r="B172" s="2" t="s">
        <v>75</v>
      </c>
    </row>
    <row r="173" spans="1:14" ns3:dyDescent="0.2">
      <c r="A173" t="s">
        <v>1</v>
      </c>
      <c r="B173" t="s">
        <v>73</v>
      </c>
    </row>
    <row r="174" spans="1:14" ns3:dyDescent="0.2">
      <c r="A174" t="s">
        <v>2</v>
      </c>
      <c r="B174" t="s">
        <v>3</v>
      </c>
    </row>
    <row r="175" spans="1:14" ns3:dyDescent="0.2">
      <c r="A175" t="s">
        <v>4</v>
      </c>
      <c r="B175">
        <v>1</v>
      </c>
    </row>
    <row r="176" spans="1:14" ns3:dyDescent="0.2">
      <c r="A176" t="s">
        <v>5</v>
      </c>
      <c r="B176" t="s">
        <v>106</v>
      </c>
    </row>
    <row r="177" spans="1:11" ns3:dyDescent="0.2">
      <c r="A177" t="s">
        <v>6</v>
      </c>
      <c r="B177" t="s">
        <v>15</v>
      </c>
    </row>
    <row r="178" spans="1:11" ns3:dyDescent="0.2">
      <c r="A178" t="s">
        <v>8</v>
      </c>
      <c r="B178" t="s">
        <v>74</v>
      </c>
    </row>
    <row r="179" spans="1:11" ns3:dyDescent="0.2">
      <c r="A179" s="1" t="s">
        <v>9</v>
      </c>
      <c r="B179" s="1"/>
      <c r="C179" s="1"/>
      <c r="D179" s="1"/>
      <c r="E179" s="1"/>
      <c r="F179" s="1"/>
      <c r="G179" s="1"/>
    </row>
    <row r="180" spans="1:11" ns3:dyDescent="0.2">
      <c r="A180" s="1" t="s">
        <v>10</v>
      </c>
      <c r="B180" s="1" t="s">
        <v>11</v>
      </c>
      <c r="C180" s="1" t="s">
        <v>6</v>
      </c>
      <c r="D180" s="1" t="s">
        <v>2</v>
      </c>
      <c r="E180" s="1" t="s">
        <v>12</v>
      </c>
      <c r="F180" s="1" t="s">
        <v>5</v>
      </c>
      <c r="G180" s="1"/>
      <c r="H180" s="1"/>
      <c r="I180" s="1"/>
      <c r="J180" s="1"/>
      <c r="K180" s="1"/>
    </row>
    <row r="181" spans="1:11" ns3:dyDescent="0.2">
      <c r="A181" t="str">
        <f>B172</f>
        <v>market for battery capacity (MIX scenario)</v>
      </c>
      <c r="B181">
        <v>1</v>
      </c>
      <c r="C181" t="s">
        <v>15</v>
      </c>
      <c r="D181" t="s">
        <v>3</v>
      </c>
      <c r="E181" t="s">
        <v>13</v>
      </c>
      <c r="F181" t="s">
        <v>106</v>
      </c>
      <c r="G181" s="1"/>
      <c r="H181" s="1"/>
      <c r="I181" s="1"/>
      <c r="J181" s="1"/>
      <c r="K181" s="1"/>
    </row>
    <row r="182" spans="1:11" ht="16" ns3:dyDescent="0.2">
      <c r="A182" s="4" t="s">
        <v>16</v>
      </c>
      <c r="B182">
        <v>0.28000000000000003</v>
      </c>
      <c r="C182" t="s">
        <v>15</v>
      </c>
      <c r="D182" t="s">
        <v>3</v>
      </c>
      <c r="E182" t="s">
        <v>14</v>
      </c>
      <c r="F182" t="s">
        <v>106</v>
      </c>
    </row>
    <row r="183" spans="1:11" ht="16" ns3:dyDescent="0.2">
      <c r="A183" s="4" t="s">
        <v>19</v>
      </c>
      <c r="B183">
        <v>0</v>
      </c>
      <c r="C183" t="s">
        <v>15</v>
      </c>
      <c r="D183" t="s">
        <v>3</v>
      </c>
      <c r="E183" t="s">
        <v>14</v>
      </c>
      <c r="F183" t="s">
        <v>106</v>
      </c>
    </row>
    <row r="184" spans="1:11" ht="16" ns3:dyDescent="0.2">
      <c r="A184" s="4" t="s">
        <v>110</v>
      </c>
      <c r="B184">
        <v>0.17</v>
      </c>
      <c r="C184" t="s">
        <v>15</v>
      </c>
      <c r="D184" t="s">
        <v>3</v>
      </c>
      <c r="E184" t="s">
        <v>14</v>
      </c>
      <c r="F184" t="s">
        <v>106</v>
      </c>
    </row>
    <row r="185" spans="1:11" ht="16" ns3:dyDescent="0.2">
      <c r="A185" s="4" t="s">
        <v>22</v>
      </c>
      <c r="B185">
        <v>0.17</v>
      </c>
      <c r="C185" t="s">
        <v>15</v>
      </c>
      <c r="D185" t="s">
        <v>3</v>
      </c>
      <c r="E185" t="s">
        <v>14</v>
      </c>
      <c r="F185" t="s">
        <v>106</v>
      </c>
    </row>
    <row r="186" spans="1:11" ht="16" ns3:dyDescent="0.2">
      <c r="A186" s="4" t="s">
        <v>23</v>
      </c>
      <c r="B186">
        <v>0.17</v>
      </c>
      <c r="C186" t="s">
        <v>15</v>
      </c>
      <c r="D186" t="s">
        <v>3</v>
      </c>
      <c r="E186" t="s">
        <v>14</v>
      </c>
      <c r="F186" t="s">
        <v>106</v>
      </c>
    </row>
    <row r="187" spans="1:11" ht="16" ns3:dyDescent="0.2">
      <c r="A187" s="4" t="s">
        <v>62</v>
      </c>
      <c r="B187">
        <v>0</v>
      </c>
      <c r="C187" t="s">
        <v>15</v>
      </c>
      <c r="D187" t="s">
        <v>3</v>
      </c>
      <c r="E187" t="s">
        <v>14</v>
      </c>
      <c r="F187" t="s">
        <v>106</v>
      </c>
    </row>
    <row r="188" spans="1:11" ht="16" ns3:dyDescent="0.2">
      <c r="A188" s="4" t="s">
        <v>27</v>
      </c>
      <c r="B188">
        <v>0.21</v>
      </c>
      <c r="C188" t="s">
        <v>15</v>
      </c>
      <c r="D188" t="s">
        <v>3</v>
      </c>
      <c r="E188" t="s">
        <v>14</v>
      </c>
      <c r="F188" t="s">
        <v>106</v>
      </c>
    </row>
    <row r="189" spans="1:11" ht="16" ns3:dyDescent="0.2">
      <c r="A189" s="6" t="inlineStr">
        <is>
          <t>market for battery capacity, ASSB, polymer</t>
        </is>
      </c>
      <c r="B189">
        <v>0</v>
      </c>
      <c r="C189" t="s">
        <v>15</v>
      </c>
      <c r="D189" t="s">
        <v>3</v>
      </c>
      <c r="E189" t="s">
        <v>14</v>
      </c>
      <c r="F189" t="s">
        <v>106</v>
      </c>
    </row>
    <row r="190" spans="1:11" ht="16" ns3:dyDescent="0.2">
      <c r="A190" s="6" t="inlineStr">
        <is>
          <t>market for battery capacity, ASSB, oxidic</t>
        </is>
      </c>
      <c r="B190">
        <v>0</v>
      </c>
      <c r="C190" t="s">
        <v>15</v>
      </c>
      <c r="D190" t="s">
        <v>3</v>
      </c>
      <c r="E190" t="s">
        <v>14</v>
      </c>
      <c r="F190" t="s">
        <v>106</v>
      </c>
    </row>
    <row r="191" spans="1:11" ht="16" ns3:dyDescent="0.2">
      <c r="A191" s="4" t="s">
        <v>56</v>
      </c>
      <c r="B191">
        <v>0</v>
      </c>
      <c r="C191" t="s">
        <v>15</v>
      </c>
      <c r="D191" t="s">
        <v>3</v>
      </c>
      <c r="E191" t="s">
        <v>14</v>
      </c>
      <c r="F191" t="s">
        <v>106</v>
      </c>
    </row>
    <row r="192" spans="1:11" ht="16" ns3:dyDescent="0.2">
      <c r="A192" s="4" t="s">
        <v>35</v>
      </c>
      <c r="B192">
        <v>0</v>
      </c>
      <c r="C192" t="s">
        <v>15</v>
      </c>
      <c r="D192" t="s">
        <v>3</v>
      </c>
      <c r="E192" t="s">
        <v>14</v>
      </c>
      <c r="F192" t="s">
        <v>106</v>
      </c>
    </row>
    <row r="193" spans="1:11" ht="16" ns3:dyDescent="0.2">
      <c r="A193" s="4" t="s">
        <v>38</v>
      </c>
      <c r="B193">
        <v>0</v>
      </c>
      <c r="C193" t="s">
        <v>15</v>
      </c>
      <c r="D193" t="s">
        <v>3</v>
      </c>
      <c r="E193" t="s">
        <v>14</v>
      </c>
      <c r="F193" t="s">
        <v>106</v>
      </c>
    </row>
    <row r="194" spans="1:11" ht="16" ns3:dyDescent="0.2">
      <c r="A194" s="5" t="inlineStr">
        <is>
          <t>market for battery capacity, ASSB, sulfidic</t>
        </is>
      </c>
      <c r="B194">
        <v>0</v>
      </c>
      <c r="C194" t="s">
        <v>15</v>
      </c>
      <c r="D194" t="s">
        <v>3</v>
      </c>
      <c r="E194" t="s">
        <v>14</v>
      </c>
      <c r="F194" t="s">
        <v>106</v>
      </c>
    </row>
    <row r="196" spans="1:11" ht="16" ns3:dyDescent="0.2">
      <c r="A196" s="2" t="s">
        <v>0</v>
      </c>
      <c r="B196" s="2" t="s">
        <v>76</v>
      </c>
    </row>
    <row r="197" spans="1:11" ns3:dyDescent="0.2">
      <c r="A197" t="s">
        <v>1</v>
      </c>
      <c r="B197" t="s">
        <v>73</v>
      </c>
    </row>
    <row r="198" spans="1:11" ns3:dyDescent="0.2">
      <c r="A198" t="s">
        <v>2</v>
      </c>
      <c r="B198" t="s">
        <v>3</v>
      </c>
    </row>
    <row r="199" spans="1:11" ns3:dyDescent="0.2">
      <c r="A199" t="s">
        <v>4</v>
      </c>
      <c r="B199">
        <v>1</v>
      </c>
    </row>
    <row r="200" spans="1:11" ns3:dyDescent="0.2">
      <c r="A200" t="s">
        <v>5</v>
      </c>
      <c r="B200" t="s">
        <v>106</v>
      </c>
    </row>
    <row r="201" spans="1:11" ns3:dyDescent="0.2">
      <c r="A201" t="s">
        <v>6</v>
      </c>
      <c r="B201" t="s">
        <v>15</v>
      </c>
    </row>
    <row r="202" spans="1:11" ns3:dyDescent="0.2">
      <c r="A202" t="s">
        <v>8</v>
      </c>
      <c r="B202" t="s">
        <v>74</v>
      </c>
    </row>
    <row r="203" spans="1:11" ns3:dyDescent="0.2">
      <c r="A203" s="1" t="s">
        <v>9</v>
      </c>
      <c r="B203" s="1"/>
      <c r="C203" s="1"/>
      <c r="D203" s="1"/>
      <c r="E203" s="1"/>
      <c r="F203" s="1"/>
      <c r="G203" s="1"/>
    </row>
    <row r="204" spans="1:11" ns3:dyDescent="0.2">
      <c r="A204" s="1" t="s">
        <v>10</v>
      </c>
      <c r="B204" s="1" t="s">
        <v>11</v>
      </c>
      <c r="C204" s="1" t="s">
        <v>6</v>
      </c>
      <c r="D204" s="1" t="s">
        <v>2</v>
      </c>
      <c r="E204" s="1" t="s">
        <v>12</v>
      </c>
      <c r="F204" s="1" t="s">
        <v>5</v>
      </c>
      <c r="G204" s="1"/>
      <c r="H204" s="1"/>
      <c r="I204" s="1"/>
      <c r="J204" s="1"/>
      <c r="K204" s="1"/>
    </row>
    <row r="205" spans="1:11" ns3:dyDescent="0.2">
      <c r="A205" t="str">
        <f>B196</f>
        <v>market for battery capacity (LFP scenario)</v>
      </c>
      <c r="B205">
        <v>1</v>
      </c>
      <c r="C205" t="s">
        <v>15</v>
      </c>
      <c r="D205" t="s">
        <v>3</v>
      </c>
      <c r="E205" t="s">
        <v>13</v>
      </c>
      <c r="F205" t="s">
        <v>106</v>
      </c>
      <c r="G205" s="1"/>
      <c r="H205" s="1"/>
      <c r="I205" s="1"/>
      <c r="J205" s="1"/>
      <c r="K205" s="1"/>
    </row>
    <row r="206" spans="1:11" ht="16" ns3:dyDescent="0.2">
      <c r="A206" s="4" t="s">
        <v>16</v>
      </c>
      <c r="B206">
        <v>0.28000000000000003</v>
      </c>
      <c r="C206" t="s">
        <v>15</v>
      </c>
      <c r="D206" t="s">
        <v>3</v>
      </c>
      <c r="E206" t="s">
        <v>14</v>
      </c>
      <c r="F206" t="s">
        <v>106</v>
      </c>
    </row>
    <row r="207" spans="1:11" ht="16" ns3:dyDescent="0.2">
      <c r="A207" s="4" t="s">
        <v>19</v>
      </c>
      <c r="B207">
        <v>0</v>
      </c>
      <c r="C207" t="s">
        <v>15</v>
      </c>
      <c r="D207" t="s">
        <v>3</v>
      </c>
      <c r="E207" t="s">
        <v>14</v>
      </c>
      <c r="F207" t="s">
        <v>106</v>
      </c>
    </row>
    <row r="208" spans="1:11" ht="16" ns3:dyDescent="0.2">
      <c r="A208" s="4" t="s">
        <v>110</v>
      </c>
      <c r="B208">
        <v>0.17</v>
      </c>
      <c r="C208" t="s">
        <v>15</v>
      </c>
      <c r="D208" t="s">
        <v>3</v>
      </c>
      <c r="E208" t="s">
        <v>14</v>
      </c>
      <c r="F208" t="s">
        <v>106</v>
      </c>
    </row>
    <row r="209" spans="1:6" ht="16" ns3:dyDescent="0.2">
      <c r="A209" s="4" t="s">
        <v>22</v>
      </c>
      <c r="B209">
        <v>0.17</v>
      </c>
      <c r="C209" t="s">
        <v>15</v>
      </c>
      <c r="D209" t="s">
        <v>3</v>
      </c>
      <c r="E209" t="s">
        <v>14</v>
      </c>
      <c r="F209" t="s">
        <v>106</v>
      </c>
    </row>
    <row r="210" spans="1:6" ht="16" ns3:dyDescent="0.2">
      <c r="A210" s="4" t="s">
        <v>23</v>
      </c>
      <c r="B210">
        <v>0.17</v>
      </c>
      <c r="C210" t="s">
        <v>15</v>
      </c>
      <c r="D210" t="s">
        <v>3</v>
      </c>
      <c r="E210" t="s">
        <v>14</v>
      </c>
      <c r="F210" t="s">
        <v>106</v>
      </c>
    </row>
    <row r="211" spans="1:6" ht="16" ns3:dyDescent="0.2">
      <c r="A211" s="4" t="s">
        <v>62</v>
      </c>
      <c r="B211">
        <v>0</v>
      </c>
      <c r="C211" t="s">
        <v>15</v>
      </c>
      <c r="D211" t="s">
        <v>3</v>
      </c>
      <c r="E211" t="s">
        <v>14</v>
      </c>
      <c r="F211" t="s">
        <v>106</v>
      </c>
    </row>
    <row r="212" spans="1:6" ht="16" ns3:dyDescent="0.2">
      <c r="A212" s="4" t="s">
        <v>27</v>
      </c>
      <c r="B212">
        <v>0.21</v>
      </c>
      <c r="C212" t="s">
        <v>15</v>
      </c>
      <c r="D212" t="s">
        <v>3</v>
      </c>
      <c r="E212" t="s">
        <v>14</v>
      </c>
      <c r="F212" t="s">
        <v>106</v>
      </c>
    </row>
    <row r="213" spans="1:6" ht="16" ns3:dyDescent="0.2">
      <c r="A213" s="6" t="inlineStr">
        <is>
          <t>market for battery capacity, ASSB, polymer</t>
        </is>
      </c>
      <c r="B213">
        <v>0</v>
      </c>
      <c r="C213" t="s">
        <v>15</v>
      </c>
      <c r="D213" t="s">
        <v>3</v>
      </c>
      <c r="E213" t="s">
        <v>14</v>
      </c>
      <c r="F213" t="s">
        <v>106</v>
      </c>
    </row>
    <row r="214" spans="1:6" ht="16" ns3:dyDescent="0.2">
      <c r="A214" s="6" t="inlineStr">
        <is>
          <t>market for battery capacity, ASSB, oxidic</t>
        </is>
      </c>
      <c r="B214">
        <v>0</v>
      </c>
      <c r="C214" t="s">
        <v>15</v>
      </c>
      <c r="D214" t="s">
        <v>3</v>
      </c>
      <c r="E214" t="s">
        <v>14</v>
      </c>
      <c r="F214" t="s">
        <v>106</v>
      </c>
    </row>
    <row r="215" spans="1:6" ht="16" ns3:dyDescent="0.2">
      <c r="A215" s="4" t="s">
        <v>56</v>
      </c>
      <c r="B215">
        <v>0</v>
      </c>
      <c r="C215" t="s">
        <v>15</v>
      </c>
      <c r="D215" t="s">
        <v>3</v>
      </c>
      <c r="E215" t="s">
        <v>14</v>
      </c>
      <c r="F215" t="s">
        <v>106</v>
      </c>
    </row>
    <row r="216" spans="1:6" ht="16" ns3:dyDescent="0.2">
      <c r="A216" s="4" t="s">
        <v>35</v>
      </c>
      <c r="B216">
        <v>0</v>
      </c>
      <c r="C216" t="s">
        <v>15</v>
      </c>
      <c r="D216" t="s">
        <v>3</v>
      </c>
      <c r="E216" t="s">
        <v>14</v>
      </c>
      <c r="F216" t="s">
        <v>106</v>
      </c>
    </row>
    <row r="217" spans="1:6" ht="16" ns3:dyDescent="0.2">
      <c r="A217" s="4" t="s">
        <v>38</v>
      </c>
      <c r="B217">
        <v>0</v>
      </c>
      <c r="C217" t="s">
        <v>15</v>
      </c>
      <c r="D217" t="s">
        <v>3</v>
      </c>
      <c r="E217" t="s">
        <v>14</v>
      </c>
      <c r="F217" t="s">
        <v>106</v>
      </c>
    </row>
    <row r="218" spans="1:6" ht="16" ns3:dyDescent="0.2">
      <c r="A218" s="5" t="inlineStr">
        <is>
          <t>market for battery capacity, ASSB, sulfidic</t>
        </is>
      </c>
      <c r="B218">
        <v>0</v>
      </c>
      <c r="C218" t="s">
        <v>15</v>
      </c>
      <c r="D218" t="s">
        <v>3</v>
      </c>
      <c r="E218" t="s">
        <v>14</v>
      </c>
      <c r="F218" t="s">
        <v>106</v>
      </c>
    </row>
    <row r="220" spans="1:6" ht="16" ns3:dyDescent="0.2">
      <c r="A220" s="2" t="s">
        <v>0</v>
      </c>
      <c r="B220" s="2" t="s">
        <v>77</v>
      </c>
    </row>
    <row r="221" spans="1:6" ns3:dyDescent="0.2">
      <c r="A221" t="s">
        <v>1</v>
      </c>
      <c r="B221" t="s">
        <v>73</v>
      </c>
    </row>
    <row r="222" spans="1:6" ns3:dyDescent="0.2">
      <c r="A222" t="s">
        <v>2</v>
      </c>
      <c r="B222" t="s">
        <v>3</v>
      </c>
    </row>
    <row r="223" spans="1:6" ns3:dyDescent="0.2">
      <c r="A223" t="s">
        <v>4</v>
      </c>
      <c r="B223">
        <v>1</v>
      </c>
    </row>
    <row r="224" spans="1:6" ns3:dyDescent="0.2">
      <c r="A224" t="s">
        <v>5</v>
      </c>
      <c r="B224" t="s">
        <v>106</v>
      </c>
    </row>
    <row r="225" spans="1:11" ns3:dyDescent="0.2">
      <c r="A225" t="s">
        <v>6</v>
      </c>
      <c r="B225" t="s">
        <v>15</v>
      </c>
    </row>
    <row r="226" spans="1:11" ns3:dyDescent="0.2">
      <c r="A226" t="s">
        <v>8</v>
      </c>
      <c r="B226" t="s">
        <v>74</v>
      </c>
    </row>
    <row r="227" spans="1:11" ns3:dyDescent="0.2">
      <c r="A227" s="1" t="s">
        <v>9</v>
      </c>
      <c r="B227" s="1"/>
      <c r="C227" s="1"/>
      <c r="D227" s="1"/>
      <c r="E227" s="1"/>
      <c r="F227" s="1"/>
      <c r="G227" s="1"/>
    </row>
    <row r="228" spans="1:11" ns3:dyDescent="0.2">
      <c r="A228" s="1" t="s">
        <v>10</v>
      </c>
      <c r="B228" s="1" t="s">
        <v>11</v>
      </c>
      <c r="C228" s="1" t="s">
        <v>6</v>
      </c>
      <c r="D228" s="1" t="s">
        <v>2</v>
      </c>
      <c r="E228" s="1" t="s">
        <v>12</v>
      </c>
      <c r="F228" s="1" t="s">
        <v>5</v>
      </c>
      <c r="G228" s="1"/>
      <c r="H228" s="1"/>
      <c r="I228" s="1"/>
      <c r="J228" s="1"/>
      <c r="K228" s="1"/>
    </row>
    <row r="229" spans="1:11" ns3:dyDescent="0.2">
      <c r="A229" t="str">
        <f>B220</f>
        <v>market for battery capacity (NCx scenario)</v>
      </c>
      <c r="B229">
        <v>1</v>
      </c>
      <c r="C229" t="s">
        <v>15</v>
      </c>
      <c r="D229" t="s">
        <v>3</v>
      </c>
      <c r="E229" t="s">
        <v>13</v>
      </c>
      <c r="F229" t="s">
        <v>106</v>
      </c>
      <c r="G229" s="1"/>
      <c r="H229" s="1"/>
      <c r="I229" s="1"/>
      <c r="J229" s="1"/>
      <c r="K229" s="1"/>
    </row>
    <row r="230" spans="1:11" ht="16" ns3:dyDescent="0.2">
      <c r="A230" s="4" t="s">
        <v>16</v>
      </c>
      <c r="B230">
        <v>0.28000000000000003</v>
      </c>
      <c r="C230" t="s">
        <v>15</v>
      </c>
      <c r="D230" t="s">
        <v>3</v>
      </c>
      <c r="E230" t="s">
        <v>14</v>
      </c>
      <c r="F230" t="s">
        <v>106</v>
      </c>
    </row>
    <row r="231" spans="1:11" ht="16" ns3:dyDescent="0.2">
      <c r="A231" s="4" t="s">
        <v>19</v>
      </c>
      <c r="B231">
        <v>0</v>
      </c>
      <c r="C231" t="s">
        <v>15</v>
      </c>
      <c r="D231" t="s">
        <v>3</v>
      </c>
      <c r="E231" t="s">
        <v>14</v>
      </c>
      <c r="F231" t="s">
        <v>106</v>
      </c>
    </row>
    <row r="232" spans="1:11" ht="16" ns3:dyDescent="0.2">
      <c r="A232" s="4" t="s">
        <v>110</v>
      </c>
      <c r="B232">
        <v>0.17</v>
      </c>
      <c r="C232" t="s">
        <v>15</v>
      </c>
      <c r="D232" t="s">
        <v>3</v>
      </c>
      <c r="E232" t="s">
        <v>14</v>
      </c>
      <c r="F232" t="s">
        <v>106</v>
      </c>
    </row>
    <row r="233" spans="1:11" ht="16" ns3:dyDescent="0.2">
      <c r="A233" s="4" t="s">
        <v>22</v>
      </c>
      <c r="B233">
        <v>0.17</v>
      </c>
      <c r="C233" t="s">
        <v>15</v>
      </c>
      <c r="D233" t="s">
        <v>3</v>
      </c>
      <c r="E233" t="s">
        <v>14</v>
      </c>
      <c r="F233" t="s">
        <v>106</v>
      </c>
    </row>
    <row r="234" spans="1:11" ht="16" ns3:dyDescent="0.2">
      <c r="A234" s="4" t="s">
        <v>23</v>
      </c>
      <c r="B234">
        <v>0.17</v>
      </c>
      <c r="C234" t="s">
        <v>15</v>
      </c>
      <c r="D234" t="s">
        <v>3</v>
      </c>
      <c r="E234" t="s">
        <v>14</v>
      </c>
      <c r="F234" t="s">
        <v>106</v>
      </c>
    </row>
    <row r="235" spans="1:11" ht="16" ns3:dyDescent="0.2">
      <c r="A235" s="4" t="s">
        <v>62</v>
      </c>
      <c r="B235">
        <v>0</v>
      </c>
      <c r="C235" t="s">
        <v>15</v>
      </c>
      <c r="D235" t="s">
        <v>3</v>
      </c>
      <c r="E235" t="s">
        <v>14</v>
      </c>
      <c r="F235" t="s">
        <v>106</v>
      </c>
    </row>
    <row r="236" spans="1:11" ht="16" ns3:dyDescent="0.2">
      <c r="A236" s="4" t="s">
        <v>27</v>
      </c>
      <c r="B236">
        <v>0.21</v>
      </c>
      <c r="C236" t="s">
        <v>15</v>
      </c>
      <c r="D236" t="s">
        <v>3</v>
      </c>
      <c r="E236" t="s">
        <v>14</v>
      </c>
      <c r="F236" t="s">
        <v>106</v>
      </c>
    </row>
    <row r="237" spans="1:11" ht="16" ns3:dyDescent="0.2">
      <c r="A237" s="6" t="inlineStr">
        <is>
          <t>market for battery capacity, ASSB, polymer</t>
        </is>
      </c>
      <c r="B237">
        <v>0</v>
      </c>
      <c r="C237" t="s">
        <v>15</v>
      </c>
      <c r="D237" t="s">
        <v>3</v>
      </c>
      <c r="E237" t="s">
        <v>14</v>
      </c>
      <c r="F237" t="s">
        <v>106</v>
      </c>
    </row>
    <row r="238" spans="1:11" ht="16" ns3:dyDescent="0.2">
      <c r="A238" s="6" t="inlineStr">
        <is>
          <t>market for battery capacity, ASSB, oxidic</t>
        </is>
      </c>
      <c r="B238">
        <v>0</v>
      </c>
      <c r="C238" t="s">
        <v>15</v>
      </c>
      <c r="D238" t="s">
        <v>3</v>
      </c>
      <c r="E238" t="s">
        <v>14</v>
      </c>
      <c r="F238" t="s">
        <v>106</v>
      </c>
    </row>
    <row r="239" spans="1:11" ht="16" ns3:dyDescent="0.2">
      <c r="A239" s="4" t="s">
        <v>56</v>
      </c>
      <c r="B239">
        <v>0</v>
      </c>
      <c r="C239" t="s">
        <v>15</v>
      </c>
      <c r="D239" t="s">
        <v>3</v>
      </c>
      <c r="E239" t="s">
        <v>14</v>
      </c>
      <c r="F239" t="s">
        <v>106</v>
      </c>
    </row>
    <row r="240" spans="1:11" ht="16" ns3:dyDescent="0.2">
      <c r="A240" s="4" t="s">
        <v>35</v>
      </c>
      <c r="B240">
        <v>0</v>
      </c>
      <c r="C240" t="s">
        <v>15</v>
      </c>
      <c r="D240" t="s">
        <v>3</v>
      </c>
      <c r="E240" t="s">
        <v>14</v>
      </c>
      <c r="F240" t="s">
        <v>106</v>
      </c>
    </row>
    <row r="241" spans="1:11" ht="16" ns3:dyDescent="0.2">
      <c r="A241" s="4" t="s">
        <v>38</v>
      </c>
      <c r="B241">
        <v>0</v>
      </c>
      <c r="C241" t="s">
        <v>15</v>
      </c>
      <c r="D241" t="s">
        <v>3</v>
      </c>
      <c r="E241" t="s">
        <v>14</v>
      </c>
      <c r="F241" t="s">
        <v>106</v>
      </c>
    </row>
    <row r="242" spans="1:11" ht="16" ns3:dyDescent="0.2">
      <c r="A242" s="5" t="inlineStr">
        <is>
          <t>market for battery capacity, ASSB, sulfidic</t>
        </is>
      </c>
      <c r="B242">
        <v>0</v>
      </c>
      <c r="C242" t="s">
        <v>15</v>
      </c>
      <c r="D242" t="s">
        <v>3</v>
      </c>
      <c r="E242" t="s">
        <v>14</v>
      </c>
      <c r="F242" t="s">
        <v>106</v>
      </c>
    </row>
    <row r="244" spans="1:11" ht="16" ns3:dyDescent="0.2">
      <c r="A244" s="2" t="s">
        <v>0</v>
      </c>
      <c r="B244" s="2" t="s">
        <v>78</v>
      </c>
    </row>
    <row r="245" spans="1:11" ns3:dyDescent="0.2">
      <c r="A245" t="s">
        <v>1</v>
      </c>
      <c r="B245" t="s">
        <v>73</v>
      </c>
    </row>
    <row r="246" spans="1:11" ns3:dyDescent="0.2">
      <c r="A246" t="s">
        <v>2</v>
      </c>
      <c r="B246" t="s">
        <v>3</v>
      </c>
    </row>
    <row r="247" spans="1:11" ns3:dyDescent="0.2">
      <c r="A247" t="s">
        <v>4</v>
      </c>
      <c r="B247">
        <v>1</v>
      </c>
    </row>
    <row r="248" spans="1:11" ns3:dyDescent="0.2">
      <c r="A248" t="s">
        <v>5</v>
      </c>
      <c r="B248" t="s">
        <v>106</v>
      </c>
    </row>
    <row r="249" spans="1:11" ns3:dyDescent="0.2">
      <c r="A249" t="s">
        <v>6</v>
      </c>
      <c r="B249" t="s">
        <v>15</v>
      </c>
    </row>
    <row r="250" spans="1:11" ns3:dyDescent="0.2">
      <c r="A250" t="s">
        <v>8</v>
      </c>
      <c r="B250" t="s">
        <v>74</v>
      </c>
    </row>
    <row r="251" spans="1:11" ns3:dyDescent="0.2">
      <c r="A251" s="1" t="s">
        <v>9</v>
      </c>
      <c r="B251" s="1"/>
      <c r="C251" s="1"/>
      <c r="D251" s="1"/>
      <c r="E251" s="1"/>
      <c r="F251" s="1"/>
      <c r="G251" s="1"/>
    </row>
    <row r="252" spans="1:11" ns3:dyDescent="0.2">
      <c r="A252" s="1" t="s">
        <v>10</v>
      </c>
      <c r="B252" s="1" t="s">
        <v>11</v>
      </c>
      <c r="C252" s="1" t="s">
        <v>6</v>
      </c>
      <c r="D252" s="1" t="s">
        <v>2</v>
      </c>
      <c r="E252" s="1" t="s">
        <v>12</v>
      </c>
      <c r="F252" s="1" t="s">
        <v>5</v>
      </c>
      <c r="G252" s="1"/>
      <c r="H252" s="1"/>
      <c r="I252" s="1"/>
      <c r="J252" s="1"/>
      <c r="K252" s="1"/>
    </row>
    <row r="253" spans="1:11" ns3:dyDescent="0.2">
      <c r="A253" t="str">
        <f>B244</f>
        <v>market for battery capacity (PLiB scenario)</v>
      </c>
      <c r="B253">
        <v>1</v>
      </c>
      <c r="C253" t="s">
        <v>15</v>
      </c>
      <c r="D253" t="s">
        <v>3</v>
      </c>
      <c r="E253" t="s">
        <v>13</v>
      </c>
      <c r="F253" t="s">
        <v>106</v>
      </c>
      <c r="G253" s="1"/>
      <c r="H253" s="1"/>
      <c r="I253" s="1"/>
      <c r="J253" s="1"/>
      <c r="K253" s="1"/>
    </row>
    <row r="254" spans="1:11" ht="16" ns3:dyDescent="0.2">
      <c r="A254" s="4" t="s">
        <v>16</v>
      </c>
      <c r="B254">
        <v>0.28000000000000003</v>
      </c>
      <c r="C254" t="s">
        <v>15</v>
      </c>
      <c r="D254" t="s">
        <v>3</v>
      </c>
      <c r="E254" t="s">
        <v>14</v>
      </c>
      <c r="F254" t="s">
        <v>106</v>
      </c>
    </row>
    <row r="255" spans="1:11" ht="16" ns3:dyDescent="0.2">
      <c r="A255" s="4" t="s">
        <v>19</v>
      </c>
      <c r="B255">
        <v>0</v>
      </c>
      <c r="C255" t="s">
        <v>15</v>
      </c>
      <c r="D255" t="s">
        <v>3</v>
      </c>
      <c r="E255" t="s">
        <v>14</v>
      </c>
      <c r="F255" t="s">
        <v>106</v>
      </c>
    </row>
    <row r="256" spans="1:11" ht="16" ns3:dyDescent="0.2">
      <c r="A256" s="4" t="s">
        <v>110</v>
      </c>
      <c r="B256">
        <v>0.17</v>
      </c>
      <c r="C256" t="s">
        <v>15</v>
      </c>
      <c r="D256" t="s">
        <v>3</v>
      </c>
      <c r="E256" t="s">
        <v>14</v>
      </c>
      <c r="F256" t="s">
        <v>106</v>
      </c>
    </row>
    <row r="257" spans="1:6" ht="16" ns3:dyDescent="0.2">
      <c r="A257" s="4" t="s">
        <v>22</v>
      </c>
      <c r="B257">
        <v>0.17</v>
      </c>
      <c r="C257" t="s">
        <v>15</v>
      </c>
      <c r="D257" t="s">
        <v>3</v>
      </c>
      <c r="E257" t="s">
        <v>14</v>
      </c>
      <c r="F257" t="s">
        <v>106</v>
      </c>
    </row>
    <row r="258" spans="1:6" ht="16" ns3:dyDescent="0.2">
      <c r="A258" s="4" t="s">
        <v>23</v>
      </c>
      <c r="B258">
        <v>0.17</v>
      </c>
      <c r="C258" t="s">
        <v>15</v>
      </c>
      <c r="D258" t="s">
        <v>3</v>
      </c>
      <c r="E258" t="s">
        <v>14</v>
      </c>
      <c r="F258" t="s">
        <v>106</v>
      </c>
    </row>
    <row r="259" spans="1:6" ht="16" ns3:dyDescent="0.2">
      <c r="A259" s="4" t="s">
        <v>62</v>
      </c>
      <c r="B259">
        <v>0</v>
      </c>
      <c r="C259" t="s">
        <v>15</v>
      </c>
      <c r="D259" t="s">
        <v>3</v>
      </c>
      <c r="E259" t="s">
        <v>14</v>
      </c>
      <c r="F259" t="s">
        <v>106</v>
      </c>
    </row>
    <row r="260" spans="1:6" ht="16" ns3:dyDescent="0.2">
      <c r="A260" s="4" t="s">
        <v>27</v>
      </c>
      <c r="B260">
        <v>0.21</v>
      </c>
      <c r="C260" t="s">
        <v>15</v>
      </c>
      <c r="D260" t="s">
        <v>3</v>
      </c>
      <c r="E260" t="s">
        <v>14</v>
      </c>
      <c r="F260" t="s">
        <v>106</v>
      </c>
    </row>
    <row r="261" spans="1:6" ht="16" ns3:dyDescent="0.2">
      <c r="A261" s="6" t="inlineStr">
        <is>
          <t>market for battery capacity, ASSB, polymer</t>
        </is>
      </c>
      <c r="B261">
        <v>0</v>
      </c>
      <c r="C261" t="s">
        <v>15</v>
      </c>
      <c r="D261" t="s">
        <v>3</v>
      </c>
      <c r="E261" t="s">
        <v>14</v>
      </c>
      <c r="F261" t="s">
        <v>106</v>
      </c>
    </row>
    <row r="262" spans="1:6" ht="16" ns3:dyDescent="0.2">
      <c r="A262" s="6" t="inlineStr">
        <is>
          <t>market for battery capacity, ASSB, oxidic</t>
        </is>
      </c>
      <c r="B262">
        <v>0</v>
      </c>
      <c r="C262" t="s">
        <v>15</v>
      </c>
      <c r="D262" t="s">
        <v>3</v>
      </c>
      <c r="E262" t="s">
        <v>14</v>
      </c>
      <c r="F262" t="s">
        <v>106</v>
      </c>
    </row>
    <row r="263" spans="1:6" ht="16" ns3:dyDescent="0.2">
      <c r="A263" s="4" t="s">
        <v>56</v>
      </c>
      <c r="B263">
        <v>0</v>
      </c>
      <c r="C263" t="s">
        <v>15</v>
      </c>
      <c r="D263" t="s">
        <v>3</v>
      </c>
      <c r="E263" t="s">
        <v>14</v>
      </c>
      <c r="F263" t="s">
        <v>106</v>
      </c>
    </row>
    <row r="264" spans="1:6" ht="16" ns3:dyDescent="0.2">
      <c r="A264" s="4" t="s">
        <v>35</v>
      </c>
      <c r="B264">
        <v>0</v>
      </c>
      <c r="C264" t="s">
        <v>15</v>
      </c>
      <c r="D264" t="s">
        <v>3</v>
      </c>
      <c r="E264" t="s">
        <v>14</v>
      </c>
      <c r="F264" t="s">
        <v>106</v>
      </c>
    </row>
    <row r="265" spans="1:6" ht="16" ns3:dyDescent="0.2">
      <c r="A265" s="4" t="s">
        <v>38</v>
      </c>
      <c r="B265">
        <v>0</v>
      </c>
      <c r="C265" t="s">
        <v>15</v>
      </c>
      <c r="D265" t="s">
        <v>3</v>
      </c>
      <c r="E265" t="s">
        <v>14</v>
      </c>
      <c r="F265" t="s">
        <v>106</v>
      </c>
    </row>
    <row r="266" spans="1:6" ht="16" ns3:dyDescent="0.2">
      <c r="A266" s="5" t="inlineStr">
        <is>
          <t>market for battery capacity, ASSB, sulfidic</t>
        </is>
      </c>
      <c r="B266">
        <v>0</v>
      </c>
      <c r="C266" t="s">
        <v>15</v>
      </c>
      <c r="D266" t="s">
        <v>3</v>
      </c>
      <c r="E266" t="s">
        <v>14</v>
      </c>
      <c r="F266" t="s">
        <v>106</v>
      </c>
    </row>
  </sheetData>
  <autoFilter ref="A1:N266" ns2:uid="{00000000-0001-0000-0000-000000000000}"/>
  <pageMargins left="0.7" right="0.7" top="0.75" bottom="0.75" header="0.3" footer="0.3"/>
  <pageSetup paperSize="9" orientation="portrait" ns4:id="rId1"/>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ns4="http://schemas.openxmlformats.org/officeDocument/2006/relationships" ns1:Ignorable="x14ac xr xr2 xr3" ns2:uid="{E327F433-64CA-4C75-A0BC-FFEEC2922B0D}">
  <dimension ref="A1:N203"/>
  <sheetViews>
    <sheetView tabSelected="1" workbookViewId="0">
      <selection activeCell="H190" sqref="H190"/>
    </sheetView>
  </sheetViews>
  <sheetFormatPr baseColWidth="10" defaultColWidth="8.83203125" defaultRowHeight="15" ns3:dyDescent="0.2"/>
  <cols>
    <col min="1" max="1" width="69.5" bestFit="1" customWidth="1"/>
    <col min="2" max="2" width="24.1640625" customWidth="1"/>
    <col min="6" max="6" width="28.6640625" customWidth="1"/>
  </cols>
  <sheetData>
    <row r="1" spans="1:14" ht="16" ns3:dyDescent="0.2">
      <c r="A1" s="2" t="s">
        <v>0</v>
      </c>
      <c r="B1" s="2" t="s">
        <v>79</v>
      </c>
    </row>
    <row r="2" spans="1:14" ns3:dyDescent="0.2">
      <c r="A2" t="s">
        <v>1</v>
      </c>
      <c r="B2" t="s">
        <v>65</v>
      </c>
    </row>
    <row r="3" spans="1:14" ns3:dyDescent="0.2">
      <c r="A3" t="s">
        <v>2</v>
      </c>
      <c r="B3" t="s">
        <v>3</v>
      </c>
    </row>
    <row r="4" spans="1:14" ns3:dyDescent="0.2">
      <c r="A4" t="s">
        <v>4</v>
      </c>
      <c r="B4">
        <v>1</v>
      </c>
    </row>
    <row r="5" spans="1:14" ns3:dyDescent="0.2">
      <c r="A5" t="s">
        <v>5</v>
      </c>
      <c r="B5" t="s">
        <v>106</v>
      </c>
    </row>
    <row r="6" spans="1:14" ns3:dyDescent="0.2">
      <c r="A6" t="s">
        <v>6</v>
      </c>
      <c r="B6" t="s">
        <v>15</v>
      </c>
      <c r="F6" s="7"/>
    </row>
    <row r="7" spans="1:14" ns3:dyDescent="0.2">
      <c r="A7" t="s">
        <v>48</v>
      </c>
      <c r="B7">
        <f>1-0.27</f>
        <v>0.73</v>
      </c>
    </row>
    <row r="8" spans="1:14" ht="16" ns3:dyDescent="0.2">
      <c r="A8" s="2" t="s">
        <v>9</v>
      </c>
      <c r="B8" s="7"/>
    </row>
    <row r="9" spans="1:14" ns3:dyDescent="0.2">
      <c r="A9" s="1" t="s">
        <v>10</v>
      </c>
      <c r="B9" s="1" t="s">
        <v>11</v>
      </c>
      <c r="C9" s="1" t="s">
        <v>6</v>
      </c>
      <c r="D9" s="1" t="s">
        <v>2</v>
      </c>
      <c r="E9" s="1" t="s">
        <v>12</v>
      </c>
      <c r="F9" s="1" t="s">
        <v>5</v>
      </c>
      <c r="G9" s="1" t="s">
        <v>57</v>
      </c>
      <c r="H9" s="1" t="s">
        <v>58</v>
      </c>
      <c r="I9" s="1" t="s">
        <v>59</v>
      </c>
      <c r="J9" s="1" t="s">
        <v>60</v>
      </c>
      <c r="K9" s="1" t="s">
        <v>61</v>
      </c>
    </row>
    <row r="10" spans="1:14" ht="16" ns3:dyDescent="0.2">
      <c r="A10" s="4" t="str">
        <f>B1</f>
        <v>market for battery capacity, Li-ion, LFP, stationary</v>
      </c>
      <c r="B10">
        <v>1</v>
      </c>
      <c r="C10" t="str">
        <f>B6</f>
        <v>kilowatt hour</v>
      </c>
      <c r="D10" t="s">
        <v>3</v>
      </c>
      <c r="E10" t="s">
        <v>13</v>
      </c>
      <c r="F10" t="str">
        <f>B5</f>
        <v>electricity storage capacity</v>
      </c>
    </row>
    <row r="11" spans="1:14" ns3:dyDescent="0.2">
      <c r="A11" t="s">
        <v>17</v>
      </c>
      <c r="B11" s="7">
        <f>1/(0.16*(1-27%))</f>
        <v>8.5616438356164384</v>
      </c>
      <c r="C11" t="s">
        <v>7</v>
      </c>
      <c r="D11" t="s">
        <v>3</v>
      </c>
      <c r="E11" t="s">
        <v>14</v>
      </c>
      <c r="F11" t="s">
        <v>18</v>
      </c>
      <c r="G11">
        <v>5</v>
      </c>
      <c r="H11" s="7">
        <f>B11</f>
        <v>8.5616438356164384</v>
      </c>
      <c r="I11" s="7">
        <f>1/(0.19*(1-27%))</f>
        <v>7.2098053352559486</v>
      </c>
      <c r="J11" s="7">
        <f>1/(0.14*(1-27%))</f>
        <v>9.7847358121330714</v>
      </c>
    </row>
    <row r="12" spans="1:14" ns3:dyDescent="0.2">
      <c r="A12" t="s">
        <v>53</v>
      </c>
      <c r="B12" s="7">
        <f>-1*B11</f>
        <v>-8.5616438356164384</v>
      </c>
      <c r="C12" t="s">
        <v>7</v>
      </c>
      <c r="D12" t="s">
        <v>3</v>
      </c>
      <c r="E12" t="s">
        <v>14</v>
      </c>
      <c r="F12" t="s">
        <v>54</v>
      </c>
      <c r="G12">
        <v>5</v>
      </c>
      <c r="H12" s="7">
        <f>B12</f>
        <v>-8.5616438356164384</v>
      </c>
      <c r="I12" s="7">
        <f>-1/(0.14*(1-27%))</f>
        <v>-9.7847358121330714</v>
      </c>
      <c r="J12" s="7">
        <f>-1/(0.19*(1-27%))</f>
        <v>-7.2098053352559486</v>
      </c>
      <c r="K12" t="b">
        <v>1</v>
      </c>
      <c r="M12" s="7"/>
      <c r="N12" s="7"/>
    </row>
    <row r="14" spans="1:14" ht="16" ns3:dyDescent="0.2">
      <c r="A14" s="2" t="s">
        <v>0</v>
      </c>
      <c r="B14" s="2" t="s">
        <v>80</v>
      </c>
    </row>
    <row r="15" spans="1:14" ns3:dyDescent="0.2">
      <c r="A15" t="s">
        <v>1</v>
      </c>
      <c r="B15" t="s">
        <v>66</v>
      </c>
    </row>
    <row r="16" spans="1:14" ns3:dyDescent="0.2">
      <c r="A16" t="s">
        <v>2</v>
      </c>
      <c r="B16" t="s">
        <v>3</v>
      </c>
    </row>
    <row r="17" spans="1:14" ns3:dyDescent="0.2">
      <c r="A17" t="s">
        <v>4</v>
      </c>
      <c r="B17">
        <v>1</v>
      </c>
    </row>
    <row r="18" spans="1:14" ns3:dyDescent="0.2">
      <c r="A18" t="s">
        <v>5</v>
      </c>
      <c r="B18" t="s">
        <v>106</v>
      </c>
    </row>
    <row r="19" spans="1:14" ns3:dyDescent="0.2">
      <c r="A19" t="s">
        <v>6</v>
      </c>
      <c r="B19" t="s">
        <v>15</v>
      </c>
    </row>
    <row r="20" spans="1:14" ns3:dyDescent="0.2">
      <c r="A20" t="s">
        <v>48</v>
      </c>
      <c r="B20">
        <f>1-0.27</f>
        <v>0.73</v>
      </c>
    </row>
    <row r="21" spans="1:14" ht="16" ns3:dyDescent="0.2">
      <c r="A21" s="2" t="s">
        <v>9</v>
      </c>
      <c r="B21" s="3"/>
    </row>
    <row r="22" spans="1:14" ns3:dyDescent="0.2">
      <c r="A22" s="1" t="s">
        <v>10</v>
      </c>
      <c r="B22" s="1" t="s">
        <v>11</v>
      </c>
      <c r="C22" s="1" t="s">
        <v>6</v>
      </c>
      <c r="D22" s="1" t="s">
        <v>2</v>
      </c>
      <c r="E22" s="1" t="s">
        <v>12</v>
      </c>
      <c r="F22" s="1" t="s">
        <v>5</v>
      </c>
      <c r="G22" s="1" t="s">
        <v>57</v>
      </c>
      <c r="H22" s="1" t="s">
        <v>58</v>
      </c>
      <c r="I22" s="1" t="s">
        <v>59</v>
      </c>
      <c r="J22" s="1" t="s">
        <v>60</v>
      </c>
      <c r="K22" s="1" t="s">
        <v>61</v>
      </c>
    </row>
    <row r="23" spans="1:14" ht="16" ns3:dyDescent="0.2">
      <c r="A23" s="4" t="str">
        <f>B14</f>
        <v>market for battery capacity, Li-ion, NMC111, stationary</v>
      </c>
      <c r="B23">
        <v>1</v>
      </c>
      <c r="C23" t="str">
        <f>B19</f>
        <v>kilowatt hour</v>
      </c>
      <c r="D23" t="s">
        <v>3</v>
      </c>
      <c r="E23" t="s">
        <v>13</v>
      </c>
      <c r="F23" t="str">
        <f>B18</f>
        <v>electricity storage capacity</v>
      </c>
    </row>
    <row r="24" spans="1:14" ns3:dyDescent="0.2">
      <c r="A24" t="s">
        <v>20</v>
      </c>
      <c r="B24" s="3">
        <f>1/(0.18*73%)</f>
        <v>7.6103500761035017</v>
      </c>
      <c r="C24" t="s">
        <v>7</v>
      </c>
      <c r="D24" t="s">
        <v>3</v>
      </c>
      <c r="E24" t="s">
        <v>14</v>
      </c>
      <c r="F24" t="s">
        <v>21</v>
      </c>
      <c r="G24">
        <v>5</v>
      </c>
      <c r="H24" s="7">
        <f>B24</f>
        <v>7.6103500761035017</v>
      </c>
      <c r="I24" s="7">
        <f>1/(0.19*73%)</f>
        <v>7.2098053352559486</v>
      </c>
      <c r="J24" s="7">
        <f>1/(0.14*73%)</f>
        <v>9.7847358121330714</v>
      </c>
    </row>
    <row r="25" spans="1:14" ns3:dyDescent="0.2">
      <c r="A25" t="s">
        <v>53</v>
      </c>
      <c r="B25" s="3">
        <f>-1*B24</f>
        <v>-7.6103500761035017</v>
      </c>
      <c r="C25" t="s">
        <v>7</v>
      </c>
      <c r="D25" t="s">
        <v>3</v>
      </c>
      <c r="E25" t="s">
        <v>14</v>
      </c>
      <c r="F25" t="s">
        <v>54</v>
      </c>
      <c r="G25">
        <v>5</v>
      </c>
      <c r="H25" s="7">
        <f>B25</f>
        <v>-7.6103500761035017</v>
      </c>
      <c r="I25" s="7">
        <f>-1/(0.14*(1-27%))</f>
        <v>-9.7847358121330714</v>
      </c>
      <c r="J25" s="7">
        <f>-1/(0.19*73%)</f>
        <v>-7.2098053352559486</v>
      </c>
      <c r="K25" t="b">
        <v>1</v>
      </c>
      <c r="M25" s="7"/>
      <c r="N25" s="7"/>
    </row>
    <row r="27" spans="1:14" ht="16" ns3:dyDescent="0.2">
      <c r="A27" s="2" t="s">
        <v>0</v>
      </c>
      <c r="B27" s="2" t="s">
        <v>114</v>
      </c>
    </row>
    <row r="28" spans="1:14" ns3:dyDescent="0.2">
      <c r="A28" t="s">
        <v>1</v>
      </c>
      <c r="B28" t="s">
        <v>111</v>
      </c>
    </row>
    <row r="29" spans="1:14" ns3:dyDescent="0.2">
      <c r="A29" t="s">
        <v>2</v>
      </c>
      <c r="B29" t="s">
        <v>3</v>
      </c>
    </row>
    <row r="30" spans="1:14" ns3:dyDescent="0.2">
      <c r="A30" t="s">
        <v>4</v>
      </c>
      <c r="B30">
        <v>1</v>
      </c>
    </row>
    <row r="31" spans="1:14" ns3:dyDescent="0.2">
      <c r="A31" t="s">
        <v>5</v>
      </c>
      <c r="B31" t="s">
        <v>106</v>
      </c>
    </row>
    <row r="32" spans="1:14" ns3:dyDescent="0.2">
      <c r="A32" t="s">
        <v>6</v>
      </c>
      <c r="B32" t="s">
        <v>15</v>
      </c>
    </row>
    <row r="33" spans="1:14" ns3:dyDescent="0.2">
      <c r="A33" t="s">
        <v>48</v>
      </c>
      <c r="B33">
        <f>1-0.27</f>
        <v>0.73</v>
      </c>
    </row>
    <row r="34" spans="1:14" ht="16" ns3:dyDescent="0.2">
      <c r="A34" s="2" t="s">
        <v>9</v>
      </c>
      <c r="B34" s="3"/>
    </row>
    <row r="35" spans="1:14" ns3:dyDescent="0.2">
      <c r="A35" s="1" t="s">
        <v>10</v>
      </c>
      <c r="B35" s="1" t="s">
        <v>11</v>
      </c>
      <c r="C35" s="1" t="s">
        <v>6</v>
      </c>
      <c r="D35" s="1" t="s">
        <v>2</v>
      </c>
      <c r="E35" s="1" t="s">
        <v>12</v>
      </c>
      <c r="F35" s="1" t="s">
        <v>5</v>
      </c>
      <c r="G35" s="1" t="s">
        <v>57</v>
      </c>
      <c r="H35" s="1" t="s">
        <v>58</v>
      </c>
      <c r="I35" s="1" t="s">
        <v>59</v>
      </c>
      <c r="J35" s="1" t="s">
        <v>60</v>
      </c>
      <c r="K35" s="1" t="s">
        <v>61</v>
      </c>
    </row>
    <row r="36" spans="1:14" ht="16" ns3:dyDescent="0.2">
      <c r="A36" s="4" t="str">
        <f>B27</f>
        <v>market for battery capacity, Li-ion, NMC532, stationary</v>
      </c>
      <c r="B36">
        <v>1</v>
      </c>
      <c r="C36" t="str">
        <f>B32</f>
        <v>kilowatt hour</v>
      </c>
      <c r="D36" t="s">
        <v>3</v>
      </c>
      <c r="E36" t="s">
        <v>13</v>
      </c>
      <c r="F36" t="str">
        <f>B31</f>
        <v>electricity storage capacity</v>
      </c>
    </row>
    <row r="37" spans="1:14" ns3:dyDescent="0.2">
      <c r="A37" t="s">
        <v>112</v>
      </c>
      <c r="B37" s="3">
        <f>1/(0.2*73%)</f>
        <v>6.8493150684931514</v>
      </c>
      <c r="C37" t="s">
        <v>7</v>
      </c>
      <c r="D37" t="s">
        <v>3</v>
      </c>
      <c r="E37" t="s">
        <v>14</v>
      </c>
      <c r="F37" t="s">
        <v>113</v>
      </c>
      <c r="G37">
        <v>5</v>
      </c>
      <c r="H37" s="7">
        <f>B37</f>
        <v>6.8493150684931514</v>
      </c>
      <c r="I37" s="3">
        <f>1/(0.22*73%)</f>
        <v>6.2266500622665006</v>
      </c>
      <c r="J37" s="3">
        <f>1/(0.17*73%)</f>
        <v>8.058017727639001</v>
      </c>
    </row>
    <row r="38" spans="1:14" ns3:dyDescent="0.2">
      <c r="A38" t="s">
        <v>53</v>
      </c>
      <c r="B38" s="3">
        <f>-1*B37</f>
        <v>-6.8493150684931514</v>
      </c>
      <c r="C38" t="s">
        <v>7</v>
      </c>
      <c r="D38" t="s">
        <v>3</v>
      </c>
      <c r="E38" t="s">
        <v>14</v>
      </c>
      <c r="F38" t="s">
        <v>54</v>
      </c>
      <c r="G38">
        <v>5</v>
      </c>
      <c r="H38" s="7">
        <f>B38</f>
        <v>-6.8493150684931514</v>
      </c>
      <c r="I38" s="3">
        <f>-1/(0.17*73%)</f>
        <v>-8.058017727639001</v>
      </c>
      <c r="J38" s="3">
        <f>-1/(0.22*73%)</f>
        <v>-6.2266500622665006</v>
      </c>
      <c r="K38" t="b">
        <v>1</v>
      </c>
      <c r="M38" s="3"/>
      <c r="N38" s="3"/>
    </row>
    <row r="40" spans="1:14" ht="16" ns3:dyDescent="0.2">
      <c r="A40" s="2" t="s">
        <v>0</v>
      </c>
      <c r="B40" s="2" t="s">
        <v>81</v>
      </c>
    </row>
    <row r="41" spans="1:14" ns3:dyDescent="0.2">
      <c r="A41" t="s">
        <v>1</v>
      </c>
      <c r="B41" t="s">
        <v>67</v>
      </c>
    </row>
    <row r="42" spans="1:14" ns3:dyDescent="0.2">
      <c r="A42" t="s">
        <v>2</v>
      </c>
      <c r="B42" t="s">
        <v>3</v>
      </c>
    </row>
    <row r="43" spans="1:14" ns3:dyDescent="0.2">
      <c r="A43" t="s">
        <v>4</v>
      </c>
      <c r="B43">
        <v>1</v>
      </c>
    </row>
    <row r="44" spans="1:14" ns3:dyDescent="0.2">
      <c r="A44" t="s">
        <v>5</v>
      </c>
      <c r="B44" t="s">
        <v>106</v>
      </c>
      <c r="E44" s="3"/>
    </row>
    <row r="45" spans="1:14" ns3:dyDescent="0.2">
      <c r="A45" t="s">
        <v>6</v>
      </c>
      <c r="B45" t="s">
        <v>15</v>
      </c>
      <c r="E45" s="3"/>
    </row>
    <row r="46" spans="1:14" ns3:dyDescent="0.2">
      <c r="A46" t="s">
        <v>48</v>
      </c>
      <c r="B46">
        <f>1-0.27</f>
        <v>0.73</v>
      </c>
    </row>
    <row r="47" spans="1:14" ht="16" ns3:dyDescent="0.2">
      <c r="A47" s="2" t="s">
        <v>9</v>
      </c>
      <c r="B47" s="3"/>
    </row>
    <row r="48" spans="1:14" ns3:dyDescent="0.2">
      <c r="A48" s="1" t="s">
        <v>10</v>
      </c>
      <c r="B48" s="1" t="s">
        <v>11</v>
      </c>
      <c r="C48" s="1" t="s">
        <v>6</v>
      </c>
      <c r="D48" s="1" t="s">
        <v>2</v>
      </c>
      <c r="E48" s="1" t="s">
        <v>12</v>
      </c>
      <c r="F48" s="1" t="s">
        <v>5</v>
      </c>
      <c r="G48" s="1" t="s">
        <v>57</v>
      </c>
      <c r="H48" s="1" t="s">
        <v>58</v>
      </c>
      <c r="I48" s="1" t="s">
        <v>59</v>
      </c>
      <c r="J48" s="1" t="s">
        <v>60</v>
      </c>
      <c r="K48" s="1" t="s">
        <v>61</v>
      </c>
    </row>
    <row r="49" spans="1:14" ht="16" ns3:dyDescent="0.2">
      <c r="A49" s="4" t="str">
        <f>B40</f>
        <v>market for battery capacity, Li-ion, NMC622, stationary</v>
      </c>
      <c r="B49">
        <v>1</v>
      </c>
      <c r="C49" t="str">
        <f>B45</f>
        <v>kilowatt hour</v>
      </c>
      <c r="D49" t="s">
        <v>3</v>
      </c>
      <c r="E49" t="s">
        <v>13</v>
      </c>
      <c r="F49" t="str">
        <f>B44</f>
        <v>electricity storage capacity</v>
      </c>
    </row>
    <row r="50" spans="1:14" ns3:dyDescent="0.2">
      <c r="A50" t="s">
        <v>25</v>
      </c>
      <c r="B50" s="3">
        <f>1/(0.24*73%)</f>
        <v>5.7077625570776256</v>
      </c>
      <c r="C50" t="s">
        <v>7</v>
      </c>
      <c r="D50" t="s">
        <v>3</v>
      </c>
      <c r="E50" t="s">
        <v>14</v>
      </c>
      <c r="F50" t="s">
        <v>26</v>
      </c>
      <c r="G50">
        <v>5</v>
      </c>
      <c r="H50" s="7">
        <f>B50</f>
        <v>5.7077625570776256</v>
      </c>
      <c r="I50" s="3">
        <f>1/(0.28*73%)</f>
        <v>4.8923679060665357</v>
      </c>
      <c r="J50" s="3">
        <f>1/(0.2*73%)</f>
        <v>6.8493150684931514</v>
      </c>
    </row>
    <row r="51" spans="1:14" ns3:dyDescent="0.2">
      <c r="A51" t="s">
        <v>53</v>
      </c>
      <c r="B51" s="3">
        <f>-1*B50</f>
        <v>-5.7077625570776256</v>
      </c>
      <c r="C51" t="s">
        <v>7</v>
      </c>
      <c r="D51" t="s">
        <v>3</v>
      </c>
      <c r="E51" t="s">
        <v>14</v>
      </c>
      <c r="F51" t="s">
        <v>54</v>
      </c>
      <c r="G51">
        <v>5</v>
      </c>
      <c r="H51" s="7">
        <f>B51</f>
        <v>-5.7077625570776256</v>
      </c>
      <c r="I51" s="3">
        <f>-1/(0.2*73%)</f>
        <v>-6.8493150684931514</v>
      </c>
      <c r="J51" s="3">
        <f>-1/(0.28*73%)</f>
        <v>-4.8923679060665357</v>
      </c>
      <c r="K51" t="b">
        <v>1</v>
      </c>
      <c r="M51" s="3"/>
      <c r="N51" s="3"/>
    </row>
    <row r="53" spans="1:14" ht="16" ns3:dyDescent="0.2">
      <c r="A53" s="2" t="s">
        <v>0</v>
      </c>
      <c r="B53" s="2" t="s">
        <v>82</v>
      </c>
    </row>
    <row r="54" spans="1:14" ns3:dyDescent="0.2">
      <c r="A54" t="s">
        <v>1</v>
      </c>
      <c r="B54" t="s">
        <v>68</v>
      </c>
    </row>
    <row r="55" spans="1:14" ns3:dyDescent="0.2">
      <c r="A55" t="s">
        <v>2</v>
      </c>
      <c r="B55" t="s">
        <v>3</v>
      </c>
    </row>
    <row r="56" spans="1:14" ns3:dyDescent="0.2">
      <c r="A56" t="s">
        <v>4</v>
      </c>
      <c r="B56">
        <v>1</v>
      </c>
    </row>
    <row r="57" spans="1:14" ns3:dyDescent="0.2">
      <c r="A57" t="s">
        <v>5</v>
      </c>
      <c r="B57" t="s">
        <v>106</v>
      </c>
    </row>
    <row r="58" spans="1:14" ns3:dyDescent="0.2">
      <c r="A58" t="s">
        <v>6</v>
      </c>
      <c r="B58" t="s">
        <v>15</v>
      </c>
      <c r="E58" s="3"/>
    </row>
    <row r="59" spans="1:14" ns3:dyDescent="0.2">
      <c r="A59" t="s">
        <v>48</v>
      </c>
    </row>
    <row r="60" spans="1:14" ht="16" ns3:dyDescent="0.2">
      <c r="A60" s="2" t="s">
        <v>9</v>
      </c>
      <c r="B60" s="3">
        <f>(0.28*71%)</f>
        <v>0.1988</v>
      </c>
    </row>
    <row r="61" spans="1:14" ns3:dyDescent="0.2">
      <c r="A61" s="1" t="s">
        <v>10</v>
      </c>
      <c r="B61" s="1" t="s">
        <v>11</v>
      </c>
      <c r="C61" s="1" t="s">
        <v>6</v>
      </c>
      <c r="D61" s="1" t="s">
        <v>2</v>
      </c>
      <c r="E61" s="1" t="s">
        <v>12</v>
      </c>
      <c r="F61" s="1" t="s">
        <v>5</v>
      </c>
      <c r="G61" s="1" t="s">
        <v>57</v>
      </c>
      <c r="H61" s="1" t="s">
        <v>58</v>
      </c>
      <c r="I61" s="1" t="s">
        <v>59</v>
      </c>
      <c r="J61" s="1" t="s">
        <v>60</v>
      </c>
      <c r="K61" s="1" t="s">
        <v>61</v>
      </c>
    </row>
    <row r="62" spans="1:14" ht="16" ns3:dyDescent="0.2">
      <c r="A62" s="4" t="str">
        <f>B53</f>
        <v>market for battery capacity, Li-ion, NMC811, stationary</v>
      </c>
      <c r="B62">
        <v>1</v>
      </c>
      <c r="C62" t="str">
        <f>B58</f>
        <v>kilowatt hour</v>
      </c>
      <c r="D62" t="s">
        <v>3</v>
      </c>
      <c r="E62" t="s">
        <v>13</v>
      </c>
      <c r="F62" t="str">
        <f>B57</f>
        <v>electricity storage capacity</v>
      </c>
    </row>
    <row r="63" spans="1:14" ns3:dyDescent="0.2">
      <c r="A63" t="s">
        <v>24</v>
      </c>
      <c r="B63" s="3">
        <f>1/(0.28*71%)</f>
        <v>5.0301810865191143</v>
      </c>
      <c r="C63" t="s">
        <v>7</v>
      </c>
      <c r="D63" t="s">
        <v>3</v>
      </c>
      <c r="E63" t="s">
        <v>14</v>
      </c>
      <c r="F63" t="s">
        <v>46</v>
      </c>
      <c r="G63">
        <v>5</v>
      </c>
      <c r="H63" s="7">
        <f>B63</f>
        <v>5.0301810865191143</v>
      </c>
      <c r="I63" s="3">
        <f>1/(0.34*71%)</f>
        <v>4.1425020712510356</v>
      </c>
      <c r="J63" s="3">
        <f>1/(0.24*71%)</f>
        <v>5.868544600938967</v>
      </c>
    </row>
    <row r="64" spans="1:14" ns3:dyDescent="0.2">
      <c r="A64" t="s">
        <v>53</v>
      </c>
      <c r="B64" s="3">
        <f>-1*B63</f>
        <v>-5.0301810865191143</v>
      </c>
      <c r="C64" t="s">
        <v>7</v>
      </c>
      <c r="D64" t="s">
        <v>3</v>
      </c>
      <c r="E64" t="s">
        <v>14</v>
      </c>
      <c r="F64" t="s">
        <v>54</v>
      </c>
      <c r="G64">
        <v>5</v>
      </c>
      <c r="H64" s="7">
        <f>B64</f>
        <v>-5.0301810865191143</v>
      </c>
      <c r="I64" s="3">
        <f>-1/(0.24*71%)</f>
        <v>-5.868544600938967</v>
      </c>
      <c r="J64" s="3">
        <f>-1/(0.34*71%)</f>
        <v>-4.1425020712510356</v>
      </c>
      <c r="K64" t="b">
        <v>1</v>
      </c>
      <c r="M64" s="3"/>
      <c r="N64" s="3"/>
    </row>
    <row r="66" spans="1:14" ht="16" ns3:dyDescent="0.2">
      <c r="A66" s="2" t="s">
        <v>0</v>
      </c>
      <c r="B66" s="2" t="s">
        <v>83</v>
      </c>
    </row>
    <row r="67" spans="1:14" ns3:dyDescent="0.2">
      <c r="A67" t="s">
        <v>1</v>
      </c>
      <c r="B67" t="inlineStr">
        <is>
          <t>Provides 1 kWh gross battery capacity using a Li-ion NMC955 pack. The complete-pack manufacturing recipe in lci-batteries-NMC955-LTO.xlsx contains 0.72591 kg cells per kg pack (72.591% cells, 27.409% other pack components). Use this manufactured cell fraction instead of the former generic 71% assumption. At the retained 2020 cell energy densities (minimum/mean/maximum) of 0.300/0.340/0.380 kWh per kg cell, pack mass is 1/(cell density * cell mass share): mean 4.051709537805285 kg/kWh, range 3.625213796983677 to 4.591937476179324 kg/kWh. Manufacturing and end of life use equal pack mass; signed disposal bounds mirror the manufacturing bounds. Source density/lifetime parameters: Hasselwander et al. (2023), https://doi.org/10.3390/batteries9070379. The source lifetime of 1000-1500 cycles and the existing future density trajectory remain modelling assumptions. Matching cell fraction is an allocation correction, not validation of practical cell performance. Rebuild scenario databases to apply.</t>
        </is>
      </c>
    </row>
    <row r="68" spans="1:14" ns3:dyDescent="0.2">
      <c r="A68" t="s">
        <v>2</v>
      </c>
      <c r="B68" t="s">
        <v>3</v>
      </c>
    </row>
    <row r="69" spans="1:14" ns3:dyDescent="0.2">
      <c r="A69" t="s">
        <v>4</v>
      </c>
      <c r="B69">
        <v>1</v>
      </c>
    </row>
    <row r="70" spans="1:14" ns3:dyDescent="0.2">
      <c r="A70" t="s">
        <v>5</v>
      </c>
      <c r="B70" t="s">
        <v>106</v>
      </c>
    </row>
    <row r="71" spans="1:14" ns3:dyDescent="0.2">
      <c r="A71" t="s">
        <v>6</v>
      </c>
      <c r="B71" t="s">
        <v>15</v>
      </c>
      <c r="E71" s="3"/>
    </row>
    <row r="72" spans="1:14" ns3:dyDescent="0.2">
      <c r="A72" t="s">
        <v>48</v>
      </c>
      <c r="B72">
        <f>0.72591</f>
        <v>0.72591000000000006</v>
      </c>
    </row>
    <row r="73" spans="1:14" ht="16" ns3:dyDescent="0.2">
      <c r="A73" s="2" t="s">
        <v>9</v>
      </c>
    </row>
    <row r="74" spans="1:14" ns3:dyDescent="0.2">
      <c r="A74" s="1" t="s">
        <v>10</v>
      </c>
      <c r="B74" s="1" t="s">
        <v>11</v>
      </c>
      <c r="C74" s="1" t="s">
        <v>6</v>
      </c>
      <c r="D74" s="1" t="s">
        <v>2</v>
      </c>
      <c r="E74" s="1" t="s">
        <v>12</v>
      </c>
      <c r="F74" s="1" t="s">
        <v>5</v>
      </c>
      <c r="G74" s="1" t="s">
        <v>57</v>
      </c>
      <c r="H74" s="1" t="s">
        <v>58</v>
      </c>
      <c r="I74" s="1" t="s">
        <v>59</v>
      </c>
      <c r="J74" s="1" t="s">
        <v>60</v>
      </c>
      <c r="K74" s="1" t="s">
        <v>61</v>
      </c>
    </row>
    <row r="75" spans="1:14" ht="16" ns3:dyDescent="0.2">
      <c r="A75" s="4" t="str">
        <f>B66</f>
        <v>market for battery capacity, Li-ion, NMC955, stationary</v>
      </c>
      <c r="B75">
        <v>1</v>
      </c>
      <c r="C75" t="str">
        <f>B71</f>
        <v>kilowatt hour</v>
      </c>
      <c r="D75" t="s">
        <v>3</v>
      </c>
      <c r="E75" t="s">
        <v>13</v>
      </c>
      <c r="F75" t="str">
        <f>B70</f>
        <v>electricity storage capacity</v>
      </c>
    </row>
    <row r="76" spans="1:14" ns3:dyDescent="0.2">
      <c r="A76" t="s">
        <v>63</v>
      </c>
      <c r="B76" s="3">
        <f>1/(0.34*$B$72)</f>
        <v>4.0517095378052854</v>
      </c>
      <c r="C76" t="s">
        <v>7</v>
      </c>
      <c r="D76" t="s">
        <v>3</v>
      </c>
      <c r="E76" t="s">
        <v>14</v>
      </c>
      <c r="F76" t="s">
        <v>64</v>
      </c>
      <c r="G76">
        <v>5</v>
      </c>
      <c r="H76" s="7">
        <f>B76</f>
        <v>4.0517095378052854</v>
      </c>
      <c r="I76" s="3">
        <f>1/(0.38*$B$72)</f>
        <v>3.6252137969836769</v>
      </c>
      <c r="J76" s="3">
        <f>1/(0.3*$B$72)</f>
        <v>4.5919374761793241</v>
      </c>
    </row>
    <row r="77" spans="1:14" ns3:dyDescent="0.2">
      <c r="A77" t="s">
        <v>53</v>
      </c>
      <c r="B77" s="3">
        <f>-1*B76</f>
        <v>-4.0517095378052854</v>
      </c>
      <c r="C77" t="s">
        <v>7</v>
      </c>
      <c r="D77" t="s">
        <v>3</v>
      </c>
      <c r="E77" t="s">
        <v>14</v>
      </c>
      <c r="F77" t="s">
        <v>54</v>
      </c>
      <c r="G77">
        <v>5</v>
      </c>
      <c r="H77" s="7">
        <f>B77</f>
        <v>-4.0517095378052854</v>
      </c>
      <c r="I77" s="3">
        <f>-J76</f>
        <v>-4.5919374761793241</v>
      </c>
      <c r="J77" s="3">
        <f>-I76</f>
        <v>-3.6252137969836769</v>
      </c>
      <c r="K77" t="b">
        <v>1</v>
      </c>
      <c r="M77" s="3"/>
      <c r="N77" s="3"/>
    </row>
    <row r="80" spans="1:14" ht="16" ns3:dyDescent="0.2">
      <c r="A80" s="2" t="s">
        <v>0</v>
      </c>
      <c r="B80" s="2" t="s">
        <v>101</v>
      </c>
    </row>
    <row r="81" spans="1:11" ns3:dyDescent="0.2">
      <c r="A81" t="s">
        <v>1</v>
      </c>
      <c r="B81" t="inlineStr">
        <is>
          <t>VRFB reference correction v1 (2026-10-17). Independent reconstruction: Oxkem VOS16 2024 electrolyte; Martin 2020 electrochemical reduction; Weber 2018 hardware and lifetime. Nominal capacity uses paired one-electron V charge at Li 2011's 1.25 V standard potential, an explicit reference assumption, not a measured discharge average. Legacy '8.3 MWh' activity name is an identifier, not the reconstructed capacity. The source archive's unspecified remaining-error warning is unresolved; no archive processes are copied. See data/battery/vanadium_reference_design.json and stationary battery documentation for calculations and coverage gaps. Fixed design at all years, no imposed primary/secondary-share change. One nominal gross reference kWh requires 59.6406266373 kg installed system. No 21% extra BoP factor; hardware is already complete. Original capacity bounds mixed incompatible designs; deterministic reference replaces them. Actual discharge performance and generic consumer throughput remain separate limitations.</t>
        </is>
      </c>
    </row>
    <row r="82" spans="1:11" ns3:dyDescent="0.2">
      <c r="A82" t="s">
        <v>2</v>
      </c>
      <c r="B82" t="s">
        <v>3</v>
      </c>
    </row>
    <row r="83" spans="1:11" ns3:dyDescent="0.2">
      <c r="A83" t="s">
        <v>4</v>
      </c>
      <c r="B83">
        <v>1</v>
      </c>
    </row>
    <row r="84" spans="1:11" ns3:dyDescent="0.2">
      <c r="A84" t="s">
        <v>5</v>
      </c>
      <c r="B84" t="s">
        <v>106</v>
      </c>
      <c r="E84" s="3"/>
    </row>
    <row r="85" spans="1:11" ns3:dyDescent="0.2">
      <c r="A85" t="s">
        <v>6</v>
      </c>
      <c r="B85" t="s">
        <v>15</v>
      </c>
    </row>
    <row r="86" spans="1:11" ns3:dyDescent="0.2">
      <c r="A86" t="s">
        <v>48</v>
      </c>
      <c r="B86">
        <v>1</v>
      </c>
    </row>
    <row r="87" spans="1:11" ht="16" ns3:dyDescent="0.2">
      <c r="A87" s="2" t="s">
        <v>9</v>
      </c>
    </row>
    <row r="88" spans="1:11" ns3:dyDescent="0.2">
      <c r="A88" s="1" t="s">
        <v>10</v>
      </c>
      <c r="B88" s="1" t="s">
        <v>11</v>
      </c>
      <c r="C88" s="1" t="s">
        <v>6</v>
      </c>
      <c r="D88" s="1" t="s">
        <v>2</v>
      </c>
      <c r="E88" s="1" t="s">
        <v>12</v>
      </c>
      <c r="F88" s="1" t="s">
        <v>5</v>
      </c>
      <c r="G88" s="1" t="s">
        <v>57</v>
      </c>
      <c r="H88" s="1" t="s">
        <v>58</v>
      </c>
      <c r="I88" s="1" t="s">
        <v>59</v>
      </c>
      <c r="J88" s="1" t="s">
        <v>60</v>
      </c>
      <c r="K88" s="1" t="s">
        <v>61</v>
      </c>
    </row>
    <row r="89" spans="1:11" ht="16" ns3:dyDescent="0.2">
      <c r="A89" s="4" t="str">
        <f>B80</f>
        <v>market for battery capacity, redox-flow, Vanadium, stationary</v>
      </c>
      <c r="B89">
        <v>1</v>
      </c>
      <c r="C89" t="str">
        <f>B85</f>
        <v>kilowatt hour</v>
      </c>
      <c r="D89" t="s">
        <v>3</v>
      </c>
      <c r="E89" t="s">
        <v>13</v>
      </c>
      <c r="F89" t="str">
        <f>B84</f>
        <v>electricity storage capacity</v>
      </c>
    </row>
    <row r="90" spans="1:11" ns3:dyDescent="0.2">
      <c r="A90" t="s">
        <v>85</v>
      </c>
      <c r="B90" s="3">
        <v>59.64062663729406</v>
      </c>
      <c r="C90" t="s">
        <v>7</v>
      </c>
      <c r="D90" t="s">
        <v>3</v>
      </c>
      <c r="E90" t="s">
        <v>14</v>
      </c>
      <c r="F90" t="s">
        <v>98</v>
      </c>
      <c r="G90">
        <v>0</v>
      </c>
      <c r="H90" s="7">
        <v>59.64062663729406</v>
      </c>
      <c r="I90" s="3"/>
      <c r="J90" s="3"/>
    </row>
    <row r="91" spans="1:11" ns3:dyDescent="0.2">
      <c r="A91" t="inlineStr">
        <is>
          <t>market for used redox-flow battery, Vanadium, reference design</t>
        </is>
      </c>
      <c r="B91" s="3">
        <v>-59.64062663729406</v>
      </c>
      <c r="C91" t="s">
        <v>7</v>
      </c>
      <c r="D91" t="s">
        <v>3</v>
      </c>
      <c r="E91" t="s">
        <v>14</v>
      </c>
      <c r="F91" t="inlineStr">
        <is>
          <t>used redox-flow battery, Vanadium, reference design</t>
        </is>
      </c>
      <c r="G91">
        <v>0</v>
      </c>
      <c r="H91" s="7">
        <v>-59.64062663729406</v>
      </c>
      <c r="I91" s="3"/>
      <c r="J91" s="3"/>
      <c r="K91" t="b">
        <v>1</v>
      </c>
    </row>
    <row r="92" spans="1:11" ns3:dyDescent="0.2">
      <c r="B92" s="3"/>
      <c r="H92" s="7"/>
      <c r="I92" s="3"/>
      <c r="J92" s="3"/>
    </row>
    <row r="93" spans="1:11" ns3:dyDescent="0.2">
      <c r="B93" s="3"/>
      <c r="H93" s="7"/>
      <c r="I93" s="3"/>
      <c r="J93" s="3"/>
    </row>
    <row r="94" spans="1:11" ht="16" ns3:dyDescent="0.2">
      <c r="A94" s="2" t="s">
        <v>0</v>
      </c>
      <c r="B94" s="2" t="s">
        <v>89</v>
      </c>
    </row>
    <row r="95" spans="1:11" ns3:dyDescent="0.2">
      <c r="A95" t="s">
        <v>1</v>
      </c>
      <c r="B95" t="s">
        <v>94</v>
      </c>
    </row>
    <row r="96" spans="1:11" ns3:dyDescent="0.2">
      <c r="A96" t="s">
        <v>2</v>
      </c>
      <c r="B96" t="s">
        <v>3</v>
      </c>
    </row>
    <row r="97" spans="1:11" ns3:dyDescent="0.2">
      <c r="A97" t="s">
        <v>4</v>
      </c>
      <c r="B97">
        <v>1</v>
      </c>
    </row>
    <row r="98" spans="1:11" ns3:dyDescent="0.2">
      <c r="A98" t="s">
        <v>5</v>
      </c>
      <c r="B98" t="s">
        <v>106</v>
      </c>
      <c r="E98" s="3"/>
    </row>
    <row r="99" spans="1:11" ns3:dyDescent="0.2">
      <c r="A99" t="s">
        <v>6</v>
      </c>
      <c r="B99" t="s">
        <v>15</v>
      </c>
    </row>
    <row r="100" spans="1:11" ns3:dyDescent="0.2">
      <c r="A100" t="s">
        <v>48</v>
      </c>
      <c r="B100">
        <v>1</v>
      </c>
    </row>
    <row r="101" spans="1:11" ht="16" ns3:dyDescent="0.2">
      <c r="A101" s="2" t="s">
        <v>9</v>
      </c>
    </row>
    <row r="102" spans="1:11" ns3:dyDescent="0.2">
      <c r="A102" s="1" t="s">
        <v>10</v>
      </c>
      <c r="B102" s="1" t="s">
        <v>11</v>
      </c>
      <c r="C102" s="1" t="s">
        <v>6</v>
      </c>
      <c r="D102" s="1" t="s">
        <v>2</v>
      </c>
      <c r="E102" s="1" t="s">
        <v>12</v>
      </c>
      <c r="F102" s="1" t="s">
        <v>5</v>
      </c>
      <c r="G102" s="1" t="s">
        <v>57</v>
      </c>
      <c r="H102" s="1" t="s">
        <v>58</v>
      </c>
      <c r="I102" s="1" t="s">
        <v>59</v>
      </c>
      <c r="J102" s="1" t="s">
        <v>60</v>
      </c>
      <c r="K102" s="1" t="s">
        <v>61</v>
      </c>
    </row>
    <row r="103" spans="1:11" ht="16" ns3:dyDescent="0.2">
      <c r="A103" s="4" t="str">
        <f>B94</f>
        <v>market for battery capacity, lead acid, rechargeable, stationary</v>
      </c>
      <c r="B103">
        <v>1</v>
      </c>
      <c r="C103" t="str">
        <f>B99</f>
        <v>kilowatt hour</v>
      </c>
      <c r="D103" t="s">
        <v>3</v>
      </c>
      <c r="E103" t="s">
        <v>13</v>
      </c>
      <c r="F103" t="str">
        <f>B98</f>
        <v>electricity storage capacity</v>
      </c>
    </row>
    <row r="104" spans="1:11" ns3:dyDescent="0.2">
      <c r="A104" t="s">
        <v>90</v>
      </c>
      <c r="B104" s="3">
        <f>1/0.03</f>
        <v>33.333333333333336</v>
      </c>
      <c r="C104" t="s">
        <v>7</v>
      </c>
      <c r="D104" t="s">
        <v>3</v>
      </c>
      <c r="E104" t="s">
        <v>14</v>
      </c>
      <c r="F104" t="s">
        <v>91</v>
      </c>
      <c r="G104">
        <v>5</v>
      </c>
      <c r="H104" s="7">
        <f>B104</f>
        <v>33.333333333333336</v>
      </c>
      <c r="I104" s="3">
        <f>1/(0.032)</f>
        <v>31.25</v>
      </c>
      <c r="J104" s="3">
        <f>1/(0.027)</f>
        <v>37.037037037037038</v>
      </c>
    </row>
    <row r="105" spans="1:11" ns3:dyDescent="0.2">
      <c r="A105" t="s">
        <v>92</v>
      </c>
      <c r="B105" s="3">
        <f>-1*B104</f>
        <v>-33.333333333333336</v>
      </c>
      <c r="C105" t="s">
        <v>7</v>
      </c>
      <c r="D105" t="s">
        <v>3</v>
      </c>
      <c r="E105" t="s">
        <v>14</v>
      </c>
      <c r="F105" t="s">
        <v>93</v>
      </c>
      <c r="G105">
        <v>5</v>
      </c>
      <c r="H105" s="7">
        <f>B105</f>
        <v>-33.333333333333336</v>
      </c>
      <c r="I105" s="3">
        <f>-1*J104</f>
        <v>-37.037037037037038</v>
      </c>
      <c r="J105" s="3">
        <f>-1*I104</f>
        <v>-31.25</v>
      </c>
      <c r="K105" t="b">
        <v>1</v>
      </c>
    </row>
    <row r="106" spans="1:11" ns3:dyDescent="0.2">
      <c r="B106" s="3"/>
      <c r="H106" s="7"/>
      <c r="I106" s="3"/>
      <c r="J106" s="3"/>
    </row>
    <row r="108" spans="1:11" ht="16" ns3:dyDescent="0.2">
      <c r="A108" s="2" t="s">
        <v>0</v>
      </c>
      <c r="B108" s="2" t="s">
        <v>84</v>
      </c>
    </row>
    <row r="109" spans="1:11" ns3:dyDescent="0.2">
      <c r="A109" t="s">
        <v>1</v>
      </c>
      <c r="B109" t="inlineStr">
        <is>
          <t>APPROVED STATIONARY SODIUM-ION CAPACITY BASELINE NORMALIZATION, 2026-10-18. Zhang et al. (2024), Future climate impacts of sodium-ion batteries, Resources, Conservation and Recycling 202, 107362, DOI 10.1016/j.resconrec.2023.107362, Table 4, page 5: baseline NMMT/HC cell specific energy is 157 Wh/kg (0.157 kWh/kg), consistent with the existing source description and Premise density baseline. Primary paper: https://pub.epsilon.slu.se/32553/1/zhang-s-et-al-20240122.pdf . The linked existing SIB module recipe contains 0.7515918465419887 kg NMMT cell/kg module (lci-batteries-SIB.xlsx, sodium-ion batteries B493); its battery market purchases one kg of this module per kg delivered. Use this actual recipe coefficient, not a rounded 75 percent fraction, and 0.157 kWh/kg cell: 1/(0.157*0.7515918465419887) = 8.474582023338275 kg delivered module/kWh gross capacity. The previous 1/(0.16*0.75) = 8.333333333333334 kg represented 0.9833326658924353 kWh under those declared specifications. The module dose increases 1.6949842800592974 percent; this is not a percent change in overall transport or system metal demand. Set battery cell mass share to the linked recipe coefficient. Keep existing cell-specific density uncertainty endpoints 0.12 and 0.18 kWh/kg, translating them with the same module fraction; retain triangular type 5, equal negative waste mass and paired signed bounds/locations. Update formula caches consistently. The original rounded specific-energy/fraction/mass figures below are historical notes superseded by this paragraph. All supplier identities/geographies, the one-kWh output, cell/module manufacturing recipes, other chemistries, prospective density trajectory and lifetime/per-MJ allocations remain unchanged. This normalizes to declared cell energy and an existing module proxy; it does not validate measured pack performance, future electrochemical charge, cycle life or operating conditions. The Li-S-derived module architecture and missing BMS/cooling coverage remain unresolved. No electronics, racks, treatment route, recovery credit or primary/secondary share is added. Current full-system metal effects remain unquantified without a scenario rebuild. STATIONARY MAPPING LIMITATION: This stationary capacity-market name is absent from the existing density aliases. The current unmodified updater therefore leaves its mass and uncertainty bounds fixed through 2050. This corrects the initial normalization only; it does not implement the mobile density trajectory or resolve that mapping gap. The stationary market was inactive in the last 28-case audit, so no current system-metal effect is inferred. The previous mobile correction is preserved.
PREVIOUS SOURCE NOTES (ROUNDED VALUES SUPERSEDED ABOVE):
This dataset provides 1 kWh of battery gross capacity (NOT net), using a Sodium-ion battery. Specific energy density in 2020: 0.157 kWh/kg cell. Battery management (BoP) mass share: 25%. Battery energy density in 2020: 0.12 kWh/kg battery. Battery mass per kWh: 8.5 kg. Lifetime: 628 kWh/kg cell (4000 cycles x 0.157 kWh) or 2'500-4'000 cycles. Source for parameters: Zhang, S., Steubing, B., Potter, H. K., Hansson, P. A., &amp; Nordberg, Å. (2024). Future climate impacts of sodium-ion batteries. Resources, Conservation and Recycling, 202, 107362. https://doi.org/10.1016/j.resconrec.2023.107362. Min and max values from: Hasselwander, S.; Meyer, M.; Österle, I. Techno-Economic Analysis of Different Battery Cell Chemistries for the Passenger Vehicle Market. Batteries 2023, 9, 379. https://doi.org/10.3390/batteries9070379.</t>
        </is>
      </c>
    </row>
    <row r="110" spans="1:11" ns3:dyDescent="0.2">
      <c r="A110" t="s">
        <v>2</v>
      </c>
      <c r="B110" t="s">
        <v>3</v>
      </c>
    </row>
    <row r="111" spans="1:11" ns3:dyDescent="0.2">
      <c r="A111" t="s">
        <v>4</v>
      </c>
      <c r="B111">
        <v>1</v>
      </c>
    </row>
    <row r="112" spans="1:11" ns3:dyDescent="0.2">
      <c r="A112" t="s">
        <v>5</v>
      </c>
      <c r="B112" t="s">
        <v>106</v>
      </c>
      <c r="E112" s="3"/>
    </row>
    <row r="113" spans="1:14" ns3:dyDescent="0.2">
      <c r="A113" t="s">
        <v>6</v>
      </c>
      <c r="B113" t="s">
        <v>15</v>
      </c>
    </row>
    <row r="114" spans="1:14" ns3:dyDescent="0.2">
      <c r="A114" t="s">
        <v>48</v>
      </c>
      <c r="B114">
        <f>0.7515918465419887</f>
        <v>0.7515918465419887</v>
      </c>
    </row>
    <row r="115" spans="1:14" ht="16" ns3:dyDescent="0.2">
      <c r="A115" s="2" t="s">
        <v>9</v>
      </c>
    </row>
    <row r="116" spans="1:14" ns3:dyDescent="0.2">
      <c r="A116" s="1" t="s">
        <v>10</v>
      </c>
      <c r="B116" s="1" t="s">
        <v>11</v>
      </c>
      <c r="C116" s="1" t="s">
        <v>6</v>
      </c>
      <c r="D116" s="1" t="s">
        <v>2</v>
      </c>
      <c r="E116" s="1" t="s">
        <v>12</v>
      </c>
      <c r="F116" s="1" t="s">
        <v>5</v>
      </c>
      <c r="G116" s="1" t="s">
        <v>57</v>
      </c>
      <c r="H116" s="1" t="s">
        <v>58</v>
      </c>
      <c r="I116" s="1" t="s">
        <v>59</v>
      </c>
      <c r="J116" s="1" t="s">
        <v>60</v>
      </c>
      <c r="K116" s="1" t="s">
        <v>61</v>
      </c>
    </row>
    <row r="117" spans="1:14" ht="16" ns3:dyDescent="0.2">
      <c r="A117" s="4" t="str">
        <f>B108</f>
        <v>market for battery capacity, Sodium-ion, SiB, stationary</v>
      </c>
      <c r="B117">
        <v>1</v>
      </c>
      <c r="C117" t="str">
        <f>B113</f>
        <v>kilowatt hour</v>
      </c>
      <c r="D117" t="s">
        <v>3</v>
      </c>
      <c r="E117" t="s">
        <v>13</v>
      </c>
      <c r="F117" t="str">
        <f>B112</f>
        <v>electricity storage capacity</v>
      </c>
    </row>
    <row r="118" spans="1:14" ns3:dyDescent="0.2">
      <c r="A118" t="s">
        <v>39</v>
      </c>
      <c r="B118" s="3">
        <f>1/(0.157*$B$114)</f>
        <v>8.474582023338275</v>
      </c>
      <c r="C118" t="s">
        <v>7</v>
      </c>
      <c r="D118" t="s">
        <v>3</v>
      </c>
      <c r="E118" t="s">
        <v>14</v>
      </c>
      <c r="F118" t="s">
        <v>40</v>
      </c>
      <c r="G118">
        <v>5</v>
      </c>
      <c r="H118" s="7">
        <f>B118</f>
        <v>8.474582023338275</v>
      </c>
      <c r="I118" s="3">
        <f>1/(0.18*$B$114)</f>
        <v>7.391718764800606</v>
      </c>
      <c r="J118" s="3">
        <f>1/(0.12*$B$114)</f>
        <v>11.08757814720091</v>
      </c>
    </row>
    <row r="119" spans="1:14" ns3:dyDescent="0.2">
      <c r="A119" t="s">
        <v>53</v>
      </c>
      <c r="B119" s="3">
        <f>-1*B118</f>
        <v>-8.474582023338275</v>
      </c>
      <c r="C119" t="s">
        <v>7</v>
      </c>
      <c r="D119" t="s">
        <v>3</v>
      </c>
      <c r="E119" t="s">
        <v>14</v>
      </c>
      <c r="F119" t="s">
        <v>54</v>
      </c>
      <c r="G119">
        <v>5</v>
      </c>
      <c r="H119" s="7">
        <f>B119</f>
        <v>-8.474582023338275</v>
      </c>
      <c r="I119" s="3">
        <f>-1/(0.12*$B$114)</f>
        <v>-11.08757814720091</v>
      </c>
      <c r="J119" s="3">
        <f>-1/(0.18*$B$114)</f>
        <v>-7.391718764800606</v>
      </c>
      <c r="K119" t="b">
        <v>1</v>
      </c>
      <c r="M119" s="3"/>
      <c r="N119" s="3"/>
    </row>
    <row r="121" spans="1:14" ht="16" ns3:dyDescent="0.2">
      <c r="A121" s="2" t="s">
        <v>0</v>
      </c>
      <c r="B121" s="2" t="s">
        <v>95</v>
      </c>
    </row>
    <row r="122" spans="1:14" ns3:dyDescent="0.2">
      <c r="A122" t="s">
        <v>1</v>
      </c>
      <c r="B122" t="s">
        <v>45</v>
      </c>
    </row>
    <row r="123" spans="1:14" ns3:dyDescent="0.2">
      <c r="A123" t="s">
        <v>2</v>
      </c>
      <c r="B123" t="s">
        <v>3</v>
      </c>
    </row>
    <row r="124" spans="1:14" ns3:dyDescent="0.2">
      <c r="A124" t="s">
        <v>4</v>
      </c>
      <c r="B124">
        <v>1</v>
      </c>
    </row>
    <row r="125" spans="1:14" ns3:dyDescent="0.2">
      <c r="A125" t="s">
        <v>5</v>
      </c>
      <c r="B125" t="s">
        <v>106</v>
      </c>
    </row>
    <row r="126" spans="1:14" ns3:dyDescent="0.2">
      <c r="A126" t="s">
        <v>6</v>
      </c>
      <c r="B126" t="s">
        <v>15</v>
      </c>
    </row>
    <row r="127" spans="1:14" ns3:dyDescent="0.2">
      <c r="A127" t="s">
        <v>8</v>
      </c>
      <c r="B127" t="s">
        <v>44</v>
      </c>
    </row>
    <row r="128" spans="1:14" ns3:dyDescent="0.2">
      <c r="A128" s="1" t="s">
        <v>9</v>
      </c>
      <c r="B128" s="1"/>
      <c r="C128" s="1"/>
      <c r="D128" s="1"/>
      <c r="E128" s="1"/>
      <c r="F128" s="1"/>
      <c r="G128" s="1"/>
    </row>
    <row r="129" spans="1:11" ns3:dyDescent="0.2">
      <c r="A129" s="1" t="s">
        <v>10</v>
      </c>
      <c r="B129" s="1" t="s">
        <v>11</v>
      </c>
      <c r="C129" s="1" t="s">
        <v>6</v>
      </c>
      <c r="D129" s="1" t="s">
        <v>2</v>
      </c>
      <c r="E129" s="1" t="s">
        <v>12</v>
      </c>
      <c r="F129" s="1" t="s">
        <v>5</v>
      </c>
      <c r="G129" s="1" t="s">
        <v>57</v>
      </c>
      <c r="H129" s="1" t="s">
        <v>58</v>
      </c>
      <c r="I129" s="1" t="s">
        <v>59</v>
      </c>
      <c r="J129" s="1" t="s">
        <v>60</v>
      </c>
      <c r="K129" s="1" t="s">
        <v>61</v>
      </c>
    </row>
    <row r="130" spans="1:11" ht="16" ns3:dyDescent="0.2">
      <c r="A130" s="5" t="str">
        <f>B121</f>
        <v>market for battery capacity, Sodium-Nickel-Chloride, Na-NiCl, stationary</v>
      </c>
      <c r="B130">
        <v>1</v>
      </c>
      <c r="C130" t="s">
        <v>15</v>
      </c>
      <c r="D130" t="str">
        <f>B123</f>
        <v>GLO</v>
      </c>
      <c r="E130" t="s">
        <v>13</v>
      </c>
      <c r="F130" t="str">
        <f>B125</f>
        <v>electricity storage capacity</v>
      </c>
    </row>
    <row r="131" spans="1:11" ns3:dyDescent="0.2">
      <c r="A131" t="s">
        <v>41</v>
      </c>
      <c r="B131" s="3">
        <f>1/0.116</f>
        <v>8.6206896551724128</v>
      </c>
      <c r="C131" t="s">
        <v>7</v>
      </c>
      <c r="D131" t="s">
        <v>3</v>
      </c>
      <c r="E131" t="s">
        <v>14</v>
      </c>
      <c r="F131" t="s">
        <v>42</v>
      </c>
      <c r="G131">
        <v>5</v>
      </c>
      <c r="H131" s="7">
        <f>B131</f>
        <v>8.6206896551724128</v>
      </c>
      <c r="I131" s="7">
        <f>B131*0.75</f>
        <v>6.4655172413793096</v>
      </c>
      <c r="J131" s="7">
        <f>B131*1.25</f>
        <v>10.775862068965516</v>
      </c>
    </row>
    <row r="132" spans="1:11" ns3:dyDescent="0.2">
      <c r="A132" t="s">
        <v>53</v>
      </c>
      <c r="B132" s="3">
        <f>-1*B131</f>
        <v>-8.6206896551724128</v>
      </c>
      <c r="C132" t="s">
        <v>7</v>
      </c>
      <c r="D132" t="s">
        <v>3</v>
      </c>
      <c r="E132" t="s">
        <v>14</v>
      </c>
      <c r="F132" t="s">
        <v>54</v>
      </c>
      <c r="G132">
        <v>5</v>
      </c>
      <c r="H132" s="7">
        <f>B132</f>
        <v>-8.6206896551724128</v>
      </c>
      <c r="I132" s="7">
        <f>B132*1.25</f>
        <v>-10.775862068965516</v>
      </c>
      <c r="J132" s="7">
        <f>B132*0.75</f>
        <v>-6.4655172413793096</v>
      </c>
      <c r="K132" t="b">
        <v>1</v>
      </c>
    </row>
    <row r="133" spans="1:11" ns3:dyDescent="0.2">
      <c r="B133" s="3"/>
      <c r="H133" s="7"/>
      <c r="I133" s="7"/>
      <c r="J133" s="7"/>
    </row>
    <row r="135" spans="1:11" ht="16" ns3:dyDescent="0.2">
      <c r="A135" s="2" t="s">
        <v>0</v>
      </c>
      <c r="B135" s="2" t="s">
        <v>96</v>
      </c>
    </row>
    <row r="136" spans="1:11" ns3:dyDescent="0.2">
      <c r="A136" t="s">
        <v>1</v>
      </c>
      <c r="B136" t="s">
        <v>103</v>
      </c>
    </row>
    <row r="137" spans="1:11" ns3:dyDescent="0.2">
      <c r="A137" t="s">
        <v>2</v>
      </c>
      <c r="B137" t="s">
        <v>3</v>
      </c>
    </row>
    <row r="138" spans="1:11" ns3:dyDescent="0.2">
      <c r="A138" t="s">
        <v>4</v>
      </c>
      <c r="B138">
        <v>1</v>
      </c>
    </row>
    <row r="139" spans="1:11" ns3:dyDescent="0.2">
      <c r="A139" t="s">
        <v>5</v>
      </c>
      <c r="B139" t="s">
        <v>106</v>
      </c>
    </row>
    <row r="140" spans="1:11" ns3:dyDescent="0.2">
      <c r="A140" t="s">
        <v>6</v>
      </c>
      <c r="B140" t="s">
        <v>15</v>
      </c>
    </row>
    <row r="141" spans="1:11" s="6" customFormat="1" ht="16" ns3:dyDescent="0.2">
      <c r="A141" t="s">
        <v>8</v>
      </c>
      <c r="B141" t="s">
        <v>102</v>
      </c>
      <c r="C141"/>
      <c r="D141"/>
      <c r="E141"/>
      <c r="F141"/>
      <c r="G141"/>
      <c r="H141"/>
      <c r="I141"/>
      <c r="J141"/>
      <c r="K141"/>
    </row>
    <row r="142" spans="1:11" ns3:dyDescent="0.2">
      <c r="A142" s="1" t="s">
        <v>9</v>
      </c>
      <c r="B142" s="1"/>
      <c r="C142" s="1"/>
      <c r="D142" s="1"/>
      <c r="E142" s="1"/>
      <c r="F142" s="1"/>
      <c r="G142" s="1"/>
    </row>
    <row r="143" spans="1:11" ns3:dyDescent="0.2">
      <c r="A143" s="1" t="s">
        <v>10</v>
      </c>
      <c r="B143" s="1" t="s">
        <v>11</v>
      </c>
      <c r="C143" s="1" t="s">
        <v>6</v>
      </c>
      <c r="D143" s="1" t="s">
        <v>2</v>
      </c>
      <c r="E143" s="1" t="s">
        <v>12</v>
      </c>
      <c r="F143" s="1" t="s">
        <v>5</v>
      </c>
      <c r="G143" s="1"/>
      <c r="H143" s="1"/>
      <c r="I143" s="1"/>
      <c r="J143" s="1"/>
      <c r="K143" s="1"/>
    </row>
    <row r="144" spans="1:11" ns3:dyDescent="0.2">
      <c r="A144" t="str">
        <f>B135</f>
        <v>market for battery capacity, stationary (CONT scenario)</v>
      </c>
      <c r="B144">
        <v>1</v>
      </c>
      <c r="C144" t="s">
        <v>15</v>
      </c>
      <c r="D144" t="s">
        <v>3</v>
      </c>
      <c r="E144" t="s">
        <v>13</v>
      </c>
      <c r="F144" t="str">
        <f>B139</f>
        <v>electricity storage capacity</v>
      </c>
      <c r="G144" s="1"/>
      <c r="H144" s="1"/>
      <c r="I144" s="1"/>
      <c r="J144" s="1"/>
      <c r="K144" s="1"/>
    </row>
    <row r="145" spans="1:11" ht="16" ns3:dyDescent="0.2">
      <c r="A145" s="6" t="s">
        <v>79</v>
      </c>
      <c r="B145">
        <v>0.4</v>
      </c>
      <c r="C145" t="s">
        <v>15</v>
      </c>
      <c r="D145" t="s">
        <v>3</v>
      </c>
      <c r="E145" t="s">
        <v>14</v>
      </c>
      <c r="F145" t="s">
        <v>106</v>
      </c>
    </row>
    <row r="146" spans="1:11" ht="16" ns3:dyDescent="0.2">
      <c r="A146" s="6" t="s">
        <v>80</v>
      </c>
      <c r="B146">
        <v>0.24</v>
      </c>
      <c r="C146" t="s">
        <v>15</v>
      </c>
      <c r="D146" t="s">
        <v>3</v>
      </c>
      <c r="E146" t="s">
        <v>14</v>
      </c>
      <c r="F146" t="s">
        <v>106</v>
      </c>
    </row>
    <row r="147" spans="1:11" ht="16" ns3:dyDescent="0.2">
      <c r="A147" s="6" t="s">
        <v>114</v>
      </c>
      <c r="B147">
        <v>0</v>
      </c>
      <c r="C147" t="s">
        <v>15</v>
      </c>
      <c r="D147" t="s">
        <v>3</v>
      </c>
      <c r="E147" t="s">
        <v>14</v>
      </c>
      <c r="F147" t="s">
        <v>106</v>
      </c>
    </row>
    <row r="148" spans="1:11" ht="16" ns3:dyDescent="0.2">
      <c r="A148" s="6" t="s">
        <v>81</v>
      </c>
      <c r="B148">
        <v>0.13</v>
      </c>
      <c r="C148" t="s">
        <v>15</v>
      </c>
      <c r="D148" t="s">
        <v>3</v>
      </c>
      <c r="E148" t="s">
        <v>14</v>
      </c>
      <c r="F148" t="s">
        <v>106</v>
      </c>
    </row>
    <row r="149" spans="1:11" ht="16" ns3:dyDescent="0.2">
      <c r="A149" s="6" t="s">
        <v>82</v>
      </c>
      <c r="B149">
        <v>0.03</v>
      </c>
      <c r="C149" t="s">
        <v>15</v>
      </c>
      <c r="D149" t="s">
        <v>3</v>
      </c>
      <c r="E149" t="s">
        <v>14</v>
      </c>
      <c r="F149" t="s">
        <v>106</v>
      </c>
    </row>
    <row r="150" spans="1:11" ht="16" ns3:dyDescent="0.2">
      <c r="A150" s="6" t="s">
        <v>83</v>
      </c>
      <c r="B150">
        <v>0</v>
      </c>
      <c r="C150" t="s">
        <v>15</v>
      </c>
      <c r="D150" t="s">
        <v>3</v>
      </c>
      <c r="E150" t="s">
        <v>14</v>
      </c>
      <c r="F150" t="s">
        <v>106</v>
      </c>
    </row>
    <row r="151" spans="1:11" ht="16" ns3:dyDescent="0.2">
      <c r="A151" s="6" t="s">
        <v>84</v>
      </c>
      <c r="B151">
        <v>0</v>
      </c>
      <c r="C151" t="s">
        <v>15</v>
      </c>
      <c r="D151" t="s">
        <v>3</v>
      </c>
      <c r="E151" t="s">
        <v>14</v>
      </c>
      <c r="F151" t="s">
        <v>106</v>
      </c>
    </row>
    <row r="152" spans="1:11" ht="16" ns3:dyDescent="0.2">
      <c r="A152" s="4" t="s">
        <v>101</v>
      </c>
      <c r="B152">
        <v>0.05</v>
      </c>
      <c r="C152" t="s">
        <v>15</v>
      </c>
      <c r="D152" t="s">
        <v>3</v>
      </c>
      <c r="E152" t="s">
        <v>14</v>
      </c>
      <c r="F152" t="s">
        <v>106</v>
      </c>
    </row>
    <row r="153" spans="1:11" ht="16" ns3:dyDescent="0.2">
      <c r="A153" s="6" t="s">
        <v>89</v>
      </c>
      <c r="B153" s="6">
        <v>0.1</v>
      </c>
      <c r="C153" t="s">
        <v>15</v>
      </c>
      <c r="D153" t="s">
        <v>3</v>
      </c>
      <c r="E153" t="s">
        <v>14</v>
      </c>
      <c r="F153" t="s">
        <v>106</v>
      </c>
      <c r="G153" s="6"/>
      <c r="H153" s="6"/>
      <c r="I153" s="6"/>
      <c r="J153" s="6"/>
      <c r="K153" s="6"/>
    </row>
    <row r="154" spans="1:11" ht="16" ns3:dyDescent="0.2">
      <c r="A154" s="6" t="s">
        <v>95</v>
      </c>
      <c r="B154">
        <v>0.05</v>
      </c>
      <c r="C154" t="s">
        <v>15</v>
      </c>
      <c r="D154" t="s">
        <v>3</v>
      </c>
      <c r="E154" t="s">
        <v>14</v>
      </c>
      <c r="F154" t="s">
        <v>106</v>
      </c>
    </row>
    <row r="156" spans="1:11" ht="16" ns3:dyDescent="0.2">
      <c r="A156" s="2" t="s">
        <v>0</v>
      </c>
      <c r="B156" s="2" t="s">
        <v>97</v>
      </c>
    </row>
    <row r="157" spans="1:11" ns3:dyDescent="0.2">
      <c r="A157" t="s">
        <v>1</v>
      </c>
      <c r="B157" t="s">
        <v>108</v>
      </c>
    </row>
    <row r="158" spans="1:11" ns3:dyDescent="0.2">
      <c r="A158" t="s">
        <v>2</v>
      </c>
      <c r="B158" t="s">
        <v>3</v>
      </c>
    </row>
    <row r="159" spans="1:11" ns3:dyDescent="0.2">
      <c r="A159" t="s">
        <v>4</v>
      </c>
      <c r="B159">
        <v>1</v>
      </c>
    </row>
    <row r="160" spans="1:11" ns3:dyDescent="0.2">
      <c r="A160" t="s">
        <v>5</v>
      </c>
      <c r="B160" t="s">
        <v>106</v>
      </c>
    </row>
    <row r="161" spans="1:11" ns3:dyDescent="0.2">
      <c r="A161" t="s">
        <v>6</v>
      </c>
      <c r="B161" t="s">
        <v>15</v>
      </c>
    </row>
    <row r="162" spans="1:11" ns3:dyDescent="0.2">
      <c r="A162" t="s">
        <v>8</v>
      </c>
      <c r="B162" t="s">
        <v>102</v>
      </c>
    </row>
    <row r="163" spans="1:11" ns3:dyDescent="0.2">
      <c r="A163" s="1" t="s">
        <v>9</v>
      </c>
      <c r="B163" s="1"/>
      <c r="C163" s="1"/>
      <c r="D163" s="1"/>
      <c r="E163" s="1"/>
      <c r="F163" s="1"/>
      <c r="G163" s="1"/>
    </row>
    <row r="164" spans="1:11" ns3:dyDescent="0.2">
      <c r="A164" s="1" t="s">
        <v>10</v>
      </c>
      <c r="B164" s="1" t="s">
        <v>11</v>
      </c>
      <c r="C164" s="1" t="s">
        <v>6</v>
      </c>
      <c r="D164" s="1" t="s">
        <v>2</v>
      </c>
      <c r="E164" s="1" t="s">
        <v>12</v>
      </c>
      <c r="F164" s="1" t="s">
        <v>5</v>
      </c>
      <c r="G164" s="1"/>
      <c r="H164" s="1"/>
      <c r="I164" s="1"/>
      <c r="J164" s="1"/>
      <c r="K164" s="1"/>
    </row>
    <row r="165" spans="1:11" ns3:dyDescent="0.2">
      <c r="A165" t="str">
        <f>B156</f>
        <v>market for battery capacity, stationary (TC scenario)</v>
      </c>
      <c r="B165">
        <v>1</v>
      </c>
      <c r="C165" t="s">
        <v>15</v>
      </c>
      <c r="D165" t="s">
        <v>3</v>
      </c>
      <c r="E165" t="s">
        <v>13</v>
      </c>
      <c r="F165" t="str">
        <f>B160</f>
        <v>electricity storage capacity</v>
      </c>
      <c r="G165" s="1"/>
      <c r="H165" s="1"/>
      <c r="I165" s="1"/>
      <c r="J165" s="1"/>
      <c r="K165" s="1"/>
    </row>
    <row r="166" spans="1:11" ht="16" ns3:dyDescent="0.2">
      <c r="A166" s="6" t="s">
        <v>79</v>
      </c>
      <c r="B166">
        <v>0.4</v>
      </c>
      <c r="C166" t="s">
        <v>15</v>
      </c>
      <c r="D166" t="s">
        <v>3</v>
      </c>
      <c r="E166" t="s">
        <v>14</v>
      </c>
      <c r="F166" t="s">
        <v>106</v>
      </c>
    </row>
    <row r="167" spans="1:11" ht="16" ns3:dyDescent="0.2">
      <c r="A167" s="6" t="s">
        <v>80</v>
      </c>
      <c r="B167">
        <v>0.24</v>
      </c>
      <c r="C167" t="s">
        <v>15</v>
      </c>
      <c r="D167" t="s">
        <v>3</v>
      </c>
      <c r="E167" t="s">
        <v>14</v>
      </c>
      <c r="F167" t="s">
        <v>106</v>
      </c>
    </row>
    <row r="168" spans="1:11" ht="16" ns3:dyDescent="0.2">
      <c r="A168" s="6" t="s">
        <v>114</v>
      </c>
      <c r="B168">
        <v>0</v>
      </c>
      <c r="C168" t="s">
        <v>15</v>
      </c>
      <c r="D168" t="s">
        <v>3</v>
      </c>
      <c r="E168" t="s">
        <v>14</v>
      </c>
      <c r="F168" t="s">
        <v>106</v>
      </c>
    </row>
    <row r="169" spans="1:11" ht="16" ns3:dyDescent="0.2">
      <c r="A169" s="6" t="s">
        <v>81</v>
      </c>
      <c r="B169">
        <v>0.13</v>
      </c>
      <c r="C169" t="s">
        <v>15</v>
      </c>
      <c r="D169" t="s">
        <v>3</v>
      </c>
      <c r="E169" t="s">
        <v>14</v>
      </c>
      <c r="F169" t="s">
        <v>106</v>
      </c>
    </row>
    <row r="170" spans="1:11" ht="16" ns3:dyDescent="0.2">
      <c r="A170" s="6" t="s">
        <v>82</v>
      </c>
      <c r="B170">
        <v>0.03</v>
      </c>
      <c r="C170" t="s">
        <v>15</v>
      </c>
      <c r="D170" t="s">
        <v>3</v>
      </c>
      <c r="E170" t="s">
        <v>14</v>
      </c>
      <c r="F170" t="s">
        <v>106</v>
      </c>
    </row>
    <row r="171" spans="1:11" ht="16" ns3:dyDescent="0.2">
      <c r="A171" s="6" t="s">
        <v>83</v>
      </c>
      <c r="B171">
        <v>0</v>
      </c>
      <c r="C171" t="s">
        <v>15</v>
      </c>
      <c r="D171" t="s">
        <v>3</v>
      </c>
      <c r="E171" t="s">
        <v>14</v>
      </c>
      <c r="F171" t="s">
        <v>106</v>
      </c>
    </row>
    <row r="172" spans="1:11" ht="16" ns3:dyDescent="0.2">
      <c r="A172" s="6" t="s">
        <v>84</v>
      </c>
      <c r="B172">
        <v>0</v>
      </c>
      <c r="C172" t="s">
        <v>15</v>
      </c>
      <c r="D172" t="s">
        <v>3</v>
      </c>
      <c r="E172" t="s">
        <v>14</v>
      </c>
      <c r="F172" t="s">
        <v>106</v>
      </c>
    </row>
    <row r="173" spans="1:11" ht="16" ns3:dyDescent="0.2">
      <c r="A173" s="6" t="s">
        <v>101</v>
      </c>
      <c r="B173">
        <v>0.05</v>
      </c>
      <c r="C173" t="s">
        <v>15</v>
      </c>
      <c r="D173" t="s">
        <v>3</v>
      </c>
      <c r="E173" t="s">
        <v>14</v>
      </c>
      <c r="F173" t="s">
        <v>106</v>
      </c>
    </row>
    <row r="174" spans="1:11" ht="16" ns3:dyDescent="0.2">
      <c r="A174" s="6" t="s">
        <v>89</v>
      </c>
      <c r="B174" s="6">
        <v>0.1</v>
      </c>
      <c r="C174" t="s">
        <v>15</v>
      </c>
      <c r="D174" t="s">
        <v>3</v>
      </c>
      <c r="E174" t="s">
        <v>14</v>
      </c>
      <c r="F174" t="s">
        <v>106</v>
      </c>
      <c r="G174" s="6"/>
      <c r="H174" s="6"/>
    </row>
    <row r="175" spans="1:11" ht="16" ns3:dyDescent="0.2">
      <c r="A175" s="6" t="s">
        <v>95</v>
      </c>
      <c r="B175">
        <v>0.05</v>
      </c>
      <c r="C175" t="s">
        <v>15</v>
      </c>
      <c r="D175" t="s">
        <v>3</v>
      </c>
      <c r="E175" t="s">
        <v>14</v>
      </c>
      <c r="F175" t="s">
        <v>106</v>
      </c>
    </row>
    <row r="176" spans="1:11" ht="16" ns3:dyDescent="0.2">
      <c r="A176" s="4"/>
    </row>
    <row r="177" spans="1:11" ht="16" ns3:dyDescent="0.2">
      <c r="A177" s="2" t="s">
        <v>0</v>
      </c>
      <c r="B177" s="2" t="s">
        <v>107</v>
      </c>
    </row>
    <row r="178" spans="1:11" ns3:dyDescent="0.2">
      <c r="A178" t="s">
        <v>1</v>
      </c>
      <c r="B178" t="s">
        <v>109</v>
      </c>
    </row>
    <row r="179" spans="1:11" ns3:dyDescent="0.2">
      <c r="A179" t="s">
        <v>2</v>
      </c>
      <c r="B179" t="s">
        <v>3</v>
      </c>
    </row>
    <row r="180" spans="1:11" ns3:dyDescent="0.2">
      <c r="A180" t="s">
        <v>4</v>
      </c>
      <c r="B180">
        <v>1</v>
      </c>
    </row>
    <row r="181" spans="1:11" ns3:dyDescent="0.2">
      <c r="A181" t="s">
        <v>5</v>
      </c>
      <c r="B181" t="s">
        <v>104</v>
      </c>
    </row>
    <row r="182" spans="1:11" ns3:dyDescent="0.2">
      <c r="A182" t="s">
        <v>6</v>
      </c>
      <c r="B182" t="s">
        <v>15</v>
      </c>
    </row>
    <row r="183" spans="1:11" s="6" customFormat="1" ht="16" ns3:dyDescent="0.2">
      <c r="A183" t="s">
        <v>8</v>
      </c>
      <c r="B183" t="s">
        <v>102</v>
      </c>
      <c r="C183"/>
      <c r="D183"/>
      <c r="E183"/>
      <c r="F183"/>
      <c r="G183"/>
      <c r="H183"/>
      <c r="I183"/>
      <c r="J183"/>
      <c r="K183"/>
    </row>
    <row r="184" spans="1:11" ns3:dyDescent="0.2">
      <c r="A184" s="1" t="s">
        <v>9</v>
      </c>
      <c r="B184" s="1"/>
      <c r="C184" s="1"/>
      <c r="D184" s="1"/>
      <c r="E184" s="1"/>
      <c r="F184" s="1"/>
      <c r="G184" s="1"/>
    </row>
    <row r="185" spans="1:11" ns3:dyDescent="0.2">
      <c r="A185" s="1" t="s">
        <v>10</v>
      </c>
      <c r="B185" s="1" t="s">
        <v>11</v>
      </c>
      <c r="C185" s="1" t="s">
        <v>6</v>
      </c>
      <c r="D185" s="1" t="s">
        <v>2</v>
      </c>
      <c r="E185" s="1" t="s">
        <v>12</v>
      </c>
      <c r="F185" s="1" t="s">
        <v>5</v>
      </c>
      <c r="G185" s="1" t="s">
        <v>57</v>
      </c>
      <c r="H185" s="1" t="s">
        <v>58</v>
      </c>
      <c r="I185" s="1" t="s">
        <v>59</v>
      </c>
      <c r="J185" s="1" t="s">
        <v>60</v>
      </c>
      <c r="K185" s="1" t="s">
        <v>1</v>
      </c>
    </row>
    <row r="186" spans="1:11" ns3:dyDescent="0.2">
      <c r="A186" t="str">
        <f>B177</f>
        <v>electricity supply, from stationary battery (CONT scenario)</v>
      </c>
      <c r="B186">
        <v>1</v>
      </c>
      <c r="C186" t="s">
        <v>15</v>
      </c>
      <c r="D186" t="s">
        <v>3</v>
      </c>
      <c r="E186" t="s">
        <v>13</v>
      </c>
      <c r="F186" t="str">
        <f>B181</f>
        <v>electricity, low voltage</v>
      </c>
      <c r="G186">
        <v>0</v>
      </c>
      <c r="I186" s="1"/>
      <c r="J186" s="1"/>
      <c r="K186" s="1"/>
    </row>
    <row r="187" spans="1:11" ht="16" ns3:dyDescent="0.2">
      <c r="A187" s="6" t="s">
        <v>96</v>
      </c>
      <c r="B187">
        <f>1/2500</f>
        <v>4.0000000000000002E-4</v>
      </c>
      <c r="C187" t="s">
        <v>15</v>
      </c>
      <c r="D187" t="s">
        <v>3</v>
      </c>
      <c r="E187" t="s">
        <v>14</v>
      </c>
      <c r="F187" t="s">
        <v>106</v>
      </c>
      <c r="G187">
        <v>5</v>
      </c>
      <c r="H187">
        <f>B187</f>
        <v>4.0000000000000002E-4</v>
      </c>
      <c r="I187">
        <f>1/5000</f>
        <v>2.0000000000000001E-4</v>
      </c>
      <c r="J187">
        <f>1/1500</f>
        <v>6.6666666666666664E-4</v>
      </c>
    </row>
    <row r="188" spans="1:11" ht="16" ns3:dyDescent="0.2">
      <c r="A188" s="8" t="s">
        <v>105</v>
      </c>
      <c r="B188">
        <v>0.33</v>
      </c>
      <c r="C188" t="s">
        <v>15</v>
      </c>
      <c r="D188" t="s">
        <v>3</v>
      </c>
      <c r="E188" t="s">
        <v>14</v>
      </c>
      <c r="F188" t="s">
        <v>104</v>
      </c>
      <c r="G188">
        <v>5</v>
      </c>
      <c r="H188">
        <f>B188</f>
        <v>0.33</v>
      </c>
      <c r="I188">
        <v>0.25</v>
      </c>
      <c r="J188">
        <v>0.4</v>
      </c>
      <c r="K188" t="s">
        <v>115</v>
      </c>
    </row>
    <row r="189" spans="1:11" ht="16" ns3:dyDescent="0.2">
      <c r="A189" s="8" t="s">
        <v>105</v>
      </c>
      <c r="B189">
        <v>1</v>
      </c>
      <c r="C189" t="s">
        <v>15</v>
      </c>
      <c r="D189" t="s">
        <v>3</v>
      </c>
      <c r="E189" t="s">
        <v>14</v>
      </c>
      <c r="F189" t="s">
        <v>104</v>
      </c>
      <c r="G189">
        <v>0</v>
      </c>
    </row>
    <row r="190" spans="1:11" ns3:dyDescent="0.2">
      <c r="G190" s="1"/>
      <c r="H190" s="1"/>
      <c r="I190" s="1"/>
      <c r="J190" s="1"/>
      <c r="K190" s="1"/>
    </row>
    <row r="191" spans="1:11" ht="16" ns3:dyDescent="0.2">
      <c r="A191" s="6"/>
    </row>
    <row r="192" spans="1:11" ht="16" ns3:dyDescent="0.2">
      <c r="A192" s="6"/>
    </row>
    <row r="193" spans="1:7" ht="16" ns3:dyDescent="0.2">
      <c r="A193" s="6"/>
    </row>
    <row r="194" spans="1:7" ht="16" ns3:dyDescent="0.2">
      <c r="A194" s="6"/>
    </row>
    <row r="195" spans="1:7" ht="16" ns3:dyDescent="0.2">
      <c r="A195" s="6"/>
    </row>
    <row r="196" spans="1:7" ht="16" ns3:dyDescent="0.2">
      <c r="A196" s="6"/>
    </row>
    <row r="197" spans="1:7" ht="16" ns3:dyDescent="0.2">
      <c r="A197" s="6"/>
    </row>
    <row r="198" spans="1:7" ht="16" ns3:dyDescent="0.2">
      <c r="A198" s="6"/>
    </row>
    <row r="199" spans="1:7" ht="16" ns3:dyDescent="0.2">
      <c r="A199" s="6"/>
      <c r="B199" s="6"/>
      <c r="G199" s="6"/>
    </row>
    <row r="200" spans="1:7" ht="16" ns3:dyDescent="0.2">
      <c r="A200" s="6"/>
    </row>
    <row r="201" spans="1:7" ht="16" ns3:dyDescent="0.2">
      <c r="A201" s="4"/>
    </row>
    <row r="202" spans="1:7" ht="16" ns3:dyDescent="0.2">
      <c r="A202" s="4"/>
    </row>
    <row r="203" spans="1:7" ht="16" ns3:dyDescent="0.2">
      <c r="A203" s="5"/>
    </row>
  </sheetData>
  <autoFilter ref="A1:N203" ns2:uid="{E327F433-64CA-4C75-A0BC-FFEEC2922B0D}"/>
  <pageMargins left="0.7" right="0.7" top="0.75" bottom="0.75" header="0.3" footer="0.3"/>
  <pageSetup paperSize="9" orientation="portrait" ns4: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Battery - NMC</vt:lpstr>
      <vt:lpstr>Battery - stationary</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Romain Sacchi</cp:lastModifiedBy>
  <dcterms:created xsi:type="dcterms:W3CDTF">2021-12-06T10:43:53Z</dcterms:created>
  <dcterms:modified xsi:type="dcterms:W3CDTF">2025-08-06T08:30:31Z</dcterms:modified>
</cp:coreProperties>
</file>