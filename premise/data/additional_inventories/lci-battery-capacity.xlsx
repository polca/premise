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<sst xmlns="http://schemas.openxmlformats.org/spreadsheetml/2006/main" count="1378" uniqueCount="116">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</sst>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79"/>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 xml:space="preserve">market for battery cell, lithium-ion, lfp, including end-of-life treatment</t>
        </is>
      </c>
      <c r="B13" s="7">
        <f>6.249999999999999</f>
        <v>6.249999999999999</v>
      </c>
      <c r="C13" t="s">
        <v>7</v>
      </c>
      <c r="D13" t="inlineStr">
        <is>
          <t>GLO</t>
        </is>
      </c>
      <c r="E13" t="s">
        <v>14</v>
      </c>
      <c r="F13" t="inlineStr">
        <is>
          <t xml:space="preserve">battery cell, Li-ion, LFP, including end-of-life treatment</t>
        </is>
      </c>
      <c r="G13">
        <v>5</v>
      </c>
      <c r="H13" s="7">
        <f>6.249999999999999</f>
        <v>6.249999999999999</v>
      </c>
      <c r="I13" s="7">
        <f>5.263157894736842</f>
        <v>5.263157894736842</v>
      </c>
      <c r="J13" s="7">
        <f>7.1428571428571415</f>
        <v>7.1428571428571415</v>
      </c>
    </row>
    <row r="14" spans="1:14" ns3:dyDescent="0.2">
      <c r="A14" t="inlineStr">
        <is>
          <t xml:space="preserve">battery pack component production and end-of-life treatment, lithium-ion, lfp, without cells and controls</t>
        </is>
      </c>
      <c r="B14" s="7">
        <f>1</f>
        <v>1</v>
      </c>
      <c r="C14" t="inlineStr">
        <is>
          <t xml:space="preserve">kilowatt hour</t>
        </is>
      </c>
      <c r="D14" t="inlineStr">
        <is>
          <t>GLO</t>
        </is>
      </c>
      <c r="E14" t="s">
        <v>14</v>
      </c>
      <c r="F14" t="inlineStr">
        <is>
          <t xml:space="preserve">battery pack component provision, Li-ion, LFP, without cells and controls</t>
        </is>
      </c>
      <c r="G14">
        <v>0</v>
      </c>
      <c r="H14" s="7">
        <f>1</f>
        <v>1</v>
      </c>
      <c r="I14" s="7">
        <f>1</f>
        <v>1</v>
      </c>
      <c r="J14" s="7">
        <f>1</f>
        <v>1</v>
      </c>
      <c r="K14" t="inlineStr">
        <is>
          <t/>
        </is>
      </c>
      <c r="M14" s="7"/>
      <c r="N14" s="7"/>
    </row>
    <row r="15">
      <c r="A15" t="inlineStr">
        <is>
          <t xml:space="preserve">battery monitoring and central control system production, lithium-ion, lfp</t>
        </is>
      </c>
      <c r="B15">
        <v>0.042349911912183215</v>
      </c>
      <c r="C15" t="inlineStr">
        <is>
          <t>unit</t>
        </is>
      </c>
      <c r="D15" t="inlineStr">
        <is>
          <t>GLO</t>
        </is>
      </c>
      <c r="E15" t="inlineStr">
        <is>
          <t>technosphere</t>
        </is>
      </c>
      <c r="F15" t="inlineStr">
        <is>
          <t xml:space="preserve">battery monitoring and central control system, Li-ion, LFP</t>
        </is>
      </c>
    </row>
    <row r="16" spans="1:14" ht="16" ns3:dyDescent="0.2">
      <c r="A16" s="2" t="s">
        <v>0</v>
      </c>
      <c r="B16" s="2" t="s">
        <v>19</v>
      </c>
    </row>
    <row r="17" spans="1:14" ns3:dyDescent="0.2">
      <c r="A17" t="s">
        <v>1</v>
      </c>
      <c r="B1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 xml:space="preserve">market for battery cell, lithium-ion, nmc111, including end-of-life treatment</t>
        </is>
      </c>
      <c r="B26" s="3">
        <f>5.555555555555555</f>
        <v>5.555555555555555</v>
      </c>
      <c r="C26" t="s">
        <v>7</v>
      </c>
      <c r="D26" t="inlineStr">
        <is>
          <t>GLO</t>
        </is>
      </c>
      <c r="E26" t="s">
        <v>14</v>
      </c>
      <c r="F26" t="inlineStr">
        <is>
          <t xml:space="preserve">battery cell, Li-ion, NMC111, including end-of-life treatment</t>
        </is>
      </c>
      <c r="G26">
        <v>5</v>
      </c>
      <c r="H26" s="7">
        <f>5.555555555555555</f>
        <v>5.555555555555555</v>
      </c>
      <c r="I26" s="7">
        <f>5.263157894736842</f>
        <v>5.263157894736842</v>
      </c>
      <c r="J26" s="7">
        <f>7.142857142857141</f>
        <v>7.142857142857141</v>
      </c>
    </row>
    <row r="27" spans="1:14" ns3:dyDescent="0.2">
      <c r="A27" t="inlineStr">
        <is>
          <t xml:space="preserve">battery pack component production and end-of-life treatment, lithium-ion, nmc111, without cells and controls</t>
        </is>
      </c>
      <c r="B27" s="3">
        <f>1</f>
        <v>1</v>
      </c>
      <c r="C27" t="inlineStr">
        <is>
          <t xml:space="preserve">kilowatt hour</t>
        </is>
      </c>
      <c r="D27" t="inlineStr">
        <is>
          <t>GLO</t>
        </is>
      </c>
      <c r="E27" t="s">
        <v>14</v>
      </c>
      <c r="F27" t="inlineStr">
        <is>
          <t xml:space="preserve">battery pack component provision, Li-ion, NMC111, without cells and controls</t>
        </is>
      </c>
      <c r="G27">
        <v>0</v>
      </c>
      <c r="H27" s="7">
        <f>1</f>
        <v>1</v>
      </c>
      <c r="I27" s="7">
        <f>1</f>
        <v>1</v>
      </c>
      <c r="J27" s="7">
        <f>1</f>
        <v>1</v>
      </c>
      <c r="K27" t="inlineStr">
        <is>
          <t/>
        </is>
      </c>
      <c r="M27" s="7"/>
      <c r="N27" s="7"/>
    </row>
    <row r="28">
      <c r="A28" t="inlineStr">
        <is>
          <t xml:space="preserve">battery monitoring and central control system production, lithium-ion, nmc111</t>
        </is>
      </c>
      <c r="B28">
        <v>0.046385201265388296</v>
      </c>
      <c r="C28" t="inlineStr">
        <is>
          <t>unit</t>
        </is>
      </c>
      <c r="D28" t="inlineStr">
        <is>
          <t>GLO</t>
        </is>
      </c>
      <c r="E28" t="inlineStr">
        <is>
          <t>technosphere</t>
        </is>
      </c>
      <c r="F28" t="inlineStr">
        <is>
          <t xml:space="preserve">battery monitoring and central control system, Li-ion, NMC111</t>
        </is>
      </c>
    </row>
    <row r="29" spans="1:14" ht="16" ns3:dyDescent="0.2">
      <c r="A29" s="2" t="s">
        <v>0</v>
      </c>
      <c r="B29" s="2" t="s">
        <v>110</v>
      </c>
    </row>
    <row r="30" spans="1:14" ns3:dyDescent="0.2">
      <c r="A30" t="s">
        <v>1</v>
      </c>
      <c r="B30"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 xml:space="preserve">market for battery cell, lithium-ion, nmc532, including end-of-life treatment</t>
        </is>
      </c>
      <c r="B39" s="3">
        <f>4.999999999999999</f>
        <v>4.999999999999999</v>
      </c>
      <c r="C39" t="s">
        <v>7</v>
      </c>
      <c r="D39" t="inlineStr">
        <is>
          <t>GLO</t>
        </is>
      </c>
      <c r="E39" t="s">
        <v>14</v>
      </c>
      <c r="F39" t="inlineStr">
        <is>
          <t xml:space="preserve">battery cell, Li-ion, NMC532, including end-of-life treatment</t>
        </is>
      </c>
      <c r="G39">
        <v>5</v>
      </c>
      <c r="H39" s="7">
        <f>4.999999999999999</f>
        <v>4.999999999999999</v>
      </c>
      <c r="I39" s="3">
        <f>4.545454545454544</f>
        <v>4.545454545454544</v>
      </c>
      <c r="J39" s="3">
        <f>5.882352941176469</f>
        <v>5.882352941176469</v>
      </c>
    </row>
    <row r="40" spans="1:14" ns3:dyDescent="0.2">
      <c r="A40" t="inlineStr">
        <is>
          <t xml:space="preserve">battery pack component production and end-of-life treatment, lithium-ion, nmc532, without cells and controls</t>
        </is>
      </c>
      <c r="B40" s="3">
        <f>1</f>
        <v>1</v>
      </c>
      <c r="C40" t="inlineStr">
        <is>
          <t xml:space="preserve">kilowatt hour</t>
        </is>
      </c>
      <c r="D40" t="inlineStr">
        <is>
          <t>GLO</t>
        </is>
      </c>
      <c r="E40" t="s">
        <v>14</v>
      </c>
      <c r="F40" t="inlineStr">
        <is>
          <t xml:space="preserve">battery pack component provision, Li-ion, NMC532, without cells and controls</t>
        </is>
      </c>
      <c r="G40">
        <v>0</v>
      </c>
      <c r="H40" s="7">
        <f>1</f>
        <v>1</v>
      </c>
      <c r="I40" s="3">
        <f>1</f>
        <v>1</v>
      </c>
      <c r="J40" s="3">
        <f>1</f>
        <v>1</v>
      </c>
      <c r="K40" t="inlineStr">
        <is>
          <t/>
        </is>
      </c>
      <c r="M40" s="3"/>
      <c r="N40" s="3"/>
    </row>
    <row r="41">
      <c r="A41" t="inlineStr">
        <is>
          <t xml:space="preserve">battery monitoring and central control system production, lithium-ion, nmc532</t>
        </is>
      </c>
      <c r="B41">
        <v>0.04628343978524484</v>
      </c>
      <c r="C41" t="inlineStr">
        <is>
          <t>unit</t>
        </is>
      </c>
      <c r="D41" t="inlineStr">
        <is>
          <t>GLO</t>
        </is>
      </c>
      <c r="E41" t="inlineStr">
        <is>
          <t>technosphere</t>
        </is>
      </c>
      <c r="F41" t="inlineStr">
        <is>
          <t xml:space="preserve">battery monitoring and central control system, Li-ion, NMC532</t>
        </is>
      </c>
    </row>
    <row r="42" spans="1:14" ht="16" ns3:dyDescent="0.2">
      <c r="A42" s="2" t="s">
        <v>0</v>
      </c>
      <c r="B42" s="2" t="s">
        <v>22</v>
      </c>
    </row>
    <row r="43" spans="1:14" ns3:dyDescent="0.2">
      <c r="A43" t="s">
        <v>1</v>
      </c>
      <c r="B43"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 xml:space="preserve">market for battery cell, lithium-ion, nmc622, including end-of-life treatment</t>
        </is>
      </c>
      <c r="B52" s="3">
        <f>4.166666666666667</f>
        <v>4.166666666666667</v>
      </c>
      <c r="C52" t="s">
        <v>7</v>
      </c>
      <c r="D52" t="inlineStr">
        <is>
          <t>GLO</t>
        </is>
      </c>
      <c r="E52" t="s">
        <v>14</v>
      </c>
      <c r="F52" t="inlineStr">
        <is>
          <t xml:space="preserve">battery cell, Li-ion, NMC622, including end-of-life treatment</t>
        </is>
      </c>
      <c r="G52">
        <v>5</v>
      </c>
      <c r="H52" s="7">
        <f>4.166666666666667</f>
        <v>4.166666666666667</v>
      </c>
      <c r="I52" s="3">
        <f>3.571428571428571</f>
        <v>3.571428571428571</v>
      </c>
      <c r="J52" s="3">
        <f>5.000000000000001</f>
        <v>5.000000000000001</v>
      </c>
    </row>
    <row r="53" spans="1:14" ns3:dyDescent="0.2">
      <c r="A53" t="inlineStr">
        <is>
          <t xml:space="preserve">battery pack component production and end-of-life treatment, lithium-ion, nmc622, without cells and controls</t>
        </is>
      </c>
      <c r="B53" s="3">
        <f>1</f>
        <v>1</v>
      </c>
      <c r="C53" t="inlineStr">
        <is>
          <t xml:space="preserve">kilowatt hour</t>
        </is>
      </c>
      <c r="D53" t="inlineStr">
        <is>
          <t>GLO</t>
        </is>
      </c>
      <c r="E53" t="s">
        <v>14</v>
      </c>
      <c r="F53" t="inlineStr">
        <is>
          <t xml:space="preserve">battery pack component provision, Li-ion, NMC622, without cells and controls</t>
        </is>
      </c>
      <c r="G53">
        <v>0</v>
      </c>
      <c r="H53" s="7">
        <f>1</f>
        <v>1</v>
      </c>
      <c r="I53" s="3">
        <f>1</f>
        <v>1</v>
      </c>
      <c r="J53" s="3">
        <f>1</f>
        <v>1</v>
      </c>
      <c r="K53" t="inlineStr">
        <is>
          <t/>
        </is>
      </c>
      <c r="M53" s="3"/>
      <c r="N53" s="3"/>
    </row>
    <row r="54">
      <c r="A54" t="inlineStr">
        <is>
          <t xml:space="preserve">battery monitoring and central control system production, lithium-ion, nmc622</t>
        </is>
      </c>
      <c r="B54">
        <v>0.0385695331543707</v>
      </c>
      <c r="C54" t="inlineStr">
        <is>
          <t>unit</t>
        </is>
      </c>
      <c r="D54" t="inlineStr">
        <is>
          <t>GLO</t>
        </is>
      </c>
      <c r="E54" t="inlineStr">
        <is>
          <t>technosphere</t>
        </is>
      </c>
      <c r="F54" t="inlineStr">
        <is>
          <t xml:space="preserve">battery monitoring and central control system, Li-ion, NMC622</t>
        </is>
      </c>
    </row>
    <row r="55" spans="1:14" ht="16" ns3:dyDescent="0.2">
      <c r="A55" s="2" t="s">
        <v>0</v>
      </c>
      <c r="B55" s="2" t="s">
        <v>23</v>
      </c>
    </row>
    <row r="56" spans="1:14" ns3:dyDescent="0.2">
      <c r="A56" t="s">
        <v>1</v>
      </c>
      <c r="B5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 xml:space="preserve">market for battery cell, lithium-ion, nmc811, including end-of-life treatment</t>
        </is>
      </c>
      <c r="B65" s="3">
        <f>3.571428571428571</f>
        <v>3.571428571428571</v>
      </c>
      <c r="C65" t="s">
        <v>7</v>
      </c>
      <c r="D65" t="inlineStr">
        <is>
          <t>GLO</t>
        </is>
      </c>
      <c r="E65" t="s">
        <v>14</v>
      </c>
      <c r="F65" t="inlineStr">
        <is>
          <t xml:space="preserve">battery cell, Li-ion, NMC811, including end-of-life treatment</t>
        </is>
      </c>
      <c r="G65">
        <v>5</v>
      </c>
      <c r="H65" s="7">
        <f>3.571428571428571</f>
        <v>3.571428571428571</v>
      </c>
      <c r="I65" s="3">
        <f>2.9411764705882355</f>
        <v>2.9411764705882355</v>
      </c>
      <c r="J65" s="3">
        <f>4.166666666666666</f>
        <v>4.166666666666666</v>
      </c>
    </row>
    <row r="66" spans="1:14" ns3:dyDescent="0.2">
      <c r="A66" t="inlineStr">
        <is>
          <t xml:space="preserve">battery pack component production and end-of-life treatment, lithium-ion, nmc811, without cells and controls</t>
        </is>
      </c>
      <c r="B66" s="3">
        <f>1</f>
        <v>1</v>
      </c>
      <c r="C66" t="inlineStr">
        <is>
          <t xml:space="preserve">kilowatt hour</t>
        </is>
      </c>
      <c r="D66" t="inlineStr">
        <is>
          <t>GLO</t>
        </is>
      </c>
      <c r="E66" t="s">
        <v>14</v>
      </c>
      <c r="F66" t="inlineStr">
        <is>
          <t xml:space="preserve">battery pack component provision, Li-ion, NMC811, without cells and controls</t>
        </is>
      </c>
      <c r="G66">
        <v>0</v>
      </c>
      <c r="H66" s="7">
        <f>1</f>
        <v>1</v>
      </c>
      <c r="I66" s="3">
        <f>1</f>
        <v>1</v>
      </c>
      <c r="J66" s="3">
        <f>1</f>
        <v>1</v>
      </c>
      <c r="K66" t="inlineStr">
        <is>
          <t/>
        </is>
      </c>
      <c r="M66" s="3"/>
      <c r="N66" s="3"/>
    </row>
    <row r="67">
      <c r="A67" t="inlineStr">
        <is>
          <t xml:space="preserve">battery monitoring and central control system production, lithium-ion, nmc811</t>
        </is>
      </c>
      <c r="B67">
        <v>0.03178275848917479</v>
      </c>
      <c r="C67" t="inlineStr">
        <is>
          <t>unit</t>
        </is>
      </c>
      <c r="D67" t="inlineStr">
        <is>
          <t>GLO</t>
        </is>
      </c>
      <c r="E67" t="inlineStr">
        <is>
          <t>technosphere</t>
        </is>
      </c>
      <c r="F67" t="inlineStr">
        <is>
          <t xml:space="preserve">battery monitoring and central control system, Li-ion, NMC811</t>
        </is>
      </c>
    </row>
    <row r="68" spans="1:14" ht="16" ns3:dyDescent="0.2">
      <c r="A68" s="2" t="s">
        <v>0</v>
      </c>
      <c r="B68" s="2" t="s">
        <v>62</v>
      </c>
    </row>
    <row r="69" spans="1:14" ns3:dyDescent="0.2">
      <c r="A69" t="s">
        <v>1</v>
      </c>
      <c r="B69"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 xml:space="preserve">market for battery cell, lithium-ion, nmc955, including end-of-life treatment</t>
        </is>
      </c>
      <c r="B78" s="3">
        <f>2.941176470588235</f>
        <v>2.941176470588235</v>
      </c>
      <c r="C78" t="s">
        <v>7</v>
      </c>
      <c r="D78" t="inlineStr">
        <is>
          <t>GLO</t>
        </is>
      </c>
      <c r="E78" t="s">
        <v>14</v>
      </c>
      <c r="F78" t="inlineStr">
        <is>
          <t xml:space="preserve">battery cell, Li-ion, NMC955, including end-of-life treatment</t>
        </is>
      </c>
      <c r="G78">
        <v>5</v>
      </c>
      <c r="H78" s="7">
        <f>2.941176470588235</f>
        <v>2.941176470588235</v>
      </c>
      <c r="I78" s="3">
        <f>2.6315789473684212</f>
        <v>2.6315789473684212</v>
      </c>
      <c r="J78" s="3">
        <f>3.333333333333334</f>
        <v>3.333333333333334</v>
      </c>
    </row>
    <row r="79" spans="1:14" ns3:dyDescent="0.2">
      <c r="A79" t="inlineStr">
        <is>
          <t xml:space="preserve">battery pack component production and end-of-life treatment, lithium-ion, nmc955, without cells and controls</t>
        </is>
      </c>
      <c r="B79" s="3">
        <f>1</f>
        <v>1</v>
      </c>
      <c r="C79" t="inlineStr">
        <is>
          <t xml:space="preserve">kilowatt hour</t>
        </is>
      </c>
      <c r="D79" t="inlineStr">
        <is>
          <t>GLO</t>
        </is>
      </c>
      <c r="E79" t="s">
        <v>14</v>
      </c>
      <c r="F79" t="inlineStr">
        <is>
          <t xml:space="preserve">battery pack component provision, Li-ion, NMC955, without cells and controls</t>
        </is>
      </c>
      <c r="G79">
        <v>0</v>
      </c>
      <c r="H79" s="7">
        <f>1</f>
        <v>1</v>
      </c>
      <c r="I79" s="3">
        <f>1</f>
        <v>1</v>
      </c>
      <c r="J79" s="3">
        <f>1</f>
        <v>1</v>
      </c>
      <c r="K79" t="inlineStr">
        <is>
          <t/>
        </is>
      </c>
      <c r="M79" s="3"/>
      <c r="N79" s="3"/>
    </row>
    <row r="80">
      <c r="A80" t="inlineStr">
        <is>
          <t xml:space="preserve">battery monitoring and central control system production, lithium-ion, nmc955</t>
        </is>
      </c>
      <c r="B80">
        <v>0.027225552814849903</v>
      </c>
      <c r="C80" t="inlineStr">
        <is>
          <t>unit</t>
        </is>
      </c>
      <c r="D80" t="inlineStr">
        <is>
          <t>GLO</t>
        </is>
      </c>
      <c r="E80" t="inlineStr">
        <is>
          <t>technosphere</t>
        </is>
      </c>
      <c r="F80" t="inlineStr">
        <is>
          <t xml:space="preserve">battery monitoring and central control system, Li-ion, NMC955</t>
        </is>
      </c>
    </row>
    <row r="81" spans="1:14" ht="16" ns3:dyDescent="0.2">
      <c r="A81" s="2" t="s">
        <v>0</v>
      </c>
      <c r="B81" s="2" t="s">
        <v>27</v>
      </c>
    </row>
    <row r="82" spans="1:14" ns3:dyDescent="0.2">
      <c r="A82" t="s">
        <v>1</v>
      </c>
      <c r="B82"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 xml:space="preserve">market for battery cell, lithium-ion, nca, including end-of-life treatment</t>
        </is>
      </c>
      <c r="B91" s="3">
        <f>3.571428571428571</f>
        <v>3.571428571428571</v>
      </c>
      <c r="C91" t="s">
        <v>7</v>
      </c>
      <c r="D91" t="inlineStr">
        <is>
          <t>GLO</t>
        </is>
      </c>
      <c r="E91" t="s">
        <v>14</v>
      </c>
      <c r="F91" t="inlineStr">
        <is>
          <t xml:space="preserve">battery cell, Li-ion, NCA, including end-of-life treatment</t>
        </is>
      </c>
      <c r="G91">
        <v>5</v>
      </c>
      <c r="H91" s="7">
        <f>3.571428571428571</f>
        <v>3.571428571428571</v>
      </c>
      <c r="I91" s="3">
        <f>2.9411764705882355</f>
        <v>2.9411764705882355</v>
      </c>
      <c r="J91" s="3">
        <f>4.166666666666667</f>
        <v>4.166666666666667</v>
      </c>
    </row>
    <row r="92" spans="1:14" ns3:dyDescent="0.2">
      <c r="A92" t="inlineStr">
        <is>
          <t xml:space="preserve">battery pack component production and end-of-life treatment, lithium-ion, nca, without cells and controls</t>
        </is>
      </c>
      <c r="B92" s="3">
        <f>1</f>
        <v>1</v>
      </c>
      <c r="C92" t="inlineStr">
        <is>
          <t xml:space="preserve">kilowatt hour</t>
        </is>
      </c>
      <c r="D92" t="inlineStr">
        <is>
          <t>GLO</t>
        </is>
      </c>
      <c r="E92" t="s">
        <v>14</v>
      </c>
      <c r="F92" t="inlineStr">
        <is>
          <t xml:space="preserve">battery pack component provision, Li-ion, NCA, without cells and controls</t>
        </is>
      </c>
      <c r="G92">
        <v>0</v>
      </c>
      <c r="H92" s="7">
        <f>1</f>
        <v>1</v>
      </c>
      <c r="I92" s="3">
        <f>1</f>
        <v>1</v>
      </c>
      <c r="J92" s="3">
        <f>1</f>
        <v>1</v>
      </c>
      <c r="K92" t="inlineStr">
        <is>
          <t/>
        </is>
      </c>
      <c r="M92" s="3"/>
      <c r="N92" s="3"/>
    </row>
    <row r="93">
      <c r="A93" t="inlineStr">
        <is>
          <t xml:space="preserve">battery monitoring and central control system production, lithium-ion, nca</t>
        </is>
      </c>
      <c r="B93">
        <v>0.03402656794425087</v>
      </c>
      <c r="C93" t="inlineStr">
        <is>
          <t>unit</t>
        </is>
      </c>
      <c r="D93" t="inlineStr">
        <is>
          <t>GLO</t>
        </is>
      </c>
      <c r="E93" t="inlineStr">
        <is>
          <t>technosphere</t>
        </is>
      </c>
      <c r="F93" t="inlineStr">
        <is>
          <t xml:space="preserve">battery monitoring and central control system, Li-ion, NCA</t>
        </is>
      </c>
    </row>
    <row r="94" spans="1:14" ht="16" ns3:dyDescent="0.2">
      <c r="A94" s="2" t="s">
        <v>0</v>
      </c>
      <c r="B94" s="2" t="s">
        <v>30</v>
      </c>
    </row>
    <row r="95" spans="1:14" ns3:dyDescent="0.2">
      <c r="A95" t="s">
        <v>1</v>
      </c>
      <c r="B95"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 xml:space="preserve">market for battery cell, lithium-ion, lto, including end-of-life treatment</t>
        </is>
      </c>
      <c r="B104" s="3">
        <f>16.558558534285197</f>
        <v>16.558558534285197</v>
      </c>
      <c r="C104" t="s">
        <v>7</v>
      </c>
      <c r="D104" t="inlineStr">
        <is>
          <t>GLO</t>
        </is>
      </c>
      <c r="E104" t="s">
        <v>14</v>
      </c>
      <c r="F104" t="inlineStr">
        <is>
          <t xml:space="preserve">battery cell, Li-ion, LTO, including end-of-life treatment</t>
        </is>
      </c>
      <c r="G104">
        <v>5</v>
      </c>
      <c r="H104" s="7">
        <f>16.558558534285197</f>
        <v>16.558558534285197</v>
      </c>
      <c r="I104" s="7">
        <f>12.4189189007139</f>
        <v>12.4189189007139</v>
      </c>
      <c r="J104" s="7">
        <f>20.698198167856496</f>
        <v>20.698198167856496</v>
      </c>
    </row>
    <row r="105" spans="1:14" ns3:dyDescent="0.2">
      <c r="A105" t="inlineStr">
        <is>
          <t xml:space="preserve">battery pack component production and end-of-life treatment, lithium-ion, lto, without cells and controls</t>
        </is>
      </c>
      <c r="B105" s="3">
        <f>1</f>
        <v>1</v>
      </c>
      <c r="C105" t="inlineStr">
        <is>
          <t xml:space="preserve">kilowatt hour</t>
        </is>
      </c>
      <c r="D105" t="inlineStr">
        <is>
          <t>GLO</t>
        </is>
      </c>
      <c r="E105" t="s">
        <v>14</v>
      </c>
      <c r="F105" t="inlineStr">
        <is>
          <t xml:space="preserve">battery pack component provision, Li-ion, LTO, without cells and controls</t>
        </is>
      </c>
      <c r="G105">
        <v>0</v>
      </c>
      <c r="H105" s="7">
        <f>1</f>
        <v>1</v>
      </c>
      <c r="I105" s="7">
        <f>1</f>
        <v>1</v>
      </c>
      <c r="J105" s="7">
        <f>1</f>
        <v>1</v>
      </c>
      <c r="K105" t="inlineStr">
        <is>
          <t/>
        </is>
      </c>
      <c r="M105" s="7"/>
      <c r="N105" s="7"/>
    </row>
    <row r="106">
      <c r="A106" t="inlineStr">
        <is>
          <t xml:space="preserve">battery monitoring and central control system production, lithium-ion, lto</t>
        </is>
      </c>
      <c r="B106">
        <v>0.1532774093704082</v>
      </c>
      <c r="C106" t="inlineStr">
        <is>
          <t>unit</t>
        </is>
      </c>
      <c r="D106" t="inlineStr">
        <is>
          <t>GLO</t>
        </is>
      </c>
      <c r="E106" t="inlineStr">
        <is>
          <t>technosphere</t>
        </is>
      </c>
      <c r="F106" t="inlineStr">
        <is>
          <t xml:space="preserve">battery monitoring and central control system, Li-ion, LTO</t>
        </is>
      </c>
    </row>
    <row r="107" spans="1:14" ht="16" ns3:dyDescent="0.2">
      <c r="A107" s="2" t="s">
        <v>0</v>
      </c>
      <c r="B107" s="2" t="s">
        <v>55</v>
      </c>
    </row>
    <row r="108" spans="1:14" ns3:dyDescent="0.2">
      <c r="A108" t="s">
        <v>1</v>
      </c>
      <c r="B108"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 xml:space="preserve">market for battery cell, lithium-ion, limn2o4, including end-of-life treatment</t>
        </is>
      </c>
      <c r="B117" s="3">
        <f>7.692307692307694</f>
        <v>7.692307692307694</v>
      </c>
      <c r="C117" t="s">
        <v>7</v>
      </c>
      <c r="D117" t="inlineStr">
        <is>
          <t>GLO</t>
        </is>
      </c>
      <c r="E117" t="s">
        <v>14</v>
      </c>
      <c r="F117" t="inlineStr">
        <is>
          <t xml:space="preserve">battery cell, Li-ion, LiMn2O4, including end-of-life treatment</t>
        </is>
      </c>
      <c r="G117">
        <v>5</v>
      </c>
      <c r="H117" s="7">
        <f>7.692307692307695</f>
        <v>7.692307692307695</v>
      </c>
      <c r="I117" s="7">
        <f>5.76923076923077</f>
        <v>5.76923076923077</v>
      </c>
      <c r="J117" s="7">
        <f>9.615384615384617</f>
        <v>9.615384615384617</v>
      </c>
    </row>
    <row r="118" spans="1:14" ns3:dyDescent="0.2">
      <c r="A118" t="inlineStr">
        <is>
          <t xml:space="preserve">battery pack component production and end-of-life treatment, lithium-ion, limn2o4, without cells and controls</t>
        </is>
      </c>
      <c r="B118" s="3">
        <f>1</f>
        <v>1</v>
      </c>
      <c r="C118" t="inlineStr">
        <is>
          <t xml:space="preserve">kilowatt hour</t>
        </is>
      </c>
      <c r="D118" t="inlineStr">
        <is>
          <t>GLO</t>
        </is>
      </c>
      <c r="E118" t="s">
        <v>14</v>
      </c>
      <c r="F118" t="inlineStr">
        <is>
          <t xml:space="preserve">battery pack component provision, Li-ion, LiMn2O4, without cells and controls</t>
        </is>
      </c>
      <c r="G118">
        <v>0</v>
      </c>
      <c r="H118" s="7">
        <f>1</f>
        <v>1</v>
      </c>
      <c r="I118" s="7">
        <f>1</f>
        <v>1</v>
      </c>
      <c r="J118" s="7">
        <f>1</f>
        <v>1</v>
      </c>
      <c r="K118" t="inlineStr">
        <is>
          <t/>
        </is>
      </c>
      <c r="M118" s="7"/>
      <c r="N118" s="7"/>
    </row>
    <row r="119">
      <c r="A119" t="inlineStr">
        <is>
          <t xml:space="preserve">battery monitoring and central control system production, lithium-ion, limn2o4</t>
        </is>
      </c>
      <c r="B119">
        <v>0.05258978390857793</v>
      </c>
      <c r="C119" t="inlineStr">
        <is>
          <t>unit</t>
        </is>
      </c>
      <c r="D119" t="inlineStr">
        <is>
          <t>GLO</t>
        </is>
      </c>
      <c r="E119" t="inlineStr">
        <is>
          <t>technosphere</t>
        </is>
      </c>
      <c r="F119" t="inlineStr">
        <is>
          <t xml:space="preserve">battery monitoring and central control system, Li-ion, LiMn2O4</t>
        </is>
      </c>
    </row>
    <row r="120" spans="1:14" ht="16" ns3:dyDescent="0.2">
      <c r="A120" s="2" t="s">
        <v>0</v>
      </c>
      <c r="B120" s="2" t="s">
        <v>56</v>
      </c>
    </row>
    <row r="121" spans="1:14" ns3:dyDescent="0.2">
      <c r="A121" t="s">
        <v>1</v>
      </c>
      <c r="B121"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inlineStr">
        <is>
          <t xml:space="preserve">market for battery cell, lithium-sulfur, including end-of-life treatment</t>
        </is>
      </c>
      <c r="B130" s="3">
        <f>6.666666666666667</f>
        <v>6.666666666666667</v>
      </c>
      <c r="C130" t="s">
        <v>7</v>
      </c>
      <c r="D130" t="inlineStr">
        <is>
          <t>GLO</t>
        </is>
      </c>
      <c r="E130" t="s">
        <v>14</v>
      </c>
      <c r="F130" t="inlineStr">
        <is>
          <t xml:space="preserve">battery cell, Li-sulfur, Li-S, including end-of-life treatment</t>
        </is>
      </c>
      <c r="G130">
        <v>5</v>
      </c>
      <c r="H130" s="7">
        <f>6.666666666666667</f>
        <v>6.666666666666667</v>
      </c>
      <c r="I130" s="3">
        <f>5.555555555555555</f>
        <v>5.555555555555555</v>
      </c>
      <c r="J130" s="3">
        <f>8.333333333333334</f>
        <v>8.333333333333334</v>
      </c>
    </row>
    <row r="131" spans="1:14" ns3:dyDescent="0.2">
      <c r="A131" t="inlineStr">
        <is>
          <t xml:space="preserve">battery pack component production and end-of-life treatment, lithium-sulfur, without cells and controls</t>
        </is>
      </c>
      <c r="B131" s="3">
        <f>1</f>
        <v>1</v>
      </c>
      <c r="C131" t="inlineStr">
        <is>
          <t xml:space="preserve">kilowatt hour</t>
        </is>
      </c>
      <c r="D131" t="inlineStr">
        <is>
          <t>GLO</t>
        </is>
      </c>
      <c r="E131" t="s">
        <v>14</v>
      </c>
      <c r="F131" t="inlineStr">
        <is>
          <t xml:space="preserve">battery pack component provision, Li-sulfur, Li-S, without cells and controls</t>
        </is>
      </c>
      <c r="G131">
        <v>0</v>
      </c>
      <c r="H131" s="7">
        <f>1</f>
        <v>1</v>
      </c>
      <c r="I131" s="3">
        <f>1</f>
        <v>1</v>
      </c>
      <c r="J131" s="3">
        <f>1</f>
        <v>1</v>
      </c>
      <c r="K131" t="inlineStr">
        <is>
          <t/>
        </is>
      </c>
      <c r="M131" s="3"/>
      <c r="N131" s="3"/>
    </row>
    <row r="132">
      <c r="A132" t="inlineStr">
        <is>
          <t xml:space="preserve">battery control and cooling system production, 16 modules</t>
        </is>
      </c>
      <c r="B132">
        <v>0.0215820670357649</v>
      </c>
      <c r="C132" t="inlineStr">
        <is>
          <t>unit</t>
        </is>
      </c>
      <c r="D132" t="inlineStr">
        <is>
          <t>GLO</t>
        </is>
      </c>
      <c r="E132" t="inlineStr">
        <is>
          <t>technosphere</t>
        </is>
      </c>
      <c r="F132" t="inlineStr">
        <is>
          <t xml:space="preserve">battery control and cooling system, 16 modules</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 xml:space="preserve">market for battery cell, lithium-oxygen, including end-of-life treatment</t>
        </is>
      </c>
      <c r="B143" s="3">
        <f>2.875590551181102</f>
        <v>2.875590551181102</v>
      </c>
      <c r="C143" t="s">
        <v>7</v>
      </c>
      <c r="D143" t="inlineStr">
        <is>
          <t>GLO</t>
        </is>
      </c>
      <c r="E143" t="s">
        <v>14</v>
      </c>
      <c r="F143" t="inlineStr">
        <is>
          <t xml:space="preserve">battery cell, Li-ion, Li-O2, including end-of-life treatment</t>
        </is>
      </c>
      <c r="G143">
        <v>5</v>
      </c>
      <c r="H143" s="7">
        <f>2.875590551181102</f>
        <v>2.875590551181102</v>
      </c>
      <c r="I143" s="7">
        <f>2.1566929133858266</f>
        <v>2.1566929133858266</v>
      </c>
      <c r="J143" s="7">
        <f>3.5944881889763773</f>
        <v>3.5944881889763773</v>
      </c>
    </row>
    <row r="144" spans="1:14" ns3:dyDescent="0.2">
      <c r="A144" t="inlineStr">
        <is>
          <t xml:space="preserve">battery pack component production and end-of-life treatment, lithium-oxygen, without cells and controls</t>
        </is>
      </c>
      <c r="B144" s="3">
        <f>1</f>
        <v>1</v>
      </c>
      <c r="C144" t="inlineStr">
        <is>
          <t xml:space="preserve">kilowatt hour</t>
        </is>
      </c>
      <c r="D144" t="inlineStr">
        <is>
          <t>GLO</t>
        </is>
      </c>
      <c r="E144" t="s">
        <v>14</v>
      </c>
      <c r="F144" t="inlineStr">
        <is>
          <t xml:space="preserve">battery pack component provision, Li-ion, Li-O2, without cells and controls</t>
        </is>
      </c>
      <c r="G144">
        <v>0</v>
      </c>
      <c r="H144" s="7">
        <f>1</f>
        <v>1</v>
      </c>
      <c r="I144" s="7">
        <f>1</f>
        <v>1</v>
      </c>
      <c r="J144" s="7">
        <f>1</f>
        <v>1</v>
      </c>
      <c r="K144" t="inlineStr">
        <is>
          <t/>
        </is>
      </c>
      <c r="M144" s="7"/>
      <c r="N144" s="7"/>
    </row>
    <row r="145">
      <c r="A145" t="inlineStr">
        <is>
          <t xml:space="preserve">battery auxiliaries supply and end-of-life treatment, lithium-oxygen</t>
        </is>
      </c>
      <c r="B145">
        <v>0.015748031496062992</v>
      </c>
      <c r="C145" t="inlineStr">
        <is>
          <t>unit</t>
        </is>
      </c>
      <c r="D145" t="inlineStr">
        <is>
          <t>GLO</t>
        </is>
      </c>
      <c r="E145" t="inlineStr">
        <is>
          <t>technosphere</t>
        </is>
      </c>
      <c r="F145" t="inlineStr">
        <is>
          <t xml:space="preserve">battery auxiliaries supply and end-of-life treatment, lithium-oxygen</t>
        </is>
      </c>
      <c r="L145" t="inlineStr">
        <is>
          <t>Fixed88.07kg auxiliary hardware plus matching dedicated end-of-life.</t>
        </is>
      </c>
    </row>
    <row r="146" spans="1:14" ht="16" ns3:dyDescent="0.2">
      <c r="A146" s="2" t="s">
        <v>0</v>
      </c>
      <c r="B146" s="2" t="s">
        <v>38</v>
      </c>
    </row>
    <row r="147" spans="1:14" ns3:dyDescent="0.2">
      <c r="A147" t="s">
        <v>1</v>
      </c>
      <c r="B14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inlineStr">
        <is>
          <t xml:space="preserve">market for battery cell, sodium-ion, including end-of-life treatment</t>
        </is>
      </c>
      <c r="B156" s="3">
        <f>6.369426751592357</f>
        <v>6.369426751592357</v>
      </c>
      <c r="C156" t="s">
        <v>7</v>
      </c>
      <c r="D156" t="inlineStr">
        <is>
          <t>GLO</t>
        </is>
      </c>
      <c r="E156" t="s">
        <v>14</v>
      </c>
      <c r="F156" t="inlineStr">
        <is>
          <t xml:space="preserve">battery cell, Sodium-ion, SiB, including end-of-life treatment</t>
        </is>
      </c>
      <c r="G156">
        <v>5</v>
      </c>
      <c r="H156" s="7">
        <f>6.369426751592357</f>
        <v>6.369426751592357</v>
      </c>
      <c r="I156" s="3">
        <f>5.555555555555555</f>
        <v>5.555555555555555</v>
      </c>
      <c r="J156" s="3">
        <f>8.333333333333334</f>
        <v>8.333333333333334</v>
      </c>
    </row>
    <row r="157" spans="1:14" ns3:dyDescent="0.2">
      <c r="A157" t="inlineStr">
        <is>
          <t xml:space="preserve">battery pack component production and end-of-life treatment, sodium-ion, without cells and controls</t>
        </is>
      </c>
      <c r="B157" s="3">
        <f>1</f>
        <v>1</v>
      </c>
      <c r="C157" t="inlineStr">
        <is>
          <t xml:space="preserve">kilowatt hour</t>
        </is>
      </c>
      <c r="D157" t="inlineStr">
        <is>
          <t>GLO</t>
        </is>
      </c>
      <c r="E157" t="s">
        <v>14</v>
      </c>
      <c r="F157" t="inlineStr">
        <is>
          <t xml:space="preserve">battery pack component provision, Sodium-ion, SiB, without cells and controls</t>
        </is>
      </c>
      <c r="G157">
        <v>0</v>
      </c>
      <c r="H157" s="7">
        <f>1</f>
        <v>1</v>
      </c>
      <c r="I157" s="3">
        <f>1</f>
        <v>1</v>
      </c>
      <c r="J157" s="3">
        <f>1</f>
        <v>1</v>
      </c>
      <c r="K157" t="inlineStr">
        <is>
          <t/>
        </is>
      </c>
      <c r="M157" s="3"/>
      <c r="N157" s="3"/>
    </row>
    <row r="158">
      <c r="A158" t="inlineStr">
        <is>
          <t xml:space="preserve">battery control and cooling system production, 16 modules</t>
        </is>
      </c>
      <c r="B158">
        <v>0.02121105988781555</v>
      </c>
      <c r="C158" t="inlineStr">
        <is>
          <t>unit</t>
        </is>
      </c>
      <c r="D158" t="inlineStr">
        <is>
          <t>GLO</t>
        </is>
      </c>
      <c r="E158" t="inlineStr">
        <is>
          <t>technosphere</t>
        </is>
      </c>
      <c r="F158" t="inlineStr">
        <is>
          <t xml:space="preserve">battery control and cooling system, 16 modules</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t="inlineStr" s="6">
        <is>
          <t xml:space="preserve">market for battery capacity, all-solid-state battery, polymer</t>
        </is>
      </c>
      <c r="B189">
        <v>0</v>
      </c>
      <c r="C189" t="s">
        <v>15</v>
      </c>
      <c r="D189" t="s">
        <v>3</v>
      </c>
      <c r="E189" t="s">
        <v>14</v>
      </c>
      <c r="F189" t="s">
        <v>106</v>
      </c>
    </row>
    <row r="190" spans="1:11" ht="16" ns3:dyDescent="0.2">
      <c r="A190" t="inlineStr" s="6">
        <is>
          <t xml:space="preserve">market for battery capacity, all-solid-state battery,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t="inlineStr" s="5">
        <is>
          <t xml:space="preserve">market for battery capacity, all-solid-state battery,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t="inlineStr" s="6">
        <is>
          <t xml:space="preserve">market for battery capacity, all-solid-state battery, polymer</t>
        </is>
      </c>
      <c r="B213">
        <v>0</v>
      </c>
      <c r="C213" t="s">
        <v>15</v>
      </c>
      <c r="D213" t="s">
        <v>3</v>
      </c>
      <c r="E213" t="s">
        <v>14</v>
      </c>
      <c r="F213" t="s">
        <v>106</v>
      </c>
    </row>
    <row r="214" spans="1:6" ht="16" ns3:dyDescent="0.2">
      <c r="A214" t="inlineStr" s="6">
        <is>
          <t xml:space="preserve">market for battery capacity, all-solid-state battery,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t="inlineStr" s="5">
        <is>
          <t xml:space="preserve">market for battery capacity, all-solid-state battery,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t="inlineStr" s="6">
        <is>
          <t xml:space="preserve">market for battery capacity, all-solid-state battery, polymer</t>
        </is>
      </c>
      <c r="B237">
        <v>0</v>
      </c>
      <c r="C237" t="s">
        <v>15</v>
      </c>
      <c r="D237" t="s">
        <v>3</v>
      </c>
      <c r="E237" t="s">
        <v>14</v>
      </c>
      <c r="F237" t="s">
        <v>106</v>
      </c>
    </row>
    <row r="238" spans="1:11" ht="16" ns3:dyDescent="0.2">
      <c r="A238" t="inlineStr" s="6">
        <is>
          <t xml:space="preserve">market for battery capacity, all-solid-state battery,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t="inlineStr" s="5">
        <is>
          <t xml:space="preserve">market for battery capacity, all-solid-state battery,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t="inlineStr" s="6">
        <is>
          <t xml:space="preserve">market for battery capacity, all-solid-state battery, polymer</t>
        </is>
      </c>
      <c r="B261">
        <v>0</v>
      </c>
      <c r="C261" t="s">
        <v>15</v>
      </c>
      <c r="D261" t="s">
        <v>3</v>
      </c>
      <c r="E261" t="s">
        <v>14</v>
      </c>
      <c r="F261" t="s">
        <v>106</v>
      </c>
    </row>
    <row r="262" spans="1:6" ht="16" ns3:dyDescent="0.2">
      <c r="A262" t="inlineStr" s="6">
        <is>
          <t xml:space="preserve">market for battery capacity, all-solid-state battery,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t="inlineStr" s="5">
        <is>
          <t xml:space="preserve">market for battery capacity, all-solid-state battery, sulfidic</t>
        </is>
      </c>
      <c r="B266">
        <v>0</v>
      </c>
      <c r="C266" t="s">
        <v>15</v>
      </c>
      <c r="D266" t="s">
        <v>3</v>
      </c>
      <c r="E266" t="s">
        <v>14</v>
      </c>
      <c r="F266" t="s">
        <v>106</v>
      </c>
    </row>
    <row r="269">
      <c r="A269" t="inlineStr">
        <is>
          <t>Activity</t>
        </is>
      </c>
      <c r="B269" t="inlineStr">
        <is>
          <t xml:space="preserve">market for electricity storage capacity, battery, high power, fuel cell passenger car</t>
        </is>
      </c>
    </row>
    <row r="270">
      <c r="A270" t="inlineStr">
        <is>
          <t>location</t>
        </is>
      </c>
      <c r="B270" t="inlineStr">
        <is>
          <t>GLO</t>
        </is>
      </c>
    </row>
    <row r="271">
      <c r="A271" t="inlineStr">
        <is>
          <t>production amount</t>
        </is>
      </c>
      <c r="B271">
        <v>1</v>
      </c>
    </row>
    <row r="272">
      <c r="A272" t="inlineStr">
        <is>
          <t>reference product</t>
        </is>
      </c>
      <c r="B272" t="inlineStr">
        <is>
          <t xml:space="preserve">electricity storage capacity, high power, fuel cell passenger car</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 xml:space="preserve">Nomenclature revision, 2026-10-19. Former activity name: high-power battery capacity, FCEV car, engineering reference. Former reference product: high-power battery capacity, FCEV car, engineering reference. Activity/product labels and supplier references only; coefficients, formulas, uncertainty, declared output and unit are unchanged. Original engineering assumptions, functional-unit basis and limitations remain below.
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 xml:space="preserve">type</t>
        </is>
      </c>
      <c r="B276" t="inlineStr">
        <is>
          <t xml:space="preserve">processwithreferenceproduct</t>
        </is>
      </c>
    </row>
    <row r="277">
      <c r="A277" t="inlineStr">
        <is>
          <t>Exchanges</t>
        </is>
      </c>
    </row>
    <row r="278">
      <c r="A278" t="inlineStr">
        <is>
          <t>name</t>
        </is>
      </c>
      <c r="B278" t="inlineStr">
        <is>
          <t>amount</t>
        </is>
      </c>
      <c r="C278" t="inlineStr">
        <is>
          <t>location</t>
        </is>
      </c>
      <c r="D278" t="inlineStr">
        <is>
          <t>unit</t>
        </is>
      </c>
      <c r="E278" t="inlineStr">
        <is>
          <t>categories</t>
        </is>
      </c>
      <c r="F278" t="inlineStr">
        <is>
          <t>type</t>
        </is>
      </c>
      <c r="G278" t="inlineStr">
        <is>
          <t>reference product</t>
        </is>
      </c>
      <c r="H278" t="inlineStr">
        <is>
          <t>comment</t>
        </is>
      </c>
    </row>
    <row r="279">
      <c r="A279" t="inlineStr">
        <is>
          <t xml:space="preserve">market for electricity storage capacity, battery, high power, fuel cell passenger car</t>
        </is>
      </c>
      <c r="B279">
        <v>1</v>
      </c>
      <c r="C279" t="inlineStr">
        <is>
          <t>GLO</t>
        </is>
      </c>
      <c r="D279" t="inlineStr">
        <is>
          <t>kilowatt hour</t>
        </is>
      </c>
      <c r="F279" t="inlineStr">
        <is>
          <t>production</t>
        </is>
      </c>
      <c r="G279" t="inlineStr">
        <is>
          <t xml:space="preserve">electricity storage capacity, high power, fuel cell passenger car</t>
        </is>
      </c>
    </row>
    <row r="280">
      <c r="A280" t="inlineStr">
        <is>
          <t>market for battery cell, Li-ion, NMC622</t>
        </is>
      </c>
      <c r="B280">
        <v>25.11261261261261</v>
      </c>
      <c r="C280" t="inlineStr">
        <is>
          <t>GLO</t>
        </is>
      </c>
      <c r="D280" t="inlineStr">
        <is>
          <t>kilogram</t>
        </is>
      </c>
      <c r="F280" t="inlineStr">
        <is>
          <t>technosphere</t>
        </is>
      </c>
      <c r="G280" t="inlineStr">
        <is>
          <t>battery cell, Li-ion, NMC622</t>
        </is>
      </c>
    </row>
    <row r="281">
      <c r="A281" t="inlineStr">
        <is>
          <t xml:space="preserve">battery central control and protection unit production</t>
        </is>
      </c>
      <c r="B281">
        <v>0.8043758043758044</v>
      </c>
      <c r="C281" t="inlineStr">
        <is>
          <t>GLO</t>
        </is>
      </c>
      <c r="D281" t="inlineStr">
        <is>
          <t>unit</t>
        </is>
      </c>
      <c r="F281" t="inlineStr">
        <is>
          <t>technosphere</t>
        </is>
      </c>
      <c r="G281" t="inlineStr">
        <is>
          <t xml:space="preserve">battery central control and protection unit</t>
        </is>
      </c>
    </row>
    <row r="282">
      <c r="A282" t="inlineStr">
        <is>
          <t>market for copper, cathode</t>
        </is>
      </c>
      <c r="B282">
        <v>0.12078060465157239</v>
      </c>
      <c r="C282" t="inlineStr">
        <is>
          <t>GLO</t>
        </is>
      </c>
      <c r="D282" t="inlineStr">
        <is>
          <t>kilogram</t>
        </is>
      </c>
      <c r="F282" t="inlineStr">
        <is>
          <t>technosphere</t>
        </is>
      </c>
      <c r="G282" t="inlineStr">
        <is>
          <t>copper, cathode</t>
        </is>
      </c>
    </row>
    <row r="283">
      <c r="A283" t="inlineStr">
        <is>
          <t>metal working, average for copper product manufacturing</t>
        </is>
      </c>
      <c r="B283">
        <v>0.12078060465157239</v>
      </c>
      <c r="C283" t="inlineStr">
        <is>
          <t>RER</t>
        </is>
      </c>
      <c r="D283" t="inlineStr">
        <is>
          <t>kilogram</t>
        </is>
      </c>
      <c r="F283" t="inlineStr">
        <is>
          <t>technosphere</t>
        </is>
      </c>
      <c r="G283" t="inlineStr">
        <is>
          <t>metal working, average for copper product manufacturing</t>
        </is>
      </c>
    </row>
    <row r="284">
      <c r="A284" t="inlineStr">
        <is>
          <t>market for aluminium, wrought alloy</t>
        </is>
      </c>
      <c r="B284">
        <v>6.566284025961444</v>
      </c>
      <c r="C284" t="inlineStr">
        <is>
          <t>GLO</t>
        </is>
      </c>
      <c r="D284" t="inlineStr">
        <is>
          <t>kilogram</t>
        </is>
      </c>
      <c r="F284" t="inlineStr">
        <is>
          <t>technosphere</t>
        </is>
      </c>
      <c r="G284" t="inlineStr">
        <is>
          <t>aluminium, wrought alloy</t>
        </is>
      </c>
    </row>
    <row r="285">
      <c r="A285" t="inlineStr">
        <is>
          <t>metal working, average for aluminium product manufacturing</t>
        </is>
      </c>
      <c r="B285">
        <v>6.566284025961444</v>
      </c>
      <c r="C285" t="inlineStr">
        <is>
          <t>RER</t>
        </is>
      </c>
      <c r="D285" t="inlineStr">
        <is>
          <t>kilogram</t>
        </is>
      </c>
      <c r="F285" t="inlineStr">
        <is>
          <t>technosphere</t>
        </is>
      </c>
      <c r="G285" t="inlineStr">
        <is>
          <t>metal working, average for aluminium product manufacturing</t>
        </is>
      </c>
    </row>
    <row r="286">
      <c r="A286" t="inlineStr">
        <is>
          <t>market for polyethylene, high density, granulate</t>
        </is>
      </c>
      <c r="B286">
        <v>0.19742983452660873</v>
      </c>
      <c r="C286" t="inlineStr">
        <is>
          <t>GLO</t>
        </is>
      </c>
      <c r="D286" t="inlineStr">
        <is>
          <t>kilogram</t>
        </is>
      </c>
      <c r="F286" t="inlineStr">
        <is>
          <t>technosphere</t>
        </is>
      </c>
      <c r="G286" t="inlineStr">
        <is>
          <t>polyethylene, high density, granulate</t>
        </is>
      </c>
    </row>
    <row r="287">
      <c r="A287" t="inlineStr">
        <is>
          <t>market for glass fibre reinforced plastic, polyester resin, hand lay-up</t>
        </is>
      </c>
      <c r="B287">
        <v>0.025549743291678775</v>
      </c>
      <c r="C287" t="inlineStr">
        <is>
          <t>GLO</t>
        </is>
      </c>
      <c r="D287" t="inlineStr">
        <is>
          <t>kilogram</t>
        </is>
      </c>
      <c r="F287" t="inlineStr">
        <is>
          <t>technosphere</t>
        </is>
      </c>
      <c r="G287" t="inlineStr">
        <is>
          <t>glass fibre reinforced plastic, polyester resin, hand lay-up</t>
        </is>
      </c>
    </row>
    <row r="288">
      <c r="A288" t="inlineStr">
        <is>
          <t>market for steel, low-alloyed</t>
        </is>
      </c>
      <c r="B288">
        <v>0.21833416994707314</v>
      </c>
      <c r="C288" t="inlineStr">
        <is>
          <t>GLO</t>
        </is>
      </c>
      <c r="D288" t="inlineStr">
        <is>
          <t>kilogram</t>
        </is>
      </c>
      <c r="F288" t="inlineStr">
        <is>
          <t>technosphere</t>
        </is>
      </c>
      <c r="G288" t="inlineStr">
        <is>
          <t>steel, low-alloyed</t>
        </is>
      </c>
    </row>
    <row r="289">
      <c r="A289" t="inlineStr">
        <is>
          <t>metal working, average for steel product manufacturing</t>
        </is>
      </c>
      <c r="B289">
        <v>0.21833416994707314</v>
      </c>
      <c r="C289" t="inlineStr">
        <is>
          <t>RER</t>
        </is>
      </c>
      <c r="D289" t="inlineStr">
        <is>
          <t>kilogram</t>
        </is>
      </c>
      <c r="F289" t="inlineStr">
        <is>
          <t>technosphere</t>
        </is>
      </c>
      <c r="G289" t="inlineStr">
        <is>
          <t>metal working, average for steel product manufacturing</t>
        </is>
      </c>
    </row>
    <row r="290">
      <c r="A290" t="inlineStr">
        <is>
          <t>market for used Li-ion battery</t>
        </is>
      </c>
      <c r="B290">
        <v>-35.87516087516087</v>
      </c>
      <c r="C290" t="inlineStr">
        <is>
          <t>GLO</t>
        </is>
      </c>
      <c r="D290" t="inlineStr">
        <is>
          <t>kilogram</t>
        </is>
      </c>
      <c r="F290" t="inlineStr">
        <is>
          <t>technosphere</t>
        </is>
      </c>
      <c r="G290" t="inlineStr">
        <is>
          <t>used Li-ion battery</t>
        </is>
      </c>
    </row>
    <row r="293">
      <c r="A293" t="inlineStr">
        <is>
          <t>Activity</t>
        </is>
      </c>
      <c r="B293" t="inlineStr">
        <is>
          <t xml:space="preserve">market for electricity storage capacity, battery, high power, fuel cell truck</t>
        </is>
      </c>
    </row>
    <row r="294">
      <c r="A294" t="inlineStr">
        <is>
          <t>location</t>
        </is>
      </c>
      <c r="B294" t="inlineStr">
        <is>
          <t>GLO</t>
        </is>
      </c>
    </row>
    <row r="295">
      <c r="A295" t="inlineStr">
        <is>
          <t>production amount</t>
        </is>
      </c>
      <c r="B295">
        <v>1</v>
      </c>
    </row>
    <row r="296">
      <c r="A296" t="inlineStr">
        <is>
          <t>reference product</t>
        </is>
      </c>
      <c r="B296" t="inlineStr">
        <is>
          <t xml:space="preserve">electricity storage capacity, high power, fuel cell truck</t>
        </is>
      </c>
    </row>
    <row r="297">
      <c r="A297" t="inlineStr">
        <is>
          <t>unit</t>
        </is>
      </c>
      <c r="B297" t="inlineStr">
        <is>
          <t>kilowatt hour</t>
        </is>
      </c>
    </row>
    <row r="298">
      <c r="A298" t="inlineStr">
        <is>
          <t>source</t>
        </is>
      </c>
      <c r="B298"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9">
      <c r="A299" t="inlineStr">
        <is>
          <t>comment</t>
        </is>
      </c>
      <c r="B299" t="inlineStr">
        <is>
          <t xml:space="preserve">Nomenclature revision, 2026-10-19. Former activity name: high-power battery capacity, FCEV truck, engineering reference. Former reference product: high-power battery capacity, FCEV truck, engineering reference. Activity/product labels and supplier references only; coefficients, formulas, uncertainty, declared output and unit are unchanged. Original engineering assumptions, functional-unit basis and limitations remain below.
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300">
      <c r="A300" t="inlineStr">
        <is>
          <t xml:space="preserve">type</t>
        </is>
      </c>
      <c r="B300" t="inlineStr">
        <is>
          <t xml:space="preserve">processwithreferenceproduct</t>
        </is>
      </c>
    </row>
    <row r="301">
      <c r="A301" t="inlineStr">
        <is>
          <t>Exchanges</t>
        </is>
      </c>
    </row>
    <row r="302">
      <c r="A302" t="inlineStr">
        <is>
          <t>name</t>
        </is>
      </c>
      <c r="B302" t="inlineStr">
        <is>
          <t>amount</t>
        </is>
      </c>
      <c r="C302" t="inlineStr">
        <is>
          <t>location</t>
        </is>
      </c>
      <c r="D302" t="inlineStr">
        <is>
          <t>unit</t>
        </is>
      </c>
      <c r="E302" t="inlineStr">
        <is>
          <t>categories</t>
        </is>
      </c>
      <c r="F302" t="inlineStr">
        <is>
          <t>type</t>
        </is>
      </c>
      <c r="G302" t="inlineStr">
        <is>
          <t>reference product</t>
        </is>
      </c>
      <c r="H302" t="inlineStr">
        <is>
          <t>comment</t>
        </is>
      </c>
    </row>
    <row r="303">
      <c r="A303" t="inlineStr">
        <is>
          <t xml:space="preserve">market for electricity storage capacity, battery, high power, fuel cell truck</t>
        </is>
      </c>
      <c r="B303">
        <v>1</v>
      </c>
      <c r="C303" t="inlineStr">
        <is>
          <t>GLO</t>
        </is>
      </c>
      <c r="D303" t="inlineStr">
        <is>
          <t>kilowatt hour</t>
        </is>
      </c>
      <c r="F303" t="inlineStr">
        <is>
          <t>production</t>
        </is>
      </c>
      <c r="G303" t="inlineStr">
        <is>
          <t xml:space="preserve">electricity storage capacity, high power, fuel cell truck</t>
        </is>
      </c>
    </row>
    <row r="304">
      <c r="A304" t="inlineStr">
        <is>
          <t>market for battery cell, Li-ion, NMC622</t>
        </is>
      </c>
      <c r="B304">
        <v>6.664</v>
      </c>
      <c r="C304" t="inlineStr">
        <is>
          <t>GLO</t>
        </is>
      </c>
      <c r="D304" t="inlineStr">
        <is>
          <t>kilogram</t>
        </is>
      </c>
      <c r="F304" t="inlineStr">
        <is>
          <t>technosphere</t>
        </is>
      </c>
      <c r="G304" t="inlineStr">
        <is>
          <t>battery cell, Li-ion, NMC622</t>
        </is>
      </c>
    </row>
    <row r="305">
      <c r="A305" t="inlineStr">
        <is>
          <t xml:space="preserve">battery central control and protection unit production</t>
        </is>
      </c>
      <c r="B305">
        <v>0.04</v>
      </c>
      <c r="C305" t="inlineStr">
        <is>
          <t>GLO</t>
        </is>
      </c>
      <c r="D305" t="inlineStr">
        <is>
          <t>unit</t>
        </is>
      </c>
      <c r="F305" t="inlineStr">
        <is>
          <t>technosphere</t>
        </is>
      </c>
      <c r="G305" t="inlineStr">
        <is>
          <t xml:space="preserve">battery central control and protection unit</t>
        </is>
      </c>
    </row>
    <row r="306">
      <c r="A306" t="inlineStr">
        <is>
          <t>market for copper, cathode</t>
        </is>
      </c>
      <c r="B306">
        <v>0.03689062848050915</v>
      </c>
      <c r="C306" t="inlineStr">
        <is>
          <t>GLO</t>
        </is>
      </c>
      <c r="D306" t="inlineStr">
        <is>
          <t>kilogram</t>
        </is>
      </c>
      <c r="F306" t="inlineStr">
        <is>
          <t>technosphere</t>
        </is>
      </c>
      <c r="G306" t="inlineStr">
        <is>
          <t>copper, cathode</t>
        </is>
      </c>
    </row>
    <row r="307">
      <c r="A307" t="inlineStr">
        <is>
          <t>metal working, average for copper product manufacturing</t>
        </is>
      </c>
      <c r="B307">
        <v>0.03689062848050915</v>
      </c>
      <c r="C307" t="inlineStr">
        <is>
          <t>RER</t>
        </is>
      </c>
      <c r="D307" t="inlineStr">
        <is>
          <t>kilogram</t>
        </is>
      </c>
      <c r="F307" t="inlineStr">
        <is>
          <t>technosphere</t>
        </is>
      </c>
      <c r="G307" t="inlineStr">
        <is>
          <t>metal working, average for copper product manufacturing</t>
        </is>
      </c>
    </row>
    <row r="308">
      <c r="A308" t="inlineStr">
        <is>
          <t>market for aluminium, wrought alloy</t>
        </is>
      </c>
      <c r="B308">
        <v>2.005573206046141</v>
      </c>
      <c r="C308" t="inlineStr">
        <is>
          <t>GLO</t>
        </is>
      </c>
      <c r="D308" t="inlineStr">
        <is>
          <t>kilogram</t>
        </is>
      </c>
      <c r="F308" t="inlineStr">
        <is>
          <t>technosphere</t>
        </is>
      </c>
      <c r="G308" t="inlineStr">
        <is>
          <t>aluminium, wrought alloy</t>
        </is>
      </c>
    </row>
    <row r="309">
      <c r="A309" t="inlineStr">
        <is>
          <t>metal working, average for aluminium product manufacturing</t>
        </is>
      </c>
      <c r="B309">
        <v>2.005573206046141</v>
      </c>
      <c r="C309" t="inlineStr">
        <is>
          <t>RER</t>
        </is>
      </c>
      <c r="D309" t="inlineStr">
        <is>
          <t>kilogram</t>
        </is>
      </c>
      <c r="F309" t="inlineStr">
        <is>
          <t>technosphere</t>
        </is>
      </c>
      <c r="G309" t="inlineStr">
        <is>
          <t>metal working, average for aluminium product manufacturing</t>
        </is>
      </c>
    </row>
    <row r="310">
      <c r="A310" t="inlineStr">
        <is>
          <t>market for polyethylene, high density, granulate</t>
        </is>
      </c>
      <c r="B310">
        <v>0.06030198886237072</v>
      </c>
      <c r="C310" t="inlineStr">
        <is>
          <t>GLO</t>
        </is>
      </c>
      <c r="D310" t="inlineStr">
        <is>
          <t>kilogram</t>
        </is>
      </c>
      <c r="F310" t="inlineStr">
        <is>
          <t>technosphere</t>
        </is>
      </c>
      <c r="G310" t="inlineStr">
        <is>
          <t>polyethylene, high density, granulate</t>
        </is>
      </c>
    </row>
    <row r="311">
      <c r="A311" t="inlineStr">
        <is>
          <t>market for glass fibre reinforced plastic, polyester resin, hand lay-up</t>
        </is>
      </c>
      <c r="B311">
        <v>0.007803786793953858</v>
      </c>
      <c r="C311" t="inlineStr">
        <is>
          <t>GLO</t>
        </is>
      </c>
      <c r="D311" t="inlineStr">
        <is>
          <t>kilogram</t>
        </is>
      </c>
      <c r="F311" t="inlineStr">
        <is>
          <t>technosphere</t>
        </is>
      </c>
      <c r="G311" t="inlineStr">
        <is>
          <t>glass fibre reinforced plastic, polyester resin, hand lay-up</t>
        </is>
      </c>
    </row>
    <row r="312">
      <c r="A312" t="inlineStr">
        <is>
          <t>market for steel, low-alloyed</t>
        </is>
      </c>
      <c r="B312">
        <v>0.06668690533015115</v>
      </c>
      <c r="C312" t="inlineStr">
        <is>
          <t>GLO</t>
        </is>
      </c>
      <c r="D312" t="inlineStr">
        <is>
          <t>kilogram</t>
        </is>
      </c>
      <c r="F312" t="inlineStr">
        <is>
          <t>technosphere</t>
        </is>
      </c>
      <c r="G312" t="inlineStr">
        <is>
          <t>steel, low-alloyed</t>
        </is>
      </c>
    </row>
    <row r="313">
      <c r="A313" t="inlineStr">
        <is>
          <t>metal working, average for steel product manufacturing</t>
        </is>
      </c>
      <c r="B313">
        <v>0.06668690533015115</v>
      </c>
      <c r="C313" t="inlineStr">
        <is>
          <t>RER</t>
        </is>
      </c>
      <c r="D313" t="inlineStr">
        <is>
          <t>kilogram</t>
        </is>
      </c>
      <c r="F313" t="inlineStr">
        <is>
          <t>technosphere</t>
        </is>
      </c>
      <c r="G313" t="inlineStr">
        <is>
          <t>metal working, average for steel product manufacturing</t>
        </is>
      </c>
    </row>
    <row r="314">
      <c r="A314" t="inlineStr">
        <is>
          <t>ethylene glycols production, thermal hydrolysis of ethylene oxide</t>
        </is>
      </c>
      <c r="B314">
        <v>0.2490117422434367</v>
      </c>
      <c r="C314" t="inlineStr">
        <is>
          <t>RER</t>
        </is>
      </c>
      <c r="D314" t="inlineStr">
        <is>
          <t>kilogram</t>
        </is>
      </c>
      <c r="F314" t="inlineStr">
        <is>
          <t>technosphere</t>
        </is>
      </c>
      <c r="G314" t="inlineStr">
        <is>
          <t>ethylene glycol</t>
        </is>
      </c>
    </row>
    <row r="315">
      <c r="A315" t="inlineStr">
        <is>
          <t>market for water, deionised</t>
        </is>
      </c>
      <c r="B315">
        <v>0.2490117422434367</v>
      </c>
      <c r="C315" t="inlineStr">
        <is>
          <t>RoW</t>
        </is>
      </c>
      <c r="D315" t="inlineStr">
        <is>
          <t>kilogram</t>
        </is>
      </c>
      <c r="F315" t="inlineStr">
        <is>
          <t>technosphere</t>
        </is>
      </c>
      <c r="G315" t="inlineStr">
        <is>
          <t>water, deionised</t>
        </is>
      </c>
    </row>
    <row r="316">
      <c r="A316" t="inlineStr">
        <is>
          <t>market for used Li-ion battery</t>
        </is>
      </c>
      <c r="B316">
        <v>-9.52</v>
      </c>
      <c r="C316" t="inlineStr">
        <is>
          <t>GLO</t>
        </is>
      </c>
      <c r="D316" t="inlineStr">
        <is>
          <t>kilogram</t>
        </is>
      </c>
      <c r="F316" t="inlineStr">
        <is>
          <t>technosphere</t>
        </is>
      </c>
      <c r="G316" t="inlineStr">
        <is>
          <t>used Li-ion battery</t>
        </is>
      </c>
    </row>
    <row r="319">
      <c r="A319" t="inlineStr">
        <is>
          <t>Activity</t>
        </is>
      </c>
      <c r="B319" t="inlineStr">
        <is>
          <t xml:space="preserve">market for electricity storage capacity, battery, lithium-ion, lfp, hydrogen train</t>
        </is>
      </c>
    </row>
    <row r="320">
      <c r="A320" t="inlineStr">
        <is>
          <t>location</t>
        </is>
      </c>
      <c r="B320" t="inlineStr">
        <is>
          <t>GLO</t>
        </is>
      </c>
    </row>
    <row r="321">
      <c r="A321" t="inlineStr">
        <is>
          <t>production amount</t>
        </is>
      </c>
      <c r="B321">
        <v>1</v>
      </c>
    </row>
    <row r="322">
      <c r="A322" t="inlineStr">
        <is>
          <t>reference product</t>
        </is>
      </c>
      <c r="B322" t="inlineStr">
        <is>
          <t xml:space="preserve">electricity storage capacity, Li-ion, LFP, hydrogen train</t>
        </is>
      </c>
    </row>
    <row r="323">
      <c r="A323" t="inlineStr">
        <is>
          <t>unit</t>
        </is>
      </c>
      <c r="B323" t="inlineStr">
        <is>
          <t>kilowatt hour</t>
        </is>
      </c>
    </row>
    <row r="324">
      <c r="A324" t="inlineStr">
        <is>
          <t>source</t>
        </is>
      </c>
      <c r="B324" t="inlineStr">
        <is>
          <t>Knibbe2023 DOI10.1016/j.est.2023.108090,3.6MWhLFP/860kWreference and133Wh/kgpack; Dai2018 public LFP non-cell material proportions https://publications.anl.gov/anlpubs/2018/10/146906.pdf Table8.</t>
        </is>
      </c>
    </row>
    <row r="325">
      <c r="A325" t="inlineStr">
        <is>
          <t>comment</t>
        </is>
      </c>
      <c r="B325" t="inlineStr">
        <is>
          <t xml:space="preserve">Nomenclature revision, 2026-10-19. Former activity name: battery capacity, hydrogen rail, LFP engineering reference. Former reference product: battery capacity, hydrogen rail, LFP engineering reference. Activity/product labels and supplier references only; coefficients, formulas, uncertainty, declared output and unit are unchanged. Original engineering assumptions, functional-unit basis and limitations remain below.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326">
      <c r="A326" t="inlineStr">
        <is>
          <t xml:space="preserve">type</t>
        </is>
      </c>
      <c r="B326" t="inlineStr">
        <is>
          <t xml:space="preserve">processwithreferenceproduct</t>
        </is>
      </c>
    </row>
    <row r="327">
      <c r="A327" t="inlineStr">
        <is>
          <t>Exchanges</t>
        </is>
      </c>
    </row>
    <row r="328">
      <c r="A328" t="inlineStr">
        <is>
          <t>name</t>
        </is>
      </c>
      <c r="B328" t="inlineStr">
        <is>
          <t>amount</t>
        </is>
      </c>
      <c r="C328" t="inlineStr">
        <is>
          <t>location</t>
        </is>
      </c>
      <c r="D328" t="inlineStr">
        <is>
          <t>unit</t>
        </is>
      </c>
      <c r="E328" t="inlineStr">
        <is>
          <t>categories</t>
        </is>
      </c>
      <c r="F328" t="inlineStr">
        <is>
          <t>type</t>
        </is>
      </c>
      <c r="G328" t="inlineStr">
        <is>
          <t>reference product</t>
        </is>
      </c>
      <c r="H328" t="inlineStr">
        <is>
          <t>comment</t>
        </is>
      </c>
      <c r="I328" t="inlineStr">
        <is>
          <t>product</t>
        </is>
      </c>
    </row>
    <row r="329">
      <c r="A329" t="inlineStr">
        <is>
          <t xml:space="preserve">market for electricity storage capacity, battery, lithium-ion, lfp, hydrogen train</t>
        </is>
      </c>
      <c r="B329">
        <v>1</v>
      </c>
      <c r="C329" t="inlineStr">
        <is>
          <t>GLO</t>
        </is>
      </c>
      <c r="D329" t="inlineStr">
        <is>
          <t>kilowatt hour</t>
        </is>
      </c>
      <c r="F329" t="inlineStr">
        <is>
          <t>production</t>
        </is>
      </c>
      <c r="G329" t="inlineStr">
        <is>
          <t xml:space="preserve">electricity storage capacity, Li-ion, LFP, hydrogen train</t>
        </is>
      </c>
      <c r="I329" t="inlineStr">
        <is>
          <t xml:space="preserve">electricity storage capacity, Li-ion, LFP, hydrogen train</t>
        </is>
      </c>
    </row>
    <row r="330">
      <c r="A330" t="inlineStr">
        <is>
          <t>market for battery cell, Li-ion, LFP</t>
        </is>
      </c>
      <c r="B330">
        <v>6.25</v>
      </c>
      <c r="C330" t="inlineStr">
        <is>
          <t>GLO</t>
        </is>
      </c>
      <c r="D330" t="inlineStr">
        <is>
          <t>kilogram</t>
        </is>
      </c>
      <c r="F330" t="inlineStr">
        <is>
          <t>technosphere</t>
        </is>
      </c>
      <c r="G330" t="inlineStr">
        <is>
          <t>battery cell, Li-ion, LFP</t>
        </is>
      </c>
      <c r="I330" t="inlineStr">
        <is>
          <t>battery cell, Li-ion, LFP</t>
        </is>
      </c>
    </row>
    <row r="331">
      <c r="A331" t="inlineStr">
        <is>
          <t xml:space="preserve">battery monitoring and central control system production, lithium-ion, lfp</t>
        </is>
      </c>
      <c r="B331">
        <v>0.01</v>
      </c>
      <c r="C331" t="inlineStr">
        <is>
          <t>GLO</t>
        </is>
      </c>
      <c r="D331" t="inlineStr">
        <is>
          <t>unit</t>
        </is>
      </c>
      <c r="F331" t="inlineStr">
        <is>
          <t>technosphere</t>
        </is>
      </c>
      <c r="G331" t="inlineStr">
        <is>
          <t xml:space="preserve">battery monitoring and central control system, Li-ion, LFP</t>
        </is>
      </c>
      <c r="I331" t="inlineStr">
        <is>
          <t xml:space="preserve">battery monitoring and central control system, Li-ion, LFP</t>
        </is>
      </c>
    </row>
    <row r="332">
      <c r="A332" t="inlineStr">
        <is>
          <t>market for copper, cathode</t>
        </is>
      </c>
      <c r="B332">
        <v>0.01512710646109896</v>
      </c>
      <c r="C332" t="inlineStr">
        <is>
          <t>GLO</t>
        </is>
      </c>
      <c r="D332" t="inlineStr">
        <is>
          <t>kilogram</t>
        </is>
      </c>
      <c r="F332" t="inlineStr">
        <is>
          <t>technosphere</t>
        </is>
      </c>
      <c r="G332" t="inlineStr">
        <is>
          <t>copper, cathode</t>
        </is>
      </c>
      <c r="I332" t="inlineStr">
        <is>
          <t>copper, cathode</t>
        </is>
      </c>
    </row>
    <row r="333">
      <c r="A333" t="inlineStr">
        <is>
          <t>metal working, average for copper product manufacturing</t>
        </is>
      </c>
      <c r="B333">
        <v>0.01512710646109896</v>
      </c>
      <c r="C333" t="inlineStr">
        <is>
          <t>RER</t>
        </is>
      </c>
      <c r="D333" t="inlineStr">
        <is>
          <t>kilogram</t>
        </is>
      </c>
      <c r="F333" t="inlineStr">
        <is>
          <t>technosphere</t>
        </is>
      </c>
      <c r="G333" t="inlineStr">
        <is>
          <t>metal working, average for copper product manufacturing</t>
        </is>
      </c>
      <c r="I333" t="inlineStr">
        <is>
          <t>metal working, average for copper product manufacturing</t>
        </is>
      </c>
    </row>
    <row r="334">
      <c r="A334" t="inlineStr">
        <is>
          <t>market for aluminium, wrought alloy</t>
        </is>
      </c>
      <c r="B334">
        <v>0.8717605062178482</v>
      </c>
      <c r="C334" t="inlineStr">
        <is>
          <t>GLO</t>
        </is>
      </c>
      <c r="D334" t="inlineStr">
        <is>
          <t>kilogram</t>
        </is>
      </c>
      <c r="F334" t="inlineStr">
        <is>
          <t>technosphere</t>
        </is>
      </c>
      <c r="G334" t="inlineStr">
        <is>
          <t>aluminium, wrought alloy</t>
        </is>
      </c>
      <c r="I334" t="inlineStr">
        <is>
          <t>aluminium, wrought alloy</t>
        </is>
      </c>
    </row>
    <row r="335">
      <c r="A335" t="inlineStr">
        <is>
          <t>metal working, average for aluminium product manufacturing</t>
        </is>
      </c>
      <c r="B335">
        <v>0.8717605062178482</v>
      </c>
      <c r="C335" t="inlineStr">
        <is>
          <t>RER</t>
        </is>
      </c>
      <c r="D335" t="inlineStr">
        <is>
          <t>kilogram</t>
        </is>
      </c>
      <c r="F335" t="inlineStr">
        <is>
          <t>technosphere</t>
        </is>
      </c>
      <c r="G335" t="inlineStr">
        <is>
          <t>metal working, average for aluminium product manufacturing</t>
        </is>
      </c>
      <c r="I335" t="inlineStr">
        <is>
          <t>metal working, average for aluminium product manufacturing</t>
        </is>
      </c>
    </row>
    <row r="336">
      <c r="A336" t="inlineStr">
        <is>
          <t>market for polyethylene, high density, granulate</t>
        </is>
      </c>
      <c r="B336">
        <v>0.02439855880822413</v>
      </c>
      <c r="C336" t="inlineStr">
        <is>
          <t>GLO</t>
        </is>
      </c>
      <c r="D336" t="inlineStr">
        <is>
          <t>kilogram</t>
        </is>
      </c>
      <c r="F336" t="inlineStr">
        <is>
          <t>technosphere</t>
        </is>
      </c>
      <c r="G336" t="inlineStr">
        <is>
          <t>polyethylene, high density, granulate</t>
        </is>
      </c>
      <c r="I336" t="inlineStr">
        <is>
          <t>polyethylene, high density, granulate</t>
        </is>
      </c>
    </row>
    <row r="337">
      <c r="A337" t="inlineStr">
        <is>
          <t>market for glass fibre reinforced plastic, polyester resin, hand lay-up</t>
        </is>
      </c>
      <c r="B337">
        <v>0.003171812645069137</v>
      </c>
      <c r="C337" t="inlineStr">
        <is>
          <t>GLO</t>
        </is>
      </c>
      <c r="D337" t="inlineStr">
        <is>
          <t>kilogram</t>
        </is>
      </c>
      <c r="F337" t="inlineStr">
        <is>
          <t>technosphere</t>
        </is>
      </c>
      <c r="G337" t="inlineStr">
        <is>
          <t>glass fibre reinforced plastic, polyester resin, hand lay-up</t>
        </is>
      </c>
      <c r="I337" t="inlineStr">
        <is>
          <t>glass fibre reinforced plastic, polyester resin, hand lay-up</t>
        </is>
      </c>
    </row>
    <row r="338">
      <c r="A338" t="inlineStr">
        <is>
          <t>market for steel, low-alloyed</t>
        </is>
      </c>
      <c r="B338">
        <v>0.03513392468384275</v>
      </c>
      <c r="C338" t="inlineStr">
        <is>
          <t>GLO</t>
        </is>
      </c>
      <c r="D338" t="inlineStr">
        <is>
          <t>kilogram</t>
        </is>
      </c>
      <c r="F338" t="inlineStr">
        <is>
          <t>technosphere</t>
        </is>
      </c>
      <c r="G338" t="inlineStr">
        <is>
          <t>steel, low-alloyed</t>
        </is>
      </c>
      <c r="I338" t="inlineStr">
        <is>
          <t>steel, low-alloyed</t>
        </is>
      </c>
    </row>
    <row r="339">
      <c r="A339" t="inlineStr">
        <is>
          <t>metal working, average for steel product manufacturing</t>
        </is>
      </c>
      <c r="B339">
        <v>0.03513392468384275</v>
      </c>
      <c r="C339" t="inlineStr">
        <is>
          <t>RER</t>
        </is>
      </c>
      <c r="D339" t="inlineStr">
        <is>
          <t>kilogram</t>
        </is>
      </c>
      <c r="F339" t="inlineStr">
        <is>
          <t>technosphere</t>
        </is>
      </c>
      <c r="G339" t="inlineStr">
        <is>
          <t>metal working, average for steel product manufacturing</t>
        </is>
      </c>
      <c r="I339" t="inlineStr">
        <is>
          <t>metal working, average for steel product manufacturing</t>
        </is>
      </c>
    </row>
    <row r="340">
      <c r="A340" t="inlineStr">
        <is>
          <t>ethylene glycols production, thermal hydrolysis of ethylene oxide</t>
        </is>
      </c>
      <c r="B340">
        <v>0.12626254183255986</v>
      </c>
      <c r="C340" t="inlineStr">
        <is>
          <t>RER</t>
        </is>
      </c>
      <c r="D340" t="inlineStr">
        <is>
          <t>kilogram</t>
        </is>
      </c>
      <c r="F340" t="inlineStr">
        <is>
          <t>technosphere</t>
        </is>
      </c>
      <c r="G340" t="inlineStr">
        <is>
          <t>ethylene glycol</t>
        </is>
      </c>
      <c r="I340" t="inlineStr">
        <is>
          <t>ethylene glycol</t>
        </is>
      </c>
    </row>
    <row r="341">
      <c r="A341" t="inlineStr">
        <is>
          <t>market for water, deionised</t>
        </is>
      </c>
      <c r="B341">
        <v>0.12626254183255986</v>
      </c>
      <c r="C341" t="inlineStr">
        <is>
          <t>RoW</t>
        </is>
      </c>
      <c r="D341" t="inlineStr">
        <is>
          <t>kilogram</t>
        </is>
      </c>
      <c r="F341" t="inlineStr">
        <is>
          <t>technosphere</t>
        </is>
      </c>
      <c r="G341" t="inlineStr">
        <is>
          <t>water, deionised</t>
        </is>
      </c>
      <c r="I341" t="inlineStr">
        <is>
          <t>water, deionised</t>
        </is>
      </c>
    </row>
    <row r="342">
      <c r="A342" t="inlineStr">
        <is>
          <t>market for used Li-ion battery</t>
        </is>
      </c>
      <c r="B342">
        <v>-7.452116992481203</v>
      </c>
      <c r="C342" t="inlineStr">
        <is>
          <t>GLO</t>
        </is>
      </c>
      <c r="D342" t="inlineStr">
        <is>
          <t>kilogram</t>
        </is>
      </c>
      <c r="F342" t="inlineStr">
        <is>
          <t>technosphere</t>
        </is>
      </c>
      <c r="G342" t="inlineStr">
        <is>
          <t>used Li-ion battery</t>
        </is>
      </c>
      <c r="I342" t="inlineStr">
        <is>
          <t>used Li-ion battery</t>
        </is>
      </c>
    </row>
    <row r="345">
      <c r="A345" t="inlineStr">
        <is>
          <t>Activity</t>
        </is>
      </c>
      <c r="B345" t="inlineStr">
        <is>
          <t xml:space="preserve">battery pack production, lithium-ion, lto, fuel cell bus, without controls</t>
        </is>
      </c>
    </row>
    <row r="346">
      <c r="A346" t="inlineStr">
        <is>
          <t>location</t>
        </is>
      </c>
      <c r="B346" t="inlineStr">
        <is>
          <t>GLO</t>
        </is>
      </c>
    </row>
    <row r="347">
      <c r="A347" t="inlineStr">
        <is>
          <t>production amount</t>
        </is>
      </c>
      <c r="B347">
        <v>1</v>
      </c>
    </row>
    <row r="348">
      <c r="A348" t="inlineStr">
        <is>
          <t>reference product</t>
        </is>
      </c>
      <c r="B348" t="inlineStr">
        <is>
          <t xml:space="preserve">battery pack, Li-ion, LTO, fuel cell bus, without controls</t>
        </is>
      </c>
    </row>
    <row r="349">
      <c r="A349" t="inlineStr">
        <is>
          <t>unit</t>
        </is>
      </c>
      <c r="B349" t="inlineStr">
        <is>
          <t>unit</t>
        </is>
      </c>
    </row>
    <row r="350">
      <c r="A350" t="inlineStr">
        <is>
          <t>source</t>
        </is>
      </c>
      <c r="B350"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51">
      <c r="A351" t="inlineStr">
        <is>
          <t>comment</t>
        </is>
      </c>
      <c r="B351" t="inlineStr">
        <is>
          <t xml:space="preserve">Nomenclature revision, 2026-10-19. Former activity name: battery hardware, fuel-cell bus LTO, engineering reference. Former reference product: battery hardware, fuel-cell bus LTO, engineering reference. Activity/product labels and supplier references only; coefficients, formulas, uncertainty, declared output and unit are unchanged. Original engineering assumptions, functional-unit basis and limitations remain below.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52">
      <c r="A352" t="inlineStr">
        <is>
          <t xml:space="preserve">type</t>
        </is>
      </c>
      <c r="B352" t="inlineStr">
        <is>
          <t xml:space="preserve">processwithreferenceproduct</t>
        </is>
      </c>
    </row>
    <row r="353">
      <c r="A353" t="inlineStr">
        <is>
          <t>Exchanges</t>
        </is>
      </c>
    </row>
    <row r="354">
      <c r="A354" t="inlineStr">
        <is>
          <t>name</t>
        </is>
      </c>
      <c r="B354" t="inlineStr">
        <is>
          <t>amount</t>
        </is>
      </c>
      <c r="C354" t="inlineStr">
        <is>
          <t>location</t>
        </is>
      </c>
      <c r="D354" t="inlineStr">
        <is>
          <t>unit</t>
        </is>
      </c>
      <c r="E354" t="inlineStr">
        <is>
          <t>categories</t>
        </is>
      </c>
      <c r="F354" t="inlineStr">
        <is>
          <t>type</t>
        </is>
      </c>
      <c r="G354" t="inlineStr">
        <is>
          <t>reference product</t>
        </is>
      </c>
      <c r="H354" t="inlineStr">
        <is>
          <t>comment</t>
        </is>
      </c>
      <c r="I354" t="inlineStr">
        <is>
          <t>product</t>
        </is>
      </c>
    </row>
    <row r="355">
      <c r="A355" t="inlineStr">
        <is>
          <t xml:space="preserve">battery pack production, lithium-ion, lto, fuel cell bus, without controls</t>
        </is>
      </c>
      <c r="B355">
        <v>1</v>
      </c>
      <c r="C355" t="inlineStr">
        <is>
          <t>GLO</t>
        </is>
      </c>
      <c r="D355" t="inlineStr">
        <is>
          <t>unit</t>
        </is>
      </c>
      <c r="F355" t="inlineStr">
        <is>
          <t>production</t>
        </is>
      </c>
      <c r="G355" t="inlineStr">
        <is>
          <t xml:space="preserve">battery pack, Li-ion, LTO, fuel cell bus, without controls</t>
        </is>
      </c>
      <c r="I355" t="inlineStr">
        <is>
          <t xml:space="preserve">battery pack, Li-ion, LTO, fuel cell bus, without controls</t>
        </is>
      </c>
    </row>
    <row r="356">
      <c r="A356" t="inlineStr">
        <is>
          <t>battery cell production, Li-ion, LTO</t>
        </is>
      </c>
      <c r="B356">
        <v>182.5</v>
      </c>
      <c r="C356" t="inlineStr">
        <is>
          <t>GLO</t>
        </is>
      </c>
      <c r="D356" t="inlineStr">
        <is>
          <t>kilogram</t>
        </is>
      </c>
      <c r="F356" t="inlineStr">
        <is>
          <t>technosphere</t>
        </is>
      </c>
      <c r="G356" t="inlineStr">
        <is>
          <t>battery cell, Li-ion, LTO</t>
        </is>
      </c>
      <c r="I356" t="inlineStr">
        <is>
          <t>battery cell, Li-ion, LTO</t>
        </is>
      </c>
    </row>
    <row r="357">
      <c r="A357" t="inlineStr">
        <is>
          <t>market for aluminium, wrought alloy</t>
        </is>
      </c>
      <c r="B357">
        <v>35.481</v>
      </c>
      <c r="C357" t="inlineStr">
        <is>
          <t>GLO</t>
        </is>
      </c>
      <c r="D357" t="inlineStr">
        <is>
          <t>kilogram</t>
        </is>
      </c>
      <c r="F357" t="inlineStr">
        <is>
          <t>technosphere</t>
        </is>
      </c>
      <c r="G357" t="inlineStr">
        <is>
          <t>aluminium, wrought alloy</t>
        </is>
      </c>
      <c r="I357" t="inlineStr">
        <is>
          <t>aluminium, wrought alloy</t>
        </is>
      </c>
    </row>
    <row r="358">
      <c r="A358" t="inlineStr">
        <is>
          <t>market for copper, cathode</t>
        </is>
      </c>
      <c r="B358">
        <v>10.6443</v>
      </c>
      <c r="C358" t="inlineStr">
        <is>
          <t>GLO</t>
        </is>
      </c>
      <c r="D358" t="inlineStr">
        <is>
          <t>kilogram</t>
        </is>
      </c>
      <c r="F358" t="inlineStr">
        <is>
          <t>technosphere</t>
        </is>
      </c>
      <c r="G358" t="inlineStr">
        <is>
          <t>copper, cathode</t>
        </is>
      </c>
      <c r="I358" t="inlineStr">
        <is>
          <t>copper, cathode</t>
        </is>
      </c>
    </row>
    <row r="359">
      <c r="A359" t="inlineStr">
        <is>
          <t>market for steel, low-alloyed</t>
        </is>
      </c>
      <c r="B359">
        <v>7.0962000000000005</v>
      </c>
      <c r="C359" t="inlineStr">
        <is>
          <t>GLO</t>
        </is>
      </c>
      <c r="D359" t="inlineStr">
        <is>
          <t>kilogram</t>
        </is>
      </c>
      <c r="F359" t="inlineStr">
        <is>
          <t>technosphere</t>
        </is>
      </c>
      <c r="G359" t="inlineStr">
        <is>
          <t>steel, low-alloyed</t>
        </is>
      </c>
      <c r="I359" t="inlineStr">
        <is>
          <t>steel, low-alloyed</t>
        </is>
      </c>
    </row>
    <row r="360">
      <c r="A360" t="inlineStr">
        <is>
          <t>market for nylon 6</t>
        </is>
      </c>
      <c r="B360">
        <v>7.0962000000000005</v>
      </c>
      <c r="C360" t="inlineStr">
        <is>
          <t>RER</t>
        </is>
      </c>
      <c r="D360" t="inlineStr">
        <is>
          <t>kilogram</t>
        </is>
      </c>
      <c r="F360" t="inlineStr">
        <is>
          <t>technosphere</t>
        </is>
      </c>
      <c r="G360" t="inlineStr">
        <is>
          <t>nylon 6</t>
        </is>
      </c>
      <c r="I360" t="inlineStr">
        <is>
          <t>nylon 6</t>
        </is>
      </c>
    </row>
    <row r="361">
      <c r="A361" t="inlineStr">
        <is>
          <t>ethylene glycols production, thermal hydrolysis of ethylene oxide</t>
        </is>
      </c>
      <c r="B361">
        <v>5.32215</v>
      </c>
      <c r="C361" t="inlineStr">
        <is>
          <t>RER</t>
        </is>
      </c>
      <c r="D361" t="inlineStr">
        <is>
          <t>kilogram</t>
        </is>
      </c>
      <c r="F361" t="inlineStr">
        <is>
          <t>technosphere</t>
        </is>
      </c>
      <c r="G361" t="inlineStr">
        <is>
          <t>ethylene glycol</t>
        </is>
      </c>
      <c r="I361" t="inlineStr">
        <is>
          <t>ethylene glycol</t>
        </is>
      </c>
    </row>
    <row r="362">
      <c r="A362" t="inlineStr">
        <is>
          <t>market for water, deionised</t>
        </is>
      </c>
      <c r="B362">
        <v>5.32215</v>
      </c>
      <c r="C362" t="inlineStr">
        <is>
          <t>RoW</t>
        </is>
      </c>
      <c r="D362" t="inlineStr">
        <is>
          <t>kilogram</t>
        </is>
      </c>
      <c r="F362" t="inlineStr">
        <is>
          <t>technosphere</t>
        </is>
      </c>
      <c r="G362" t="inlineStr">
        <is>
          <t>water, deionised</t>
        </is>
      </c>
      <c r="I362" t="inlineStr">
        <is>
          <t>water, deionised</t>
        </is>
      </c>
    </row>
    <row r="363">
      <c r="A363" t="inlineStr">
        <is>
          <t>market group for electricity, medium voltage</t>
        </is>
      </c>
      <c r="B363">
        <v>260</v>
      </c>
      <c r="C363" t="inlineStr">
        <is>
          <t>GLO</t>
        </is>
      </c>
      <c r="D363" t="inlineStr">
        <is>
          <t>kilowatt hour</t>
        </is>
      </c>
      <c r="F363" t="inlineStr">
        <is>
          <t>technosphere</t>
        </is>
      </c>
      <c r="G363" t="inlineStr">
        <is>
          <t>electricity, medium voltage</t>
        </is>
      </c>
      <c r="I363" t="inlineStr">
        <is>
          <t>electricity, medium voltage</t>
        </is>
      </c>
    </row>
    <row r="366">
      <c r="A366" t="inlineStr">
        <is>
          <t>Activity</t>
        </is>
      </c>
      <c r="B366" t="inlineStr">
        <is>
          <t xml:space="preserve">market for electricity storage capacity, battery, lithium-ion, lto, high power, fuel cell bus</t>
        </is>
      </c>
    </row>
    <row r="367">
      <c r="A367" t="inlineStr">
        <is>
          <t>location</t>
        </is>
      </c>
      <c r="B367" t="inlineStr">
        <is>
          <t>GLO</t>
        </is>
      </c>
    </row>
    <row r="368">
      <c r="A368" t="inlineStr">
        <is>
          <t>production amount</t>
        </is>
      </c>
      <c r="B368">
        <v>1</v>
      </c>
    </row>
    <row r="369">
      <c r="A369" t="inlineStr">
        <is>
          <t>reference product</t>
        </is>
      </c>
      <c r="B369" t="inlineStr">
        <is>
          <t xml:space="preserve">electricity storage capacity, Li-ion, LTO, high power, fuel cell bus</t>
        </is>
      </c>
    </row>
    <row r="370">
      <c r="A370" t="inlineStr">
        <is>
          <t>unit</t>
        </is>
      </c>
      <c r="B370" t="inlineStr">
        <is>
          <t>kilowatt hour</t>
        </is>
      </c>
    </row>
    <row r="371">
      <c r="A371" t="inlineStr">
        <is>
          <t>source</t>
        </is>
      </c>
      <c r="B371"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72">
      <c r="A372" t="inlineStr">
        <is>
          <t>comment</t>
        </is>
      </c>
      <c r="B372" t="inlineStr">
        <is>
          <t xml:space="preserve">Nomenclature revision, 2026-10-19. Former activity name: high-power battery capacity, fuel-cell bus LTO, engineering reference. Former reference product: high-power battery capacity, fuel-cell bus LTO, engineering reference. Activity/product labels and supplier references only; coefficients, formulas, uncertainty, declared output and unit are unchanged. Original engineering assumptions, functional-unit basis and limitations remain below.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73">
      <c r="A373" t="inlineStr">
        <is>
          <t xml:space="preserve">type</t>
        </is>
      </c>
      <c r="B373" t="inlineStr">
        <is>
          <t xml:space="preserve">processwithreferenceproduct</t>
        </is>
      </c>
    </row>
    <row r="374">
      <c r="A374" t="inlineStr">
        <is>
          <t>Exchanges</t>
        </is>
      </c>
    </row>
    <row r="375">
      <c r="A375" t="inlineStr">
        <is>
          <t>name</t>
        </is>
      </c>
      <c r="B375" t="inlineStr">
        <is>
          <t>amount</t>
        </is>
      </c>
      <c r="C375" t="inlineStr">
        <is>
          <t>location</t>
        </is>
      </c>
      <c r="D375" t="inlineStr">
        <is>
          <t>unit</t>
        </is>
      </c>
      <c r="E375" t="inlineStr">
        <is>
          <t>categories</t>
        </is>
      </c>
      <c r="F375" t="inlineStr">
        <is>
          <t>type</t>
        </is>
      </c>
      <c r="G375" t="inlineStr">
        <is>
          <t>reference product</t>
        </is>
      </c>
      <c r="H375" t="inlineStr">
        <is>
          <t>comment</t>
        </is>
      </c>
      <c r="I375" t="inlineStr">
        <is>
          <t>product</t>
        </is>
      </c>
    </row>
    <row r="376">
      <c r="A376" t="inlineStr">
        <is>
          <t xml:space="preserve">market for electricity storage capacity, battery, lithium-ion, lto, high power, fuel cell bus</t>
        </is>
      </c>
      <c r="B376">
        <v>1</v>
      </c>
      <c r="C376" t="inlineStr">
        <is>
          <t>GLO</t>
        </is>
      </c>
      <c r="D376" t="inlineStr">
        <is>
          <t>kilowatt hour</t>
        </is>
      </c>
      <c r="F376" t="inlineStr">
        <is>
          <t>production</t>
        </is>
      </c>
      <c r="G376" t="inlineStr">
        <is>
          <t xml:space="preserve">electricity storage capacity, Li-ion, LTO, high power, fuel cell bus</t>
        </is>
      </c>
      <c r="I376" t="inlineStr">
        <is>
          <t xml:space="preserve">electricity storage capacity, Li-ion, LTO, high power, fuel cell bus</t>
        </is>
      </c>
    </row>
    <row r="377">
      <c r="A377" t="inlineStr">
        <is>
          <t xml:space="preserve">battery pack production, lithium-ion, lto, fuel cell bus, without controls</t>
        </is>
      </c>
      <c r="B377">
        <v>0.0684931506849315</v>
      </c>
      <c r="C377" t="inlineStr">
        <is>
          <t>GLO</t>
        </is>
      </c>
      <c r="D377" t="inlineStr">
        <is>
          <t>unit</t>
        </is>
      </c>
      <c r="F377" t="inlineStr">
        <is>
          <t>technosphere</t>
        </is>
      </c>
      <c r="G377" t="inlineStr">
        <is>
          <t xml:space="preserve">battery pack, Li-ion, LTO, fuel cell bus, without controls</t>
        </is>
      </c>
      <c r="I377" t="inlineStr">
        <is>
          <t xml:space="preserve">battery pack, Li-ion, LTO, fuel cell bus, without controls</t>
        </is>
      </c>
    </row>
    <row r="378">
      <c r="A378" t="inlineStr">
        <is>
          <t xml:space="preserve">battery monitoring and central control system production, lithium-ion, nmc955</t>
        </is>
      </c>
      <c r="B378">
        <v>0.0684931506849315</v>
      </c>
      <c r="C378" t="inlineStr">
        <is>
          <t>GLO</t>
        </is>
      </c>
      <c r="D378" t="inlineStr">
        <is>
          <t>unit</t>
        </is>
      </c>
      <c r="F378" t="inlineStr">
        <is>
          <t>technosphere</t>
        </is>
      </c>
      <c r="G378" t="inlineStr">
        <is>
          <t xml:space="preserve">battery monitoring and central control system, Li-ion, NMC955</t>
        </is>
      </c>
      <c r="I378" t="inlineStr">
        <is>
          <t xml:space="preserve">battery monitoring and central control system, Li-ion, NMC955</t>
        </is>
      </c>
    </row>
    <row r="379">
      <c r="A379" t="inlineStr">
        <is>
          <t>market for used Li-ion battery</t>
        </is>
      </c>
      <c r="B379">
        <v>-17.360410958904108</v>
      </c>
      <c r="C379" t="inlineStr">
        <is>
          <t>GLO</t>
        </is>
      </c>
      <c r="D379" t="inlineStr">
        <is>
          <t>kilogram</t>
        </is>
      </c>
      <c r="F379" t="inlineStr">
        <is>
          <t>technosphere</t>
        </is>
      </c>
      <c r="G379" t="inlineStr">
        <is>
          <t>used Li-ion battery</t>
        </is>
      </c>
      <c r="I379"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 xml:space="preserve">market for battery cell, lithium-ion, lfp, including end-of-life treatment</t>
        </is>
      </c>
      <c r="B11" s="7">
        <f>6.249999999999999</f>
        <v>6.249999999999999</v>
      </c>
      <c r="C11" t="inlineStr">
        <is>
          <t>kilogram</t>
        </is>
      </c>
      <c r="D11" t="inlineStr">
        <is>
          <t>GLO</t>
        </is>
      </c>
      <c r="E11" t="inlineStr">
        <is>
          <t>technosphere</t>
        </is>
      </c>
      <c r="F11" t="inlineStr">
        <is>
          <t xml:space="preserve">battery cell, Li-ion, LFP, including end-of-life treatment</t>
        </is>
      </c>
      <c r="G11">
        <v>5</v>
      </c>
      <c r="H11" s="7">
        <f>6.249999999999999</f>
        <v>6.249999999999999</v>
      </c>
      <c r="I11" s="7">
        <f>5.263157894736842</f>
        <v>5.263157894736842</v>
      </c>
      <c r="J11" s="7">
        <f>7.1428571428571415</f>
        <v>7.1428571428571415</v>
      </c>
    </row>
    <row r="12" spans="1:14" ns3:dyDescent="0.2">
      <c r="A12" t="inlineStr">
        <is>
          <t xml:space="preserve">battery pack component production and end-of-life treatment, lithium-ion, lfp, without cells and controls</t>
        </is>
      </c>
      <c r="B12" s="7">
        <f>1</f>
        <v>1</v>
      </c>
      <c r="C12" t="inlineStr">
        <is>
          <t xml:space="preserve">kilowatt hour</t>
        </is>
      </c>
      <c r="D12" t="inlineStr">
        <is>
          <t>GLO</t>
        </is>
      </c>
      <c r="E12" t="inlineStr">
        <is>
          <t>technosphere</t>
        </is>
      </c>
      <c r="F12" t="inlineStr">
        <is>
          <t xml:space="preserve">battery pack component provision, Li-ion, LFP, without cells and controls</t>
        </is>
      </c>
      <c r="G12">
        <v>0</v>
      </c>
      <c r="H12" s="7">
        <f>1</f>
        <v>1</v>
      </c>
      <c r="I12" s="7">
        <f>1</f>
        <v>1</v>
      </c>
      <c r="J12" s="7">
        <f>1</f>
        <v>1</v>
      </c>
      <c r="K12" t="inlineStr">
        <is>
          <t/>
        </is>
      </c>
      <c r="M12" s="7"/>
      <c r="N12" s="7"/>
    </row>
    <row r="13">
      <c r="A13" t="inlineStr">
        <is>
          <t xml:space="preserve">battery monitoring and central control system production, lithium-ion, lfp</t>
        </is>
      </c>
      <c r="B13">
        <v>0.042349911912183215</v>
      </c>
      <c r="C13" t="inlineStr">
        <is>
          <t>unit</t>
        </is>
      </c>
      <c r="D13" t="inlineStr">
        <is>
          <t>GLO</t>
        </is>
      </c>
      <c r="E13" t="inlineStr">
        <is>
          <t>technosphere</t>
        </is>
      </c>
      <c r="F13" t="inlineStr">
        <is>
          <t xml:space="preserve">battery monitoring and central control system, Li-ion, LFP</t>
        </is>
      </c>
    </row>
    <row r="14" spans="1:14" ht="16" ns3:dyDescent="0.2">
      <c r="A14" s="2" t="s">
        <v>0</v>
      </c>
      <c r="B14" s="2" t="s">
        <v>80</v>
      </c>
    </row>
    <row r="15" spans="1:14" ns3:dyDescent="0.2">
      <c r="A15" t="s">
        <v>1</v>
      </c>
      <c r="B15"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 xml:space="preserve">market for battery cell, lithium-ion, nmc111, including end-of-life treatment</t>
        </is>
      </c>
      <c r="B24" s="3">
        <f>5.555555555555555</f>
        <v>5.555555555555555</v>
      </c>
      <c r="C24" t="inlineStr">
        <is>
          <t>kilogram</t>
        </is>
      </c>
      <c r="D24" t="inlineStr">
        <is>
          <t>GLO</t>
        </is>
      </c>
      <c r="E24" t="inlineStr">
        <is>
          <t>technosphere</t>
        </is>
      </c>
      <c r="F24" t="inlineStr">
        <is>
          <t xml:space="preserve">battery cell, Li-ion, NMC111, including end-of-life treatment</t>
        </is>
      </c>
      <c r="G24">
        <v>5</v>
      </c>
      <c r="H24" s="7">
        <f>5.555555555555555</f>
        <v>5.555555555555555</v>
      </c>
      <c r="I24" s="7">
        <f>5.263157894736842</f>
        <v>5.263157894736842</v>
      </c>
      <c r="J24" s="7">
        <f>7.142857142857141</f>
        <v>7.142857142857141</v>
      </c>
    </row>
    <row r="25" spans="1:14" ns3:dyDescent="0.2">
      <c r="A25" t="inlineStr">
        <is>
          <t xml:space="preserve">battery pack component production and end-of-life treatment, lithium-ion, nmc111, without cells and controls</t>
        </is>
      </c>
      <c r="B25" s="3">
        <f>1</f>
        <v>1</v>
      </c>
      <c r="C25" t="inlineStr">
        <is>
          <t xml:space="preserve">kilowatt hour</t>
        </is>
      </c>
      <c r="D25" t="inlineStr">
        <is>
          <t>GLO</t>
        </is>
      </c>
      <c r="E25" t="inlineStr">
        <is>
          <t>technosphere</t>
        </is>
      </c>
      <c r="F25" t="inlineStr">
        <is>
          <t xml:space="preserve">battery pack component provision, Li-ion, NMC111, without cells and controls</t>
        </is>
      </c>
      <c r="G25">
        <v>0</v>
      </c>
      <c r="H25" s="7">
        <f>1</f>
        <v>1</v>
      </c>
      <c r="I25" s="7">
        <f>1</f>
        <v>1</v>
      </c>
      <c r="J25" s="7">
        <f>1</f>
        <v>1</v>
      </c>
      <c r="K25" t="inlineStr">
        <is>
          <t/>
        </is>
      </c>
      <c r="M25" s="7"/>
      <c r="N25" s="7"/>
    </row>
    <row r="26">
      <c r="A26" t="inlineStr">
        <is>
          <t xml:space="preserve">battery monitoring and central control system production, lithium-ion, nmc111</t>
        </is>
      </c>
      <c r="B26">
        <v>0.046385201265388296</v>
      </c>
      <c r="C26" t="inlineStr">
        <is>
          <t>unit</t>
        </is>
      </c>
      <c r="D26" t="inlineStr">
        <is>
          <t>GLO</t>
        </is>
      </c>
      <c r="E26" t="inlineStr">
        <is>
          <t>technosphere</t>
        </is>
      </c>
      <c r="F26" t="inlineStr">
        <is>
          <t xml:space="preserve">battery monitoring and central control system, Li-ion, NMC111</t>
        </is>
      </c>
    </row>
    <row r="27" spans="1:14" ht="16" ns3:dyDescent="0.2">
      <c r="A27" s="2" t="s">
        <v>0</v>
      </c>
      <c r="B27" s="2" t="s">
        <v>114</v>
      </c>
    </row>
    <row r="28" spans="1:14" ns3:dyDescent="0.2">
      <c r="A28" t="s">
        <v>1</v>
      </c>
      <c r="B28"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 xml:space="preserve">market for battery cell, lithium-ion, nmc532, including end-of-life treatment</t>
        </is>
      </c>
      <c r="B37" s="3">
        <f>4.999999999999999</f>
        <v>4.999999999999999</v>
      </c>
      <c r="C37" t="inlineStr">
        <is>
          <t>kilogram</t>
        </is>
      </c>
      <c r="D37" t="inlineStr">
        <is>
          <t>GLO</t>
        </is>
      </c>
      <c r="E37" t="inlineStr">
        <is>
          <t>technosphere</t>
        </is>
      </c>
      <c r="F37" t="inlineStr">
        <is>
          <t xml:space="preserve">battery cell, Li-ion, NMC532, including end-of-life treatment</t>
        </is>
      </c>
      <c r="G37">
        <v>5</v>
      </c>
      <c r="H37" s="7">
        <f>4.999999999999999</f>
        <v>4.999999999999999</v>
      </c>
      <c r="I37" s="3">
        <f>4.545454545454544</f>
        <v>4.545454545454544</v>
      </c>
      <c r="J37" s="3">
        <f>5.882352941176469</f>
        <v>5.882352941176469</v>
      </c>
    </row>
    <row r="38" spans="1:14" ns3:dyDescent="0.2">
      <c r="A38" t="inlineStr">
        <is>
          <t xml:space="preserve">battery pack component production and end-of-life treatment, lithium-ion, nmc532, without cells and controls</t>
        </is>
      </c>
      <c r="B38" s="3">
        <f>1</f>
        <v>1</v>
      </c>
      <c r="C38" t="inlineStr">
        <is>
          <t xml:space="preserve">kilowatt hour</t>
        </is>
      </c>
      <c r="D38" t="inlineStr">
        <is>
          <t>GLO</t>
        </is>
      </c>
      <c r="E38" t="inlineStr">
        <is>
          <t>technosphere</t>
        </is>
      </c>
      <c r="F38" t="inlineStr">
        <is>
          <t xml:space="preserve">battery pack component provision, Li-ion, NMC532, without cells and controls</t>
        </is>
      </c>
      <c r="G38">
        <v>0</v>
      </c>
      <c r="H38" s="7">
        <f>1</f>
        <v>1</v>
      </c>
      <c r="I38" s="3">
        <f>1</f>
        <v>1</v>
      </c>
      <c r="J38" s="3">
        <f>1</f>
        <v>1</v>
      </c>
      <c r="K38" t="inlineStr">
        <is>
          <t/>
        </is>
      </c>
      <c r="M38" s="3"/>
      <c r="N38" s="3"/>
    </row>
    <row r="39">
      <c r="A39" t="inlineStr">
        <is>
          <t xml:space="preserve">battery monitoring and central control system production, lithium-ion, nmc532</t>
        </is>
      </c>
      <c r="B39">
        <v>0.04628343978524484</v>
      </c>
      <c r="C39" t="inlineStr">
        <is>
          <t>unit</t>
        </is>
      </c>
      <c r="D39" t="inlineStr">
        <is>
          <t>GLO</t>
        </is>
      </c>
      <c r="E39" t="inlineStr">
        <is>
          <t>technosphere</t>
        </is>
      </c>
      <c r="F39" t="inlineStr">
        <is>
          <t xml:space="preserve">battery monitoring and central control system, Li-ion, NMC532</t>
        </is>
      </c>
    </row>
    <row r="40" spans="1:14" ht="16" ns3:dyDescent="0.2">
      <c r="A40" s="2" t="s">
        <v>0</v>
      </c>
      <c r="B40" s="2" t="s">
        <v>81</v>
      </c>
    </row>
    <row r="41" spans="1:14" ns3:dyDescent="0.2">
      <c r="A41" t="s">
        <v>1</v>
      </c>
      <c r="B41"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 xml:space="preserve">market for battery cell, lithium-ion, nmc622, including end-of-life treatment</t>
        </is>
      </c>
      <c r="B50" s="3">
        <f>4.166666666666667</f>
        <v>4.166666666666667</v>
      </c>
      <c r="C50" t="inlineStr">
        <is>
          <t>kilogram</t>
        </is>
      </c>
      <c r="D50" t="inlineStr">
        <is>
          <t>GLO</t>
        </is>
      </c>
      <c r="E50" t="inlineStr">
        <is>
          <t>technosphere</t>
        </is>
      </c>
      <c r="F50" t="inlineStr">
        <is>
          <t xml:space="preserve">battery cell, Li-ion, NMC622, including end-of-life treatment</t>
        </is>
      </c>
      <c r="G50">
        <v>5</v>
      </c>
      <c r="H50" s="7">
        <f>4.166666666666667</f>
        <v>4.166666666666667</v>
      </c>
      <c r="I50" s="3">
        <f>3.571428571428571</f>
        <v>3.571428571428571</v>
      </c>
      <c r="J50" s="3">
        <f>5.000000000000001</f>
        <v>5.000000000000001</v>
      </c>
    </row>
    <row r="51" spans="1:14" ns3:dyDescent="0.2">
      <c r="A51" t="inlineStr">
        <is>
          <t xml:space="preserve">battery pack component production and end-of-life treatment, lithium-ion, nmc622, without cells and controls</t>
        </is>
      </c>
      <c r="B51" s="3">
        <f>1</f>
        <v>1</v>
      </c>
      <c r="C51" t="inlineStr">
        <is>
          <t xml:space="preserve">kilowatt hour</t>
        </is>
      </c>
      <c r="D51" t="inlineStr">
        <is>
          <t>GLO</t>
        </is>
      </c>
      <c r="E51" t="inlineStr">
        <is>
          <t>technosphere</t>
        </is>
      </c>
      <c r="F51" t="inlineStr">
        <is>
          <t xml:space="preserve">battery pack component provision, Li-ion, NMC622, without cells and controls</t>
        </is>
      </c>
      <c r="G51">
        <v>0</v>
      </c>
      <c r="H51" s="7">
        <f>1</f>
        <v>1</v>
      </c>
      <c r="I51" s="3">
        <f>1</f>
        <v>1</v>
      </c>
      <c r="J51" s="3">
        <f>1</f>
        <v>1</v>
      </c>
      <c r="K51" t="inlineStr">
        <is>
          <t/>
        </is>
      </c>
      <c r="M51" s="3"/>
      <c r="N51" s="3"/>
    </row>
    <row r="52">
      <c r="A52" t="inlineStr">
        <is>
          <t xml:space="preserve">battery monitoring and central control system production, lithium-ion, nmc622</t>
        </is>
      </c>
      <c r="B52">
        <v>0.0385695331543707</v>
      </c>
      <c r="C52" t="inlineStr">
        <is>
          <t>unit</t>
        </is>
      </c>
      <c r="D52" t="inlineStr">
        <is>
          <t>GLO</t>
        </is>
      </c>
      <c r="E52" t="inlineStr">
        <is>
          <t>technosphere</t>
        </is>
      </c>
      <c r="F52" t="inlineStr">
        <is>
          <t xml:space="preserve">battery monitoring and central control system, Li-ion, NMC622</t>
        </is>
      </c>
    </row>
    <row r="53" spans="1:14" ht="16" ns3:dyDescent="0.2">
      <c r="A53" s="2" t="s">
        <v>0</v>
      </c>
      <c r="B53" s="2" t="s">
        <v>82</v>
      </c>
    </row>
    <row r="54" spans="1:14" ns3:dyDescent="0.2">
      <c r="A54" t="s">
        <v>1</v>
      </c>
      <c r="B54"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 xml:space="preserve">market for battery cell, lithium-ion, nmc811, including end-of-life treatment</t>
        </is>
      </c>
      <c r="B63" s="3">
        <f>3.571428571428571</f>
        <v>3.571428571428571</v>
      </c>
      <c r="C63" t="inlineStr">
        <is>
          <t>kilogram</t>
        </is>
      </c>
      <c r="D63" t="inlineStr">
        <is>
          <t>GLO</t>
        </is>
      </c>
      <c r="E63" t="inlineStr">
        <is>
          <t>technosphere</t>
        </is>
      </c>
      <c r="F63" t="inlineStr">
        <is>
          <t xml:space="preserve">battery cell, Li-ion, NMC811, including end-of-life treatment</t>
        </is>
      </c>
      <c r="G63">
        <v>5</v>
      </c>
      <c r="H63" s="7">
        <f>3.571428571428571</f>
        <v>3.571428571428571</v>
      </c>
      <c r="I63" s="3">
        <f>2.9411764705882355</f>
        <v>2.9411764705882355</v>
      </c>
      <c r="J63" s="3">
        <f>4.166666666666666</f>
        <v>4.166666666666666</v>
      </c>
    </row>
    <row r="64" spans="1:14" ns3:dyDescent="0.2">
      <c r="A64" t="inlineStr">
        <is>
          <t xml:space="preserve">battery pack component production and end-of-life treatment, lithium-ion, nmc811, without cells and controls</t>
        </is>
      </c>
      <c r="B64" s="3">
        <f>1</f>
        <v>1</v>
      </c>
      <c r="C64" t="inlineStr">
        <is>
          <t xml:space="preserve">kilowatt hour</t>
        </is>
      </c>
      <c r="D64" t="inlineStr">
        <is>
          <t>GLO</t>
        </is>
      </c>
      <c r="E64" t="inlineStr">
        <is>
          <t>technosphere</t>
        </is>
      </c>
      <c r="F64" t="inlineStr">
        <is>
          <t xml:space="preserve">battery pack component provision, Li-ion, NMC811, without cells and controls</t>
        </is>
      </c>
      <c r="G64">
        <v>0</v>
      </c>
      <c r="H64" s="7">
        <f>1</f>
        <v>1</v>
      </c>
      <c r="I64" s="3">
        <f>1</f>
        <v>1</v>
      </c>
      <c r="J64" s="3">
        <f>1</f>
        <v>1</v>
      </c>
      <c r="K64" t="inlineStr">
        <is>
          <t/>
        </is>
      </c>
      <c r="M64" s="3"/>
      <c r="N64" s="3"/>
    </row>
    <row r="65">
      <c r="A65" t="inlineStr">
        <is>
          <t xml:space="preserve">battery monitoring and central control system production, lithium-ion, nmc811</t>
        </is>
      </c>
      <c r="B65">
        <v>0.03178275848917479</v>
      </c>
      <c r="C65" t="inlineStr">
        <is>
          <t>unit</t>
        </is>
      </c>
      <c r="D65" t="inlineStr">
        <is>
          <t>GLO</t>
        </is>
      </c>
      <c r="E65" t="inlineStr">
        <is>
          <t>technosphere</t>
        </is>
      </c>
      <c r="F65" t="inlineStr">
        <is>
          <t xml:space="preserve">battery monitoring and central control system, Li-ion, NMC811</t>
        </is>
      </c>
    </row>
    <row r="66" spans="1:14" ht="16" ns3:dyDescent="0.2">
      <c r="A66" s="2" t="s">
        <v>0</v>
      </c>
      <c r="B66" s="2" t="s">
        <v>83</v>
      </c>
    </row>
    <row r="67" spans="1:14" ns3:dyDescent="0.2">
      <c r="A67" t="s">
        <v>1</v>
      </c>
      <c r="B67"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 xml:space="preserve">market for battery cell, lithium-ion, nmc955, including end-of-life treatment</t>
        </is>
      </c>
      <c r="B76" s="3">
        <f>2.941176470588235</f>
        <v>2.941176470588235</v>
      </c>
      <c r="C76" t="inlineStr">
        <is>
          <t>kilogram</t>
        </is>
      </c>
      <c r="D76" t="inlineStr">
        <is>
          <t>GLO</t>
        </is>
      </c>
      <c r="E76" t="inlineStr">
        <is>
          <t>technosphere</t>
        </is>
      </c>
      <c r="F76" t="inlineStr">
        <is>
          <t xml:space="preserve">battery cell, Li-ion, NMC955, including end-of-life treatment</t>
        </is>
      </c>
      <c r="G76">
        <v>5</v>
      </c>
      <c r="H76" s="7">
        <f>2.941176470588235</f>
        <v>2.941176470588235</v>
      </c>
      <c r="I76" s="3">
        <f>2.6315789473684212</f>
        <v>2.6315789473684212</v>
      </c>
      <c r="J76" s="3">
        <f>3.333333333333334</f>
        <v>3.333333333333334</v>
      </c>
    </row>
    <row r="77" spans="1:14" ns3:dyDescent="0.2">
      <c r="A77" t="inlineStr">
        <is>
          <t xml:space="preserve">battery pack component production and end-of-life treatment, lithium-ion, nmc955, without cells and controls</t>
        </is>
      </c>
      <c r="B77" s="3">
        <f>1</f>
        <v>1</v>
      </c>
      <c r="C77" t="inlineStr">
        <is>
          <t xml:space="preserve">kilowatt hour</t>
        </is>
      </c>
      <c r="D77" t="inlineStr">
        <is>
          <t>GLO</t>
        </is>
      </c>
      <c r="E77" t="inlineStr">
        <is>
          <t>technosphere</t>
        </is>
      </c>
      <c r="F77" t="inlineStr">
        <is>
          <t xml:space="preserve">battery pack component provision, Li-ion, NMC955, without cells and controls</t>
        </is>
      </c>
      <c r="G77">
        <v>0</v>
      </c>
      <c r="H77" s="7">
        <f>1</f>
        <v>1</v>
      </c>
      <c r="I77" s="3">
        <f>1</f>
        <v>1</v>
      </c>
      <c r="J77" s="3">
        <f>1</f>
        <v>1</v>
      </c>
      <c r="K77" t="inlineStr">
        <is>
          <t/>
        </is>
      </c>
      <c r="M77" s="3"/>
      <c r="N77" s="3"/>
    </row>
    <row r="79">
      <c r="A79" t="inlineStr">
        <is>
          <t xml:space="preserve">battery monitoring and central control system production, lithium-ion, nmc955</t>
        </is>
      </c>
      <c r="B79">
        <v>0.027225552814849903</v>
      </c>
      <c r="C79" t="inlineStr">
        <is>
          <t>unit</t>
        </is>
      </c>
      <c r="D79" t="inlineStr">
        <is>
          <t>GLO</t>
        </is>
      </c>
      <c r="E79" t="inlineStr">
        <is>
          <t>technosphere</t>
        </is>
      </c>
      <c r="F79" t="inlineStr">
        <is>
          <t xml:space="preserve">battery monitoring and central control system, Li-ion, NMC955</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 xml:space="preserve">market for used redox-flow battery, vanadium</t>
        </is>
      </c>
      <c r="B91" s="3">
        <v>-59.64062663729406</v>
      </c>
      <c r="C91" t="s">
        <v>7</v>
      </c>
      <c r="D91" t="s">
        <v>3</v>
      </c>
      <c r="E91" t="s">
        <v>14</v>
      </c>
      <c r="F91" t="inlineStr">
        <is>
          <t xml:space="preserve">used redox-flow battery, vanadium</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