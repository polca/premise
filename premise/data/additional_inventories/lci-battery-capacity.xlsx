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<sst xmlns="http://schemas.openxmlformats.org/spreadsheetml/2006/main" count="1378" uniqueCount="116">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</sst>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15.871408268944903</f>
        <v>15.871408268944903</v>
      </c>
      <c r="C104" t="s">
        <v>7</v>
      </c>
      <c r="D104" t="s">
        <v>3</v>
      </c>
      <c r="E104" t="s">
        <v>14</v>
      </c>
      <c r="F104" t="inlineStr">
        <is>
          <t>battery hardware, Li-ion, LTO, engineering reference</t>
        </is>
      </c>
      <c r="G104">
        <v>5</v>
      </c>
      <c r="H104" s="7">
        <f>15.871408268944903</f>
        <v>15.871408268944903</v>
      </c>
      <c r="I104" s="7">
        <f>11.903556201708676</f>
        <v>11.903556201708676</v>
      </c>
      <c r="J104" s="7">
        <f>19.839260336181127</f>
        <v>19.839260336181127</v>
      </c>
    </row>
    <row r="105" spans="1:14" ns3:dyDescent="0.2">
      <c r="A105" t="s">
        <v>53</v>
      </c>
      <c r="B105" s="3">
        <f>-15.871408268944903</f>
        <v>-15.871408268944903</v>
      </c>
      <c r="C105" t="s">
        <v>7</v>
      </c>
      <c r="D105" t="s">
        <v>3</v>
      </c>
      <c r="E105" t="s">
        <v>14</v>
      </c>
      <c r="F105" t="s">
        <v>54</v>
      </c>
      <c r="G105">
        <v>5</v>
      </c>
      <c r="H105" s="7">
        <f>-15.871408268944903</f>
        <v>-15.871408268944903</v>
      </c>
      <c r="I105" s="7">
        <f>-19.839260336181127</f>
        <v>-19.839260336181127</v>
      </c>
      <c r="J105" s="7">
        <f>-11.903556201708676</f>
        <v>-11.903556201708676</v>
      </c>
      <c r="K105" t="b">
        <v>1</v>
      </c>
      <c r="M105" s="7"/>
      <c r="N105" s="7"/>
    </row>
    <row r="106">
      <c r="A106" t="inlineStr">
        <is>
          <t>battery monitoring and central controls, LTO, engineering reference</t>
        </is>
      </c>
      <c r="B106">
        <v>0.10890221125939961</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1/(0.157*$B$114)</f>
        <v>8.474582023338275</v>
      </c>
      <c r="C118" t="s">
        <v>7</v>
      </c>
      <c r="D118" t="s">
        <v>3</v>
      </c>
      <c r="E118" t="s">
        <v>14</v>
      </c>
      <c r="F118" t="s">
        <v>40</v>
      </c>
      <c r="G118">
        <v>5</v>
      </c>
      <c r="H118" s="7">
        <f>B118</f>
        <v>8.474582023338275</v>
      </c>
      <c r="I118" s="3">
        <f>1/(0.18*$B$114)</f>
        <v>7.391718764800606</v>
      </c>
      <c r="J118" s="3">
        <f>1/(0.12*$B$114)</f>
        <v>11.08757814720091</v>
      </c>
    </row>
    <row r="119" spans="1:14" ns3:dyDescent="0.2">
      <c r="A119" t="s">
        <v>53</v>
      </c>
      <c r="B119" s="3">
        <f>-1*B118</f>
        <v>-8.474582023338275</v>
      </c>
      <c r="C119" t="s">
        <v>7</v>
      </c>
      <c r="D119" t="s">
        <v>3</v>
      </c>
      <c r="E119" t="s">
        <v>14</v>
      </c>
      <c r="F119" t="s">
        <v>54</v>
      </c>
      <c r="G119">
        <v>5</v>
      </c>
      <c r="H119" s="7">
        <f>B119</f>
        <v>-8.474582023338275</v>
      </c>
      <c r="I119" s="3">
        <f>-1/(0.12*$B$114)</f>
        <v>-11.08757814720091</v>
      </c>
      <c r="J119" s="3">
        <f>-1/(0.18*$B$114)</f>
        <v>-7.391718764800606</v>
      </c>
      <c r="K119" t="b">
        <v>1</v>
      </c>
      <c r="M119" s="3"/>
      <c r="N119" s="3"/>
    </row>
    <row r="120">
      <c r="A120" t="inlineStr">
        <is>
          <t>battery controls and cooling, 16-module engineering reference</t>
        </is>
      </c>
      <c r="B120">
        <v>0.02121105988781555</v>
      </c>
      <c r="C120" t="inlineStr">
        <is>
          <t>unit</t>
        </is>
      </c>
      <c r="D120" t="inlineStr">
        <is>
          <t>GLO</t>
        </is>
      </c>
      <c r="E120" t="inlineStr">
        <is>
          <t>technosphere</t>
        </is>
      </c>
      <c r="F120" t="inlineStr">
        <is>
          <t>battery controls and cooling, 16-module engineering reference</t>
        </is>
      </c>
      <c r="L120" t="inlineStr">
        <is>
          <t>Engineering auxiliary input; fixed unit reference, includes own separate15.6176kg waste.</t>
        </is>
      </c>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