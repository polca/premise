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<sst xmlns="http://schemas.openxmlformats.org/spreadsheetml/2006/main" count="1378" uniqueCount="116">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</sst>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4"/>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cells, Li-ion, LFP, density-scaled reference</t>
        </is>
      </c>
      <c r="B13" s="7">
        <f>6.249999999999999</f>
        <v>6.249999999999999</v>
      </c>
      <c r="C13" t="s">
        <v>7</v>
      </c>
      <c r="D13" t="inlineStr">
        <is>
          <t>GLO</t>
        </is>
      </c>
      <c r="E13" t="s">
        <v>14</v>
      </c>
      <c r="F13" t="inlineStr">
        <is>
          <t>market for battery cells, Li-ion, LFP, density-scaled reference</t>
        </is>
      </c>
      <c r="G13">
        <v>5</v>
      </c>
      <c r="H13" s="7">
        <f>6.249999999999999</f>
        <v>6.249999999999999</v>
      </c>
      <c r="I13" s="7">
        <f>5.263157894736842</f>
        <v>5.263157894736842</v>
      </c>
      <c r="J13" s="7">
        <f>7.1428571428571415</f>
        <v>7.1428571428571415</v>
      </c>
    </row>
    <row r="14" spans="1:14" ns3:dyDescent="0.2">
      <c r="A14" t="inlineStr">
        <is>
          <t>battery fixed noncell hardware, Li-ion, LFP, baseline-kWh reference</t>
        </is>
      </c>
      <c r="B14" s="7">
        <f>1</f>
        <v>1</v>
      </c>
      <c r="C14" t="inlineStr">
        <is>
          <t>unit</t>
        </is>
      </c>
      <c r="D14" t="inlineStr">
        <is>
          <t>GLO</t>
        </is>
      </c>
      <c r="E14" t="s">
        <v>14</v>
      </c>
      <c r="F14" t="inlineStr">
        <is>
          <t>battery fixed noncell hardware, Li-ion, LFP, baseline-kWh reference</t>
        </is>
      </c>
      <c r="G14">
        <v>0</v>
      </c>
      <c r="H14" s="7">
        <f>1</f>
        <v>1</v>
      </c>
      <c r="I14" s="7">
        <f>1</f>
        <v>1</v>
      </c>
      <c r="J14" s="7">
        <f>1</f>
        <v>1</v>
      </c>
      <c r="K14" t="inlineStr">
        <is>
          <t/>
        </is>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cells, Li-ion, NMC111, density-scaled reference</t>
        </is>
      </c>
      <c r="B26" s="3">
        <f>5.555555555555555</f>
        <v>5.555555555555555</v>
      </c>
      <c r="C26" t="s">
        <v>7</v>
      </c>
      <c r="D26" t="inlineStr">
        <is>
          <t>GLO</t>
        </is>
      </c>
      <c r="E26" t="s">
        <v>14</v>
      </c>
      <c r="F26" t="inlineStr">
        <is>
          <t>market for battery cells, Li-ion, NMC111, density-scaled reference</t>
        </is>
      </c>
      <c r="G26">
        <v>5</v>
      </c>
      <c r="H26" s="7">
        <f>5.555555555555555</f>
        <v>5.555555555555555</v>
      </c>
      <c r="I26" s="7">
        <f>5.263157894736842</f>
        <v>5.263157894736842</v>
      </c>
      <c r="J26" s="7">
        <f>7.142857142857141</f>
        <v>7.142857142857141</v>
      </c>
    </row>
    <row r="27" spans="1:14" ns3:dyDescent="0.2">
      <c r="A27" t="inlineStr">
        <is>
          <t>battery fixed noncell hardware, Li-ion, NMC111, baseline-kWh reference</t>
        </is>
      </c>
      <c r="B27" s="3">
        <f>1</f>
        <v>1</v>
      </c>
      <c r="C27" t="inlineStr">
        <is>
          <t>unit</t>
        </is>
      </c>
      <c r="D27" t="inlineStr">
        <is>
          <t>GLO</t>
        </is>
      </c>
      <c r="E27" t="s">
        <v>14</v>
      </c>
      <c r="F27" t="inlineStr">
        <is>
          <t>battery fixed noncell hardware, Li-ion, NMC111, baseline-kWh reference</t>
        </is>
      </c>
      <c r="G27">
        <v>0</v>
      </c>
      <c r="H27" s="7">
        <f>1</f>
        <v>1</v>
      </c>
      <c r="I27" s="7">
        <f>1</f>
        <v>1</v>
      </c>
      <c r="J27" s="7">
        <f>1</f>
        <v>1</v>
      </c>
      <c r="K27" t="inlineStr">
        <is>
          <t/>
        </is>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cells, Li-ion, NMC532, density-scaled reference</t>
        </is>
      </c>
      <c r="B39" s="3">
        <f>4.999999999999999</f>
        <v>4.999999999999999</v>
      </c>
      <c r="C39" t="s">
        <v>7</v>
      </c>
      <c r="D39" t="inlineStr">
        <is>
          <t>GLO</t>
        </is>
      </c>
      <c r="E39" t="s">
        <v>14</v>
      </c>
      <c r="F39" t="inlineStr">
        <is>
          <t>market for battery cells, Li-ion, NMC532, density-scaled reference</t>
        </is>
      </c>
      <c r="G39">
        <v>5</v>
      </c>
      <c r="H39" s="7">
        <f>4.999999999999999</f>
        <v>4.999999999999999</v>
      </c>
      <c r="I39" s="3">
        <f>4.545454545454544</f>
        <v>4.545454545454544</v>
      </c>
      <c r="J39" s="3">
        <f>5.882352941176469</f>
        <v>5.882352941176469</v>
      </c>
    </row>
    <row r="40" spans="1:14" ns3:dyDescent="0.2">
      <c r="A40" t="inlineStr">
        <is>
          <t>battery fixed noncell hardware, Li-ion, NMC532, baseline-kWh reference</t>
        </is>
      </c>
      <c r="B40" s="3">
        <f>1</f>
        <v>1</v>
      </c>
      <c r="C40" t="inlineStr">
        <is>
          <t>unit</t>
        </is>
      </c>
      <c r="D40" t="inlineStr">
        <is>
          <t>GLO</t>
        </is>
      </c>
      <c r="E40" t="s">
        <v>14</v>
      </c>
      <c r="F40" t="inlineStr">
        <is>
          <t>battery fixed noncell hardware, Li-ion, NMC532, baseline-kWh reference</t>
        </is>
      </c>
      <c r="G40">
        <v>0</v>
      </c>
      <c r="H40" s="7">
        <f>1</f>
        <v>1</v>
      </c>
      <c r="I40" s="3">
        <f>1</f>
        <v>1</v>
      </c>
      <c r="J40" s="3">
        <f>1</f>
        <v>1</v>
      </c>
      <c r="K40" t="inlineStr">
        <is>
          <t/>
        </is>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cells, Li-ion, NMC622, density-scaled reference</t>
        </is>
      </c>
      <c r="B52" s="3">
        <f>4.166666666666667</f>
        <v>4.166666666666667</v>
      </c>
      <c r="C52" t="s">
        <v>7</v>
      </c>
      <c r="D52" t="inlineStr">
        <is>
          <t>GLO</t>
        </is>
      </c>
      <c r="E52" t="s">
        <v>14</v>
      </c>
      <c r="F52" t="inlineStr">
        <is>
          <t>market for battery cells, Li-ion, NMC622, density-scaled reference</t>
        </is>
      </c>
      <c r="G52">
        <v>5</v>
      </c>
      <c r="H52" s="7">
        <f>4.166666666666667</f>
        <v>4.166666666666667</v>
      </c>
      <c r="I52" s="3">
        <f>3.571428571428571</f>
        <v>3.571428571428571</v>
      </c>
      <c r="J52" s="3">
        <f>5.000000000000001</f>
        <v>5.000000000000001</v>
      </c>
    </row>
    <row r="53" spans="1:14" ns3:dyDescent="0.2">
      <c r="A53" t="inlineStr">
        <is>
          <t>battery fixed noncell hardware, Li-ion, NMC622, baseline-kWh reference</t>
        </is>
      </c>
      <c r="B53" s="3">
        <f>1</f>
        <v>1</v>
      </c>
      <c r="C53" t="inlineStr">
        <is>
          <t>unit</t>
        </is>
      </c>
      <c r="D53" t="inlineStr">
        <is>
          <t>GLO</t>
        </is>
      </c>
      <c r="E53" t="s">
        <v>14</v>
      </c>
      <c r="F53" t="inlineStr">
        <is>
          <t>battery fixed noncell hardware, Li-ion, NMC622, baseline-kWh reference</t>
        </is>
      </c>
      <c r="G53">
        <v>0</v>
      </c>
      <c r="H53" s="7">
        <f>1</f>
        <v>1</v>
      </c>
      <c r="I53" s="3">
        <f>1</f>
        <v>1</v>
      </c>
      <c r="J53" s="3">
        <f>1</f>
        <v>1</v>
      </c>
      <c r="K53" t="inlineStr">
        <is>
          <t/>
        </is>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cells, Li-ion, NMC811, density-scaled reference</t>
        </is>
      </c>
      <c r="B65" s="3">
        <f>3.571428571428571</f>
        <v>3.571428571428571</v>
      </c>
      <c r="C65" t="s">
        <v>7</v>
      </c>
      <c r="D65" t="inlineStr">
        <is>
          <t>GLO</t>
        </is>
      </c>
      <c r="E65" t="s">
        <v>14</v>
      </c>
      <c r="F65" t="inlineStr">
        <is>
          <t>market for battery cells, Li-ion, NMC811, density-scaled reference</t>
        </is>
      </c>
      <c r="G65">
        <v>5</v>
      </c>
      <c r="H65" s="7">
        <f>3.571428571428571</f>
        <v>3.571428571428571</v>
      </c>
      <c r="I65" s="3">
        <f>2.9411764705882355</f>
        <v>2.9411764705882355</v>
      </c>
      <c r="J65" s="3">
        <f>4.166666666666666</f>
        <v>4.166666666666666</v>
      </c>
    </row>
    <row r="66" spans="1:14" ns3:dyDescent="0.2">
      <c r="A66" t="inlineStr">
        <is>
          <t>battery fixed noncell hardware, Li-ion, NMC811, baseline-kWh reference</t>
        </is>
      </c>
      <c r="B66" s="3">
        <f>1</f>
        <v>1</v>
      </c>
      <c r="C66" t="inlineStr">
        <is>
          <t>unit</t>
        </is>
      </c>
      <c r="D66" t="inlineStr">
        <is>
          <t>GLO</t>
        </is>
      </c>
      <c r="E66" t="s">
        <v>14</v>
      </c>
      <c r="F66" t="inlineStr">
        <is>
          <t>battery fixed noncell hardware, Li-ion, NMC811, baseline-kWh reference</t>
        </is>
      </c>
      <c r="G66">
        <v>0</v>
      </c>
      <c r="H66" s="7">
        <f>1</f>
        <v>1</v>
      </c>
      <c r="I66" s="3">
        <f>1</f>
        <v>1</v>
      </c>
      <c r="J66" s="3">
        <f>1</f>
        <v>1</v>
      </c>
      <c r="K66" t="inlineStr">
        <is>
          <t/>
        </is>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cells, Li-ion, NMC955, density-scaled reference</t>
        </is>
      </c>
      <c r="B78" s="3">
        <f>2.941176470588235</f>
        <v>2.941176470588235</v>
      </c>
      <c r="C78" t="s">
        <v>7</v>
      </c>
      <c r="D78" t="inlineStr">
        <is>
          <t>GLO</t>
        </is>
      </c>
      <c r="E78" t="s">
        <v>14</v>
      </c>
      <c r="F78" t="inlineStr">
        <is>
          <t>market for battery cells, Li-ion, NMC955, density-scaled reference</t>
        </is>
      </c>
      <c r="G78">
        <v>5</v>
      </c>
      <c r="H78" s="7">
        <f>2.941176470588235</f>
        <v>2.941176470588235</v>
      </c>
      <c r="I78" s="3">
        <f>2.6315789473684212</f>
        <v>2.6315789473684212</v>
      </c>
      <c r="J78" s="3">
        <f>3.333333333333334</f>
        <v>3.333333333333334</v>
      </c>
    </row>
    <row r="79" spans="1:14" ns3:dyDescent="0.2">
      <c r="A79" t="inlineStr">
        <is>
          <t>battery fixed noncell hardware, Li-ion, NMC955, baseline-kWh reference</t>
        </is>
      </c>
      <c r="B79" s="3">
        <f>1</f>
        <v>1</v>
      </c>
      <c r="C79" t="inlineStr">
        <is>
          <t>unit</t>
        </is>
      </c>
      <c r="D79" t="inlineStr">
        <is>
          <t>GLO</t>
        </is>
      </c>
      <c r="E79" t="s">
        <v>14</v>
      </c>
      <c r="F79" t="inlineStr">
        <is>
          <t>battery fixed noncell hardware, Li-ion, NMC955, baseline-kWh reference</t>
        </is>
      </c>
      <c r="G79">
        <v>0</v>
      </c>
      <c r="H79" s="7">
        <f>1</f>
        <v>1</v>
      </c>
      <c r="I79" s="3">
        <f>1</f>
        <v>1</v>
      </c>
      <c r="J79" s="3">
        <f>1</f>
        <v>1</v>
      </c>
      <c r="K79" t="inlineStr">
        <is>
          <t/>
        </is>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cells, Li-ion, NCA, density-scaled reference</t>
        </is>
      </c>
      <c r="B91" s="3">
        <f>3.571428571428571</f>
        <v>3.571428571428571</v>
      </c>
      <c r="C91" t="s">
        <v>7</v>
      </c>
      <c r="D91" t="inlineStr">
        <is>
          <t>GLO</t>
        </is>
      </c>
      <c r="E91" t="s">
        <v>14</v>
      </c>
      <c r="F91" t="inlineStr">
        <is>
          <t>market for battery cells, Li-ion, NCA, density-scaled reference</t>
        </is>
      </c>
      <c r="G91">
        <v>5</v>
      </c>
      <c r="H91" s="7">
        <f>3.571428571428571</f>
        <v>3.571428571428571</v>
      </c>
      <c r="I91" s="3">
        <f>2.9411764705882355</f>
        <v>2.9411764705882355</v>
      </c>
      <c r="J91" s="3">
        <f>4.166666666666667</f>
        <v>4.166666666666667</v>
      </c>
    </row>
    <row r="92" spans="1:14" ns3:dyDescent="0.2">
      <c r="A92" t="inlineStr">
        <is>
          <t>battery fixed noncell hardware, Li-ion, NCA, baseline-kWh reference</t>
        </is>
      </c>
      <c r="B92" s="3">
        <f>1</f>
        <v>1</v>
      </c>
      <c r="C92" t="inlineStr">
        <is>
          <t>unit</t>
        </is>
      </c>
      <c r="D92" t="inlineStr">
        <is>
          <t>GLO</t>
        </is>
      </c>
      <c r="E92" t="s">
        <v>14</v>
      </c>
      <c r="F92" t="inlineStr">
        <is>
          <t>battery fixed noncell hardware, Li-ion, NCA, baseline-kWh reference</t>
        </is>
      </c>
      <c r="G92">
        <v>0</v>
      </c>
      <c r="H92" s="7">
        <f>1</f>
        <v>1</v>
      </c>
      <c r="I92" s="3">
        <f>1</f>
        <v>1</v>
      </c>
      <c r="J92" s="3">
        <f>1</f>
        <v>1</v>
      </c>
      <c r="K92" t="inlineStr">
        <is>
          <t/>
        </is>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cells, Li-ion, LTO, density-scaled reference</t>
        </is>
      </c>
      <c r="B104" s="3">
        <f>16.558558534285197</f>
        <v>16.558558534285197</v>
      </c>
      <c r="C104" t="s">
        <v>7</v>
      </c>
      <c r="D104" t="inlineStr">
        <is>
          <t>GLO</t>
        </is>
      </c>
      <c r="E104" t="s">
        <v>14</v>
      </c>
      <c r="F104" t="inlineStr">
        <is>
          <t>market for battery cells, Li-ion, LTO, density-scaled reference</t>
        </is>
      </c>
      <c r="G104">
        <v>5</v>
      </c>
      <c r="H104" s="7">
        <f>16.558558534285197</f>
        <v>16.558558534285197</v>
      </c>
      <c r="I104" s="7">
        <f>12.4189189007139</f>
        <v>12.4189189007139</v>
      </c>
      <c r="J104" s="7">
        <f>20.698198167856496</f>
        <v>20.698198167856496</v>
      </c>
    </row>
    <row r="105" spans="1:14" ns3:dyDescent="0.2">
      <c r="A105" t="inlineStr">
        <is>
          <t>battery fixed noncell hardware, Li-ion, LTO, baseline-kWh reference</t>
        </is>
      </c>
      <c r="B105" s="3">
        <f>1</f>
        <v>1</v>
      </c>
      <c r="C105" t="inlineStr">
        <is>
          <t>unit</t>
        </is>
      </c>
      <c r="D105" t="inlineStr">
        <is>
          <t>GLO</t>
        </is>
      </c>
      <c r="E105" t="s">
        <v>14</v>
      </c>
      <c r="F105" t="inlineStr">
        <is>
          <t>battery fixed noncell hardware, Li-ion, LTO, baseline-kWh reference</t>
        </is>
      </c>
      <c r="G105">
        <v>0</v>
      </c>
      <c r="H105" s="7">
        <f>1</f>
        <v>1</v>
      </c>
      <c r="I105" s="7">
        <f>1</f>
        <v>1</v>
      </c>
      <c r="J105" s="7">
        <f>1</f>
        <v>1</v>
      </c>
      <c r="K105" t="inlineStr">
        <is>
          <t/>
        </is>
      </c>
      <c r="M105" s="7"/>
      <c r="N105" s="7"/>
    </row>
    <row r="106">
      <c r="A106" t="inlineStr">
        <is>
          <t>battery monitoring and central controls, LTO, engineering reference</t>
        </is>
      </c>
      <c r="B106">
        <v>0.1532774093704082</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cells, Li-ion, LiMn2O4, density-scaled reference</t>
        </is>
      </c>
      <c r="B117" s="3">
        <f>7.692307692307694</f>
        <v>7.692307692307694</v>
      </c>
      <c r="C117" t="s">
        <v>7</v>
      </c>
      <c r="D117" t="inlineStr">
        <is>
          <t>GLO</t>
        </is>
      </c>
      <c r="E117" t="s">
        <v>14</v>
      </c>
      <c r="F117" t="inlineStr">
        <is>
          <t>market for battery cells, Li-ion, LiMn2O4, density-scaled reference</t>
        </is>
      </c>
      <c r="G117">
        <v>5</v>
      </c>
      <c r="H117" s="7">
        <f>7.692307692307695</f>
        <v>7.692307692307695</v>
      </c>
      <c r="I117" s="7">
        <f>5.76923076923077</f>
        <v>5.76923076923077</v>
      </c>
      <c r="J117" s="7">
        <f>9.615384615384617</f>
        <v>9.615384615384617</v>
      </c>
    </row>
    <row r="118" spans="1:14" ns3:dyDescent="0.2">
      <c r="A118" t="inlineStr">
        <is>
          <t>battery fixed noncell hardware, Li-ion, LiMn2O4, baseline-kWh reference</t>
        </is>
      </c>
      <c r="B118" s="3">
        <f>1</f>
        <v>1</v>
      </c>
      <c r="C118" t="inlineStr">
        <is>
          <t>unit</t>
        </is>
      </c>
      <c r="D118" t="inlineStr">
        <is>
          <t>GLO</t>
        </is>
      </c>
      <c r="E118" t="s">
        <v>14</v>
      </c>
      <c r="F118" t="inlineStr">
        <is>
          <t>battery fixed noncell hardware, Li-ion, LiMn2O4, baseline-kWh reference</t>
        </is>
      </c>
      <c r="G118">
        <v>0</v>
      </c>
      <c r="H118" s="7">
        <f>1</f>
        <v>1</v>
      </c>
      <c r="I118" s="7">
        <f>1</f>
        <v>1</v>
      </c>
      <c r="J118" s="7">
        <f>1</f>
        <v>1</v>
      </c>
      <c r="K118" t="inlineStr">
        <is>
          <t/>
        </is>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inlineStr">
        <is>
          <t>market for battery cells, Li-sulfur, Li-S, density-scaled reference</t>
        </is>
      </c>
      <c r="B130" s="3">
        <f>6.666666666666667</f>
        <v>6.666666666666667</v>
      </c>
      <c r="C130" t="s">
        <v>7</v>
      </c>
      <c r="D130" t="inlineStr">
        <is>
          <t>GLO</t>
        </is>
      </c>
      <c r="E130" t="s">
        <v>14</v>
      </c>
      <c r="F130" t="inlineStr">
        <is>
          <t>market for battery cells, Li-sulfur, Li-S, density-scaled reference</t>
        </is>
      </c>
      <c r="G130">
        <v>5</v>
      </c>
      <c r="H130" s="7">
        <f>6.666666666666667</f>
        <v>6.666666666666667</v>
      </c>
      <c r="I130" s="3">
        <f>5.555555555555555</f>
        <v>5.555555555555555</v>
      </c>
      <c r="J130" s="3">
        <f>8.333333333333334</f>
        <v>8.333333333333334</v>
      </c>
    </row>
    <row r="131" spans="1:14" ns3:dyDescent="0.2">
      <c r="A131" t="inlineStr">
        <is>
          <t>battery fixed noncell hardware, Li-sulfur, Li-S, baseline-kWh reference</t>
        </is>
      </c>
      <c r="B131" s="3">
        <f>1</f>
        <v>1</v>
      </c>
      <c r="C131" t="inlineStr">
        <is>
          <t>unit</t>
        </is>
      </c>
      <c r="D131" t="inlineStr">
        <is>
          <t>GLO</t>
        </is>
      </c>
      <c r="E131" t="s">
        <v>14</v>
      </c>
      <c r="F131" t="inlineStr">
        <is>
          <t>battery fixed noncell hardware, Li-sulfur, Li-S, baseline-kWh reference</t>
        </is>
      </c>
      <c r="G131">
        <v>0</v>
      </c>
      <c r="H131" s="7">
        <f>1</f>
        <v>1</v>
      </c>
      <c r="I131" s="3">
        <f>1</f>
        <v>1</v>
      </c>
      <c r="J131" s="3">
        <f>1</f>
        <v>1</v>
      </c>
      <c r="K131" t="inlineStr">
        <is>
          <t/>
        </is>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cells, Li-ion, Li-O2, density-scaled reference</t>
        </is>
      </c>
      <c r="B143" s="3">
        <f>2.875590551181102</f>
        <v>2.875590551181102</v>
      </c>
      <c r="C143" t="s">
        <v>7</v>
      </c>
      <c r="D143" t="inlineStr">
        <is>
          <t>GLO</t>
        </is>
      </c>
      <c r="E143" t="s">
        <v>14</v>
      </c>
      <c r="F143" t="inlineStr">
        <is>
          <t>market for battery cells, Li-ion, Li-O2, density-scaled reference</t>
        </is>
      </c>
      <c r="G143">
        <v>5</v>
      </c>
      <c r="H143" s="7">
        <f>2.875590551181102</f>
        <v>2.875590551181102</v>
      </c>
      <c r="I143" s="7">
        <f>2.1566929133858266</f>
        <v>2.1566929133858266</v>
      </c>
      <c r="J143" s="7">
        <f>3.5944881889763773</f>
        <v>3.5944881889763773</v>
      </c>
    </row>
    <row r="144" spans="1:14" ns3:dyDescent="0.2">
      <c r="A144" t="inlineStr">
        <is>
          <t>battery fixed noncell hardware, Li-ion, Li-O2, baseline-kWh reference</t>
        </is>
      </c>
      <c r="B144" s="3">
        <f>1</f>
        <v>1</v>
      </c>
      <c r="C144" t="inlineStr">
        <is>
          <t>unit</t>
        </is>
      </c>
      <c r="D144" t="inlineStr">
        <is>
          <t>GLO</t>
        </is>
      </c>
      <c r="E144" t="s">
        <v>14</v>
      </c>
      <c r="F144" t="inlineStr">
        <is>
          <t>battery fixed noncell hardware, Li-ion, Li-O2, baseline-kWh reference</t>
        </is>
      </c>
      <c r="G144">
        <v>0</v>
      </c>
      <c r="H144" s="7">
        <f>1</f>
        <v>1</v>
      </c>
      <c r="I144" s="7">
        <f>1</f>
        <v>1</v>
      </c>
      <c r="J144" s="7">
        <f>1</f>
        <v>1</v>
      </c>
      <c r="K144" t="inlineStr">
        <is>
          <t/>
        </is>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inlineStr">
        <is>
          <t>market for battery cells, Sodium-ion, SiB, density-scaled reference</t>
        </is>
      </c>
      <c r="B156" s="3">
        <f>6.369426751592357</f>
        <v>6.369426751592357</v>
      </c>
      <c r="C156" t="s">
        <v>7</v>
      </c>
      <c r="D156" t="inlineStr">
        <is>
          <t>GLO</t>
        </is>
      </c>
      <c r="E156" t="s">
        <v>14</v>
      </c>
      <c r="F156" t="inlineStr">
        <is>
          <t>market for battery cells, Sodium-ion, SiB, density-scaled reference</t>
        </is>
      </c>
      <c r="G156">
        <v>5</v>
      </c>
      <c r="H156" s="7">
        <f>6.369426751592357</f>
        <v>6.369426751592357</v>
      </c>
      <c r="I156" s="3">
        <f>5.555555555555555</f>
        <v>5.555555555555555</v>
      </c>
      <c r="J156" s="3">
        <f>8.333333333333334</f>
        <v>8.333333333333334</v>
      </c>
    </row>
    <row r="157" spans="1:14" ns3:dyDescent="0.2">
      <c r="A157" t="inlineStr">
        <is>
          <t>battery fixed noncell hardware, Sodium-ion, SiB, baseline-kWh reference</t>
        </is>
      </c>
      <c r="B157" s="3">
        <f>1</f>
        <v>1</v>
      </c>
      <c r="C157" t="inlineStr">
        <is>
          <t>unit</t>
        </is>
      </c>
      <c r="D157" t="inlineStr">
        <is>
          <t>GLO</t>
        </is>
      </c>
      <c r="E157" t="s">
        <v>14</v>
      </c>
      <c r="F157" t="inlineStr">
        <is>
          <t>battery fixed noncell hardware, Sodium-ion, SiB, baseline-kWh reference</t>
        </is>
      </c>
      <c r="G157">
        <v>0</v>
      </c>
      <c r="H157" s="7">
        <f>1</f>
        <v>1</v>
      </c>
      <c r="I157" s="3">
        <f>1</f>
        <v>1</v>
      </c>
      <c r="J157" s="3">
        <f>1</f>
        <v>1</v>
      </c>
      <c r="K157" t="inlineStr">
        <is>
          <t/>
        </is>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high-power battery capacity, FCEV car, engineering reference</t>
        </is>
      </c>
    </row>
    <row r="270">
      <c r="A270" t="inlineStr">
        <is>
          <t>location</t>
        </is>
      </c>
      <c r="B270" t="inlineStr">
        <is>
          <t>GLO</t>
        </is>
      </c>
    </row>
    <row r="271">
      <c r="A271" t="inlineStr">
        <is>
          <t>production amount</t>
        </is>
      </c>
      <c r="B271">
        <v>1</v>
      </c>
    </row>
    <row r="272">
      <c r="A272" t="inlineStr">
        <is>
          <t>reference product</t>
        </is>
      </c>
      <c r="B272" t="inlineStr">
        <is>
          <t>high-power battery capacity, FCEV car, engineering reference</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high-power battery capacity, FCEV car, engineering reference</t>
        </is>
      </c>
      <c r="B278">
        <v>1</v>
      </c>
      <c r="C278" t="inlineStr">
        <is>
          <t>GLO</t>
        </is>
      </c>
      <c r="D278" t="inlineStr">
        <is>
          <t>kilowatt hour</t>
        </is>
      </c>
      <c r="F278" t="inlineStr">
        <is>
          <t>production</t>
        </is>
      </c>
      <c r="G278" t="inlineStr">
        <is>
          <t>high-power battery capacity, FCEV car, engineering reference</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battery central controls and protection, engineering reference</t>
        </is>
      </c>
      <c r="B280">
        <v>0.8043758043758044</v>
      </c>
      <c r="C280" t="inlineStr">
        <is>
          <t>GLO</t>
        </is>
      </c>
      <c r="D280" t="inlineStr">
        <is>
          <t>unit</t>
        </is>
      </c>
      <c r="F280" t="inlineStr">
        <is>
          <t>technosphere</t>
        </is>
      </c>
      <c r="G280" t="inlineStr">
        <is>
          <t>battery central controls and protection, engineering reference</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high-power battery capacity, FCEV truck, engineering reference</t>
        </is>
      </c>
    </row>
    <row r="293">
      <c r="A293" t="inlineStr">
        <is>
          <t>location</t>
        </is>
      </c>
      <c r="B293" t="inlineStr">
        <is>
          <t>GLO</t>
        </is>
      </c>
    </row>
    <row r="294">
      <c r="A294" t="inlineStr">
        <is>
          <t>production amount</t>
        </is>
      </c>
      <c r="B294">
        <v>1</v>
      </c>
    </row>
    <row r="295">
      <c r="A295" t="inlineStr">
        <is>
          <t>reference product</t>
        </is>
      </c>
      <c r="B295" t="inlineStr">
        <is>
          <t>high-power battery capacity, FCEV truck, engineering reference</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high-power battery capacity, FCEV truck, engineering reference</t>
        </is>
      </c>
      <c r="B301">
        <v>1</v>
      </c>
      <c r="C301" t="inlineStr">
        <is>
          <t>GLO</t>
        </is>
      </c>
      <c r="D301" t="inlineStr">
        <is>
          <t>kilowatt hour</t>
        </is>
      </c>
      <c r="F301" t="inlineStr">
        <is>
          <t>production</t>
        </is>
      </c>
      <c r="G301" t="inlineStr">
        <is>
          <t>high-power battery capacity, FCEV truck, engineering reference</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battery central controls and protection, engineering reference</t>
        </is>
      </c>
      <c r="B303">
        <v>0.04</v>
      </c>
      <c r="C303" t="inlineStr">
        <is>
          <t>GLO</t>
        </is>
      </c>
      <c r="D303" t="inlineStr">
        <is>
          <t>unit</t>
        </is>
      </c>
      <c r="F303" t="inlineStr">
        <is>
          <t>technosphere</t>
        </is>
      </c>
      <c r="G303" t="inlineStr">
        <is>
          <t>battery central controls and protection, engineering reference</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row r="317">
      <c r="A317" t="inlineStr">
        <is>
          <t>Activity</t>
        </is>
      </c>
      <c r="B317" t="inlineStr">
        <is>
          <t>battery capacity, hydrogen rail, LFP engineering reference</t>
        </is>
      </c>
    </row>
    <row r="318">
      <c r="A318" t="inlineStr">
        <is>
          <t>location</t>
        </is>
      </c>
      <c r="B318" t="inlineStr">
        <is>
          <t>GLO</t>
        </is>
      </c>
    </row>
    <row r="319">
      <c r="A319" t="inlineStr">
        <is>
          <t>production amount</t>
        </is>
      </c>
      <c r="B319">
        <v>1</v>
      </c>
    </row>
    <row r="320">
      <c r="A320" t="inlineStr">
        <is>
          <t>reference product</t>
        </is>
      </c>
      <c r="B320" t="inlineStr">
        <is>
          <t>battery capacity, hydrogen rail, LFP engineering reference</t>
        </is>
      </c>
    </row>
    <row r="321">
      <c r="A321" t="inlineStr">
        <is>
          <t>unit</t>
        </is>
      </c>
      <c r="B321" t="inlineStr">
        <is>
          <t>kilowatt hour</t>
        </is>
      </c>
    </row>
    <row r="322">
      <c r="A322" t="inlineStr">
        <is>
          <t>source</t>
        </is>
      </c>
      <c r="B322" t="inlineStr">
        <is>
          <t>Knibbe2023 DOI10.1016/j.est.2023.108090,3.6MWhLFP/860kWreference and133Wh/kgpack; Dai2018 public LFP non-cell material proportions https://publications.anl.gov/anlpubs/2018/10/146906.pdf Table8.</t>
        </is>
      </c>
    </row>
    <row r="323">
      <c r="A323" t="inlineStr">
        <is>
          <t>comment</t>
        </is>
      </c>
      <c r="B323"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4">
      <c r="A324" t="inlineStr">
        <is>
          <t>Exchanges</t>
        </is>
      </c>
    </row>
    <row r="325">
      <c r="A325" t="inlineStr">
        <is>
          <t>name</t>
        </is>
      </c>
      <c r="B325" t="inlineStr">
        <is>
          <t>amount</t>
        </is>
      </c>
      <c r="C325" t="inlineStr">
        <is>
          <t>location</t>
        </is>
      </c>
      <c r="D325" t="inlineStr">
        <is>
          <t>unit</t>
        </is>
      </c>
      <c r="E325" t="inlineStr">
        <is>
          <t>categories</t>
        </is>
      </c>
      <c r="F325" t="inlineStr">
        <is>
          <t>type</t>
        </is>
      </c>
      <c r="G325" t="inlineStr">
        <is>
          <t>reference product</t>
        </is>
      </c>
      <c r="H325" t="inlineStr">
        <is>
          <t>comment</t>
        </is>
      </c>
      <c r="I325" t="inlineStr">
        <is>
          <t>product</t>
        </is>
      </c>
    </row>
    <row r="326">
      <c r="A326" t="inlineStr">
        <is>
          <t>battery capacity, hydrogen rail, LFP engineering reference</t>
        </is>
      </c>
      <c r="B326">
        <v>1</v>
      </c>
      <c r="C326" t="inlineStr">
        <is>
          <t>GLO</t>
        </is>
      </c>
      <c r="D326" t="inlineStr">
        <is>
          <t>kilowatt hour</t>
        </is>
      </c>
      <c r="F326" t="inlineStr">
        <is>
          <t>production</t>
        </is>
      </c>
      <c r="G326" t="inlineStr">
        <is>
          <t>battery capacity, hydrogen rail, LFP engineering reference</t>
        </is>
      </c>
      <c r="I326" t="inlineStr">
        <is>
          <t>battery capacity, hydrogen rail, LFP engineering reference</t>
        </is>
      </c>
    </row>
    <row r="327">
      <c r="A327" t="inlineStr">
        <is>
          <t>market for battery cell, Li-ion, LFP</t>
        </is>
      </c>
      <c r="B327">
        <v>6.25</v>
      </c>
      <c r="C327" t="inlineStr">
        <is>
          <t>GLO</t>
        </is>
      </c>
      <c r="D327" t="inlineStr">
        <is>
          <t>kilogram</t>
        </is>
      </c>
      <c r="F327" t="inlineStr">
        <is>
          <t>technosphere</t>
        </is>
      </c>
      <c r="G327" t="inlineStr">
        <is>
          <t>battery cell, Li-ion, LFP</t>
        </is>
      </c>
      <c r="I327" t="inlineStr">
        <is>
          <t>battery cell, Li-ion, LFP</t>
        </is>
      </c>
    </row>
    <row r="328">
      <c r="A328" t="inlineStr">
        <is>
          <t>battery monitoring and central controls, LFP, engineering reference</t>
        </is>
      </c>
      <c r="B328">
        <v>0.01</v>
      </c>
      <c r="C328" t="inlineStr">
        <is>
          <t>GLO</t>
        </is>
      </c>
      <c r="D328" t="inlineStr">
        <is>
          <t>unit</t>
        </is>
      </c>
      <c r="F328" t="inlineStr">
        <is>
          <t>technosphere</t>
        </is>
      </c>
      <c r="G328" t="inlineStr">
        <is>
          <t>battery monitoring and central controls, LFP, engineering reference</t>
        </is>
      </c>
      <c r="I328" t="inlineStr">
        <is>
          <t>battery monitoring and central controls, LFP, engineering reference</t>
        </is>
      </c>
    </row>
    <row r="329">
      <c r="A329" t="inlineStr">
        <is>
          <t>market for copper, cathode</t>
        </is>
      </c>
      <c r="B329">
        <v>0.01512710646109896</v>
      </c>
      <c r="C329" t="inlineStr">
        <is>
          <t>GLO</t>
        </is>
      </c>
      <c r="D329" t="inlineStr">
        <is>
          <t>kilogram</t>
        </is>
      </c>
      <c r="F329" t="inlineStr">
        <is>
          <t>technosphere</t>
        </is>
      </c>
      <c r="G329" t="inlineStr">
        <is>
          <t>copper, cathode</t>
        </is>
      </c>
      <c r="I329" t="inlineStr">
        <is>
          <t>copper, cathode</t>
        </is>
      </c>
    </row>
    <row r="330">
      <c r="A330" t="inlineStr">
        <is>
          <t>metal working, average for copper product manufacturing</t>
        </is>
      </c>
      <c r="B330">
        <v>0.01512710646109896</v>
      </c>
      <c r="C330" t="inlineStr">
        <is>
          <t>RER</t>
        </is>
      </c>
      <c r="D330" t="inlineStr">
        <is>
          <t>kilogram</t>
        </is>
      </c>
      <c r="F330" t="inlineStr">
        <is>
          <t>technosphere</t>
        </is>
      </c>
      <c r="G330" t="inlineStr">
        <is>
          <t>metal working, average for copper product manufacturing</t>
        </is>
      </c>
      <c r="I330" t="inlineStr">
        <is>
          <t>metal working, average for copper product manufacturing</t>
        </is>
      </c>
    </row>
    <row r="331">
      <c r="A331" t="inlineStr">
        <is>
          <t>market for aluminium, wrought alloy</t>
        </is>
      </c>
      <c r="B331">
        <v>0.8717605062178482</v>
      </c>
      <c r="C331" t="inlineStr">
        <is>
          <t>GLO</t>
        </is>
      </c>
      <c r="D331" t="inlineStr">
        <is>
          <t>kilogram</t>
        </is>
      </c>
      <c r="F331" t="inlineStr">
        <is>
          <t>technosphere</t>
        </is>
      </c>
      <c r="G331" t="inlineStr">
        <is>
          <t>aluminium, wrought alloy</t>
        </is>
      </c>
      <c r="I331" t="inlineStr">
        <is>
          <t>aluminium, wrought alloy</t>
        </is>
      </c>
    </row>
    <row r="332">
      <c r="A332" t="inlineStr">
        <is>
          <t>metal working, average for aluminium product manufacturing</t>
        </is>
      </c>
      <c r="B332">
        <v>0.8717605062178482</v>
      </c>
      <c r="C332" t="inlineStr">
        <is>
          <t>RER</t>
        </is>
      </c>
      <c r="D332" t="inlineStr">
        <is>
          <t>kilogram</t>
        </is>
      </c>
      <c r="F332" t="inlineStr">
        <is>
          <t>technosphere</t>
        </is>
      </c>
      <c r="G332" t="inlineStr">
        <is>
          <t>metal working, average for aluminium product manufacturing</t>
        </is>
      </c>
      <c r="I332" t="inlineStr">
        <is>
          <t>metal working, average for aluminium product manufacturing</t>
        </is>
      </c>
    </row>
    <row r="333">
      <c r="A333" t="inlineStr">
        <is>
          <t>market for polyethylene, high density, granulate</t>
        </is>
      </c>
      <c r="B333">
        <v>0.02439855880822413</v>
      </c>
      <c r="C333" t="inlineStr">
        <is>
          <t>GLO</t>
        </is>
      </c>
      <c r="D333" t="inlineStr">
        <is>
          <t>kilogram</t>
        </is>
      </c>
      <c r="F333" t="inlineStr">
        <is>
          <t>technosphere</t>
        </is>
      </c>
      <c r="G333" t="inlineStr">
        <is>
          <t>polyethylene, high density, granulate</t>
        </is>
      </c>
      <c r="I333" t="inlineStr">
        <is>
          <t>polyethylene, high density, granulate</t>
        </is>
      </c>
    </row>
    <row r="334">
      <c r="A334" t="inlineStr">
        <is>
          <t>market for glass fibre reinforced plastic, polyester resin, hand lay-up</t>
        </is>
      </c>
      <c r="B334">
        <v>0.003171812645069137</v>
      </c>
      <c r="C334" t="inlineStr">
        <is>
          <t>GLO</t>
        </is>
      </c>
      <c r="D334" t="inlineStr">
        <is>
          <t>kilogram</t>
        </is>
      </c>
      <c r="F334" t="inlineStr">
        <is>
          <t>technosphere</t>
        </is>
      </c>
      <c r="G334" t="inlineStr">
        <is>
          <t>glass fibre reinforced plastic, polyester resin, hand lay-up</t>
        </is>
      </c>
      <c r="I334" t="inlineStr">
        <is>
          <t>glass fibre reinforced plastic, polyester resin, hand lay-up</t>
        </is>
      </c>
    </row>
    <row r="335">
      <c r="A335" t="inlineStr">
        <is>
          <t>market for steel, low-alloyed</t>
        </is>
      </c>
      <c r="B335">
        <v>0.03513392468384275</v>
      </c>
      <c r="C335" t="inlineStr">
        <is>
          <t>GLO</t>
        </is>
      </c>
      <c r="D335" t="inlineStr">
        <is>
          <t>kilogram</t>
        </is>
      </c>
      <c r="F335" t="inlineStr">
        <is>
          <t>technosphere</t>
        </is>
      </c>
      <c r="G335" t="inlineStr">
        <is>
          <t>steel, low-alloyed</t>
        </is>
      </c>
      <c r="I335" t="inlineStr">
        <is>
          <t>steel, low-alloyed</t>
        </is>
      </c>
    </row>
    <row r="336">
      <c r="A336" t="inlineStr">
        <is>
          <t>metal working, average for steel product manufacturing</t>
        </is>
      </c>
      <c r="B336">
        <v>0.03513392468384275</v>
      </c>
      <c r="C336" t="inlineStr">
        <is>
          <t>RER</t>
        </is>
      </c>
      <c r="D336" t="inlineStr">
        <is>
          <t>kilogram</t>
        </is>
      </c>
      <c r="F336" t="inlineStr">
        <is>
          <t>technosphere</t>
        </is>
      </c>
      <c r="G336" t="inlineStr">
        <is>
          <t>metal working, average for steel product manufacturing</t>
        </is>
      </c>
      <c r="I336" t="inlineStr">
        <is>
          <t>metal working, average for steel product manufacturing</t>
        </is>
      </c>
    </row>
    <row r="337">
      <c r="A337" t="inlineStr">
        <is>
          <t>ethylene glycols production, thermal hydrolysis of ethylene oxide</t>
        </is>
      </c>
      <c r="B337">
        <v>0.12626254183255986</v>
      </c>
      <c r="C337" t="inlineStr">
        <is>
          <t>RER</t>
        </is>
      </c>
      <c r="D337" t="inlineStr">
        <is>
          <t>kilogram</t>
        </is>
      </c>
      <c r="F337" t="inlineStr">
        <is>
          <t>technosphere</t>
        </is>
      </c>
      <c r="G337" t="inlineStr">
        <is>
          <t>ethylene glycol</t>
        </is>
      </c>
      <c r="I337" t="inlineStr">
        <is>
          <t>ethylene glycol</t>
        </is>
      </c>
    </row>
    <row r="338">
      <c r="A338" t="inlineStr">
        <is>
          <t>market for water, deionised</t>
        </is>
      </c>
      <c r="B338">
        <v>0.12626254183255986</v>
      </c>
      <c r="C338" t="inlineStr">
        <is>
          <t>RoW</t>
        </is>
      </c>
      <c r="D338" t="inlineStr">
        <is>
          <t>kilogram</t>
        </is>
      </c>
      <c r="F338" t="inlineStr">
        <is>
          <t>technosphere</t>
        </is>
      </c>
      <c r="G338" t="inlineStr">
        <is>
          <t>water, deionised</t>
        </is>
      </c>
      <c r="I338" t="inlineStr">
        <is>
          <t>water, deionised</t>
        </is>
      </c>
    </row>
    <row r="339">
      <c r="A339" t="inlineStr">
        <is>
          <t>market for used Li-ion battery</t>
        </is>
      </c>
      <c r="B339">
        <v>-7.452116992481203</v>
      </c>
      <c r="C339" t="inlineStr">
        <is>
          <t>GLO</t>
        </is>
      </c>
      <c r="D339" t="inlineStr">
        <is>
          <t>kilogram</t>
        </is>
      </c>
      <c r="F339" t="inlineStr">
        <is>
          <t>technosphere</t>
        </is>
      </c>
      <c r="G339" t="inlineStr">
        <is>
          <t>used Li-ion battery</t>
        </is>
      </c>
      <c r="I339" t="inlineStr">
        <is>
          <t>used Li-ion battery</t>
        </is>
      </c>
    </row>
    <row r="342">
      <c r="A342" t="inlineStr">
        <is>
          <t>Activity</t>
        </is>
      </c>
      <c r="B342" t="inlineStr">
        <is>
          <t>battery hardware, fuel-cell bus LTO, engineering reference</t>
        </is>
      </c>
    </row>
    <row r="343">
      <c r="A343" t="inlineStr">
        <is>
          <t>location</t>
        </is>
      </c>
      <c r="B343" t="inlineStr">
        <is>
          <t>GLO</t>
        </is>
      </c>
    </row>
    <row r="344">
      <c r="A344" t="inlineStr">
        <is>
          <t>production amount</t>
        </is>
      </c>
      <c r="B344">
        <v>1</v>
      </c>
    </row>
    <row r="345">
      <c r="A345" t="inlineStr">
        <is>
          <t>reference product</t>
        </is>
      </c>
      <c r="B345" t="inlineStr">
        <is>
          <t>battery hardware, fuel-cell bus LTO, engineering reference</t>
        </is>
      </c>
    </row>
    <row r="346">
      <c r="A346" t="inlineStr">
        <is>
          <t>unit</t>
        </is>
      </c>
      <c r="B346" t="inlineStr">
        <is>
          <t>unit</t>
        </is>
      </c>
    </row>
    <row r="347">
      <c r="A347" t="inlineStr">
        <is>
          <t>source</t>
        </is>
      </c>
      <c r="B34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48">
      <c r="A348" t="inlineStr">
        <is>
          <t>comment</t>
        </is>
      </c>
      <c r="B348"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49">
      <c r="A349" t="inlineStr">
        <is>
          <t>Exchanges</t>
        </is>
      </c>
    </row>
    <row r="350">
      <c r="A350" t="inlineStr">
        <is>
          <t>name</t>
        </is>
      </c>
      <c r="B350" t="inlineStr">
        <is>
          <t>amount</t>
        </is>
      </c>
      <c r="C350" t="inlineStr">
        <is>
          <t>location</t>
        </is>
      </c>
      <c r="D350" t="inlineStr">
        <is>
          <t>unit</t>
        </is>
      </c>
      <c r="E350" t="inlineStr">
        <is>
          <t>categories</t>
        </is>
      </c>
      <c r="F350" t="inlineStr">
        <is>
          <t>type</t>
        </is>
      </c>
      <c r="G350" t="inlineStr">
        <is>
          <t>reference product</t>
        </is>
      </c>
      <c r="H350" t="inlineStr">
        <is>
          <t>comment</t>
        </is>
      </c>
      <c r="I350" t="inlineStr">
        <is>
          <t>product</t>
        </is>
      </c>
    </row>
    <row r="351">
      <c r="A351" t="inlineStr">
        <is>
          <t>battery hardware, fuel-cell bus LTO, engineering reference</t>
        </is>
      </c>
      <c r="B351">
        <v>1</v>
      </c>
      <c r="C351" t="inlineStr">
        <is>
          <t>GLO</t>
        </is>
      </c>
      <c r="D351" t="inlineStr">
        <is>
          <t>unit</t>
        </is>
      </c>
      <c r="F351" t="inlineStr">
        <is>
          <t>production</t>
        </is>
      </c>
      <c r="G351" t="inlineStr">
        <is>
          <t>battery hardware, fuel-cell bus LTO, engineering reference</t>
        </is>
      </c>
      <c r="I351" t="inlineStr">
        <is>
          <t>battery hardware, fuel-cell bus LTO, engineering reference</t>
        </is>
      </c>
    </row>
    <row r="352">
      <c r="A352" t="inlineStr">
        <is>
          <t>battery cell production, Li-ion, LTO</t>
        </is>
      </c>
      <c r="B352">
        <v>182.5</v>
      </c>
      <c r="C352" t="inlineStr">
        <is>
          <t>GLO</t>
        </is>
      </c>
      <c r="D352" t="inlineStr">
        <is>
          <t>kilogram</t>
        </is>
      </c>
      <c r="F352" t="inlineStr">
        <is>
          <t>technosphere</t>
        </is>
      </c>
      <c r="G352" t="inlineStr">
        <is>
          <t>battery cell, Li-ion, LTO</t>
        </is>
      </c>
      <c r="I352" t="inlineStr">
        <is>
          <t>battery cell, Li-ion, LTO</t>
        </is>
      </c>
    </row>
    <row r="353">
      <c r="A353" t="inlineStr">
        <is>
          <t>market for aluminium, wrought alloy</t>
        </is>
      </c>
      <c r="B353">
        <v>35.481</v>
      </c>
      <c r="C353" t="inlineStr">
        <is>
          <t>GLO</t>
        </is>
      </c>
      <c r="D353" t="inlineStr">
        <is>
          <t>kilogram</t>
        </is>
      </c>
      <c r="F353" t="inlineStr">
        <is>
          <t>technosphere</t>
        </is>
      </c>
      <c r="G353" t="inlineStr">
        <is>
          <t>aluminium, wrought alloy</t>
        </is>
      </c>
      <c r="I353" t="inlineStr">
        <is>
          <t>aluminium, wrought alloy</t>
        </is>
      </c>
    </row>
    <row r="354">
      <c r="A354" t="inlineStr">
        <is>
          <t>market for copper, cathode</t>
        </is>
      </c>
      <c r="B354">
        <v>10.6443</v>
      </c>
      <c r="C354" t="inlineStr">
        <is>
          <t>GLO</t>
        </is>
      </c>
      <c r="D354" t="inlineStr">
        <is>
          <t>kilogram</t>
        </is>
      </c>
      <c r="F354" t="inlineStr">
        <is>
          <t>technosphere</t>
        </is>
      </c>
      <c r="G354" t="inlineStr">
        <is>
          <t>copper, cathode</t>
        </is>
      </c>
      <c r="I354" t="inlineStr">
        <is>
          <t>copper, cathode</t>
        </is>
      </c>
    </row>
    <row r="355">
      <c r="A355" t="inlineStr">
        <is>
          <t>market for steel, low-alloyed</t>
        </is>
      </c>
      <c r="B355">
        <v>7.0962000000000005</v>
      </c>
      <c r="C355" t="inlineStr">
        <is>
          <t>GLO</t>
        </is>
      </c>
      <c r="D355" t="inlineStr">
        <is>
          <t>kilogram</t>
        </is>
      </c>
      <c r="F355" t="inlineStr">
        <is>
          <t>technosphere</t>
        </is>
      </c>
      <c r="G355" t="inlineStr">
        <is>
          <t>steel, low-alloyed</t>
        </is>
      </c>
      <c r="I355" t="inlineStr">
        <is>
          <t>steel, low-alloyed</t>
        </is>
      </c>
    </row>
    <row r="356">
      <c r="A356" t="inlineStr">
        <is>
          <t>market for nylon 6</t>
        </is>
      </c>
      <c r="B356">
        <v>7.0962000000000005</v>
      </c>
      <c r="C356" t="inlineStr">
        <is>
          <t>RER</t>
        </is>
      </c>
      <c r="D356" t="inlineStr">
        <is>
          <t>kilogram</t>
        </is>
      </c>
      <c r="F356" t="inlineStr">
        <is>
          <t>technosphere</t>
        </is>
      </c>
      <c r="G356" t="inlineStr">
        <is>
          <t>nylon 6</t>
        </is>
      </c>
      <c r="I356" t="inlineStr">
        <is>
          <t>nylon 6</t>
        </is>
      </c>
    </row>
    <row r="357">
      <c r="A357" t="inlineStr">
        <is>
          <t>ethylene glycols production, thermal hydrolysis of ethylene oxide</t>
        </is>
      </c>
      <c r="B357">
        <v>5.32215</v>
      </c>
      <c r="C357" t="inlineStr">
        <is>
          <t>RER</t>
        </is>
      </c>
      <c r="D357" t="inlineStr">
        <is>
          <t>kilogram</t>
        </is>
      </c>
      <c r="F357" t="inlineStr">
        <is>
          <t>technosphere</t>
        </is>
      </c>
      <c r="G357" t="inlineStr">
        <is>
          <t>ethylene glycol</t>
        </is>
      </c>
      <c r="I357" t="inlineStr">
        <is>
          <t>ethylene glycol</t>
        </is>
      </c>
    </row>
    <row r="358">
      <c r="A358" t="inlineStr">
        <is>
          <t>market for water, deionised</t>
        </is>
      </c>
      <c r="B358">
        <v>5.32215</v>
      </c>
      <c r="C358" t="inlineStr">
        <is>
          <t>RoW</t>
        </is>
      </c>
      <c r="D358" t="inlineStr">
        <is>
          <t>kilogram</t>
        </is>
      </c>
      <c r="F358" t="inlineStr">
        <is>
          <t>technosphere</t>
        </is>
      </c>
      <c r="G358" t="inlineStr">
        <is>
          <t>water, deionised</t>
        </is>
      </c>
      <c r="I358" t="inlineStr">
        <is>
          <t>water, deionised</t>
        </is>
      </c>
    </row>
    <row r="359">
      <c r="A359" t="inlineStr">
        <is>
          <t>market group for electricity, medium voltage</t>
        </is>
      </c>
      <c r="B359">
        <v>260</v>
      </c>
      <c r="C359" t="inlineStr">
        <is>
          <t>GLO</t>
        </is>
      </c>
      <c r="D359" t="inlineStr">
        <is>
          <t>kilowatt hour</t>
        </is>
      </c>
      <c r="F359" t="inlineStr">
        <is>
          <t>technosphere</t>
        </is>
      </c>
      <c r="G359" t="inlineStr">
        <is>
          <t>electricity, medium voltage</t>
        </is>
      </c>
      <c r="I359" t="inlineStr">
        <is>
          <t>electricity, medium voltage</t>
        </is>
      </c>
    </row>
    <row r="362">
      <c r="A362" t="inlineStr">
        <is>
          <t>Activity</t>
        </is>
      </c>
      <c r="B362" t="inlineStr">
        <is>
          <t>high-power battery capacity, fuel-cell bus LTO, engineering reference</t>
        </is>
      </c>
    </row>
    <row r="363">
      <c r="A363" t="inlineStr">
        <is>
          <t>location</t>
        </is>
      </c>
      <c r="B363" t="inlineStr">
        <is>
          <t>GLO</t>
        </is>
      </c>
    </row>
    <row r="364">
      <c r="A364" t="inlineStr">
        <is>
          <t>production amount</t>
        </is>
      </c>
      <c r="B364">
        <v>1</v>
      </c>
    </row>
    <row r="365">
      <c r="A365" t="inlineStr">
        <is>
          <t>reference product</t>
        </is>
      </c>
      <c r="B365" t="inlineStr">
        <is>
          <t>high-power battery capacity, fuel-cell bus LTO, engineering reference</t>
        </is>
      </c>
    </row>
    <row r="366">
      <c r="A366" t="inlineStr">
        <is>
          <t>unit</t>
        </is>
      </c>
      <c r="B366" t="inlineStr">
        <is>
          <t>kilowatt hour</t>
        </is>
      </c>
    </row>
    <row r="367">
      <c r="A367" t="inlineStr">
        <is>
          <t>source</t>
        </is>
      </c>
      <c r="B367"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68">
      <c r="A368" t="inlineStr">
        <is>
          <t>comment</t>
        </is>
      </c>
      <c r="B368" t="inlineStr">
        <is>
          <t>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69">
      <c r="A369" t="inlineStr">
        <is>
          <t>Exchanges</t>
        </is>
      </c>
    </row>
    <row r="370">
      <c r="A370" t="inlineStr">
        <is>
          <t>name</t>
        </is>
      </c>
      <c r="B370" t="inlineStr">
        <is>
          <t>amount</t>
        </is>
      </c>
      <c r="C370" t="inlineStr">
        <is>
          <t>location</t>
        </is>
      </c>
      <c r="D370" t="inlineStr">
        <is>
          <t>unit</t>
        </is>
      </c>
      <c r="E370" t="inlineStr">
        <is>
          <t>categories</t>
        </is>
      </c>
      <c r="F370" t="inlineStr">
        <is>
          <t>type</t>
        </is>
      </c>
      <c r="G370" t="inlineStr">
        <is>
          <t>reference product</t>
        </is>
      </c>
      <c r="H370" t="inlineStr">
        <is>
          <t>comment</t>
        </is>
      </c>
      <c r="I370" t="inlineStr">
        <is>
          <t>product</t>
        </is>
      </c>
    </row>
    <row r="371">
      <c r="A371" t="inlineStr">
        <is>
          <t>high-power battery capacity, fuel-cell bus LTO, engineering reference</t>
        </is>
      </c>
      <c r="B371">
        <v>1</v>
      </c>
      <c r="C371" t="inlineStr">
        <is>
          <t>GLO</t>
        </is>
      </c>
      <c r="D371" t="inlineStr">
        <is>
          <t>kilowatt hour</t>
        </is>
      </c>
      <c r="F371" t="inlineStr">
        <is>
          <t>production</t>
        </is>
      </c>
      <c r="G371" t="inlineStr">
        <is>
          <t>high-power battery capacity, fuel-cell bus LTO, engineering reference</t>
        </is>
      </c>
      <c r="I371" t="inlineStr">
        <is>
          <t>high-power battery capacity, fuel-cell bus LTO, engineering reference</t>
        </is>
      </c>
    </row>
    <row r="372">
      <c r="A372" t="inlineStr">
        <is>
          <t>battery hardware, fuel-cell bus LTO, engineering reference</t>
        </is>
      </c>
      <c r="B372">
        <v>0.0684931506849315</v>
      </c>
      <c r="C372" t="inlineStr">
        <is>
          <t>GLO</t>
        </is>
      </c>
      <c r="D372" t="inlineStr">
        <is>
          <t>unit</t>
        </is>
      </c>
      <c r="F372" t="inlineStr">
        <is>
          <t>technosphere</t>
        </is>
      </c>
      <c r="G372" t="inlineStr">
        <is>
          <t>battery hardware, fuel-cell bus LTO, engineering reference</t>
        </is>
      </c>
      <c r="I372" t="inlineStr">
        <is>
          <t>battery hardware, fuel-cell bus LTO, engineering reference</t>
        </is>
      </c>
    </row>
    <row r="373">
      <c r="A373" t="inlineStr">
        <is>
          <t>battery monitoring and central controls, NMC955, engineering reference</t>
        </is>
      </c>
      <c r="B373">
        <v>0.0684931506849315</v>
      </c>
      <c r="C373" t="inlineStr">
        <is>
          <t>GLO</t>
        </is>
      </c>
      <c r="D373" t="inlineStr">
        <is>
          <t>unit</t>
        </is>
      </c>
      <c r="F373" t="inlineStr">
        <is>
          <t>technosphere</t>
        </is>
      </c>
      <c r="G373" t="inlineStr">
        <is>
          <t>battery monitoring and central controls, NMC955, engineering reference</t>
        </is>
      </c>
      <c r="I373" t="inlineStr">
        <is>
          <t>battery monitoring and central controls, NMC955, engineering reference</t>
        </is>
      </c>
    </row>
    <row r="374">
      <c r="A374" t="inlineStr">
        <is>
          <t>market for used Li-ion battery</t>
        </is>
      </c>
      <c r="B374">
        <v>-17.360410958904108</v>
      </c>
      <c r="C374" t="inlineStr">
        <is>
          <t>GLO</t>
        </is>
      </c>
      <c r="D374" t="inlineStr">
        <is>
          <t>kilogram</t>
        </is>
      </c>
      <c r="F374" t="inlineStr">
        <is>
          <t>technosphere</t>
        </is>
      </c>
      <c r="G374" t="inlineStr">
        <is>
          <t>used Li-ion battery</t>
        </is>
      </c>
      <c r="I374"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