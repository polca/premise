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<sst xmlns="http://schemas.openxmlformats.org/spreadsheetml/2006/main" count="1378" uniqueCount="116">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</sst>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266"/>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s">
        <v>65</v>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1-0.27</f>
        <v>0.73</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s">
        <v>17</v>
      </c>
      <c r="B13" s="7">
        <f>1/(0.16*(1-27%))</f>
        <v>8.5616438356164384</v>
      </c>
      <c r="C13" t="s">
        <v>7</v>
      </c>
      <c r="D13" t="s">
        <v>3</v>
      </c>
      <c r="E13" t="s">
        <v>14</v>
      </c>
      <c r="F13" t="s">
        <v>18</v>
      </c>
      <c r="G13">
        <v>5</v>
      </c>
      <c r="H13" s="7">
        <f>B13</f>
        <v>8.5616438356164384</v>
      </c>
      <c r="I13" s="7">
        <f>1/(0.19*(1-27%))</f>
        <v>7.2098053352559486</v>
      </c>
      <c r="J13" s="7">
        <f>1/(0.14*(1-27%))</f>
        <v>9.7847358121330714</v>
      </c>
    </row>
    <row r="14" spans="1:14" ns3:dyDescent="0.2">
      <c r="A14" t="s">
        <v>53</v>
      </c>
      <c r="B14" s="7">
        <f>-1*B13</f>
        <v>-8.5616438356164384</v>
      </c>
      <c r="C14" t="s">
        <v>7</v>
      </c>
      <c r="D14" t="s">
        <v>3</v>
      </c>
      <c r="E14" t="s">
        <v>14</v>
      </c>
      <c r="F14" t="s">
        <v>54</v>
      </c>
      <c r="G14">
        <v>5</v>
      </c>
      <c r="H14" s="7">
        <f>B14</f>
        <v>-8.5616438356164384</v>
      </c>
      <c r="I14" s="7">
        <f>-1/(0.14*(1-27%))</f>
        <v>-9.7847358121330714</v>
      </c>
      <c r="J14" s="7">
        <f>-1/(0.19*(1-27%))</f>
        <v>-7.2098053352559486</v>
      </c>
      <c r="K14" t="b">
        <v>1</v>
      </c>
      <c r="M14" s="7"/>
      <c r="N14" s="7"/>
    </row>
    <row r="16" spans="1:14" ht="16" ns3:dyDescent="0.2">
      <c r="A16" s="2" t="s">
        <v>0</v>
      </c>
      <c r="B16" s="2" t="s">
        <v>19</v>
      </c>
    </row>
    <row r="17" spans="1:14" ns3:dyDescent="0.2">
      <c r="A17" t="s">
        <v>1</v>
      </c>
      <c r="B17" t="s">
        <v>66</v>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1-0.27</f>
        <v>0.73</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s">
        <v>20</v>
      </c>
      <c r="B26" s="3">
        <f>1/(0.18*73%)</f>
        <v>7.6103500761035017</v>
      </c>
      <c r="C26" t="s">
        <v>7</v>
      </c>
      <c r="D26" t="s">
        <v>3</v>
      </c>
      <c r="E26" t="s">
        <v>14</v>
      </c>
      <c r="F26" t="s">
        <v>21</v>
      </c>
      <c r="G26">
        <v>5</v>
      </c>
      <c r="H26" s="7">
        <f>B26</f>
        <v>7.6103500761035017</v>
      </c>
      <c r="I26" s="7">
        <f>1/(0.19*73%)</f>
        <v>7.2098053352559486</v>
      </c>
      <c r="J26" s="7">
        <f>1/(0.14*73%)</f>
        <v>9.7847358121330714</v>
      </c>
    </row>
    <row r="27" spans="1:14" ns3:dyDescent="0.2">
      <c r="A27" t="s">
        <v>53</v>
      </c>
      <c r="B27" s="3">
        <f>-1*B26</f>
        <v>-7.6103500761035017</v>
      </c>
      <c r="C27" t="s">
        <v>7</v>
      </c>
      <c r="D27" t="s">
        <v>3</v>
      </c>
      <c r="E27" t="s">
        <v>14</v>
      </c>
      <c r="F27" t="s">
        <v>54</v>
      </c>
      <c r="G27">
        <v>5</v>
      </c>
      <c r="H27" s="7">
        <f>B27</f>
        <v>-7.6103500761035017</v>
      </c>
      <c r="I27" s="7">
        <f>-1/(0.14*(1-27%))</f>
        <v>-9.7847358121330714</v>
      </c>
      <c r="J27" s="7">
        <f>-1/(0.19*73%)</f>
        <v>-7.2098053352559486</v>
      </c>
      <c r="K27" t="b">
        <v>1</v>
      </c>
      <c r="M27" s="7"/>
      <c r="N27" s="7"/>
    </row>
    <row r="29" spans="1:14" ht="16" ns3:dyDescent="0.2">
      <c r="A29" s="2" t="s">
        <v>0</v>
      </c>
      <c r="B29" s="2" t="s">
        <v>110</v>
      </c>
    </row>
    <row r="30" spans="1:14" ns3:dyDescent="0.2">
      <c r="A30" t="s">
        <v>1</v>
      </c>
      <c r="B30" t="s">
        <v>111</v>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1-0.27</f>
        <v>0.73</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s">
        <v>112</v>
      </c>
      <c r="B39" s="3">
        <f>1/(0.2*73%)</f>
        <v>6.8493150684931514</v>
      </c>
      <c r="C39" t="s">
        <v>7</v>
      </c>
      <c r="D39" t="s">
        <v>3</v>
      </c>
      <c r="E39" t="s">
        <v>14</v>
      </c>
      <c r="F39" t="s">
        <v>113</v>
      </c>
      <c r="G39">
        <v>5</v>
      </c>
      <c r="H39" s="7">
        <f>B39</f>
        <v>6.8493150684931514</v>
      </c>
      <c r="I39" s="3">
        <f>1/(0.22*73%)</f>
        <v>6.2266500622665006</v>
      </c>
      <c r="J39" s="3">
        <f>1/(0.17*73%)</f>
        <v>8.058017727639001</v>
      </c>
    </row>
    <row r="40" spans="1:14" ns3:dyDescent="0.2">
      <c r="A40" t="s">
        <v>53</v>
      </c>
      <c r="B40" s="3">
        <f>-1*B39</f>
        <v>-6.8493150684931514</v>
      </c>
      <c r="C40" t="s">
        <v>7</v>
      </c>
      <c r="D40" t="s">
        <v>3</v>
      </c>
      <c r="E40" t="s">
        <v>14</v>
      </c>
      <c r="F40" t="s">
        <v>54</v>
      </c>
      <c r="G40">
        <v>5</v>
      </c>
      <c r="H40" s="7">
        <f>B40</f>
        <v>-6.8493150684931514</v>
      </c>
      <c r="I40" s="3">
        <f>-1/(0.17*73%)</f>
        <v>-8.058017727639001</v>
      </c>
      <c r="J40" s="3">
        <f>-1/(0.22*73%)</f>
        <v>-6.2266500622665006</v>
      </c>
      <c r="K40" t="b">
        <v>1</v>
      </c>
      <c r="M40" s="3"/>
      <c r="N40" s="3"/>
    </row>
    <row r="42" spans="1:14" ht="16" ns3:dyDescent="0.2">
      <c r="A42" s="2" t="s">
        <v>0</v>
      </c>
      <c r="B42" s="2" t="s">
        <v>22</v>
      </c>
    </row>
    <row r="43" spans="1:14" ns3:dyDescent="0.2">
      <c r="A43" t="s">
        <v>1</v>
      </c>
      <c r="B43" t="s">
        <v>67</v>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1-0.27</f>
        <v>0.73</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s">
        <v>25</v>
      </c>
      <c r="B52" s="3">
        <f>1/(0.24*73%)</f>
        <v>5.7077625570776256</v>
      </c>
      <c r="C52" t="s">
        <v>7</v>
      </c>
      <c r="D52" t="s">
        <v>3</v>
      </c>
      <c r="E52" t="s">
        <v>14</v>
      </c>
      <c r="F52" t="s">
        <v>26</v>
      </c>
      <c r="G52">
        <v>5</v>
      </c>
      <c r="H52" s="7">
        <f>B52</f>
        <v>5.7077625570776256</v>
      </c>
      <c r="I52" s="3">
        <f>1/(0.28*73%)</f>
        <v>4.8923679060665357</v>
      </c>
      <c r="J52" s="3">
        <f>1/(0.2*73%)</f>
        <v>6.8493150684931514</v>
      </c>
    </row>
    <row r="53" spans="1:14" ns3:dyDescent="0.2">
      <c r="A53" t="s">
        <v>53</v>
      </c>
      <c r="B53" s="3">
        <f>-1*B52</f>
        <v>-5.7077625570776256</v>
      </c>
      <c r="C53" t="s">
        <v>7</v>
      </c>
      <c r="D53" t="s">
        <v>3</v>
      </c>
      <c r="E53" t="s">
        <v>14</v>
      </c>
      <c r="F53" t="s">
        <v>54</v>
      </c>
      <c r="G53">
        <v>5</v>
      </c>
      <c r="H53" s="7">
        <f>B53</f>
        <v>-5.7077625570776256</v>
      </c>
      <c r="I53" s="3">
        <f>-1/(0.2*73%)</f>
        <v>-6.8493150684931514</v>
      </c>
      <c r="J53" s="3">
        <f>-1/(0.28*73%)</f>
        <v>-4.8923679060665357</v>
      </c>
      <c r="K53" t="b">
        <v>1</v>
      </c>
      <c r="M53" s="3"/>
      <c r="N53" s="3"/>
    </row>
    <row r="55" spans="1:14" ht="16" ns3:dyDescent="0.2">
      <c r="A55" s="2" t="s">
        <v>0</v>
      </c>
      <c r="B55" s="2" t="s">
        <v>23</v>
      </c>
    </row>
    <row r="56" spans="1:14" ns3:dyDescent="0.2">
      <c r="A56" t="s">
        <v>1</v>
      </c>
      <c r="B56" t="s">
        <v>68</v>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s">
        <v>24</v>
      </c>
      <c r="B65" s="3">
        <f>1/(0.28*71%)</f>
        <v>5.0301810865191143</v>
      </c>
      <c r="C65" t="s">
        <v>7</v>
      </c>
      <c r="D65" t="s">
        <v>3</v>
      </c>
      <c r="E65" t="s">
        <v>14</v>
      </c>
      <c r="F65" t="s">
        <v>46</v>
      </c>
      <c r="G65">
        <v>5</v>
      </c>
      <c r="H65" s="7">
        <f>B65</f>
        <v>5.0301810865191143</v>
      </c>
      <c r="I65" s="3">
        <f>1/(0.34*71%)</f>
        <v>4.1425020712510356</v>
      </c>
      <c r="J65" s="3">
        <f>1/(0.24*71%)</f>
        <v>5.868544600938967</v>
      </c>
    </row>
    <row r="66" spans="1:14" ns3:dyDescent="0.2">
      <c r="A66" t="s">
        <v>53</v>
      </c>
      <c r="B66" s="3">
        <f>-1*B65</f>
        <v>-5.0301810865191143</v>
      </c>
      <c r="C66" t="s">
        <v>7</v>
      </c>
      <c r="D66" t="s">
        <v>3</v>
      </c>
      <c r="E66" t="s">
        <v>14</v>
      </c>
      <c r="F66" t="s">
        <v>54</v>
      </c>
      <c r="G66">
        <v>5</v>
      </c>
      <c r="H66" s="7">
        <f>B66</f>
        <v>-5.0301810865191143</v>
      </c>
      <c r="I66" s="3">
        <f>-1/(0.24*71%)</f>
        <v>-5.868544600938967</v>
      </c>
      <c r="J66" s="3">
        <f>-1/(0.34*71%)</f>
        <v>-4.1425020712510356</v>
      </c>
      <c r="K66" t="b">
        <v>1</v>
      </c>
      <c r="M66" s="3"/>
      <c r="N66" s="3"/>
    </row>
    <row r="68" spans="1:14" ht="16" ns3:dyDescent="0.2">
      <c r="A68" s="2" t="s">
        <v>0</v>
      </c>
      <c r="B68" s="2" t="s">
        <v>62</v>
      </c>
    </row>
    <row r="69" spans="1:14" ns3:dyDescent="0.2">
      <c r="A69" t="s">
        <v>1</v>
      </c>
      <c r="B69"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0.72591</f>
        <v>0.72591000000000006</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s">
        <v>63</v>
      </c>
      <c r="B78" s="3">
        <f>1/(0.34*$B$74)</f>
        <v>4.0517095378052854</v>
      </c>
      <c r="C78" t="s">
        <v>7</v>
      </c>
      <c r="D78" t="s">
        <v>3</v>
      </c>
      <c r="E78" t="s">
        <v>14</v>
      </c>
      <c r="F78" t="s">
        <v>64</v>
      </c>
      <c r="G78">
        <v>5</v>
      </c>
      <c r="H78" s="7">
        <f>B78</f>
        <v>4.0517095378052854</v>
      </c>
      <c r="I78" s="3">
        <f>1/(0.38*$B$74)</f>
        <v>3.6252137969836769</v>
      </c>
      <c r="J78" s="3">
        <f>1/(0.3*$B$74)</f>
        <v>4.5919374761793241</v>
      </c>
    </row>
    <row r="79" spans="1:14" ns3:dyDescent="0.2">
      <c r="A79" t="s">
        <v>53</v>
      </c>
      <c r="B79" s="3">
        <f>-1*B78</f>
        <v>-4.0517095378052854</v>
      </c>
      <c r="C79" t="s">
        <v>7</v>
      </c>
      <c r="D79" t="s">
        <v>3</v>
      </c>
      <c r="E79" t="s">
        <v>14</v>
      </c>
      <c r="F79" t="s">
        <v>54</v>
      </c>
      <c r="G79">
        <v>5</v>
      </c>
      <c r="H79" s="7">
        <f>B79</f>
        <v>-4.0517095378052854</v>
      </c>
      <c r="I79" s="3">
        <f>-J78</f>
        <v>-4.5919374761793241</v>
      </c>
      <c r="J79" s="3">
        <f>-I78</f>
        <v>-3.6252137969836769</v>
      </c>
      <c r="K79" t="b">
        <v>1</v>
      </c>
      <c r="M79" s="3"/>
      <c r="N79" s="3"/>
    </row>
    <row r="81" spans="1:14" ht="16" ns3:dyDescent="0.2">
      <c r="A81" s="2" t="s">
        <v>0</v>
      </c>
      <c r="B81" s="2" t="s">
        <v>27</v>
      </c>
    </row>
    <row r="82" spans="1:14" ns3:dyDescent="0.2">
      <c r="A82" t="s">
        <v>1</v>
      </c>
      <c r="B82" t="s">
        <v>69</v>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1-0.293</f>
        <v>0.70700000000000007</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s">
        <v>28</v>
      </c>
      <c r="B91" s="3">
        <f>1/(0.28*71%)</f>
        <v>5.0301810865191143</v>
      </c>
      <c r="C91" t="s">
        <v>7</v>
      </c>
      <c r="D91" t="s">
        <v>3</v>
      </c>
      <c r="E91" t="s">
        <v>14</v>
      </c>
      <c r="F91" t="s">
        <v>29</v>
      </c>
      <c r="G91">
        <v>5</v>
      </c>
      <c r="H91" s="7">
        <f>B91</f>
        <v>5.0301810865191143</v>
      </c>
      <c r="I91" s="3">
        <f>1/(0.34*71%)</f>
        <v>4.1425020712510356</v>
      </c>
      <c r="J91" s="3">
        <f>1/(0.24*71%)</f>
        <v>5.868544600938967</v>
      </c>
    </row>
    <row r="92" spans="1:14" ns3:dyDescent="0.2">
      <c r="A92" t="s">
        <v>53</v>
      </c>
      <c r="B92" s="3">
        <f>-1*B91</f>
        <v>-5.0301810865191143</v>
      </c>
      <c r="C92" t="s">
        <v>7</v>
      </c>
      <c r="D92" t="s">
        <v>3</v>
      </c>
      <c r="E92" t="s">
        <v>14</v>
      </c>
      <c r="F92" t="s">
        <v>54</v>
      </c>
      <c r="G92">
        <v>5</v>
      </c>
      <c r="H92" s="7">
        <f>B92</f>
        <v>-5.0301810865191143</v>
      </c>
      <c r="I92" s="3">
        <f>-1/(0.24*71%)</f>
        <v>-5.868544600938967</v>
      </c>
      <c r="J92" s="3">
        <f>-1/(0.34*71%)</f>
        <v>-4.1425020712510356</v>
      </c>
      <c r="K92" t="b">
        <v>1</v>
      </c>
      <c r="M92" s="3"/>
      <c r="N92" s="3"/>
    </row>
    <row r="94" spans="1:14" ht="16" ns3:dyDescent="0.2">
      <c r="A94" s="2" t="s">
        <v>0</v>
      </c>
      <c r="B94" s="2" t="s">
        <v>30</v>
      </c>
    </row>
    <row r="95" spans="1:14" ns3:dyDescent="0.2">
      <c r="A95" t="s">
        <v>1</v>
      </c>
      <c r="B95" t="s">
        <v>43</v>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1-0.36</f>
        <v>0.64</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s">
        <v>31</v>
      </c>
      <c r="B104" s="3">
        <f>1/(0.085*64%)</f>
        <v>18.382352941176471</v>
      </c>
      <c r="C104" t="s">
        <v>7</v>
      </c>
      <c r="D104" t="s">
        <v>3</v>
      </c>
      <c r="E104" t="s">
        <v>14</v>
      </c>
      <c r="F104" t="s">
        <v>32</v>
      </c>
      <c r="G104">
        <v>5</v>
      </c>
      <c r="H104" s="7">
        <f>B104</f>
        <v>18.382352941176471</v>
      </c>
      <c r="I104" s="7">
        <f>B104*0.75</f>
        <v>13.786764705882353</v>
      </c>
      <c r="J104" s="7">
        <f>B104*1.25</f>
        <v>22.977941176470587</v>
      </c>
    </row>
    <row r="105" spans="1:14" ns3:dyDescent="0.2">
      <c r="A105" t="s">
        <v>53</v>
      </c>
      <c r="B105" s="3">
        <f>-1*B104</f>
        <v>-18.382352941176471</v>
      </c>
      <c r="C105" t="s">
        <v>7</v>
      </c>
      <c r="D105" t="s">
        <v>3</v>
      </c>
      <c r="E105" t="s">
        <v>14</v>
      </c>
      <c r="F105" t="s">
        <v>54</v>
      </c>
      <c r="G105">
        <v>5</v>
      </c>
      <c r="H105" s="7">
        <f>B105</f>
        <v>-18.382352941176471</v>
      </c>
      <c r="I105" s="7">
        <f>B105*1.25</f>
        <v>-22.977941176470587</v>
      </c>
      <c r="J105" s="7">
        <f>B105*0.75</f>
        <v>-13.786764705882353</v>
      </c>
      <c r="K105" t="b">
        <v>1</v>
      </c>
      <c r="M105" s="7"/>
      <c r="N105" s="7"/>
    </row>
    <row r="107" spans="1:14" ht="16" ns3:dyDescent="0.2">
      <c r="A107" s="2" t="s">
        <v>0</v>
      </c>
      <c r="B107" s="2" t="s">
        <v>55</v>
      </c>
    </row>
    <row r="108" spans="1:14" ns3:dyDescent="0.2">
      <c r="A108" t="s">
        <v>1</v>
      </c>
      <c r="B108" t="s">
        <v>52</v>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1-0.13</f>
        <v>0.87</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s">
        <v>50</v>
      </c>
      <c r="B117" s="3">
        <f>1/(32/280)</f>
        <v>8.75</v>
      </c>
      <c r="C117" t="s">
        <v>7</v>
      </c>
      <c r="D117" t="s">
        <v>3</v>
      </c>
      <c r="E117" t="s">
        <v>14</v>
      </c>
      <c r="F117" t="s">
        <v>51</v>
      </c>
      <c r="G117">
        <v>5</v>
      </c>
      <c r="H117" s="7">
        <f>B117</f>
        <v>8.75</v>
      </c>
      <c r="I117" s="7">
        <f>B117*0.75</f>
        <v>6.5625</v>
      </c>
      <c r="J117" s="7">
        <f>B117*1.25</f>
        <v>10.9375</v>
      </c>
    </row>
    <row r="118" spans="1:14" ns3:dyDescent="0.2">
      <c r="A118" t="s">
        <v>53</v>
      </c>
      <c r="B118" s="3">
        <f>-1*B117</f>
        <v>-8.75</v>
      </c>
      <c r="C118" t="s">
        <v>7</v>
      </c>
      <c r="D118" t="s">
        <v>3</v>
      </c>
      <c r="E118" t="s">
        <v>14</v>
      </c>
      <c r="F118" t="s">
        <v>54</v>
      </c>
      <c r="G118">
        <v>5</v>
      </c>
      <c r="H118" s="7">
        <f>B118</f>
        <v>-8.75</v>
      </c>
      <c r="I118" s="7">
        <f>B118*1.25</f>
        <v>-10.9375</v>
      </c>
      <c r="J118" s="7">
        <f>B118*0.75</f>
        <v>-6.5625</v>
      </c>
      <c r="K118" t="b">
        <v>1</v>
      </c>
      <c r="M118" s="7"/>
      <c r="N118" s="7"/>
    </row>
    <row r="120" spans="1:14" ht="16" ns3:dyDescent="0.2">
      <c r="A120" s="2" t="s">
        <v>0</v>
      </c>
      <c r="B120" s="2" t="s">
        <v>56</v>
      </c>
    </row>
    <row r="121" spans="1:14" ns3:dyDescent="0.2">
      <c r="A121" t="s">
        <v>1</v>
      </c>
      <c r="B12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8.808643655832261</f>
        <v>8.808643655832261</v>
      </c>
      <c r="C130" t="s">
        <v>7</v>
      </c>
      <c r="D130" t="s">
        <v>3</v>
      </c>
      <c r="E130" t="s">
        <v>14</v>
      </c>
      <c r="F130" t="s">
        <v>34</v>
      </c>
      <c r="G130">
        <v>5</v>
      </c>
      <c r="H130" s="7">
        <f>8.808643655832261</f>
        <v>8.808643655832261</v>
      </c>
      <c r="I130" s="3">
        <f>7.340536379860217</f>
        <v>7.340536379860217</v>
      </c>
      <c r="J130" s="3">
        <f>11.010804569790327</f>
        <v>11.010804569790327</v>
      </c>
    </row>
    <row r="131" spans="1:14" ns3:dyDescent="0.2">
      <c r="A131" t="s">
        <v>53</v>
      </c>
      <c r="B131" s="3">
        <f>-8.808643655832261</f>
        <v>-8.808643655832261</v>
      </c>
      <c r="C131" t="s">
        <v>7</v>
      </c>
      <c r="D131" t="s">
        <v>3</v>
      </c>
      <c r="E131" t="s">
        <v>14</v>
      </c>
      <c r="F131" t="s">
        <v>54</v>
      </c>
      <c r="G131">
        <v>5</v>
      </c>
      <c r="H131" s="7">
        <f>-8.808643655832261</f>
        <v>-8.808643655832261</v>
      </c>
      <c r="I131" s="3">
        <f>-11.010804569790327</f>
        <v>-11.010804569790327</v>
      </c>
      <c r="J131" s="3">
        <f>-7.340536379860217</f>
        <v>-7.340536379860217</v>
      </c>
      <c r="K131" t="b">
        <v>1</v>
      </c>
      <c r="M131" s="3"/>
      <c r="N131" s="3"/>
    </row>
    <row r="132">
      <c r="A132" t="inlineStr">
        <is>
          <t>battery controls and cooling, 16-module engineering reference</t>
        </is>
      </c>
      <c r="B132">
        <v>0.0215820670357649</v>
      </c>
      <c r="C132" t="inlineStr">
        <is>
          <t>unit</t>
        </is>
      </c>
      <c r="D132" t="inlineStr">
        <is>
          <t>GLO</t>
        </is>
      </c>
      <c r="E132" t="inlineStr">
        <is>
          <t>technosphere</t>
        </is>
      </c>
      <c r="F132" t="inlineStr">
        <is>
          <t>battery controls and cooling, 16-module engineering reference</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1-0.45</f>
        <v>0.55000000000000004</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s">
        <v>36</v>
      </c>
      <c r="B143" s="3">
        <f>1/0.198</f>
        <v>5.0505050505050502</v>
      </c>
      <c r="C143" t="s">
        <v>7</v>
      </c>
      <c r="D143" t="s">
        <v>3</v>
      </c>
      <c r="E143" t="s">
        <v>14</v>
      </c>
      <c r="F143" t="s">
        <v>37</v>
      </c>
      <c r="G143">
        <v>5</v>
      </c>
      <c r="H143" s="7">
        <f>B143</f>
        <v>5.0505050505050502</v>
      </c>
      <c r="I143" s="7">
        <f>B143*0.75</f>
        <v>3.7878787878787876</v>
      </c>
      <c r="J143" s="7">
        <f>B143*1.25</f>
        <v>6.3131313131313131</v>
      </c>
    </row>
    <row r="144" spans="1:14" ns3:dyDescent="0.2">
      <c r="A144" t="inlineStr">
        <is>
          <t>treatment of LiO2 battery, for recycling</t>
        </is>
      </c>
      <c r="B144" s="3">
        <f>-1*B143</f>
        <v>-5.0505050505050502</v>
      </c>
      <c r="C144" t="s">
        <v>7</v>
      </c>
      <c r="D144" t="inlineStr">
        <is>
          <t>RER</t>
        </is>
      </c>
      <c r="E144" t="s">
        <v>14</v>
      </c>
      <c r="F144" t="inlineStr">
        <is>
          <t>waste LiO2 battery</t>
        </is>
      </c>
      <c r="G144">
        <v>5</v>
      </c>
      <c r="H144" s="7">
        <f>B144</f>
        <v>-5.0505050505050502</v>
      </c>
      <c r="I144" s="7">
        <f>B144*1.25</f>
        <v>-6.3131313131313131</v>
      </c>
      <c r="J144" s="7">
        <f>B144*0.75</f>
        <v>-3.7878787878787876</v>
      </c>
      <c r="K144" t="b">
        <v>1</v>
      </c>
      <c r="M144" s="7"/>
      <c r="N144" s="7"/>
    </row>
    <row r="146" spans="1:14" ht="16" ns3:dyDescent="0.2">
      <c r="A146" s="2" t="s">
        <v>0</v>
      </c>
      <c r="B146" s="2" t="s">
        <v>38</v>
      </c>
    </row>
    <row r="147" spans="1:14" ns3:dyDescent="0.2">
      <c r="A147" t="s">
        <v>1</v>
      </c>
      <c r="B147"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1/(0.157*$B$152)</f>
        <v>8.474582023338275</v>
      </c>
      <c r="C156" t="s">
        <v>7</v>
      </c>
      <c r="D156" t="s">
        <v>3</v>
      </c>
      <c r="E156" t="s">
        <v>14</v>
      </c>
      <c r="F156" t="s">
        <v>40</v>
      </c>
      <c r="G156">
        <v>5</v>
      </c>
      <c r="H156" s="7">
        <f>B156</f>
        <v>8.474582023338275</v>
      </c>
      <c r="I156" s="3">
        <f>1/(0.18*$B$152)</f>
        <v>7.391718764800606</v>
      </c>
      <c r="J156" s="3">
        <f>1/(0.12*$B$152)</f>
        <v>11.08757814720091</v>
      </c>
    </row>
    <row r="157" spans="1:14" ns3:dyDescent="0.2">
      <c r="A157" t="s">
        <v>53</v>
      </c>
      <c r="B157" s="3">
        <f>-1*B156</f>
        <v>-8.474582023338275</v>
      </c>
      <c r="C157" t="s">
        <v>7</v>
      </c>
      <c r="D157" t="s">
        <v>3</v>
      </c>
      <c r="E157" t="s">
        <v>14</v>
      </c>
      <c r="F157" t="s">
        <v>54</v>
      </c>
      <c r="G157">
        <v>5</v>
      </c>
      <c r="H157" s="7">
        <f>B157</f>
        <v>-8.474582023338275</v>
      </c>
      <c r="I157" s="3">
        <f>-1/(0.12*$B$152)</f>
        <v>-11.08757814720091</v>
      </c>
      <c r="J157" s="3">
        <f>-1/(0.18*$B$152)</f>
        <v>-7.391718764800606</v>
      </c>
      <c r="K157" t="b">
        <v>1</v>
      </c>
      <c r="M157" s="3"/>
      <c r="N157" s="3"/>
    </row>
    <row r="158">
      <c r="A158" t="inlineStr">
        <is>
          <t>battery controls and cooling, 16-module engineering reference</t>
        </is>
      </c>
      <c r="B158">
        <v>0.02121105988781555</v>
      </c>
      <c r="C158" t="inlineStr">
        <is>
          <t>unit</t>
        </is>
      </c>
      <c r="D158" t="inlineStr">
        <is>
          <t>GLO</t>
        </is>
      </c>
      <c r="E158" t="inlineStr">
        <is>
          <t>technosphere</t>
        </is>
      </c>
      <c r="F158" t="inlineStr">
        <is>
          <t>battery controls and cooling, 16-module engineering reference</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s">
        <v>65</v>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1-0.27</f>
        <v>0.73</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s">
        <v>17</v>
      </c>
      <c r="B11" s="7">
        <f>1/(0.16*(1-27%))</f>
        <v>8.5616438356164384</v>
      </c>
      <c r="C11" t="s">
        <v>7</v>
      </c>
      <c r="D11" t="s">
        <v>3</v>
      </c>
      <c r="E11" t="s">
        <v>14</v>
      </c>
      <c r="F11" t="s">
        <v>18</v>
      </c>
      <c r="G11">
        <v>5</v>
      </c>
      <c r="H11" s="7">
        <f>B11</f>
        <v>8.5616438356164384</v>
      </c>
      <c r="I11" s="7">
        <f>1/(0.19*(1-27%))</f>
        <v>7.2098053352559486</v>
      </c>
      <c r="J11" s="7">
        <f>1/(0.14*(1-27%))</f>
        <v>9.7847358121330714</v>
      </c>
    </row>
    <row r="12" spans="1:14" ns3:dyDescent="0.2">
      <c r="A12" t="s">
        <v>53</v>
      </c>
      <c r="B12" s="7">
        <f>-1*B11</f>
        <v>-8.5616438356164384</v>
      </c>
      <c r="C12" t="s">
        <v>7</v>
      </c>
      <c r="D12" t="s">
        <v>3</v>
      </c>
      <c r="E12" t="s">
        <v>14</v>
      </c>
      <c r="F12" t="s">
        <v>54</v>
      </c>
      <c r="G12">
        <v>5</v>
      </c>
      <c r="H12" s="7">
        <f>B12</f>
        <v>-8.5616438356164384</v>
      </c>
      <c r="I12" s="7">
        <f>-1/(0.14*(1-27%))</f>
        <v>-9.7847358121330714</v>
      </c>
      <c r="J12" s="7">
        <f>-1/(0.19*(1-27%))</f>
        <v>-7.2098053352559486</v>
      </c>
      <c r="K12" t="b">
        <v>1</v>
      </c>
      <c r="M12" s="7"/>
      <c r="N12" s="7"/>
    </row>
    <row r="14" spans="1:14" ht="16" ns3:dyDescent="0.2">
      <c r="A14" s="2" t="s">
        <v>0</v>
      </c>
      <c r="B14" s="2" t="s">
        <v>80</v>
      </c>
    </row>
    <row r="15" spans="1:14" ns3:dyDescent="0.2">
      <c r="A15" t="s">
        <v>1</v>
      </c>
      <c r="B15" t="s">
        <v>66</v>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1-0.27</f>
        <v>0.73</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s">
        <v>20</v>
      </c>
      <c r="B24" s="3">
        <f>1/(0.18*73%)</f>
        <v>7.6103500761035017</v>
      </c>
      <c r="C24" t="s">
        <v>7</v>
      </c>
      <c r="D24" t="s">
        <v>3</v>
      </c>
      <c r="E24" t="s">
        <v>14</v>
      </c>
      <c r="F24" t="s">
        <v>21</v>
      </c>
      <c r="G24">
        <v>5</v>
      </c>
      <c r="H24" s="7">
        <f>B24</f>
        <v>7.6103500761035017</v>
      </c>
      <c r="I24" s="7">
        <f>1/(0.19*73%)</f>
        <v>7.2098053352559486</v>
      </c>
      <c r="J24" s="7">
        <f>1/(0.14*73%)</f>
        <v>9.7847358121330714</v>
      </c>
    </row>
    <row r="25" spans="1:14" ns3:dyDescent="0.2">
      <c r="A25" t="s">
        <v>53</v>
      </c>
      <c r="B25" s="3">
        <f>-1*B24</f>
        <v>-7.6103500761035017</v>
      </c>
      <c r="C25" t="s">
        <v>7</v>
      </c>
      <c r="D25" t="s">
        <v>3</v>
      </c>
      <c r="E25" t="s">
        <v>14</v>
      </c>
      <c r="F25" t="s">
        <v>54</v>
      </c>
      <c r="G25">
        <v>5</v>
      </c>
      <c r="H25" s="7">
        <f>B25</f>
        <v>-7.6103500761035017</v>
      </c>
      <c r="I25" s="7">
        <f>-1/(0.14*(1-27%))</f>
        <v>-9.7847358121330714</v>
      </c>
      <c r="J25" s="7">
        <f>-1/(0.19*73%)</f>
        <v>-7.2098053352559486</v>
      </c>
      <c r="K25" t="b">
        <v>1</v>
      </c>
      <c r="M25" s="7"/>
      <c r="N25" s="7"/>
    </row>
    <row r="27" spans="1:14" ht="16" ns3:dyDescent="0.2">
      <c r="A27" s="2" t="s">
        <v>0</v>
      </c>
      <c r="B27" s="2" t="s">
        <v>114</v>
      </c>
    </row>
    <row r="28" spans="1:14" ns3:dyDescent="0.2">
      <c r="A28" t="s">
        <v>1</v>
      </c>
      <c r="B28" t="s">
        <v>111</v>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1-0.27</f>
        <v>0.73</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s">
        <v>112</v>
      </c>
      <c r="B37" s="3">
        <f>1/(0.2*73%)</f>
        <v>6.8493150684931514</v>
      </c>
      <c r="C37" t="s">
        <v>7</v>
      </c>
      <c r="D37" t="s">
        <v>3</v>
      </c>
      <c r="E37" t="s">
        <v>14</v>
      </c>
      <c r="F37" t="s">
        <v>113</v>
      </c>
      <c r="G37">
        <v>5</v>
      </c>
      <c r="H37" s="7">
        <f>B37</f>
        <v>6.8493150684931514</v>
      </c>
      <c r="I37" s="3">
        <f>1/(0.22*73%)</f>
        <v>6.2266500622665006</v>
      </c>
      <c r="J37" s="3">
        <f>1/(0.17*73%)</f>
        <v>8.058017727639001</v>
      </c>
    </row>
    <row r="38" spans="1:14" ns3:dyDescent="0.2">
      <c r="A38" t="s">
        <v>53</v>
      </c>
      <c r="B38" s="3">
        <f>-1*B37</f>
        <v>-6.8493150684931514</v>
      </c>
      <c r="C38" t="s">
        <v>7</v>
      </c>
      <c r="D38" t="s">
        <v>3</v>
      </c>
      <c r="E38" t="s">
        <v>14</v>
      </c>
      <c r="F38" t="s">
        <v>54</v>
      </c>
      <c r="G38">
        <v>5</v>
      </c>
      <c r="H38" s="7">
        <f>B38</f>
        <v>-6.8493150684931514</v>
      </c>
      <c r="I38" s="3">
        <f>-1/(0.17*73%)</f>
        <v>-8.058017727639001</v>
      </c>
      <c r="J38" s="3">
        <f>-1/(0.22*73%)</f>
        <v>-6.2266500622665006</v>
      </c>
      <c r="K38" t="b">
        <v>1</v>
      </c>
      <c r="M38" s="3"/>
      <c r="N38" s="3"/>
    </row>
    <row r="40" spans="1:14" ht="16" ns3:dyDescent="0.2">
      <c r="A40" s="2" t="s">
        <v>0</v>
      </c>
      <c r="B40" s="2" t="s">
        <v>81</v>
      </c>
    </row>
    <row r="41" spans="1:14" ns3:dyDescent="0.2">
      <c r="A41" t="s">
        <v>1</v>
      </c>
      <c r="B41" t="s">
        <v>67</v>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1-0.27</f>
        <v>0.73</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s">
        <v>25</v>
      </c>
      <c r="B50" s="3">
        <f>1/(0.24*73%)</f>
        <v>5.7077625570776256</v>
      </c>
      <c r="C50" t="s">
        <v>7</v>
      </c>
      <c r="D50" t="s">
        <v>3</v>
      </c>
      <c r="E50" t="s">
        <v>14</v>
      </c>
      <c r="F50" t="s">
        <v>26</v>
      </c>
      <c r="G50">
        <v>5</v>
      </c>
      <c r="H50" s="7">
        <f>B50</f>
        <v>5.7077625570776256</v>
      </c>
      <c r="I50" s="3">
        <f>1/(0.28*73%)</f>
        <v>4.8923679060665357</v>
      </c>
      <c r="J50" s="3">
        <f>1/(0.2*73%)</f>
        <v>6.8493150684931514</v>
      </c>
    </row>
    <row r="51" spans="1:14" ns3:dyDescent="0.2">
      <c r="A51" t="s">
        <v>53</v>
      </c>
      <c r="B51" s="3">
        <f>-1*B50</f>
        <v>-5.7077625570776256</v>
      </c>
      <c r="C51" t="s">
        <v>7</v>
      </c>
      <c r="D51" t="s">
        <v>3</v>
      </c>
      <c r="E51" t="s">
        <v>14</v>
      </c>
      <c r="F51" t="s">
        <v>54</v>
      </c>
      <c r="G51">
        <v>5</v>
      </c>
      <c r="H51" s="7">
        <f>B51</f>
        <v>-5.7077625570776256</v>
      </c>
      <c r="I51" s="3">
        <f>-1/(0.2*73%)</f>
        <v>-6.8493150684931514</v>
      </c>
      <c r="J51" s="3">
        <f>-1/(0.28*73%)</f>
        <v>-4.8923679060665357</v>
      </c>
      <c r="K51" t="b">
        <v>1</v>
      </c>
      <c r="M51" s="3"/>
      <c r="N51" s="3"/>
    </row>
    <row r="53" spans="1:14" ht="16" ns3:dyDescent="0.2">
      <c r="A53" s="2" t="s">
        <v>0</v>
      </c>
      <c r="B53" s="2" t="s">
        <v>82</v>
      </c>
    </row>
    <row r="54" spans="1:14" ns3:dyDescent="0.2">
      <c r="A54" t="s">
        <v>1</v>
      </c>
      <c r="B54" t="s">
        <v>68</v>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s">
        <v>24</v>
      </c>
      <c r="B63" s="3">
        <f>1/(0.28*71%)</f>
        <v>5.0301810865191143</v>
      </c>
      <c r="C63" t="s">
        <v>7</v>
      </c>
      <c r="D63" t="s">
        <v>3</v>
      </c>
      <c r="E63" t="s">
        <v>14</v>
      </c>
      <c r="F63" t="s">
        <v>46</v>
      </c>
      <c r="G63">
        <v>5</v>
      </c>
      <c r="H63" s="7">
        <f>B63</f>
        <v>5.0301810865191143</v>
      </c>
      <c r="I63" s="3">
        <f>1/(0.34*71%)</f>
        <v>4.1425020712510356</v>
      </c>
      <c r="J63" s="3">
        <f>1/(0.24*71%)</f>
        <v>5.868544600938967</v>
      </c>
    </row>
    <row r="64" spans="1:14" ns3:dyDescent="0.2">
      <c r="A64" t="s">
        <v>53</v>
      </c>
      <c r="B64" s="3">
        <f>-1*B63</f>
        <v>-5.0301810865191143</v>
      </c>
      <c r="C64" t="s">
        <v>7</v>
      </c>
      <c r="D64" t="s">
        <v>3</v>
      </c>
      <c r="E64" t="s">
        <v>14</v>
      </c>
      <c r="F64" t="s">
        <v>54</v>
      </c>
      <c r="G64">
        <v>5</v>
      </c>
      <c r="H64" s="7">
        <f>B64</f>
        <v>-5.0301810865191143</v>
      </c>
      <c r="I64" s="3">
        <f>-1/(0.24*71%)</f>
        <v>-5.868544600938967</v>
      </c>
      <c r="J64" s="3">
        <f>-1/(0.34*71%)</f>
        <v>-4.1425020712510356</v>
      </c>
      <c r="K64" t="b">
        <v>1</v>
      </c>
      <c r="M64" s="3"/>
      <c r="N64" s="3"/>
    </row>
    <row r="66" spans="1:14" ht="16" ns3:dyDescent="0.2">
      <c r="A66" s="2" t="s">
        <v>0</v>
      </c>
      <c r="B66" s="2" t="s">
        <v>83</v>
      </c>
    </row>
    <row r="67" spans="1:14" ns3:dyDescent="0.2">
      <c r="A67" t="s">
        <v>1</v>
      </c>
      <c r="B67"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0.72591</f>
        <v>0.72591000000000006</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s">
        <v>63</v>
      </c>
      <c r="B76" s="3">
        <f>1/(0.34*$B$72)</f>
        <v>4.0517095378052854</v>
      </c>
      <c r="C76" t="s">
        <v>7</v>
      </c>
      <c r="D76" t="s">
        <v>3</v>
      </c>
      <c r="E76" t="s">
        <v>14</v>
      </c>
      <c r="F76" t="s">
        <v>64</v>
      </c>
      <c r="G76">
        <v>5</v>
      </c>
      <c r="H76" s="7">
        <f>B76</f>
        <v>4.0517095378052854</v>
      </c>
      <c r="I76" s="3">
        <f>1/(0.38*$B$72)</f>
        <v>3.6252137969836769</v>
      </c>
      <c r="J76" s="3">
        <f>1/(0.3*$B$72)</f>
        <v>4.5919374761793241</v>
      </c>
    </row>
    <row r="77" spans="1:14" ns3:dyDescent="0.2">
      <c r="A77" t="s">
        <v>53</v>
      </c>
      <c r="B77" s="3">
        <f>-1*B76</f>
        <v>-4.0517095378052854</v>
      </c>
      <c r="C77" t="s">
        <v>7</v>
      </c>
      <c r="D77" t="s">
        <v>3</v>
      </c>
      <c r="E77" t="s">
        <v>14</v>
      </c>
      <c r="F77" t="s">
        <v>54</v>
      </c>
      <c r="G77">
        <v>5</v>
      </c>
      <c r="H77" s="7">
        <f>B77</f>
        <v>-4.0517095378052854</v>
      </c>
      <c r="I77" s="3">
        <f>-J76</f>
        <v>-4.5919374761793241</v>
      </c>
      <c r="J77" s="3">
        <f>-I76</f>
        <v>-3.6252137969836769</v>
      </c>
      <c r="K77" t="b">
        <v>1</v>
      </c>
      <c r="M77" s="3"/>
      <c r="N77" s="3"/>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s">
        <v>39</v>
      </c>
      <c r="B118" s="3">
        <f>1/(0.157*$B$114)</f>
        <v>8.474582023338275</v>
      </c>
      <c r="C118" t="s">
        <v>7</v>
      </c>
      <c r="D118" t="s">
        <v>3</v>
      </c>
      <c r="E118" t="s">
        <v>14</v>
      </c>
      <c r="F118" t="s">
        <v>40</v>
      </c>
      <c r="G118">
        <v>5</v>
      </c>
      <c r="H118" s="7">
        <f>B118</f>
        <v>8.474582023338275</v>
      </c>
      <c r="I118" s="3">
        <f>1/(0.18*$B$114)</f>
        <v>7.391718764800606</v>
      </c>
      <c r="J118" s="3">
        <f>1/(0.12*$B$114)</f>
        <v>11.08757814720091</v>
      </c>
    </row>
    <row r="119" spans="1:14" ns3:dyDescent="0.2">
      <c r="A119" t="s">
        <v>53</v>
      </c>
      <c r="B119" s="3">
        <f>-1*B118</f>
        <v>-8.474582023338275</v>
      </c>
      <c r="C119" t="s">
        <v>7</v>
      </c>
      <c r="D119" t="s">
        <v>3</v>
      </c>
      <c r="E119" t="s">
        <v>14</v>
      </c>
      <c r="F119" t="s">
        <v>54</v>
      </c>
      <c r="G119">
        <v>5</v>
      </c>
      <c r="H119" s="7">
        <f>B119</f>
        <v>-8.474582023338275</v>
      </c>
      <c r="I119" s="3">
        <f>-1/(0.12*$B$114)</f>
        <v>-11.08757814720091</v>
      </c>
      <c r="J119" s="3">
        <f>-1/(0.18*$B$114)</f>
        <v>-7.391718764800606</v>
      </c>
      <c r="K119" t="b">
        <v>1</v>
      </c>
      <c r="M119" s="3"/>
      <c r="N119" s="3"/>
    </row>
    <row r="120">
      <c r="A120" t="inlineStr">
        <is>
          <t>battery controls and cooling, 16-module engineering reference</t>
        </is>
      </c>
      <c r="B120">
        <v>0.02121105988781555</v>
      </c>
      <c r="C120" t="inlineStr">
        <is>
          <t>unit</t>
        </is>
      </c>
      <c r="D120" t="inlineStr">
        <is>
          <t>GLO</t>
        </is>
      </c>
      <c r="E120" t="inlineStr">
        <is>
          <t>technosphere</t>
        </is>
      </c>
      <c r="F120" t="inlineStr">
        <is>
          <t>battery controls and cooling, 16-module engineering reference</t>
        </is>
      </c>
      <c r="L120" t="inlineStr">
        <is>
          <t>Engineering auxiliary input; fixed unit reference, includes own separate15.6176kg waste.</t>
        </is>
      </c>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