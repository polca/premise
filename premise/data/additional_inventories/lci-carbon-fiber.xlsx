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20" yWindow="760" windowWidth="25520" windowHeight="18880" tabRatio="600" firstSheet="0" activeTab="0" autoFilterDateGrouping="1"/>
  </bookViews>
  <sheets>
    <sheet xmlns:r="http://schemas.openxmlformats.org/officeDocument/2006/relationships" name="Carbon fiber" sheetId="1" state="visible" r:id="rId1"/>
  </sheets>
  <definedNames>
    <definedName name="_xlnm._FilterDatabase" localSheetId="0" hidden="1">'Carbon fiber'!$A$1:$L$36</definedName>
  </definedNames>
  <calcPr calcId="191029" calcMode="manual"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Body)"/>
      <b val="1"/>
      <sz val="12"/>
    </font>
    <font>
      <name val="Calibri (Body)"/>
      <sz val="12"/>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3" fillId="0" borderId="0" pivotButton="0" quotePrefix="0" xfId="0"/>
    <xf numFmtId="0" fontId="4" fillId="0" borderId="0" pivotButton="0" quotePrefix="0" xfId="0"/>
    <xf numFmtId="164" fontId="0" fillId="0" borderId="0" pivotButton="0" quotePrefix="0" xfId="0"/>
    <xf numFmtId="11" fontId="0" fillId="0" borderId="0" pivotButton="0" quotePrefix="0" xfId="0"/>
    <xf numFmtId="165" fontId="0" fillId="0" borderId="0" pivotButton="0" quotePrefix="0" xfId="0"/>
    <xf numFmtId="166" fontId="0" fillId="0" borderId="0" pivotButton="0" quotePrefix="0" xfId="0"/>
    <xf numFmtId="0" fontId="2" fillId="0" borderId="0" pivotButton="0" quotePrefix="0" xfId="0"/>
    <xf numFmtId="2" fontId="0" fillId="0" borderId="0" pivotButton="0" quotePrefix="0" xfId="0"/>
    <xf numFmtId="0" fontId="0" fillId="0" borderId="0" applyAlignment="1" pivotButton="0" quotePrefix="0" xfId="0">
      <alignment horizontal="left"/>
    </xf>
    <xf numFmtId="0" fontId="5" fillId="0" borderId="0" pivotButton="0" quotePrefix="0" xfId="0"/>
    <xf numFmtId="2" fontId="3" fillId="0" borderId="0" pivotButton="0" quotePrefix="0" xfId="0"/>
    <xf numFmtId="0" fontId="6" fillId="0" borderId="0" pivotButton="0" quotePrefix="0" xfId="0"/>
    <xf numFmtId="11" fontId="6"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219"/>
  <sheetViews>
    <sheetView tabSelected="1" topLeftCell="A11" workbookViewId="0">
      <selection activeCell="A34" sqref="A34"/>
    </sheetView>
  </sheetViews>
  <sheetFormatPr baseColWidth="10" defaultColWidth="8.83203125" defaultRowHeight="15"/>
  <cols>
    <col width="33.1640625" bestFit="1" customWidth="1" min="1" max="1"/>
  </cols>
  <sheetData>
    <row r="1">
      <c r="A1" s="7" t="inlineStr">
        <is>
          <t>database</t>
        </is>
      </c>
      <c r="B1" t="inlineStr">
        <is>
          <t>carbon fiber</t>
        </is>
      </c>
    </row>
    <row r="2"/>
    <row r="3" ht="16" customHeight="1">
      <c r="A3" s="1" t="inlineStr">
        <is>
          <t>Activity</t>
        </is>
      </c>
      <c r="B3" s="1" t="inlineStr">
        <is>
          <t>polyacrylonitrile production (PAN) by polymerisation</t>
        </is>
      </c>
    </row>
    <row r="4">
      <c r="A4" t="inlineStr">
        <is>
          <t>comment</t>
        </is>
      </c>
      <c r="B4" t="inlineStr">
        <is>
          <t>1 kg of finished carbon fiber Toray T700 G. Carbon fiber manufacturing. Source: based on Ellringmann et al. (2016), Gill et al. (2016), Mützel (2012).</t>
        </is>
      </c>
    </row>
    <row r="5">
      <c r="A5" t="inlineStr">
        <is>
          <t>source</t>
        </is>
      </c>
      <c r="B5" t="inlineStr">
        <is>
          <t>Benitez A, Wulf C, de Palmenaer A, Lengersdorf M, Röding T, Grube T, et al. Ecological assessment of fuel cell electric vehicles with special focus on type IV carbon fiber hydrogen tank. J Clean Prod 2021;278:123277. https://doi.org/10.1016/j.jclepro.2020.123277.</t>
        </is>
      </c>
    </row>
    <row r="6">
      <c r="A6" t="inlineStr">
        <is>
          <t>location</t>
        </is>
      </c>
      <c r="B6" t="inlineStr">
        <is>
          <t>RER</t>
        </is>
      </c>
    </row>
    <row r="7">
      <c r="A7" t="inlineStr">
        <is>
          <t>production amount</t>
        </is>
      </c>
      <c r="B7" t="n">
        <v>1</v>
      </c>
    </row>
    <row r="8" ht="16" customHeight="1">
      <c r="A8" t="inlineStr">
        <is>
          <t>reference product</t>
        </is>
      </c>
      <c r="B8" s="14" t="inlineStr">
        <is>
          <t>polyacrylonitrile</t>
        </is>
      </c>
    </row>
    <row r="9">
      <c r="A9" t="inlineStr">
        <is>
          <t>unit</t>
        </is>
      </c>
      <c r="B9" t="inlineStr">
        <is>
          <t>kilogram</t>
        </is>
      </c>
    </row>
    <row r="10" ht="16" customHeight="1">
      <c r="A10" s="1" t="inlineStr">
        <is>
          <t>Exchanges</t>
        </is>
      </c>
    </row>
    <row r="11">
      <c r="A11" t="inlineStr">
        <is>
          <t>name</t>
        </is>
      </c>
      <c r="B11" t="inlineStr">
        <is>
          <t>amount</t>
        </is>
      </c>
      <c r="C11" t="inlineStr">
        <is>
          <t>database</t>
        </is>
      </c>
      <c r="D11" t="inlineStr">
        <is>
          <t>location</t>
        </is>
      </c>
      <c r="E11" t="inlineStr">
        <is>
          <t>unit</t>
        </is>
      </c>
      <c r="F11" t="inlineStr">
        <is>
          <t>type</t>
        </is>
      </c>
      <c r="G11" t="inlineStr">
        <is>
          <t>reference product</t>
        </is>
      </c>
    </row>
    <row r="12" ht="16" customHeight="1">
      <c r="A12" s="2" t="inlineStr">
        <is>
          <t>polyacrylonitrile production (PAN) by polymerisation</t>
        </is>
      </c>
      <c r="B12" t="n">
        <v>1</v>
      </c>
      <c r="C12" t="inlineStr">
        <is>
          <t>carbon fiber</t>
        </is>
      </c>
      <c r="D12" t="inlineStr">
        <is>
          <t>RER</t>
        </is>
      </c>
      <c r="E12" t="inlineStr">
        <is>
          <t>kilogram</t>
        </is>
      </c>
      <c r="F12" t="inlineStr">
        <is>
          <t>production</t>
        </is>
      </c>
      <c r="G12" s="14" t="inlineStr">
        <is>
          <t>polyacrylonitrile</t>
        </is>
      </c>
    </row>
    <row r="13">
      <c r="A13" t="inlineStr">
        <is>
          <t>market for heat, from steam, in chemical industry</t>
        </is>
      </c>
      <c r="B13" s="3" t="n">
        <v>49.71610169491525</v>
      </c>
      <c r="C13" t="inlineStr">
        <is>
          <t>ecoinvent</t>
        </is>
      </c>
      <c r="D13" t="inlineStr">
        <is>
          <t>RER</t>
        </is>
      </c>
      <c r="E13" t="inlineStr">
        <is>
          <t>megajoule</t>
        </is>
      </c>
      <c r="F13" t="inlineStr">
        <is>
          <t>technosphere</t>
        </is>
      </c>
      <c r="G13" t="inlineStr">
        <is>
          <t>heat, from steam, in chemical industry</t>
        </is>
      </c>
    </row>
    <row r="14">
      <c r="A14" t="inlineStr">
        <is>
          <t>market for acrylonitrile</t>
        </is>
      </c>
      <c r="B14" s="3" t="n">
        <v>1.120056497175141</v>
      </c>
      <c r="C14" t="inlineStr">
        <is>
          <t>ecoinvent</t>
        </is>
      </c>
      <c r="D14" t="inlineStr">
        <is>
          <t>GLO</t>
        </is>
      </c>
      <c r="E14" t="inlineStr">
        <is>
          <t>kilogram</t>
        </is>
      </c>
      <c r="F14" t="inlineStr">
        <is>
          <t>technosphere</t>
        </is>
      </c>
      <c r="G14" t="inlineStr">
        <is>
          <t>acrylonitrile</t>
        </is>
      </c>
    </row>
    <row r="15">
      <c r="A15" t="inlineStr">
        <is>
          <t>market group for electricity, low voltage</t>
        </is>
      </c>
      <c r="B15" s="3" t="n">
        <v>2.5</v>
      </c>
      <c r="C15" t="inlineStr">
        <is>
          <t>ecoinvent</t>
        </is>
      </c>
      <c r="D15" t="inlineStr">
        <is>
          <t>RER</t>
        </is>
      </c>
      <c r="E15" t="inlineStr">
        <is>
          <t>kilowatt hour</t>
        </is>
      </c>
      <c r="F15" t="inlineStr">
        <is>
          <t>technosphere</t>
        </is>
      </c>
      <c r="G15" t="inlineStr">
        <is>
          <t>electricity, low voltage</t>
        </is>
      </c>
    </row>
    <row r="16">
      <c r="A16" t="inlineStr">
        <is>
          <t>market for methyl acrylate</t>
        </is>
      </c>
      <c r="B16" s="4">
        <f>50/1000</f>
        <v>0.05</v>
      </c>
      <c r="C16" t="inlineStr">
        <is>
          <t>ecoinvent</t>
        </is>
      </c>
      <c r="D16" t="inlineStr">
        <is>
          <t>GLO</t>
        </is>
      </c>
      <c r="E16" t="inlineStr">
        <is>
          <t>kilogram</t>
        </is>
      </c>
      <c r="F16" t="inlineStr">
        <is>
          <t>technosphere</t>
        </is>
      </c>
      <c r="G16" t="inlineStr">
        <is>
          <t>methyl acrylate</t>
        </is>
      </c>
    </row>
    <row r="17">
      <c r="A17" t="inlineStr">
        <is>
          <t>market for acrylic acid</t>
        </is>
      </c>
      <c r="B17" s="4">
        <f>10/1000</f>
        <v>0.01</v>
      </c>
      <c r="C17" t="inlineStr">
        <is>
          <t>ecoinvent</t>
        </is>
      </c>
      <c r="D17" t="inlineStr">
        <is>
          <t>RER</t>
        </is>
      </c>
      <c r="E17" t="inlineStr">
        <is>
          <t>kilogram</t>
        </is>
      </c>
      <c r="F17" t="inlineStr">
        <is>
          <t>technosphere</t>
        </is>
      </c>
      <c r="G17" t="inlineStr">
        <is>
          <t>acrylic acid</t>
        </is>
      </c>
    </row>
    <row r="18">
      <c r="A18" t="inlineStr">
        <is>
          <t>market for water, deionised</t>
        </is>
      </c>
      <c r="B18" s="4">
        <f>764.830508474576/1000</f>
        <v>0.76483050847457601</v>
      </c>
      <c r="C18" t="inlineStr">
        <is>
          <t>ecoinvent</t>
        </is>
      </c>
      <c r="D18" t="inlineStr">
        <is>
          <t>Europe without Switzerland</t>
        </is>
      </c>
      <c r="E18" t="inlineStr">
        <is>
          <t>kilogram</t>
        </is>
      </c>
      <c r="F18" t="inlineStr">
        <is>
          <t>technosphere</t>
        </is>
      </c>
      <c r="G18" t="inlineStr">
        <is>
          <t>water, deionised</t>
        </is>
      </c>
    </row>
    <row r="19"/>
    <row r="20" ht="16" customHeight="1">
      <c r="A20" s="1" t="inlineStr">
        <is>
          <t>Activity</t>
        </is>
      </c>
      <c r="B20" s="1" t="inlineStr">
        <is>
          <t>Dimethyl sulfoxide production (DMSO)</t>
        </is>
      </c>
    </row>
    <row r="21">
      <c r="A21" t="inlineStr">
        <is>
          <t>comment</t>
        </is>
      </c>
      <c r="B21" t="inlineStr">
        <is>
          <t>1 kg of finished carbon fiber Toray T700 G. Carbon fiber manufacturing. Source: based on Ellringmann et al. (2016), Gill et al. (2016), Mützel (2012).</t>
        </is>
      </c>
    </row>
    <row r="22">
      <c r="A22" t="inlineStr">
        <is>
          <t>source</t>
        </is>
      </c>
      <c r="B22" t="inlineStr">
        <is>
          <t>Benitez A, Wulf C, de Palmenaer A, Lengersdorf M, Röding T, Grube T, et al. Ecological assessment of fuel cell electric vehicles with special focus on type IV carbon fiber hydrogen tank. J Clean Prod 2021;278:123277. https://doi.org/10.1016/j.jclepro.2020.123277.</t>
        </is>
      </c>
    </row>
    <row r="23">
      <c r="A23" t="inlineStr">
        <is>
          <t>location</t>
        </is>
      </c>
      <c r="B23" t="inlineStr">
        <is>
          <t>RER</t>
        </is>
      </c>
    </row>
    <row r="24">
      <c r="A24" t="inlineStr">
        <is>
          <t>production amount</t>
        </is>
      </c>
      <c r="B24" t="n">
        <v>1</v>
      </c>
    </row>
    <row r="25" ht="16" customHeight="1">
      <c r="A25" t="inlineStr">
        <is>
          <t>reference product</t>
        </is>
      </c>
      <c r="B25" s="2" t="inlineStr">
        <is>
          <t>Dimethyl sulfoxide</t>
        </is>
      </c>
    </row>
    <row r="26">
      <c r="A26" t="inlineStr">
        <is>
          <t>unit</t>
        </is>
      </c>
      <c r="B26" t="inlineStr">
        <is>
          <t>kilogram</t>
        </is>
      </c>
    </row>
    <row r="27" ht="16" customHeight="1">
      <c r="A27" s="1" t="inlineStr">
        <is>
          <t>Exchanges</t>
        </is>
      </c>
    </row>
    <row r="28">
      <c r="A28" t="inlineStr">
        <is>
          <t>name</t>
        </is>
      </c>
      <c r="B28" t="inlineStr">
        <is>
          <t>amount</t>
        </is>
      </c>
      <c r="C28" t="inlineStr">
        <is>
          <t>database</t>
        </is>
      </c>
      <c r="D28" t="inlineStr">
        <is>
          <t>location</t>
        </is>
      </c>
      <c r="E28" t="inlineStr">
        <is>
          <t>unit</t>
        </is>
      </c>
      <c r="F28" t="inlineStr">
        <is>
          <t>type</t>
        </is>
      </c>
      <c r="G28" t="inlineStr">
        <is>
          <t>reference product</t>
        </is>
      </c>
    </row>
    <row r="29" ht="16" customHeight="1">
      <c r="A29" s="2" t="inlineStr">
        <is>
          <t>Dimethyl sulfoxide production (DMSO)</t>
        </is>
      </c>
      <c r="B29" t="n">
        <v>1</v>
      </c>
      <c r="C29" t="inlineStr">
        <is>
          <t>carbon fiber</t>
        </is>
      </c>
      <c r="D29" t="inlineStr">
        <is>
          <t>RER</t>
        </is>
      </c>
      <c r="E29" t="inlineStr">
        <is>
          <t>kilogram</t>
        </is>
      </c>
      <c r="F29" t="inlineStr">
        <is>
          <t>production</t>
        </is>
      </c>
      <c r="G29" s="2" t="inlineStr">
        <is>
          <t>Dimethyl sulfoxide</t>
        </is>
      </c>
    </row>
    <row r="30">
      <c r="A30" t="inlineStr">
        <is>
          <t>market for compressed air, 1000 kPa gauge</t>
        </is>
      </c>
      <c r="B30" s="5" t="n">
        <v>0.002579925650557621</v>
      </c>
      <c r="C30" t="inlineStr">
        <is>
          <t>ecoinvent</t>
        </is>
      </c>
      <c r="D30" t="inlineStr">
        <is>
          <t>RER</t>
        </is>
      </c>
      <c r="E30" t="inlineStr">
        <is>
          <t>cubic meter</t>
        </is>
      </c>
      <c r="F30" t="inlineStr">
        <is>
          <t>technosphere</t>
        </is>
      </c>
      <c r="G30" t="inlineStr">
        <is>
          <t>compressed air, 1000 kPa gauge</t>
        </is>
      </c>
      <c r="K30" s="4" t="n"/>
    </row>
    <row r="31">
      <c r="A31" t="inlineStr">
        <is>
          <t>market for dimethyl sulfoxide</t>
        </is>
      </c>
      <c r="B31" s="5" t="n">
        <v>0.03154894671623296</v>
      </c>
      <c r="C31" t="inlineStr">
        <is>
          <t>ecoinvent</t>
        </is>
      </c>
      <c r="D31" t="inlineStr">
        <is>
          <t>GLO</t>
        </is>
      </c>
      <c r="E31" t="inlineStr">
        <is>
          <t>kilogram</t>
        </is>
      </c>
      <c r="F31" t="inlineStr">
        <is>
          <t>technosphere</t>
        </is>
      </c>
      <c r="G31" t="inlineStr">
        <is>
          <t>dimethyl sulfoxide</t>
        </is>
      </c>
      <c r="K31" s="4" t="n"/>
    </row>
    <row r="32">
      <c r="A32" t="inlineStr">
        <is>
          <t>market group for electricity, low voltage</t>
        </is>
      </c>
      <c r="B32" s="5" t="n">
        <v>0.1128500619578686</v>
      </c>
      <c r="C32" t="inlineStr">
        <is>
          <t>ecoinvent</t>
        </is>
      </c>
      <c r="D32" t="inlineStr">
        <is>
          <t>RER</t>
        </is>
      </c>
      <c r="E32" t="inlineStr">
        <is>
          <t>kilowatt hour</t>
        </is>
      </c>
      <c r="F32" t="inlineStr">
        <is>
          <t>technosphere</t>
        </is>
      </c>
      <c r="G32" t="inlineStr">
        <is>
          <t>electricity, low voltage</t>
        </is>
      </c>
      <c r="K32" s="4" t="n"/>
    </row>
    <row r="33">
      <c r="A33" t="inlineStr">
        <is>
          <t>market for ethylene glycol</t>
        </is>
      </c>
      <c r="B33" s="4">
        <f>0.00242255266418835/1000</f>
        <v>2.4225526641883498E-6</v>
      </c>
      <c r="C33" t="inlineStr">
        <is>
          <t>ecoinvent</t>
        </is>
      </c>
      <c r="D33" t="inlineStr">
        <is>
          <t>GLO</t>
        </is>
      </c>
      <c r="E33" t="inlineStr">
        <is>
          <t>kilogram</t>
        </is>
      </c>
      <c r="F33" t="inlineStr">
        <is>
          <t>technosphere</t>
        </is>
      </c>
      <c r="G33" t="inlineStr">
        <is>
          <t>ethylene glycol</t>
        </is>
      </c>
      <c r="K33" s="4" t="n"/>
    </row>
    <row r="34">
      <c r="A34" t="inlineStr">
        <is>
          <t>market for nitrogen, liquid</t>
        </is>
      </c>
      <c r="B34" s="5" t="n">
        <v>0.005396530359355638</v>
      </c>
      <c r="C34" t="inlineStr">
        <is>
          <t>ecoinvent</t>
        </is>
      </c>
      <c r="D34" t="inlineStr">
        <is>
          <t>RER</t>
        </is>
      </c>
      <c r="E34" t="inlineStr">
        <is>
          <t>kilogram</t>
        </is>
      </c>
      <c r="F34" t="inlineStr">
        <is>
          <t>technosphere</t>
        </is>
      </c>
      <c r="G34" t="inlineStr">
        <is>
          <t>nitrogen, liquid</t>
        </is>
      </c>
      <c r="K34" s="4" t="n"/>
    </row>
    <row r="35">
      <c r="A35" t="inlineStr">
        <is>
          <t>market for steam, in chemical industry</t>
        </is>
      </c>
      <c r="B35" s="5" t="n">
        <v>1.594795539033457</v>
      </c>
      <c r="C35" t="inlineStr">
        <is>
          <t>ecoinvent</t>
        </is>
      </c>
      <c r="D35" t="inlineStr">
        <is>
          <t>RER</t>
        </is>
      </c>
      <c r="E35" t="inlineStr">
        <is>
          <t>kilogram</t>
        </is>
      </c>
      <c r="F35" t="inlineStr">
        <is>
          <t>technosphere</t>
        </is>
      </c>
      <c r="G35" t="inlineStr">
        <is>
          <t>steam, in chemical industry</t>
        </is>
      </c>
      <c r="K35" s="4" t="n"/>
    </row>
    <row r="36"/>
    <row r="37" ht="16" customHeight="1">
      <c r="A37" s="1" t="inlineStr">
        <is>
          <t>Activity</t>
        </is>
      </c>
      <c r="B37" s="1" t="inlineStr">
        <is>
          <t>carbon fiber production, fiber coagulation, stretching, washing, sizing and drying</t>
        </is>
      </c>
      <c r="K37" s="8" t="n"/>
      <c r="L37" s="8" t="n"/>
      <c r="M37" s="8" t="n"/>
      <c r="N37" s="8" t="n"/>
      <c r="O37" s="8" t="n"/>
      <c r="P37" s="8" t="n"/>
    </row>
    <row r="38">
      <c r="A38" t="inlineStr">
        <is>
          <t>comment</t>
        </is>
      </c>
      <c r="B38" t="inlineStr">
        <is>
          <t>1 kg of finished carbon fiber Toray T700 G. Carbon fiber manufacturing. Source: based on Ellringmann et al. (2016), Gill et al. (2016), Mützel (2012).</t>
        </is>
      </c>
      <c r="K38" s="8" t="n"/>
      <c r="L38" s="8" t="n"/>
      <c r="M38" s="8" t="n"/>
      <c r="N38" s="8" t="n"/>
      <c r="O38" s="8" t="n"/>
      <c r="P38" s="8" t="n"/>
    </row>
    <row r="39">
      <c r="A39" t="inlineStr">
        <is>
          <t>source</t>
        </is>
      </c>
      <c r="B39" t="inlineStr">
        <is>
          <t>Benitez A, Wulf C, de Palmenaer A, Lengersdorf M, Röding T, Grube T, et al. Ecological assessment of fuel cell electric vehicles with special focus on type IV carbon fiber hydrogen tank. J Clean Prod 2021;278:123277. https://doi.org/10.1016/j.jclepro.2020.123277.</t>
        </is>
      </c>
      <c r="K39" s="8" t="n"/>
      <c r="L39" s="8" t="n"/>
      <c r="M39" s="8" t="n"/>
      <c r="N39" s="8" t="n"/>
      <c r="O39" s="8" t="n"/>
      <c r="P39" s="8" t="n"/>
    </row>
    <row r="40">
      <c r="A40" t="inlineStr">
        <is>
          <t>location</t>
        </is>
      </c>
      <c r="B40" t="inlineStr">
        <is>
          <t>RER</t>
        </is>
      </c>
      <c r="K40" s="8" t="n"/>
      <c r="L40" s="8" t="n"/>
      <c r="M40" s="8" t="n"/>
      <c r="N40" s="8" t="n"/>
      <c r="O40" s="8" t="n"/>
      <c r="P40" s="8" t="n"/>
    </row>
    <row r="41">
      <c r="A41" t="inlineStr">
        <is>
          <t>Category</t>
        </is>
      </c>
      <c r="B41" s="9" t="inlineStr">
        <is>
          <t>main</t>
        </is>
      </c>
    </row>
    <row r="42">
      <c r="A42" t="inlineStr">
        <is>
          <t>production amount</t>
        </is>
      </c>
      <c r="B42" t="n">
        <v>1</v>
      </c>
      <c r="K42" s="8" t="n"/>
      <c r="L42" s="8" t="n"/>
      <c r="M42" s="8" t="n"/>
      <c r="N42" s="8" t="n"/>
      <c r="O42" s="8" t="n"/>
      <c r="P42" s="8" t="n"/>
    </row>
    <row r="43">
      <c r="A43" t="inlineStr">
        <is>
          <t>reference product</t>
        </is>
      </c>
      <c r="B43" t="inlineStr">
        <is>
          <t>carbon fiber, dried</t>
        </is>
      </c>
      <c r="K43" s="8" t="n"/>
      <c r="L43" s="8" t="n"/>
      <c r="M43" s="8" t="n"/>
      <c r="N43" s="8" t="n"/>
      <c r="O43" s="8" t="n"/>
      <c r="P43" s="8" t="n"/>
    </row>
    <row r="44">
      <c r="A44" t="inlineStr">
        <is>
          <t>unit</t>
        </is>
      </c>
      <c r="B44" t="inlineStr">
        <is>
          <t>kilogram</t>
        </is>
      </c>
      <c r="K44" s="8" t="n"/>
      <c r="L44" s="8" t="n"/>
      <c r="M44" s="8" t="n"/>
      <c r="N44" s="8" t="n"/>
      <c r="O44" s="8" t="n"/>
      <c r="P44" s="8" t="n"/>
    </row>
    <row r="45" ht="16" customHeight="1">
      <c r="A45" s="1" t="inlineStr">
        <is>
          <t>Exchanges</t>
        </is>
      </c>
      <c r="K45" s="8" t="n"/>
      <c r="L45" s="8" t="n"/>
      <c r="M45" s="8" t="n"/>
      <c r="N45" s="8" t="n"/>
      <c r="O45" s="8" t="n"/>
      <c r="P45" s="8" t="n"/>
    </row>
    <row r="46" ht="16" customHeight="1">
      <c r="A46" s="1" t="inlineStr">
        <is>
          <t>name</t>
        </is>
      </c>
      <c r="B46" s="1" t="inlineStr">
        <is>
          <t>amount</t>
        </is>
      </c>
      <c r="C46" s="1" t="inlineStr">
        <is>
          <t>location</t>
        </is>
      </c>
      <c r="D46" s="1" t="inlineStr">
        <is>
          <t>unit</t>
        </is>
      </c>
      <c r="E46" s="1" t="inlineStr">
        <is>
          <t>categories</t>
        </is>
      </c>
      <c r="F46" s="1" t="inlineStr">
        <is>
          <t>type</t>
        </is>
      </c>
      <c r="G46" s="1" t="inlineStr">
        <is>
          <t>reference product</t>
        </is>
      </c>
      <c r="H46" s="10" t="inlineStr">
        <is>
          <t>comment</t>
        </is>
      </c>
      <c r="I46" s="10" t="inlineStr">
        <is>
          <t>uncertainty type</t>
        </is>
      </c>
      <c r="J46" s="1" t="inlineStr">
        <is>
          <t>loc</t>
        </is>
      </c>
      <c r="K46" s="11" t="inlineStr">
        <is>
          <t>u1</t>
        </is>
      </c>
      <c r="L46" s="11" t="inlineStr">
        <is>
          <t>u2</t>
        </is>
      </c>
      <c r="M46" s="11" t="inlineStr">
        <is>
          <t>u3</t>
        </is>
      </c>
      <c r="N46" s="11" t="inlineStr">
        <is>
          <t>u4</t>
        </is>
      </c>
      <c r="O46" s="11" t="inlineStr">
        <is>
          <t>u5</t>
        </is>
      </c>
      <c r="P46" s="11" t="inlineStr">
        <is>
          <t>u6</t>
        </is>
      </c>
      <c r="Q46" s="1" t="inlineStr">
        <is>
          <t>ub</t>
        </is>
      </c>
      <c r="R46" s="1" t="inlineStr">
        <is>
          <t>scale</t>
        </is>
      </c>
      <c r="S46" s="10" t="inlineStr">
        <is>
          <t>negative</t>
        </is>
      </c>
      <c r="T46" s="1" t="inlineStr">
        <is>
          <t>simapro category</t>
        </is>
      </c>
    </row>
    <row r="47" ht="16" customHeight="1">
      <c r="A47" t="inlineStr">
        <is>
          <t>carbon fiber production, fiber coagulation, stretching, washing, sizing and drying</t>
        </is>
      </c>
      <c r="B47" t="n">
        <v>1</v>
      </c>
      <c r="C47" t="inlineStr">
        <is>
          <t>RER</t>
        </is>
      </c>
      <c r="D47" t="inlineStr">
        <is>
          <t>kilogram</t>
        </is>
      </c>
      <c r="E47" s="12" t="n"/>
      <c r="F47" t="inlineStr">
        <is>
          <t>production</t>
        </is>
      </c>
      <c r="G47" t="inlineStr">
        <is>
          <t>carbon fiber, dried</t>
        </is>
      </c>
      <c r="H47" s="12" t="n"/>
      <c r="I47" s="12" t="n"/>
      <c r="J47" s="12" t="n"/>
      <c r="K47" s="8" t="n"/>
      <c r="L47" s="8" t="n"/>
      <c r="M47" s="8" t="n"/>
      <c r="N47" s="8" t="n"/>
      <c r="O47" s="8" t="n"/>
      <c r="P47" s="8" t="n"/>
      <c r="T47" t="inlineStr">
        <is>
          <t>Material/Chemicals/Organic</t>
        </is>
      </c>
    </row>
    <row r="48" ht="16" customHeight="1">
      <c r="A48" t="inlineStr">
        <is>
          <t>Water</t>
        </is>
      </c>
      <c r="B48">
        <f>0.623418865196964/1000</f>
        <v>6.2341886519696403E-4</v>
      </c>
      <c r="D48" t="inlineStr">
        <is>
          <t>cubic meter</t>
        </is>
      </c>
      <c r="E48" s="12" t="inlineStr">
        <is>
          <t>air</t>
        </is>
      </c>
      <c r="F48" t="inlineStr">
        <is>
          <t>biosphere</t>
        </is>
      </c>
      <c r="H48" s="12" t="n"/>
      <c r="I48" s="12" t="n">
        <v>2</v>
      </c>
      <c r="J48">
        <f>LN(B48)</f>
        <v>-7.3802919293036036</v>
      </c>
      <c r="K48" s="8" t="n">
        <v>1.5</v>
      </c>
      <c r="L48" s="8" t="n">
        <v>1.2</v>
      </c>
      <c r="M48" s="8" t="n">
        <v>1.5</v>
      </c>
      <c r="N48" s="8" t="n">
        <v>1.1</v>
      </c>
      <c r="O48" s="8" t="n">
        <v>2</v>
      </c>
      <c r="P48" s="8" t="n">
        <v>1.2</v>
      </c>
      <c r="Q48" s="8" t="n">
        <v>1.05</v>
      </c>
      <c r="R48">
        <f>LN(SQRT(EXP(
SQRT(
+POWER(LN(K48),2)
+POWER(LN(L48),2)
+POWER(LN(M48),2)
+POWER(LN(N48),2)
+POWER(LN(O48),2)
+POWER(LN(P48),2)
+POWER(LN(Q48),2)
)
)))</f>
        <v>0.47095746419981693</v>
      </c>
    </row>
    <row r="49" ht="16" customHeight="1">
      <c r="A49" t="inlineStr">
        <is>
          <t>market for compressed air, 1000 kPa gauge</t>
        </is>
      </c>
      <c r="B49" s="4" t="n">
        <v>0.000526924466931695</v>
      </c>
      <c r="C49" t="inlineStr">
        <is>
          <t>RER</t>
        </is>
      </c>
      <c r="D49" t="inlineStr">
        <is>
          <t>cubic meter</t>
        </is>
      </c>
      <c r="E49" s="12" t="n"/>
      <c r="F49" t="inlineStr">
        <is>
          <t>technosphere</t>
        </is>
      </c>
      <c r="G49" t="inlineStr">
        <is>
          <t>compressed air, 1000 kPa gauge</t>
        </is>
      </c>
      <c r="H49" s="12" t="n"/>
      <c r="I49" s="12" t="n">
        <v>2</v>
      </c>
      <c r="J49">
        <f>LN(B49)</f>
        <v>-7.5484533462004597</v>
      </c>
      <c r="K49" s="8" t="n">
        <v>1.5</v>
      </c>
      <c r="L49" s="8" t="n">
        <v>1.2</v>
      </c>
      <c r="M49" s="8" t="n">
        <v>1.5</v>
      </c>
      <c r="N49" s="8" t="n">
        <v>1.1</v>
      </c>
      <c r="O49" s="8" t="n">
        <v>2</v>
      </c>
      <c r="P49" s="8" t="n">
        <v>1.2</v>
      </c>
      <c r="Q49" t="n">
        <v>1.05</v>
      </c>
      <c r="R49">
        <f>LN(SQRT(EXP(
SQRT(
+POWER(LN(K49),2)
+POWER(LN(L49),2)
+POWER(LN(M49),2)
+POWER(LN(N49),2)
+POWER(LN(O49),2)
+POWER(LN(P49),2)
+POWER(LN(Q49),2)
)
)))</f>
        <v>0.47095746419981693</v>
      </c>
    </row>
    <row r="50" ht="16" customHeight="1">
      <c r="A50" t="inlineStr">
        <is>
          <t>market group for electricity, low voltage</t>
        </is>
      </c>
      <c r="B50" s="6" t="n">
        <v>0.06364293458619444</v>
      </c>
      <c r="C50" t="inlineStr">
        <is>
          <t>RER</t>
        </is>
      </c>
      <c r="D50" t="inlineStr">
        <is>
          <t>kilowatt hour</t>
        </is>
      </c>
      <c r="E50" s="12" t="n"/>
      <c r="F50" t="inlineStr">
        <is>
          <t>technosphere</t>
        </is>
      </c>
      <c r="G50" t="inlineStr">
        <is>
          <t>electricity, low voltage</t>
        </is>
      </c>
      <c r="H50" s="12" t="n"/>
      <c r="I50" s="12" t="n">
        <v>2</v>
      </c>
      <c r="J50">
        <f>LN(B50)</f>
        <v>-2.7544669642847652</v>
      </c>
      <c r="K50" s="8" t="n">
        <v>1.5</v>
      </c>
      <c r="L50" s="8" t="n">
        <v>1.2</v>
      </c>
      <c r="M50" s="8" t="n">
        <v>1.5</v>
      </c>
      <c r="N50" s="8" t="n">
        <v>1.1</v>
      </c>
      <c r="O50" s="8" t="n">
        <v>2</v>
      </c>
      <c r="P50" s="8" t="n">
        <v>1.2</v>
      </c>
      <c r="Q50" t="n">
        <v>1.05</v>
      </c>
      <c r="R50">
        <f>LN(SQRT(EXP(
SQRT(
+POWER(LN(K50),2)
+POWER(LN(L50),2)
+POWER(LN(M50),2)
+POWER(LN(N50),2)
+POWER(LN(O50),2)
+POWER(LN(P50),2)
+POWER(LN(Q50),2)
)
)))</f>
        <v>0.47095746419981693</v>
      </c>
    </row>
    <row r="51" ht="16" customHeight="1">
      <c r="A51" t="inlineStr">
        <is>
          <t>market for heat, from steam, in chemical industry</t>
        </is>
      </c>
      <c r="B51" s="5">
        <f>0.744127213588724*2.778</f>
        <v>2.0671853993494755</v>
      </c>
      <c r="C51" t="inlineStr">
        <is>
          <t>RER</t>
        </is>
      </c>
      <c r="D51" t="inlineStr">
        <is>
          <t>megajoule</t>
        </is>
      </c>
      <c r="E51" s="12" t="n"/>
      <c r="F51" t="inlineStr">
        <is>
          <t>technosphere</t>
        </is>
      </c>
      <c r="G51" t="inlineStr">
        <is>
          <t>heat, from steam, in chemical industry</t>
        </is>
      </c>
      <c r="H51" s="12" t="n"/>
      <c r="I51" s="12" t="n">
        <v>2</v>
      </c>
      <c r="J51">
        <f>LN(B51)</f>
        <v>0.7261879715730154</v>
      </c>
      <c r="K51" s="8" t="n">
        <v>1.5</v>
      </c>
      <c r="L51" s="8" t="n">
        <v>1.2</v>
      </c>
      <c r="M51" s="8" t="n">
        <v>1.5</v>
      </c>
      <c r="N51" s="8" t="n">
        <v>1.1</v>
      </c>
      <c r="O51" s="8" t="n">
        <v>2</v>
      </c>
      <c r="P51" s="8" t="n">
        <v>1.2</v>
      </c>
      <c r="Q51" t="n">
        <v>1.05</v>
      </c>
      <c r="R51">
        <f>LN(SQRT(EXP(
SQRT(
+POWER(LN(K51),2)
+POWER(LN(L51),2)
+POWER(LN(M51),2)
+POWER(LN(N51),2)
+POWER(LN(O51),2)
+POWER(LN(P51),2)
+POWER(LN(Q51),2)
)
)))</f>
        <v>0.47095746419981693</v>
      </c>
    </row>
    <row r="52" ht="16" customHeight="1">
      <c r="A52" s="12" t="inlineStr">
        <is>
          <t>treatment of wastewater, average, wastewater treatment</t>
        </is>
      </c>
      <c r="B52" t="n">
        <v>-0.00113841705818576</v>
      </c>
      <c r="C52" t="inlineStr">
        <is>
          <t>CH</t>
        </is>
      </c>
      <c r="D52" t="inlineStr">
        <is>
          <t>cubic meter</t>
        </is>
      </c>
      <c r="E52" s="12" t="n"/>
      <c r="F52" t="inlineStr">
        <is>
          <t>technosphere</t>
        </is>
      </c>
      <c r="G52" t="inlineStr">
        <is>
          <t>wastewater, average</t>
        </is>
      </c>
      <c r="I52" s="12" t="n">
        <v>2</v>
      </c>
      <c r="J52">
        <f>LN(B52*-1)</f>
        <v>-6.7781165269493853</v>
      </c>
      <c r="K52" s="8" t="n">
        <v>1.5</v>
      </c>
      <c r="L52" s="8" t="n">
        <v>1.2</v>
      </c>
      <c r="M52" s="8" t="n">
        <v>1.5</v>
      </c>
      <c r="N52" s="8" t="n">
        <v>1.1</v>
      </c>
      <c r="O52" s="8" t="n">
        <v>2</v>
      </c>
      <c r="P52" s="8" t="n">
        <v>1.2</v>
      </c>
      <c r="Q52" t="n">
        <v>1.05</v>
      </c>
      <c r="R52">
        <f>LN(SQRT(EXP(
SQRT(
+POWER(LN(K52),2)
+POWER(LN(L52),2)
+POWER(LN(M52),2)
+POWER(LN(N52),2)
+POWER(LN(O52),2)
+POWER(LN(P52),2)
+POWER(LN(Q52),2)
)
)))</f>
        <v>0.47095746419981693</v>
      </c>
      <c r="S52" s="12" t="b">
        <v>1</v>
      </c>
    </row>
    <row r="53" ht="16" customHeight="1">
      <c r="A53" t="inlineStr">
        <is>
          <t>market for compressed air, 1000 kPa gauge</t>
        </is>
      </c>
      <c r="B53" s="4" t="n">
        <v>0.0002536320925189737</v>
      </c>
      <c r="C53" t="inlineStr">
        <is>
          <t>RER</t>
        </is>
      </c>
      <c r="D53" t="inlineStr">
        <is>
          <t>cubic meter</t>
        </is>
      </c>
      <c r="E53" s="12" t="n"/>
      <c r="F53" t="inlineStr">
        <is>
          <t>technosphere</t>
        </is>
      </c>
      <c r="G53" t="inlineStr">
        <is>
          <t>compressed air, 1000 kPa gauge</t>
        </is>
      </c>
      <c r="I53" s="12" t="n">
        <v>2</v>
      </c>
      <c r="J53">
        <f>LN(B53)</f>
        <v>-8.2796257956199479</v>
      </c>
      <c r="K53" s="8" t="n">
        <v>1.5</v>
      </c>
      <c r="L53" s="8" t="n">
        <v>1.2</v>
      </c>
      <c r="M53" s="8" t="n">
        <v>1.5</v>
      </c>
      <c r="N53" s="8" t="n">
        <v>1.1</v>
      </c>
      <c r="O53" s="8" t="n">
        <v>2</v>
      </c>
      <c r="P53" s="8" t="n">
        <v>1.2</v>
      </c>
      <c r="Q53" t="n">
        <v>1.05</v>
      </c>
      <c r="R53">
        <f>LN(SQRT(EXP(
SQRT(
+POWER(LN(K53),2)
+POWER(LN(L53),2)
+POWER(LN(M53),2)
+POWER(LN(N53),2)
+POWER(LN(O53),2)
+POWER(LN(P53),2)
+POWER(LN(Q53),2)
)
)))</f>
        <v>0.47095746419981693</v>
      </c>
    </row>
    <row r="54" ht="16" customHeight="1">
      <c r="A54" t="inlineStr">
        <is>
          <t>market group for electricity, low voltage</t>
        </is>
      </c>
      <c r="B54" s="6" t="n">
        <v>0.05814962052764727</v>
      </c>
      <c r="C54" t="inlineStr">
        <is>
          <t>RER</t>
        </is>
      </c>
      <c r="D54" t="inlineStr">
        <is>
          <t>kilowatt hour</t>
        </is>
      </c>
      <c r="E54" s="12" t="n"/>
      <c r="F54" t="inlineStr">
        <is>
          <t>technosphere</t>
        </is>
      </c>
      <c r="G54" t="inlineStr">
        <is>
          <t>electricity, low voltage</t>
        </is>
      </c>
      <c r="I54" s="12" t="n">
        <v>2</v>
      </c>
      <c r="J54">
        <f>LN(B54)</f>
        <v>-2.8447359257885885</v>
      </c>
      <c r="K54" s="8" t="n">
        <v>1.5</v>
      </c>
      <c r="L54" s="8" t="n">
        <v>1.2</v>
      </c>
      <c r="M54" s="8" t="n">
        <v>1.5</v>
      </c>
      <c r="N54" s="8" t="n">
        <v>1.1</v>
      </c>
      <c r="O54" s="8" t="n">
        <v>2</v>
      </c>
      <c r="P54" s="8" t="n">
        <v>1.2</v>
      </c>
      <c r="Q54" t="n">
        <v>1.05</v>
      </c>
      <c r="R54">
        <f>LN(SQRT(EXP(
SQRT(
+POWER(LN(K54),2)
+POWER(LN(L54),2)
+POWER(LN(M54),2)
+POWER(LN(N54),2)
+POWER(LN(O54),2)
+POWER(LN(P54),2)
+POWER(LN(Q54),2)
)
)))</f>
        <v>0.47095746419981693</v>
      </c>
    </row>
    <row r="55" ht="16" customHeight="1">
      <c r="A55" t="inlineStr">
        <is>
          <t>market for potassium permanganate</t>
        </is>
      </c>
      <c r="B55" s="4" t="n">
        <v>0.0405854716299241</v>
      </c>
      <c r="C55" t="inlineStr">
        <is>
          <t>GLO</t>
        </is>
      </c>
      <c r="D55" t="inlineStr">
        <is>
          <t>kilogram</t>
        </is>
      </c>
      <c r="E55" s="12" t="n"/>
      <c r="F55" t="inlineStr">
        <is>
          <t>technosphere</t>
        </is>
      </c>
      <c r="G55" t="inlineStr">
        <is>
          <t>potassium permanganate</t>
        </is>
      </c>
      <c r="I55" s="12" t="n">
        <v>2</v>
      </c>
      <c r="J55">
        <f>LN(B55)</f>
        <v>-3.2043451180425286</v>
      </c>
      <c r="K55" s="8" t="n">
        <v>1.5</v>
      </c>
      <c r="L55" s="8" t="n">
        <v>1.2</v>
      </c>
      <c r="M55" s="8" t="n">
        <v>1.5</v>
      </c>
      <c r="N55" s="8" t="n">
        <v>1.1</v>
      </c>
      <c r="O55" s="8" t="n">
        <v>2</v>
      </c>
      <c r="P55" s="8" t="n">
        <v>1.2</v>
      </c>
      <c r="Q55" t="n">
        <v>1.05</v>
      </c>
      <c r="R55">
        <f>LN(SQRT(EXP(
SQRT(
+POWER(LN(K55),2)
+POWER(LN(L55),2)
+POWER(LN(M55),2)
+POWER(LN(N55),2)
+POWER(LN(O55),2)
+POWER(LN(P55),2)
+POWER(LN(Q55),2)
)
)))</f>
        <v>0.47095746419981693</v>
      </c>
    </row>
    <row r="56" ht="16" customHeight="1">
      <c r="A56" t="inlineStr">
        <is>
          <t>market for water, deionised</t>
        </is>
      </c>
      <c r="B56" s="4" t="n">
        <v>0.2369714492229852</v>
      </c>
      <c r="C56" t="inlineStr">
        <is>
          <t>Europe without Switzerland</t>
        </is>
      </c>
      <c r="D56" t="inlineStr">
        <is>
          <t>kilogram</t>
        </is>
      </c>
      <c r="E56" s="12" t="n"/>
      <c r="F56" t="inlineStr">
        <is>
          <t>technosphere</t>
        </is>
      </c>
      <c r="G56" t="inlineStr">
        <is>
          <t>water, deionised</t>
        </is>
      </c>
      <c r="I56" s="12" t="n">
        <v>2</v>
      </c>
      <c r="J56">
        <f>LN(B56)</f>
        <v>-1.4398156125173522</v>
      </c>
      <c r="K56" s="8" t="n">
        <v>1.5</v>
      </c>
      <c r="L56" s="8" t="n">
        <v>1.2</v>
      </c>
      <c r="M56" s="8" t="n">
        <v>1.5</v>
      </c>
      <c r="N56" s="8" t="n">
        <v>1.1</v>
      </c>
      <c r="O56" s="8" t="n">
        <v>2</v>
      </c>
      <c r="P56" s="8" t="n">
        <v>1.2</v>
      </c>
      <c r="Q56" t="n">
        <v>1.05</v>
      </c>
      <c r="R56">
        <f>LN(SQRT(EXP(
SQRT(
+POWER(LN(K56),2)
+POWER(LN(L56),2)
+POWER(LN(M56),2)
+POWER(LN(N56),2)
+POWER(LN(O56),2)
+POWER(LN(P56),2)
+POWER(LN(Q56),2)
)
)))</f>
        <v>0.47095746419981693</v>
      </c>
    </row>
    <row r="57" ht="16" customHeight="1">
      <c r="A57" t="inlineStr">
        <is>
          <t>market for compressed air, 1000 kPa gauge</t>
        </is>
      </c>
      <c r="B57" s="4" t="n">
        <v>0.01141308276111312</v>
      </c>
      <c r="C57" t="inlineStr">
        <is>
          <t>RER</t>
        </is>
      </c>
      <c r="D57" t="inlineStr">
        <is>
          <t>cubic meter</t>
        </is>
      </c>
      <c r="E57" s="12" t="n"/>
      <c r="F57" t="inlineStr">
        <is>
          <t>technosphere</t>
        </is>
      </c>
      <c r="G57" t="inlineStr">
        <is>
          <t>compressed air, 1000 kPa gauge</t>
        </is>
      </c>
      <c r="I57" s="12" t="n">
        <v>2</v>
      </c>
      <c r="J57">
        <f>LN(B57)</f>
        <v>-4.4729949709594301</v>
      </c>
      <c r="K57" s="8" t="n">
        <v>1.5</v>
      </c>
      <c r="L57" s="8" t="n">
        <v>1.2</v>
      </c>
      <c r="M57" s="8" t="n">
        <v>1.5</v>
      </c>
      <c r="N57" s="8" t="n">
        <v>1.1</v>
      </c>
      <c r="O57" s="8" t="n">
        <v>2</v>
      </c>
      <c r="P57" s="8" t="n">
        <v>1.2</v>
      </c>
      <c r="Q57" t="n">
        <v>1.05</v>
      </c>
      <c r="R57">
        <f>LN(SQRT(EXP(
SQRT(
+POWER(LN(K57),2)
+POWER(LN(L57),2)
+POWER(LN(M57),2)
+POWER(LN(N57),2)
+POWER(LN(O57),2)
+POWER(LN(P57),2)
+POWER(LN(Q57),2)
)
)))</f>
        <v>0.47095746419981693</v>
      </c>
    </row>
    <row r="58" ht="16" customHeight="1">
      <c r="A58" t="inlineStr">
        <is>
          <t>market group for electricity, low voltage</t>
        </is>
      </c>
      <c r="B58" s="6" t="n">
        <v>0.6638959161546801</v>
      </c>
      <c r="C58" t="inlineStr">
        <is>
          <t>RER</t>
        </is>
      </c>
      <c r="D58" t="inlineStr">
        <is>
          <t>kilowatt hour</t>
        </is>
      </c>
      <c r="E58" s="12" t="n"/>
      <c r="F58" t="inlineStr">
        <is>
          <t>technosphere</t>
        </is>
      </c>
      <c r="G58" t="inlineStr">
        <is>
          <t>electricity, low voltage</t>
        </is>
      </c>
      <c r="I58" s="12" t="n">
        <v>2</v>
      </c>
      <c r="J58">
        <f>LN(B58)</f>
        <v>-0.40962989457180027</v>
      </c>
      <c r="K58" s="8" t="n">
        <v>1.5</v>
      </c>
      <c r="L58" s="8" t="n">
        <v>1.2</v>
      </c>
      <c r="M58" s="8" t="n">
        <v>1.5</v>
      </c>
      <c r="N58" s="8" t="n">
        <v>1.1</v>
      </c>
      <c r="O58" s="8" t="n">
        <v>2</v>
      </c>
      <c r="P58" s="8" t="n">
        <v>1.2</v>
      </c>
      <c r="Q58" t="n">
        <v>1.05</v>
      </c>
      <c r="R58">
        <f>LN(SQRT(EXP(
SQRT(
+POWER(LN(K58),2)
+POWER(LN(L58),2)
+POWER(LN(M58),2)
+POWER(LN(N58),2)
+POWER(LN(O58),2)
+POWER(LN(P58),2)
+POWER(LN(Q58),2)
)
)))</f>
        <v>0.47095746419981693</v>
      </c>
    </row>
    <row r="59" ht="16" customHeight="1">
      <c r="A59" t="inlineStr">
        <is>
          <t>market for heat, from steam, in chemical industry</t>
        </is>
      </c>
      <c r="B59" s="5" t="n">
        <v>2.92156848572461</v>
      </c>
      <c r="C59" t="inlineStr">
        <is>
          <t>RER</t>
        </is>
      </c>
      <c r="D59" t="inlineStr">
        <is>
          <t>megajoule</t>
        </is>
      </c>
      <c r="E59" s="12" t="n"/>
      <c r="F59" t="inlineStr">
        <is>
          <t>technosphere</t>
        </is>
      </c>
      <c r="G59" t="inlineStr">
        <is>
          <t>heat, from steam, in chemical industry</t>
        </is>
      </c>
      <c r="I59" s="12" t="n">
        <v>2</v>
      </c>
      <c r="J59">
        <f>LN(B59)</f>
        <v>1.0721206247107637</v>
      </c>
      <c r="K59" s="8" t="n">
        <v>1.5</v>
      </c>
      <c r="L59" s="8" t="n">
        <v>1.2</v>
      </c>
      <c r="M59" s="8" t="n">
        <v>1.5</v>
      </c>
      <c r="N59" s="8" t="n">
        <v>1.1</v>
      </c>
      <c r="O59" s="8" t="n">
        <v>2</v>
      </c>
      <c r="P59" s="8" t="n">
        <v>1.2</v>
      </c>
      <c r="Q59" t="n">
        <v>1.05</v>
      </c>
      <c r="R59">
        <f>LN(SQRT(EXP(
SQRT(
+POWER(LN(K59),2)
+POWER(LN(L59),2)
+POWER(LN(M59),2)
+POWER(LN(N59),2)
+POWER(LN(O59),2)
+POWER(LN(P59),2)
+POWER(LN(Q59),2)
)
)))</f>
        <v>0.47095746419981693</v>
      </c>
    </row>
    <row r="60" ht="16" customHeight="1">
      <c r="A60" t="inlineStr">
        <is>
          <t>market for water, deionised</t>
        </is>
      </c>
      <c r="B60" s="4" t="n">
        <v>0.0006324539212143115</v>
      </c>
      <c r="C60" t="inlineStr">
        <is>
          <t>Europe without Switzerland</t>
        </is>
      </c>
      <c r="D60" t="inlineStr">
        <is>
          <t>kilogram</t>
        </is>
      </c>
      <c r="E60" s="12" t="n"/>
      <c r="F60" t="inlineStr">
        <is>
          <t>technosphere</t>
        </is>
      </c>
      <c r="G60" t="inlineStr">
        <is>
          <t>water, deionised</t>
        </is>
      </c>
      <c r="I60" s="12" t="n">
        <v>2</v>
      </c>
      <c r="J60">
        <f>LN(B60)</f>
        <v>-7.365903191851503</v>
      </c>
      <c r="K60" s="8" t="n">
        <v>1.5</v>
      </c>
      <c r="L60" s="8" t="n">
        <v>1.2</v>
      </c>
      <c r="M60" s="8" t="n">
        <v>1.5</v>
      </c>
      <c r="N60" s="8" t="n">
        <v>1.1</v>
      </c>
      <c r="O60" s="8" t="n">
        <v>2</v>
      </c>
      <c r="P60" s="8" t="n">
        <v>1.2</v>
      </c>
      <c r="Q60" t="n">
        <v>1.05</v>
      </c>
      <c r="R60">
        <f>LN(SQRT(EXP(
SQRT(
+POWER(LN(K60),2)
+POWER(LN(L60),2)
+POWER(LN(M60),2)
+POWER(LN(N60),2)
+POWER(LN(O60),2)
+POWER(LN(P60),2)
+POWER(LN(Q60),2)
)
)))</f>
        <v>0.47095746419981693</v>
      </c>
    </row>
    <row r="61" ht="16" customHeight="1">
      <c r="A61" t="inlineStr">
        <is>
          <t>market group for electricity, low voltage</t>
        </is>
      </c>
      <c r="B61" s="6" t="n">
        <v>0.05139139862667148</v>
      </c>
      <c r="C61" t="inlineStr">
        <is>
          <t>RER</t>
        </is>
      </c>
      <c r="D61" t="inlineStr">
        <is>
          <t>kilowatt hour</t>
        </is>
      </c>
      <c r="E61" s="12" t="n"/>
      <c r="F61" t="inlineStr">
        <is>
          <t>technosphere</t>
        </is>
      </c>
      <c r="G61" t="inlineStr">
        <is>
          <t>electricity, low voltage</t>
        </is>
      </c>
      <c r="I61" s="12" t="n">
        <v>2</v>
      </c>
      <c r="J61">
        <f>LN(B61)</f>
        <v>-2.9682844624177855</v>
      </c>
      <c r="K61" s="8" t="n">
        <v>1.5</v>
      </c>
      <c r="L61" s="8" t="n">
        <v>1.2</v>
      </c>
      <c r="M61" s="8" t="n">
        <v>1.5</v>
      </c>
      <c r="N61" s="8" t="n">
        <v>1.1</v>
      </c>
      <c r="O61" s="8" t="n">
        <v>2</v>
      </c>
      <c r="P61" s="8" t="n">
        <v>1.2</v>
      </c>
      <c r="Q61" t="n">
        <v>1.05</v>
      </c>
      <c r="R61">
        <f>LN(SQRT(EXP(
SQRT(
+POWER(LN(K61),2)
+POWER(LN(L61),2)
+POWER(LN(M61),2)
+POWER(LN(N61),2)
+POWER(LN(O61),2)
+POWER(LN(P61),2)
+POWER(LN(Q61),2)
)
)))</f>
        <v>0.47095746419981693</v>
      </c>
    </row>
    <row r="62" ht="16" customHeight="1">
      <c r="A62" t="inlineStr">
        <is>
          <t>market for ethylene glycol</t>
        </is>
      </c>
      <c r="B62" s="4" t="n">
        <v>0.0002945066859414534</v>
      </c>
      <c r="C62" t="inlineStr">
        <is>
          <t>GLO</t>
        </is>
      </c>
      <c r="D62" t="inlineStr">
        <is>
          <t>kilogram</t>
        </is>
      </c>
      <c r="E62" s="12" t="n"/>
      <c r="F62" t="inlineStr">
        <is>
          <t>technosphere</t>
        </is>
      </c>
      <c r="G62" t="inlineStr">
        <is>
          <t>ethylene glycol</t>
        </is>
      </c>
      <c r="I62" s="12" t="n">
        <v>2</v>
      </c>
      <c r="J62">
        <f>LN(B62)</f>
        <v>-8.1302088524428875</v>
      </c>
      <c r="K62" s="8" t="n">
        <v>1.5</v>
      </c>
      <c r="L62" s="8" t="n">
        <v>1.2</v>
      </c>
      <c r="M62" s="8" t="n">
        <v>1.5</v>
      </c>
      <c r="N62" s="8" t="n">
        <v>1.1</v>
      </c>
      <c r="O62" s="8" t="n">
        <v>2</v>
      </c>
      <c r="P62" s="8" t="n">
        <v>1.2</v>
      </c>
      <c r="Q62" t="n">
        <v>1.05</v>
      </c>
      <c r="R62">
        <f>LN(SQRT(EXP(
SQRT(
+POWER(LN(K62),2)
+POWER(LN(L62),2)
+POWER(LN(M62),2)
+POWER(LN(N62),2)
+POWER(LN(O62),2)
+POWER(LN(P62),2)
+POWER(LN(Q62),2)
)
)))</f>
        <v>0.47095746419981693</v>
      </c>
    </row>
    <row r="63" ht="16" customHeight="1">
      <c r="A63" t="inlineStr">
        <is>
          <t>market for compressed air, 1000 kPa gauge</t>
        </is>
      </c>
      <c r="B63" s="4" t="n">
        <v>0.006252258764004336</v>
      </c>
      <c r="C63" t="inlineStr">
        <is>
          <t>RER</t>
        </is>
      </c>
      <c r="D63" t="inlineStr">
        <is>
          <t>cubic meter</t>
        </is>
      </c>
      <c r="E63" s="12" t="n"/>
      <c r="F63" t="inlineStr">
        <is>
          <t>technosphere</t>
        </is>
      </c>
      <c r="G63" t="inlineStr">
        <is>
          <t>compressed air, 1000 kPa gauge</t>
        </is>
      </c>
      <c r="I63" s="12" t="n">
        <v>2</v>
      </c>
      <c r="J63">
        <f>LN(B63)</f>
        <v>-5.0748124782831923</v>
      </c>
      <c r="K63" s="8" t="n">
        <v>1.5</v>
      </c>
      <c r="L63" s="8" t="n">
        <v>1.2</v>
      </c>
      <c r="M63" s="8" t="n">
        <v>1.5</v>
      </c>
      <c r="N63" s="8" t="n">
        <v>1.1</v>
      </c>
      <c r="O63" s="8" t="n">
        <v>2</v>
      </c>
      <c r="P63" s="8" t="n">
        <v>1.2</v>
      </c>
      <c r="Q63" t="n">
        <v>1.05</v>
      </c>
      <c r="R63">
        <f>LN(SQRT(EXP(
SQRT(
+POWER(LN(K63),2)
+POWER(LN(L63),2)
+POWER(LN(M63),2)
+POWER(LN(N63),2)
+POWER(LN(O63),2)
+POWER(LN(P63),2)
+POWER(LN(Q63),2)
)
)))</f>
        <v>0.47095746419981693</v>
      </c>
    </row>
    <row r="64" ht="16" customHeight="1">
      <c r="A64" t="inlineStr">
        <is>
          <t>market for dimethyl sulfoxide</t>
        </is>
      </c>
      <c r="B64" t="n">
        <v>0.01084206722081677</v>
      </c>
      <c r="C64" t="inlineStr">
        <is>
          <t>GLO</t>
        </is>
      </c>
      <c r="D64" t="inlineStr">
        <is>
          <t>kilogram</t>
        </is>
      </c>
      <c r="E64" s="12" t="n"/>
      <c r="F64" t="inlineStr">
        <is>
          <t>technosphere</t>
        </is>
      </c>
      <c r="G64" t="inlineStr">
        <is>
          <t>dimethyl sulfoxide</t>
        </is>
      </c>
      <c r="I64" s="12" t="n">
        <v>2</v>
      </c>
      <c r="J64">
        <f>LN(B64)</f>
        <v>-4.5243215981247706</v>
      </c>
      <c r="K64" s="8" t="n">
        <v>1.5</v>
      </c>
      <c r="L64" s="8" t="n">
        <v>1.2</v>
      </c>
      <c r="M64" s="8" t="n">
        <v>1.5</v>
      </c>
      <c r="N64" s="8" t="n">
        <v>1.1</v>
      </c>
      <c r="O64" s="8" t="n">
        <v>2</v>
      </c>
      <c r="P64" s="8" t="n">
        <v>1.2</v>
      </c>
      <c r="Q64" t="n">
        <v>1.05</v>
      </c>
      <c r="R64">
        <f>LN(SQRT(EXP(
SQRT(
+POWER(LN(K64),2)
+POWER(LN(L64),2)
+POWER(LN(M64),2)
+POWER(LN(N64),2)
+POWER(LN(O64),2)
+POWER(LN(P64),2)
+POWER(LN(Q64),2)
)
)))</f>
        <v>0.47095746419981693</v>
      </c>
    </row>
    <row r="65" ht="16" customHeight="1">
      <c r="A65" t="inlineStr">
        <is>
          <t>market group for electricity, low voltage</t>
        </is>
      </c>
      <c r="B65" s="5" t="n">
        <v>0.1922298518250813</v>
      </c>
      <c r="C65" t="inlineStr">
        <is>
          <t>RER</t>
        </is>
      </c>
      <c r="D65" t="inlineStr">
        <is>
          <t>kilowatt hour</t>
        </is>
      </c>
      <c r="E65" s="12" t="n"/>
      <c r="F65" t="inlineStr">
        <is>
          <t>technosphere</t>
        </is>
      </c>
      <c r="G65" t="inlineStr">
        <is>
          <t>electricity, low voltage</t>
        </is>
      </c>
      <c r="I65" s="12" t="n">
        <v>2</v>
      </c>
      <c r="J65">
        <f>LN(B65)</f>
        <v>-1.6490634780386539</v>
      </c>
      <c r="K65" s="8" t="n">
        <v>1.5</v>
      </c>
      <c r="L65" s="8" t="n">
        <v>1.2</v>
      </c>
      <c r="M65" s="8" t="n">
        <v>1.5</v>
      </c>
      <c r="N65" s="8" t="n">
        <v>1.1</v>
      </c>
      <c r="O65" s="8" t="n">
        <v>2</v>
      </c>
      <c r="P65" s="8" t="n">
        <v>1.2</v>
      </c>
      <c r="Q65" t="n">
        <v>1.05</v>
      </c>
      <c r="R65">
        <f>LN(SQRT(EXP(
SQRT(
+POWER(LN(K65),2)
+POWER(LN(L65),2)
+POWER(LN(M65),2)
+POWER(LN(N65),2)
+POWER(LN(O65),2)
+POWER(LN(P65),2)
+POWER(LN(Q65),2)
)
)))</f>
        <v>0.47095746419981693</v>
      </c>
    </row>
    <row r="66" ht="16" customHeight="1">
      <c r="A66" t="inlineStr">
        <is>
          <t>market for ethylene glycol</t>
        </is>
      </c>
      <c r="B66" s="4" t="n">
        <v>6.526924466931704e-07</v>
      </c>
      <c r="C66" t="inlineStr">
        <is>
          <t>GLO</t>
        </is>
      </c>
      <c r="D66" t="inlineStr">
        <is>
          <t>kilogram</t>
        </is>
      </c>
      <c r="E66" s="12" t="n"/>
      <c r="F66" t="inlineStr">
        <is>
          <t>technosphere</t>
        </is>
      </c>
      <c r="G66" t="inlineStr">
        <is>
          <t>ethylene glycol</t>
        </is>
      </c>
      <c r="I66" s="12" t="n">
        <v>2</v>
      </c>
      <c r="J66">
        <f>LN(B66)</f>
        <v>-14.242159803774268</v>
      </c>
      <c r="K66" s="8" t="n">
        <v>1.5</v>
      </c>
      <c r="L66" s="8" t="n">
        <v>1.2</v>
      </c>
      <c r="M66" s="8" t="n">
        <v>1.5</v>
      </c>
      <c r="N66" s="8" t="n">
        <v>1.1</v>
      </c>
      <c r="O66" s="8" t="n">
        <v>2</v>
      </c>
      <c r="P66" s="8" t="n">
        <v>1.2</v>
      </c>
      <c r="Q66" t="n">
        <v>1.05</v>
      </c>
      <c r="R66">
        <f>LN(SQRT(EXP(
SQRT(
+POWER(LN(K66),2)
+POWER(LN(L66),2)
+POWER(LN(M66),2)
+POWER(LN(N66),2)
+POWER(LN(O66),2)
+POWER(LN(P66),2)
+POWER(LN(Q66),2)
)
)))</f>
        <v>0.47095746419981693</v>
      </c>
    </row>
    <row r="67" ht="16" customHeight="1">
      <c r="A67" t="inlineStr">
        <is>
          <t>market for methyl acrylate</t>
        </is>
      </c>
      <c r="B67" s="6" t="n">
        <v>0.040946873870618</v>
      </c>
      <c r="C67" t="inlineStr">
        <is>
          <t>GLO</t>
        </is>
      </c>
      <c r="D67" t="inlineStr">
        <is>
          <t>kilogram</t>
        </is>
      </c>
      <c r="E67" s="12" t="n"/>
      <c r="F67" t="inlineStr">
        <is>
          <t>technosphere</t>
        </is>
      </c>
      <c r="G67" t="inlineStr">
        <is>
          <t>methyl acrylate</t>
        </is>
      </c>
      <c r="I67" s="12" t="n">
        <v>2</v>
      </c>
      <c r="J67">
        <f>LN(B67)</f>
        <v>-3.1954798117529655</v>
      </c>
      <c r="K67" s="8" t="n">
        <v>1.5</v>
      </c>
      <c r="L67" s="8" t="n">
        <v>1.2</v>
      </c>
      <c r="M67" s="8" t="n">
        <v>1.5</v>
      </c>
      <c r="N67" s="8" t="n">
        <v>1.1</v>
      </c>
      <c r="O67" s="8" t="n">
        <v>2</v>
      </c>
      <c r="P67" s="8" t="n">
        <v>1.2</v>
      </c>
      <c r="Q67" t="n">
        <v>1.05</v>
      </c>
      <c r="R67">
        <f>LN(SQRT(EXP(
SQRT(
+POWER(LN(K67),2)
+POWER(LN(L67),2)
+POWER(LN(M67),2)
+POWER(LN(N67),2)
+POWER(LN(O67),2)
+POWER(LN(P67),2)
+POWER(LN(Q67),2)
)
)))</f>
        <v>0.47095746419981693</v>
      </c>
    </row>
    <row r="68" ht="16" customHeight="1">
      <c r="A68" t="inlineStr">
        <is>
          <t>market for nitrogen, liquid</t>
        </is>
      </c>
      <c r="B68" s="5" t="n">
        <v>0.01609685580050596</v>
      </c>
      <c r="C68" t="inlineStr">
        <is>
          <t>RER</t>
        </is>
      </c>
      <c r="D68" t="inlineStr">
        <is>
          <t>kilogram</t>
        </is>
      </c>
      <c r="E68" s="12" t="n"/>
      <c r="F68" t="inlineStr">
        <is>
          <t>technosphere</t>
        </is>
      </c>
      <c r="G68" t="inlineStr">
        <is>
          <t>nitrogen, liquid</t>
        </is>
      </c>
      <c r="I68" s="12" t="n">
        <v>2</v>
      </c>
      <c r="J68">
        <f>LN(B68)</f>
        <v>-4.1291313179577047</v>
      </c>
      <c r="K68" s="8" t="n">
        <v>1.5</v>
      </c>
      <c r="L68" s="8" t="n">
        <v>1.2</v>
      </c>
      <c r="M68" s="8" t="n">
        <v>1.5</v>
      </c>
      <c r="N68" s="8" t="n">
        <v>1.1</v>
      </c>
      <c r="O68" s="8" t="n">
        <v>2</v>
      </c>
      <c r="P68" s="8" t="n">
        <v>1.2</v>
      </c>
      <c r="Q68" t="n">
        <v>1.05</v>
      </c>
      <c r="R68">
        <f>LN(SQRT(EXP(
SQRT(
+POWER(LN(K68),2)
+POWER(LN(L68),2)
+POWER(LN(M68),2)
+POWER(LN(N68),2)
+POWER(LN(O68),2)
+POWER(LN(P68),2)
+POWER(LN(Q68),2)
)
)))</f>
        <v>0.47095746419981693</v>
      </c>
    </row>
    <row r="69" ht="16" customHeight="1">
      <c r="A69" t="inlineStr">
        <is>
          <t>polyacrylonitrile production (PAN) by polymerisation</t>
        </is>
      </c>
      <c r="B69" s="5" t="n">
        <v>1.023491145645103</v>
      </c>
      <c r="C69" t="inlineStr">
        <is>
          <t>RER</t>
        </is>
      </c>
      <c r="D69" t="inlineStr">
        <is>
          <t>kilogram</t>
        </is>
      </c>
      <c r="E69" s="12" t="n"/>
      <c r="F69" t="inlineStr">
        <is>
          <t>technosphere</t>
        </is>
      </c>
      <c r="G69" t="inlineStr">
        <is>
          <t>polyacrylonitrile</t>
        </is>
      </c>
      <c r="I69" s="12" t="n">
        <v>2</v>
      </c>
      <c r="J69">
        <f>LN(B69)</f>
        <v>2.3219475026684273E-2</v>
      </c>
      <c r="K69" s="8" t="n">
        <v>1.5</v>
      </c>
      <c r="L69" s="8" t="n">
        <v>1.2</v>
      </c>
      <c r="M69" s="8" t="n">
        <v>1.5</v>
      </c>
      <c r="N69" s="8" t="n">
        <v>1.1</v>
      </c>
      <c r="O69" s="8" t="n">
        <v>2</v>
      </c>
      <c r="P69" s="8" t="n">
        <v>1.2</v>
      </c>
      <c r="Q69" t="n">
        <v>1.05</v>
      </c>
      <c r="R69">
        <f>LN(SQRT(EXP(
SQRT(
+POWER(LN(K69),2)
+POWER(LN(L69),2)
+POWER(LN(M69),2)
+POWER(LN(N69),2)
+POWER(LN(O69),2)
+POWER(LN(P69),2)
+POWER(LN(Q69),2)
)
)))</f>
        <v>0.47095746419981693</v>
      </c>
    </row>
    <row r="70" ht="16" customHeight="1">
      <c r="A70" t="inlineStr">
        <is>
          <t>market for heat, from steam, in chemical industry</t>
        </is>
      </c>
      <c r="B70" s="5" t="n">
        <v>3.246856523310445</v>
      </c>
      <c r="C70" t="inlineStr">
        <is>
          <t>RER</t>
        </is>
      </c>
      <c r="D70" t="inlineStr">
        <is>
          <t>megajoule</t>
        </is>
      </c>
      <c r="E70" s="12" t="n"/>
      <c r="F70" t="inlineStr">
        <is>
          <t>technosphere</t>
        </is>
      </c>
      <c r="G70" t="inlineStr">
        <is>
          <t>heat, from steam, in chemical industry</t>
        </is>
      </c>
      <c r="I70" s="12" t="n">
        <v>2</v>
      </c>
      <c r="J70">
        <f>LN(B70)</f>
        <v>1.1776873046822784</v>
      </c>
      <c r="K70" s="8" t="n">
        <v>1.5</v>
      </c>
      <c r="L70" s="8" t="n">
        <v>1.2</v>
      </c>
      <c r="M70" s="8" t="n">
        <v>1.5</v>
      </c>
      <c r="N70" s="8" t="n">
        <v>1.1</v>
      </c>
      <c r="O70" s="8" t="n">
        <v>2</v>
      </c>
      <c r="P70" s="8" t="n">
        <v>1.2</v>
      </c>
      <c r="Q70" t="n">
        <v>1.05</v>
      </c>
      <c r="R70">
        <f>LN(SQRT(EXP(
SQRT(
+POWER(LN(K70),2)
+POWER(LN(L70),2)
+POWER(LN(M70),2)
+POWER(LN(N70),2)
+POWER(LN(O70),2)
+POWER(LN(P70),2)
+POWER(LN(Q70),2)
)
)))</f>
        <v>0.47095746419981693</v>
      </c>
    </row>
    <row r="71">
      <c r="K71" s="8" t="n"/>
      <c r="L71" s="8" t="n"/>
      <c r="M71" s="8" t="n"/>
      <c r="N71" s="8" t="n"/>
      <c r="O71" s="8" t="n"/>
      <c r="P71" s="8" t="n"/>
    </row>
    <row r="72" ht="16" customHeight="1">
      <c r="A72" s="1" t="inlineStr">
        <is>
          <t>Activity</t>
        </is>
      </c>
      <c r="B72" s="1" t="inlineStr">
        <is>
          <t>carbon fiber production, fiber relaxation</t>
        </is>
      </c>
      <c r="K72" s="8" t="n"/>
      <c r="L72" s="8" t="n"/>
      <c r="M72" s="8" t="n"/>
      <c r="N72" s="8" t="n"/>
      <c r="O72" s="8" t="n"/>
      <c r="P72" s="8" t="n"/>
    </row>
    <row r="73">
      <c r="A73" t="inlineStr">
        <is>
          <t>comment</t>
        </is>
      </c>
      <c r="B73" t="inlineStr">
        <is>
          <t>1 kg of finished carbon fiber Toray T700 G. Carbon fiber manufacturing. Source: based on Ellringmann et al. (2016), Gill et al. (2016), Mützel (2012).</t>
        </is>
      </c>
      <c r="K73" s="8" t="n"/>
      <c r="L73" s="8" t="n"/>
      <c r="M73" s="8" t="n"/>
      <c r="N73" s="8" t="n"/>
      <c r="O73" s="8" t="n"/>
      <c r="P73" s="8" t="n"/>
    </row>
    <row r="74">
      <c r="A74" t="inlineStr">
        <is>
          <t>source</t>
        </is>
      </c>
      <c r="B74" t="inlineStr">
        <is>
          <t>Benitez A, Wulf C, de Palmenaer A, Lengersdorf M, Röding T, Grube T, et al. Ecological assessment of fuel cell electric vehicles with special focus on type IV carbon fiber hydrogen tank. J Clean Prod 2021;278:123277. https://doi.org/10.1016/j.jclepro.2020.123277.</t>
        </is>
      </c>
      <c r="K74" s="8" t="n"/>
      <c r="L74" s="8" t="n"/>
      <c r="M74" s="8" t="n"/>
      <c r="N74" s="8" t="n"/>
      <c r="O74" s="8" t="n"/>
      <c r="P74" s="8" t="n"/>
    </row>
    <row r="75">
      <c r="A75" t="inlineStr">
        <is>
          <t>location</t>
        </is>
      </c>
      <c r="B75" t="inlineStr">
        <is>
          <t>RER</t>
        </is>
      </c>
      <c r="K75" s="8" t="n"/>
      <c r="L75" s="8" t="n"/>
      <c r="M75" s="8" t="n"/>
      <c r="N75" s="8" t="n"/>
      <c r="O75" s="8" t="n"/>
      <c r="P75" s="8" t="n"/>
    </row>
    <row r="76">
      <c r="A76" t="inlineStr">
        <is>
          <t>Category</t>
        </is>
      </c>
      <c r="B76" s="9" t="inlineStr">
        <is>
          <t>main</t>
        </is>
      </c>
    </row>
    <row r="77">
      <c r="A77" t="inlineStr">
        <is>
          <t>production amount</t>
        </is>
      </c>
      <c r="B77" t="n">
        <v>1</v>
      </c>
      <c r="K77" s="8" t="n"/>
      <c r="L77" s="8" t="n"/>
      <c r="M77" s="8" t="n"/>
      <c r="N77" s="8" t="n"/>
      <c r="O77" s="8" t="n"/>
      <c r="P77" s="8" t="n"/>
    </row>
    <row r="78">
      <c r="A78" t="inlineStr">
        <is>
          <t>reference product</t>
        </is>
      </c>
      <c r="B78" t="inlineStr">
        <is>
          <t>carbon fiber, relaxed</t>
        </is>
      </c>
      <c r="K78" s="8" t="n"/>
      <c r="L78" s="8" t="n"/>
      <c r="M78" s="8" t="n"/>
      <c r="N78" s="8" t="n"/>
      <c r="O78" s="8" t="n"/>
      <c r="P78" s="8" t="n"/>
    </row>
    <row r="79">
      <c r="A79" t="inlineStr">
        <is>
          <t>unit</t>
        </is>
      </c>
      <c r="B79" t="inlineStr">
        <is>
          <t>kilogram</t>
        </is>
      </c>
      <c r="K79" s="8" t="n"/>
      <c r="L79" s="8" t="n"/>
      <c r="M79" s="8" t="n"/>
      <c r="N79" s="8" t="n"/>
      <c r="O79" s="8" t="n"/>
      <c r="P79" s="8" t="n"/>
    </row>
    <row r="80" ht="16" customHeight="1">
      <c r="A80" s="1" t="inlineStr">
        <is>
          <t>Exchanges</t>
        </is>
      </c>
      <c r="K80" s="8" t="n"/>
      <c r="L80" s="8" t="n"/>
      <c r="M80" s="8" t="n"/>
      <c r="N80" s="8" t="n"/>
      <c r="O80" s="8" t="n"/>
      <c r="P80" s="8" t="n"/>
    </row>
    <row r="81" ht="16" customHeight="1">
      <c r="A81" s="1" t="inlineStr">
        <is>
          <t>name</t>
        </is>
      </c>
      <c r="B81" s="1" t="inlineStr">
        <is>
          <t>amount</t>
        </is>
      </c>
      <c r="C81" s="1" t="inlineStr">
        <is>
          <t>location</t>
        </is>
      </c>
      <c r="D81" s="1" t="inlineStr">
        <is>
          <t>unit</t>
        </is>
      </c>
      <c r="E81" s="1" t="inlineStr">
        <is>
          <t>categories</t>
        </is>
      </c>
      <c r="F81" s="1" t="inlineStr">
        <is>
          <t>type</t>
        </is>
      </c>
      <c r="G81" s="1" t="inlineStr">
        <is>
          <t>reference product</t>
        </is>
      </c>
      <c r="H81" s="10" t="inlineStr">
        <is>
          <t>comment</t>
        </is>
      </c>
      <c r="I81" s="10" t="inlineStr">
        <is>
          <t>uncertainty type</t>
        </is>
      </c>
      <c r="J81" s="1" t="inlineStr">
        <is>
          <t>loc</t>
        </is>
      </c>
      <c r="K81" s="11" t="inlineStr">
        <is>
          <t>u1</t>
        </is>
      </c>
      <c r="L81" s="11" t="inlineStr">
        <is>
          <t>u2</t>
        </is>
      </c>
      <c r="M81" s="11" t="inlineStr">
        <is>
          <t>u3</t>
        </is>
      </c>
      <c r="N81" s="11" t="inlineStr">
        <is>
          <t>u4</t>
        </is>
      </c>
      <c r="O81" s="11" t="inlineStr">
        <is>
          <t>u5</t>
        </is>
      </c>
      <c r="P81" s="11" t="inlineStr">
        <is>
          <t>u6</t>
        </is>
      </c>
      <c r="Q81" s="1" t="inlineStr">
        <is>
          <t>ub</t>
        </is>
      </c>
      <c r="R81" s="1" t="inlineStr">
        <is>
          <t>scale</t>
        </is>
      </c>
      <c r="S81" s="10" t="inlineStr">
        <is>
          <t>negative</t>
        </is>
      </c>
      <c r="T81" s="1" t="inlineStr">
        <is>
          <t>simapro category</t>
        </is>
      </c>
    </row>
    <row r="82" ht="16" customHeight="1">
      <c r="A82" t="inlineStr">
        <is>
          <t>carbon fiber production, fiber relaxation</t>
        </is>
      </c>
      <c r="B82" t="n">
        <v>1</v>
      </c>
      <c r="C82" t="inlineStr">
        <is>
          <t>RER</t>
        </is>
      </c>
      <c r="D82" t="inlineStr">
        <is>
          <t>kilogram</t>
        </is>
      </c>
      <c r="E82" s="12" t="n"/>
      <c r="F82" t="inlineStr">
        <is>
          <t>production</t>
        </is>
      </c>
      <c r="G82" t="inlineStr">
        <is>
          <t>carbon fiber, relaxed</t>
        </is>
      </c>
      <c r="H82" s="12" t="n"/>
      <c r="I82" s="12" t="n"/>
      <c r="K82" s="8" t="n"/>
      <c r="L82" s="8" t="n"/>
      <c r="M82" s="8" t="n"/>
      <c r="N82" s="8" t="n"/>
      <c r="O82" s="8" t="n"/>
      <c r="P82" s="8" t="n"/>
      <c r="T82" t="inlineStr">
        <is>
          <t>Material/Chemicals/Organic</t>
        </is>
      </c>
    </row>
    <row r="83" ht="16" customHeight="1">
      <c r="A83" t="inlineStr">
        <is>
          <t>carbon fiber production, fiber coagulation, stretching, washing, sizing and drying</t>
        </is>
      </c>
      <c r="B83" t="n">
        <v>1.001085</v>
      </c>
      <c r="C83" t="inlineStr">
        <is>
          <t>RER</t>
        </is>
      </c>
      <c r="D83" t="inlineStr">
        <is>
          <t>kilogram</t>
        </is>
      </c>
      <c r="E83" s="12" t="n"/>
      <c r="F83" t="inlineStr">
        <is>
          <t>technosphere</t>
        </is>
      </c>
      <c r="G83" t="inlineStr">
        <is>
          <t>carbon fiber, dried</t>
        </is>
      </c>
      <c r="H83" s="12" t="n"/>
      <c r="I83" s="12" t="n">
        <v>2</v>
      </c>
      <c r="J83">
        <f>LN(B83)</f>
        <v>1.08441181291688E-3</v>
      </c>
      <c r="K83" s="8" t="n">
        <v>1.5</v>
      </c>
      <c r="L83" s="8" t="n">
        <v>1.2</v>
      </c>
      <c r="M83" s="8" t="n">
        <v>1.5</v>
      </c>
      <c r="N83" s="8" t="n">
        <v>1.1</v>
      </c>
      <c r="O83" s="8" t="n">
        <v>2</v>
      </c>
      <c r="P83" s="8" t="n">
        <v>1.2</v>
      </c>
      <c r="Q83" t="n">
        <v>1.05</v>
      </c>
      <c r="R83">
        <f>LN(SQRT(EXP(
SQRT(
+POWER(LN(K83),2)
+POWER(LN(L83),2)
+POWER(LN(M83),2)
+POWER(LN(N83),2)
+POWER(LN(O83),2)
+POWER(LN(P83),2)
+POWER(LN(Q83),2)
)
)))</f>
        <v>0.47095746419981693</v>
      </c>
    </row>
    <row r="84" ht="16" customHeight="1">
      <c r="A84" t="inlineStr">
        <is>
          <t>market group for electricity, low voltage</t>
        </is>
      </c>
      <c r="B84" s="6" t="n">
        <v>0.02581085940309241</v>
      </c>
      <c r="C84" t="inlineStr">
        <is>
          <t>RER</t>
        </is>
      </c>
      <c r="D84" t="inlineStr">
        <is>
          <t>kilowatt hour</t>
        </is>
      </c>
      <c r="E84" s="12" t="n"/>
      <c r="F84" t="inlineStr">
        <is>
          <t>technosphere</t>
        </is>
      </c>
      <c r="G84" t="inlineStr">
        <is>
          <t>electricity, low voltage</t>
        </is>
      </c>
      <c r="H84" s="12" t="n"/>
      <c r="I84" s="12" t="n">
        <v>2</v>
      </c>
      <c r="J84">
        <f>LN(B84)</f>
        <v>-3.6569599685145038</v>
      </c>
      <c r="K84" s="8" t="n">
        <v>1.5</v>
      </c>
      <c r="L84" s="8" t="n">
        <v>1.2</v>
      </c>
      <c r="M84" s="8" t="n">
        <v>1.5</v>
      </c>
      <c r="N84" s="8" t="n">
        <v>1.1</v>
      </c>
      <c r="O84" s="8" t="n">
        <v>2</v>
      </c>
      <c r="P84" s="8" t="n">
        <v>1.2</v>
      </c>
      <c r="Q84" t="n">
        <v>1.05</v>
      </c>
      <c r="R84">
        <f>LN(SQRT(EXP(
SQRT(
+POWER(LN(K84),2)
+POWER(LN(L84),2)
+POWER(LN(M84),2)
+POWER(LN(N84),2)
+POWER(LN(O84),2)
+POWER(LN(P84),2)
+POWER(LN(Q84),2)
)
)))</f>
        <v>0.47095746419981693</v>
      </c>
    </row>
    <row r="85" ht="16" customHeight="1">
      <c r="A85" t="inlineStr">
        <is>
          <t>market for ethylene glycol</t>
        </is>
      </c>
      <c r="B85" s="4" t="n">
        <v>2.221862639338368e-05</v>
      </c>
      <c r="C85" t="inlineStr">
        <is>
          <t>GLO</t>
        </is>
      </c>
      <c r="D85" t="inlineStr">
        <is>
          <t>kilogram</t>
        </is>
      </c>
      <c r="E85" s="12" t="n"/>
      <c r="F85" t="inlineStr">
        <is>
          <t>technosphere</t>
        </is>
      </c>
      <c r="G85" t="inlineStr">
        <is>
          <t>ethylene glycol</t>
        </is>
      </c>
      <c r="H85" s="12" t="n"/>
      <c r="I85" s="12" t="n">
        <v>2</v>
      </c>
      <c r="J85">
        <f>LN(B85)</f>
        <v>-10.714579594143213</v>
      </c>
      <c r="K85" s="8" t="n">
        <v>1.5</v>
      </c>
      <c r="L85" s="8" t="n">
        <v>1.2</v>
      </c>
      <c r="M85" s="8" t="n">
        <v>1.5</v>
      </c>
      <c r="N85" s="8" t="n">
        <v>1.1</v>
      </c>
      <c r="O85" s="8" t="n">
        <v>2</v>
      </c>
      <c r="P85" s="8" t="n">
        <v>1.2</v>
      </c>
      <c r="Q85" t="n">
        <v>1.05</v>
      </c>
      <c r="R85">
        <f>LN(SQRT(EXP(
SQRT(
+POWER(LN(K85),2)
+POWER(LN(L85),2)
+POWER(LN(M85),2)
+POWER(LN(N85),2)
+POWER(LN(O85),2)
+POWER(LN(P85),2)
+POWER(LN(Q85),2)
)
)))</f>
        <v>0.47095746419981693</v>
      </c>
    </row>
    <row r="86" ht="16" customHeight="1">
      <c r="A86" t="inlineStr">
        <is>
          <t>market for silicone product</t>
        </is>
      </c>
      <c r="B86" t="n">
        <v>0.005001797914419273</v>
      </c>
      <c r="C86" t="inlineStr">
        <is>
          <t>RER</t>
        </is>
      </c>
      <c r="D86" t="inlineStr">
        <is>
          <t>kilogram</t>
        </is>
      </c>
      <c r="E86" s="12" t="n"/>
      <c r="F86" t="inlineStr">
        <is>
          <t>technosphere</t>
        </is>
      </c>
      <c r="G86" t="inlineStr">
        <is>
          <t>silicone product</t>
        </is>
      </c>
      <c r="H86" s="12" t="n"/>
      <c r="I86" s="12" t="n">
        <v>2</v>
      </c>
      <c r="J86">
        <f>LN(B86)</f>
        <v>-5.2979578482986129</v>
      </c>
      <c r="K86" s="8" t="n">
        <v>1.5</v>
      </c>
      <c r="L86" s="8" t="n">
        <v>1.2</v>
      </c>
      <c r="M86" s="8" t="n">
        <v>1.5</v>
      </c>
      <c r="N86" s="8" t="n">
        <v>1.1</v>
      </c>
      <c r="O86" s="8" t="n">
        <v>2</v>
      </c>
      <c r="P86" s="8" t="n">
        <v>1.2</v>
      </c>
      <c r="Q86" t="n">
        <v>1.05</v>
      </c>
      <c r="R86">
        <f>LN(SQRT(EXP(
SQRT(
+POWER(LN(K86),2)
+POWER(LN(L86),2)
+POWER(LN(M86),2)
+POWER(LN(N86),2)
+POWER(LN(O86),2)
+POWER(LN(P86),2)
+POWER(LN(Q86),2)
)
)))</f>
        <v>0.47095746419981693</v>
      </c>
    </row>
    <row r="87" ht="16" customHeight="1">
      <c r="A87" t="inlineStr">
        <is>
          <t>market for compressed air, 1000 kPa gauge</t>
        </is>
      </c>
      <c r="B87" s="4" t="n">
        <v>0.2303828282780975</v>
      </c>
      <c r="C87" t="inlineStr">
        <is>
          <t>RER</t>
        </is>
      </c>
      <c r="D87" t="inlineStr">
        <is>
          <t>cubic meter</t>
        </is>
      </c>
      <c r="E87" s="13" t="n"/>
      <c r="F87" t="inlineStr">
        <is>
          <t>technosphere</t>
        </is>
      </c>
      <c r="G87" t="inlineStr">
        <is>
          <t>compressed air, 1000 kPa gauge</t>
        </is>
      </c>
      <c r="H87" s="12" t="n"/>
      <c r="I87" s="12" t="n">
        <v>2</v>
      </c>
      <c r="J87">
        <f>LN(B87)</f>
        <v>-1.4680128829808821</v>
      </c>
      <c r="K87" s="8" t="n">
        <v>1.5</v>
      </c>
      <c r="L87" s="8" t="n">
        <v>1.2</v>
      </c>
      <c r="M87" s="8" t="n">
        <v>1.5</v>
      </c>
      <c r="N87" s="8" t="n">
        <v>1.1</v>
      </c>
      <c r="O87" s="8" t="n">
        <v>2</v>
      </c>
      <c r="P87" s="8" t="n">
        <v>1.2</v>
      </c>
      <c r="Q87" t="n">
        <v>1.05</v>
      </c>
      <c r="R87">
        <f>LN(SQRT(EXP(
SQRT(
+POWER(LN(K87),2)
+POWER(LN(L87),2)
+POWER(LN(M87),2)
+POWER(LN(N87),2)
+POWER(LN(O87),2)
+POWER(LN(P87),2)
+POWER(LN(Q87),2)
)
)))</f>
        <v>0.47095746419981693</v>
      </c>
    </row>
    <row r="88" ht="16" customHeight="1">
      <c r="A88" t="inlineStr">
        <is>
          <t>market group for electricity, low voltage</t>
        </is>
      </c>
      <c r="B88" s="6" t="n">
        <v>0.1263865797006876</v>
      </c>
      <c r="C88" t="inlineStr">
        <is>
          <t>RER</t>
        </is>
      </c>
      <c r="D88" t="inlineStr">
        <is>
          <t>kilowatt hour</t>
        </is>
      </c>
      <c r="E88" s="13" t="n"/>
      <c r="F88" t="inlineStr">
        <is>
          <t>technosphere</t>
        </is>
      </c>
      <c r="G88" t="inlineStr">
        <is>
          <t>electricity, low voltage</t>
        </is>
      </c>
      <c r="H88" s="12" t="n"/>
      <c r="I88" s="12" t="n">
        <v>2</v>
      </c>
      <c r="J88">
        <f>LN(B88)</f>
        <v>-2.0684099761602126</v>
      </c>
      <c r="K88" s="8" t="n">
        <v>1.5</v>
      </c>
      <c r="L88" s="8" t="n">
        <v>1.2</v>
      </c>
      <c r="M88" s="8" t="n">
        <v>1.5</v>
      </c>
      <c r="N88" s="8" t="n">
        <v>1.1</v>
      </c>
      <c r="O88" s="8" t="n">
        <v>2</v>
      </c>
      <c r="P88" s="8" t="n">
        <v>1.2</v>
      </c>
      <c r="Q88" t="n">
        <v>1.05</v>
      </c>
      <c r="R88">
        <f>LN(SQRT(EXP(
SQRT(
+POWER(LN(K88),2)
+POWER(LN(L88),2)
+POWER(LN(M88),2)
+POWER(LN(N88),2)
+POWER(LN(O88),2)
+POWER(LN(P88),2)
+POWER(LN(Q88),2)
)
)))</f>
        <v>0.47095746419981693</v>
      </c>
    </row>
    <row r="89" ht="16" customHeight="1">
      <c r="A89" t="inlineStr">
        <is>
          <t>market for ethylene glycol</t>
        </is>
      </c>
      <c r="B89" s="4" t="n">
        <v>2.780072785612106e-05</v>
      </c>
      <c r="C89" t="inlineStr">
        <is>
          <t>GLO</t>
        </is>
      </c>
      <c r="D89" t="inlineStr">
        <is>
          <t>kilogram</t>
        </is>
      </c>
      <c r="E89" s="13" t="n"/>
      <c r="F89" t="inlineStr">
        <is>
          <t>technosphere</t>
        </is>
      </c>
      <c r="G89" t="inlineStr">
        <is>
          <t>ethylene glycol</t>
        </is>
      </c>
      <c r="H89" s="12" t="n"/>
      <c r="I89" s="12" t="n">
        <v>2</v>
      </c>
      <c r="J89">
        <f>LN(B89)</f>
        <v>-10.490448355735564</v>
      </c>
      <c r="K89" s="8" t="n">
        <v>1.5</v>
      </c>
      <c r="L89" s="8" t="n">
        <v>1.2</v>
      </c>
      <c r="M89" s="8" t="n">
        <v>1.5</v>
      </c>
      <c r="N89" s="8" t="n">
        <v>1.1</v>
      </c>
      <c r="O89" s="8" t="n">
        <v>2</v>
      </c>
      <c r="P89" s="8" t="n">
        <v>1.2</v>
      </c>
      <c r="Q89" t="n">
        <v>1.05</v>
      </c>
      <c r="R89">
        <f>LN(SQRT(EXP(
SQRT(
+POWER(LN(K89),2)
+POWER(LN(L89),2)
+POWER(LN(M89),2)
+POWER(LN(N89),2)
+POWER(LN(O89),2)
+POWER(LN(P89),2)
+POWER(LN(Q89),2)
)
)))</f>
        <v>0.47095746419981693</v>
      </c>
    </row>
    <row r="90" ht="16" customHeight="1">
      <c r="A90" t="inlineStr">
        <is>
          <t>market for nitrogen, liquid</t>
        </is>
      </c>
      <c r="B90" t="n">
        <v>0.9960457591335874</v>
      </c>
      <c r="C90" t="inlineStr">
        <is>
          <t>RER</t>
        </is>
      </c>
      <c r="D90" t="inlineStr">
        <is>
          <t>kilogram</t>
        </is>
      </c>
      <c r="E90" s="13" t="n"/>
      <c r="F90" t="inlineStr">
        <is>
          <t>technosphere</t>
        </is>
      </c>
      <c r="G90" t="inlineStr">
        <is>
          <t>nitrogen, liquid</t>
        </is>
      </c>
      <c r="H90" s="12" t="n"/>
      <c r="I90" s="12" t="n">
        <v>2</v>
      </c>
      <c r="J90">
        <f>LN(B90)</f>
        <v>-3.962079547673537E-3</v>
      </c>
      <c r="K90" s="8" t="n">
        <v>1.5</v>
      </c>
      <c r="L90" s="8" t="n">
        <v>1.2</v>
      </c>
      <c r="M90" s="8" t="n">
        <v>1.5</v>
      </c>
      <c r="N90" s="8" t="n">
        <v>1.1</v>
      </c>
      <c r="O90" s="8" t="n">
        <v>2</v>
      </c>
      <c r="P90" s="8" t="n">
        <v>1.2</v>
      </c>
      <c r="Q90" t="n">
        <v>1.05</v>
      </c>
      <c r="R90">
        <f>LN(SQRT(EXP(
SQRT(
+POWER(LN(K90),2)
+POWER(LN(L90),2)
+POWER(LN(M90),2)
+POWER(LN(N90),2)
+POWER(LN(O90),2)
+POWER(LN(P90),2)
+POWER(LN(Q90),2)
)
)))</f>
        <v>0.47095746419981693</v>
      </c>
    </row>
    <row r="91" ht="16" customHeight="1">
      <c r="A91" t="inlineStr">
        <is>
          <t>market for heat, from steam, in chemical industry</t>
        </is>
      </c>
      <c r="B91" s="5" t="n">
        <v>0.9134049908126828</v>
      </c>
      <c r="C91" t="inlineStr">
        <is>
          <t>RER</t>
        </is>
      </c>
      <c r="D91" t="inlineStr">
        <is>
          <t>megajoule</t>
        </is>
      </c>
      <c r="E91" s="13" t="n"/>
      <c r="F91" t="inlineStr">
        <is>
          <t>technosphere</t>
        </is>
      </c>
      <c r="G91" t="inlineStr">
        <is>
          <t>heat, from steam, in chemical industry</t>
        </is>
      </c>
      <c r="H91" s="12" t="n"/>
      <c r="I91" s="12" t="n">
        <v>2</v>
      </c>
      <c r="J91">
        <f>LN(B91)</f>
        <v>-9.0575914251549441E-2</v>
      </c>
      <c r="K91" s="8" t="n">
        <v>1.5</v>
      </c>
      <c r="L91" s="8" t="n">
        <v>1.2</v>
      </c>
      <c r="M91" s="8" t="n">
        <v>1.5</v>
      </c>
      <c r="N91" s="8" t="n">
        <v>1.1</v>
      </c>
      <c r="O91" s="8" t="n">
        <v>2</v>
      </c>
      <c r="P91" s="8" t="n">
        <v>1.2</v>
      </c>
      <c r="Q91" t="n">
        <v>1.05</v>
      </c>
      <c r="R91">
        <f>LN(SQRT(EXP(
SQRT(
+POWER(LN(K91),2)
+POWER(LN(L91),2)
+POWER(LN(M91),2)
+POWER(LN(N91),2)
+POWER(LN(O91),2)
+POWER(LN(P91),2)
+POWER(LN(Q91),2)
)
)))</f>
        <v>0.47095746419981693</v>
      </c>
    </row>
    <row r="92">
      <c r="K92" s="8" t="n"/>
      <c r="L92" s="8" t="n"/>
      <c r="M92" s="8" t="n"/>
      <c r="N92" s="8" t="n"/>
      <c r="O92" s="8" t="n"/>
      <c r="P92" s="8" t="n"/>
    </row>
    <row r="93" ht="16" customHeight="1">
      <c r="A93" s="1" t="inlineStr">
        <is>
          <t>Activity</t>
        </is>
      </c>
      <c r="B93" s="1" t="inlineStr">
        <is>
          <t>carbon fiber production, fiber winding and unwinding</t>
        </is>
      </c>
      <c r="K93" s="8" t="n"/>
      <c r="L93" s="8" t="n"/>
      <c r="M93" s="8" t="n"/>
      <c r="N93" s="8" t="n"/>
      <c r="O93" s="8" t="n"/>
      <c r="P93" s="8" t="n"/>
    </row>
    <row r="94">
      <c r="A94" t="inlineStr">
        <is>
          <t>comment</t>
        </is>
      </c>
      <c r="B94" t="inlineStr">
        <is>
          <t>1 kg of finished carbon fiber Toray T700 G. Carbon fiber manufacturing. Source: based on Ellringmann et al. (2016), Gill et al. (2016), Mützel (2012).</t>
        </is>
      </c>
      <c r="K94" s="8" t="n"/>
      <c r="L94" s="8" t="n"/>
      <c r="M94" s="8" t="n"/>
      <c r="N94" s="8" t="n"/>
      <c r="O94" s="8" t="n"/>
      <c r="P94" s="8" t="n"/>
    </row>
    <row r="95">
      <c r="A95" t="inlineStr">
        <is>
          <t>source</t>
        </is>
      </c>
      <c r="B95" t="inlineStr">
        <is>
          <t>Benitez A, Wulf C, de Palmenaer A, Lengersdorf M, Röding T, Grube T, et al. Ecological assessment of fuel cell electric vehicles with special focus on type IV carbon fiber hydrogen tank. J Clean Prod 2021;278:123277. https://doi.org/10.1016/j.jclepro.2020.123277.</t>
        </is>
      </c>
      <c r="K95" s="8" t="n"/>
      <c r="L95" s="8" t="n"/>
      <c r="M95" s="8" t="n"/>
      <c r="N95" s="8" t="n"/>
      <c r="O95" s="8" t="n"/>
      <c r="P95" s="8" t="n"/>
    </row>
    <row r="96">
      <c r="A96" t="inlineStr">
        <is>
          <t>location</t>
        </is>
      </c>
      <c r="B96" t="inlineStr">
        <is>
          <t>RER</t>
        </is>
      </c>
      <c r="K96" s="8" t="n"/>
      <c r="L96" s="8" t="n"/>
      <c r="M96" s="8" t="n"/>
      <c r="N96" s="8" t="n"/>
      <c r="O96" s="8" t="n"/>
      <c r="P96" s="8" t="n"/>
    </row>
    <row r="97">
      <c r="A97" t="inlineStr">
        <is>
          <t>Category</t>
        </is>
      </c>
      <c r="B97" s="9" t="inlineStr">
        <is>
          <t>main</t>
        </is>
      </c>
    </row>
    <row r="98">
      <c r="A98" t="inlineStr">
        <is>
          <t>production amount</t>
        </is>
      </c>
      <c r="B98" t="n">
        <v>1</v>
      </c>
      <c r="K98" s="8" t="n"/>
      <c r="L98" s="8" t="n"/>
      <c r="M98" s="8" t="n"/>
      <c r="N98" s="8" t="n"/>
      <c r="O98" s="8" t="n"/>
      <c r="P98" s="8" t="n"/>
    </row>
    <row r="99">
      <c r="A99" t="inlineStr">
        <is>
          <t>reference product</t>
        </is>
      </c>
      <c r="B99" t="inlineStr">
        <is>
          <t>carbon fiber, unwound</t>
        </is>
      </c>
      <c r="K99" s="8" t="n"/>
      <c r="L99" s="8" t="n"/>
      <c r="M99" s="8" t="n"/>
      <c r="N99" s="8" t="n"/>
      <c r="O99" s="8" t="n"/>
      <c r="P99" s="8" t="n"/>
    </row>
    <row r="100">
      <c r="A100" t="inlineStr">
        <is>
          <t>unit</t>
        </is>
      </c>
      <c r="B100" t="inlineStr">
        <is>
          <t>kilogram</t>
        </is>
      </c>
      <c r="K100" s="8" t="n"/>
      <c r="L100" s="8" t="n"/>
      <c r="M100" s="8" t="n"/>
      <c r="N100" s="8" t="n"/>
      <c r="O100" s="8" t="n"/>
      <c r="P100" s="8" t="n"/>
    </row>
    <row r="101" ht="16" customHeight="1">
      <c r="A101" s="1" t="inlineStr">
        <is>
          <t>Exchanges</t>
        </is>
      </c>
      <c r="K101" s="8" t="n"/>
      <c r="L101" s="8" t="n"/>
      <c r="M101" s="8" t="n"/>
      <c r="N101" s="8" t="n"/>
      <c r="O101" s="8" t="n"/>
      <c r="P101" s="8" t="n"/>
    </row>
    <row r="102" ht="16" customHeight="1">
      <c r="A102" s="1" t="inlineStr">
        <is>
          <t>name</t>
        </is>
      </c>
      <c r="B102" s="1" t="inlineStr">
        <is>
          <t>amount</t>
        </is>
      </c>
      <c r="C102" s="1" t="inlineStr">
        <is>
          <t>location</t>
        </is>
      </c>
      <c r="D102" s="1" t="inlineStr">
        <is>
          <t>unit</t>
        </is>
      </c>
      <c r="E102" s="1" t="inlineStr">
        <is>
          <t>categories</t>
        </is>
      </c>
      <c r="F102" s="1" t="inlineStr">
        <is>
          <t>type</t>
        </is>
      </c>
      <c r="G102" s="1" t="inlineStr">
        <is>
          <t>reference product</t>
        </is>
      </c>
      <c r="H102" s="10" t="inlineStr">
        <is>
          <t>comment</t>
        </is>
      </c>
      <c r="I102" s="10" t="inlineStr">
        <is>
          <t>uncertainty type</t>
        </is>
      </c>
      <c r="J102" s="1" t="inlineStr">
        <is>
          <t>loc</t>
        </is>
      </c>
      <c r="K102" s="11" t="inlineStr">
        <is>
          <t>u1</t>
        </is>
      </c>
      <c r="L102" s="11" t="inlineStr">
        <is>
          <t>u2</t>
        </is>
      </c>
      <c r="M102" s="11" t="inlineStr">
        <is>
          <t>u3</t>
        </is>
      </c>
      <c r="N102" s="11" t="inlineStr">
        <is>
          <t>u4</t>
        </is>
      </c>
      <c r="O102" s="11" t="inlineStr">
        <is>
          <t>u5</t>
        </is>
      </c>
      <c r="P102" s="11" t="inlineStr">
        <is>
          <t>u6</t>
        </is>
      </c>
      <c r="Q102" s="1" t="inlineStr">
        <is>
          <t>ub</t>
        </is>
      </c>
      <c r="R102" s="1" t="inlineStr">
        <is>
          <t>scale</t>
        </is>
      </c>
      <c r="S102" s="10" t="inlineStr">
        <is>
          <t>negative</t>
        </is>
      </c>
      <c r="T102" s="1" t="inlineStr">
        <is>
          <t>simapro category</t>
        </is>
      </c>
    </row>
    <row r="103" ht="16" customHeight="1">
      <c r="A103" t="inlineStr">
        <is>
          <t>carbon fiber production, fiber winding and unwinding</t>
        </is>
      </c>
      <c r="B103" t="n">
        <v>1</v>
      </c>
      <c r="C103" t="inlineStr">
        <is>
          <t>RER</t>
        </is>
      </c>
      <c r="D103" t="inlineStr">
        <is>
          <t>kilogram</t>
        </is>
      </c>
      <c r="E103" s="12" t="n"/>
      <c r="F103" t="inlineStr">
        <is>
          <t>production</t>
        </is>
      </c>
      <c r="G103" t="inlineStr">
        <is>
          <t>carbon fiber, unwound</t>
        </is>
      </c>
      <c r="H103" s="12" t="n"/>
      <c r="I103" s="12" t="n"/>
      <c r="K103" s="8" t="n"/>
      <c r="L103" s="8" t="n"/>
      <c r="M103" s="8" t="n"/>
      <c r="N103" s="8" t="n"/>
      <c r="O103" s="8" t="n"/>
      <c r="P103" s="8" t="n"/>
      <c r="T103" t="inlineStr">
        <is>
          <t>Material/Chemicals/Organic</t>
        </is>
      </c>
    </row>
    <row r="104" ht="16" customHeight="1">
      <c r="A104" t="inlineStr">
        <is>
          <t>market for compressed air, 1000 kPa gauge</t>
        </is>
      </c>
      <c r="B104" s="4" t="n">
        <v>0.03597122302158274</v>
      </c>
      <c r="C104" t="inlineStr">
        <is>
          <t>RER</t>
        </is>
      </c>
      <c r="D104" t="inlineStr">
        <is>
          <t>cubic meter</t>
        </is>
      </c>
      <c r="E104" s="12" t="n"/>
      <c r="F104" t="inlineStr">
        <is>
          <t>technosphere</t>
        </is>
      </c>
      <c r="G104" t="inlineStr">
        <is>
          <t>compressed air, 1000 kPa gauge</t>
        </is>
      </c>
      <c r="H104" s="12" t="n"/>
      <c r="I104" s="12" t="n">
        <v>2</v>
      </c>
      <c r="J104">
        <f>LN(B104)</f>
        <v>-3.3250360206965914</v>
      </c>
      <c r="K104" s="8" t="n">
        <v>1.5</v>
      </c>
      <c r="L104" s="8" t="n">
        <v>1.2</v>
      </c>
      <c r="M104" s="8" t="n">
        <v>1.5</v>
      </c>
      <c r="N104" s="8" t="n">
        <v>1.1</v>
      </c>
      <c r="O104" s="8" t="n">
        <v>2</v>
      </c>
      <c r="P104" s="8" t="n">
        <v>1.2</v>
      </c>
      <c r="Q104" t="n">
        <v>1.05</v>
      </c>
      <c r="R104">
        <f>LN(SQRT(EXP(
SQRT(
+POWER(LN(K104),2)
+POWER(LN(L104),2)
+POWER(LN(M104),2)
+POWER(LN(N104),2)
+POWER(LN(O104),2)
+POWER(LN(P104),2)
+POWER(LN(Q104),2)
)
)))</f>
        <v>0.47095746419981693</v>
      </c>
    </row>
    <row r="105" ht="16" customHeight="1">
      <c r="A105" t="inlineStr">
        <is>
          <t>market group for electricity, low voltage</t>
        </is>
      </c>
      <c r="B105" s="6" t="n">
        <v>0.04676258992805756</v>
      </c>
      <c r="C105" t="inlineStr">
        <is>
          <t>RER</t>
        </is>
      </c>
      <c r="D105" t="inlineStr">
        <is>
          <t>kilowatt hour</t>
        </is>
      </c>
      <c r="E105" s="12" t="n"/>
      <c r="F105" t="inlineStr">
        <is>
          <t>technosphere</t>
        </is>
      </c>
      <c r="G105" t="inlineStr">
        <is>
          <t>electricity, low voltage</t>
        </is>
      </c>
      <c r="H105" s="12" t="n"/>
      <c r="I105" s="12" t="n">
        <v>2</v>
      </c>
      <c r="J105">
        <f>LN(B105)</f>
        <v>-3.0626717562291002</v>
      </c>
      <c r="K105" s="8" t="n">
        <v>1.5</v>
      </c>
      <c r="L105" s="8" t="n">
        <v>1.2</v>
      </c>
      <c r="M105" s="8" t="n">
        <v>1.5</v>
      </c>
      <c r="N105" s="8" t="n">
        <v>1.1</v>
      </c>
      <c r="O105" s="8" t="n">
        <v>2</v>
      </c>
      <c r="P105" s="8" t="n">
        <v>1.2</v>
      </c>
      <c r="Q105" t="n">
        <v>1.05</v>
      </c>
      <c r="R105">
        <f>LN(SQRT(EXP(
SQRT(
+POWER(LN(K105),2)
+POWER(LN(L105),2)
+POWER(LN(M105),2)
+POWER(LN(N105),2)
+POWER(LN(O105),2)
+POWER(LN(P105),2)
+POWER(LN(Q105),2)
)
)))</f>
        <v>0.47095746419981693</v>
      </c>
    </row>
    <row r="106" ht="16" customHeight="1">
      <c r="A106" t="inlineStr">
        <is>
          <t>market for water, deionised</t>
        </is>
      </c>
      <c r="B106" s="4" t="n">
        <v>0.1024100719424461</v>
      </c>
      <c r="C106" t="inlineStr">
        <is>
          <t>Europe without Switzerland</t>
        </is>
      </c>
      <c r="D106" t="inlineStr">
        <is>
          <t>kilogram</t>
        </is>
      </c>
      <c r="E106" s="12" t="n"/>
      <c r="F106" t="inlineStr">
        <is>
          <t>technosphere</t>
        </is>
      </c>
      <c r="G106" t="inlineStr">
        <is>
          <t>water, deionised</t>
        </is>
      </c>
      <c r="H106" s="12" t="n"/>
      <c r="I106" s="12" t="n">
        <v>2</v>
      </c>
      <c r="J106">
        <f>LN(B106)</f>
        <v>-2.2787702124006906</v>
      </c>
      <c r="K106" s="8" t="n">
        <v>1.5</v>
      </c>
      <c r="L106" s="8" t="n">
        <v>1.2</v>
      </c>
      <c r="M106" s="8" t="n">
        <v>1.5</v>
      </c>
      <c r="N106" s="8" t="n">
        <v>1.1</v>
      </c>
      <c r="O106" s="8" t="n">
        <v>2</v>
      </c>
      <c r="P106" s="8" t="n">
        <v>1.2</v>
      </c>
      <c r="Q106" t="n">
        <v>1.05</v>
      </c>
      <c r="R106">
        <f>LN(SQRT(EXP(
SQRT(
+POWER(LN(K106),2)
+POWER(LN(L106),2)
+POWER(LN(M106),2)
+POWER(LN(N106),2)
+POWER(LN(O106),2)
+POWER(LN(P106),2)
+POWER(LN(Q106),2)
)
)))</f>
        <v>0.47095746419981693</v>
      </c>
    </row>
    <row r="107" ht="16" customHeight="1">
      <c r="A107" t="inlineStr">
        <is>
          <t>market for compressed air, 1000 kPa gauge</t>
        </is>
      </c>
      <c r="B107" s="4" t="n">
        <v>0.1526069759079468</v>
      </c>
      <c r="C107" t="inlineStr">
        <is>
          <t>RER</t>
        </is>
      </c>
      <c r="D107" t="inlineStr">
        <is>
          <t>cubic meter</t>
        </is>
      </c>
      <c r="E107" s="12" t="n"/>
      <c r="F107" t="inlineStr">
        <is>
          <t>technosphere</t>
        </is>
      </c>
      <c r="G107" t="inlineStr">
        <is>
          <t>compressed air, 1000 kPa gauge</t>
        </is>
      </c>
      <c r="H107" s="12" t="n"/>
      <c r="I107" s="12" t="n">
        <v>2</v>
      </c>
      <c r="J107">
        <f>LN(B107)</f>
        <v>-1.8798894474941368</v>
      </c>
      <c r="K107" s="8" t="n">
        <v>1.5</v>
      </c>
      <c r="L107" s="8" t="n">
        <v>1.2</v>
      </c>
      <c r="M107" s="8" t="n">
        <v>1.5</v>
      </c>
      <c r="N107" s="8" t="n">
        <v>1.1</v>
      </c>
      <c r="O107" s="8" t="n">
        <v>2</v>
      </c>
      <c r="P107" s="8" t="n">
        <v>1.2</v>
      </c>
      <c r="Q107" t="n">
        <v>1.05</v>
      </c>
      <c r="R107">
        <f>LN(SQRT(EXP(
SQRT(
+POWER(LN(K107),2)
+POWER(LN(L107),2)
+POWER(LN(M107),2)
+POWER(LN(N107),2)
+POWER(LN(O107),2)
+POWER(LN(P107),2)
+POWER(LN(Q107),2)
)
)))</f>
        <v>0.47095746419981693</v>
      </c>
    </row>
    <row r="108" ht="16" customHeight="1">
      <c r="A108" t="inlineStr">
        <is>
          <t>market group for electricity, low voltage</t>
        </is>
      </c>
      <c r="B108" s="6" t="n">
        <v>0.1118302768788206</v>
      </c>
      <c r="C108" t="inlineStr">
        <is>
          <t>RER</t>
        </is>
      </c>
      <c r="D108" t="inlineStr">
        <is>
          <t>kilowatt hour</t>
        </is>
      </c>
      <c r="E108" s="12" t="n"/>
      <c r="F108" t="inlineStr">
        <is>
          <t>technosphere</t>
        </is>
      </c>
      <c r="G108" t="inlineStr">
        <is>
          <t>electricity, low voltage</t>
        </is>
      </c>
      <c r="H108" s="12" t="n"/>
      <c r="I108" s="12" t="n">
        <v>2</v>
      </c>
      <c r="J108">
        <f>LN(B108)</f>
        <v>-2.1907729420547306</v>
      </c>
      <c r="K108" s="8" t="n">
        <v>1.5</v>
      </c>
      <c r="L108" s="8" t="n">
        <v>1.2</v>
      </c>
      <c r="M108" s="8" t="n">
        <v>1.5</v>
      </c>
      <c r="N108" s="8" t="n">
        <v>1.1</v>
      </c>
      <c r="O108" s="8" t="n">
        <v>2</v>
      </c>
      <c r="P108" s="8" t="n">
        <v>1.2</v>
      </c>
      <c r="Q108" t="n">
        <v>1.05</v>
      </c>
      <c r="R108">
        <f>LN(SQRT(EXP(
SQRT(
+POWER(LN(K108),2)
+POWER(LN(L108),2)
+POWER(LN(M108),2)
+POWER(LN(N108),2)
+POWER(LN(O108),2)
+POWER(LN(P108),2)
+POWER(LN(Q108),2)
)
)))</f>
        <v>0.47095746419981693</v>
      </c>
    </row>
    <row r="109" ht="16" customHeight="1">
      <c r="A109" t="inlineStr">
        <is>
          <t>carbon fiber production, fiber relaxation</t>
        </is>
      </c>
      <c r="B109" t="n">
        <v>1</v>
      </c>
      <c r="C109" t="inlineStr">
        <is>
          <t>RER</t>
        </is>
      </c>
      <c r="D109" t="inlineStr">
        <is>
          <t>kilogram</t>
        </is>
      </c>
      <c r="E109" s="12" t="n"/>
      <c r="F109" t="inlineStr">
        <is>
          <t>technosphere</t>
        </is>
      </c>
      <c r="G109" t="inlineStr">
        <is>
          <t>carbon fiber, relaxed</t>
        </is>
      </c>
      <c r="H109" s="12" t="n"/>
      <c r="I109" s="12" t="n">
        <v>2</v>
      </c>
      <c r="J109">
        <f>LN(B109)</f>
        <v>0</v>
      </c>
      <c r="K109" s="8" t="n">
        <v>1.5</v>
      </c>
      <c r="L109" s="8" t="n">
        <v>1.2</v>
      </c>
      <c r="M109" s="8" t="n">
        <v>1.5</v>
      </c>
      <c r="N109" s="8" t="n">
        <v>1.1</v>
      </c>
      <c r="O109" s="8" t="n">
        <v>2</v>
      </c>
      <c r="P109" s="8" t="n">
        <v>1.2</v>
      </c>
      <c r="Q109" t="n">
        <v>1.05</v>
      </c>
      <c r="R109">
        <f>LN(SQRT(EXP(
SQRT(
+POWER(LN(K109),2)
+POWER(LN(L109),2)
+POWER(LN(M109),2)
+POWER(LN(N109),2)
+POWER(LN(O109),2)
+POWER(LN(P109),2)
+POWER(LN(Q109),2)
)
)))</f>
        <v>0.47095746419981693</v>
      </c>
    </row>
    <row r="110">
      <c r="K110" s="8" t="n"/>
      <c r="L110" s="8" t="n"/>
      <c r="M110" s="8" t="n"/>
      <c r="N110" s="8" t="n"/>
      <c r="O110" s="8" t="n"/>
      <c r="P110" s="8" t="n"/>
    </row>
    <row r="111" ht="16" customHeight="1">
      <c r="A111" s="1" t="inlineStr">
        <is>
          <t>Activity</t>
        </is>
      </c>
      <c r="B111" s="1" t="inlineStr">
        <is>
          <t>carbon fiber production, exhaust gas treatment 1</t>
        </is>
      </c>
      <c r="K111" s="8" t="n"/>
      <c r="L111" s="8" t="n"/>
      <c r="M111" s="8" t="n"/>
      <c r="N111" s="8" t="n"/>
      <c r="O111" s="8" t="n"/>
      <c r="P111" s="8" t="n"/>
    </row>
    <row r="112">
      <c r="A112" t="inlineStr">
        <is>
          <t>comment</t>
        </is>
      </c>
      <c r="B112" t="inlineStr">
        <is>
          <t>1 kg of finished carbon fiber Toray T700 G. Carbon fiber manufacturing. Source: based on Ellringmann et al. (2016), Gill et al. (2016), Mützel (2012).</t>
        </is>
      </c>
      <c r="K112" s="8" t="n"/>
      <c r="L112" s="8" t="n"/>
      <c r="M112" s="8" t="n"/>
      <c r="N112" s="8" t="n"/>
      <c r="O112" s="8" t="n"/>
      <c r="P112" s="8" t="n"/>
    </row>
    <row r="113">
      <c r="A113" t="inlineStr">
        <is>
          <t>source</t>
        </is>
      </c>
      <c r="B113" t="inlineStr">
        <is>
          <t>Benitez A, Wulf C, de Palmenaer A, Lengersdorf M, Röding T, Grube T, et al. Ecological assessment of fuel cell electric vehicles with special focus on type IV carbon fiber hydrogen tank. J Clean Prod 2021;278:123277. https://doi.org/10.1016/j.jclepro.2020.123277.</t>
        </is>
      </c>
      <c r="K113" s="8" t="n"/>
      <c r="L113" s="8" t="n"/>
      <c r="M113" s="8" t="n"/>
      <c r="N113" s="8" t="n"/>
      <c r="O113" s="8" t="n"/>
      <c r="P113" s="8" t="n"/>
    </row>
    <row r="114">
      <c r="A114" t="inlineStr">
        <is>
          <t>location</t>
        </is>
      </c>
      <c r="B114" t="inlineStr">
        <is>
          <t>RER</t>
        </is>
      </c>
      <c r="K114" s="8" t="n"/>
      <c r="L114" s="8" t="n"/>
      <c r="M114" s="8" t="n"/>
      <c r="N114" s="8" t="n"/>
      <c r="O114" s="8" t="n"/>
      <c r="P114" s="8" t="n"/>
    </row>
    <row r="115">
      <c r="A115" t="inlineStr">
        <is>
          <t>Category</t>
        </is>
      </c>
      <c r="B115" s="9" t="inlineStr">
        <is>
          <t>main</t>
        </is>
      </c>
    </row>
    <row r="116">
      <c r="A116" t="inlineStr">
        <is>
          <t>production amount</t>
        </is>
      </c>
      <c r="B116" t="n">
        <v>1</v>
      </c>
      <c r="K116" s="8" t="n"/>
      <c r="L116" s="8" t="n"/>
      <c r="M116" s="8" t="n"/>
      <c r="N116" s="8" t="n"/>
      <c r="O116" s="8" t="n"/>
      <c r="P116" s="8" t="n"/>
    </row>
    <row r="117">
      <c r="A117" t="inlineStr">
        <is>
          <t>reference product</t>
        </is>
      </c>
      <c r="B117" t="inlineStr">
        <is>
          <t>carbon fiber production, exhaust gas treatment 1</t>
        </is>
      </c>
      <c r="K117" s="8" t="n"/>
      <c r="L117" s="8" t="n"/>
      <c r="M117" s="8" t="n"/>
      <c r="N117" s="8" t="n"/>
      <c r="O117" s="8" t="n"/>
      <c r="P117" s="8" t="n"/>
    </row>
    <row r="118">
      <c r="A118" t="inlineStr">
        <is>
          <t>unit</t>
        </is>
      </c>
      <c r="B118" t="inlineStr">
        <is>
          <t>kilogram</t>
        </is>
      </c>
      <c r="K118" s="8" t="n"/>
      <c r="L118" s="8" t="n"/>
      <c r="M118" s="8" t="n"/>
      <c r="N118" s="8" t="n"/>
      <c r="O118" s="8" t="n"/>
      <c r="P118" s="8" t="n"/>
    </row>
    <row r="119" ht="16" customHeight="1">
      <c r="A119" s="1" t="inlineStr">
        <is>
          <t>Exchanges</t>
        </is>
      </c>
      <c r="K119" s="8" t="n"/>
      <c r="L119" s="8" t="n"/>
      <c r="M119" s="8" t="n"/>
      <c r="N119" s="8" t="n"/>
      <c r="O119" s="8" t="n"/>
      <c r="P119" s="8" t="n"/>
    </row>
    <row r="120" ht="16" customHeight="1">
      <c r="A120" s="1" t="inlineStr">
        <is>
          <t>name</t>
        </is>
      </c>
      <c r="B120" s="1" t="inlineStr">
        <is>
          <t>amount</t>
        </is>
      </c>
      <c r="C120" s="1" t="inlineStr">
        <is>
          <t>location</t>
        </is>
      </c>
      <c r="D120" s="1" t="inlineStr">
        <is>
          <t>unit</t>
        </is>
      </c>
      <c r="E120" s="1" t="inlineStr">
        <is>
          <t>categories</t>
        </is>
      </c>
      <c r="F120" s="1" t="inlineStr">
        <is>
          <t>type</t>
        </is>
      </c>
      <c r="G120" s="1" t="inlineStr">
        <is>
          <t>reference product</t>
        </is>
      </c>
      <c r="H120" s="10" t="inlineStr">
        <is>
          <t>comment</t>
        </is>
      </c>
      <c r="I120" s="10" t="inlineStr">
        <is>
          <t>uncertainty type</t>
        </is>
      </c>
      <c r="J120" s="1" t="inlineStr">
        <is>
          <t>loc</t>
        </is>
      </c>
      <c r="K120" s="11" t="inlineStr">
        <is>
          <t>u1</t>
        </is>
      </c>
      <c r="L120" s="11" t="inlineStr">
        <is>
          <t>u2</t>
        </is>
      </c>
      <c r="M120" s="11" t="inlineStr">
        <is>
          <t>u3</t>
        </is>
      </c>
      <c r="N120" s="11" t="inlineStr">
        <is>
          <t>u4</t>
        </is>
      </c>
      <c r="O120" s="11" t="inlineStr">
        <is>
          <t>u5</t>
        </is>
      </c>
      <c r="P120" s="11" t="inlineStr">
        <is>
          <t>u6</t>
        </is>
      </c>
      <c r="Q120" s="1" t="inlineStr">
        <is>
          <t>ub</t>
        </is>
      </c>
      <c r="R120" s="1" t="inlineStr">
        <is>
          <t>scale</t>
        </is>
      </c>
      <c r="S120" s="10" t="inlineStr">
        <is>
          <t>negative</t>
        </is>
      </c>
      <c r="T120" s="1" t="inlineStr">
        <is>
          <t>simapro category</t>
        </is>
      </c>
    </row>
    <row r="121" ht="16" customHeight="1">
      <c r="A121" t="inlineStr">
        <is>
          <t>carbon fiber production, exhaust gas treatment 1</t>
        </is>
      </c>
      <c r="B121" t="n">
        <v>1</v>
      </c>
      <c r="C121" t="inlineStr">
        <is>
          <t>RER</t>
        </is>
      </c>
      <c r="D121" t="inlineStr">
        <is>
          <t>kilogram</t>
        </is>
      </c>
      <c r="F121" t="inlineStr">
        <is>
          <t>production</t>
        </is>
      </c>
      <c r="G121" t="inlineStr">
        <is>
          <t>carbon fiber production, exhaust gas treatment 1</t>
        </is>
      </c>
      <c r="H121" s="12" t="n"/>
      <c r="I121" s="12" t="n"/>
      <c r="J121" s="12" t="n"/>
      <c r="K121" s="8" t="n"/>
      <c r="L121" s="8" t="n"/>
      <c r="M121" s="8" t="n"/>
      <c r="N121" s="8" t="n"/>
      <c r="O121" s="8" t="n"/>
      <c r="P121" s="8" t="n"/>
      <c r="T121" t="inlineStr">
        <is>
          <t>Material/Chemicals/Organic</t>
        </is>
      </c>
    </row>
    <row r="122" ht="16" customHeight="1">
      <c r="A122" t="inlineStr">
        <is>
          <t>market group for electricity, low voltage</t>
        </is>
      </c>
      <c r="B122" s="6" t="n">
        <v>0.02291067064892751</v>
      </c>
      <c r="C122" t="inlineStr">
        <is>
          <t>RER</t>
        </is>
      </c>
      <c r="D122" t="inlineStr">
        <is>
          <t>kilowatt hour</t>
        </is>
      </c>
      <c r="F122" t="inlineStr">
        <is>
          <t>technosphere</t>
        </is>
      </c>
      <c r="G122" t="inlineStr">
        <is>
          <t>electricity, low voltage</t>
        </is>
      </c>
      <c r="H122" s="12" t="n"/>
      <c r="I122" s="12" t="n">
        <v>2</v>
      </c>
      <c r="J122">
        <f>LN(B122)</f>
        <v>-3.7761525097488726</v>
      </c>
      <c r="K122" s="8" t="n">
        <v>1.5</v>
      </c>
      <c r="L122" s="8" t="n">
        <v>1.2</v>
      </c>
      <c r="M122" s="8" t="n">
        <v>1.5</v>
      </c>
      <c r="N122" s="8" t="n">
        <v>1.1</v>
      </c>
      <c r="O122" s="8" t="n">
        <v>2</v>
      </c>
      <c r="P122" s="8" t="n">
        <v>1.2</v>
      </c>
      <c r="Q122" t="n">
        <v>1.05</v>
      </c>
      <c r="R122">
        <f>LN(SQRT(EXP(
SQRT(
+POWER(LN(K122),2)
+POWER(LN(L122),2)
+POWER(LN(M122),2)
+POWER(LN(N122),2)
+POWER(LN(O122),2)
+POWER(LN(P122),2)
+POWER(LN(Q122),2)
)
)))</f>
        <v>0.47095746419981693</v>
      </c>
    </row>
    <row r="123" ht="16" customHeight="1">
      <c r="A123" t="inlineStr">
        <is>
          <t>Argon-40</t>
        </is>
      </c>
      <c r="B123" t="n">
        <v>0.0125984251968504</v>
      </c>
      <c r="D123" t="inlineStr">
        <is>
          <t>kilogram</t>
        </is>
      </c>
      <c r="E123" t="inlineStr">
        <is>
          <t>air</t>
        </is>
      </c>
      <c r="F123" t="inlineStr">
        <is>
          <t>biosphere</t>
        </is>
      </c>
      <c r="H123" s="12" t="n"/>
      <c r="I123" s="12" t="n">
        <v>2</v>
      </c>
      <c r="J123">
        <f>LN(B123)</f>
        <v>-4.3741834572128555</v>
      </c>
      <c r="K123" s="8" t="n">
        <v>1.5</v>
      </c>
      <c r="L123" s="8" t="n">
        <v>1.2</v>
      </c>
      <c r="M123" s="8" t="n">
        <v>1.5</v>
      </c>
      <c r="N123" s="8" t="n">
        <v>1.1</v>
      </c>
      <c r="O123" s="8" t="n">
        <v>2</v>
      </c>
      <c r="P123" s="8" t="n">
        <v>1.2</v>
      </c>
      <c r="Q123" s="8" t="n">
        <v>1.5</v>
      </c>
      <c r="R123">
        <f>LN(SQRT(EXP(
SQRT(
+POWER(LN(K123),2)
+POWER(LN(L123),2)
+POWER(LN(M123),2)
+POWER(LN(N123),2)
+POWER(LN(O123),2)
+POWER(LN(P123),2)
+POWER(LN(Q123),2)
)
)))</f>
        <v>0.51215847306170115</v>
      </c>
    </row>
    <row r="124" ht="16" customHeight="1">
      <c r="A124" t="inlineStr">
        <is>
          <t>Carbon dioxide, fossil</t>
        </is>
      </c>
      <c r="B124" t="n">
        <v>0.001629106706489275</v>
      </c>
      <c r="D124" t="inlineStr">
        <is>
          <t>kilogram</t>
        </is>
      </c>
      <c r="E124" t="inlineStr">
        <is>
          <t>air</t>
        </is>
      </c>
      <c r="F124" t="inlineStr">
        <is>
          <t>biosphere</t>
        </is>
      </c>
      <c r="H124" s="12" t="n"/>
      <c r="I124" s="12" t="n">
        <v>2</v>
      </c>
      <c r="J124">
        <f>LN(B124)</f>
        <v>-6.4197234472170104</v>
      </c>
      <c r="K124" s="8" t="n">
        <v>1.5</v>
      </c>
      <c r="L124" s="8" t="n">
        <v>1.2</v>
      </c>
      <c r="M124" s="8" t="n">
        <v>1.5</v>
      </c>
      <c r="N124" s="8" t="n">
        <v>1.1</v>
      </c>
      <c r="O124" s="8" t="n">
        <v>2</v>
      </c>
      <c r="P124" s="8" t="n">
        <v>1.2</v>
      </c>
      <c r="Q124" s="8" t="n">
        <v>1.05</v>
      </c>
      <c r="R124">
        <f>LN(SQRT(EXP(
SQRT(
+POWER(LN(K124),2)
+POWER(LN(L124),2)
+POWER(LN(M124),2)
+POWER(LN(N124),2)
+POWER(LN(O124),2)
+POWER(LN(P124),2)
+POWER(LN(Q124),2)
)
)))</f>
        <v>0.47095746419981693</v>
      </c>
    </row>
    <row r="125" ht="16" customHeight="1">
      <c r="A125" t="inlineStr">
        <is>
          <t>Nitrogen</t>
        </is>
      </c>
      <c r="B125" t="n">
        <v>0.007428726581591095</v>
      </c>
      <c r="D125" t="inlineStr">
        <is>
          <t>kilogram</t>
        </is>
      </c>
      <c r="E125" t="inlineStr">
        <is>
          <t>air</t>
        </is>
      </c>
      <c r="F125" t="inlineStr">
        <is>
          <t>biosphere</t>
        </is>
      </c>
      <c r="H125" s="12" t="n"/>
      <c r="I125" s="12" t="n">
        <v>2</v>
      </c>
      <c r="J125">
        <f>LN(B125)</f>
        <v>-4.9024008236907157</v>
      </c>
      <c r="K125" s="8" t="n">
        <v>1.5</v>
      </c>
      <c r="L125" s="8" t="n">
        <v>1.2</v>
      </c>
      <c r="M125" s="8" t="n">
        <v>1.5</v>
      </c>
      <c r="N125" s="8" t="n">
        <v>1.1</v>
      </c>
      <c r="O125" s="8" t="n">
        <v>2</v>
      </c>
      <c r="P125" s="8" t="n">
        <v>1.2</v>
      </c>
      <c r="Q125" s="8" t="n">
        <v>1.5</v>
      </c>
      <c r="R125">
        <f>LN(SQRT(EXP(
SQRT(
+POWER(LN(K125),2)
+POWER(LN(L125),2)
+POWER(LN(M125),2)
+POWER(LN(N125),2)
+POWER(LN(O125),2)
+POWER(LN(P125),2)
+POWER(LN(Q125),2)
)
)))</f>
        <v>0.51215847306170115</v>
      </c>
    </row>
    <row r="126" ht="16" customHeight="1">
      <c r="A126" t="inlineStr">
        <is>
          <t>Water</t>
        </is>
      </c>
      <c r="B126">
        <f>0.207439587292968/1000</f>
        <v>2.0743958729296799E-4</v>
      </c>
      <c r="D126" t="inlineStr">
        <is>
          <t>cubic meter</t>
        </is>
      </c>
      <c r="E126" t="inlineStr">
        <is>
          <t>air</t>
        </is>
      </c>
      <c r="F126" t="inlineStr">
        <is>
          <t>biosphere</t>
        </is>
      </c>
      <c r="H126" s="12" t="n"/>
      <c r="I126" s="12" t="n">
        <v>2</v>
      </c>
      <c r="J126">
        <f>LN(B126)</f>
        <v>-8.4806704062606801</v>
      </c>
      <c r="K126" s="8" t="n">
        <v>1.5</v>
      </c>
      <c r="L126" s="8" t="n">
        <v>1.2</v>
      </c>
      <c r="M126" s="8" t="n">
        <v>1.5</v>
      </c>
      <c r="N126" s="8" t="n">
        <v>1.1</v>
      </c>
      <c r="O126" s="8" t="n">
        <v>2</v>
      </c>
      <c r="P126" s="8" t="n">
        <v>1.2</v>
      </c>
      <c r="Q126" s="8" t="n">
        <v>1.05</v>
      </c>
      <c r="R126">
        <f>LN(SQRT(EXP(
SQRT(
+POWER(LN(K126),2)
+POWER(LN(L126),2)
+POWER(LN(M126),2)
+POWER(LN(N126),2)
+POWER(LN(O126),2)
+POWER(LN(P126),2)
+POWER(LN(Q126),2)
)
)))</f>
        <v>0.47095746419981693</v>
      </c>
    </row>
    <row r="127">
      <c r="K127" s="8" t="n"/>
      <c r="L127" s="8" t="n"/>
      <c r="M127" s="8" t="n"/>
      <c r="N127" s="8" t="n"/>
      <c r="O127" s="8" t="n"/>
      <c r="P127" s="8" t="n"/>
    </row>
    <row r="128" ht="16" customHeight="1">
      <c r="A128" s="1" t="inlineStr">
        <is>
          <t>Activity</t>
        </is>
      </c>
      <c r="B128" s="1" t="inlineStr">
        <is>
          <t>carbon fiber production, exhaust gas treatment 2</t>
        </is>
      </c>
      <c r="K128" s="8" t="n"/>
      <c r="L128" s="8" t="n"/>
      <c r="M128" s="8" t="n"/>
      <c r="N128" s="8" t="n"/>
      <c r="O128" s="8" t="n"/>
      <c r="P128" s="8" t="n"/>
    </row>
    <row r="129">
      <c r="A129" t="inlineStr">
        <is>
          <t>comment</t>
        </is>
      </c>
      <c r="B129" t="inlineStr">
        <is>
          <t>1 kg of finished carbon fiber Toray T700 G. Carbon fiber manufacturing. Source: based on Ellringmann et al. (2016), Gill et al. (2016), Mützel (2012).</t>
        </is>
      </c>
      <c r="K129" s="8" t="n"/>
      <c r="L129" s="8" t="n"/>
      <c r="M129" s="8" t="n"/>
      <c r="N129" s="8" t="n"/>
      <c r="O129" s="8" t="n"/>
      <c r="P129" s="8" t="n"/>
    </row>
    <row r="130">
      <c r="A130" t="inlineStr">
        <is>
          <t>source</t>
        </is>
      </c>
      <c r="B130" t="inlineStr">
        <is>
          <t>Benitez A, Wulf C, de Palmenaer A, Lengersdorf M, Röding T, Grube T, et al. Ecological assessment of fuel cell electric vehicles with special focus on type IV carbon fiber hydrogen tank. J Clean Prod 2021;278:123277. https://doi.org/10.1016/j.jclepro.2020.123277.</t>
        </is>
      </c>
      <c r="K130" s="8" t="n"/>
      <c r="L130" s="8" t="n"/>
      <c r="M130" s="8" t="n"/>
      <c r="N130" s="8" t="n"/>
      <c r="O130" s="8" t="n"/>
      <c r="P130" s="8" t="n"/>
    </row>
    <row r="131">
      <c r="A131" t="inlineStr">
        <is>
          <t>Category</t>
        </is>
      </c>
      <c r="B131" s="9" t="inlineStr">
        <is>
          <t>main</t>
        </is>
      </c>
    </row>
    <row r="132">
      <c r="A132" t="inlineStr">
        <is>
          <t>location</t>
        </is>
      </c>
      <c r="B132" t="inlineStr">
        <is>
          <t>RER</t>
        </is>
      </c>
      <c r="K132" s="8" t="n"/>
      <c r="L132" s="8" t="n"/>
      <c r="M132" s="8" t="n"/>
      <c r="N132" s="8" t="n"/>
      <c r="O132" s="8" t="n"/>
      <c r="P132" s="8" t="n"/>
    </row>
    <row r="133">
      <c r="A133" t="inlineStr">
        <is>
          <t>production amount</t>
        </is>
      </c>
      <c r="B133" t="n">
        <v>1</v>
      </c>
      <c r="K133" s="8" t="n"/>
      <c r="L133" s="8" t="n"/>
      <c r="M133" s="8" t="n"/>
      <c r="N133" s="8" t="n"/>
      <c r="O133" s="8" t="n"/>
      <c r="P133" s="8" t="n"/>
    </row>
    <row r="134">
      <c r="A134" t="inlineStr">
        <is>
          <t>reference product</t>
        </is>
      </c>
      <c r="B134" t="inlineStr">
        <is>
          <t>carbon fiber production, exhaust gas treatment 2</t>
        </is>
      </c>
      <c r="K134" s="8" t="n"/>
      <c r="L134" s="8" t="n"/>
      <c r="M134" s="8" t="n"/>
      <c r="N134" s="8" t="n"/>
      <c r="O134" s="8" t="n"/>
      <c r="P134" s="8" t="n"/>
    </row>
    <row r="135">
      <c r="A135" t="inlineStr">
        <is>
          <t>unit</t>
        </is>
      </c>
      <c r="B135" t="inlineStr">
        <is>
          <t>kilogram</t>
        </is>
      </c>
      <c r="K135" s="8" t="n"/>
      <c r="L135" s="8" t="n"/>
      <c r="M135" s="8" t="n"/>
      <c r="N135" s="8" t="n"/>
      <c r="O135" s="8" t="n"/>
      <c r="P135" s="8" t="n"/>
    </row>
    <row r="136" ht="16" customHeight="1">
      <c r="A136" s="1" t="inlineStr">
        <is>
          <t>Exchanges</t>
        </is>
      </c>
      <c r="K136" s="8" t="n"/>
      <c r="L136" s="8" t="n"/>
      <c r="M136" s="8" t="n"/>
      <c r="N136" s="8" t="n"/>
      <c r="O136" s="8" t="n"/>
      <c r="P136" s="8" t="n"/>
    </row>
    <row r="137" ht="16" customHeight="1">
      <c r="A137" s="1" t="inlineStr">
        <is>
          <t>name</t>
        </is>
      </c>
      <c r="B137" s="1" t="inlineStr">
        <is>
          <t>amount</t>
        </is>
      </c>
      <c r="C137" s="1" t="inlineStr">
        <is>
          <t>location</t>
        </is>
      </c>
      <c r="D137" s="1" t="inlineStr">
        <is>
          <t>unit</t>
        </is>
      </c>
      <c r="E137" s="1" t="inlineStr">
        <is>
          <t>categories</t>
        </is>
      </c>
      <c r="F137" s="1" t="inlineStr">
        <is>
          <t>type</t>
        </is>
      </c>
      <c r="G137" s="1" t="inlineStr">
        <is>
          <t>reference product</t>
        </is>
      </c>
      <c r="H137" s="10" t="inlineStr">
        <is>
          <t>comment</t>
        </is>
      </c>
      <c r="I137" s="10" t="inlineStr">
        <is>
          <t>uncertainty type</t>
        </is>
      </c>
      <c r="J137" s="1" t="inlineStr">
        <is>
          <t>loc</t>
        </is>
      </c>
      <c r="K137" s="11" t="inlineStr">
        <is>
          <t>u1</t>
        </is>
      </c>
      <c r="L137" s="11" t="inlineStr">
        <is>
          <t>u2</t>
        </is>
      </c>
      <c r="M137" s="11" t="inlineStr">
        <is>
          <t>u3</t>
        </is>
      </c>
      <c r="N137" s="11" t="inlineStr">
        <is>
          <t>u4</t>
        </is>
      </c>
      <c r="O137" s="11" t="inlineStr">
        <is>
          <t>u5</t>
        </is>
      </c>
      <c r="P137" s="11" t="inlineStr">
        <is>
          <t>u6</t>
        </is>
      </c>
      <c r="Q137" s="1" t="inlineStr">
        <is>
          <t>ub</t>
        </is>
      </c>
      <c r="R137" s="1" t="inlineStr">
        <is>
          <t>scale</t>
        </is>
      </c>
      <c r="S137" s="10" t="inlineStr">
        <is>
          <t>negative</t>
        </is>
      </c>
      <c r="T137" s="1" t="inlineStr">
        <is>
          <t>simapro category</t>
        </is>
      </c>
    </row>
    <row r="138" ht="16" customHeight="1">
      <c r="A138" t="inlineStr">
        <is>
          <t>carbon fiber production, exhaust gas treatment 2</t>
        </is>
      </c>
      <c r="B138" t="n">
        <v>1</v>
      </c>
      <c r="C138" t="inlineStr">
        <is>
          <t>RER</t>
        </is>
      </c>
      <c r="D138" t="inlineStr">
        <is>
          <t>kilogram</t>
        </is>
      </c>
      <c r="F138" t="inlineStr">
        <is>
          <t>production</t>
        </is>
      </c>
      <c r="G138" t="inlineStr">
        <is>
          <t>carbon fiber production, exhaust gas treatment 2</t>
        </is>
      </c>
      <c r="H138" s="12" t="n"/>
      <c r="I138" s="12" t="n"/>
      <c r="J138" s="12" t="n"/>
      <c r="K138" s="8" t="n"/>
      <c r="L138" s="8" t="n"/>
      <c r="M138" s="8" t="n"/>
      <c r="N138" s="8" t="n"/>
      <c r="O138" s="8" t="n"/>
      <c r="P138" s="8" t="n"/>
      <c r="T138" t="inlineStr">
        <is>
          <t>Material/Chemicals/Organic</t>
        </is>
      </c>
    </row>
    <row r="139" ht="16" customHeight="1">
      <c r="A139" t="inlineStr">
        <is>
          <t>market group for electricity, low voltage</t>
        </is>
      </c>
      <c r="B139" s="6" t="n">
        <v>0.02620593692022263</v>
      </c>
      <c r="C139" t="inlineStr">
        <is>
          <t>RER</t>
        </is>
      </c>
      <c r="D139" t="inlineStr">
        <is>
          <t>kilowatt hour</t>
        </is>
      </c>
      <c r="F139" t="inlineStr">
        <is>
          <t>technosphere</t>
        </is>
      </c>
      <c r="G139" t="inlineStr">
        <is>
          <t>electricity, low voltage</t>
        </is>
      </c>
      <c r="H139" s="12" t="n"/>
      <c r="I139" s="12" t="n">
        <v>2</v>
      </c>
      <c r="J139">
        <f>LN(B139)</f>
        <v>-3.6417692938764925</v>
      </c>
      <c r="K139" s="8" t="n">
        <v>1.5</v>
      </c>
      <c r="L139" s="8" t="n">
        <v>1.2</v>
      </c>
      <c r="M139" s="8" t="n">
        <v>1.5</v>
      </c>
      <c r="N139" s="8" t="n">
        <v>1.1</v>
      </c>
      <c r="O139" s="8" t="n">
        <v>2</v>
      </c>
      <c r="P139" s="8" t="n">
        <v>1.2</v>
      </c>
      <c r="Q139" t="n">
        <v>1.05</v>
      </c>
      <c r="R139">
        <f>LN(SQRT(EXP(
SQRT(
+POWER(LN(K139),2)
+POWER(LN(L139),2)
+POWER(LN(M139),2)
+POWER(LN(N139),2)
+POWER(LN(O139),2)
+POWER(LN(P139),2)
+POWER(LN(Q139),2)
)
)))</f>
        <v>0.47095746419981693</v>
      </c>
    </row>
    <row r="140" ht="16" customHeight="1">
      <c r="A140" t="inlineStr">
        <is>
          <t>market for natural gas, medium pressure, vehicle grade</t>
        </is>
      </c>
      <c r="B140" t="n">
        <v>0.1908163265306123</v>
      </c>
      <c r="C140" t="inlineStr">
        <is>
          <t>GLO</t>
        </is>
      </c>
      <c r="D140" t="inlineStr">
        <is>
          <t>kilogram</t>
        </is>
      </c>
      <c r="F140" t="inlineStr">
        <is>
          <t>technosphere</t>
        </is>
      </c>
      <c r="G140" t="inlineStr">
        <is>
          <t>natural gas, medium pressure, vehicle grade</t>
        </is>
      </c>
      <c r="H140" s="12" t="n"/>
      <c r="I140" s="12" t="n">
        <v>2</v>
      </c>
      <c r="J140">
        <f>LN(B140)</f>
        <v>-1.6564439548100309</v>
      </c>
      <c r="K140" s="8" t="n">
        <v>1.5</v>
      </c>
      <c r="L140" s="8" t="n">
        <v>1.2</v>
      </c>
      <c r="M140" s="8" t="n">
        <v>1.5</v>
      </c>
      <c r="N140" s="8" t="n">
        <v>1.1</v>
      </c>
      <c r="O140" s="8" t="n">
        <v>2</v>
      </c>
      <c r="P140" s="8" t="n">
        <v>1.2</v>
      </c>
      <c r="Q140" t="n">
        <v>1.05</v>
      </c>
      <c r="R140">
        <f>LN(SQRT(EXP(
SQRT(
+POWER(LN(K140),2)
+POWER(LN(L140),2)
+POWER(LN(M140),2)
+POWER(LN(N140),2)
+POWER(LN(O140),2)
+POWER(LN(P140),2)
+POWER(LN(Q140),2)
)
)))</f>
        <v>0.47095746419981693</v>
      </c>
    </row>
    <row r="141" ht="16" customHeight="1">
      <c r="A141" t="inlineStr">
        <is>
          <t>Carbon dioxide, fossil</t>
        </is>
      </c>
      <c r="B141" t="n">
        <v>0.7020408163265306</v>
      </c>
      <c r="D141" t="inlineStr">
        <is>
          <t>kilogram</t>
        </is>
      </c>
      <c r="E141" t="inlineStr">
        <is>
          <t>air</t>
        </is>
      </c>
      <c r="F141" t="inlineStr">
        <is>
          <t>biosphere</t>
        </is>
      </c>
      <c r="H141" s="12" t="n"/>
      <c r="I141" s="12" t="n">
        <v>2</v>
      </c>
      <c r="J141">
        <f>LN(B141)</f>
        <v>-0.35376373373127395</v>
      </c>
      <c r="K141" s="8" t="n">
        <v>1.5</v>
      </c>
      <c r="L141" s="8" t="n">
        <v>1.2</v>
      </c>
      <c r="M141" s="8" t="n">
        <v>1.5</v>
      </c>
      <c r="N141" s="8" t="n">
        <v>1.1</v>
      </c>
      <c r="O141" s="8" t="n">
        <v>2</v>
      </c>
      <c r="P141" s="8" t="n">
        <v>1.2</v>
      </c>
      <c r="Q141" s="8" t="n">
        <v>1.05</v>
      </c>
      <c r="R141">
        <f>LN(SQRT(EXP(
SQRT(
+POWER(LN(K141),2)
+POWER(LN(L141),2)
+POWER(LN(M141),2)
+POWER(LN(N141),2)
+POWER(LN(O141),2)
+POWER(LN(P141),2)
+POWER(LN(Q141),2)
)
)))</f>
        <v>0.47095746419981693</v>
      </c>
    </row>
    <row r="142" ht="16" customHeight="1">
      <c r="A142" t="inlineStr">
        <is>
          <t>Nitrogen</t>
        </is>
      </c>
      <c r="B142" t="n">
        <v>3.440630797773656</v>
      </c>
      <c r="D142" t="inlineStr">
        <is>
          <t>kilogram</t>
        </is>
      </c>
      <c r="E142" t="inlineStr">
        <is>
          <t>air</t>
        </is>
      </c>
      <c r="F142" t="inlineStr">
        <is>
          <t>biosphere</t>
        </is>
      </c>
      <c r="H142" s="12" t="n"/>
      <c r="I142" s="12" t="n">
        <v>2</v>
      </c>
      <c r="J142">
        <f>LN(B142)</f>
        <v>1.2356548260206486</v>
      </c>
      <c r="K142" s="8" t="n">
        <v>1.5</v>
      </c>
      <c r="L142" s="8" t="n">
        <v>1.2</v>
      </c>
      <c r="M142" s="8" t="n">
        <v>1.5</v>
      </c>
      <c r="N142" s="8" t="n">
        <v>1.1</v>
      </c>
      <c r="O142" s="8" t="n">
        <v>2</v>
      </c>
      <c r="P142" s="8" t="n">
        <v>1.2</v>
      </c>
      <c r="Q142" s="8" t="n">
        <v>1.5</v>
      </c>
      <c r="R142">
        <f>LN(SQRT(EXP(
SQRT(
+POWER(LN(K142),2)
+POWER(LN(L142),2)
+POWER(LN(M142),2)
+POWER(LN(N142),2)
+POWER(LN(O142),2)
+POWER(LN(P142),2)
+POWER(LN(Q142),2)
)
)))</f>
        <v>0.51215847306170115</v>
      </c>
    </row>
    <row r="143" ht="16" customHeight="1">
      <c r="A143" t="inlineStr">
        <is>
          <t>Nitrogen oxides</t>
        </is>
      </c>
      <c r="B143" t="n">
        <v>0.009990723562152134</v>
      </c>
      <c r="D143" t="inlineStr">
        <is>
          <t>kilogram</t>
        </is>
      </c>
      <c r="E143" t="inlineStr">
        <is>
          <t>air</t>
        </is>
      </c>
      <c r="F143" t="inlineStr">
        <is>
          <t>biosphere</t>
        </is>
      </c>
      <c r="H143" s="12" t="n"/>
      <c r="I143" s="12" t="n">
        <v>2</v>
      </c>
      <c r="J143">
        <f>LN(B143)</f>
        <v>-4.6060982603006453</v>
      </c>
      <c r="K143" s="8" t="n">
        <v>1.5</v>
      </c>
      <c r="L143" s="8" t="n">
        <v>1.2</v>
      </c>
      <c r="M143" s="8" t="n">
        <v>1.5</v>
      </c>
      <c r="N143" s="8" t="n">
        <v>1.1</v>
      </c>
      <c r="O143" s="8" t="n">
        <v>2</v>
      </c>
      <c r="P143" s="8" t="n">
        <v>1.2</v>
      </c>
      <c r="Q143" s="8" t="n">
        <v>1.5</v>
      </c>
      <c r="R143">
        <f>LN(SQRT(EXP(
SQRT(
+POWER(LN(K143),2)
+POWER(LN(L143),2)
+POWER(LN(M143),2)
+POWER(LN(N143),2)
+POWER(LN(O143),2)
+POWER(LN(P143),2)
+POWER(LN(Q143),2)
)
)))</f>
        <v>0.51215847306170115</v>
      </c>
    </row>
    <row r="144" ht="16" customHeight="1">
      <c r="A144" t="inlineStr">
        <is>
          <t>Water</t>
        </is>
      </c>
      <c r="B144">
        <f>0.474025974025974/1000</f>
        <v>4.7402597402597401E-4</v>
      </c>
      <c r="D144" t="inlineStr">
        <is>
          <t>cubic meter</t>
        </is>
      </c>
      <c r="E144" t="inlineStr">
        <is>
          <t>air</t>
        </is>
      </c>
      <c r="F144" t="inlineStr">
        <is>
          <t>biosphere</t>
        </is>
      </c>
      <c r="H144" s="12" t="n"/>
      <c r="I144" s="12" t="n">
        <v>2</v>
      </c>
      <c r="J144">
        <f>LN(B144)</f>
        <v>-7.6542484402473754</v>
      </c>
      <c r="K144" s="8" t="n">
        <v>1.5</v>
      </c>
      <c r="L144" s="8" t="n">
        <v>1.2</v>
      </c>
      <c r="M144" s="8" t="n">
        <v>1.5</v>
      </c>
      <c r="N144" s="8" t="n">
        <v>1.1</v>
      </c>
      <c r="O144" s="8" t="n">
        <v>2</v>
      </c>
      <c r="P144" s="8" t="n">
        <v>1.2</v>
      </c>
      <c r="Q144" s="8" t="n">
        <v>1.05</v>
      </c>
      <c r="R144">
        <f>LN(SQRT(EXP(
SQRT(
+POWER(LN(K144),2)
+POWER(LN(L144),2)
+POWER(LN(M144),2)
+POWER(LN(N144),2)
+POWER(LN(O144),2)
+POWER(LN(P144),2)
+POWER(LN(Q144),2)
)
)))</f>
        <v>0.47095746419981693</v>
      </c>
    </row>
    <row r="145" ht="16" customHeight="1">
      <c r="A145" t="inlineStr">
        <is>
          <t>market for NOx retained, by selective catalytic reduction</t>
        </is>
      </c>
      <c r="B145" t="n">
        <v>0.989795918367347</v>
      </c>
      <c r="C145" t="inlineStr">
        <is>
          <t>GLO</t>
        </is>
      </c>
      <c r="D145" t="inlineStr">
        <is>
          <t>kilogram</t>
        </is>
      </c>
      <c r="F145" t="inlineStr">
        <is>
          <t>technosphere</t>
        </is>
      </c>
      <c r="G145" t="inlineStr">
        <is>
          <t>NOx retained, by selective catalytic reduction</t>
        </is>
      </c>
      <c r="H145" s="12" t="n"/>
      <c r="I145" s="12" t="n">
        <v>2</v>
      </c>
      <c r="J145">
        <f>LN(B145)</f>
        <v>-1.0256500167188997E-2</v>
      </c>
      <c r="K145" s="8" t="n">
        <v>1.5</v>
      </c>
      <c r="L145" s="8" t="n">
        <v>1.2</v>
      </c>
      <c r="M145" s="8" t="n">
        <v>1.5</v>
      </c>
      <c r="N145" s="8" t="n">
        <v>1.1</v>
      </c>
      <c r="O145" s="8" t="n">
        <v>2</v>
      </c>
      <c r="P145" s="8" t="n">
        <v>1.2</v>
      </c>
      <c r="Q145" t="n">
        <v>1.05</v>
      </c>
      <c r="R145">
        <f>LN(SQRT(EXP(
SQRT(
+POWER(LN(K145),2)
+POWER(LN(L145),2)
+POWER(LN(M145),2)
+POWER(LN(N145),2)
+POWER(LN(O145),2)
+POWER(LN(P145),2)
+POWER(LN(Q145),2)
)
)))</f>
        <v>0.47095746419981693</v>
      </c>
    </row>
    <row r="146" ht="16" customHeight="1">
      <c r="A146" t="inlineStr">
        <is>
          <t>market for compressed air, 1000 kPa gauge</t>
        </is>
      </c>
      <c r="B146" s="4" t="n">
        <v>0.0927643784786642</v>
      </c>
      <c r="C146" t="inlineStr">
        <is>
          <t>RER</t>
        </is>
      </c>
      <c r="D146" t="inlineStr">
        <is>
          <t>cubic meter</t>
        </is>
      </c>
      <c r="F146" t="inlineStr">
        <is>
          <t>technosphere</t>
        </is>
      </c>
      <c r="G146" t="inlineStr">
        <is>
          <t>compressed air, 1000 kPa gauge</t>
        </is>
      </c>
      <c r="H146" s="12" t="n"/>
      <c r="I146" s="12" t="n">
        <v>2</v>
      </c>
      <c r="J146">
        <f>LN(B146)</f>
        <v>-2.3776925654808512</v>
      </c>
      <c r="K146" s="8" t="n">
        <v>1.5</v>
      </c>
      <c r="L146" s="8" t="n">
        <v>1.2</v>
      </c>
      <c r="M146" s="8" t="n">
        <v>1.5</v>
      </c>
      <c r="N146" s="8" t="n">
        <v>1.1</v>
      </c>
      <c r="O146" s="8" t="n">
        <v>2</v>
      </c>
      <c r="P146" s="8" t="n">
        <v>1.2</v>
      </c>
      <c r="Q146" t="n">
        <v>1.05</v>
      </c>
      <c r="R146">
        <f>LN(SQRT(EXP(
SQRT(
+POWER(LN(K146),2)
+POWER(LN(L146),2)
+POWER(LN(M146),2)
+POWER(LN(N146),2)
+POWER(LN(O146),2)
+POWER(LN(P146),2)
+POWER(LN(Q146),2)
)
)))</f>
        <v>0.47095746419981693</v>
      </c>
    </row>
    <row r="147">
      <c r="K147" s="8" t="n"/>
      <c r="L147" s="8" t="n"/>
      <c r="M147" s="8" t="n"/>
      <c r="N147" s="8" t="n"/>
      <c r="O147" s="8" t="n"/>
      <c r="P147" s="8" t="n"/>
    </row>
    <row r="148" ht="16" customHeight="1">
      <c r="A148" s="1" t="inlineStr">
        <is>
          <t>Activity</t>
        </is>
      </c>
      <c r="B148" s="1" t="inlineStr">
        <is>
          <t>carbon fiber production, fiber stabilization, carbonization, electrolysis and washing</t>
        </is>
      </c>
      <c r="K148" s="8" t="n"/>
      <c r="L148" s="8" t="n"/>
      <c r="M148" s="8" t="n"/>
      <c r="N148" s="8" t="n"/>
      <c r="O148" s="8" t="n"/>
      <c r="P148" s="8" t="n"/>
    </row>
    <row r="149">
      <c r="A149" t="inlineStr">
        <is>
          <t>comment</t>
        </is>
      </c>
      <c r="B149" t="inlineStr">
        <is>
          <t>1 kg of finished carbon fiber Toray T700 G. Carbon fiber manufacturing. Source: based on Ellringmann et al. (2016), Gill et al. (2016), Mützel (2012).</t>
        </is>
      </c>
      <c r="K149" s="8" t="n"/>
      <c r="L149" s="8" t="n"/>
      <c r="M149" s="8" t="n"/>
      <c r="N149" s="8" t="n"/>
      <c r="O149" s="8" t="n"/>
      <c r="P149" s="8" t="n"/>
    </row>
    <row r="150">
      <c r="A150" t="inlineStr">
        <is>
          <t>source</t>
        </is>
      </c>
      <c r="B150" t="inlineStr">
        <is>
          <t>Benitez A, Wulf C, de Palmenaer A, Lengersdorf M, Röding T, Grube T, et al. Ecological assessment of fuel cell electric vehicles with special focus on type IV carbon fiber hydrogen tank. J Clean Prod 2021;278:123277. https://doi.org/10.1016/j.jclepro.2020.123277.</t>
        </is>
      </c>
      <c r="K150" s="8" t="n"/>
      <c r="L150" s="8" t="n"/>
      <c r="M150" s="8" t="n"/>
      <c r="N150" s="8" t="n"/>
      <c r="O150" s="8" t="n"/>
      <c r="P150" s="8" t="n"/>
    </row>
    <row r="151">
      <c r="A151" t="inlineStr">
        <is>
          <t>location</t>
        </is>
      </c>
      <c r="B151" t="inlineStr">
        <is>
          <t>RER</t>
        </is>
      </c>
      <c r="K151" s="8" t="n"/>
      <c r="L151" s="8" t="n"/>
      <c r="M151" s="8" t="n"/>
      <c r="N151" s="8" t="n"/>
      <c r="O151" s="8" t="n"/>
      <c r="P151" s="8" t="n"/>
    </row>
    <row r="152">
      <c r="A152" t="inlineStr">
        <is>
          <t>Category</t>
        </is>
      </c>
      <c r="B152" s="9" t="inlineStr">
        <is>
          <t>main</t>
        </is>
      </c>
    </row>
    <row r="153">
      <c r="A153" t="inlineStr">
        <is>
          <t>production amount</t>
        </is>
      </c>
      <c r="B153" t="n">
        <v>1</v>
      </c>
      <c r="K153" s="8" t="n"/>
      <c r="L153" s="8" t="n"/>
      <c r="M153" s="8" t="n"/>
      <c r="N153" s="8" t="n"/>
      <c r="O153" s="8" t="n"/>
      <c r="P153" s="8" t="n"/>
    </row>
    <row r="154">
      <c r="A154" t="inlineStr">
        <is>
          <t>reference product</t>
        </is>
      </c>
      <c r="B154" t="inlineStr">
        <is>
          <t>carbon fiber, washed</t>
        </is>
      </c>
      <c r="K154" s="8" t="n"/>
      <c r="L154" s="8" t="n"/>
      <c r="M154" s="8" t="n"/>
      <c r="N154" s="8" t="n"/>
      <c r="O154" s="8" t="n"/>
      <c r="P154" s="8" t="n"/>
    </row>
    <row r="155">
      <c r="A155" t="inlineStr">
        <is>
          <t>unit</t>
        </is>
      </c>
      <c r="B155" t="inlineStr">
        <is>
          <t>kilogram</t>
        </is>
      </c>
      <c r="K155" s="8" t="n"/>
      <c r="L155" s="8" t="n"/>
      <c r="M155" s="8" t="n"/>
      <c r="N155" s="8" t="n"/>
      <c r="O155" s="8" t="n"/>
      <c r="P155" s="8" t="n"/>
    </row>
    <row r="156" ht="16" customHeight="1">
      <c r="A156" s="1" t="inlineStr">
        <is>
          <t>Exchanges</t>
        </is>
      </c>
      <c r="K156" s="8" t="n"/>
      <c r="L156" s="8" t="n"/>
      <c r="M156" s="8" t="n"/>
      <c r="N156" s="8" t="n"/>
      <c r="O156" s="8" t="n"/>
      <c r="P156" s="8" t="n"/>
    </row>
    <row r="157" ht="16" customHeight="1">
      <c r="A157" s="1" t="inlineStr">
        <is>
          <t>name</t>
        </is>
      </c>
      <c r="B157" s="1" t="inlineStr">
        <is>
          <t>amount</t>
        </is>
      </c>
      <c r="C157" s="1" t="inlineStr">
        <is>
          <t>location</t>
        </is>
      </c>
      <c r="D157" s="1" t="inlineStr">
        <is>
          <t>unit</t>
        </is>
      </c>
      <c r="E157" s="1" t="inlineStr">
        <is>
          <t>categories</t>
        </is>
      </c>
      <c r="F157" s="1" t="inlineStr">
        <is>
          <t>type</t>
        </is>
      </c>
      <c r="G157" s="1" t="inlineStr">
        <is>
          <t>reference product</t>
        </is>
      </c>
      <c r="H157" s="10" t="inlineStr">
        <is>
          <t>comment</t>
        </is>
      </c>
      <c r="I157" s="10" t="inlineStr">
        <is>
          <t>uncertainty type</t>
        </is>
      </c>
      <c r="J157" s="1" t="inlineStr">
        <is>
          <t>loc</t>
        </is>
      </c>
      <c r="K157" s="11" t="inlineStr">
        <is>
          <t>u1</t>
        </is>
      </c>
      <c r="L157" s="11" t="inlineStr">
        <is>
          <t>u2</t>
        </is>
      </c>
      <c r="M157" s="11" t="inlineStr">
        <is>
          <t>u3</t>
        </is>
      </c>
      <c r="N157" s="11" t="inlineStr">
        <is>
          <t>u4</t>
        </is>
      </c>
      <c r="O157" s="11" t="inlineStr">
        <is>
          <t>u5</t>
        </is>
      </c>
      <c r="P157" s="11" t="inlineStr">
        <is>
          <t>u6</t>
        </is>
      </c>
      <c r="Q157" s="1" t="inlineStr">
        <is>
          <t>ub</t>
        </is>
      </c>
      <c r="R157" s="1" t="inlineStr">
        <is>
          <t>scale</t>
        </is>
      </c>
      <c r="S157" s="10" t="inlineStr">
        <is>
          <t>negative</t>
        </is>
      </c>
      <c r="T157" s="1" t="inlineStr">
        <is>
          <t>simapro category</t>
        </is>
      </c>
    </row>
    <row r="158" ht="16" customHeight="1">
      <c r="A158" t="inlineStr">
        <is>
          <t>carbon fiber production, fiber stabilization, carbonization, electrolysis and washing</t>
        </is>
      </c>
      <c r="B158" t="n">
        <v>1</v>
      </c>
      <c r="C158" t="inlineStr">
        <is>
          <t>RER</t>
        </is>
      </c>
      <c r="D158" t="inlineStr">
        <is>
          <t>kilogram</t>
        </is>
      </c>
      <c r="E158" s="12" t="n"/>
      <c r="F158" t="inlineStr">
        <is>
          <t>production</t>
        </is>
      </c>
      <c r="G158" t="inlineStr">
        <is>
          <t>carbon fiber, washed</t>
        </is>
      </c>
      <c r="H158" s="12" t="n"/>
      <c r="I158" s="12" t="n"/>
      <c r="K158" s="8" t="n"/>
      <c r="L158" s="8" t="n"/>
      <c r="M158" s="8" t="n"/>
      <c r="N158" s="8" t="n"/>
      <c r="O158" s="8" t="n"/>
      <c r="P158" s="8" t="n"/>
      <c r="T158" t="inlineStr">
        <is>
          <t>Material/Chemicals/Organic</t>
        </is>
      </c>
    </row>
    <row r="159" ht="16" customHeight="1">
      <c r="A159" t="inlineStr">
        <is>
          <t>market for compressed air, 1000 kPa gauge</t>
        </is>
      </c>
      <c r="B159" s="4" t="n">
        <v>0.004888278388278388</v>
      </c>
      <c r="C159" t="inlineStr">
        <is>
          <t>RER</t>
        </is>
      </c>
      <c r="D159" t="inlineStr">
        <is>
          <t>cubic meter</t>
        </is>
      </c>
      <c r="E159" s="12" t="n"/>
      <c r="F159" t="inlineStr">
        <is>
          <t>technosphere</t>
        </is>
      </c>
      <c r="G159" t="inlineStr">
        <is>
          <t>compressed air, 1000 kPa gauge</t>
        </is>
      </c>
      <c r="H159" s="12" t="n"/>
      <c r="I159" s="12" t="n">
        <v>2</v>
      </c>
      <c r="J159">
        <f>LN(B159)</f>
        <v>-5.3209151053225181</v>
      </c>
      <c r="K159" s="8" t="n">
        <v>1.5</v>
      </c>
      <c r="L159" s="8" t="n">
        <v>1.2</v>
      </c>
      <c r="M159" s="8" t="n">
        <v>1.5</v>
      </c>
      <c r="N159" s="8" t="n">
        <v>1.1</v>
      </c>
      <c r="O159" s="8" t="n">
        <v>2</v>
      </c>
      <c r="P159" s="8" t="n">
        <v>1.2</v>
      </c>
      <c r="Q159" t="n">
        <v>1.05</v>
      </c>
      <c r="R159">
        <f>LN(SQRT(EXP(
SQRT(
+POWER(LN(K159),2)
+POWER(LN(L159),2)
+POWER(LN(M159),2)
+POWER(LN(N159),2)
+POWER(LN(O159),2)
+POWER(LN(P159),2)
+POWER(LN(Q159),2)
)
)))</f>
        <v>0.47095746419981693</v>
      </c>
    </row>
    <row r="160" ht="16" customHeight="1">
      <c r="A160" t="inlineStr">
        <is>
          <t>market group for electricity, low voltage</t>
        </is>
      </c>
      <c r="B160" s="6" t="n">
        <v>0.04368131868131868</v>
      </c>
      <c r="C160" t="inlineStr">
        <is>
          <t>RER</t>
        </is>
      </c>
      <c r="D160" t="inlineStr">
        <is>
          <t>kilowatt hour</t>
        </is>
      </c>
      <c r="E160" s="12" t="n"/>
      <c r="F160" t="inlineStr">
        <is>
          <t>technosphere</t>
        </is>
      </c>
      <c r="G160" t="inlineStr">
        <is>
          <t>electricity, low voltage</t>
        </is>
      </c>
      <c r="H160" s="12" t="n"/>
      <c r="I160" s="12" t="n">
        <v>2</v>
      </c>
      <c r="J160">
        <f>LN(B160)</f>
        <v>-3.1308347584105549</v>
      </c>
      <c r="K160" s="8" t="n">
        <v>1.5</v>
      </c>
      <c r="L160" s="8" t="n">
        <v>1.2</v>
      </c>
      <c r="M160" s="8" t="n">
        <v>1.5</v>
      </c>
      <c r="N160" s="8" t="n">
        <v>1.1</v>
      </c>
      <c r="O160" s="8" t="n">
        <v>2</v>
      </c>
      <c r="P160" s="8" t="n">
        <v>1.2</v>
      </c>
      <c r="Q160" t="n">
        <v>1.05</v>
      </c>
      <c r="R160">
        <f>LN(SQRT(EXP(
SQRT(
+POWER(LN(K160),2)
+POWER(LN(L160),2)
+POWER(LN(M160),2)
+POWER(LN(N160),2)
+POWER(LN(O160),2)
+POWER(LN(P160),2)
+POWER(LN(Q160),2)
)
)))</f>
        <v>0.47095746419981693</v>
      </c>
    </row>
    <row r="161" ht="16" customHeight="1">
      <c r="A161" t="inlineStr">
        <is>
          <t>market for tap water</t>
        </is>
      </c>
      <c r="B161" t="n">
        <v>0.4495421245421245</v>
      </c>
      <c r="C161" t="inlineStr">
        <is>
          <t>Europe without Switzerland</t>
        </is>
      </c>
      <c r="D161" t="inlineStr">
        <is>
          <t>kilogram</t>
        </is>
      </c>
      <c r="E161" s="12" t="n"/>
      <c r="F161" t="inlineStr">
        <is>
          <t>technosphere</t>
        </is>
      </c>
      <c r="G161" t="inlineStr">
        <is>
          <t>tap water</t>
        </is>
      </c>
      <c r="H161" s="12" t="n"/>
      <c r="I161" s="12" t="n">
        <v>2</v>
      </c>
      <c r="J161">
        <f>LN(B161)</f>
        <v>-0.79952571524084359</v>
      </c>
      <c r="K161" s="8" t="n">
        <v>1.5</v>
      </c>
      <c r="L161" s="8" t="n">
        <v>1.2</v>
      </c>
      <c r="M161" s="8" t="n">
        <v>1.5</v>
      </c>
      <c r="N161" s="8" t="n">
        <v>1.1</v>
      </c>
      <c r="O161" s="8" t="n">
        <v>2</v>
      </c>
      <c r="P161" s="8" t="n">
        <v>1.2</v>
      </c>
      <c r="Q161" t="n">
        <v>1.05</v>
      </c>
      <c r="R161">
        <f>LN(SQRT(EXP(
SQRT(
+POWER(LN(K161),2)
+POWER(LN(L161),2)
+POWER(LN(M161),2)
+POWER(LN(N161),2)
+POWER(LN(O161),2)
+POWER(LN(P161),2)
+POWER(LN(Q161),2)
)
)))</f>
        <v>0.47095746419981693</v>
      </c>
    </row>
    <row r="162" ht="16" customHeight="1">
      <c r="A162" t="inlineStr">
        <is>
          <t>market for ammonium bicarbonate</t>
        </is>
      </c>
      <c r="B162" s="4" t="n">
        <v>0.01842490842490842</v>
      </c>
      <c r="C162" t="inlineStr">
        <is>
          <t>RER</t>
        </is>
      </c>
      <c r="D162" t="inlineStr">
        <is>
          <t>kilogram</t>
        </is>
      </c>
      <c r="E162" s="13" t="n"/>
      <c r="F162" t="inlineStr">
        <is>
          <t>technosphere</t>
        </is>
      </c>
      <c r="G162" t="inlineStr">
        <is>
          <t>ammonium bicarbonate</t>
        </is>
      </c>
      <c r="H162" s="12" t="n"/>
      <c r="I162" s="12" t="n">
        <v>2</v>
      </c>
      <c r="J162">
        <f>LN(B162)</f>
        <v>-3.9940518110733123</v>
      </c>
      <c r="K162" s="8" t="n">
        <v>1.5</v>
      </c>
      <c r="L162" s="8" t="n">
        <v>1.2</v>
      </c>
      <c r="M162" s="8" t="n">
        <v>1.5</v>
      </c>
      <c r="N162" s="8" t="n">
        <v>1.1</v>
      </c>
      <c r="O162" s="8" t="n">
        <v>2</v>
      </c>
      <c r="P162" s="8" t="n">
        <v>1.2</v>
      </c>
      <c r="Q162" t="n">
        <v>1.05</v>
      </c>
      <c r="R162">
        <f>LN(SQRT(EXP(
SQRT(
+POWER(LN(K162),2)
+POWER(LN(L162),2)
+POWER(LN(M162),2)
+POWER(LN(N162),2)
+POWER(LN(O162),2)
+POWER(LN(P162),2)
+POWER(LN(Q162),2)
)
)))</f>
        <v>0.47095746419981693</v>
      </c>
    </row>
    <row r="163" ht="16" customHeight="1">
      <c r="A163" t="inlineStr">
        <is>
          <t>market for compressed air, 1000 kPa gauge</t>
        </is>
      </c>
      <c r="B163" s="4" t="n">
        <v>0.002683150183150183</v>
      </c>
      <c r="C163" t="inlineStr">
        <is>
          <t>RER</t>
        </is>
      </c>
      <c r="D163" t="inlineStr">
        <is>
          <t>cubic meter</t>
        </is>
      </c>
      <c r="E163" s="13" t="n"/>
      <c r="F163" t="inlineStr">
        <is>
          <t>technosphere</t>
        </is>
      </c>
      <c r="G163" t="inlineStr">
        <is>
          <t>compressed air, 1000 kPa gauge</t>
        </is>
      </c>
      <c r="H163" s="12" t="n"/>
      <c r="I163" s="12" t="n">
        <v>2</v>
      </c>
      <c r="J163">
        <f>LN(B163)</f>
        <v>-5.9207637332758747</v>
      </c>
      <c r="K163" s="8" t="n">
        <v>1.5</v>
      </c>
      <c r="L163" s="8" t="n">
        <v>1.2</v>
      </c>
      <c r="M163" s="8" t="n">
        <v>1.5</v>
      </c>
      <c r="N163" s="8" t="n">
        <v>1.1</v>
      </c>
      <c r="O163" s="8" t="n">
        <v>2</v>
      </c>
      <c r="P163" s="8" t="n">
        <v>1.2</v>
      </c>
      <c r="Q163" t="n">
        <v>1.05</v>
      </c>
      <c r="R163">
        <f>LN(SQRT(EXP(
SQRT(
+POWER(LN(K163),2)
+POWER(LN(L163),2)
+POWER(LN(M163),2)
+POWER(LN(N163),2)
+POWER(LN(O163),2)
+POWER(LN(P163),2)
+POWER(LN(Q163),2)
)
)))</f>
        <v>0.47095746419981693</v>
      </c>
    </row>
    <row r="164" ht="16" customHeight="1">
      <c r="A164" t="inlineStr">
        <is>
          <t>market group for electricity, low voltage</t>
        </is>
      </c>
      <c r="B164" s="6" t="n">
        <v>0.1938644688644689</v>
      </c>
      <c r="C164" t="inlineStr">
        <is>
          <t>RER</t>
        </is>
      </c>
      <c r="D164" t="inlineStr">
        <is>
          <t>kilowatt hour</t>
        </is>
      </c>
      <c r="E164" s="13" t="n"/>
      <c r="F164" t="inlineStr">
        <is>
          <t>technosphere</t>
        </is>
      </c>
      <c r="G164" t="inlineStr">
        <is>
          <t>electricity, low voltage</t>
        </is>
      </c>
      <c r="H164" s="12" t="n"/>
      <c r="I164" s="12" t="n">
        <v>2</v>
      </c>
      <c r="J164">
        <f>LN(B164)</f>
        <v>-1.6405959781640309</v>
      </c>
      <c r="K164" s="8" t="n">
        <v>1.5</v>
      </c>
      <c r="L164" s="8" t="n">
        <v>1.2</v>
      </c>
      <c r="M164" s="8" t="n">
        <v>1.5</v>
      </c>
      <c r="N164" s="8" t="n">
        <v>1.1</v>
      </c>
      <c r="O164" s="8" t="n">
        <v>2</v>
      </c>
      <c r="P164" s="8" t="n">
        <v>1.2</v>
      </c>
      <c r="Q164" t="n">
        <v>1.05</v>
      </c>
      <c r="R164">
        <f>LN(SQRT(EXP(
SQRT(
+POWER(LN(K164),2)
+POWER(LN(L164),2)
+POWER(LN(M164),2)
+POWER(LN(N164),2)
+POWER(LN(O164),2)
+POWER(LN(P164),2)
+POWER(LN(Q164),2)
)
)))</f>
        <v>0.47095746419981693</v>
      </c>
    </row>
    <row r="165" ht="16" customHeight="1">
      <c r="A165" t="inlineStr">
        <is>
          <t>market for ethylene glycol</t>
        </is>
      </c>
      <c r="B165" s="4" t="n">
        <v>0.0001641941391941392</v>
      </c>
      <c r="C165" t="inlineStr">
        <is>
          <t>GLO</t>
        </is>
      </c>
      <c r="D165" t="inlineStr">
        <is>
          <t>kilogram</t>
        </is>
      </c>
      <c r="E165" s="13" t="n"/>
      <c r="F165" t="inlineStr">
        <is>
          <t>technosphere</t>
        </is>
      </c>
      <c r="G165" t="inlineStr">
        <is>
          <t>ethylene glycol</t>
        </is>
      </c>
      <c r="H165" s="12" t="n"/>
      <c r="I165" s="12" t="n">
        <v>2</v>
      </c>
      <c r="J165">
        <f>LN(B165)</f>
        <v>-8.7144610546759012</v>
      </c>
      <c r="K165" s="8" t="n">
        <v>1.5</v>
      </c>
      <c r="L165" s="8" t="n">
        <v>1.2</v>
      </c>
      <c r="M165" s="8" t="n">
        <v>1.5</v>
      </c>
      <c r="N165" s="8" t="n">
        <v>1.1</v>
      </c>
      <c r="O165" s="8" t="n">
        <v>2</v>
      </c>
      <c r="P165" s="8" t="n">
        <v>1.2</v>
      </c>
      <c r="Q165" t="n">
        <v>1.05</v>
      </c>
      <c r="R165">
        <f>LN(SQRT(EXP(
SQRT(
+POWER(LN(K165),2)
+POWER(LN(L165),2)
+POWER(LN(M165),2)
+POWER(LN(N165),2)
+POWER(LN(O165),2)
+POWER(LN(P165),2)
+POWER(LN(Q165),2)
)
)))</f>
        <v>0.47095746419981693</v>
      </c>
    </row>
    <row r="166" ht="16" customHeight="1">
      <c r="A166" t="inlineStr">
        <is>
          <t>market for water, deionised</t>
        </is>
      </c>
      <c r="B166" s="4" t="n">
        <v>8.113553113553113e-05</v>
      </c>
      <c r="C166" t="inlineStr">
        <is>
          <t>Europe without Switzerland</t>
        </is>
      </c>
      <c r="D166" t="inlineStr">
        <is>
          <t>kilogram</t>
        </is>
      </c>
      <c r="E166" s="13" t="n"/>
      <c r="F166" t="inlineStr">
        <is>
          <t>technosphere</t>
        </is>
      </c>
      <c r="G166" t="inlineStr">
        <is>
          <t>water, deionised</t>
        </is>
      </c>
      <c r="H166" s="12" t="n"/>
      <c r="I166" s="12" t="n">
        <v>2</v>
      </c>
      <c r="J166">
        <f>LN(B166)</f>
        <v>-9.4193895776759522</v>
      </c>
      <c r="K166" s="8" t="n">
        <v>1.5</v>
      </c>
      <c r="L166" s="8" t="n">
        <v>1.2</v>
      </c>
      <c r="M166" s="8" t="n">
        <v>1.5</v>
      </c>
      <c r="N166" s="8" t="n">
        <v>1.1</v>
      </c>
      <c r="O166" s="8" t="n">
        <v>2</v>
      </c>
      <c r="P166" s="8" t="n">
        <v>1.2</v>
      </c>
      <c r="Q166" t="n">
        <v>1.05</v>
      </c>
      <c r="R166">
        <f>LN(SQRT(EXP(
SQRT(
+POWER(LN(K166),2)
+POWER(LN(L166),2)
+POWER(LN(M166),2)
+POWER(LN(N166),2)
+POWER(LN(O166),2)
+POWER(LN(P166),2)
+POWER(LN(Q166),2)
)
)))</f>
        <v>0.47095746419981693</v>
      </c>
    </row>
    <row r="167" ht="16" customHeight="1">
      <c r="A167" t="inlineStr">
        <is>
          <t>market for tap water</t>
        </is>
      </c>
      <c r="B167" t="n">
        <v>0.1614468864468865</v>
      </c>
      <c r="C167" t="inlineStr">
        <is>
          <t>Europe without Switzerland</t>
        </is>
      </c>
      <c r="D167" t="inlineStr">
        <is>
          <t>kilogram</t>
        </is>
      </c>
      <c r="E167" s="13" t="n"/>
      <c r="F167" t="inlineStr">
        <is>
          <t>technosphere</t>
        </is>
      </c>
      <c r="G167" t="inlineStr">
        <is>
          <t>tap water</t>
        </is>
      </c>
      <c r="H167" s="12" t="n"/>
      <c r="I167" s="12" t="n">
        <v>2</v>
      </c>
      <c r="J167">
        <f>LN(B167)</f>
        <v>-1.8235790669010257</v>
      </c>
      <c r="K167" s="8" t="n">
        <v>1.5</v>
      </c>
      <c r="L167" s="8" t="n">
        <v>1.2</v>
      </c>
      <c r="M167" s="8" t="n">
        <v>1.5</v>
      </c>
      <c r="N167" s="8" t="n">
        <v>1.1</v>
      </c>
      <c r="O167" s="8" t="n">
        <v>2</v>
      </c>
      <c r="P167" s="8" t="n">
        <v>1.2</v>
      </c>
      <c r="Q167" t="n">
        <v>1.05</v>
      </c>
      <c r="R167">
        <f>LN(SQRT(EXP(
SQRT(
+POWER(LN(K167),2)
+POWER(LN(L167),2)
+POWER(LN(M167),2)
+POWER(LN(N167),2)
+POWER(LN(O167),2)
+POWER(LN(P167),2)
+POWER(LN(Q167),2)
)
)))</f>
        <v>0.47095746419981693</v>
      </c>
    </row>
    <row r="168" ht="16" customHeight="1">
      <c r="A168" t="inlineStr">
        <is>
          <t>market group for electricity, low voltage</t>
        </is>
      </c>
      <c r="B168" s="6" t="n">
        <v>7.265646062271061</v>
      </c>
      <c r="C168" t="inlineStr">
        <is>
          <t>RER</t>
        </is>
      </c>
      <c r="D168" t="inlineStr">
        <is>
          <t>kilowatt hour</t>
        </is>
      </c>
      <c r="E168" s="13" t="n"/>
      <c r="F168" t="inlineStr">
        <is>
          <t>technosphere</t>
        </is>
      </c>
      <c r="G168" t="inlineStr">
        <is>
          <t>electricity, low voltage</t>
        </is>
      </c>
      <c r="H168" s="12" t="n"/>
      <c r="I168" s="12" t="n">
        <v>2</v>
      </c>
      <c r="J168">
        <f>LN(B168)</f>
        <v>1.9831572211167039</v>
      </c>
      <c r="K168" s="8" t="n">
        <v>1.5</v>
      </c>
      <c r="L168" s="8" t="n">
        <v>1.2</v>
      </c>
      <c r="M168" s="8" t="n">
        <v>1.5</v>
      </c>
      <c r="N168" s="8" t="n">
        <v>1.1</v>
      </c>
      <c r="O168" s="8" t="n">
        <v>2</v>
      </c>
      <c r="P168" s="8" t="n">
        <v>1.2</v>
      </c>
      <c r="Q168" t="n">
        <v>1.05</v>
      </c>
      <c r="R168">
        <f>LN(SQRT(EXP(
SQRT(
+POWER(LN(K168),2)
+POWER(LN(L168),2)
+POWER(LN(M168),2)
+POWER(LN(N168),2)
+POWER(LN(O168),2)
+POWER(LN(P168),2)
+POWER(LN(Q168),2)
)
)))</f>
        <v>0.47095746419981693</v>
      </c>
    </row>
    <row r="169" ht="16" customHeight="1">
      <c r="A169" t="inlineStr">
        <is>
          <t>market for ethylene glycol</t>
        </is>
      </c>
      <c r="B169" s="4" t="n">
        <v>0.006764380494505494</v>
      </c>
      <c r="C169" t="inlineStr">
        <is>
          <t>GLO</t>
        </is>
      </c>
      <c r="D169" t="inlineStr">
        <is>
          <t>kilogram</t>
        </is>
      </c>
      <c r="E169" s="13" t="n"/>
      <c r="F169" t="inlineStr">
        <is>
          <t>technosphere</t>
        </is>
      </c>
      <c r="G169" t="inlineStr">
        <is>
          <t>ethylene glycol</t>
        </is>
      </c>
      <c r="H169" s="12" t="n"/>
      <c r="I169" s="12" t="n">
        <v>2</v>
      </c>
      <c r="J169">
        <f>LN(B169)</f>
        <v>-4.9960845966442156</v>
      </c>
      <c r="K169" s="8" t="n">
        <v>1.5</v>
      </c>
      <c r="L169" s="8" t="n">
        <v>1.2</v>
      </c>
      <c r="M169" s="8" t="n">
        <v>1.5</v>
      </c>
      <c r="N169" s="8" t="n">
        <v>1.1</v>
      </c>
      <c r="O169" s="8" t="n">
        <v>2</v>
      </c>
      <c r="P169" s="8" t="n">
        <v>1.2</v>
      </c>
      <c r="Q169" t="n">
        <v>1.05</v>
      </c>
      <c r="R169">
        <f>LN(SQRT(EXP(
SQRT(
+POWER(LN(K169),2)
+POWER(LN(L169),2)
+POWER(LN(M169),2)
+POWER(LN(N169),2)
+POWER(LN(O169),2)
+POWER(LN(P169),2)
+POWER(LN(Q169),2)
)
)))</f>
        <v>0.47095746419981693</v>
      </c>
    </row>
    <row r="170" ht="16" customHeight="1">
      <c r="A170" t="inlineStr">
        <is>
          <t>market for nitrogen, liquid</t>
        </is>
      </c>
      <c r="B170" s="5" t="n">
        <v>2.116855311355311</v>
      </c>
      <c r="C170" t="inlineStr">
        <is>
          <t>RER</t>
        </is>
      </c>
      <c r="D170" t="inlineStr">
        <is>
          <t>kilogram</t>
        </is>
      </c>
      <c r="E170" s="13" t="n"/>
      <c r="F170" t="inlineStr">
        <is>
          <t>technosphere</t>
        </is>
      </c>
      <c r="G170" t="inlineStr">
        <is>
          <t>nitrogen, liquid</t>
        </is>
      </c>
      <c r="H170" s="12" t="n"/>
      <c r="I170" s="12" t="n">
        <v>2</v>
      </c>
      <c r="J170">
        <f>LN(B170)</f>
        <v>0.74993164374017973</v>
      </c>
      <c r="K170" s="8" t="n">
        <v>1.5</v>
      </c>
      <c r="L170" s="8" t="n">
        <v>1.2</v>
      </c>
      <c r="M170" s="8" t="n">
        <v>1.5</v>
      </c>
      <c r="N170" s="8" t="n">
        <v>1.1</v>
      </c>
      <c r="O170" s="8" t="n">
        <v>2</v>
      </c>
      <c r="P170" s="8" t="n">
        <v>1.2</v>
      </c>
      <c r="Q170" t="n">
        <v>1.05</v>
      </c>
      <c r="R170">
        <f>LN(SQRT(EXP(
SQRT(
+POWER(LN(K170),2)
+POWER(LN(L170),2)
+POWER(LN(M170),2)
+POWER(LN(N170),2)
+POWER(LN(O170),2)
+POWER(LN(P170),2)
+POWER(LN(Q170),2)
)
)))</f>
        <v>0.47095746419981693</v>
      </c>
    </row>
    <row r="171" ht="16" customHeight="1">
      <c r="A171" t="inlineStr">
        <is>
          <t>carbon fiber production, exhaust gas treatment 2</t>
        </is>
      </c>
      <c r="B171" t="n">
        <v>2.625333333333333</v>
      </c>
      <c r="C171" t="inlineStr">
        <is>
          <t>RER</t>
        </is>
      </c>
      <c r="D171" t="inlineStr">
        <is>
          <t>kilogram</t>
        </is>
      </c>
      <c r="E171" s="13" t="n"/>
      <c r="F171" t="inlineStr">
        <is>
          <t>technosphere</t>
        </is>
      </c>
      <c r="G171" t="inlineStr">
        <is>
          <t>carbon fiber production, exhaust gas treatment 2</t>
        </is>
      </c>
      <c r="H171" s="12" t="n"/>
      <c r="I171" s="12" t="n">
        <v>2</v>
      </c>
      <c r="J171">
        <f>LN(B171)</f>
        <v>0.96520787210876924</v>
      </c>
      <c r="K171" s="8" t="n">
        <v>1.5</v>
      </c>
      <c r="L171" s="8" t="n">
        <v>1.2</v>
      </c>
      <c r="M171" s="8" t="n">
        <v>1.5</v>
      </c>
      <c r="N171" s="8" t="n">
        <v>1.1</v>
      </c>
      <c r="O171" s="8" t="n">
        <v>2</v>
      </c>
      <c r="P171" s="8" t="n">
        <v>1.2</v>
      </c>
      <c r="Q171" t="n">
        <v>1.05</v>
      </c>
      <c r="R171">
        <f>LN(SQRT(EXP(
SQRT(
+POWER(LN(K171),2)
+POWER(LN(L171),2)
+POWER(LN(M171),2)
+POWER(LN(N171),2)
+POWER(LN(O171),2)
+POWER(LN(P171),2)
+POWER(LN(Q171),2)
)
)))</f>
        <v>0.47095746419981693</v>
      </c>
    </row>
    <row r="172" ht="16" customHeight="1">
      <c r="A172" t="inlineStr">
        <is>
          <t>market group for electricity, low voltage</t>
        </is>
      </c>
      <c r="B172" s="6" t="n">
        <v>3.755885531135531</v>
      </c>
      <c r="C172" t="inlineStr">
        <is>
          <t>RER</t>
        </is>
      </c>
      <c r="D172" t="inlineStr">
        <is>
          <t>kilowatt hour</t>
        </is>
      </c>
      <c r="E172" s="13" t="n"/>
      <c r="F172" t="inlineStr">
        <is>
          <t>technosphere</t>
        </is>
      </c>
      <c r="G172" t="inlineStr">
        <is>
          <t>electricity, low voltage</t>
        </is>
      </c>
      <c r="H172" s="12" t="n"/>
      <c r="I172" s="12" t="n">
        <v>2</v>
      </c>
      <c r="J172">
        <f>LN(B172)</f>
        <v>1.32332408461311</v>
      </c>
      <c r="K172" s="8" t="n">
        <v>1.5</v>
      </c>
      <c r="L172" s="8" t="n">
        <v>1.2</v>
      </c>
      <c r="M172" s="8" t="n">
        <v>1.5</v>
      </c>
      <c r="N172" s="8" t="n">
        <v>1.1</v>
      </c>
      <c r="O172" s="8" t="n">
        <v>2</v>
      </c>
      <c r="P172" s="8" t="n">
        <v>1.2</v>
      </c>
      <c r="Q172" t="n">
        <v>1.05</v>
      </c>
      <c r="R172">
        <f>LN(SQRT(EXP(
SQRT(
+POWER(LN(K172),2)
+POWER(LN(L172),2)
+POWER(LN(M172),2)
+POWER(LN(N172),2)
+POWER(LN(O172),2)
+POWER(LN(P172),2)
+POWER(LN(Q172),2)
)
)))</f>
        <v>0.47095746419981693</v>
      </c>
    </row>
    <row r="173" ht="16" customHeight="1">
      <c r="A173" t="inlineStr">
        <is>
          <t>market for ethylene glycol</t>
        </is>
      </c>
      <c r="B173" s="4" t="n">
        <v>0.0007052878663003663</v>
      </c>
      <c r="C173" t="inlineStr">
        <is>
          <t>GLO</t>
        </is>
      </c>
      <c r="D173" t="inlineStr">
        <is>
          <t>kilogram</t>
        </is>
      </c>
      <c r="E173" s="13" t="n"/>
      <c r="F173" t="inlineStr">
        <is>
          <t>technosphere</t>
        </is>
      </c>
      <c r="G173" t="inlineStr">
        <is>
          <t>ethylene glycol</t>
        </is>
      </c>
      <c r="H173" s="12" t="n"/>
      <c r="I173" s="12" t="n">
        <v>2</v>
      </c>
      <c r="J173">
        <f>LN(B173)</f>
        <v>-7.2569045174989091</v>
      </c>
      <c r="K173" s="8" t="n">
        <v>1.5</v>
      </c>
      <c r="L173" s="8" t="n">
        <v>1.2</v>
      </c>
      <c r="M173" s="8" t="n">
        <v>1.5</v>
      </c>
      <c r="N173" s="8" t="n">
        <v>1.1</v>
      </c>
      <c r="O173" s="8" t="n">
        <v>2</v>
      </c>
      <c r="P173" s="8" t="n">
        <v>1.2</v>
      </c>
      <c r="Q173" t="n">
        <v>1.05</v>
      </c>
      <c r="R173">
        <f>LN(SQRT(EXP(
SQRT(
+POWER(LN(K173),2)
+POWER(LN(L173),2)
+POWER(LN(M173),2)
+POWER(LN(N173),2)
+POWER(LN(O173),2)
+POWER(LN(P173),2)
+POWER(LN(Q173),2)
)
)))</f>
        <v>0.47095746419981693</v>
      </c>
    </row>
    <row r="174" ht="16" customHeight="1">
      <c r="A174" t="inlineStr">
        <is>
          <t>market for nitrogen, liquid</t>
        </is>
      </c>
      <c r="B174" s="5" t="n">
        <v>5.961994963369963</v>
      </c>
      <c r="C174" t="inlineStr">
        <is>
          <t>RER</t>
        </is>
      </c>
      <c r="D174" t="inlineStr">
        <is>
          <t>kilogram</t>
        </is>
      </c>
      <c r="E174" s="13" t="n"/>
      <c r="F174" t="inlineStr">
        <is>
          <t>technosphere</t>
        </is>
      </c>
      <c r="G174" t="inlineStr">
        <is>
          <t>nitrogen, liquid</t>
        </is>
      </c>
      <c r="H174" s="12" t="n"/>
      <c r="I174" s="12" t="n">
        <v>2</v>
      </c>
      <c r="J174">
        <f>LN(B174)</f>
        <v>1.7854051504668551</v>
      </c>
      <c r="K174" s="8" t="n">
        <v>1.5</v>
      </c>
      <c r="L174" s="8" t="n">
        <v>1.2</v>
      </c>
      <c r="M174" s="8" t="n">
        <v>1.5</v>
      </c>
      <c r="N174" s="8" t="n">
        <v>1.1</v>
      </c>
      <c r="O174" s="8" t="n">
        <v>2</v>
      </c>
      <c r="P174" s="8" t="n">
        <v>1.2</v>
      </c>
      <c r="Q174" t="n">
        <v>1.05</v>
      </c>
      <c r="R174">
        <f>LN(SQRT(EXP(
SQRT(
+POWER(LN(K174),2)
+POWER(LN(L174),2)
+POWER(LN(M174),2)
+POWER(LN(N174),2)
+POWER(LN(O174),2)
+POWER(LN(P174),2)
+POWER(LN(Q174),2)
)
)))</f>
        <v>0.47095746419981693</v>
      </c>
    </row>
    <row r="175" ht="16" customHeight="1">
      <c r="A175" t="inlineStr">
        <is>
          <t>market for heat, from steam, in chemical industry</t>
        </is>
      </c>
      <c r="B175" s="5" t="n">
        <v>4.650902414835156</v>
      </c>
      <c r="C175" t="inlineStr">
        <is>
          <t>RER</t>
        </is>
      </c>
      <c r="D175" t="inlineStr">
        <is>
          <t>megajoule</t>
        </is>
      </c>
      <c r="E175" s="13" t="n"/>
      <c r="F175" t="inlineStr">
        <is>
          <t>technosphere</t>
        </is>
      </c>
      <c r="G175" t="inlineStr">
        <is>
          <t>heat, from steam, in chemical industry</t>
        </is>
      </c>
      <c r="H175" s="12" t="n"/>
      <c r="I175" s="12" t="n">
        <v>2</v>
      </c>
      <c r="J175">
        <f>LN(B175)</f>
        <v>1.5370612684770488</v>
      </c>
      <c r="K175" s="8" t="n">
        <v>1.5</v>
      </c>
      <c r="L175" s="8" t="n">
        <v>1.2</v>
      </c>
      <c r="M175" s="8" t="n">
        <v>1.5</v>
      </c>
      <c r="N175" s="8" t="n">
        <v>1.1</v>
      </c>
      <c r="O175" s="8" t="n">
        <v>2</v>
      </c>
      <c r="P175" s="8" t="n">
        <v>1.2</v>
      </c>
      <c r="Q175" t="n">
        <v>1.05</v>
      </c>
      <c r="R175">
        <f>LN(SQRT(EXP(
SQRT(
+POWER(LN(K175),2)
+POWER(LN(L175),2)
+POWER(LN(M175),2)
+POWER(LN(N175),2)
+POWER(LN(O175),2)
+POWER(LN(P175),2)
+POWER(LN(Q175),2)
)
)))</f>
        <v>0.47095746419981693</v>
      </c>
    </row>
    <row r="176" ht="16" customHeight="1">
      <c r="A176" t="inlineStr">
        <is>
          <t>carbon fiber production, exhaust gas treatment 2</t>
        </is>
      </c>
      <c r="B176" t="n">
        <v>7.090744047619047</v>
      </c>
      <c r="C176" t="inlineStr">
        <is>
          <t>RER</t>
        </is>
      </c>
      <c r="D176" t="inlineStr">
        <is>
          <t>kilogram</t>
        </is>
      </c>
      <c r="E176" s="13" t="n"/>
      <c r="F176" t="inlineStr">
        <is>
          <t>technosphere</t>
        </is>
      </c>
      <c r="G176" t="inlineStr">
        <is>
          <t>carbon fiber production, exhaust gas treatment 2</t>
        </is>
      </c>
      <c r="H176" s="12" t="n"/>
      <c r="I176" s="12" t="n">
        <v>2</v>
      </c>
      <c r="J176">
        <f>LN(B176)</f>
        <v>1.958790278284571</v>
      </c>
      <c r="K176" s="8" t="n">
        <v>1.5</v>
      </c>
      <c r="L176" s="8" t="n">
        <v>1.2</v>
      </c>
      <c r="M176" s="8" t="n">
        <v>1.5</v>
      </c>
      <c r="N176" s="8" t="n">
        <v>1.1</v>
      </c>
      <c r="O176" s="8" t="n">
        <v>2</v>
      </c>
      <c r="P176" s="8" t="n">
        <v>1.2</v>
      </c>
      <c r="Q176" t="n">
        <v>1.05</v>
      </c>
      <c r="R176">
        <f>LN(SQRT(EXP(
SQRT(
+POWER(LN(K176),2)
+POWER(LN(L176),2)
+POWER(LN(M176),2)
+POWER(LN(N176),2)
+POWER(LN(O176),2)
+POWER(LN(P176),2)
+POWER(LN(Q176),2)
)
)))</f>
        <v>0.47095746419981693</v>
      </c>
    </row>
    <row r="177" ht="16" customHeight="1">
      <c r="A177" t="inlineStr">
        <is>
          <t>market for compressed air, 1000 kPa gauge</t>
        </is>
      </c>
      <c r="B177" s="4" t="n">
        <v>0.1721071886446886</v>
      </c>
      <c r="C177" t="inlineStr">
        <is>
          <t>RER</t>
        </is>
      </c>
      <c r="D177" t="inlineStr">
        <is>
          <t>cubic meter</t>
        </is>
      </c>
      <c r="E177" s="13" t="n"/>
      <c r="F177" t="inlineStr">
        <is>
          <t>technosphere</t>
        </is>
      </c>
      <c r="G177" t="inlineStr">
        <is>
          <t>compressed air, 1000 kPa gauge</t>
        </is>
      </c>
      <c r="H177" s="12" t="n"/>
      <c r="I177" s="12" t="n">
        <v>2</v>
      </c>
      <c r="J177">
        <f>LN(B177)</f>
        <v>-1.7596378064761056</v>
      </c>
      <c r="K177" s="8" t="n">
        <v>1.5</v>
      </c>
      <c r="L177" s="8" t="n">
        <v>1.2</v>
      </c>
      <c r="M177" s="8" t="n">
        <v>1.5</v>
      </c>
      <c r="N177" s="8" t="n">
        <v>1.1</v>
      </c>
      <c r="O177" s="8" t="n">
        <v>2</v>
      </c>
      <c r="P177" s="8" t="n">
        <v>1.2</v>
      </c>
      <c r="Q177" t="n">
        <v>1.05</v>
      </c>
      <c r="R177">
        <f>LN(SQRT(EXP(
SQRT(
+POWER(LN(K177),2)
+POWER(LN(L177),2)
+POWER(LN(M177),2)
+POWER(LN(N177),2)
+POWER(LN(O177),2)
+POWER(LN(P177),2)
+POWER(LN(Q177),2)
)
)))</f>
        <v>0.47095746419981693</v>
      </c>
    </row>
    <row r="178" ht="16" customHeight="1">
      <c r="A178" t="inlineStr">
        <is>
          <t>market group for electricity, low voltage</t>
        </is>
      </c>
      <c r="B178" s="6" t="n">
        <v>16.96729853479853</v>
      </c>
      <c r="C178" t="inlineStr">
        <is>
          <t>RER</t>
        </is>
      </c>
      <c r="D178" t="inlineStr">
        <is>
          <t>kilowatt hour</t>
        </is>
      </c>
      <c r="E178" s="13" t="n"/>
      <c r="F178" t="inlineStr">
        <is>
          <t>technosphere</t>
        </is>
      </c>
      <c r="G178" t="inlineStr">
        <is>
          <t>electricity, low voltage</t>
        </is>
      </c>
      <c r="H178" s="12" t="n"/>
      <c r="I178" s="12" t="n">
        <v>2</v>
      </c>
      <c r="J178">
        <f>LN(B178)</f>
        <v>2.8312878759315634</v>
      </c>
      <c r="K178" s="8" t="n">
        <v>1.5</v>
      </c>
      <c r="L178" s="8" t="n">
        <v>1.2</v>
      </c>
      <c r="M178" s="8" t="n">
        <v>1.5</v>
      </c>
      <c r="N178" s="8" t="n">
        <v>1.1</v>
      </c>
      <c r="O178" s="8" t="n">
        <v>2</v>
      </c>
      <c r="P178" s="8" t="n">
        <v>1.2</v>
      </c>
      <c r="Q178" t="n">
        <v>1.05</v>
      </c>
      <c r="R178">
        <f>LN(SQRT(EXP(
SQRT(
+POWER(LN(K178),2)
+POWER(LN(L178),2)
+POWER(LN(M178),2)
+POWER(LN(N178),2)
+POWER(LN(O178),2)
+POWER(LN(P178),2)
+POWER(LN(Q178),2)
)
)))</f>
        <v>0.47095746419981693</v>
      </c>
    </row>
    <row r="179" ht="16" customHeight="1">
      <c r="A179" t="inlineStr">
        <is>
          <t>market for natural gas, medium pressure, vehicle grade</t>
        </is>
      </c>
      <c r="B179" t="n">
        <v>0.1983424908424908</v>
      </c>
      <c r="C179" t="inlineStr">
        <is>
          <t>GLO</t>
        </is>
      </c>
      <c r="D179" t="inlineStr">
        <is>
          <t>kilogram</t>
        </is>
      </c>
      <c r="E179" s="13" t="n"/>
      <c r="F179" t="inlineStr">
        <is>
          <t>technosphere</t>
        </is>
      </c>
      <c r="G179" t="inlineStr">
        <is>
          <t>natural gas, medium pressure, vehicle grade</t>
        </is>
      </c>
      <c r="H179" s="12" t="n"/>
      <c r="I179" s="12" t="n">
        <v>2</v>
      </c>
      <c r="J179">
        <f>LN(B179)</f>
        <v>-1.6177599908554456</v>
      </c>
      <c r="K179" s="8" t="n">
        <v>1.5</v>
      </c>
      <c r="L179" s="8" t="n">
        <v>1.2</v>
      </c>
      <c r="M179" s="8" t="n">
        <v>1.5</v>
      </c>
      <c r="N179" s="8" t="n">
        <v>1.1</v>
      </c>
      <c r="O179" s="8" t="n">
        <v>2</v>
      </c>
      <c r="P179" s="8" t="n">
        <v>1.2</v>
      </c>
      <c r="Q179" t="n">
        <v>1.05</v>
      </c>
      <c r="R179">
        <f>LN(SQRT(EXP(
SQRT(
+POWER(LN(K179),2)
+POWER(LN(L179),2)
+POWER(LN(M179),2)
+POWER(LN(N179),2)
+POWER(LN(O179),2)
+POWER(LN(P179),2)
+POWER(LN(Q179),2)
)
)))</f>
        <v>0.47095746419981693</v>
      </c>
    </row>
    <row r="180" ht="16" customHeight="1">
      <c r="A180" t="inlineStr">
        <is>
          <t>carbon fiber production, fiber winding and unwinding</t>
        </is>
      </c>
      <c r="B180" t="n">
        <v>2.506327838827838</v>
      </c>
      <c r="C180" t="inlineStr">
        <is>
          <t>RER</t>
        </is>
      </c>
      <c r="D180" t="inlineStr">
        <is>
          <t>kilogram</t>
        </is>
      </c>
      <c r="E180" s="13" t="n"/>
      <c r="F180" t="inlineStr">
        <is>
          <t>technosphere</t>
        </is>
      </c>
      <c r="G180" t="inlineStr">
        <is>
          <t>carbon fiber, unwound</t>
        </is>
      </c>
      <c r="H180" s="12" t="n"/>
      <c r="I180" s="12" t="n">
        <v>2</v>
      </c>
      <c r="J180">
        <f>LN(B180)</f>
        <v>0.91881866947687529</v>
      </c>
      <c r="K180" s="8" t="n">
        <v>1.5</v>
      </c>
      <c r="L180" s="8" t="n">
        <v>1.2</v>
      </c>
      <c r="M180" s="8" t="n">
        <v>1.5</v>
      </c>
      <c r="N180" s="8" t="n">
        <v>1.1</v>
      </c>
      <c r="O180" s="8" t="n">
        <v>2</v>
      </c>
      <c r="P180" s="8" t="n">
        <v>1.2</v>
      </c>
      <c r="Q180" t="n">
        <v>1.05</v>
      </c>
      <c r="R180">
        <f>LN(SQRT(EXP(
SQRT(
+POWER(LN(K180),2)
+POWER(LN(L180),2)
+POWER(LN(M180),2)
+POWER(LN(N180),2)
+POWER(LN(O180),2)
+POWER(LN(P180),2)
+POWER(LN(Q180),2)
)
)))</f>
        <v>0.47095746419981693</v>
      </c>
    </row>
    <row r="181" ht="16" customHeight="1">
      <c r="A181" t="inlineStr">
        <is>
          <t>carbon fiber production, exhaust gas treatment 1</t>
        </is>
      </c>
      <c r="B181" t="n">
        <v>33.19532051282052</v>
      </c>
      <c r="C181" t="inlineStr">
        <is>
          <t>RER</t>
        </is>
      </c>
      <c r="D181" t="inlineStr">
        <is>
          <t>kilogram</t>
        </is>
      </c>
      <c r="E181" s="13" t="n"/>
      <c r="F181" t="inlineStr">
        <is>
          <t>technosphere</t>
        </is>
      </c>
      <c r="G181" t="inlineStr">
        <is>
          <t>carbon fiber production, exhaust gas treatment 1</t>
        </is>
      </c>
      <c r="H181" s="12" t="n"/>
      <c r="I181" s="12" t="n">
        <v>2</v>
      </c>
      <c r="J181">
        <f>LN(B181)</f>
        <v>3.5024089175792619</v>
      </c>
      <c r="K181" s="8" t="n">
        <v>1.5</v>
      </c>
      <c r="L181" s="8" t="n">
        <v>1.2</v>
      </c>
      <c r="M181" s="8" t="n">
        <v>1.5</v>
      </c>
      <c r="N181" s="8" t="n">
        <v>1.1</v>
      </c>
      <c r="O181" s="8" t="n">
        <v>2</v>
      </c>
      <c r="P181" s="8" t="n">
        <v>1.2</v>
      </c>
      <c r="Q181" t="n">
        <v>1.05</v>
      </c>
      <c r="R181">
        <f>LN(SQRT(EXP(
SQRT(
+POWER(LN(K181),2)
+POWER(LN(L181),2)
+POWER(LN(M181),2)
+POWER(LN(N181),2)
+POWER(LN(O181),2)
+POWER(LN(P181),2)
+POWER(LN(Q181),2)
)
)))</f>
        <v>0.47095746419981693</v>
      </c>
    </row>
    <row r="182">
      <c r="K182" s="8" t="n"/>
      <c r="L182" s="8" t="n"/>
      <c r="M182" s="8" t="n"/>
      <c r="N182" s="8" t="n"/>
      <c r="O182" s="8" t="n"/>
      <c r="P182" s="8" t="n"/>
    </row>
    <row r="183" ht="16" customHeight="1">
      <c r="A183" s="1" t="inlineStr">
        <is>
          <t>Activity</t>
        </is>
      </c>
      <c r="B183" s="1" t="inlineStr">
        <is>
          <t>carbon fiber production, fiber drying and sizing</t>
        </is>
      </c>
      <c r="K183" s="8" t="n"/>
      <c r="L183" s="8" t="n"/>
      <c r="M183" s="8" t="n"/>
      <c r="N183" s="8" t="n"/>
      <c r="O183" s="8" t="n"/>
      <c r="P183" s="8" t="n"/>
    </row>
    <row r="184">
      <c r="A184" t="inlineStr">
        <is>
          <t>comment</t>
        </is>
      </c>
      <c r="B184" t="inlineStr">
        <is>
          <t>1 kg of finished carbon fiber Toray T700 G. Carbon fiber manufacturing. Source: based on Ellringmann et al. (2016), Gill et al. (2016), Mützel (2012).</t>
        </is>
      </c>
      <c r="K184" s="8" t="n"/>
      <c r="L184" s="8" t="n"/>
      <c r="M184" s="8" t="n"/>
      <c r="N184" s="8" t="n"/>
      <c r="O184" s="8" t="n"/>
      <c r="P184" s="8" t="n"/>
    </row>
    <row r="185">
      <c r="A185" t="inlineStr">
        <is>
          <t>source</t>
        </is>
      </c>
      <c r="B185" t="inlineStr">
        <is>
          <t>Benitez A, Wulf C, de Palmenaer A, Lengersdorf M, Röding T, Grube T, et al. Ecological assessment of fuel cell electric vehicles with special focus on type IV carbon fiber hydrogen tank. J Clean Prod 2021;278:123277. https://doi.org/10.1016/j.jclepro.2020.123277.</t>
        </is>
      </c>
      <c r="K185" s="8" t="n"/>
      <c r="L185" s="8" t="n"/>
      <c r="M185" s="8" t="n"/>
      <c r="N185" s="8" t="n"/>
      <c r="O185" s="8" t="n"/>
      <c r="P185" s="8" t="n"/>
    </row>
    <row r="186">
      <c r="A186" t="inlineStr">
        <is>
          <t>location</t>
        </is>
      </c>
      <c r="B186" t="inlineStr">
        <is>
          <t>RER</t>
        </is>
      </c>
      <c r="K186" s="8" t="n"/>
      <c r="L186" s="8" t="n"/>
      <c r="M186" s="8" t="n"/>
      <c r="N186" s="8" t="n"/>
      <c r="O186" s="8" t="n"/>
      <c r="P186" s="8" t="n"/>
    </row>
    <row r="187">
      <c r="A187" t="inlineStr">
        <is>
          <t>Category</t>
        </is>
      </c>
      <c r="B187" s="9" t="inlineStr">
        <is>
          <t>main</t>
        </is>
      </c>
    </row>
    <row r="188">
      <c r="A188" t="inlineStr">
        <is>
          <t>production amount</t>
        </is>
      </c>
      <c r="B188" t="n">
        <v>1</v>
      </c>
      <c r="K188" s="8" t="n"/>
      <c r="L188" s="8" t="n"/>
      <c r="M188" s="8" t="n"/>
      <c r="N188" s="8" t="n"/>
      <c r="O188" s="8" t="n"/>
      <c r="P188" s="8" t="n"/>
    </row>
    <row r="189">
      <c r="A189" t="inlineStr">
        <is>
          <t>reference product</t>
        </is>
      </c>
      <c r="B189" t="inlineStr">
        <is>
          <t>carbon fiber, dried and sized</t>
        </is>
      </c>
      <c r="K189" s="8" t="n"/>
      <c r="L189" s="8" t="n"/>
      <c r="M189" s="8" t="n"/>
      <c r="N189" s="8" t="n"/>
      <c r="O189" s="8" t="n"/>
      <c r="P189" s="8" t="n"/>
    </row>
    <row r="190">
      <c r="A190" t="inlineStr">
        <is>
          <t>unit</t>
        </is>
      </c>
      <c r="B190" t="inlineStr">
        <is>
          <t>kilogram</t>
        </is>
      </c>
      <c r="K190" s="8" t="n"/>
      <c r="L190" s="8" t="n"/>
      <c r="M190" s="8" t="n"/>
      <c r="N190" s="8" t="n"/>
      <c r="O190" s="8" t="n"/>
      <c r="P190" s="8" t="n"/>
    </row>
    <row r="191" ht="16" customHeight="1">
      <c r="A191" s="1" t="inlineStr">
        <is>
          <t>Exchanges</t>
        </is>
      </c>
      <c r="K191" s="8" t="n"/>
      <c r="L191" s="8" t="n"/>
      <c r="M191" s="8" t="n"/>
      <c r="N191" s="8" t="n"/>
      <c r="O191" s="8" t="n"/>
      <c r="P191" s="8" t="n"/>
    </row>
    <row r="192" ht="16" customHeight="1">
      <c r="A192" s="1" t="inlineStr">
        <is>
          <t>name</t>
        </is>
      </c>
      <c r="B192" s="1" t="inlineStr">
        <is>
          <t>amount</t>
        </is>
      </c>
      <c r="C192" s="1" t="inlineStr">
        <is>
          <t>location</t>
        </is>
      </c>
      <c r="D192" s="1" t="inlineStr">
        <is>
          <t>unit</t>
        </is>
      </c>
      <c r="E192" s="1" t="inlineStr">
        <is>
          <t>categories</t>
        </is>
      </c>
      <c r="F192" s="1" t="inlineStr">
        <is>
          <t>type</t>
        </is>
      </c>
      <c r="G192" s="1" t="inlineStr">
        <is>
          <t>reference product</t>
        </is>
      </c>
      <c r="H192" s="10" t="inlineStr">
        <is>
          <t>comment</t>
        </is>
      </c>
      <c r="I192" s="10" t="inlineStr">
        <is>
          <t>uncertainty type</t>
        </is>
      </c>
      <c r="J192" s="1" t="inlineStr">
        <is>
          <t>loc</t>
        </is>
      </c>
      <c r="K192" s="11" t="inlineStr">
        <is>
          <t>u1</t>
        </is>
      </c>
      <c r="L192" s="11" t="inlineStr">
        <is>
          <t>u2</t>
        </is>
      </c>
      <c r="M192" s="11" t="inlineStr">
        <is>
          <t>u3</t>
        </is>
      </c>
      <c r="N192" s="11" t="inlineStr">
        <is>
          <t>u4</t>
        </is>
      </c>
      <c r="O192" s="11" t="inlineStr">
        <is>
          <t>u5</t>
        </is>
      </c>
      <c r="P192" s="11" t="inlineStr">
        <is>
          <t>u6</t>
        </is>
      </c>
      <c r="Q192" s="1" t="inlineStr">
        <is>
          <t>ub</t>
        </is>
      </c>
      <c r="R192" s="1" t="inlineStr">
        <is>
          <t>scale</t>
        </is>
      </c>
      <c r="S192" s="10" t="inlineStr">
        <is>
          <t>negative</t>
        </is>
      </c>
      <c r="T192" s="1" t="inlineStr">
        <is>
          <t>simapro category</t>
        </is>
      </c>
    </row>
    <row r="193" ht="16" customHeight="1">
      <c r="A193" t="inlineStr">
        <is>
          <t>carbon fiber production, fiber drying and sizing</t>
        </is>
      </c>
      <c r="B193" t="n">
        <v>1</v>
      </c>
      <c r="C193" t="inlineStr">
        <is>
          <t>RER</t>
        </is>
      </c>
      <c r="D193" t="inlineStr">
        <is>
          <t>kilogram</t>
        </is>
      </c>
      <c r="E193" s="12" t="n"/>
      <c r="F193" t="inlineStr">
        <is>
          <t>production</t>
        </is>
      </c>
      <c r="G193" t="inlineStr">
        <is>
          <t>carbon fiber, dried and sized</t>
        </is>
      </c>
      <c r="H193" s="12" t="n"/>
      <c r="I193" s="12" t="n"/>
      <c r="K193" s="8" t="n"/>
      <c r="L193" s="8" t="n"/>
      <c r="M193" s="8" t="n"/>
      <c r="N193" s="8" t="n"/>
      <c r="O193" s="8" t="n"/>
      <c r="P193" s="8" t="n"/>
      <c r="T193" t="inlineStr">
        <is>
          <t>Material/Chemicals/Organic</t>
        </is>
      </c>
    </row>
    <row r="194" ht="16" customHeight="1">
      <c r="A194" t="inlineStr">
        <is>
          <t>market for compressed air, 1000 kPa gauge</t>
        </is>
      </c>
      <c r="B194" s="4" t="n">
        <v>0.00078</v>
      </c>
      <c r="C194" t="inlineStr">
        <is>
          <t>RER</t>
        </is>
      </c>
      <c r="D194" t="inlineStr">
        <is>
          <t>cubic meter</t>
        </is>
      </c>
      <c r="E194" s="12" t="n"/>
      <c r="F194" t="inlineStr">
        <is>
          <t>technosphere</t>
        </is>
      </c>
      <c r="G194" t="inlineStr">
        <is>
          <t>compressed air, 1000 kPa gauge</t>
        </is>
      </c>
      <c r="H194" s="12" t="n"/>
      <c r="I194" s="12" t="n">
        <v>2</v>
      </c>
      <c r="J194">
        <f>LN(B194)</f>
        <v>-7.1562166382806369</v>
      </c>
      <c r="K194" s="8" t="n">
        <v>1.5</v>
      </c>
      <c r="L194" s="8" t="n">
        <v>1.2</v>
      </c>
      <c r="M194" s="8" t="n">
        <v>1.5</v>
      </c>
      <c r="N194" s="8" t="n">
        <v>1.1</v>
      </c>
      <c r="O194" s="8" t="n">
        <v>2</v>
      </c>
      <c r="P194" s="8" t="n">
        <v>1.2</v>
      </c>
      <c r="Q194" t="n">
        <v>1.05</v>
      </c>
      <c r="R194">
        <f>LN(SQRT(EXP(
SQRT(
+POWER(LN(K194),2)
+POWER(LN(L194),2)
+POWER(LN(M194),2)
+POWER(LN(N194),2)
+POWER(LN(O194),2)
+POWER(LN(P194),2)
+POWER(LN(Q194),2)
)
)))</f>
        <v>0.47095746419981693</v>
      </c>
    </row>
    <row r="195" ht="16" customHeight="1">
      <c r="A195" t="inlineStr">
        <is>
          <t>market group for electricity, low voltage</t>
        </is>
      </c>
      <c r="B195" s="6" t="n">
        <v>0.4534</v>
      </c>
      <c r="C195" t="inlineStr">
        <is>
          <t>RER</t>
        </is>
      </c>
      <c r="D195" t="inlineStr">
        <is>
          <t>kilowatt hour</t>
        </is>
      </c>
      <c r="E195" s="12" t="n"/>
      <c r="F195" t="inlineStr">
        <is>
          <t>technosphere</t>
        </is>
      </c>
      <c r="G195" t="inlineStr">
        <is>
          <t>electricity, low voltage</t>
        </is>
      </c>
      <c r="H195" s="12" t="n"/>
      <c r="I195" s="12" t="n">
        <v>2</v>
      </c>
      <c r="J195">
        <f>LN(B195)</f>
        <v>-0.7909805409087084</v>
      </c>
      <c r="K195" s="8" t="n">
        <v>1.5</v>
      </c>
      <c r="L195" s="8" t="n">
        <v>1.2</v>
      </c>
      <c r="M195" s="8" t="n">
        <v>1.5</v>
      </c>
      <c r="N195" s="8" t="n">
        <v>1.1</v>
      </c>
      <c r="O195" s="8" t="n">
        <v>2</v>
      </c>
      <c r="P195" s="8" t="n">
        <v>1.2</v>
      </c>
      <c r="Q195" t="n">
        <v>1.05</v>
      </c>
      <c r="R195">
        <f>LN(SQRT(EXP(
SQRT(
+POWER(LN(K195),2)
+POWER(LN(L195),2)
+POWER(LN(M195),2)
+POWER(LN(N195),2)
+POWER(LN(O195),2)
+POWER(LN(P195),2)
+POWER(LN(Q195),2)
)
)))</f>
        <v>0.47095746419981693</v>
      </c>
    </row>
    <row r="196" ht="16" customHeight="1">
      <c r="A196" t="inlineStr">
        <is>
          <t>market for heat, from steam, in chemical industry</t>
        </is>
      </c>
      <c r="B196" s="5">
        <f>0.03062*2.778</f>
        <v>8.5062360000000004E-2</v>
      </c>
      <c r="C196" t="inlineStr">
        <is>
          <t>RER</t>
        </is>
      </c>
      <c r="D196" t="inlineStr">
        <is>
          <t>megajoule</t>
        </is>
      </c>
      <c r="E196" s="12" t="n"/>
      <c r="F196" t="inlineStr">
        <is>
          <t>technosphere</t>
        </is>
      </c>
      <c r="G196" t="inlineStr">
        <is>
          <t>heat, from steam, in chemical industry</t>
        </is>
      </c>
      <c r="H196" s="12" t="n"/>
      <c r="I196" s="12" t="n">
        <v>2</v>
      </c>
      <c r="J196">
        <f>LN(B196)</f>
        <v>-2.4643706444204474</v>
      </c>
      <c r="K196" s="8" t="n">
        <v>1.5</v>
      </c>
      <c r="L196" s="8" t="n">
        <v>1.2</v>
      </c>
      <c r="M196" s="8" t="n">
        <v>1.5</v>
      </c>
      <c r="N196" s="8" t="n">
        <v>1.1</v>
      </c>
      <c r="O196" s="8" t="n">
        <v>2</v>
      </c>
      <c r="P196" s="8" t="n">
        <v>1.2</v>
      </c>
      <c r="Q196" t="n">
        <v>1.05</v>
      </c>
      <c r="R196">
        <f>LN(SQRT(EXP(
SQRT(
+POWER(LN(K196),2)
+POWER(LN(L196),2)
+POWER(LN(M196),2)
+POWER(LN(N196),2)
+POWER(LN(O196),2)
+POWER(LN(P196),2)
+POWER(LN(Q196),2)
)
)))</f>
        <v>0.47095746419981693</v>
      </c>
    </row>
    <row r="197" ht="16" customHeight="1">
      <c r="A197" t="inlineStr">
        <is>
          <t>market for compressed air, 1000 kPa gauge</t>
        </is>
      </c>
      <c r="B197" s="4" t="n">
        <v>0.002</v>
      </c>
      <c r="C197" t="inlineStr">
        <is>
          <t>RER</t>
        </is>
      </c>
      <c r="D197" t="inlineStr">
        <is>
          <t>cubic meter</t>
        </is>
      </c>
      <c r="E197" s="12" t="n"/>
      <c r="F197" t="inlineStr">
        <is>
          <t>technosphere</t>
        </is>
      </c>
      <c r="G197" t="inlineStr">
        <is>
          <t>compressed air, 1000 kPa gauge</t>
        </is>
      </c>
      <c r="H197" s="12" t="n"/>
      <c r="I197" s="12" t="n">
        <v>2</v>
      </c>
      <c r="J197">
        <f>LN(B197)</f>
        <v>-6.2146080984221914</v>
      </c>
      <c r="K197" s="8" t="n">
        <v>1.5</v>
      </c>
      <c r="L197" s="8" t="n">
        <v>1.2</v>
      </c>
      <c r="M197" s="8" t="n">
        <v>1.5</v>
      </c>
      <c r="N197" s="8" t="n">
        <v>1.1</v>
      </c>
      <c r="O197" s="8" t="n">
        <v>2</v>
      </c>
      <c r="P197" s="8" t="n">
        <v>1.2</v>
      </c>
      <c r="Q197" t="n">
        <v>1.05</v>
      </c>
      <c r="R197">
        <f>LN(SQRT(EXP(
SQRT(
+POWER(LN(K197),2)
+POWER(LN(L197),2)
+POWER(LN(M197),2)
+POWER(LN(N197),2)
+POWER(LN(O197),2)
+POWER(LN(P197),2)
+POWER(LN(Q197),2)
)
)))</f>
        <v>0.47095746419981693</v>
      </c>
    </row>
    <row r="198" ht="16" customHeight="1">
      <c r="A198" t="inlineStr">
        <is>
          <t>market group for electricity, low voltage</t>
        </is>
      </c>
      <c r="B198" s="6" t="n">
        <v>0.02226</v>
      </c>
      <c r="C198" t="inlineStr">
        <is>
          <t>RER</t>
        </is>
      </c>
      <c r="D198" t="inlineStr">
        <is>
          <t>kilowatt hour</t>
        </is>
      </c>
      <c r="E198" s="12" t="n"/>
      <c r="F198" t="inlineStr">
        <is>
          <t>technosphere</t>
        </is>
      </c>
      <c r="G198" t="inlineStr">
        <is>
          <t>electricity, low voltage</t>
        </is>
      </c>
      <c r="H198" s="12" t="n"/>
      <c r="I198" s="12" t="n">
        <v>2</v>
      </c>
      <c r="J198">
        <f>LN(B198)</f>
        <v>-3.8049639331347382</v>
      </c>
      <c r="K198" s="8" t="n">
        <v>1.5</v>
      </c>
      <c r="L198" s="8" t="n">
        <v>1.2</v>
      </c>
      <c r="M198" s="8" t="n">
        <v>1.5</v>
      </c>
      <c r="N198" s="8" t="n">
        <v>1.1</v>
      </c>
      <c r="O198" s="8" t="n">
        <v>2</v>
      </c>
      <c r="P198" s="8" t="n">
        <v>1.2</v>
      </c>
      <c r="Q198" t="n">
        <v>1.05</v>
      </c>
      <c r="R198">
        <f>LN(SQRT(EXP(
SQRT(
+POWER(LN(K198),2)
+POWER(LN(L198),2)
+POWER(LN(M198),2)
+POWER(LN(N198),2)
+POWER(LN(O198),2)
+POWER(LN(P198),2)
+POWER(LN(Q198),2)
)
)))</f>
        <v>0.47095746419981693</v>
      </c>
    </row>
    <row r="199" ht="16" customHeight="1">
      <c r="A199" t="inlineStr">
        <is>
          <t>market for epoxy resin, liquid</t>
        </is>
      </c>
      <c r="B199" s="4" t="n">
        <v>0.01015</v>
      </c>
      <c r="C199" t="inlineStr">
        <is>
          <t>RER</t>
        </is>
      </c>
      <c r="D199" t="inlineStr">
        <is>
          <t>kilogram</t>
        </is>
      </c>
      <c r="E199" s="12" t="n"/>
      <c r="F199" t="inlineStr">
        <is>
          <t>technosphere</t>
        </is>
      </c>
      <c r="G199" t="inlineStr">
        <is>
          <t>epoxy resin, liquid</t>
        </is>
      </c>
      <c r="H199" s="12" t="n"/>
      <c r="I199" s="12" t="n">
        <v>2</v>
      </c>
      <c r="J199">
        <f>LN(B199)</f>
        <v>-4.590281573494341</v>
      </c>
      <c r="K199" s="8" t="n">
        <v>1.5</v>
      </c>
      <c r="L199" s="8" t="n">
        <v>1.2</v>
      </c>
      <c r="M199" s="8" t="n">
        <v>1.5</v>
      </c>
      <c r="N199" s="8" t="n">
        <v>1.1</v>
      </c>
      <c r="O199" s="8" t="n">
        <v>2</v>
      </c>
      <c r="P199" s="8" t="n">
        <v>1.2</v>
      </c>
      <c r="Q199" t="n">
        <v>1.05</v>
      </c>
      <c r="R199">
        <f>LN(SQRT(EXP(
SQRT(
+POWER(LN(K199),2)
+POWER(LN(L199),2)
+POWER(LN(M199),2)
+POWER(LN(N199),2)
+POWER(LN(O199),2)
+POWER(LN(P199),2)
+POWER(LN(Q199),2)
)
)))</f>
        <v>0.47095746419981693</v>
      </c>
    </row>
    <row r="200" ht="16" customHeight="1">
      <c r="A200" t="inlineStr">
        <is>
          <t>market for water, deionised</t>
        </is>
      </c>
      <c r="B200" s="4" t="n">
        <v>0.0002505</v>
      </c>
      <c r="C200" t="inlineStr">
        <is>
          <t>Europe without Switzerland</t>
        </is>
      </c>
      <c r="D200" t="inlineStr">
        <is>
          <t>kilogram</t>
        </is>
      </c>
      <c r="E200" s="12" t="n"/>
      <c r="F200" t="inlineStr">
        <is>
          <t>technosphere</t>
        </is>
      </c>
      <c r="G200" t="inlineStr">
        <is>
          <t>water, deionised</t>
        </is>
      </c>
      <c r="H200" s="12" t="n"/>
      <c r="I200" s="12" t="n">
        <v>2</v>
      </c>
      <c r="J200">
        <f>LN(B200)</f>
        <v>-8.2920516374393554</v>
      </c>
      <c r="K200" s="8" t="n">
        <v>1.5</v>
      </c>
      <c r="L200" s="8" t="n">
        <v>1.2</v>
      </c>
      <c r="M200" s="8" t="n">
        <v>1.5</v>
      </c>
      <c r="N200" s="8" t="n">
        <v>1.1</v>
      </c>
      <c r="O200" s="8" t="n">
        <v>2</v>
      </c>
      <c r="P200" s="8" t="n">
        <v>1.2</v>
      </c>
      <c r="Q200" t="n">
        <v>1.05</v>
      </c>
      <c r="R200">
        <f>LN(SQRT(EXP(
SQRT(
+POWER(LN(K200),2)
+POWER(LN(L200),2)
+POWER(LN(M200),2)
+POWER(LN(N200),2)
+POWER(LN(O200),2)
+POWER(LN(P200),2)
+POWER(LN(Q200),2)
)
)))</f>
        <v>0.47095746419981693</v>
      </c>
    </row>
    <row r="201" ht="16" customHeight="1">
      <c r="A201" t="inlineStr">
        <is>
          <t>carbon fiber production, fiber stabilization, carbonization, electrolysis and washing</t>
        </is>
      </c>
      <c r="B201" t="n">
        <v>1.092</v>
      </c>
      <c r="C201" t="inlineStr">
        <is>
          <t>RER</t>
        </is>
      </c>
      <c r="D201" t="inlineStr">
        <is>
          <t>kilogram</t>
        </is>
      </c>
      <c r="E201" s="12" t="n"/>
      <c r="F201" t="inlineStr">
        <is>
          <t>technosphere</t>
        </is>
      </c>
      <c r="G201" t="inlineStr">
        <is>
          <t>carbon fiber, washed</t>
        </is>
      </c>
      <c r="H201" s="12" t="n"/>
      <c r="I201" s="12" t="n">
        <v>2</v>
      </c>
      <c r="J201">
        <f>LN(B201)</f>
        <v>8.8010877322713371E-2</v>
      </c>
      <c r="K201" s="8" t="n">
        <v>1.5</v>
      </c>
      <c r="L201" s="8" t="n">
        <v>1.2</v>
      </c>
      <c r="M201" s="8" t="n">
        <v>1.5</v>
      </c>
      <c r="N201" s="8" t="n">
        <v>1.1</v>
      </c>
      <c r="O201" s="8" t="n">
        <v>2</v>
      </c>
      <c r="P201" s="8" t="n">
        <v>1.2</v>
      </c>
      <c r="Q201" t="n">
        <v>1.05</v>
      </c>
      <c r="R201">
        <f>LN(SQRT(EXP(
SQRT(
+POWER(LN(K201),2)
+POWER(LN(L201),2)
+POWER(LN(M201),2)
+POWER(LN(N201),2)
+POWER(LN(O201),2)
+POWER(LN(P201),2)
+POWER(LN(Q201),2)
)
)))</f>
        <v>0.47095746419981693</v>
      </c>
    </row>
    <row r="202" ht="16" customHeight="1">
      <c r="A202" t="inlineStr">
        <is>
          <t>market group for electricity, low voltage</t>
        </is>
      </c>
      <c r="B202" s="6" t="n">
        <v>0.15</v>
      </c>
      <c r="C202" t="inlineStr">
        <is>
          <t>RER</t>
        </is>
      </c>
      <c r="D202" t="inlineStr">
        <is>
          <t>kilowatt hour</t>
        </is>
      </c>
      <c r="E202" s="12" t="n"/>
      <c r="F202" t="inlineStr">
        <is>
          <t>technosphere</t>
        </is>
      </c>
      <c r="G202" t="inlineStr">
        <is>
          <t>electricity, low voltage</t>
        </is>
      </c>
      <c r="H202" s="12" t="n"/>
      <c r="I202" s="12" t="n">
        <v>2</v>
      </c>
      <c r="J202">
        <f>LN(B202)</f>
        <v>-1.8971199848858813</v>
      </c>
      <c r="K202" s="8" t="n">
        <v>1.5</v>
      </c>
      <c r="L202" s="8" t="n">
        <v>1.2</v>
      </c>
      <c r="M202" s="8" t="n">
        <v>1.5</v>
      </c>
      <c r="N202" s="8" t="n">
        <v>1.1</v>
      </c>
      <c r="O202" s="8" t="n">
        <v>2</v>
      </c>
      <c r="P202" s="8" t="n">
        <v>1.2</v>
      </c>
      <c r="Q202" t="n">
        <v>1.05</v>
      </c>
      <c r="R202">
        <f>LN(SQRT(EXP(
SQRT(
+POWER(LN(K202),2)
+POWER(LN(L202),2)
+POWER(LN(M202),2)
+POWER(LN(N202),2)
+POWER(LN(O202),2)
+POWER(LN(P202),2)
+POWER(LN(Q202),2)
)
)))</f>
        <v>0.47095746419981693</v>
      </c>
    </row>
    <row r="203" ht="16" customHeight="1">
      <c r="A203" t="inlineStr">
        <is>
          <t>market for heat, from steam, in chemical industry</t>
        </is>
      </c>
      <c r="B203" s="5" t="n">
        <v>0.2500200000000001</v>
      </c>
      <c r="C203" t="inlineStr">
        <is>
          <t>RER</t>
        </is>
      </c>
      <c r="D203" t="inlineStr">
        <is>
          <t>megajoule</t>
        </is>
      </c>
      <c r="E203" s="12" t="n"/>
      <c r="F203" t="inlineStr">
        <is>
          <t>technosphere</t>
        </is>
      </c>
      <c r="G203" t="inlineStr">
        <is>
          <t>heat, from steam, in chemical industry</t>
        </is>
      </c>
      <c r="H203" s="12" t="n"/>
      <c r="I203" s="12" t="n">
        <v>2</v>
      </c>
      <c r="J203">
        <f>LN(B203)</f>
        <v>-1.3862143643197193</v>
      </c>
      <c r="K203" s="8" t="n">
        <v>1.5</v>
      </c>
      <c r="L203" s="8" t="n">
        <v>1.2</v>
      </c>
      <c r="M203" s="8" t="n">
        <v>1.5</v>
      </c>
      <c r="N203" s="8" t="n">
        <v>1.1</v>
      </c>
      <c r="O203" s="8" t="n">
        <v>2</v>
      </c>
      <c r="P203" s="8" t="n">
        <v>1.2</v>
      </c>
      <c r="Q203" t="n">
        <v>1.05</v>
      </c>
      <c r="R203">
        <f>LN(SQRT(EXP(
SQRT(
+POWER(LN(K203),2)
+POWER(LN(L203),2)
+POWER(LN(M203),2)
+POWER(LN(N203),2)
+POWER(LN(O203),2)
+POWER(LN(P203),2)
+POWER(LN(Q203),2)
)
)))</f>
        <v>0.47095746419981693</v>
      </c>
    </row>
    <row r="204">
      <c r="K204" s="8" t="n"/>
      <c r="L204" s="8" t="n"/>
      <c r="M204" s="8" t="n"/>
      <c r="N204" s="8" t="n"/>
      <c r="O204" s="8" t="n"/>
      <c r="P204" s="8" t="n"/>
    </row>
    <row r="205" ht="16" customHeight="1">
      <c r="A205" s="1" t="inlineStr">
        <is>
          <t>Activity</t>
        </is>
      </c>
      <c r="B205" s="1" t="inlineStr">
        <is>
          <t>carbon fiber production, weaved, at factory</t>
        </is>
      </c>
      <c r="K205" s="8" t="n"/>
      <c r="L205" s="8" t="n"/>
      <c r="M205" s="8" t="n"/>
      <c r="N205" s="8" t="n"/>
      <c r="O205" s="8" t="n"/>
      <c r="P205" s="8" t="n"/>
    </row>
    <row r="206">
      <c r="A206" t="inlineStr">
        <is>
          <t>comment</t>
        </is>
      </c>
      <c r="B206" t="inlineStr">
        <is>
          <t>1 kg of finished carbon fiber Toray T700 G. Carbon fiber manufacturing. Source: based on Ellringmann et al. (2016), Gill et al. (2016), Mützel (2012).</t>
        </is>
      </c>
      <c r="K206" s="8" t="n"/>
      <c r="L206" s="8" t="n"/>
      <c r="M206" s="8" t="n"/>
      <c r="N206" s="8" t="n"/>
      <c r="O206" s="8" t="n"/>
      <c r="P206" s="8" t="n"/>
    </row>
    <row r="207">
      <c r="A207" t="inlineStr">
        <is>
          <t>source</t>
        </is>
      </c>
      <c r="B207" t="inlineStr">
        <is>
          <t>Benitez A, Wulf C, de Palmenaer A, Lengersdorf M, Röding T, Grube T, et al. Ecological assessment of fuel cell electric vehicles with special focus on type IV carbon fiber hydrogen tank. J Clean Prod 2021;278:123277. https://doi.org/10.1016/j.jclepro.2020.123277.</t>
        </is>
      </c>
      <c r="K207" s="8" t="n"/>
      <c r="L207" s="8" t="n"/>
      <c r="M207" s="8" t="n"/>
      <c r="N207" s="8" t="n"/>
      <c r="O207" s="8" t="n"/>
      <c r="P207" s="8" t="n"/>
    </row>
    <row r="208">
      <c r="A208" t="inlineStr">
        <is>
          <t>location</t>
        </is>
      </c>
      <c r="B208" t="inlineStr">
        <is>
          <t>RER</t>
        </is>
      </c>
      <c r="K208" s="8" t="n"/>
      <c r="L208" s="8" t="n"/>
      <c r="M208" s="8" t="n"/>
      <c r="N208" s="8" t="n"/>
      <c r="O208" s="8" t="n"/>
      <c r="P208" s="8" t="n"/>
    </row>
    <row r="209">
      <c r="A209" t="inlineStr">
        <is>
          <t>Category</t>
        </is>
      </c>
      <c r="B209" s="9" t="inlineStr">
        <is>
          <t>main</t>
        </is>
      </c>
    </row>
    <row r="210">
      <c r="A210" t="inlineStr">
        <is>
          <t>production amount</t>
        </is>
      </c>
      <c r="B210" t="n">
        <v>1</v>
      </c>
      <c r="K210" s="8" t="n"/>
      <c r="L210" s="8" t="n"/>
      <c r="M210" s="8" t="n"/>
      <c r="N210" s="8" t="n"/>
      <c r="O210" s="8" t="n"/>
      <c r="P210" s="8" t="n"/>
    </row>
    <row r="211">
      <c r="A211" t="inlineStr">
        <is>
          <t>reference product</t>
        </is>
      </c>
      <c r="B211" t="inlineStr">
        <is>
          <t>carbon fiber, weaved</t>
        </is>
      </c>
      <c r="K211" s="8" t="n"/>
      <c r="L211" s="8" t="n"/>
      <c r="M211" s="8" t="n"/>
      <c r="N211" s="8" t="n"/>
      <c r="O211" s="8" t="n"/>
      <c r="P211" s="8" t="n"/>
    </row>
    <row r="212">
      <c r="A212" t="inlineStr">
        <is>
          <t>unit</t>
        </is>
      </c>
      <c r="B212" t="inlineStr">
        <is>
          <t>kilogram</t>
        </is>
      </c>
      <c r="K212" s="8" t="n"/>
      <c r="L212" s="8" t="n"/>
      <c r="M212" s="8" t="n"/>
      <c r="N212" s="8" t="n"/>
      <c r="O212" s="8" t="n"/>
      <c r="P212" s="8" t="n"/>
    </row>
    <row r="213" ht="16" customHeight="1">
      <c r="A213" s="1" t="inlineStr">
        <is>
          <t>Exchanges</t>
        </is>
      </c>
      <c r="K213" s="8" t="n"/>
      <c r="L213" s="8" t="n"/>
      <c r="M213" s="8" t="n"/>
      <c r="N213" s="8" t="n"/>
      <c r="O213" s="8" t="n"/>
      <c r="P213" s="8" t="n"/>
    </row>
    <row r="214" ht="16" customHeight="1">
      <c r="A214" s="1" t="inlineStr">
        <is>
          <t>name</t>
        </is>
      </c>
      <c r="B214" s="1" t="inlineStr">
        <is>
          <t>amount</t>
        </is>
      </c>
      <c r="C214" s="1" t="inlineStr">
        <is>
          <t>location</t>
        </is>
      </c>
      <c r="D214" s="1" t="inlineStr">
        <is>
          <t>unit</t>
        </is>
      </c>
      <c r="E214" s="1" t="inlineStr">
        <is>
          <t>categories</t>
        </is>
      </c>
      <c r="F214" s="1" t="inlineStr">
        <is>
          <t>type</t>
        </is>
      </c>
      <c r="G214" s="1" t="inlineStr">
        <is>
          <t>reference product</t>
        </is>
      </c>
      <c r="H214" s="10" t="inlineStr">
        <is>
          <t>comment</t>
        </is>
      </c>
      <c r="I214" s="10" t="inlineStr">
        <is>
          <t>uncertainty type</t>
        </is>
      </c>
      <c r="J214" s="1" t="inlineStr">
        <is>
          <t>loc</t>
        </is>
      </c>
      <c r="K214" s="11" t="inlineStr">
        <is>
          <t>u1</t>
        </is>
      </c>
      <c r="L214" s="11" t="inlineStr">
        <is>
          <t>u2</t>
        </is>
      </c>
      <c r="M214" s="11" t="inlineStr">
        <is>
          <t>u3</t>
        </is>
      </c>
      <c r="N214" s="11" t="inlineStr">
        <is>
          <t>u4</t>
        </is>
      </c>
      <c r="O214" s="11" t="inlineStr">
        <is>
          <t>u5</t>
        </is>
      </c>
      <c r="P214" s="11" t="inlineStr">
        <is>
          <t>u6</t>
        </is>
      </c>
      <c r="Q214" s="1" t="inlineStr">
        <is>
          <t>ub</t>
        </is>
      </c>
      <c r="R214" s="1" t="inlineStr">
        <is>
          <t>scale</t>
        </is>
      </c>
      <c r="S214" s="10" t="inlineStr">
        <is>
          <t>negative</t>
        </is>
      </c>
      <c r="T214" s="1" t="inlineStr">
        <is>
          <t>simapro category</t>
        </is>
      </c>
    </row>
    <row r="215" ht="16" customHeight="1">
      <c r="A215" t="inlineStr">
        <is>
          <t>carbon fiber production, weaved, at factory</t>
        </is>
      </c>
      <c r="B215" t="n">
        <v>1</v>
      </c>
      <c r="C215" t="inlineStr">
        <is>
          <t>RER</t>
        </is>
      </c>
      <c r="D215" t="inlineStr">
        <is>
          <t>kilogram</t>
        </is>
      </c>
      <c r="E215" s="12" t="n"/>
      <c r="F215" t="inlineStr">
        <is>
          <t>production</t>
        </is>
      </c>
      <c r="G215" t="inlineStr">
        <is>
          <t>carbon fiber, weaved</t>
        </is>
      </c>
      <c r="H215" s="12" t="n"/>
      <c r="I215" s="12" t="n"/>
      <c r="K215" s="8" t="n"/>
      <c r="L215" s="8" t="n"/>
      <c r="M215" s="8" t="n"/>
      <c r="N215" s="8" t="n"/>
      <c r="O215" s="8" t="n"/>
      <c r="P215" s="8" t="n"/>
      <c r="T215" t="inlineStr">
        <is>
          <t>Material/Chemicals/Organic</t>
        </is>
      </c>
    </row>
    <row r="216" ht="16" customHeight="1">
      <c r="A216" t="inlineStr">
        <is>
          <t>carbon fiber production, fiber drying and sizing</t>
        </is>
      </c>
      <c r="B216" t="n">
        <v>1</v>
      </c>
      <c r="C216" t="inlineStr">
        <is>
          <t>RER</t>
        </is>
      </c>
      <c r="D216" t="inlineStr">
        <is>
          <t>kilogram</t>
        </is>
      </c>
      <c r="E216" s="12" t="n"/>
      <c r="F216" t="inlineStr">
        <is>
          <t>technosphere</t>
        </is>
      </c>
      <c r="G216" t="inlineStr">
        <is>
          <t>carbon fiber, dried and sized</t>
        </is>
      </c>
      <c r="H216" s="12" t="n"/>
      <c r="I216" s="12" t="n">
        <v>2</v>
      </c>
      <c r="J216">
        <f>LN(B216)</f>
        <v>0</v>
      </c>
      <c r="K216" s="8" t="n">
        <v>1.5</v>
      </c>
      <c r="L216" s="8" t="n">
        <v>1.2</v>
      </c>
      <c r="M216" s="8" t="n">
        <v>1.5</v>
      </c>
      <c r="N216" s="8" t="n">
        <v>1.1</v>
      </c>
      <c r="O216" s="8" t="n">
        <v>2</v>
      </c>
      <c r="P216" s="8" t="n">
        <v>1.2</v>
      </c>
      <c r="Q216" t="n">
        <v>1.05</v>
      </c>
      <c r="R216">
        <f>LN(SQRT(EXP(
SQRT(
+POWER(LN(K216),2)
+POWER(LN(L216),2)
+POWER(LN(M216),2)
+POWER(LN(N216),2)
+POWER(LN(O216),2)
+POWER(LN(P216),2)
+POWER(LN(Q216),2)
)
)))</f>
        <v>0.47095746419981693</v>
      </c>
    </row>
    <row r="217" ht="16" customHeight="1">
      <c r="A217" t="inlineStr">
        <is>
          <t>market for compressed air, 1000 kPa gauge</t>
        </is>
      </c>
      <c r="B217" s="4" t="n">
        <v>0.0585</v>
      </c>
      <c r="C217" t="inlineStr">
        <is>
          <t>RER</t>
        </is>
      </c>
      <c r="D217" t="inlineStr">
        <is>
          <t>cubic meter</t>
        </is>
      </c>
      <c r="E217" s="12" t="n"/>
      <c r="F217" t="inlineStr">
        <is>
          <t>technosphere</t>
        </is>
      </c>
      <c r="G217" t="inlineStr">
        <is>
          <t>compressed air, 1000 kPa gauge</t>
        </is>
      </c>
      <c r="H217" s="12" t="n"/>
      <c r="I217" s="12" t="n">
        <v>2</v>
      </c>
      <c r="J217">
        <f>LN(B217)</f>
        <v>-2.8387285247443264</v>
      </c>
      <c r="K217" s="8" t="n">
        <v>1.5</v>
      </c>
      <c r="L217" s="8" t="n">
        <v>1.2</v>
      </c>
      <c r="M217" s="8" t="n">
        <v>1.5</v>
      </c>
      <c r="N217" s="8" t="n">
        <v>1.1</v>
      </c>
      <c r="O217" s="8" t="n">
        <v>2</v>
      </c>
      <c r="P217" s="8" t="n">
        <v>1.2</v>
      </c>
      <c r="Q217" t="n">
        <v>1.05</v>
      </c>
      <c r="R217">
        <f>LN(SQRT(EXP(
SQRT(
+POWER(LN(K217),2)
+POWER(LN(L217),2)
+POWER(LN(M217),2)
+POWER(LN(N217),2)
+POWER(LN(O217),2)
+POWER(LN(P217),2)
+POWER(LN(Q217),2)
)
)))</f>
        <v>0.47095746419981693</v>
      </c>
    </row>
    <row r="218" ht="16" customHeight="1">
      <c r="A218" t="inlineStr">
        <is>
          <t>market group for electricity, low voltage</t>
        </is>
      </c>
      <c r="B218" s="6" t="n">
        <v>0.52</v>
      </c>
      <c r="C218" t="inlineStr">
        <is>
          <t>RER</t>
        </is>
      </c>
      <c r="D218" t="inlineStr">
        <is>
          <t>kilowatt hour</t>
        </is>
      </c>
      <c r="E218" s="12" t="n"/>
      <c r="F218" t="inlineStr">
        <is>
          <t>technosphere</t>
        </is>
      </c>
      <c r="G218" t="inlineStr">
        <is>
          <t>electricity, low voltage</t>
        </is>
      </c>
      <c r="H218" s="12" t="n"/>
      <c r="I218" s="12" t="n">
        <v>2</v>
      </c>
      <c r="J218">
        <f>LN(B218)</f>
        <v>-0.65392646740666394</v>
      </c>
      <c r="K218" s="8" t="n">
        <v>1.5</v>
      </c>
      <c r="L218" s="8" t="n">
        <v>1.2</v>
      </c>
      <c r="M218" s="8" t="n">
        <v>1.5</v>
      </c>
      <c r="N218" s="8" t="n">
        <v>1.1</v>
      </c>
      <c r="O218" s="8" t="n">
        <v>2</v>
      </c>
      <c r="P218" s="8" t="n">
        <v>1.2</v>
      </c>
      <c r="Q218" t="n">
        <v>1.05</v>
      </c>
      <c r="R218">
        <f>LN(SQRT(EXP(
SQRT(
+POWER(LN(K218),2)
+POWER(LN(L218),2)
+POWER(LN(M218),2)
+POWER(LN(N218),2)
+POWER(LN(O218),2)
+POWER(LN(P218),2)
+POWER(LN(Q218),2)
)
)))</f>
        <v>0.47095746419981693</v>
      </c>
    </row>
    <row r="219">
      <c r="K219" s="8" t="n"/>
      <c r="L219" s="8" t="n"/>
      <c r="M219" s="8" t="n"/>
      <c r="N219" s="8" t="n"/>
      <c r="O219" s="8" t="n"/>
      <c r="P219" s="8" t="n"/>
    </row>
  </sheetData>
  <autoFilter ref="A1:L36"/>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Sacchi Romain</dc:creator>
  <dcterms:created xmlns:dcterms="http://purl.org/dc/terms/" xmlns:xsi="http://www.w3.org/2001/XMLSchema-instance" xsi:type="dcterms:W3CDTF">2021-05-07T09:52:59Z</dcterms:created>
  <dcterms:modified xmlns:dcterms="http://purl.org/dc/terms/" xmlns:xsi="http://www.w3.org/2001/XMLSchema-instance" xsi:type="dcterms:W3CDTF">2026-07-07T14:16:28Z</dcterms:modified>
  <cp:lastModifiedBy>Romain Sacchi</cp:lastModifiedBy>
</cp:coreProperties>
</file>