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0" yWindow="760" windowWidth="28080" windowHeight="18680" tabRatio="600" firstSheet="0" activeTab="0" autoFilterDateGrouping="1"/>
  </bookViews>
  <sheets>
    <sheet xmlns:r="http://schemas.openxmlformats.org/officeDocument/2006/relationships" name="cew_02102023" sheetId="1" state="visible" r:id="rId1"/>
  </sheets>
  <definedNames>
    <definedName name="_xlnm._FilterDatabase" localSheetId="0" hidden="1">'cew_02102023'!$A$1:$H$15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color rgb="FF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tc={3AE112DA-516A-0042-8121-7D817EFF2480}</author>
  </authors>
  <commentList>
    <comment ref="B1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Maria, can you check again quick this value? This is dominating human health impacts.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tabSelected="1" workbookViewId="0">
      <selection activeCell="I21" sqref="I21"/>
    </sheetView>
  </sheetViews>
  <sheetFormatPr baseColWidth="10" defaultColWidth="8.83203125" defaultRowHeight="15"/>
  <cols>
    <col width="41.6640625" customWidth="1" min="1" max="1"/>
  </cols>
  <sheetData>
    <row r="1" ht="16" customHeight="1">
      <c r="A1" s="1" t="inlineStr">
        <is>
          <t>Database</t>
        </is>
      </c>
      <c r="B1" s="1" t="inlineStr">
        <is>
          <t>cew_02102023</t>
        </is>
      </c>
    </row>
    <row r="3" ht="16" customHeight="1">
      <c r="A3" s="1" t="inlineStr">
        <is>
          <t>Activity</t>
        </is>
      </c>
      <c r="B3" s="1" t="inlineStr">
        <is>
          <t>carbon dioxide, captured and stored, by olivine spreading on coastline</t>
        </is>
      </c>
    </row>
    <row r="4">
      <c r="A4" t="inlineStr">
        <is>
          <t>comment</t>
        </is>
      </c>
      <c r="B4" t="inlineStr">
        <is>
          <t>This dataset represents the spreading of 1 kilogram of crushed olivine to the coastal area. The crushed olivine is loaded in trucks and transported for an average of 50 km to the coastline to be spread using a lime spreader. The authors assume olivine to be spread on the dry beach width using standard lime-spreading equipment. They provide a unit in tonnes. In ecoinvent, though, the lime spreader is expressed in hectares. Therefore  we use a solid manure hydraulic spreader as a proxy technology expressed in kilograms, which has the very same technosphere and biosphere flows as the lime spreader. Source: Foteinis, S., Campbell, J. S., &amp; Renforth, P. (2023). Life Cycle Assessment of Coastal Enhanced Weathering for Carbon Dioxide Removal from Air. Environmental Science and Technology, 57(15), 6169–6178. https://doi.org/10.1021/acs.est.2c08633 Nickel release is split into 26% immediate ocean release and 74% delayed long-term release based on Foteinis et al. (2023) reporting about 26% dissolution of silt-sized (10 um) olivine in the early period; Montserrat et al. (2017) supports non-instantaneous/non-stoichiometric release in seawater. Total Ni remains 1.25 kg olivine per kg CO2 * 0.263 wt.% Ni = 0.00329 kg Ni/kg CO2. The delayed share is assigned to the available biosphere3 long-term water compartment because biosphere3 has no ocean-specific long-term Nickel II flow.</t>
        </is>
      </c>
    </row>
    <row r="5">
      <c r="A5" t="inlineStr">
        <is>
          <t>location</t>
        </is>
      </c>
      <c r="B5" t="inlineStr">
        <is>
          <t>RER</t>
        </is>
      </c>
    </row>
    <row r="6">
      <c r="A6" t="inlineStr">
        <is>
          <t>reference product</t>
        </is>
      </c>
      <c r="B6" t="inlineStr">
        <is>
          <t>carbon dioxide, captured</t>
        </is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kilogram</t>
        </is>
      </c>
    </row>
    <row r="9" ht="16" customHeight="1">
      <c r="A9" s="1" t="inlineStr">
        <is>
          <t>Exchanges</t>
        </is>
      </c>
    </row>
    <row r="10" customFormat="1" s="2">
      <c r="A10" s="2" t="inlineStr">
        <is>
          <t>name</t>
        </is>
      </c>
      <c r="B10" s="2" t="inlineStr">
        <is>
          <t>amount</t>
        </is>
      </c>
      <c r="C10" s="2" t="inlineStr">
        <is>
          <t>database</t>
        </is>
      </c>
      <c r="D10" s="2" t="inlineStr">
        <is>
          <t>location</t>
        </is>
      </c>
      <c r="E10" s="2" t="inlineStr">
        <is>
          <t>unit</t>
        </is>
      </c>
      <c r="F10" s="2" t="inlineStr">
        <is>
          <t>categories</t>
        </is>
      </c>
      <c r="G10" s="2" t="inlineStr">
        <is>
          <t>type</t>
        </is>
      </c>
      <c r="H10" s="2" t="inlineStr">
        <is>
          <t>reference product</t>
        </is>
      </c>
      <c r="I10" t="inlineStr">
        <is>
          <t>comment</t>
        </is>
      </c>
    </row>
    <row r="11">
      <c r="A11">
        <f>B3</f>
        <v/>
      </c>
      <c r="B11" t="n">
        <v>1</v>
      </c>
      <c r="C11" t="inlineStr">
        <is>
          <t>cew_02102023</t>
        </is>
      </c>
      <c r="D11" t="inlineStr">
        <is>
          <t>RER</t>
        </is>
      </c>
      <c r="E11" t="inlineStr">
        <is>
          <t>kilogram</t>
        </is>
      </c>
      <c r="G11" t="inlineStr">
        <is>
          <t>production</t>
        </is>
      </c>
      <c r="H11">
        <f>B6</f>
        <v/>
      </c>
    </row>
    <row r="12">
      <c r="A12" t="inlineStr">
        <is>
          <t>market for diesel, burned in agricultural machinery</t>
        </is>
      </c>
      <c r="B12" t="n">
        <v>0.007163999999999999</v>
      </c>
      <c r="C12" t="inlineStr">
        <is>
          <t>cutoff391</t>
        </is>
      </c>
      <c r="D12" t="inlineStr">
        <is>
          <t>GLO</t>
        </is>
      </c>
      <c r="E12" t="inlineStr">
        <is>
          <t>megajoule</t>
        </is>
      </c>
      <c r="G12" t="inlineStr">
        <is>
          <t>technosphere</t>
        </is>
      </c>
      <c r="H12" t="inlineStr">
        <is>
          <t>diesel, burned in agricultural machinery</t>
        </is>
      </c>
    </row>
    <row r="13">
      <c r="A13" t="inlineStr">
        <is>
          <t>market for solid manure loading and spreading, by hydraulic loader and spreader</t>
        </is>
      </c>
      <c r="B13" t="n">
        <v>1.25</v>
      </c>
      <c r="C13" t="inlineStr">
        <is>
          <t>cutoff391</t>
        </is>
      </c>
      <c r="D13" t="inlineStr">
        <is>
          <t>GLO</t>
        </is>
      </c>
      <c r="E13" t="inlineStr">
        <is>
          <t>kilogram</t>
        </is>
      </c>
      <c r="G13" t="inlineStr">
        <is>
          <t>technosphere</t>
        </is>
      </c>
      <c r="H13" t="inlineStr">
        <is>
          <t>solid manure loading and spreading, by hydraulic loader and spreader</t>
        </is>
      </c>
    </row>
    <row r="14">
      <c r="A14" t="inlineStr">
        <is>
          <t>market for transport, freight, lorry &gt;32 metric ton, EURO6</t>
        </is>
      </c>
      <c r="B14" t="n">
        <v>0.0625</v>
      </c>
      <c r="C14" t="inlineStr">
        <is>
          <t>cutoff391</t>
        </is>
      </c>
      <c r="D14" t="inlineStr">
        <is>
          <t>RER</t>
        </is>
      </c>
      <c r="E14" t="inlineStr">
        <is>
          <t>ton kilometer</t>
        </is>
      </c>
      <c r="G14" t="inlineStr">
        <is>
          <t>technosphere</t>
        </is>
      </c>
      <c r="H14" t="inlineStr">
        <is>
          <t>transport, freight, lorry &gt;32 metric ton, EURO6</t>
        </is>
      </c>
    </row>
    <row r="15">
      <c r="A15" t="inlineStr">
        <is>
          <t>Nickel II</t>
        </is>
      </c>
      <c r="B15" t="n">
        <v>0.0008553999999999999</v>
      </c>
      <c r="C15" t="inlineStr">
        <is>
          <t>biosphere3</t>
        </is>
      </c>
      <c r="E15" t="inlineStr">
        <is>
          <t>kilogram</t>
        </is>
      </c>
      <c r="F15" t="inlineStr">
        <is>
          <t>water::ocean</t>
        </is>
      </c>
      <c r="G15" t="inlineStr">
        <is>
          <t>biosphere</t>
        </is>
      </c>
      <c r="I15" t="inlineStr">
        <is>
          <t>Immediate Ni release: 26% of total 0.00329 kg Ni/kg CO2 = 0.0008554 kg Ni/kg CO2, emitted as Nickel II to ocean. Split based on Foteinis et al. (2023) early dissolution fraction for 10 um olivine; total Ni content from 1.25 kg olivine/kg CO2 and 0.263 wt.% Ni.</t>
        </is>
      </c>
    </row>
    <row r="16">
      <c r="A16" t="inlineStr">
        <is>
          <t>Nickel II</t>
        </is>
      </c>
      <c r="B16" t="n">
        <v>0.002434599999999999</v>
      </c>
      <c r="C16" t="inlineStr">
        <is>
          <t>biosphere3</t>
        </is>
      </c>
      <c r="E16" t="inlineStr">
        <is>
          <t>kilogram</t>
        </is>
      </c>
      <c r="F16" t="inlineStr">
        <is>
          <t>water::ground-, long-term</t>
        </is>
      </c>
      <c r="G16" t="inlineStr">
        <is>
          <t>biosphere</t>
        </is>
      </c>
      <c r="I16" t="inlineStr">
        <is>
          <t>Delayed Ni release: 74% of total 0.00329 kg Ni/kg CO2 = 0.0024346 kg Ni/kg CO2. Assigned to the available long-term water compartment to represent delayed release beyond the short-term LCIA horizon; biosphere3 does not provide an ocean-specific long-term Nickel II flow.</t>
        </is>
      </c>
    </row>
    <row r="17">
      <c r="A17" t="inlineStr">
        <is>
          <t>Carbon dioxide, in air</t>
        </is>
      </c>
      <c r="B17" t="n">
        <v>1</v>
      </c>
      <c r="C17" t="inlineStr">
        <is>
          <t>biosphere3</t>
        </is>
      </c>
      <c r="E17" t="inlineStr">
        <is>
          <t>kilogram</t>
        </is>
      </c>
      <c r="F17" t="inlineStr">
        <is>
          <t>natural resource::in air</t>
        </is>
      </c>
      <c r="G17" t="inlineStr">
        <is>
          <t>biosphere</t>
        </is>
      </c>
    </row>
    <row r="18">
      <c r="A18" t="inlineStr">
        <is>
          <t>market for transport, freight, lorry &gt;32 metric ton, EURO3</t>
        </is>
      </c>
      <c r="B18" t="n">
        <v>0.0125</v>
      </c>
      <c r="C18" t="inlineStr">
        <is>
          <t>cutoff391</t>
        </is>
      </c>
      <c r="D18" t="inlineStr">
        <is>
          <t>RoW</t>
        </is>
      </c>
      <c r="E18" t="inlineStr">
        <is>
          <t>ton kilometer</t>
        </is>
      </c>
      <c r="G18" t="inlineStr">
        <is>
          <t>technosphere</t>
        </is>
      </c>
      <c r="H18" t="inlineStr">
        <is>
          <t>transport, freight, lorry &gt;32 metric ton, EURO3</t>
        </is>
      </c>
    </row>
    <row r="19">
      <c r="A19" t="inlineStr">
        <is>
          <t>market group for electricity, low voltage</t>
        </is>
      </c>
      <c r="B19" t="n">
        <v>0.09306999999999999</v>
      </c>
      <c r="C19" t="inlineStr">
        <is>
          <t>cutoff391</t>
        </is>
      </c>
      <c r="D19" t="inlineStr">
        <is>
          <t>RER</t>
        </is>
      </c>
      <c r="E19" t="inlineStr">
        <is>
          <t>kilowatt hour</t>
        </is>
      </c>
      <c r="G19" t="inlineStr">
        <is>
          <t>technosphere</t>
        </is>
      </c>
      <c r="H19" t="inlineStr">
        <is>
          <t>electricity, low voltage</t>
        </is>
      </c>
    </row>
    <row r="20">
      <c r="A20" t="inlineStr">
        <is>
          <t>Water, well, in ground</t>
        </is>
      </c>
      <c r="B20" t="n">
        <v>0.000407</v>
      </c>
      <c r="C20" t="inlineStr">
        <is>
          <t>biosphere3</t>
        </is>
      </c>
      <c r="E20" t="inlineStr">
        <is>
          <t>cubic meter</t>
        </is>
      </c>
      <c r="F20" t="inlineStr">
        <is>
          <t>natural resource::in water</t>
        </is>
      </c>
      <c r="G20" t="inlineStr">
        <is>
          <t>biosphere</t>
        </is>
      </c>
    </row>
    <row r="21">
      <c r="A21" t="inlineStr">
        <is>
          <t>diesel, burned in agricultural machinery</t>
        </is>
      </c>
      <c r="B21" t="n">
        <v>0.017433464</v>
      </c>
      <c r="C21" t="inlineStr">
        <is>
          <t>cutoff391</t>
        </is>
      </c>
      <c r="D21" t="inlineStr">
        <is>
          <t>GLO</t>
        </is>
      </c>
      <c r="E21" t="inlineStr">
        <is>
          <t>megajoule</t>
        </is>
      </c>
      <c r="G21" t="inlineStr">
        <is>
          <t>technosphere</t>
        </is>
      </c>
      <c r="H21" t="inlineStr">
        <is>
          <t>diesel, burned in agricultural machinery</t>
        </is>
      </c>
    </row>
    <row r="22">
      <c r="A22" t="inlineStr">
        <is>
          <t>gravel/sand quarry construction</t>
        </is>
      </c>
      <c r="B22" t="n">
        <v>5e-11</v>
      </c>
      <c r="C22" t="inlineStr">
        <is>
          <t>cutoff391</t>
        </is>
      </c>
      <c r="D22" t="inlineStr">
        <is>
          <t>RoW</t>
        </is>
      </c>
      <c r="E22" t="inlineStr">
        <is>
          <t>unit</t>
        </is>
      </c>
      <c r="G22" t="inlineStr">
        <is>
          <t>technosphere</t>
        </is>
      </c>
      <c r="H22" t="inlineStr">
        <is>
          <t>gravel/sand quarry infrastructure</t>
        </is>
      </c>
    </row>
    <row r="23">
      <c r="A23" t="inlineStr">
        <is>
          <t>market for explosive, tovex</t>
        </is>
      </c>
      <c r="B23" t="n">
        <v>0.000181</v>
      </c>
      <c r="C23" t="inlineStr">
        <is>
          <t>cutoff391</t>
        </is>
      </c>
      <c r="D23" t="inlineStr">
        <is>
          <t>GLO</t>
        </is>
      </c>
      <c r="E23" t="inlineStr">
        <is>
          <t>kilogram</t>
        </is>
      </c>
      <c r="G23" t="inlineStr">
        <is>
          <t>technosphere</t>
        </is>
      </c>
      <c r="H23" t="inlineStr">
        <is>
          <t>explosive, tovex</t>
        </is>
      </c>
    </row>
    <row r="24">
      <c r="A24" t="inlineStr">
        <is>
          <t>market for lubricating oil</t>
        </is>
      </c>
      <c r="B24" t="n">
        <v>2.19e-06</v>
      </c>
      <c r="C24" t="inlineStr">
        <is>
          <t>cutoff391</t>
        </is>
      </c>
      <c r="D24" t="inlineStr">
        <is>
          <t>RER</t>
        </is>
      </c>
      <c r="E24" t="inlineStr">
        <is>
          <t>kilogram</t>
        </is>
      </c>
      <c r="G24" t="inlineStr">
        <is>
          <t>technosphere</t>
        </is>
      </c>
      <c r="H24" t="inlineStr">
        <is>
          <t>lubricating oil</t>
        </is>
      </c>
    </row>
    <row r="25">
      <c r="A25" t="inlineStr">
        <is>
          <t>market for transport, freight, lorry &gt;32 metric ton, EURO5</t>
        </is>
      </c>
      <c r="B25" t="n">
        <v>0.00103</v>
      </c>
      <c r="C25" t="inlineStr">
        <is>
          <t>cutoff391</t>
        </is>
      </c>
      <c r="D25" t="inlineStr">
        <is>
          <t>RER</t>
        </is>
      </c>
      <c r="E25" t="inlineStr">
        <is>
          <t>ton kilometer</t>
        </is>
      </c>
      <c r="G25" t="inlineStr">
        <is>
          <t>technosphere</t>
        </is>
      </c>
      <c r="H25" t="inlineStr">
        <is>
          <t>transport, freight, lorry &gt;32 metric ton, EURO5</t>
        </is>
      </c>
    </row>
    <row r="26">
      <c r="A26" t="inlineStr">
        <is>
          <t>market group for electricity, medium voltage</t>
        </is>
      </c>
      <c r="B26" t="n">
        <v>5.0605e-05</v>
      </c>
      <c r="C26" t="inlineStr">
        <is>
          <t>cutoff391</t>
        </is>
      </c>
      <c r="D26" t="inlineStr">
        <is>
          <t>RER</t>
        </is>
      </c>
      <c r="E26" t="inlineStr">
        <is>
          <t>kilowatt hour</t>
        </is>
      </c>
      <c r="G26" t="inlineStr">
        <is>
          <t>technosphere</t>
        </is>
      </c>
      <c r="H26" t="inlineStr">
        <is>
          <t>electricity, medium voltage</t>
        </is>
      </c>
    </row>
    <row r="27">
      <c r="A27" t="inlineStr">
        <is>
          <t>Olivine</t>
        </is>
      </c>
      <c r="B27" t="n">
        <v>1.25</v>
      </c>
      <c r="C27" t="inlineStr">
        <is>
          <t>biosphere3</t>
        </is>
      </c>
      <c r="E27" t="inlineStr">
        <is>
          <t>kilogram</t>
        </is>
      </c>
      <c r="F27" t="inlineStr">
        <is>
          <t>natural resource::in ground</t>
        </is>
      </c>
      <c r="G27" t="inlineStr">
        <is>
          <t>biosphere</t>
        </is>
      </c>
    </row>
    <row r="28">
      <c r="A28" t="inlineStr">
        <is>
          <t>Occupation, mineral extraction site</t>
        </is>
      </c>
      <c r="B28" t="n">
        <v>9.999999999999999e-06</v>
      </c>
      <c r="C28" t="inlineStr">
        <is>
          <t>biosphere3</t>
        </is>
      </c>
      <c r="E28" t="inlineStr">
        <is>
          <t>square meter-year</t>
        </is>
      </c>
      <c r="F28" t="inlineStr">
        <is>
          <t>natural resource::land</t>
        </is>
      </c>
      <c r="G28" t="inlineStr">
        <is>
          <t>biosphere</t>
        </is>
      </c>
    </row>
    <row r="29">
      <c r="A29" t="inlineStr">
        <is>
          <t>Transformation, from forest, unspecified</t>
        </is>
      </c>
      <c r="B29" t="n">
        <v>0.00025</v>
      </c>
      <c r="C29" t="inlineStr">
        <is>
          <t>biosphere3</t>
        </is>
      </c>
      <c r="E29" t="inlineStr">
        <is>
          <t>square meter</t>
        </is>
      </c>
      <c r="F29" t="inlineStr">
        <is>
          <t>natural resource::land</t>
        </is>
      </c>
      <c r="G29" t="inlineStr">
        <is>
          <t>biosphere</t>
        </is>
      </c>
    </row>
    <row r="30">
      <c r="A30" t="inlineStr">
        <is>
          <t>Transformation, from grassland, natural (non-use)</t>
        </is>
      </c>
      <c r="B30" t="n">
        <v>0.00025</v>
      </c>
      <c r="C30" t="inlineStr">
        <is>
          <t>biosphere3</t>
        </is>
      </c>
      <c r="E30" t="inlineStr">
        <is>
          <t>square meter</t>
        </is>
      </c>
      <c r="F30" t="inlineStr">
        <is>
          <t>natural resource::land</t>
        </is>
      </c>
      <c r="G30" t="inlineStr">
        <is>
          <t>biosphere</t>
        </is>
      </c>
    </row>
    <row r="31">
      <c r="A31" t="inlineStr">
        <is>
          <t>Transformation, to mineral extraction site</t>
        </is>
      </c>
      <c r="B31" t="n">
        <v>0.0005</v>
      </c>
      <c r="C31" t="inlineStr">
        <is>
          <t>biosphere3</t>
        </is>
      </c>
      <c r="E31" t="inlineStr">
        <is>
          <t>square meter</t>
        </is>
      </c>
      <c r="F31" t="inlineStr">
        <is>
          <t>natural resource::land</t>
        </is>
      </c>
      <c r="G31" t="inlineStr">
        <is>
          <t>biosphere</t>
        </is>
      </c>
    </row>
    <row r="32">
      <c r="A32" t="inlineStr">
        <is>
          <t>Water, well, in ground</t>
        </is>
      </c>
      <c r="B32" t="n">
        <v>8.912e-05</v>
      </c>
      <c r="C32" t="inlineStr">
        <is>
          <t>biosphere3</t>
        </is>
      </c>
      <c r="E32" t="inlineStr">
        <is>
          <t>cubic meter</t>
        </is>
      </c>
      <c r="F32" t="inlineStr">
        <is>
          <t>natural resource::in water</t>
        </is>
      </c>
      <c r="G32" t="inlineStr">
        <is>
          <t>biosphere</t>
        </is>
      </c>
    </row>
  </sheetData>
  <autoFilter ref="A1:H15"/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2024-12-03T13:31:14Z</dcterms:created>
  <dcterms:modified xmlns:dcterms="http://purl.org/dc/terms/" xmlns:xsi="http://www.w3.org/2001/XMLSchema-instance" xsi:type="dcterms:W3CDTF">2026-07-02T05:42:37Z</dcterms:modified>
  <cp:lastModifiedBy>Romain Sacchi</cp:lastModifiedBy>
</cp:coreProperties>
</file>