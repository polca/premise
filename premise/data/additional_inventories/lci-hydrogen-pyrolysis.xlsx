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3180" windowHeight="21260" tabRatio="600" firstSheet="0" activeTab="0" autoFilterDateGrouping="1"/>
  </bookViews>
  <sheets>
    <sheet xmlns:r="http://schemas.openxmlformats.org/officeDocument/2006/relationships" name="lci" sheetId="1" state="visible" r:id="rId1"/>
  </sheets>
  <definedNames/>
  <calcPr calcId="191029" fullCalcOnLoad="1"/>
</workbook>
</file>

<file path=xl/styles.xml><?xml version="1.0" encoding="utf-8"?>
<styleSheet xmlns="http://schemas.openxmlformats.org/spreadsheetml/2006/main">
  <numFmts count="1">
    <numFmt numFmtId="164" formatCode="0.0000000"/>
  </numFmts>
  <fonts count="9">
    <font>
      <name val="Calibri"/>
      <family val="2"/>
      <color theme="1"/>
      <sz val="11"/>
      <scheme val="minor"/>
    </font>
    <font>
      <name val="Calibri"/>
      <family val="2"/>
      <color theme="1"/>
      <sz val="11"/>
      <scheme val="minor"/>
    </font>
    <font>
      <name val="Calibri"/>
      <family val="2"/>
      <b val="1"/>
      <color theme="1"/>
      <sz val="11"/>
      <scheme val="minor"/>
    </font>
    <font>
      <name val="Arial"/>
      <family val="2"/>
      <color theme="1"/>
      <sz val="10"/>
    </font>
    <font>
      <name val="Calibri"/>
      <family val="2"/>
      <color rgb="FF9C5700"/>
      <sz val="11"/>
      <scheme val="minor"/>
    </font>
    <font>
      <name val="Calibri"/>
      <family val="2"/>
      <b val="1"/>
      <color theme="1"/>
      <sz val="12"/>
      <scheme val="minor"/>
    </font>
    <font>
      <name val="Calibri (Body)"/>
      <b val="1"/>
      <sz val="12"/>
    </font>
    <font>
      <name val="Calibri (Body)"/>
      <sz val="12"/>
    </font>
    <font>
      <name val="Calibri"/>
      <family val="2"/>
      <sz val="12"/>
      <scheme val="minor"/>
    </font>
  </fonts>
  <fills count="3">
    <fill>
      <patternFill/>
    </fill>
    <fill>
      <patternFill patternType="gray125"/>
    </fill>
    <fill>
      <patternFill patternType="solid">
        <fgColor rgb="FFFFEB9C"/>
      </patternFill>
    </fill>
  </fills>
  <borders count="2">
    <border>
      <left/>
      <right/>
      <top/>
      <bottom/>
      <diagonal/>
    </border>
    <border>
      <left/>
      <right style="thin">
        <color indexed="64"/>
      </right>
      <top/>
      <bottom/>
      <diagonal/>
    </border>
  </borders>
  <cellStyleXfs count="6">
    <xf numFmtId="0" fontId="1" fillId="0" borderId="0"/>
    <xf numFmtId="0" fontId="1" fillId="0" borderId="0"/>
    <xf numFmtId="0" fontId="1" fillId="0" borderId="0"/>
    <xf numFmtId="0" fontId="3" fillId="0" borderId="0"/>
    <xf numFmtId="0" fontId="4" fillId="2" borderId="0"/>
    <xf numFmtId="9" fontId="1" fillId="0" borderId="0"/>
  </cellStyleXfs>
  <cellXfs count="34">
    <xf numFmtId="0" fontId="0" fillId="0" borderId="0" pivotButton="0" quotePrefix="0" xfId="0"/>
    <xf numFmtId="0" fontId="2" fillId="0" borderId="0" pivotButton="0" quotePrefix="0" xfId="1"/>
    <xf numFmtId="0" fontId="1" fillId="0" borderId="0" pivotButton="0" quotePrefix="0" xfId="1"/>
    <xf numFmtId="0" fontId="1" fillId="0" borderId="0" pivotButton="0" quotePrefix="0" xfId="0"/>
    <xf numFmtId="11" fontId="0" fillId="0" borderId="0" pivotButton="0" quotePrefix="0" xfId="0"/>
    <xf numFmtId="0" fontId="0" fillId="0" borderId="1" pivotButton="0" quotePrefix="0" xfId="0"/>
    <xf numFmtId="0" fontId="1" fillId="0" borderId="1" pivotButton="0" quotePrefix="0" xfId="1"/>
    <xf numFmtId="11" fontId="2" fillId="0" borderId="0" pivotButton="0" quotePrefix="0" xfId="1"/>
    <xf numFmtId="0" fontId="5" fillId="0" borderId="0" pivotButton="0" quotePrefix="0" xfId="0"/>
    <xf numFmtId="0" fontId="6" fillId="0" borderId="0" pivotButton="0" quotePrefix="0" xfId="1"/>
    <xf numFmtId="11" fontId="6" fillId="0" borderId="0" pivotButton="0" quotePrefix="0" xfId="0"/>
    <xf numFmtId="0" fontId="7" fillId="0" borderId="0" pivotButton="0" quotePrefix="0" xfId="2"/>
    <xf numFmtId="0" fontId="7" fillId="0" borderId="0" pivotButton="0" quotePrefix="0" xfId="0"/>
    <xf numFmtId="2" fontId="7" fillId="0" borderId="0" pivotButton="0" quotePrefix="0" xfId="0"/>
    <xf numFmtId="0" fontId="7" fillId="0" borderId="0" pivotButton="0" quotePrefix="0" xfId="1"/>
    <xf numFmtId="11" fontId="7" fillId="0" borderId="0" applyAlignment="1" pivotButton="0" quotePrefix="0" xfId="1">
      <alignment horizontal="left"/>
    </xf>
    <xf numFmtId="11" fontId="7" fillId="0" borderId="0" pivotButton="0" quotePrefix="0" xfId="4"/>
    <xf numFmtId="11" fontId="7" fillId="0" borderId="0" pivotButton="0" quotePrefix="0" xfId="0"/>
    <xf numFmtId="0" fontId="6" fillId="0" borderId="0" pivotButton="0" quotePrefix="0" xfId="0"/>
    <xf numFmtId="2" fontId="5" fillId="0" borderId="0" pivotButton="0" quotePrefix="0" xfId="0"/>
    <xf numFmtId="2" fontId="0" fillId="0" borderId="0" pivotButton="0" quotePrefix="0" xfId="0"/>
    <xf numFmtId="0" fontId="8" fillId="0" borderId="0" pivotButton="0" quotePrefix="0" xfId="0"/>
    <xf numFmtId="0" fontId="7" fillId="0" borderId="0" pivotButton="0" quotePrefix="0" xfId="4"/>
    <xf numFmtId="0" fontId="7" fillId="0" borderId="0" pivotButton="0" quotePrefix="0" xfId="4"/>
    <xf numFmtId="0" fontId="6" fillId="0" borderId="0" pivotButton="0" quotePrefix="0" xfId="2"/>
    <xf numFmtId="2" fontId="7" fillId="0" borderId="0" applyAlignment="1" pivotButton="0" quotePrefix="0" xfId="1">
      <alignment wrapText="1"/>
    </xf>
    <xf numFmtId="2" fontId="7" fillId="0" borderId="0" pivotButton="0" quotePrefix="1" xfId="2"/>
    <xf numFmtId="2" fontId="7" fillId="0" borderId="0" pivotButton="0" quotePrefix="0" xfId="2"/>
    <xf numFmtId="0" fontId="7" fillId="0" borderId="1" pivotButton="0" quotePrefix="0" xfId="2"/>
    <xf numFmtId="0" fontId="7" fillId="0" borderId="0" applyAlignment="1" pivotButton="0" quotePrefix="0" xfId="0">
      <alignment horizontal="left" vertical="center"/>
    </xf>
    <xf numFmtId="11" fontId="7" fillId="0" borderId="0" pivotButton="0" quotePrefix="0" xfId="2"/>
    <xf numFmtId="2" fontId="7" fillId="0" borderId="0" applyAlignment="1" pivotButton="0" quotePrefix="0" xfId="1">
      <alignment horizontal="left"/>
    </xf>
    <xf numFmtId="9" fontId="7" fillId="0" borderId="0" applyAlignment="1" pivotButton="0" quotePrefix="0" xfId="5">
      <alignment horizontal="left"/>
    </xf>
    <xf numFmtId="164" fontId="7" fillId="0" borderId="0" pivotButton="0" quotePrefix="0" xfId="0"/>
  </cellXfs>
  <cellStyles count="6">
    <cellStyle name="Normal" xfId="0" builtinId="0"/>
    <cellStyle name="Normal 11 3" xfId="1"/>
    <cellStyle name="Normal 2" xfId="2"/>
    <cellStyle name="Normal 3" xfId="3"/>
    <cellStyle name="Neutral" xfId="4" builtinId="28"/>
    <cellStyle name="Percent" xfId="5"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364"/>
  <sheetViews>
    <sheetView tabSelected="1" topLeftCell="A5" zoomScale="262" zoomScaleNormal="100" workbookViewId="0">
      <selection activeCell="B5" sqref="B5"/>
    </sheetView>
  </sheetViews>
  <sheetFormatPr baseColWidth="10" defaultColWidth="8.83203125" defaultRowHeight="15"/>
  <cols>
    <col width="41.1640625" customWidth="1" min="1" max="1"/>
    <col width="40.83203125" customWidth="1" style="4" min="2" max="2"/>
    <col width="17.1640625" customWidth="1" min="3" max="3"/>
    <col width="24.33203125" bestFit="1" customWidth="1" min="4" max="4"/>
    <col width="26.5" customWidth="1" min="5" max="5"/>
    <col width="14.83203125" bestFit="1" customWidth="1" min="6" max="6"/>
    <col width="33.5" bestFit="1" customWidth="1" min="7" max="7"/>
    <col width="29.6640625" customWidth="1" min="8" max="8"/>
    <col width="15.83203125" customWidth="1" style="5" min="9" max="9"/>
    <col width="9" customWidth="1" min="10" max="10"/>
  </cols>
  <sheetData>
    <row r="1">
      <c r="A1" s="1" t="inlineStr">
        <is>
          <t>Database</t>
        </is>
      </c>
      <c r="B1" s="7" t="inlineStr">
        <is>
          <t>h2_pem</t>
        </is>
      </c>
      <c r="C1" s="2" t="n"/>
      <c r="D1" s="2" t="n"/>
      <c r="E1" s="2" t="n"/>
      <c r="F1" s="2" t="n"/>
      <c r="G1" s="2" t="n"/>
      <c r="H1" s="2" t="n"/>
      <c r="I1" s="6" t="n"/>
      <c r="K1" s="3" t="n"/>
    </row>
    <row r="2">
      <c r="A2" s="1" t="n"/>
      <c r="B2" s="7" t="n"/>
      <c r="C2" s="2" t="n"/>
      <c r="D2" s="2" t="n"/>
      <c r="E2" s="2" t="n"/>
      <c r="F2" s="2" t="n"/>
      <c r="G2" s="2" t="n"/>
      <c r="H2" s="2" t="n"/>
      <c r="I2" s="6" t="n"/>
      <c r="K2" s="3" t="n"/>
    </row>
    <row r="3" ht="16" customFormat="1" customHeight="1" s="12">
      <c r="A3" s="9" t="inlineStr">
        <is>
          <t>Activity</t>
        </is>
      </c>
      <c r="B3" s="10" t="inlineStr">
        <is>
          <t>hydrogen production, gaseous, 100 bar, from methane pyrolysis</t>
        </is>
      </c>
      <c r="C3" s="11" t="n"/>
      <c r="K3" s="13" t="n"/>
      <c r="L3" s="13" t="n"/>
      <c r="M3" s="13" t="n"/>
      <c r="N3" s="13" t="n"/>
      <c r="O3" s="13" t="n"/>
      <c r="P3" s="13" t="n"/>
    </row>
    <row r="4" ht="16" customFormat="1" customHeight="1" s="12">
      <c r="A4" s="14" t="inlineStr">
        <is>
          <t>production amount</t>
        </is>
      </c>
      <c r="B4" s="15" t="n">
        <v>1</v>
      </c>
      <c r="K4" s="13" t="n"/>
      <c r="L4" s="13" t="n"/>
      <c r="M4" s="13" t="n"/>
      <c r="N4" s="13" t="n"/>
      <c r="O4" s="13" t="n"/>
      <c r="P4" s="13" t="n"/>
    </row>
    <row r="5" ht="16" customFormat="1" customHeight="1" s="12">
      <c r="A5" s="14" t="inlineStr">
        <is>
          <t>comment</t>
        </is>
      </c>
      <c r="B5" s="15" t="inlineStr">
        <is>
          <t>1 kg H2 produced by pyrolyzing methane. NOTE: this is using a molten-metal reactor technology, particularly tin-intensive. Other technologies exist, which do not require metals to such an extent. Pyrolysis processes decompose hydrocarbons into solid carbon and hydrogen at high temperatures (thermally or biologicalally). As no oxygen is present, no carbon oxides are formed, potentially eliminating the need for secondary processing steps such as the WGSR. The higher H2 concentration of the product gas stream also has considerable potential for minimising downstream clean-up processes. From a carbon-storage perspective, pyrolysis processes offer the advantage of storing a solid C-product as opposed to gaseous CO2. There is an allocation between the production of hydrogen and black carbon, based on their respective market value -- see Von Wald et al. 2020 for black carbon, and Florian Wirth, Green Hydrogen Production for Heavy-Duty Trucks, 2021, for hydrogen price in Switzerland. Source: Amjad Al-Qahtani, Brett Parkinson, Klaus Hellgardt, Nilay Shah, Gonzalo Guillen-Gosalbez, Uncovering the true cost of hydrogen production routes using life cycle monetisation, Applied Energy, 2021, https://doi.org/10.1016/j.apenergy.2020.115958.
The energy required is from DOI:10.1002/ceat.201600023. For pyrolysis, it can be provided both electrically and by burning some of the natural gas or pyrolysis products. For the comparison of technologies, electrical resistance heating is assumed, as use of this type of heating is deemed to be most practicable. The power requirement of 7.23 MWhel/ton H2 is based on thermodynamic calculations. These take into account both the energy losses during heat recovery and the compression power of 2 MWhel/ton H2, to compress pyrolysis hydrogen from 2 bar to 100 bar with three interim cooling stages. Inventories consolidated with numbers for infrastructures from Appendix A1 from Postels et al., 2016 https://doi.org/10.1016/j.ijhydene.2016.09.167. Missing input of quartz for reactor, as unavailable in ecoinvent.</t>
        </is>
      </c>
      <c r="K5" s="13" t="n"/>
      <c r="L5" s="13" t="n"/>
      <c r="M5" s="13" t="n"/>
      <c r="N5" s="13" t="n"/>
      <c r="O5" s="13" t="n"/>
      <c r="P5" s="13" t="n"/>
    </row>
    <row r="6" ht="16" customFormat="1" customHeight="1" s="12">
      <c r="A6" s="14" t="inlineStr">
        <is>
          <t>market value of hydrogen [CHF/kg]</t>
        </is>
      </c>
      <c r="B6" s="31" t="n">
        <v>12</v>
      </c>
      <c r="K6" s="13" t="n"/>
      <c r="L6" s="13" t="n"/>
      <c r="M6" s="13" t="n"/>
      <c r="N6" s="13" t="n"/>
      <c r="O6" s="13" t="n"/>
      <c r="P6" s="13" t="n"/>
    </row>
    <row r="7" ht="16" customFormat="1" customHeight="1" s="12">
      <c r="A7" s="14" t="inlineStr">
        <is>
          <t>market value of black carbon [CHF/kg]</t>
        </is>
      </c>
      <c r="B7" s="31" t="n">
        <v>0.13</v>
      </c>
      <c r="K7" s="13" t="n"/>
      <c r="L7" s="13" t="n"/>
      <c r="M7" s="13" t="n"/>
      <c r="N7" s="13" t="n"/>
      <c r="O7" s="13" t="n"/>
      <c r="P7" s="13" t="n"/>
    </row>
    <row r="8" ht="16" customFormat="1" customHeight="1" s="12">
      <c r="A8" s="14" t="inlineStr">
        <is>
          <t>allocation factor for hydrogen</t>
        </is>
      </c>
      <c r="B8" s="32">
        <f>(1*B6)/((1*B6)+(3.91*B7))</f>
        <v>0.95936298297930178</v>
      </c>
      <c r="K8" s="13" t="n"/>
      <c r="L8" s="13" t="n"/>
      <c r="M8" s="13" t="n"/>
      <c r="N8" s="13" t="n"/>
      <c r="O8" s="13" t="n"/>
      <c r="P8" s="13" t="n"/>
    </row>
    <row r="9" ht="16" customFormat="1" customHeight="1" s="12">
      <c r="A9" s="14" t="inlineStr">
        <is>
          <t>reference product</t>
        </is>
      </c>
      <c r="B9" s="16" t="inlineStr">
        <is>
          <t>hydrogen, gaseous, 100 bar</t>
        </is>
      </c>
      <c r="K9" s="13" t="n"/>
      <c r="L9" s="13" t="n"/>
      <c r="M9" s="13" t="n"/>
      <c r="N9" s="13" t="n"/>
      <c r="O9" s="13" t="n"/>
      <c r="P9" s="13" t="n"/>
    </row>
    <row r="10" ht="16" customFormat="1" customHeight="1" s="12">
      <c r="A10" s="14" t="inlineStr">
        <is>
          <t>location</t>
        </is>
      </c>
      <c r="B10" s="15" t="inlineStr">
        <is>
          <t>RER</t>
        </is>
      </c>
      <c r="K10" s="13" t="n"/>
      <c r="L10" s="13" t="n"/>
      <c r="M10" s="13" t="n"/>
      <c r="N10" s="13" t="n"/>
      <c r="O10" s="13" t="n"/>
      <c r="P10" s="13" t="n"/>
    </row>
    <row r="11" ht="16" customFormat="1" customHeight="1" s="12">
      <c r="A11" s="14" t="inlineStr">
        <is>
          <t>unit</t>
        </is>
      </c>
      <c r="B11" s="17" t="inlineStr">
        <is>
          <t>kilogram</t>
        </is>
      </c>
      <c r="H11" s="18" t="n"/>
      <c r="I11" s="18" t="n"/>
      <c r="J11" s="18" t="n"/>
      <c r="K11" s="13" t="n"/>
      <c r="L11" s="13" t="n"/>
      <c r="M11" s="13" t="n"/>
      <c r="N11" s="13" t="n"/>
      <c r="O11" s="13" t="n"/>
      <c r="P11" s="13" t="n"/>
    </row>
    <row r="12" ht="16" customFormat="1" customHeight="1" s="12">
      <c r="A12" s="18" t="inlineStr">
        <is>
          <t>Exchanges</t>
        </is>
      </c>
      <c r="B12" s="10" t="n"/>
      <c r="C12" s="18" t="n"/>
      <c r="D12" s="18" t="n"/>
      <c r="E12" s="18" t="n"/>
      <c r="F12" s="18" t="n"/>
      <c r="G12" s="18" t="n"/>
      <c r="H12" s="11" t="n"/>
      <c r="I12" s="11" t="n"/>
      <c r="J12" s="11" t="n"/>
      <c r="K12" s="13" t="n"/>
      <c r="L12" s="13" t="n"/>
      <c r="M12" s="13" t="n"/>
      <c r="N12" s="13" t="n"/>
      <c r="O12" s="13" t="n"/>
      <c r="P12" s="13" t="n"/>
    </row>
    <row r="13" ht="16" customFormat="1" customHeight="1" s="12">
      <c r="A13" s="18" t="inlineStr">
        <is>
          <t>name</t>
        </is>
      </c>
      <c r="B13" s="10" t="inlineStr">
        <is>
          <t>amount</t>
        </is>
      </c>
      <c r="C13" s="18" t="inlineStr">
        <is>
          <t>location</t>
        </is>
      </c>
      <c r="D13" s="18" t="inlineStr">
        <is>
          <t>unit</t>
        </is>
      </c>
      <c r="E13" s="18" t="inlineStr">
        <is>
          <t>categories</t>
        </is>
      </c>
      <c r="F13" s="18" t="inlineStr">
        <is>
          <t>type</t>
        </is>
      </c>
      <c r="G13" s="18" t="inlineStr">
        <is>
          <t>reference product</t>
        </is>
      </c>
      <c r="H13" s="24" t="inlineStr">
        <is>
          <t>comment</t>
        </is>
      </c>
      <c r="I13" s="18" t="inlineStr">
        <is>
          <t>uncertainty type</t>
        </is>
      </c>
      <c r="J13" s="8" t="inlineStr">
        <is>
          <t>loc</t>
        </is>
      </c>
      <c r="K13" s="19" t="inlineStr">
        <is>
          <t>u1</t>
        </is>
      </c>
      <c r="L13" s="19" t="inlineStr">
        <is>
          <t>u2</t>
        </is>
      </c>
      <c r="M13" s="19" t="inlineStr">
        <is>
          <t>u3</t>
        </is>
      </c>
      <c r="N13" s="19" t="inlineStr">
        <is>
          <t>u4</t>
        </is>
      </c>
      <c r="O13" s="19" t="inlineStr">
        <is>
          <t>u5</t>
        </is>
      </c>
      <c r="P13" s="19" t="inlineStr">
        <is>
          <t>u6</t>
        </is>
      </c>
      <c r="Q13" s="8" t="inlineStr">
        <is>
          <t>ub</t>
        </is>
      </c>
      <c r="R13" s="8" t="inlineStr">
        <is>
          <t>scale</t>
        </is>
      </c>
      <c r="S13" s="18" t="inlineStr">
        <is>
          <t>negative</t>
        </is>
      </c>
      <c r="T13" s="8" t="n"/>
    </row>
    <row r="14" ht="16" customFormat="1" customHeight="1" s="12">
      <c r="A14" s="17" t="inlineStr">
        <is>
          <t>hydrogen production, gaseous, 100 bar, from methane pyrolysis</t>
        </is>
      </c>
      <c r="B14" s="33" t="n">
        <v>1</v>
      </c>
      <c r="C14" s="12" t="inlineStr">
        <is>
          <t>RER</t>
        </is>
      </c>
      <c r="D14" s="12" t="inlineStr">
        <is>
          <t>kilogram</t>
        </is>
      </c>
      <c r="E14" s="11" t="n"/>
      <c r="F14" s="12" t="inlineStr">
        <is>
          <t>production</t>
        </is>
      </c>
      <c r="G14" s="17" t="inlineStr">
        <is>
          <t>hydrogen, gaseous, 100 bar</t>
        </is>
      </c>
      <c r="H14" s="11" t="inlineStr">
        <is>
          <t>Infrastructure - membrane</t>
        </is>
      </c>
      <c r="K14" s="20" t="n"/>
      <c r="L14" s="20" t="n"/>
      <c r="M14" s="20" t="n"/>
      <c r="N14" s="20" t="n"/>
      <c r="O14" s="20" t="n"/>
      <c r="P14" s="20" t="n"/>
    </row>
    <row r="15" ht="16" customFormat="1" customHeight="1" s="12">
      <c r="A15" s="12" t="inlineStr">
        <is>
          <t>market for palladium</t>
        </is>
      </c>
      <c r="B15" s="33">
        <f>0.000011</f>
        <v>1.1E-5</v>
      </c>
      <c r="C15" s="12" t="inlineStr">
        <is>
          <t>GLO</t>
        </is>
      </c>
      <c r="D15" s="12" t="inlineStr">
        <is>
          <t>kilogram</t>
        </is>
      </c>
      <c r="E15" s="18" t="n"/>
      <c r="F15" s="12" t="inlineStr">
        <is>
          <t>technosphere</t>
        </is>
      </c>
      <c r="G15" s="12" t="inlineStr">
        <is>
          <t>palladium</t>
        </is>
      </c>
      <c r="H15" s="11" t="inlineStr">
        <is>
          <t>Infrastructure - membrane</t>
        </is>
      </c>
      <c r="I15" s="12" t="n">
        <v>2</v>
      </c>
      <c r="J15">
        <f>LN(B15)</f>
        <v>-11.417615285165903</v>
      </c>
      <c r="K15" s="20" t="n">
        <v>1.2</v>
      </c>
      <c r="L15" s="20" t="n">
        <v>1.2</v>
      </c>
      <c r="M15" s="20" t="n">
        <v>1.03</v>
      </c>
      <c r="N15" s="20" t="n">
        <v>1.01</v>
      </c>
      <c r="O15" s="20" t="n">
        <v>1.2</v>
      </c>
      <c r="P15" s="20" t="n">
        <v>1.2</v>
      </c>
      <c r="Q15" t="n">
        <v>3</v>
      </c>
      <c r="R15">
        <f>LN(SQRT(EXP(
SQRT(
+POWER(LN(K15),2)
+POWER(LN(L15),2)
+POWER(LN(M15),2)
+POWER(LN(N15),2)
+POWER(LN(O15),2)
+POWER(LN(P15),2)
+POWER(LN(Q15),2)
)
)))</f>
        <v>0.5789832236286534</v>
      </c>
      <c r="S15" s="18" t="n"/>
    </row>
    <row r="16" ht="16" customFormat="1" customHeight="1" s="12">
      <c r="A16" s="12" t="inlineStr">
        <is>
          <t>market for copper, cathode</t>
        </is>
      </c>
      <c r="B16" s="33">
        <f>0.00000733</f>
        <v>7.3300000000000001E-6</v>
      </c>
      <c r="C16" s="12" t="inlineStr">
        <is>
          <t>GLO</t>
        </is>
      </c>
      <c r="D16" s="12" t="inlineStr">
        <is>
          <t>kilogram</t>
        </is>
      </c>
      <c r="F16" s="12" t="inlineStr">
        <is>
          <t>technosphere</t>
        </is>
      </c>
      <c r="G16" s="12" t="inlineStr">
        <is>
          <t>copper, cathode</t>
        </is>
      </c>
      <c r="H16" s="11" t="inlineStr">
        <is>
          <t>Infrastructure - membrane</t>
        </is>
      </c>
      <c r="I16" s="12" t="n">
        <v>2</v>
      </c>
      <c r="J16">
        <f>LN(B16)</f>
        <v>-11.823535042065714</v>
      </c>
      <c r="K16" s="20" t="n">
        <v>1.2</v>
      </c>
      <c r="L16" s="20" t="n">
        <v>1.2</v>
      </c>
      <c r="M16" s="20" t="n">
        <v>1.03</v>
      </c>
      <c r="N16" s="20" t="n">
        <v>1.01</v>
      </c>
      <c r="O16" s="20" t="n">
        <v>1.2</v>
      </c>
      <c r="P16" s="20" t="n">
        <v>1.2</v>
      </c>
      <c r="Q16" t="n">
        <v>3</v>
      </c>
      <c r="R16">
        <f>LN(SQRT(EXP(
SQRT(
+POWER(LN(K16),2)
+POWER(LN(L16),2)
+POWER(LN(M16),2)
+POWER(LN(N16),2)
+POWER(LN(O16),2)
+POWER(LN(P16),2)
+POWER(LN(Q16),2)
)
)))</f>
        <v>0.5789832236286534</v>
      </c>
    </row>
    <row r="17" ht="16" customFormat="1" customHeight="1" s="12">
      <c r="A17" s="12" t="inlineStr">
        <is>
          <t>market for steel, chromium steel 18/8</t>
        </is>
      </c>
      <c r="B17" s="33" t="n">
        <v>0.00259</v>
      </c>
      <c r="C17" s="12" t="inlineStr">
        <is>
          <t>GLO</t>
        </is>
      </c>
      <c r="D17" s="12" t="inlineStr">
        <is>
          <t>kilogram</t>
        </is>
      </c>
      <c r="F17" s="12" t="inlineStr">
        <is>
          <t>technosphere</t>
        </is>
      </c>
      <c r="G17" s="12" t="inlineStr">
        <is>
          <t>steel, chromium steel 18/8</t>
        </is>
      </c>
      <c r="H17" s="11" t="inlineStr">
        <is>
          <t>Infrastructure - heat exchanger</t>
        </is>
      </c>
      <c r="I17" s="12" t="n">
        <v>2</v>
      </c>
      <c r="J17">
        <f>LN(B17)</f>
        <v>-5.9560974032706904</v>
      </c>
      <c r="K17" s="20" t="n">
        <v>1.2</v>
      </c>
      <c r="L17" s="20" t="n">
        <v>1.2</v>
      </c>
      <c r="M17" s="20" t="n">
        <v>1.03</v>
      </c>
      <c r="N17" s="20" t="n">
        <v>1.01</v>
      </c>
      <c r="O17" s="20" t="n">
        <v>1.2</v>
      </c>
      <c r="P17" s="20" t="n">
        <v>1.2</v>
      </c>
      <c r="Q17" t="n">
        <v>3</v>
      </c>
      <c r="R17">
        <f>LN(SQRT(EXP(
SQRT(
+POWER(LN(K17),2)
+POWER(LN(L17),2)
+POWER(LN(M17),2)
+POWER(LN(N17),2)
+POWER(LN(O17),2)
+POWER(LN(P17),2)
+POWER(LN(Q17),2)
)
)))</f>
        <v>0.5789832236286534</v>
      </c>
    </row>
    <row r="18" ht="16" customFormat="1" customHeight="1" s="12">
      <c r="A18" s="12" t="inlineStr">
        <is>
          <t>market for tin</t>
        </is>
      </c>
      <c r="B18" s="33" t="n">
        <v>0.0336</v>
      </c>
      <c r="C18" s="12" t="inlineStr">
        <is>
          <t>GLO</t>
        </is>
      </c>
      <c r="D18" s="12" t="inlineStr">
        <is>
          <t>kilogram</t>
        </is>
      </c>
      <c r="F18" s="12" t="inlineStr">
        <is>
          <t>technosphere</t>
        </is>
      </c>
      <c r="G18" s="12" t="inlineStr">
        <is>
          <t>tin</t>
        </is>
      </c>
      <c r="H18" s="11" t="inlineStr">
        <is>
          <t>Infrastructure - reactor</t>
        </is>
      </c>
      <c r="I18" s="12" t="n">
        <v>2</v>
      </c>
      <c r="J18">
        <f>LN(B18)</f>
        <v>-3.3932292120129786</v>
      </c>
      <c r="K18" s="20" t="n">
        <v>1.2</v>
      </c>
      <c r="L18" s="20" t="n">
        <v>1.2</v>
      </c>
      <c r="M18" s="20" t="n">
        <v>1.03</v>
      </c>
      <c r="N18" s="20" t="n">
        <v>1.01</v>
      </c>
      <c r="O18" s="20" t="n">
        <v>1.2</v>
      </c>
      <c r="P18" s="20" t="n">
        <v>1.2</v>
      </c>
      <c r="Q18" t="n">
        <v>3</v>
      </c>
      <c r="R18">
        <f>LN(SQRT(EXP(
SQRT(
+POWER(LN(K18),2)
+POWER(LN(L18),2)
+POWER(LN(M18),2)
+POWER(LN(N18),2)
+POWER(LN(O18),2)
+POWER(LN(P18),2)
+POWER(LN(Q18),2)
)
)))</f>
        <v>0.5789832236286534</v>
      </c>
    </row>
    <row r="19" ht="16" customFormat="1" customHeight="1" s="12">
      <c r="A19" s="12" t="inlineStr">
        <is>
          <t>market for steel, chromium steel 18/8</t>
        </is>
      </c>
      <c r="B19" s="33" t="n">
        <v>0.000507</v>
      </c>
      <c r="C19" s="12" t="inlineStr">
        <is>
          <t>GLO</t>
        </is>
      </c>
      <c r="D19" s="12" t="inlineStr">
        <is>
          <t>kilogram</t>
        </is>
      </c>
      <c r="F19" s="12" t="inlineStr">
        <is>
          <t>technosphere</t>
        </is>
      </c>
      <c r="G19" s="12" t="inlineStr">
        <is>
          <t>steel, chromium steel 18/8</t>
        </is>
      </c>
      <c r="H19" s="11" t="inlineStr">
        <is>
          <t>Infrastructure - filter</t>
        </is>
      </c>
      <c r="I19" s="12" t="n">
        <v>2</v>
      </c>
      <c r="J19">
        <f>LN(B19)</f>
        <v>-7.586999554373091</v>
      </c>
      <c r="K19" s="20" t="n">
        <v>1.2</v>
      </c>
      <c r="L19" s="20" t="n">
        <v>1.2</v>
      </c>
      <c r="M19" s="20" t="n">
        <v>1.03</v>
      </c>
      <c r="N19" s="20" t="n">
        <v>1.01</v>
      </c>
      <c r="O19" s="20" t="n">
        <v>1.2</v>
      </c>
      <c r="P19" s="20" t="n">
        <v>1.2</v>
      </c>
      <c r="Q19" t="n">
        <v>3</v>
      </c>
      <c r="R19">
        <f>LN(SQRT(EXP(
SQRT(
+POWER(LN(K19),2)
+POWER(LN(L19),2)
+POWER(LN(M19),2)
+POWER(LN(N19),2)
+POWER(LN(O19),2)
+POWER(LN(P19),2)
+POWER(LN(Q19),2)
)
)))</f>
        <v>0.5789832236286534</v>
      </c>
    </row>
    <row r="20" ht="16" customFormat="1" customHeight="1" s="12">
      <c r="A20" s="12" t="inlineStr">
        <is>
          <t>market for silicon carbide</t>
        </is>
      </c>
      <c r="B20" s="33" t="n">
        <v>4.2e-06</v>
      </c>
      <c r="C20" s="12" t="inlineStr">
        <is>
          <t>GLO</t>
        </is>
      </c>
      <c r="D20" s="12" t="inlineStr">
        <is>
          <t>kilogram</t>
        </is>
      </c>
      <c r="F20" s="12" t="inlineStr">
        <is>
          <t>technosphere</t>
        </is>
      </c>
      <c r="G20" s="12" t="inlineStr">
        <is>
          <t>silicon carbide</t>
        </is>
      </c>
      <c r="H20" s="11" t="inlineStr">
        <is>
          <t>Infrastructure - burner</t>
        </is>
      </c>
      <c r="I20" s="12" t="n">
        <v>2</v>
      </c>
      <c r="J20">
        <f>LN(B20)</f>
        <v>-12.380426032674952</v>
      </c>
      <c r="K20" s="20" t="n">
        <v>1.2</v>
      </c>
      <c r="L20" s="20" t="n">
        <v>1.2</v>
      </c>
      <c r="M20" s="20" t="n">
        <v>1.03</v>
      </c>
      <c r="N20" s="20" t="n">
        <v>1.01</v>
      </c>
      <c r="O20" s="20" t="n">
        <v>1.2</v>
      </c>
      <c r="P20" s="20" t="n">
        <v>1.2</v>
      </c>
      <c r="Q20" t="n">
        <v>3</v>
      </c>
      <c r="R20">
        <f>LN(SQRT(EXP(
SQRT(
+POWER(LN(K20),2)
+POWER(LN(L20),2)
+POWER(LN(M20),2)
+POWER(LN(N20),2)
+POWER(LN(O20),2)
+POWER(LN(P20),2)
+POWER(LN(Q20),2)
)
)))</f>
        <v>0.5789832236286534</v>
      </c>
    </row>
    <row r="21" ht="16" customFormat="1" customHeight="1" s="12">
      <c r="A21" s="12" t="inlineStr">
        <is>
          <t>market for air compressor, screw-type compressor, 4kW</t>
        </is>
      </c>
      <c r="B21" s="33" t="n">
        <v>6.36e-08</v>
      </c>
      <c r="C21" s="12" t="inlineStr">
        <is>
          <t>GLO</t>
        </is>
      </c>
      <c r="D21" s="12" t="inlineStr">
        <is>
          <t>unit</t>
        </is>
      </c>
      <c r="F21" s="12" t="inlineStr">
        <is>
          <t>technosphere</t>
        </is>
      </c>
      <c r="G21" s="12" t="inlineStr">
        <is>
          <t>air compressor, screw-type compressor, 4kW</t>
        </is>
      </c>
      <c r="H21" s="11" t="inlineStr">
        <is>
          <t>Infrastructure - compressor</t>
        </is>
      </c>
      <c r="I21" s="12" t="n">
        <v>2</v>
      </c>
      <c r="J21">
        <f>LN(B21)</f>
        <v>-16.570652366600335</v>
      </c>
      <c r="K21" s="20" t="n">
        <v>1.2</v>
      </c>
      <c r="L21" s="20" t="n">
        <v>1.2</v>
      </c>
      <c r="M21" s="20" t="n">
        <v>1.03</v>
      </c>
      <c r="N21" s="20" t="n">
        <v>1.01</v>
      </c>
      <c r="O21" s="20" t="n">
        <v>1.2</v>
      </c>
      <c r="P21" s="20" t="n">
        <v>1.2</v>
      </c>
      <c r="Q21" t="n">
        <v>3</v>
      </c>
      <c r="R21">
        <f>LN(SQRT(EXP(
SQRT(
+POWER(LN(K21),2)
+POWER(LN(L21),2)
+POWER(LN(M21),2)
+POWER(LN(N21),2)
+POWER(LN(O21),2)
+POWER(LN(P21),2)
+POWER(LN(Q21),2)
)
)))</f>
        <v>0.5789832236286534</v>
      </c>
    </row>
    <row r="22" ht="16" customFormat="1" customHeight="1" s="12">
      <c r="A22" s="17" t="inlineStr">
        <is>
          <t>market for natural gas, high pressure</t>
        </is>
      </c>
      <c r="B22" s="33" t="n">
        <v>5.67</v>
      </c>
      <c r="C22" s="12" t="inlineStr">
        <is>
          <t>CH</t>
        </is>
      </c>
      <c r="D22" s="12" t="inlineStr">
        <is>
          <t>cubic meter</t>
        </is>
      </c>
      <c r="F22" s="12" t="inlineStr">
        <is>
          <t>technosphere</t>
        </is>
      </c>
      <c r="G22" s="12" t="inlineStr">
        <is>
          <t>natural gas, high pressure</t>
        </is>
      </c>
      <c r="H22" s="12" t="inlineStr">
        <is>
          <t>1.7 kWh CNG/kWh H2, according to https://hydrogeneurope.eu/wp-content/uploads/2022/10/ewp_kompakt_pyrolyse_english_web.pdf. 36 MJ/m3 CNG. Hence, 0.17 m3 CNG/kWh H2 and 5.67 m3 CNG/kg H2. Pastels et al. Show 6.57 m3.</t>
        </is>
      </c>
      <c r="I22" s="12" t="n">
        <v>2</v>
      </c>
      <c r="J22">
        <f>LN(B22)</f>
        <v>1.7351891177396608</v>
      </c>
      <c r="K22" s="20" t="n">
        <v>1.2</v>
      </c>
      <c r="L22" s="20" t="n">
        <v>1.2</v>
      </c>
      <c r="M22" s="20" t="n">
        <v>1.03</v>
      </c>
      <c r="N22" s="20" t="n">
        <v>1.01</v>
      </c>
      <c r="O22" s="20" t="n">
        <v>1.2</v>
      </c>
      <c r="P22" s="20" t="n">
        <v>1.2</v>
      </c>
      <c r="Q22" t="n">
        <v>1.05</v>
      </c>
      <c r="R22">
        <f>LN(SQRT(EXP(
SQRT(
+POWER(LN(K22),2)
+POWER(LN(L22),2)
+POWER(LN(M22),2)
+POWER(LN(N22),2)
+POWER(LN(O22),2)
+POWER(LN(P22),2)
+POWER(LN(Q22),2)
)
)))</f>
        <v>0.18460621081155912</v>
      </c>
    </row>
    <row r="23" ht="16" customFormat="1" customHeight="1" s="12">
      <c r="A23" s="17" t="inlineStr">
        <is>
          <t>market for tap water</t>
        </is>
      </c>
      <c r="B23" s="33">
        <f>8.08*B8</f>
        <v>7.7516529024727587</v>
      </c>
      <c r="C23" s="12" t="inlineStr">
        <is>
          <t>CH</t>
        </is>
      </c>
      <c r="D23" s="12" t="inlineStr">
        <is>
          <t>kilogram</t>
        </is>
      </c>
      <c r="F23" s="12" t="inlineStr">
        <is>
          <t>technosphere</t>
        </is>
      </c>
      <c r="G23" s="12" t="inlineStr">
        <is>
          <t>tap water</t>
        </is>
      </c>
      <c r="I23" s="12" t="n">
        <v>2</v>
      </c>
      <c r="J23">
        <f>LN(B23)</f>
        <v>2.0479060983632125</v>
      </c>
      <c r="K23" s="20" t="n">
        <v>1.2</v>
      </c>
      <c r="L23" s="20" t="n">
        <v>1.2</v>
      </c>
      <c r="M23" s="20" t="n">
        <v>1.03</v>
      </c>
      <c r="N23" s="20" t="n">
        <v>1.01</v>
      </c>
      <c r="O23" s="20" t="n">
        <v>1.2</v>
      </c>
      <c r="P23" s="20" t="n">
        <v>1.2</v>
      </c>
      <c r="Q23" t="n">
        <v>1.05</v>
      </c>
      <c r="R23">
        <f>LN(SQRT(EXP(
SQRT(
+POWER(LN(K23),2)
+POWER(LN(L23),2)
+POWER(LN(M23),2)
+POWER(LN(N23),2)
+POWER(LN(O23),2)
+POWER(LN(P23),2)
+POWER(LN(Q23),2)
)
)))</f>
        <v>0.18460621081155912</v>
      </c>
    </row>
    <row r="24" ht="16" customFormat="1" customHeight="1" s="12">
      <c r="A24" s="17" t="inlineStr">
        <is>
          <t>Water</t>
        </is>
      </c>
      <c r="B24" s="33">
        <f>B23*0.9/1000</f>
        <v>6.9764876122254829E-3</v>
      </c>
      <c r="D24" s="12" t="inlineStr">
        <is>
          <t>cubic meter</t>
        </is>
      </c>
      <c r="E24" s="12" t="inlineStr">
        <is>
          <t>water</t>
        </is>
      </c>
      <c r="F24" s="12" t="inlineStr">
        <is>
          <t>biosphere</t>
        </is>
      </c>
      <c r="H24" s="12" t="inlineStr">
        <is>
          <t>Assumed 90% of cooling water is released back.</t>
        </is>
      </c>
      <c r="I24" s="12" t="n">
        <v>0</v>
      </c>
      <c r="K24" s="20" t="n"/>
      <c r="L24" s="20" t="n"/>
      <c r="M24" s="20" t="n"/>
      <c r="N24" s="20" t="n"/>
      <c r="O24" s="20" t="n"/>
      <c r="P24" s="20" t="n"/>
    </row>
    <row r="25" ht="16" customFormat="1" customHeight="1" s="12">
      <c r="A25" s="17" t="inlineStr">
        <is>
          <t>Water</t>
        </is>
      </c>
      <c r="B25" s="33">
        <f>B23*0.1/1000</f>
        <v>7.7516529024727584E-4</v>
      </c>
      <c r="D25" s="12" t="inlineStr">
        <is>
          <t>cubic meter</t>
        </is>
      </c>
      <c r="E25" s="12" t="inlineStr">
        <is>
          <t>air</t>
        </is>
      </c>
      <c r="F25" s="12" t="inlineStr">
        <is>
          <t>biosphere</t>
        </is>
      </c>
      <c r="H25" s="12" t="inlineStr">
        <is>
          <t>Assumed 10% of cooling water is evaporated.</t>
        </is>
      </c>
      <c r="K25" s="20" t="n"/>
      <c r="L25" s="20" t="n"/>
      <c r="M25" s="20" t="n"/>
      <c r="N25" s="20" t="n"/>
      <c r="O25" s="20" t="n"/>
      <c r="P25" s="20" t="n"/>
    </row>
    <row r="26" ht="16" customFormat="1" customHeight="1" s="12">
      <c r="A26" s="17" t="inlineStr">
        <is>
          <t>market for electricity, low voltage</t>
        </is>
      </c>
      <c r="B26" s="33">
        <f>0.3*(120/3.6)*B8</f>
        <v>9.5936298297930183</v>
      </c>
      <c r="C26" s="12" t="inlineStr">
        <is>
          <t>CH</t>
        </is>
      </c>
      <c r="D26" s="12" t="inlineStr">
        <is>
          <t>kilowatt hour</t>
        </is>
      </c>
      <c r="F26" s="12" t="inlineStr">
        <is>
          <t>technosphere</t>
        </is>
      </c>
      <c r="G26" s="12" t="inlineStr">
        <is>
          <t>electricity, low voltage</t>
        </is>
      </c>
      <c r="H26" s="12" t="inlineStr">
        <is>
          <t>0.3 kWh/kWh H2 according to https://hydrogeneurope.eu/wp-content/uploads/2022/10/ewp_kompakt_pyrolyse_english_web.pdf</t>
        </is>
      </c>
      <c r="I26" s="12" t="n">
        <v>2</v>
      </c>
      <c r="J26">
        <f>LN(B26)</f>
        <v>2.2610993188242543</v>
      </c>
      <c r="K26" s="20" t="n">
        <v>1.2</v>
      </c>
      <c r="L26" s="20" t="n">
        <v>1.2</v>
      </c>
      <c r="M26" s="20" t="n">
        <v>1.03</v>
      </c>
      <c r="N26" s="20" t="n">
        <v>1.01</v>
      </c>
      <c r="O26" s="20" t="n">
        <v>1.2</v>
      </c>
      <c r="P26" s="20" t="n">
        <v>1.2</v>
      </c>
      <c r="Q26" t="n">
        <v>1.05</v>
      </c>
      <c r="R26">
        <f>LN(SQRT(EXP(
SQRT(
+POWER(LN(K26),2)
+POWER(LN(L26),2)
+POWER(LN(M26),2)
+POWER(LN(N26),2)
+POWER(LN(O26),2)
+POWER(LN(P26),2)
+POWER(LN(Q26),2)
)
)))</f>
        <v>0.18460621081155912</v>
      </c>
    </row>
    <row r="27" ht="16" customFormat="1" customHeight="1" s="12">
      <c r="A27" s="14" t="inlineStr">
        <is>
          <t>Carbon dioxide, fossil</t>
        </is>
      </c>
      <c r="B27" s="33">
        <f>2.5*B8</f>
        <v>2.3984074574482546</v>
      </c>
      <c r="D27" s="12" t="inlineStr">
        <is>
          <t>kilogram</t>
        </is>
      </c>
      <c r="E27" s="11" t="inlineStr">
        <is>
          <t>air</t>
        </is>
      </c>
      <c r="F27" s="12" t="inlineStr">
        <is>
          <t>biosphere</t>
        </is>
      </c>
      <c r="H27" s="11" t="n"/>
      <c r="I27" s="12" t="n">
        <v>2</v>
      </c>
      <c r="J27">
        <f>LN(B27)</f>
        <v>0.87480495770436362</v>
      </c>
      <c r="K27" s="20" t="n">
        <v>1.2</v>
      </c>
      <c r="L27" s="20" t="n">
        <v>1.2</v>
      </c>
      <c r="M27" s="20" t="n">
        <v>1.03</v>
      </c>
      <c r="N27" s="20" t="n">
        <v>1.01</v>
      </c>
      <c r="O27" s="20" t="n">
        <v>1.2</v>
      </c>
      <c r="P27" s="20" t="n">
        <v>1.2</v>
      </c>
      <c r="Q27" s="20" t="n">
        <v>1.05</v>
      </c>
      <c r="R27">
        <f>LN(SQRT(EXP(
SQRT(
+POWER(LN(K27),2)
+POWER(LN(L27),2)
+POWER(LN(M27),2)
+POWER(LN(N27),2)
+POWER(LN(O27),2)
+POWER(LN(P27),2)
+POWER(LN(Q27),2)
)
)))</f>
        <v>0.18460621081155912</v>
      </c>
    </row>
    <row r="28" ht="16" customFormat="1" customHeight="1" s="12">
      <c r="A28" s="14" t="n"/>
      <c r="B28" s="17" t="n"/>
      <c r="G28" s="11" t="n"/>
      <c r="H28" s="11" t="n"/>
      <c r="I28" s="11" t="n"/>
      <c r="K28" s="13" t="n"/>
      <c r="L28" s="13" t="n"/>
      <c r="M28" s="13" t="n"/>
      <c r="N28" s="13" t="n"/>
      <c r="O28" s="13" t="n"/>
      <c r="P28" s="13" t="n"/>
    </row>
    <row r="29" ht="16" customFormat="1" customHeight="1" s="12">
      <c r="A29" s="17" t="n"/>
      <c r="B29" s="17" t="n"/>
      <c r="K29" s="13" t="n"/>
      <c r="L29" s="13" t="n"/>
      <c r="M29" s="13" t="n"/>
      <c r="N29" s="13" t="n"/>
      <c r="O29" s="13" t="n"/>
      <c r="P29" s="13" t="n"/>
    </row>
    <row r="30" ht="16" customFormat="1" customHeight="1" s="12">
      <c r="B30" s="17" t="n"/>
      <c r="K30" s="20" t="n"/>
      <c r="L30" s="20" t="n"/>
      <c r="M30" s="20" t="n"/>
      <c r="N30" s="20" t="n"/>
      <c r="O30" s="20" t="n"/>
      <c r="P30" s="20" t="n"/>
    </row>
    <row r="31" ht="16" customFormat="1" customHeight="1" s="12">
      <c r="B31" s="13" t="n"/>
      <c r="K31" s="20" t="n"/>
      <c r="L31" s="20" t="n"/>
      <c r="M31" s="20" t="n"/>
      <c r="N31" s="20" t="n"/>
      <c r="O31" s="20" t="n"/>
      <c r="P31" s="20" t="n"/>
    </row>
    <row r="32" ht="16" customFormat="1" customHeight="1" s="12">
      <c r="B32" s="13" t="n"/>
      <c r="K32" s="20" t="n"/>
      <c r="L32" s="20" t="n"/>
      <c r="M32" s="20" t="n"/>
      <c r="N32" s="20" t="n"/>
      <c r="O32" s="20" t="n"/>
      <c r="P32" s="20" t="n"/>
    </row>
    <row r="33" ht="16" customFormat="1" customHeight="1" s="12">
      <c r="B33" s="13" t="n"/>
      <c r="K33" s="20" t="n"/>
      <c r="L33" s="20" t="n"/>
      <c r="M33" s="20" t="n"/>
      <c r="N33" s="20" t="n"/>
      <c r="O33" s="20" t="n"/>
      <c r="P33" s="20" t="n"/>
    </row>
    <row r="34" ht="16" customFormat="1" customHeight="1" s="12">
      <c r="B34" s="13" t="n"/>
      <c r="K34" s="20" t="n"/>
      <c r="L34" s="20" t="n"/>
      <c r="M34" s="20" t="n"/>
      <c r="N34" s="20" t="n"/>
      <c r="O34" s="20" t="n"/>
      <c r="P34" s="20" t="n"/>
    </row>
    <row r="35" ht="16" customFormat="1" customHeight="1" s="12">
      <c r="B35" s="17" t="n"/>
      <c r="K35" s="20" t="n"/>
      <c r="L35" s="20" t="n"/>
      <c r="M35" s="20" t="n"/>
      <c r="N35" s="20" t="n"/>
      <c r="O35" s="20" t="n"/>
      <c r="P35" s="20" t="n"/>
    </row>
    <row r="36" ht="16" customFormat="1" customHeight="1" s="12">
      <c r="B36" s="17" t="n"/>
      <c r="E36" s="11" t="n"/>
      <c r="H36" s="11" t="n"/>
      <c r="K36" s="20" t="n"/>
      <c r="L36" s="20" t="n"/>
      <c r="M36" s="20" t="n"/>
      <c r="N36" s="20" t="n"/>
      <c r="O36" s="20" t="n"/>
      <c r="P36" s="20" t="n"/>
    </row>
    <row r="37" ht="16" customFormat="1" customHeight="1" s="12">
      <c r="B37" s="17" t="n"/>
      <c r="H37" s="11" t="n"/>
      <c r="K37" s="20" t="n"/>
      <c r="L37" s="20" t="n"/>
      <c r="M37" s="20" t="n"/>
      <c r="N37" s="20" t="n"/>
      <c r="O37" s="20" t="n"/>
      <c r="P37" s="20" t="n"/>
    </row>
    <row r="38" ht="16" customFormat="1" customHeight="1" s="12">
      <c r="B38" s="17" t="n"/>
      <c r="K38" s="20" t="n"/>
      <c r="L38" s="20" t="n"/>
      <c r="M38" s="20" t="n"/>
      <c r="N38" s="20" t="n"/>
      <c r="O38" s="20" t="n"/>
      <c r="P38" s="20" t="n"/>
    </row>
    <row r="39" ht="16" customFormat="1" customHeight="1" s="12">
      <c r="B39" s="17" t="n"/>
      <c r="K39" s="20" t="n"/>
      <c r="L39" s="20" t="n"/>
      <c r="M39" s="20" t="n"/>
      <c r="N39" s="20" t="n"/>
      <c r="O39" s="20" t="n"/>
      <c r="P39" s="20" t="n"/>
    </row>
    <row r="40" ht="16" customFormat="1" customHeight="1" s="12">
      <c r="B40" s="17" t="n"/>
      <c r="K40" s="20" t="n"/>
      <c r="L40" s="20" t="n"/>
      <c r="M40" s="20" t="n"/>
      <c r="N40" s="20" t="n"/>
      <c r="O40" s="20" t="n"/>
      <c r="P40" s="20" t="n"/>
    </row>
    <row r="41" ht="16" customFormat="1" customHeight="1" s="12">
      <c r="B41" s="17" t="n"/>
      <c r="K41" s="20" t="n"/>
      <c r="L41" s="20" t="n"/>
      <c r="M41" s="20" t="n"/>
      <c r="N41" s="20" t="n"/>
      <c r="O41" s="20" t="n"/>
      <c r="P41" s="20" t="n"/>
    </row>
    <row r="42" ht="16" customFormat="1" customHeight="1" s="12">
      <c r="B42" s="17" t="n"/>
      <c r="K42" s="20" t="n"/>
      <c r="L42" s="20" t="n"/>
      <c r="M42" s="20" t="n"/>
      <c r="N42" s="20" t="n"/>
      <c r="O42" s="20" t="n"/>
      <c r="P42" s="20" t="n"/>
    </row>
    <row r="43" ht="16" customFormat="1" customHeight="1" s="12">
      <c r="B43" s="17" t="n"/>
      <c r="E43" s="11" t="n"/>
      <c r="G43" s="11" t="n"/>
      <c r="K43" s="20" t="n"/>
      <c r="L43" s="20" t="n"/>
      <c r="M43" s="20" t="n"/>
      <c r="N43" s="20" t="n"/>
      <c r="O43" s="20" t="n"/>
      <c r="P43" s="20" t="n"/>
    </row>
    <row r="44" ht="16" customFormat="1" customHeight="1" s="12">
      <c r="B44" s="17" t="n"/>
      <c r="E44" s="11" t="n"/>
      <c r="G44" s="11" t="n"/>
      <c r="K44" s="20" t="n"/>
      <c r="L44" s="20" t="n"/>
      <c r="M44" s="20" t="n"/>
      <c r="N44" s="20" t="n"/>
      <c r="O44" s="20" t="n"/>
      <c r="P44" s="20" t="n"/>
      <c r="Q44" s="20" t="n"/>
    </row>
    <row r="45" ht="16" customFormat="1" customHeight="1" s="12">
      <c r="B45" s="17" t="n"/>
      <c r="K45" s="13" t="n"/>
      <c r="L45" s="13" t="n"/>
      <c r="M45" s="13" t="n"/>
      <c r="N45" s="13" t="n"/>
      <c r="O45" s="13" t="n"/>
      <c r="P45" s="13" t="n"/>
    </row>
    <row r="46" ht="16" customFormat="1" customHeight="1" s="12">
      <c r="A46" s="9" t="n"/>
      <c r="B46" s="10" t="n"/>
      <c r="K46" s="25" t="n"/>
      <c r="L46" s="26" t="n"/>
      <c r="M46" s="13" t="n"/>
      <c r="N46" s="13" t="n"/>
      <c r="O46" s="13" t="n"/>
      <c r="P46" s="13" t="n"/>
    </row>
    <row r="47" ht="16" customFormat="1" customHeight="1" s="12">
      <c r="A47" s="14" t="n"/>
      <c r="B47" s="15" t="n"/>
      <c r="K47" s="27" t="n"/>
      <c r="L47" s="26" t="n"/>
      <c r="M47" s="13" t="n"/>
      <c r="N47" s="13" t="n"/>
      <c r="O47" s="13" t="n"/>
      <c r="P47" s="13" t="n"/>
    </row>
    <row r="48" ht="16" customFormat="1" customHeight="1" s="12">
      <c r="A48" s="14" t="n"/>
      <c r="B48" s="15" t="n"/>
      <c r="K48" s="13" t="n"/>
      <c r="L48" s="26" t="n"/>
      <c r="M48" s="13" t="n"/>
      <c r="N48" s="13" t="n"/>
      <c r="O48" s="13" t="n"/>
      <c r="P48" s="13" t="n"/>
    </row>
    <row r="49" ht="16" customFormat="1" customHeight="1" s="12">
      <c r="A49" s="14" t="n"/>
      <c r="B49" s="17" t="n"/>
      <c r="K49" s="13" t="n"/>
      <c r="L49" s="13" t="n"/>
      <c r="M49" s="13" t="n"/>
      <c r="N49" s="13" t="n"/>
      <c r="O49" s="13" t="n"/>
      <c r="P49" s="13" t="n"/>
    </row>
    <row r="50" ht="16.25" customFormat="1" customHeight="1" s="12">
      <c r="A50" s="14" t="n"/>
      <c r="B50" s="15" t="n"/>
      <c r="K50" s="13" t="n"/>
      <c r="L50" s="13" t="n"/>
      <c r="M50" s="13" t="n"/>
      <c r="N50" s="13" t="n"/>
      <c r="O50" s="13" t="n"/>
      <c r="P50" s="13" t="n"/>
    </row>
    <row r="51" ht="16" customFormat="1" customHeight="1" s="12">
      <c r="A51" s="14" t="n"/>
      <c r="B51" s="17" t="n"/>
      <c r="H51" s="18" t="n"/>
      <c r="I51" s="18" t="n"/>
      <c r="K51" s="13" t="n"/>
      <c r="L51" s="13" t="n"/>
      <c r="M51" s="13" t="n"/>
      <c r="N51" s="13" t="n"/>
      <c r="O51" s="13" t="n"/>
      <c r="P51" s="13" t="n"/>
    </row>
    <row r="52" ht="16" customFormat="1" customHeight="1" s="12">
      <c r="A52" s="18" t="n"/>
      <c r="B52" s="10" t="n"/>
      <c r="C52" s="18" t="n"/>
      <c r="D52" s="18" t="n"/>
      <c r="E52" s="18" t="n"/>
      <c r="F52" s="18" t="n"/>
      <c r="G52" s="18" t="n"/>
      <c r="H52" s="11" t="n"/>
      <c r="I52" s="11" t="n"/>
      <c r="K52" s="13" t="n"/>
      <c r="L52" s="13" t="n"/>
      <c r="M52" s="13" t="n"/>
      <c r="N52" s="13" t="n"/>
      <c r="O52" s="13" t="n"/>
      <c r="P52" s="13" t="n"/>
    </row>
    <row r="53" ht="16" customFormat="1" customHeight="1" s="12">
      <c r="A53" s="18" t="n"/>
      <c r="B53" s="10" t="n"/>
      <c r="C53" s="18" t="n"/>
      <c r="D53" s="18" t="n"/>
      <c r="E53" s="24" t="n"/>
      <c r="F53" s="18" t="n"/>
      <c r="G53" s="18" t="n"/>
      <c r="H53" s="24" t="n"/>
      <c r="I53" s="18" t="n"/>
      <c r="J53" s="8" t="n"/>
      <c r="K53" s="19" t="n"/>
      <c r="L53" s="19" t="n"/>
      <c r="M53" s="19" t="n"/>
      <c r="N53" s="19" t="n"/>
      <c r="O53" s="19" t="n"/>
      <c r="P53" s="19" t="n"/>
      <c r="Q53" s="8" t="n"/>
      <c r="R53" s="8" t="n"/>
      <c r="S53" s="18" t="n"/>
      <c r="T53" s="8" t="n"/>
    </row>
    <row r="54" ht="16" customFormat="1" customHeight="1" s="12">
      <c r="A54" s="17" t="n"/>
      <c r="B54" s="17" t="n"/>
      <c r="G54" s="17" t="n"/>
      <c r="H54" s="11" t="n"/>
      <c r="I54" s="11" t="n"/>
      <c r="K54" s="13" t="n"/>
      <c r="L54" s="13" t="n"/>
      <c r="M54" s="13" t="n"/>
      <c r="N54" s="13" t="n"/>
      <c r="O54" s="13" t="n"/>
      <c r="P54" s="27" t="n"/>
    </row>
    <row r="55" ht="16" customFormat="1" customHeight="1" s="12">
      <c r="B55" s="17" t="n"/>
      <c r="H55" s="28" t="n"/>
      <c r="K55" s="20" t="n"/>
      <c r="L55" s="20" t="n"/>
      <c r="M55" s="20" t="n"/>
      <c r="N55" s="20" t="n"/>
      <c r="O55" s="20" t="n"/>
      <c r="P55" s="20" t="n"/>
    </row>
    <row r="56" ht="16" customFormat="1" customHeight="1" s="12">
      <c r="B56" s="17" t="n"/>
      <c r="H56" s="28" t="n"/>
      <c r="K56" s="20" t="n"/>
      <c r="L56" s="20" t="n"/>
      <c r="M56" s="20" t="n"/>
      <c r="N56" s="20" t="n"/>
      <c r="O56" s="20" t="n"/>
      <c r="P56" s="20" t="n"/>
    </row>
    <row r="57" ht="16" customFormat="1" customHeight="1" s="12">
      <c r="B57" s="17" t="n"/>
      <c r="H57" s="28" t="n"/>
      <c r="K57" s="20" t="n"/>
      <c r="L57" s="20" t="n"/>
      <c r="M57" s="20" t="n"/>
      <c r="N57" s="20" t="n"/>
      <c r="O57" s="20" t="n"/>
      <c r="P57" s="20" t="n"/>
    </row>
    <row r="58" ht="16" customFormat="1" customHeight="1" s="12">
      <c r="B58" s="17" t="n"/>
      <c r="H58" s="28" t="n"/>
      <c r="K58" s="20" t="n"/>
      <c r="L58" s="20" t="n"/>
      <c r="M58" s="20" t="n"/>
      <c r="N58" s="20" t="n"/>
      <c r="O58" s="20" t="n"/>
      <c r="P58" s="20" t="n"/>
    </row>
    <row r="59" ht="16" customFormat="1" customHeight="1" s="12">
      <c r="B59" s="17" t="n"/>
      <c r="H59" s="28" t="n"/>
      <c r="K59" s="20" t="n"/>
      <c r="L59" s="20" t="n"/>
      <c r="M59" s="20" t="n"/>
      <c r="N59" s="20" t="n"/>
      <c r="O59" s="20" t="n"/>
      <c r="P59" s="20" t="n"/>
    </row>
    <row r="60" ht="16" customFormat="1" customHeight="1" s="12">
      <c r="B60" s="17" t="n"/>
      <c r="H60" s="28" t="n"/>
      <c r="K60" s="20" t="n"/>
      <c r="L60" s="20" t="n"/>
      <c r="M60" s="20" t="n"/>
      <c r="N60" s="20" t="n"/>
      <c r="O60" s="20" t="n"/>
      <c r="P60" s="20" t="n"/>
    </row>
    <row r="61" ht="16" customFormat="1" customHeight="1" s="12">
      <c r="B61" s="17" t="n"/>
      <c r="H61" s="28" t="n"/>
      <c r="K61" s="20" t="n"/>
      <c r="L61" s="20" t="n"/>
      <c r="M61" s="20" t="n"/>
      <c r="N61" s="20" t="n"/>
      <c r="O61" s="20" t="n"/>
      <c r="P61" s="20" t="n"/>
    </row>
    <row r="62" ht="16" customFormat="1" customHeight="1" s="12">
      <c r="B62" s="17" t="n"/>
      <c r="H62" s="11" t="n"/>
      <c r="K62" s="20" t="n"/>
      <c r="L62" s="20" t="n"/>
      <c r="M62" s="20" t="n"/>
      <c r="N62" s="20" t="n"/>
      <c r="O62" s="20" t="n"/>
      <c r="P62" s="20" t="n"/>
    </row>
    <row r="63" ht="16" customFormat="1" customHeight="1" s="12">
      <c r="B63" s="17" t="n"/>
      <c r="H63" s="11" t="n"/>
      <c r="K63" s="20" t="n"/>
      <c r="L63" s="20" t="n"/>
      <c r="M63" s="20" t="n"/>
      <c r="N63" s="20" t="n"/>
      <c r="O63" s="20" t="n"/>
      <c r="P63" s="20" t="n"/>
    </row>
    <row r="64" ht="16" customFormat="1" customHeight="1" s="12">
      <c r="B64" s="17" t="n"/>
      <c r="H64" s="11" t="n"/>
      <c r="K64" s="20" t="n"/>
      <c r="L64" s="20" t="n"/>
      <c r="M64" s="20" t="n"/>
      <c r="N64" s="20" t="n"/>
      <c r="O64" s="20" t="n"/>
      <c r="P64" s="20" t="n"/>
    </row>
    <row r="65" ht="16" customFormat="1" customHeight="1" s="12">
      <c r="B65" s="17" t="n"/>
      <c r="H65" s="11" t="n"/>
      <c r="K65" s="20" t="n"/>
      <c r="L65" s="20" t="n"/>
      <c r="M65" s="20" t="n"/>
      <c r="N65" s="20" t="n"/>
      <c r="O65" s="20" t="n"/>
      <c r="P65" s="20" t="n"/>
    </row>
    <row r="66" ht="16" customFormat="1" customHeight="1" s="12">
      <c r="B66" s="17" t="n"/>
      <c r="H66" s="11" t="n"/>
      <c r="K66" s="20" t="n"/>
      <c r="L66" s="20" t="n"/>
      <c r="M66" s="20" t="n"/>
      <c r="N66" s="20" t="n"/>
      <c r="O66" s="20" t="n"/>
      <c r="P66" s="20" t="n"/>
    </row>
    <row r="67" ht="16" customFormat="1" customHeight="1" s="12">
      <c r="B67" s="17" t="n"/>
      <c r="H67" s="11" t="n"/>
      <c r="K67" s="20" t="n"/>
      <c r="L67" s="20" t="n"/>
      <c r="M67" s="20" t="n"/>
      <c r="N67" s="20" t="n"/>
      <c r="O67" s="20" t="n"/>
      <c r="P67" s="20" t="n"/>
    </row>
    <row r="68" ht="16" customFormat="1" customHeight="1" s="12">
      <c r="B68" s="17" t="n"/>
      <c r="H68" s="11" t="n"/>
      <c r="K68" s="20" t="n"/>
      <c r="L68" s="20" t="n"/>
      <c r="M68" s="20" t="n"/>
      <c r="N68" s="20" t="n"/>
      <c r="O68" s="20" t="n"/>
      <c r="P68" s="20" t="n"/>
    </row>
    <row r="69" ht="16" customFormat="1" customHeight="1" s="12">
      <c r="B69" s="17" t="n"/>
      <c r="H69" s="11" t="n"/>
      <c r="K69" s="20" t="n"/>
      <c r="L69" s="20" t="n"/>
      <c r="M69" s="20" t="n"/>
      <c r="N69" s="20" t="n"/>
      <c r="O69" s="20" t="n"/>
      <c r="P69" s="20" t="n"/>
    </row>
    <row r="70" ht="16" customFormat="1" customHeight="1" s="12">
      <c r="B70" s="17" t="n"/>
      <c r="H70" s="11" t="n"/>
      <c r="K70" s="20" t="n"/>
      <c r="L70" s="20" t="n"/>
      <c r="M70" s="20" t="n"/>
      <c r="N70" s="20" t="n"/>
      <c r="O70" s="20" t="n"/>
      <c r="P70" s="20" t="n"/>
    </row>
    <row r="71" ht="16" customFormat="1" customHeight="1" s="12">
      <c r="B71" s="17" t="n"/>
      <c r="H71" s="11" t="n"/>
      <c r="K71" s="20" t="n"/>
      <c r="L71" s="20" t="n"/>
      <c r="M71" s="20" t="n"/>
      <c r="N71" s="20" t="n"/>
      <c r="O71" s="20" t="n"/>
      <c r="P71" s="20" t="n"/>
    </row>
    <row r="72" ht="16" customFormat="1" customHeight="1" s="12">
      <c r="B72" s="17" t="n"/>
      <c r="H72" s="11" t="n"/>
      <c r="K72" s="20" t="n"/>
      <c r="L72" s="20" t="n"/>
      <c r="M72" s="20" t="n"/>
      <c r="N72" s="20" t="n"/>
      <c r="O72" s="20" t="n"/>
      <c r="P72" s="20" t="n"/>
    </row>
    <row r="73" ht="16" customFormat="1" customHeight="1" s="12">
      <c r="B73" s="17" t="n"/>
      <c r="H73" s="11" t="n"/>
      <c r="K73" s="20" t="n"/>
      <c r="L73" s="20" t="n"/>
      <c r="M73" s="20" t="n"/>
      <c r="N73" s="20" t="n"/>
      <c r="O73" s="20" t="n"/>
      <c r="P73" s="20" t="n"/>
    </row>
    <row r="74" ht="16" customFormat="1" customHeight="1" s="12">
      <c r="B74" s="17" t="n"/>
      <c r="H74" s="11" t="n"/>
      <c r="K74" s="20" t="n"/>
      <c r="L74" s="20" t="n"/>
      <c r="M74" s="20" t="n"/>
      <c r="N74" s="20" t="n"/>
      <c r="O74" s="20" t="n"/>
      <c r="P74" s="20" t="n"/>
    </row>
    <row r="75" ht="16" customFormat="1" customHeight="1" s="12">
      <c r="B75" s="17" t="n"/>
      <c r="H75" s="11" t="n"/>
      <c r="K75" s="20" t="n"/>
      <c r="L75" s="20" t="n"/>
      <c r="M75" s="20" t="n"/>
      <c r="N75" s="20" t="n"/>
      <c r="O75" s="20" t="n"/>
      <c r="P75" s="20" t="n"/>
    </row>
    <row r="76" ht="16" customFormat="1" customHeight="1" s="12">
      <c r="B76" s="17" t="n"/>
      <c r="H76" s="11" t="n"/>
      <c r="K76" s="20" t="n"/>
      <c r="L76" s="20" t="n"/>
      <c r="M76" s="20" t="n"/>
      <c r="N76" s="20" t="n"/>
      <c r="O76" s="20" t="n"/>
      <c r="P76" s="20" t="n"/>
    </row>
    <row r="77" ht="16" customFormat="1" customHeight="1" s="12">
      <c r="B77" s="17" t="n"/>
      <c r="H77" s="11" t="n"/>
      <c r="K77" s="20" t="n"/>
      <c r="L77" s="20" t="n"/>
      <c r="M77" s="20" t="n"/>
      <c r="N77" s="20" t="n"/>
      <c r="O77" s="20" t="n"/>
      <c r="P77" s="20" t="n"/>
    </row>
    <row r="78" ht="16" customFormat="1" customHeight="1" s="12">
      <c r="B78" s="17" t="n"/>
      <c r="H78" s="11" t="n"/>
      <c r="K78" s="20" t="n"/>
      <c r="L78" s="20" t="n"/>
      <c r="M78" s="20" t="n"/>
      <c r="N78" s="20" t="n"/>
      <c r="O78" s="20" t="n"/>
      <c r="P78" s="20" t="n"/>
    </row>
    <row r="79" ht="16" customFormat="1" customHeight="1" s="12">
      <c r="B79" s="17" t="n"/>
      <c r="H79" s="11" t="n"/>
      <c r="K79" s="20" t="n"/>
      <c r="L79" s="20" t="n"/>
      <c r="M79" s="20" t="n"/>
      <c r="N79" s="20" t="n"/>
      <c r="O79" s="20" t="n"/>
      <c r="P79" s="20" t="n"/>
    </row>
    <row r="80" ht="16" customFormat="1" customHeight="1" s="12">
      <c r="B80" s="17" t="n"/>
      <c r="H80" s="11" t="n"/>
      <c r="K80" s="20" t="n"/>
      <c r="L80" s="20" t="n"/>
      <c r="M80" s="20" t="n"/>
      <c r="N80" s="20" t="n"/>
      <c r="O80" s="20" t="n"/>
      <c r="P80" s="20" t="n"/>
    </row>
    <row r="81" ht="16" customFormat="1" customHeight="1" s="12">
      <c r="B81" s="17" t="n"/>
      <c r="H81" s="11" t="n"/>
      <c r="K81" s="20" t="n"/>
      <c r="L81" s="20" t="n"/>
      <c r="M81" s="20" t="n"/>
      <c r="N81" s="20" t="n"/>
      <c r="O81" s="20" t="n"/>
      <c r="P81" s="20" t="n"/>
    </row>
    <row r="82" ht="16" customFormat="1" customHeight="1" s="12">
      <c r="B82" s="17" t="n"/>
      <c r="H82" s="11" t="n"/>
      <c r="K82" s="20" t="n"/>
      <c r="L82" s="20" t="n"/>
      <c r="M82" s="20" t="n"/>
      <c r="N82" s="20" t="n"/>
      <c r="O82" s="20" t="n"/>
      <c r="P82" s="20" t="n"/>
    </row>
    <row r="83" ht="16" customFormat="1" customHeight="1" s="12">
      <c r="B83" s="17" t="n"/>
      <c r="H83" s="11" t="n"/>
      <c r="K83" s="20" t="n"/>
      <c r="L83" s="20" t="n"/>
      <c r="M83" s="20" t="n"/>
      <c r="N83" s="20" t="n"/>
      <c r="O83" s="20" t="n"/>
      <c r="P83" s="20" t="n"/>
    </row>
    <row r="84" ht="16" customFormat="1" customHeight="1" s="12">
      <c r="B84" s="17" t="n"/>
      <c r="H84" s="11" t="n"/>
      <c r="K84" s="20" t="n"/>
      <c r="L84" s="20" t="n"/>
      <c r="M84" s="20" t="n"/>
      <c r="N84" s="20" t="n"/>
      <c r="O84" s="20" t="n"/>
      <c r="P84" s="20" t="n"/>
    </row>
    <row r="85" ht="16" customFormat="1" customHeight="1" s="12">
      <c r="B85" s="17" t="n"/>
      <c r="H85" s="11" t="n"/>
      <c r="K85" s="20" t="n"/>
      <c r="L85" s="20" t="n"/>
      <c r="M85" s="20" t="n"/>
      <c r="N85" s="20" t="n"/>
      <c r="O85" s="20" t="n"/>
      <c r="P85" s="20" t="n"/>
    </row>
    <row r="86" ht="16" customFormat="1" customHeight="1" s="12">
      <c r="B86" s="17" t="n"/>
      <c r="H86" s="11" t="n"/>
      <c r="K86" s="20" t="n"/>
      <c r="L86" s="20" t="n"/>
      <c r="M86" s="20" t="n"/>
      <c r="N86" s="20" t="n"/>
      <c r="O86" s="20" t="n"/>
      <c r="P86" s="20" t="n"/>
    </row>
    <row r="87" ht="16" customFormat="1" customHeight="1" s="12">
      <c r="B87" s="17" t="n"/>
      <c r="H87" s="11" t="n"/>
      <c r="K87" s="20" t="n"/>
      <c r="L87" s="20" t="n"/>
      <c r="M87" s="20" t="n"/>
      <c r="N87" s="20" t="n"/>
      <c r="O87" s="20" t="n"/>
      <c r="P87" s="20" t="n"/>
    </row>
    <row r="88" ht="16" customFormat="1" customHeight="1" s="12">
      <c r="B88" s="17" t="n"/>
      <c r="H88" s="11" t="n"/>
      <c r="K88" s="20" t="n"/>
      <c r="L88" s="20" t="n"/>
      <c r="M88" s="20" t="n"/>
      <c r="N88" s="20" t="n"/>
      <c r="O88" s="20" t="n"/>
      <c r="P88" s="20" t="n"/>
    </row>
    <row r="89" ht="16" customFormat="1" customHeight="1" s="12">
      <c r="B89" s="17" t="n"/>
      <c r="H89" s="11" t="n"/>
      <c r="K89" s="20" t="n"/>
      <c r="L89" s="20" t="n"/>
      <c r="M89" s="20" t="n"/>
      <c r="N89" s="20" t="n"/>
      <c r="O89" s="20" t="n"/>
      <c r="P89" s="20" t="n"/>
    </row>
    <row r="90" ht="16" customFormat="1" customHeight="1" s="12">
      <c r="B90" s="17" t="n"/>
      <c r="H90" s="11" t="n"/>
      <c r="K90" s="20" t="n"/>
      <c r="L90" s="20" t="n"/>
      <c r="M90" s="20" t="n"/>
      <c r="N90" s="20" t="n"/>
      <c r="O90" s="20" t="n"/>
      <c r="P90" s="20" t="n"/>
    </row>
    <row r="91" ht="16" customFormat="1" customHeight="1" s="12">
      <c r="B91" s="17" t="n"/>
      <c r="H91" s="11" t="n"/>
      <c r="K91" s="20" t="n"/>
      <c r="L91" s="20" t="n"/>
      <c r="M91" s="20" t="n"/>
      <c r="N91" s="20" t="n"/>
      <c r="O91" s="20" t="n"/>
      <c r="P91" s="20" t="n"/>
    </row>
    <row r="92" ht="16" customFormat="1" customHeight="1" s="12">
      <c r="B92" s="17" t="n"/>
      <c r="H92" s="11" t="n"/>
      <c r="K92" s="20" t="n"/>
      <c r="L92" s="20" t="n"/>
      <c r="M92" s="20" t="n"/>
      <c r="N92" s="20" t="n"/>
      <c r="O92" s="20" t="n"/>
      <c r="P92" s="20" t="n"/>
    </row>
    <row r="93" ht="16" customFormat="1" customHeight="1" s="12">
      <c r="B93" s="17" t="n"/>
      <c r="H93" s="11" t="n"/>
      <c r="K93" s="20" t="n"/>
      <c r="L93" s="20" t="n"/>
      <c r="M93" s="20" t="n"/>
      <c r="N93" s="20" t="n"/>
      <c r="O93" s="20" t="n"/>
      <c r="P93" s="20" t="n"/>
    </row>
    <row r="94" ht="16" customFormat="1" customHeight="1" s="12">
      <c r="B94" s="17" t="n"/>
      <c r="H94" s="11" t="n"/>
      <c r="K94" s="20" t="n"/>
      <c r="L94" s="20" t="n"/>
      <c r="M94" s="20" t="n"/>
      <c r="N94" s="20" t="n"/>
      <c r="O94" s="20" t="n"/>
      <c r="P94" s="20" t="n"/>
    </row>
    <row r="95" ht="16" customFormat="1" customHeight="1" s="12">
      <c r="B95" s="17" t="n"/>
      <c r="H95" s="11" t="n"/>
      <c r="K95" s="20" t="n"/>
      <c r="L95" s="20" t="n"/>
      <c r="M95" s="20" t="n"/>
      <c r="N95" s="20" t="n"/>
      <c r="O95" s="20" t="n"/>
      <c r="P95" s="20" t="n"/>
    </row>
    <row r="96" ht="16" customFormat="1" customHeight="1" s="12">
      <c r="B96" s="17" t="n"/>
      <c r="H96" s="11" t="n"/>
      <c r="K96" s="20" t="n"/>
      <c r="L96" s="20" t="n"/>
      <c r="M96" s="20" t="n"/>
      <c r="N96" s="20" t="n"/>
      <c r="O96" s="20" t="n"/>
      <c r="P96" s="20" t="n"/>
    </row>
    <row r="97" ht="16" customFormat="1" customHeight="1" s="12">
      <c r="B97" s="17" t="n"/>
      <c r="H97" s="11" t="n"/>
      <c r="K97" s="20" t="n"/>
      <c r="L97" s="20" t="n"/>
      <c r="M97" s="20" t="n"/>
      <c r="N97" s="20" t="n"/>
      <c r="O97" s="20" t="n"/>
      <c r="P97" s="20" t="n"/>
    </row>
    <row r="98" ht="16" customFormat="1" customHeight="1" s="12">
      <c r="B98" s="17" t="n"/>
      <c r="H98" s="11" t="n"/>
      <c r="K98" s="20" t="n"/>
      <c r="L98" s="20" t="n"/>
      <c r="M98" s="20" t="n"/>
      <c r="N98" s="20" t="n"/>
      <c r="O98" s="20" t="n"/>
      <c r="P98" s="20" t="n"/>
    </row>
    <row r="99" ht="16" customFormat="1" customHeight="1" s="12">
      <c r="B99" s="17" t="n"/>
      <c r="H99" s="11" t="n"/>
      <c r="K99" s="20" t="n"/>
      <c r="L99" s="20" t="n"/>
      <c r="M99" s="20" t="n"/>
      <c r="N99" s="20" t="n"/>
      <c r="O99" s="20" t="n"/>
      <c r="P99" s="20" t="n"/>
    </row>
    <row r="100" ht="15.5" customFormat="1" customHeight="1" s="12">
      <c r="A100" s="29" t="n"/>
      <c r="B100" s="30" t="n"/>
      <c r="G100" s="11" t="n"/>
      <c r="H100" s="11" t="n"/>
      <c r="K100" s="20" t="n"/>
      <c r="L100" s="20" t="n"/>
      <c r="M100" s="20" t="n"/>
      <c r="N100" s="20" t="n"/>
      <c r="O100" s="20" t="n"/>
      <c r="P100" s="20" t="n"/>
    </row>
    <row r="101" ht="16" customFormat="1" customHeight="1" s="12">
      <c r="B101" s="30" t="n"/>
      <c r="D101" s="11" t="n"/>
      <c r="G101" s="11" t="n"/>
      <c r="H101" s="11" t="n"/>
      <c r="K101" s="20" t="n"/>
      <c r="L101" s="20" t="n"/>
      <c r="M101" s="20" t="n"/>
      <c r="N101" s="20" t="n"/>
      <c r="O101" s="20" t="n"/>
      <c r="P101" s="20" t="n"/>
    </row>
    <row r="102" ht="16" customFormat="1" customHeight="1" s="12">
      <c r="B102" s="30" t="n"/>
      <c r="D102" s="11" t="n"/>
      <c r="G102" s="11" t="n"/>
      <c r="H102" s="11" t="n"/>
      <c r="K102" s="20" t="n"/>
      <c r="L102" s="20" t="n"/>
      <c r="M102" s="20" t="n"/>
      <c r="N102" s="20" t="n"/>
      <c r="O102" s="20" t="n"/>
      <c r="P102" s="20" t="n"/>
    </row>
    <row r="103" ht="16" customFormat="1" customHeight="1" s="12">
      <c r="B103" s="17" t="n"/>
      <c r="G103" s="11" t="n"/>
      <c r="K103" s="20" t="n"/>
      <c r="L103" s="20" t="n"/>
      <c r="M103" s="20" t="n"/>
      <c r="N103" s="20" t="n"/>
      <c r="O103" s="20" t="n"/>
      <c r="P103" s="20" t="n"/>
    </row>
    <row r="104" ht="16" customFormat="1" customHeight="1" s="12">
      <c r="B104" s="17" t="n"/>
      <c r="K104" s="13" t="n"/>
      <c r="L104" s="13" t="n"/>
      <c r="M104" s="13" t="n"/>
      <c r="N104" s="13" t="n"/>
      <c r="O104" s="13" t="n"/>
      <c r="P104" s="13" t="n"/>
    </row>
    <row r="105" ht="16" customFormat="1" customHeight="1" s="12">
      <c r="A105" s="9" t="n"/>
      <c r="B105" s="10" t="n"/>
      <c r="K105" s="25" t="n"/>
      <c r="L105" s="26" t="n"/>
      <c r="M105" s="13" t="n"/>
      <c r="N105" s="13" t="n"/>
      <c r="O105" s="13" t="n"/>
      <c r="P105" s="13" t="n"/>
    </row>
    <row r="106" ht="16" customFormat="1" customHeight="1" s="12">
      <c r="A106" s="14" t="n"/>
      <c r="B106" s="15" t="n"/>
      <c r="K106" s="27" t="n"/>
      <c r="L106" s="26" t="n"/>
      <c r="M106" s="13" t="n"/>
      <c r="N106" s="13" t="n"/>
      <c r="O106" s="13" t="n"/>
      <c r="P106" s="13" t="n"/>
    </row>
    <row r="107" ht="16" customFormat="1" customHeight="1" s="12">
      <c r="A107" s="14" t="n"/>
      <c r="B107" s="15" t="n"/>
      <c r="K107" s="13" t="n"/>
      <c r="L107" s="26" t="n"/>
      <c r="M107" s="13" t="n"/>
      <c r="N107" s="13" t="n"/>
      <c r="O107" s="13" t="n"/>
      <c r="P107" s="13" t="n"/>
    </row>
    <row r="108" ht="16" customFormat="1" customHeight="1" s="12">
      <c r="A108" s="14" t="n"/>
      <c r="B108" s="17" t="n"/>
      <c r="K108" s="13" t="n"/>
      <c r="L108" s="13" t="n"/>
      <c r="M108" s="13" t="n"/>
      <c r="N108" s="13" t="n"/>
      <c r="O108" s="13" t="n"/>
      <c r="P108" s="13" t="n"/>
    </row>
    <row r="109" ht="16.25" customFormat="1" customHeight="1" s="12">
      <c r="A109" s="14" t="n"/>
      <c r="B109" s="15" t="n"/>
      <c r="K109" s="13" t="n"/>
      <c r="L109" s="13" t="n"/>
      <c r="M109" s="13" t="n"/>
      <c r="N109" s="13" t="n"/>
      <c r="O109" s="13" t="n"/>
      <c r="P109" s="13" t="n"/>
    </row>
    <row r="110" ht="16" customFormat="1" customHeight="1" s="12">
      <c r="A110" s="14" t="n"/>
      <c r="B110" s="17" t="n"/>
      <c r="H110" s="18" t="n"/>
      <c r="I110" s="18" t="n"/>
      <c r="K110" s="13" t="n"/>
      <c r="L110" s="13" t="n"/>
      <c r="M110" s="13" t="n"/>
      <c r="N110" s="13" t="n"/>
      <c r="O110" s="13" t="n"/>
      <c r="P110" s="13" t="n"/>
    </row>
    <row r="111" ht="16" customFormat="1" customHeight="1" s="12">
      <c r="A111" s="18" t="n"/>
      <c r="B111" s="10" t="n"/>
      <c r="C111" s="18" t="n"/>
      <c r="D111" s="18" t="n"/>
      <c r="E111" s="18" t="n"/>
      <c r="F111" s="18" t="n"/>
      <c r="G111" s="18" t="n"/>
      <c r="H111" s="11" t="n"/>
      <c r="I111" s="11" t="n"/>
      <c r="K111" s="13" t="n"/>
      <c r="L111" s="13" t="n"/>
      <c r="M111" s="13" t="n"/>
      <c r="N111" s="13" t="n"/>
      <c r="O111" s="13" t="n"/>
      <c r="P111" s="13" t="n"/>
    </row>
    <row r="112" ht="16" customFormat="1" customHeight="1" s="12">
      <c r="A112" s="18" t="n"/>
      <c r="B112" s="10" t="n"/>
      <c r="C112" s="18" t="n"/>
      <c r="D112" s="18" t="n"/>
      <c r="E112" s="24" t="n"/>
      <c r="F112" s="18" t="n"/>
      <c r="G112" s="18" t="n"/>
      <c r="H112" s="24" t="n"/>
      <c r="I112" s="18" t="n"/>
      <c r="J112" s="8" t="n"/>
      <c r="K112" s="19" t="n"/>
      <c r="L112" s="19" t="n"/>
      <c r="M112" s="19" t="n"/>
      <c r="N112" s="19" t="n"/>
      <c r="O112" s="19" t="n"/>
      <c r="P112" s="19" t="n"/>
      <c r="Q112" s="8" t="n"/>
      <c r="R112" s="8" t="n"/>
      <c r="S112" s="18" t="n"/>
      <c r="T112" s="8" t="n"/>
    </row>
    <row r="113" ht="16" customFormat="1" customHeight="1" s="12">
      <c r="A113" s="17" t="n"/>
      <c r="B113" s="17" t="n"/>
      <c r="E113" s="11" t="n"/>
      <c r="G113" s="17" t="n"/>
      <c r="H113" s="11" t="n"/>
      <c r="I113" s="11" t="n"/>
      <c r="J113" s="11" t="n"/>
      <c r="K113" s="13" t="n"/>
      <c r="L113" s="13" t="n"/>
      <c r="M113" s="13" t="n"/>
      <c r="N113" s="13" t="n"/>
      <c r="O113" s="13" t="n"/>
      <c r="P113" s="13" t="n"/>
    </row>
    <row r="114" ht="16" customFormat="1" customHeight="1" s="12">
      <c r="B114" s="17" t="n"/>
      <c r="K114" s="20" t="n"/>
      <c r="L114" s="20" t="n"/>
      <c r="M114" s="20" t="n"/>
      <c r="N114" s="20" t="n"/>
      <c r="O114" s="20" t="n"/>
      <c r="P114" s="20" t="n"/>
      <c r="Q114" s="20" t="n"/>
    </row>
    <row r="115" ht="16" customFormat="1" customHeight="1" s="12">
      <c r="B115" s="17" t="n"/>
      <c r="K115" s="20" t="n"/>
      <c r="L115" s="20" t="n"/>
      <c r="M115" s="20" t="n"/>
      <c r="N115" s="20" t="n"/>
      <c r="O115" s="20" t="n"/>
      <c r="P115" s="20" t="n"/>
      <c r="Q115" s="20" t="n"/>
    </row>
    <row r="116" ht="16" customFormat="1" customHeight="1" s="12">
      <c r="B116" s="17" t="n"/>
      <c r="K116" s="20" t="n"/>
      <c r="L116" s="20" t="n"/>
      <c r="M116" s="20" t="n"/>
      <c r="N116" s="20" t="n"/>
      <c r="O116" s="20" t="n"/>
      <c r="P116" s="20" t="n"/>
      <c r="Q116" s="20" t="n"/>
    </row>
    <row r="117" ht="16" customFormat="1" customHeight="1" s="12">
      <c r="B117" s="17" t="n"/>
      <c r="K117" s="20" t="n"/>
      <c r="L117" s="20" t="n"/>
      <c r="M117" s="20" t="n"/>
      <c r="N117" s="20" t="n"/>
      <c r="O117" s="20" t="n"/>
      <c r="P117" s="20" t="n"/>
      <c r="Q117" s="20" t="n"/>
    </row>
    <row r="118" ht="16" customFormat="1" customHeight="1" s="12">
      <c r="B118" s="17" t="n"/>
      <c r="K118" s="20" t="n"/>
      <c r="L118" s="20" t="n"/>
      <c r="M118" s="20" t="n"/>
      <c r="N118" s="20" t="n"/>
      <c r="O118" s="20" t="n"/>
      <c r="P118" s="20" t="n"/>
      <c r="Q118" s="20" t="n"/>
    </row>
    <row r="119" ht="16" customFormat="1" customHeight="1" s="12">
      <c r="B119" s="17" t="n"/>
      <c r="K119" s="20" t="n"/>
      <c r="L119" s="20" t="n"/>
      <c r="M119" s="20" t="n"/>
      <c r="N119" s="20" t="n"/>
      <c r="O119" s="20" t="n"/>
      <c r="P119" s="20" t="n"/>
      <c r="Q119" s="20" t="n"/>
    </row>
    <row r="120" ht="16" customFormat="1" customHeight="1" s="12">
      <c r="B120" s="17" t="n"/>
      <c r="K120" s="20" t="n"/>
      <c r="L120" s="20" t="n"/>
      <c r="M120" s="20" t="n"/>
      <c r="N120" s="20" t="n"/>
      <c r="O120" s="20" t="n"/>
      <c r="P120" s="20" t="n"/>
      <c r="Q120" s="20" t="n"/>
    </row>
    <row r="121" ht="16" customFormat="1" customHeight="1" s="12">
      <c r="B121" s="17" t="n"/>
      <c r="K121" s="20" t="n"/>
      <c r="L121" s="20" t="n"/>
      <c r="M121" s="20" t="n"/>
      <c r="N121" s="20" t="n"/>
      <c r="O121" s="20" t="n"/>
      <c r="P121" s="20" t="n"/>
      <c r="Q121" s="20" t="n"/>
    </row>
    <row r="122" ht="16" customFormat="1" customHeight="1" s="12">
      <c r="B122" s="17" t="n"/>
      <c r="K122" s="20" t="n"/>
      <c r="L122" s="20" t="n"/>
      <c r="M122" s="20" t="n"/>
      <c r="N122" s="20" t="n"/>
      <c r="O122" s="20" t="n"/>
      <c r="P122" s="20" t="n"/>
      <c r="Q122" s="20" t="n"/>
    </row>
    <row r="123" ht="16" customFormat="1" customHeight="1" s="12">
      <c r="B123" s="17" t="n"/>
      <c r="K123" s="20" t="n"/>
      <c r="L123" s="20" t="n"/>
      <c r="M123" s="20" t="n"/>
      <c r="N123" s="20" t="n"/>
      <c r="O123" s="20" t="n"/>
      <c r="P123" s="20" t="n"/>
      <c r="Q123" s="20" t="n"/>
    </row>
    <row r="124" ht="16" customFormat="1" customHeight="1" s="12">
      <c r="B124" s="17" t="n"/>
      <c r="K124" s="20" t="n"/>
      <c r="L124" s="20" t="n"/>
      <c r="M124" s="20" t="n"/>
      <c r="N124" s="20" t="n"/>
      <c r="O124" s="20" t="n"/>
      <c r="P124" s="20" t="n"/>
      <c r="Q124" s="20" t="n"/>
    </row>
    <row r="125" ht="16" customFormat="1" customHeight="1" s="12">
      <c r="B125" s="17" t="n"/>
      <c r="K125" s="20" t="n"/>
      <c r="L125" s="20" t="n"/>
      <c r="M125" s="20" t="n"/>
      <c r="N125" s="20" t="n"/>
      <c r="O125" s="20" t="n"/>
      <c r="P125" s="20" t="n"/>
      <c r="Q125" s="20" t="n"/>
    </row>
    <row r="126" ht="16" customFormat="1" customHeight="1" s="12">
      <c r="B126" s="17" t="n"/>
      <c r="K126" s="20" t="n"/>
      <c r="L126" s="20" t="n"/>
      <c r="M126" s="20" t="n"/>
      <c r="N126" s="20" t="n"/>
      <c r="O126" s="20" t="n"/>
      <c r="P126" s="20" t="n"/>
      <c r="Q126" s="20" t="n"/>
    </row>
    <row r="127" ht="16" customFormat="1" customHeight="1" s="12">
      <c r="B127" s="17" t="n"/>
      <c r="K127" s="20" t="n"/>
      <c r="L127" s="20" t="n"/>
      <c r="M127" s="20" t="n"/>
      <c r="N127" s="20" t="n"/>
      <c r="O127" s="20" t="n"/>
      <c r="P127" s="20" t="n"/>
      <c r="Q127" s="20" t="n"/>
    </row>
    <row r="128" ht="16" customFormat="1" customHeight="1" s="12">
      <c r="B128" s="17" t="n"/>
      <c r="K128" s="20" t="n"/>
      <c r="L128" s="20" t="n"/>
      <c r="M128" s="20" t="n"/>
      <c r="N128" s="20" t="n"/>
      <c r="O128" s="20" t="n"/>
      <c r="P128" s="20" t="n"/>
      <c r="Q128" s="20" t="n"/>
    </row>
    <row r="129" ht="16" customFormat="1" customHeight="1" s="12">
      <c r="B129" s="17" t="n"/>
      <c r="K129" s="20" t="n"/>
      <c r="L129" s="20" t="n"/>
      <c r="M129" s="20" t="n"/>
      <c r="N129" s="20" t="n"/>
      <c r="O129" s="20" t="n"/>
      <c r="P129" s="20" t="n"/>
      <c r="Q129" s="20" t="n"/>
    </row>
    <row r="130" ht="16" customFormat="1" customHeight="1" s="12">
      <c r="B130" s="17" t="n"/>
      <c r="K130" s="20" t="n"/>
      <c r="L130" s="20" t="n"/>
      <c r="M130" s="20" t="n"/>
      <c r="N130" s="20" t="n"/>
      <c r="O130" s="20" t="n"/>
      <c r="P130" s="20" t="n"/>
      <c r="Q130" s="20" t="n"/>
    </row>
    <row r="131" ht="16" customFormat="1" customHeight="1" s="12">
      <c r="B131" s="17" t="n"/>
      <c r="K131" s="20" t="n"/>
      <c r="L131" s="20" t="n"/>
      <c r="M131" s="20" t="n"/>
      <c r="N131" s="20" t="n"/>
      <c r="O131" s="20" t="n"/>
      <c r="P131" s="20" t="n"/>
      <c r="Q131" s="20" t="n"/>
    </row>
    <row r="132" ht="16" customFormat="1" customHeight="1" s="12">
      <c r="B132" s="17" t="n"/>
      <c r="K132" s="20" t="n"/>
      <c r="L132" s="20" t="n"/>
      <c r="M132" s="20" t="n"/>
      <c r="N132" s="20" t="n"/>
      <c r="O132" s="20" t="n"/>
      <c r="P132" s="20" t="n"/>
      <c r="Q132" s="20" t="n"/>
    </row>
    <row r="133" ht="16" customFormat="1" customHeight="1" s="12">
      <c r="B133" s="17" t="n"/>
      <c r="K133" s="20" t="n"/>
      <c r="L133" s="20" t="n"/>
      <c r="M133" s="20" t="n"/>
      <c r="N133" s="20" t="n"/>
      <c r="O133" s="20" t="n"/>
      <c r="P133" s="20" t="n"/>
      <c r="Q133" s="20" t="n"/>
    </row>
    <row r="134" ht="16" customFormat="1" customHeight="1" s="12">
      <c r="B134" s="17" t="n"/>
      <c r="K134" s="20" t="n"/>
      <c r="L134" s="20" t="n"/>
      <c r="M134" s="20" t="n"/>
      <c r="N134" s="20" t="n"/>
      <c r="O134" s="20" t="n"/>
      <c r="P134" s="20" t="n"/>
      <c r="Q134" s="20" t="n"/>
    </row>
    <row r="135" ht="16" customFormat="1" customHeight="1" s="12">
      <c r="B135" s="17" t="n"/>
      <c r="K135" s="20" t="n"/>
      <c r="L135" s="20" t="n"/>
      <c r="M135" s="20" t="n"/>
      <c r="N135" s="20" t="n"/>
      <c r="O135" s="20" t="n"/>
      <c r="P135" s="20" t="n"/>
      <c r="Q135" s="20" t="n"/>
    </row>
    <row r="136" ht="16" customFormat="1" customHeight="1" s="12">
      <c r="B136" s="17" t="n"/>
      <c r="K136" s="20" t="n"/>
      <c r="L136" s="20" t="n"/>
      <c r="M136" s="20" t="n"/>
      <c r="N136" s="20" t="n"/>
      <c r="O136" s="20" t="n"/>
      <c r="P136" s="20" t="n"/>
      <c r="Q136" s="20" t="n"/>
    </row>
    <row r="137" ht="16" customFormat="1" customHeight="1" s="12">
      <c r="B137" s="17" t="n"/>
      <c r="K137" s="20" t="n"/>
      <c r="L137" s="20" t="n"/>
      <c r="M137" s="20" t="n"/>
      <c r="N137" s="20" t="n"/>
      <c r="O137" s="20" t="n"/>
      <c r="P137" s="20" t="n"/>
      <c r="Q137" s="20" t="n"/>
    </row>
    <row r="138" ht="16" customFormat="1" customHeight="1" s="12">
      <c r="B138" s="17" t="n"/>
      <c r="K138" s="20" t="n"/>
      <c r="L138" s="20" t="n"/>
      <c r="M138" s="20" t="n"/>
      <c r="N138" s="20" t="n"/>
      <c r="O138" s="20" t="n"/>
      <c r="P138" s="20" t="n"/>
      <c r="Q138" s="20" t="n"/>
    </row>
    <row r="139" ht="16" customFormat="1" customHeight="1" s="12">
      <c r="B139" s="17" t="n"/>
      <c r="K139" s="20" t="n"/>
      <c r="L139" s="20" t="n"/>
      <c r="M139" s="20" t="n"/>
      <c r="N139" s="20" t="n"/>
      <c r="O139" s="20" t="n"/>
      <c r="P139" s="20" t="n"/>
      <c r="Q139" s="20" t="n"/>
    </row>
    <row r="140" ht="16" customFormat="1" customHeight="1" s="12">
      <c r="B140" s="17" t="n"/>
      <c r="K140" s="20" t="n"/>
      <c r="L140" s="20" t="n"/>
      <c r="M140" s="20" t="n"/>
      <c r="N140" s="20" t="n"/>
      <c r="O140" s="20" t="n"/>
      <c r="P140" s="20" t="n"/>
      <c r="Q140" s="20" t="n"/>
    </row>
    <row r="141" ht="16" customFormat="1" customHeight="1" s="12">
      <c r="B141" s="17" t="n"/>
      <c r="K141" s="20" t="n"/>
      <c r="L141" s="20" t="n"/>
      <c r="M141" s="20" t="n"/>
      <c r="N141" s="20" t="n"/>
      <c r="O141" s="20" t="n"/>
      <c r="P141" s="20" t="n"/>
      <c r="Q141" s="20" t="n"/>
    </row>
    <row r="142" ht="16" customFormat="1" customHeight="1" s="12">
      <c r="B142" s="17" t="n"/>
      <c r="K142" s="20" t="n"/>
      <c r="L142" s="20" t="n"/>
      <c r="M142" s="20" t="n"/>
      <c r="N142" s="20" t="n"/>
      <c r="O142" s="20" t="n"/>
      <c r="P142" s="20" t="n"/>
      <c r="Q142" s="20" t="n"/>
    </row>
    <row r="143" ht="16" customFormat="1" customHeight="1" s="12">
      <c r="B143" s="17" t="n"/>
      <c r="K143" s="20" t="n"/>
      <c r="L143" s="20" t="n"/>
      <c r="M143" s="20" t="n"/>
      <c r="N143" s="20" t="n"/>
      <c r="O143" s="20" t="n"/>
      <c r="P143" s="20" t="n"/>
      <c r="Q143" s="20" t="n"/>
    </row>
    <row r="144" ht="16" customFormat="1" customHeight="1" s="12">
      <c r="B144" s="17" t="n"/>
      <c r="K144" s="20" t="n"/>
      <c r="L144" s="20" t="n"/>
      <c r="M144" s="20" t="n"/>
      <c r="N144" s="20" t="n"/>
      <c r="O144" s="20" t="n"/>
      <c r="P144" s="20" t="n"/>
      <c r="Q144" s="20" t="n"/>
    </row>
    <row r="145" ht="16" customFormat="1" customHeight="1" s="12">
      <c r="B145" s="17" t="n"/>
      <c r="K145" s="20" t="n"/>
      <c r="L145" s="20" t="n"/>
      <c r="M145" s="20" t="n"/>
      <c r="N145" s="20" t="n"/>
      <c r="O145" s="20" t="n"/>
      <c r="P145" s="20" t="n"/>
      <c r="Q145" s="20" t="n"/>
    </row>
    <row r="146" ht="16" customFormat="1" customHeight="1" s="12">
      <c r="B146" s="17" t="n"/>
      <c r="K146" s="13" t="n"/>
      <c r="L146" s="13" t="n"/>
      <c r="M146" s="13" t="n"/>
      <c r="N146" s="13" t="n"/>
      <c r="O146" s="13" t="n"/>
      <c r="P146" s="13" t="n"/>
    </row>
    <row r="147" ht="16" customFormat="1" customHeight="1" s="12">
      <c r="A147" s="9" t="n"/>
      <c r="B147" s="10" t="n"/>
      <c r="C147" s="11" t="n"/>
      <c r="K147" s="13" t="n"/>
      <c r="L147" s="13" t="n"/>
      <c r="M147" s="13" t="n"/>
      <c r="N147" s="13" t="n"/>
      <c r="O147" s="13" t="n"/>
      <c r="P147" s="13" t="n"/>
    </row>
    <row r="148" ht="16" customFormat="1" customHeight="1" s="12">
      <c r="A148" s="14" t="n"/>
      <c r="B148" s="15" t="n"/>
      <c r="K148" s="13" t="n"/>
      <c r="L148" s="13" t="n"/>
      <c r="M148" s="13" t="n"/>
      <c r="N148" s="13" t="n"/>
      <c r="O148" s="13" t="n"/>
      <c r="P148" s="13" t="n"/>
    </row>
    <row r="149" ht="16" customFormat="1" customHeight="1" s="12">
      <c r="A149" s="14" t="n"/>
      <c r="B149" s="15" t="n"/>
      <c r="K149" s="13" t="n"/>
      <c r="L149" s="13" t="n"/>
      <c r="M149" s="13" t="n"/>
      <c r="N149" s="13" t="n"/>
      <c r="O149" s="13" t="n"/>
      <c r="P149" s="13" t="n"/>
    </row>
    <row r="150" ht="16" customFormat="1" customHeight="1" s="12">
      <c r="A150" s="14" t="n"/>
      <c r="B150" s="16" t="n"/>
      <c r="K150" s="13" t="n"/>
      <c r="L150" s="13" t="n"/>
      <c r="M150" s="13" t="n"/>
      <c r="N150" s="13" t="n"/>
      <c r="O150" s="13" t="n"/>
      <c r="P150" s="13" t="n"/>
    </row>
    <row r="151" ht="16" customFormat="1" customHeight="1" s="12">
      <c r="A151" s="14" t="n"/>
      <c r="B151" s="15" t="n"/>
      <c r="K151" s="13" t="n"/>
      <c r="L151" s="13" t="n"/>
      <c r="M151" s="13" t="n"/>
      <c r="N151" s="13" t="n"/>
      <c r="O151" s="13" t="n"/>
      <c r="P151" s="13" t="n"/>
    </row>
    <row r="152" ht="16" customFormat="1" customHeight="1" s="12">
      <c r="A152" s="14" t="n"/>
      <c r="B152" s="17" t="n"/>
      <c r="H152" s="18" t="n"/>
      <c r="I152" s="18" t="n"/>
      <c r="J152" s="18" t="n"/>
      <c r="K152" s="13" t="n"/>
      <c r="L152" s="13" t="n"/>
      <c r="M152" s="13" t="n"/>
      <c r="N152" s="13" t="n"/>
      <c r="O152" s="13" t="n"/>
      <c r="P152" s="13" t="n"/>
    </row>
    <row r="153" ht="16" customFormat="1" customHeight="1" s="12">
      <c r="A153" s="18" t="n"/>
      <c r="B153" s="10" t="n"/>
      <c r="C153" s="18" t="n"/>
      <c r="D153" s="18" t="n"/>
      <c r="E153" s="18" t="n"/>
      <c r="F153" s="18" t="n"/>
      <c r="G153" s="18" t="n"/>
      <c r="H153" s="11" t="n"/>
      <c r="I153" s="11" t="n"/>
      <c r="J153" s="11" t="n"/>
      <c r="K153" s="13" t="n"/>
      <c r="L153" s="13" t="n"/>
      <c r="M153" s="13" t="n"/>
      <c r="N153" s="13" t="n"/>
      <c r="O153" s="13" t="n"/>
      <c r="P153" s="13" t="n"/>
    </row>
    <row r="154" ht="16" customFormat="1" customHeight="1" s="12">
      <c r="A154" s="18" t="n"/>
      <c r="B154" s="10" t="n"/>
      <c r="C154" s="18" t="n"/>
      <c r="D154" s="18" t="n"/>
      <c r="E154" s="18" t="n"/>
      <c r="F154" s="18" t="n"/>
      <c r="G154" s="18" t="n"/>
      <c r="H154" s="24" t="n"/>
      <c r="I154" s="18" t="n"/>
      <c r="J154" s="8" t="n"/>
      <c r="K154" s="19" t="n"/>
      <c r="L154" s="19" t="n"/>
      <c r="M154" s="19" t="n"/>
      <c r="N154" s="19" t="n"/>
      <c r="O154" s="19" t="n"/>
      <c r="P154" s="19" t="n"/>
      <c r="Q154" s="8" t="n"/>
      <c r="R154" s="8" t="n"/>
      <c r="S154" s="18" t="n"/>
      <c r="T154" s="8" t="n"/>
    </row>
    <row r="155" ht="16" customFormat="1" customHeight="1" s="12">
      <c r="A155" s="17" t="n"/>
      <c r="B155" s="17" t="n"/>
      <c r="E155" s="11" t="n"/>
      <c r="H155" s="11" t="n"/>
      <c r="I155" s="11" t="n"/>
      <c r="K155" s="13" t="n"/>
      <c r="L155" s="13" t="n"/>
      <c r="M155" s="13" t="n"/>
      <c r="N155" s="13" t="n"/>
      <c r="O155" s="13" t="n"/>
      <c r="P155" s="13" t="n"/>
    </row>
    <row r="156" ht="16" customFormat="1" customHeight="1" s="12">
      <c r="A156" s="17" t="n"/>
      <c r="K156" s="20" t="n"/>
      <c r="L156" s="20" t="n"/>
      <c r="M156" s="20" t="n"/>
      <c r="N156" s="20" t="n"/>
      <c r="O156" s="20" t="n"/>
      <c r="P156" s="20" t="n"/>
    </row>
    <row r="157" ht="16" customFormat="1" customHeight="1" s="12">
      <c r="A157" s="17" t="n"/>
      <c r="K157" s="20" t="n"/>
      <c r="L157" s="20" t="n"/>
      <c r="M157" s="20" t="n"/>
      <c r="N157" s="20" t="n"/>
      <c r="O157" s="20" t="n"/>
      <c r="P157" s="20" t="n"/>
    </row>
    <row r="158" ht="16" customFormat="1" customHeight="1" s="12">
      <c r="A158" s="14" t="n"/>
      <c r="B158" s="17" t="n"/>
      <c r="E158" s="11" t="n"/>
      <c r="H158" s="11" t="n"/>
      <c r="K158" s="20" t="n"/>
      <c r="L158" s="20" t="n"/>
      <c r="M158" s="20" t="n"/>
      <c r="N158" s="20" t="n"/>
      <c r="O158" s="20" t="n"/>
      <c r="P158" s="20" t="n"/>
    </row>
    <row r="159" ht="16" customFormat="1" customHeight="1" s="12">
      <c r="A159" s="14" t="n"/>
      <c r="B159" s="17" t="n"/>
      <c r="E159" s="11" t="n"/>
      <c r="G159" s="14" t="n"/>
      <c r="H159" s="11" t="n"/>
      <c r="K159" s="20" t="n"/>
      <c r="L159" s="20" t="n"/>
      <c r="M159" s="20" t="n"/>
      <c r="N159" s="20" t="n"/>
      <c r="O159" s="20" t="n"/>
      <c r="P159" s="20" t="n"/>
    </row>
    <row r="160" ht="16" customFormat="1" customHeight="1" s="12">
      <c r="A160" s="14" t="n"/>
      <c r="B160" s="17" t="n"/>
      <c r="H160" s="21" t="n"/>
      <c r="K160" s="20" t="n"/>
      <c r="L160" s="20" t="n"/>
      <c r="M160" s="20" t="n"/>
      <c r="N160" s="20" t="n"/>
      <c r="O160" s="20" t="n"/>
      <c r="P160" s="20" t="n"/>
    </row>
    <row r="161" ht="16" customFormat="1" customHeight="1" s="12">
      <c r="A161" s="23" t="n"/>
      <c r="B161" s="16" t="n"/>
      <c r="C161" s="23" t="n"/>
      <c r="D161" s="23" t="n"/>
      <c r="E161" s="23" t="n"/>
      <c r="F161" s="23" t="n"/>
      <c r="G161" s="23" t="n"/>
      <c r="H161" s="23" t="n"/>
      <c r="K161" s="20" t="n"/>
      <c r="L161" s="20" t="n"/>
      <c r="M161" s="20" t="n"/>
      <c r="N161" s="20" t="n"/>
      <c r="O161" s="20" t="n"/>
      <c r="P161" s="20" t="n"/>
      <c r="Q161" s="20" t="n"/>
    </row>
    <row r="162" ht="16" customFormat="1" customHeight="1" s="12">
      <c r="B162" s="17" t="n"/>
      <c r="K162" s="13" t="n"/>
      <c r="L162" s="13" t="n"/>
      <c r="M162" s="13" t="n"/>
      <c r="N162" s="13" t="n"/>
      <c r="O162" s="13" t="n"/>
      <c r="P162" s="13" t="n"/>
    </row>
    <row r="163" ht="16" customFormat="1" customHeight="1" s="12">
      <c r="A163" s="9" t="n"/>
      <c r="B163" s="10" t="n"/>
      <c r="K163" s="13" t="n"/>
      <c r="L163" s="13" t="n"/>
      <c r="M163" s="13" t="n"/>
      <c r="N163" s="13" t="n"/>
      <c r="O163" s="13" t="n"/>
      <c r="P163" s="13" t="n"/>
    </row>
    <row r="164" ht="16" customFormat="1" customHeight="1" s="12">
      <c r="A164" s="14" t="n"/>
      <c r="B164" s="15" t="n"/>
      <c r="K164" s="13" t="n"/>
      <c r="L164" s="13" t="n"/>
      <c r="M164" s="13" t="n"/>
      <c r="N164" s="13" t="n"/>
      <c r="O164" s="13" t="n"/>
      <c r="P164" s="13" t="n"/>
    </row>
    <row r="165" ht="16" customFormat="1" customHeight="1" s="12">
      <c r="A165" s="14" t="n"/>
      <c r="B165" s="15" t="n"/>
      <c r="K165" s="13" t="n"/>
      <c r="L165" s="13" t="n"/>
      <c r="M165" s="13" t="n"/>
      <c r="N165" s="13" t="n"/>
      <c r="O165" s="13" t="n"/>
      <c r="P165" s="13" t="n"/>
    </row>
    <row r="166" ht="16" customFormat="1" customHeight="1" s="12">
      <c r="A166" s="14" t="n"/>
      <c r="B166" s="17" t="n"/>
      <c r="K166" s="13" t="n"/>
      <c r="L166" s="13" t="n"/>
      <c r="M166" s="13" t="n"/>
      <c r="N166" s="13" t="n"/>
      <c r="O166" s="13" t="n"/>
      <c r="P166" s="13" t="n"/>
    </row>
    <row r="167" ht="16" customFormat="1" customHeight="1" s="12">
      <c r="A167" s="14" t="n"/>
      <c r="B167" s="15" t="n"/>
      <c r="K167" s="13" t="n"/>
      <c r="L167" s="13" t="n"/>
      <c r="M167" s="13" t="n"/>
      <c r="N167" s="13" t="n"/>
      <c r="O167" s="13" t="n"/>
      <c r="P167" s="13" t="n"/>
    </row>
    <row r="168" ht="16" customFormat="1" customHeight="1" s="12">
      <c r="A168" s="14" t="n"/>
      <c r="B168" s="17" t="n"/>
      <c r="K168" s="13" t="n"/>
      <c r="L168" s="13" t="n"/>
      <c r="M168" s="13" t="n"/>
      <c r="N168" s="13" t="n"/>
      <c r="O168" s="13" t="n"/>
      <c r="P168" s="13" t="n"/>
    </row>
    <row r="169" ht="16" customFormat="1" customHeight="1" s="12">
      <c r="A169" s="18" t="n"/>
      <c r="B169" s="10" t="n"/>
      <c r="C169" s="18" t="n"/>
      <c r="D169" s="18" t="n"/>
      <c r="E169" s="18" t="n"/>
      <c r="F169" s="18" t="n"/>
      <c r="G169" s="18" t="n"/>
      <c r="H169" s="18" t="n"/>
      <c r="I169" s="18" t="n"/>
      <c r="J169" s="18" t="n"/>
      <c r="K169" s="13" t="n"/>
      <c r="L169" s="13" t="n"/>
      <c r="M169" s="13" t="n"/>
      <c r="N169" s="13" t="n"/>
      <c r="O169" s="13" t="n"/>
      <c r="P169" s="13" t="n"/>
    </row>
    <row r="170" ht="16" customFormat="1" customHeight="1" s="12">
      <c r="A170" s="18" t="n"/>
      <c r="B170" s="10" t="n"/>
      <c r="C170" s="18" t="n"/>
      <c r="D170" s="18" t="n"/>
      <c r="E170" s="24" t="n"/>
      <c r="F170" s="18" t="n"/>
      <c r="G170" s="18" t="n"/>
      <c r="H170" s="24" t="n"/>
      <c r="I170" s="18" t="n"/>
      <c r="J170" s="8" t="n"/>
      <c r="K170" s="19" t="n"/>
      <c r="L170" s="19" t="n"/>
      <c r="M170" s="19" t="n"/>
      <c r="N170" s="19" t="n"/>
      <c r="O170" s="19" t="n"/>
      <c r="P170" s="19" t="n"/>
      <c r="Q170" s="8" t="n"/>
      <c r="R170" s="8" t="n"/>
      <c r="S170" s="18" t="n"/>
      <c r="T170" s="8" t="n"/>
    </row>
    <row r="171" ht="16" customFormat="1" customHeight="1" s="12">
      <c r="A171" s="17" t="n"/>
      <c r="B171" s="17" t="n"/>
      <c r="K171" s="13" t="n"/>
      <c r="L171" s="13" t="n"/>
      <c r="M171" s="13" t="n"/>
      <c r="N171" s="13" t="n"/>
      <c r="O171" s="13" t="n"/>
      <c r="P171" s="13" t="n"/>
    </row>
    <row r="172" ht="16" customFormat="1" customHeight="1" s="12">
      <c r="B172" s="13" t="n"/>
      <c r="K172" s="20" t="n"/>
      <c r="L172" s="20" t="n"/>
      <c r="M172" s="20" t="n"/>
      <c r="N172" s="20" t="n"/>
      <c r="O172" s="20" t="n"/>
      <c r="P172" s="20" t="n"/>
    </row>
    <row r="173" ht="16" customFormat="1" customHeight="1" s="12">
      <c r="B173" s="13" t="n"/>
      <c r="K173" s="20" t="n"/>
      <c r="L173" s="20" t="n"/>
      <c r="M173" s="20" t="n"/>
      <c r="N173" s="20" t="n"/>
      <c r="O173" s="20" t="n"/>
      <c r="P173" s="20" t="n"/>
    </row>
    <row r="174" ht="16" customFormat="1" customHeight="1" s="12">
      <c r="B174" s="13" t="n"/>
      <c r="K174" s="20" t="n"/>
      <c r="L174" s="20" t="n"/>
      <c r="M174" s="20" t="n"/>
      <c r="N174" s="20" t="n"/>
      <c r="O174" s="20" t="n"/>
      <c r="P174" s="20" t="n"/>
    </row>
    <row r="175" ht="16" customFormat="1" customHeight="1" s="12">
      <c r="B175" s="13" t="n"/>
      <c r="K175" s="20" t="n"/>
      <c r="L175" s="20" t="n"/>
      <c r="M175" s="20" t="n"/>
      <c r="N175" s="20" t="n"/>
      <c r="O175" s="20" t="n"/>
      <c r="P175" s="20" t="n"/>
    </row>
    <row r="176" ht="16" customFormat="1" customHeight="1" s="12">
      <c r="B176" s="13" t="n"/>
      <c r="E176" s="11" t="n"/>
      <c r="G176" s="11" t="n"/>
      <c r="K176" s="20" t="n"/>
      <c r="L176" s="20" t="n"/>
      <c r="M176" s="20" t="n"/>
      <c r="N176" s="20" t="n"/>
      <c r="O176" s="20" t="n"/>
      <c r="P176" s="20" t="n"/>
    </row>
    <row r="177" ht="16" customFormat="1" customHeight="1" s="12">
      <c r="B177" s="13" t="n"/>
      <c r="E177" s="11" t="n"/>
      <c r="G177" s="11" t="n"/>
      <c r="K177" s="20" t="n"/>
      <c r="L177" s="20" t="n"/>
      <c r="M177" s="20" t="n"/>
      <c r="N177" s="20" t="n"/>
      <c r="O177" s="20" t="n"/>
      <c r="P177" s="20" t="n"/>
    </row>
    <row r="178" ht="16" customFormat="1" customHeight="1" s="12">
      <c r="B178" s="13" t="n"/>
      <c r="E178" s="11" t="n"/>
      <c r="G178" s="11" t="n"/>
      <c r="K178" s="20" t="n"/>
      <c r="L178" s="20" t="n"/>
      <c r="M178" s="20" t="n"/>
      <c r="N178" s="20" t="n"/>
      <c r="O178" s="20" t="n"/>
      <c r="P178" s="20" t="n"/>
    </row>
    <row r="179" ht="16" customFormat="1" customHeight="1" s="12">
      <c r="B179" s="17" t="n"/>
      <c r="F179" s="11" t="n"/>
      <c r="G179" s="11" t="n"/>
      <c r="K179" s="13" t="n"/>
      <c r="L179" s="13" t="n"/>
      <c r="M179" s="13" t="n"/>
      <c r="N179" s="13" t="n"/>
      <c r="O179" s="13" t="n"/>
      <c r="P179" s="13" t="n"/>
    </row>
    <row r="180" ht="16" customFormat="1" customHeight="1" s="12">
      <c r="A180" s="9" t="n"/>
      <c r="B180" s="10" t="n"/>
      <c r="K180" s="25" t="n"/>
      <c r="L180" s="26" t="n"/>
      <c r="M180" s="13" t="n"/>
      <c r="N180" s="13" t="n"/>
      <c r="O180" s="13" t="n"/>
      <c r="P180" s="13" t="n"/>
    </row>
    <row r="181" ht="16" customFormat="1" customHeight="1" s="12">
      <c r="A181" s="14" t="n"/>
      <c r="B181" s="15" t="n"/>
      <c r="K181" s="27" t="n"/>
      <c r="L181" s="26" t="n"/>
      <c r="M181" s="13" t="n"/>
      <c r="N181" s="13" t="n"/>
      <c r="O181" s="13" t="n"/>
      <c r="P181" s="13" t="n"/>
    </row>
    <row r="182" ht="16" customFormat="1" customHeight="1" s="12">
      <c r="A182" s="14" t="n"/>
      <c r="B182" s="15" t="n"/>
      <c r="K182" s="13" t="n"/>
      <c r="L182" s="26" t="n"/>
      <c r="M182" s="13" t="n"/>
      <c r="N182" s="13" t="n"/>
      <c r="O182" s="13" t="n"/>
      <c r="P182" s="13" t="n"/>
    </row>
    <row r="183" ht="16" customFormat="1" customHeight="1" s="12">
      <c r="A183" s="14" t="n"/>
      <c r="B183" s="17" t="n"/>
      <c r="K183" s="13" t="n"/>
      <c r="L183" s="13" t="n"/>
      <c r="M183" s="13" t="n"/>
      <c r="N183" s="13" t="n"/>
      <c r="O183" s="13" t="n"/>
      <c r="P183" s="13" t="n"/>
    </row>
    <row r="184" ht="16.25" customFormat="1" customHeight="1" s="12">
      <c r="A184" s="14" t="n"/>
      <c r="B184" s="15" t="n"/>
      <c r="K184" s="13" t="n"/>
      <c r="L184" s="13" t="n"/>
      <c r="M184" s="13" t="n"/>
      <c r="N184" s="13" t="n"/>
      <c r="O184" s="13" t="n"/>
      <c r="P184" s="13" t="n"/>
    </row>
    <row r="185" ht="16" customFormat="1" customHeight="1" s="12">
      <c r="A185" s="14" t="n"/>
      <c r="B185" s="17" t="n"/>
      <c r="H185" s="18" t="n"/>
      <c r="I185" s="18" t="n"/>
      <c r="K185" s="13" t="n"/>
      <c r="L185" s="13" t="n"/>
      <c r="M185" s="13" t="n"/>
      <c r="N185" s="13" t="n"/>
      <c r="O185" s="13" t="n"/>
      <c r="P185" s="13" t="n"/>
    </row>
    <row r="186" ht="16" customFormat="1" customHeight="1" s="12">
      <c r="A186" s="18" t="n"/>
      <c r="B186" s="10" t="n"/>
      <c r="C186" s="18" t="n"/>
      <c r="D186" s="18" t="n"/>
      <c r="E186" s="18" t="n"/>
      <c r="F186" s="18" t="n"/>
      <c r="G186" s="18" t="n"/>
      <c r="H186" s="11" t="n"/>
      <c r="I186" s="11" t="n"/>
      <c r="K186" s="13" t="n"/>
      <c r="L186" s="13" t="n"/>
      <c r="M186" s="13" t="n"/>
      <c r="N186" s="13" t="n"/>
      <c r="O186" s="13" t="n"/>
      <c r="P186" s="13" t="n"/>
    </row>
    <row r="187" ht="16" customFormat="1" customHeight="1" s="12">
      <c r="A187" s="18" t="n"/>
      <c r="B187" s="10" t="n"/>
      <c r="C187" s="18" t="n"/>
      <c r="D187" s="18" t="n"/>
      <c r="E187" s="24" t="n"/>
      <c r="F187" s="18" t="n"/>
      <c r="G187" s="18" t="n"/>
      <c r="H187" s="24" t="n"/>
      <c r="I187" s="18" t="n"/>
      <c r="J187" s="8" t="n"/>
      <c r="K187" s="19" t="n"/>
      <c r="L187" s="19" t="n"/>
      <c r="M187" s="19" t="n"/>
      <c r="N187" s="19" t="n"/>
      <c r="O187" s="19" t="n"/>
      <c r="P187" s="19" t="n"/>
      <c r="Q187" s="8" t="n"/>
      <c r="R187" s="8" t="n"/>
      <c r="S187" s="18" t="n"/>
      <c r="T187" s="8" t="n"/>
    </row>
    <row r="188" ht="16" customFormat="1" customHeight="1" s="12">
      <c r="A188" s="17" t="n"/>
      <c r="B188" s="17" t="n"/>
      <c r="G188" s="17" t="n"/>
      <c r="H188" s="11" t="n"/>
      <c r="I188" s="11" t="n"/>
      <c r="J188" s="11" t="n"/>
      <c r="K188" s="13" t="n"/>
      <c r="L188" s="13" t="n"/>
      <c r="M188" s="13" t="n"/>
      <c r="N188" s="13" t="n"/>
      <c r="O188" s="13" t="n"/>
      <c r="P188" s="13" t="n"/>
    </row>
    <row r="189" ht="16" customFormat="1" customHeight="1" s="12">
      <c r="B189" s="17" t="n"/>
      <c r="H189" s="28" t="n"/>
      <c r="K189" s="20" t="n"/>
      <c r="L189" s="20" t="n"/>
      <c r="M189" s="20" t="n"/>
      <c r="N189" s="20" t="n"/>
      <c r="O189" s="20" t="n"/>
      <c r="P189" s="20" t="n"/>
    </row>
    <row r="190" ht="16" customFormat="1" customHeight="1" s="12">
      <c r="B190" s="17" t="n"/>
      <c r="H190" s="28" t="n"/>
      <c r="K190" s="20" t="n"/>
      <c r="L190" s="20" t="n"/>
      <c r="M190" s="20" t="n"/>
      <c r="N190" s="20" t="n"/>
      <c r="O190" s="20" t="n"/>
      <c r="P190" s="20" t="n"/>
    </row>
    <row r="191" ht="16" customFormat="1" customHeight="1" s="12">
      <c r="B191" s="17" t="n"/>
      <c r="H191" s="28" t="n"/>
      <c r="K191" s="20" t="n"/>
      <c r="L191" s="20" t="n"/>
      <c r="M191" s="20" t="n"/>
      <c r="N191" s="20" t="n"/>
      <c r="O191" s="20" t="n"/>
      <c r="P191" s="20" t="n"/>
    </row>
    <row r="192" ht="16" customFormat="1" customHeight="1" s="12">
      <c r="B192" s="17" t="n"/>
      <c r="H192" s="28" t="n"/>
      <c r="K192" s="20" t="n"/>
      <c r="L192" s="20" t="n"/>
      <c r="M192" s="20" t="n"/>
      <c r="N192" s="20" t="n"/>
      <c r="O192" s="20" t="n"/>
      <c r="P192" s="20" t="n"/>
    </row>
    <row r="193" ht="16" customFormat="1" customHeight="1" s="12">
      <c r="B193" s="17" t="n"/>
      <c r="H193" s="28" t="n"/>
      <c r="K193" s="20" t="n"/>
      <c r="L193" s="20" t="n"/>
      <c r="M193" s="20" t="n"/>
      <c r="N193" s="20" t="n"/>
      <c r="O193" s="20" t="n"/>
      <c r="P193" s="20" t="n"/>
    </row>
    <row r="194" ht="16" customFormat="1" customHeight="1" s="12">
      <c r="B194" s="17" t="n"/>
      <c r="H194" s="28" t="n"/>
      <c r="K194" s="20" t="n"/>
      <c r="L194" s="20" t="n"/>
      <c r="M194" s="20" t="n"/>
      <c r="N194" s="20" t="n"/>
      <c r="O194" s="20" t="n"/>
      <c r="P194" s="20" t="n"/>
    </row>
    <row r="195" ht="16" customFormat="1" customHeight="1" s="12">
      <c r="B195" s="17" t="n"/>
      <c r="H195" s="28" t="n"/>
      <c r="K195" s="20" t="n"/>
      <c r="L195" s="20" t="n"/>
      <c r="M195" s="20" t="n"/>
      <c r="N195" s="20" t="n"/>
      <c r="O195" s="20" t="n"/>
      <c r="P195" s="20" t="n"/>
    </row>
    <row r="196" ht="16" customFormat="1" customHeight="1" s="12">
      <c r="B196" s="17" t="n"/>
      <c r="H196" s="11" t="n"/>
      <c r="K196" s="20" t="n"/>
      <c r="L196" s="20" t="n"/>
      <c r="M196" s="20" t="n"/>
      <c r="N196" s="20" t="n"/>
      <c r="O196" s="20" t="n"/>
      <c r="P196" s="20" t="n"/>
    </row>
    <row r="197" ht="16" customFormat="1" customHeight="1" s="12">
      <c r="B197" s="17" t="n"/>
      <c r="H197" s="11" t="n"/>
      <c r="K197" s="20" t="n"/>
      <c r="L197" s="20" t="n"/>
      <c r="M197" s="20" t="n"/>
      <c r="N197" s="20" t="n"/>
      <c r="O197" s="20" t="n"/>
      <c r="P197" s="20" t="n"/>
    </row>
    <row r="198" ht="16" customFormat="1" customHeight="1" s="12">
      <c r="B198" s="17" t="n"/>
      <c r="H198" s="11" t="n"/>
      <c r="K198" s="20" t="n"/>
      <c r="L198" s="20" t="n"/>
      <c r="M198" s="20" t="n"/>
      <c r="N198" s="20" t="n"/>
      <c r="O198" s="20" t="n"/>
      <c r="P198" s="20" t="n"/>
    </row>
    <row r="199" ht="16" customFormat="1" customHeight="1" s="12">
      <c r="B199" s="17" t="n"/>
      <c r="H199" s="11" t="n"/>
      <c r="K199" s="20" t="n"/>
      <c r="L199" s="20" t="n"/>
      <c r="M199" s="20" t="n"/>
      <c r="N199" s="20" t="n"/>
      <c r="O199" s="20" t="n"/>
      <c r="P199" s="20" t="n"/>
    </row>
    <row r="200" ht="16" customFormat="1" customHeight="1" s="12">
      <c r="B200" s="17" t="n"/>
      <c r="H200" s="11" t="n"/>
      <c r="K200" s="20" t="n"/>
      <c r="L200" s="20" t="n"/>
      <c r="M200" s="20" t="n"/>
      <c r="N200" s="20" t="n"/>
      <c r="O200" s="20" t="n"/>
      <c r="P200" s="20" t="n"/>
    </row>
    <row r="201" ht="16" customFormat="1" customHeight="1" s="12">
      <c r="B201" s="17" t="n"/>
      <c r="H201" s="11" t="n"/>
      <c r="K201" s="20" t="n"/>
      <c r="L201" s="20" t="n"/>
      <c r="M201" s="20" t="n"/>
      <c r="N201" s="20" t="n"/>
      <c r="O201" s="20" t="n"/>
      <c r="P201" s="20" t="n"/>
    </row>
    <row r="202" ht="16" customFormat="1" customHeight="1" s="12">
      <c r="B202" s="17" t="n"/>
      <c r="H202" s="11" t="n"/>
      <c r="K202" s="20" t="n"/>
      <c r="L202" s="20" t="n"/>
      <c r="M202" s="20" t="n"/>
      <c r="N202" s="20" t="n"/>
      <c r="O202" s="20" t="n"/>
      <c r="P202" s="20" t="n"/>
    </row>
    <row r="203" ht="16" customFormat="1" customHeight="1" s="12">
      <c r="B203" s="17" t="n"/>
      <c r="H203" s="11" t="n"/>
      <c r="K203" s="20" t="n"/>
      <c r="L203" s="20" t="n"/>
      <c r="M203" s="20" t="n"/>
      <c r="N203" s="20" t="n"/>
      <c r="O203" s="20" t="n"/>
      <c r="P203" s="20" t="n"/>
    </row>
    <row r="204" ht="16" customFormat="1" customHeight="1" s="12">
      <c r="B204" s="17" t="n"/>
      <c r="H204" s="11" t="n"/>
      <c r="K204" s="20" t="n"/>
      <c r="L204" s="20" t="n"/>
      <c r="M204" s="20" t="n"/>
      <c r="N204" s="20" t="n"/>
      <c r="O204" s="20" t="n"/>
      <c r="P204" s="20" t="n"/>
    </row>
    <row r="205" ht="16" customFormat="1" customHeight="1" s="12">
      <c r="B205" s="17" t="n"/>
      <c r="H205" s="11" t="n"/>
      <c r="K205" s="20" t="n"/>
      <c r="L205" s="20" t="n"/>
      <c r="M205" s="20" t="n"/>
      <c r="N205" s="20" t="n"/>
      <c r="O205" s="20" t="n"/>
      <c r="P205" s="20" t="n"/>
    </row>
    <row r="206" ht="16" customFormat="1" customHeight="1" s="12">
      <c r="B206" s="17" t="n"/>
      <c r="H206" s="11" t="n"/>
      <c r="K206" s="20" t="n"/>
      <c r="L206" s="20" t="n"/>
      <c r="M206" s="20" t="n"/>
      <c r="N206" s="20" t="n"/>
      <c r="O206" s="20" t="n"/>
      <c r="P206" s="20" t="n"/>
    </row>
    <row r="207" ht="16" customFormat="1" customHeight="1" s="12">
      <c r="B207" s="17" t="n"/>
      <c r="H207" s="11" t="n"/>
      <c r="K207" s="20" t="n"/>
      <c r="L207" s="20" t="n"/>
      <c r="M207" s="20" t="n"/>
      <c r="N207" s="20" t="n"/>
      <c r="O207" s="20" t="n"/>
      <c r="P207" s="20" t="n"/>
    </row>
    <row r="208" ht="16" customFormat="1" customHeight="1" s="12">
      <c r="B208" s="17" t="n"/>
      <c r="H208" s="11" t="n"/>
      <c r="K208" s="20" t="n"/>
      <c r="L208" s="20" t="n"/>
      <c r="M208" s="20" t="n"/>
      <c r="N208" s="20" t="n"/>
      <c r="O208" s="20" t="n"/>
      <c r="P208" s="20" t="n"/>
    </row>
    <row r="209" ht="16" customFormat="1" customHeight="1" s="12">
      <c r="B209" s="17" t="n"/>
      <c r="H209" s="11" t="n"/>
      <c r="K209" s="20" t="n"/>
      <c r="L209" s="20" t="n"/>
      <c r="M209" s="20" t="n"/>
      <c r="N209" s="20" t="n"/>
      <c r="O209" s="20" t="n"/>
      <c r="P209" s="20" t="n"/>
    </row>
    <row r="210" ht="16" customFormat="1" customHeight="1" s="12">
      <c r="B210" s="17" t="n"/>
      <c r="H210" s="11" t="n"/>
      <c r="K210" s="20" t="n"/>
      <c r="L210" s="20" t="n"/>
      <c r="M210" s="20" t="n"/>
      <c r="N210" s="20" t="n"/>
      <c r="O210" s="20" t="n"/>
      <c r="P210" s="20" t="n"/>
    </row>
    <row r="211" ht="16" customFormat="1" customHeight="1" s="12">
      <c r="B211" s="17" t="n"/>
      <c r="H211" s="11" t="n"/>
      <c r="K211" s="20" t="n"/>
      <c r="L211" s="20" t="n"/>
      <c r="M211" s="20" t="n"/>
      <c r="N211" s="20" t="n"/>
      <c r="O211" s="20" t="n"/>
      <c r="P211" s="20" t="n"/>
    </row>
    <row r="212" ht="16" customFormat="1" customHeight="1" s="12">
      <c r="B212" s="17" t="n"/>
      <c r="H212" s="11" t="n"/>
      <c r="K212" s="20" t="n"/>
      <c r="L212" s="20" t="n"/>
      <c r="M212" s="20" t="n"/>
      <c r="N212" s="20" t="n"/>
      <c r="O212" s="20" t="n"/>
      <c r="P212" s="20" t="n"/>
    </row>
    <row r="213" ht="16" customFormat="1" customHeight="1" s="12">
      <c r="B213" s="17" t="n"/>
      <c r="H213" s="11" t="n"/>
      <c r="K213" s="20" t="n"/>
      <c r="L213" s="20" t="n"/>
      <c r="M213" s="20" t="n"/>
      <c r="N213" s="20" t="n"/>
      <c r="O213" s="20" t="n"/>
      <c r="P213" s="20" t="n"/>
    </row>
    <row r="214" ht="16" customFormat="1" customHeight="1" s="12">
      <c r="B214" s="17" t="n"/>
      <c r="H214" s="11" t="n"/>
      <c r="K214" s="20" t="n"/>
      <c r="L214" s="20" t="n"/>
      <c r="M214" s="20" t="n"/>
      <c r="N214" s="20" t="n"/>
      <c r="O214" s="20" t="n"/>
      <c r="P214" s="20" t="n"/>
    </row>
    <row r="215" ht="16" customFormat="1" customHeight="1" s="12">
      <c r="B215" s="17" t="n"/>
      <c r="H215" s="11" t="n"/>
      <c r="K215" s="20" t="n"/>
      <c r="L215" s="20" t="n"/>
      <c r="M215" s="20" t="n"/>
      <c r="N215" s="20" t="n"/>
      <c r="O215" s="20" t="n"/>
      <c r="P215" s="20" t="n"/>
    </row>
    <row r="216" ht="16" customFormat="1" customHeight="1" s="12">
      <c r="B216" s="17" t="n"/>
      <c r="H216" s="11" t="n"/>
      <c r="K216" s="20" t="n"/>
      <c r="L216" s="20" t="n"/>
      <c r="M216" s="20" t="n"/>
      <c r="N216" s="20" t="n"/>
      <c r="O216" s="20" t="n"/>
      <c r="P216" s="20" t="n"/>
    </row>
    <row r="217" ht="16" customFormat="1" customHeight="1" s="12">
      <c r="B217" s="17" t="n"/>
      <c r="H217" s="11" t="n"/>
      <c r="K217" s="20" t="n"/>
      <c r="L217" s="20" t="n"/>
      <c r="M217" s="20" t="n"/>
      <c r="N217" s="20" t="n"/>
      <c r="O217" s="20" t="n"/>
      <c r="P217" s="20" t="n"/>
    </row>
    <row r="218" ht="16" customFormat="1" customHeight="1" s="12">
      <c r="B218" s="17" t="n"/>
      <c r="H218" s="11" t="n"/>
      <c r="K218" s="20" t="n"/>
      <c r="L218" s="20" t="n"/>
      <c r="M218" s="20" t="n"/>
      <c r="N218" s="20" t="n"/>
      <c r="O218" s="20" t="n"/>
      <c r="P218" s="20" t="n"/>
    </row>
    <row r="219" ht="16" customFormat="1" customHeight="1" s="12">
      <c r="B219" s="17" t="n"/>
      <c r="H219" s="11" t="n"/>
      <c r="K219" s="20" t="n"/>
      <c r="L219" s="20" t="n"/>
      <c r="M219" s="20" t="n"/>
      <c r="N219" s="20" t="n"/>
      <c r="O219" s="20" t="n"/>
      <c r="P219" s="20" t="n"/>
    </row>
    <row r="220" ht="16" customFormat="1" customHeight="1" s="12">
      <c r="B220" s="17" t="n"/>
      <c r="H220" s="11" t="n"/>
      <c r="K220" s="20" t="n"/>
      <c r="L220" s="20" t="n"/>
      <c r="M220" s="20" t="n"/>
      <c r="N220" s="20" t="n"/>
      <c r="O220" s="20" t="n"/>
      <c r="P220" s="20" t="n"/>
    </row>
    <row r="221" ht="16" customFormat="1" customHeight="1" s="12">
      <c r="B221" s="17" t="n"/>
      <c r="H221" s="11" t="n"/>
      <c r="K221" s="20" t="n"/>
      <c r="L221" s="20" t="n"/>
      <c r="M221" s="20" t="n"/>
      <c r="N221" s="20" t="n"/>
      <c r="O221" s="20" t="n"/>
      <c r="P221" s="20" t="n"/>
    </row>
    <row r="222" ht="16" customFormat="1" customHeight="1" s="12">
      <c r="B222" s="17" t="n"/>
      <c r="H222" s="11" t="n"/>
      <c r="K222" s="20" t="n"/>
      <c r="L222" s="20" t="n"/>
      <c r="M222" s="20" t="n"/>
      <c r="N222" s="20" t="n"/>
      <c r="O222" s="20" t="n"/>
      <c r="P222" s="20" t="n"/>
    </row>
    <row r="223" ht="16" customFormat="1" customHeight="1" s="12">
      <c r="B223" s="17" t="n"/>
      <c r="H223" s="11" t="n"/>
      <c r="K223" s="20" t="n"/>
      <c r="L223" s="20" t="n"/>
      <c r="M223" s="20" t="n"/>
      <c r="N223" s="20" t="n"/>
      <c r="O223" s="20" t="n"/>
      <c r="P223" s="20" t="n"/>
    </row>
    <row r="224" ht="16" customFormat="1" customHeight="1" s="12">
      <c r="B224" s="17" t="n"/>
      <c r="H224" s="11" t="n"/>
      <c r="K224" s="20" t="n"/>
      <c r="L224" s="20" t="n"/>
      <c r="M224" s="20" t="n"/>
      <c r="N224" s="20" t="n"/>
      <c r="O224" s="20" t="n"/>
      <c r="P224" s="20" t="n"/>
    </row>
    <row r="225" ht="16" customFormat="1" customHeight="1" s="12">
      <c r="B225" s="17" t="n"/>
      <c r="H225" s="11" t="n"/>
      <c r="K225" s="20" t="n"/>
      <c r="L225" s="20" t="n"/>
      <c r="M225" s="20" t="n"/>
      <c r="N225" s="20" t="n"/>
      <c r="O225" s="20" t="n"/>
      <c r="P225" s="20" t="n"/>
    </row>
    <row r="226" ht="16" customFormat="1" customHeight="1" s="12">
      <c r="B226" s="17" t="n"/>
      <c r="H226" s="11" t="n"/>
      <c r="K226" s="20" t="n"/>
      <c r="L226" s="20" t="n"/>
      <c r="M226" s="20" t="n"/>
      <c r="N226" s="20" t="n"/>
      <c r="O226" s="20" t="n"/>
      <c r="P226" s="20" t="n"/>
    </row>
    <row r="227" ht="16" customFormat="1" customHeight="1" s="12">
      <c r="B227" s="17" t="n"/>
      <c r="H227" s="11" t="n"/>
      <c r="K227" s="20" t="n"/>
      <c r="L227" s="20" t="n"/>
      <c r="M227" s="20" t="n"/>
      <c r="N227" s="20" t="n"/>
      <c r="O227" s="20" t="n"/>
      <c r="P227" s="20" t="n"/>
    </row>
    <row r="228" ht="16" customFormat="1" customHeight="1" s="12">
      <c r="B228" s="17" t="n"/>
      <c r="H228" s="11" t="n"/>
      <c r="K228" s="20" t="n"/>
      <c r="L228" s="20" t="n"/>
      <c r="M228" s="20" t="n"/>
      <c r="N228" s="20" t="n"/>
      <c r="O228" s="20" t="n"/>
      <c r="P228" s="20" t="n"/>
    </row>
    <row r="229" ht="16" customFormat="1" customHeight="1" s="12">
      <c r="B229" s="17" t="n"/>
      <c r="H229" s="11" t="n"/>
      <c r="K229" s="20" t="n"/>
      <c r="L229" s="20" t="n"/>
      <c r="M229" s="20" t="n"/>
      <c r="N229" s="20" t="n"/>
      <c r="O229" s="20" t="n"/>
      <c r="P229" s="20" t="n"/>
    </row>
    <row r="230" ht="16" customFormat="1" customHeight="1" s="12">
      <c r="B230" s="17" t="n"/>
      <c r="H230" s="11" t="n"/>
      <c r="K230" s="20" t="n"/>
      <c r="L230" s="20" t="n"/>
      <c r="M230" s="20" t="n"/>
      <c r="N230" s="20" t="n"/>
      <c r="O230" s="20" t="n"/>
      <c r="P230" s="20" t="n"/>
    </row>
    <row r="231" ht="16" customFormat="1" customHeight="1" s="12">
      <c r="B231" s="17" t="n"/>
      <c r="H231" s="11" t="n"/>
      <c r="K231" s="20" t="n"/>
      <c r="L231" s="20" t="n"/>
      <c r="M231" s="20" t="n"/>
      <c r="N231" s="20" t="n"/>
      <c r="O231" s="20" t="n"/>
      <c r="P231" s="20" t="n"/>
    </row>
    <row r="232" ht="16" customFormat="1" customHeight="1" s="12">
      <c r="B232" s="17" t="n"/>
      <c r="H232" s="11" t="n"/>
      <c r="K232" s="20" t="n"/>
      <c r="L232" s="20" t="n"/>
      <c r="M232" s="20" t="n"/>
      <c r="N232" s="20" t="n"/>
      <c r="O232" s="20" t="n"/>
      <c r="P232" s="20" t="n"/>
    </row>
    <row r="233" ht="16" customFormat="1" customHeight="1" s="12">
      <c r="B233" s="17" t="n"/>
      <c r="H233" s="11" t="n"/>
      <c r="K233" s="20" t="n"/>
      <c r="L233" s="20" t="n"/>
      <c r="M233" s="20" t="n"/>
      <c r="N233" s="20" t="n"/>
      <c r="O233" s="20" t="n"/>
      <c r="P233" s="20" t="n"/>
    </row>
    <row r="234" ht="16" customFormat="1" customHeight="1" s="12">
      <c r="B234" s="17" t="n"/>
      <c r="H234" s="11" t="n"/>
      <c r="K234" s="20" t="n"/>
      <c r="L234" s="20" t="n"/>
      <c r="M234" s="20" t="n"/>
      <c r="N234" s="20" t="n"/>
      <c r="O234" s="20" t="n"/>
      <c r="P234" s="20" t="n"/>
    </row>
    <row r="235" ht="16" customFormat="1" customHeight="1" s="12">
      <c r="B235" s="17" t="n"/>
      <c r="H235" s="11" t="n"/>
      <c r="K235" s="20" t="n"/>
      <c r="L235" s="20" t="n"/>
      <c r="M235" s="20" t="n"/>
      <c r="N235" s="20" t="n"/>
      <c r="O235" s="20" t="n"/>
      <c r="P235" s="20" t="n"/>
    </row>
    <row r="236" ht="16" customFormat="1" customHeight="1" s="12">
      <c r="B236" s="17" t="n"/>
      <c r="H236" s="11" t="n"/>
      <c r="K236" s="20" t="n"/>
      <c r="L236" s="20" t="n"/>
      <c r="M236" s="20" t="n"/>
      <c r="N236" s="20" t="n"/>
      <c r="O236" s="20" t="n"/>
      <c r="P236" s="20" t="n"/>
    </row>
    <row r="237" ht="16" customFormat="1" customHeight="1" s="12">
      <c r="B237" s="17" t="n"/>
      <c r="H237" s="11" t="n"/>
      <c r="K237" s="20" t="n"/>
      <c r="L237" s="20" t="n"/>
      <c r="M237" s="20" t="n"/>
      <c r="N237" s="20" t="n"/>
      <c r="O237" s="20" t="n"/>
      <c r="P237" s="20" t="n"/>
    </row>
    <row r="238" ht="16" customFormat="1" customHeight="1" s="12">
      <c r="B238" s="17" t="n"/>
      <c r="H238" s="11" t="n"/>
      <c r="K238" s="20" t="n"/>
      <c r="L238" s="20" t="n"/>
      <c r="M238" s="20" t="n"/>
      <c r="N238" s="20" t="n"/>
      <c r="O238" s="20" t="n"/>
      <c r="P238" s="20" t="n"/>
    </row>
    <row r="239" ht="16" customFormat="1" customHeight="1" s="12">
      <c r="B239" s="17" t="n"/>
      <c r="H239" s="11" t="n"/>
      <c r="K239" s="20" t="n"/>
      <c r="L239" s="20" t="n"/>
      <c r="M239" s="20" t="n"/>
      <c r="N239" s="20" t="n"/>
      <c r="O239" s="20" t="n"/>
      <c r="P239" s="20" t="n"/>
    </row>
    <row r="240" ht="16" customFormat="1" customHeight="1" s="12">
      <c r="B240" s="17" t="n"/>
      <c r="H240" s="11" t="n"/>
      <c r="K240" s="20" t="n"/>
      <c r="L240" s="20" t="n"/>
      <c r="M240" s="20" t="n"/>
      <c r="N240" s="20" t="n"/>
      <c r="O240" s="20" t="n"/>
      <c r="P240" s="20" t="n"/>
    </row>
    <row r="241" ht="16" customFormat="1" customHeight="1" s="12">
      <c r="B241" s="17" t="n"/>
      <c r="H241" s="11" t="n"/>
      <c r="K241" s="20" t="n"/>
      <c r="L241" s="20" t="n"/>
      <c r="M241" s="20" t="n"/>
      <c r="N241" s="20" t="n"/>
      <c r="O241" s="20" t="n"/>
      <c r="P241" s="20" t="n"/>
    </row>
    <row r="242" ht="16" customFormat="1" customHeight="1" s="12">
      <c r="B242" s="17" t="n"/>
      <c r="H242" s="11" t="n"/>
      <c r="K242" s="20" t="n"/>
      <c r="L242" s="20" t="n"/>
      <c r="M242" s="20" t="n"/>
      <c r="N242" s="20" t="n"/>
      <c r="O242" s="20" t="n"/>
      <c r="P242" s="20" t="n"/>
    </row>
    <row r="243" ht="16" customFormat="1" customHeight="1" s="12">
      <c r="B243" s="17" t="n"/>
      <c r="H243" s="11" t="n"/>
      <c r="K243" s="20" t="n"/>
      <c r="L243" s="20" t="n"/>
      <c r="M243" s="20" t="n"/>
      <c r="N243" s="20" t="n"/>
      <c r="O243" s="20" t="n"/>
      <c r="P243" s="20" t="n"/>
    </row>
    <row r="244" ht="16" customFormat="1" customHeight="1" s="12">
      <c r="B244" s="17" t="n"/>
      <c r="H244" s="11" t="n"/>
      <c r="K244" s="20" t="n"/>
      <c r="L244" s="20" t="n"/>
      <c r="M244" s="20" t="n"/>
      <c r="N244" s="20" t="n"/>
      <c r="O244" s="20" t="n"/>
      <c r="P244" s="20" t="n"/>
    </row>
    <row r="245" ht="15.5" customFormat="1" customHeight="1" s="12">
      <c r="A245" s="29" t="n"/>
      <c r="B245" s="17" t="n"/>
      <c r="G245" s="11" t="n"/>
      <c r="H245" s="11" t="n"/>
      <c r="K245" s="20" t="n"/>
      <c r="L245" s="20" t="n"/>
      <c r="M245" s="20" t="n"/>
      <c r="N245" s="20" t="n"/>
      <c r="O245" s="20" t="n"/>
      <c r="P245" s="20" t="n"/>
    </row>
    <row r="246" ht="16" customFormat="1" customHeight="1" s="12">
      <c r="B246" s="30" t="n"/>
      <c r="D246" s="11" t="n"/>
      <c r="G246" s="11" t="n"/>
      <c r="H246" s="11" t="n"/>
      <c r="K246" s="20" t="n"/>
      <c r="L246" s="20" t="n"/>
      <c r="M246" s="20" t="n"/>
      <c r="N246" s="20" t="n"/>
      <c r="O246" s="20" t="n"/>
      <c r="P246" s="20" t="n"/>
    </row>
    <row r="247" ht="16" customFormat="1" customHeight="1" s="12">
      <c r="B247" s="17" t="n"/>
      <c r="G247" s="11" t="n"/>
      <c r="K247" s="20" t="n"/>
      <c r="L247" s="20" t="n"/>
      <c r="M247" s="20" t="n"/>
      <c r="N247" s="20" t="n"/>
      <c r="O247" s="20" t="n"/>
      <c r="P247" s="20" t="n"/>
    </row>
    <row r="248" ht="16" customFormat="1" customHeight="1" s="12">
      <c r="B248" s="17" t="n"/>
      <c r="C248" s="11" t="n"/>
      <c r="F248" s="11" t="n"/>
      <c r="G248" s="11" t="n"/>
      <c r="H248" s="11" t="n"/>
      <c r="I248" s="11" t="n"/>
      <c r="K248" s="13" t="n"/>
      <c r="L248" s="13" t="n"/>
      <c r="M248" s="13" t="n"/>
      <c r="N248" s="13" t="n"/>
      <c r="O248" s="13" t="n"/>
      <c r="P248" s="13" t="n"/>
    </row>
    <row r="249" ht="16" customFormat="1" customHeight="1" s="12">
      <c r="A249" s="9" t="n"/>
      <c r="B249" s="10" t="n"/>
      <c r="C249" s="11" t="n"/>
      <c r="K249" s="13" t="n"/>
      <c r="L249" s="13" t="n"/>
      <c r="M249" s="13" t="n"/>
      <c r="N249" s="13" t="n"/>
      <c r="O249" s="13" t="n"/>
      <c r="P249" s="13" t="n"/>
    </row>
    <row r="250" ht="16" customFormat="1" customHeight="1" s="12">
      <c r="A250" s="14" t="n"/>
      <c r="B250" s="15" t="n"/>
      <c r="K250" s="13" t="n"/>
      <c r="L250" s="13" t="n"/>
      <c r="M250" s="13" t="n"/>
      <c r="N250" s="13" t="n"/>
      <c r="O250" s="13" t="n"/>
      <c r="P250" s="13" t="n"/>
    </row>
    <row r="251" ht="16" customFormat="1" customHeight="1" s="12">
      <c r="A251" s="14" t="n"/>
      <c r="B251" s="15" t="n"/>
      <c r="K251" s="13" t="n"/>
      <c r="L251" s="13" t="n"/>
      <c r="M251" s="13" t="n"/>
      <c r="N251" s="13" t="n"/>
      <c r="O251" s="13" t="n"/>
      <c r="P251" s="13" t="n"/>
    </row>
    <row r="252" ht="16" customFormat="1" customHeight="1" s="12">
      <c r="A252" s="14" t="n"/>
      <c r="B252" s="16" t="n"/>
      <c r="K252" s="13" t="n"/>
      <c r="L252" s="13" t="n"/>
      <c r="M252" s="13" t="n"/>
      <c r="N252" s="13" t="n"/>
      <c r="O252" s="13" t="n"/>
      <c r="P252" s="13" t="n"/>
    </row>
    <row r="253" ht="16" customFormat="1" customHeight="1" s="12">
      <c r="A253" s="14" t="n"/>
      <c r="B253" s="15" t="n"/>
      <c r="K253" s="13" t="n"/>
      <c r="L253" s="13" t="n"/>
      <c r="M253" s="13" t="n"/>
      <c r="N253" s="13" t="n"/>
      <c r="O253" s="13" t="n"/>
      <c r="P253" s="13" t="n"/>
    </row>
    <row r="254" ht="16" customFormat="1" customHeight="1" s="12">
      <c r="A254" s="14" t="n"/>
      <c r="B254" s="17" t="n"/>
      <c r="H254" s="18" t="n"/>
      <c r="I254" s="18" t="n"/>
      <c r="J254" s="18" t="n"/>
      <c r="K254" s="13" t="n"/>
      <c r="L254" s="13" t="n"/>
      <c r="M254" s="13" t="n"/>
      <c r="N254" s="13" t="n"/>
      <c r="O254" s="13" t="n"/>
      <c r="P254" s="13" t="n"/>
    </row>
    <row r="255" ht="16" customFormat="1" customHeight="1" s="12">
      <c r="A255" s="18" t="n"/>
      <c r="B255" s="10" t="n"/>
      <c r="C255" s="18" t="n"/>
      <c r="D255" s="18" t="n"/>
      <c r="E255" s="18" t="n"/>
      <c r="F255" s="18" t="n"/>
      <c r="G255" s="18" t="n"/>
      <c r="H255" s="11" t="n"/>
      <c r="I255" s="11" t="n"/>
      <c r="J255" s="11" t="n"/>
      <c r="K255" s="13" t="n"/>
      <c r="L255" s="13" t="n"/>
      <c r="M255" s="13" t="n"/>
      <c r="N255" s="13" t="n"/>
      <c r="O255" s="13" t="n"/>
      <c r="P255" s="13" t="n"/>
    </row>
    <row r="256" ht="16" customFormat="1" customHeight="1" s="12">
      <c r="A256" s="18" t="n"/>
      <c r="B256" s="10" t="n"/>
      <c r="C256" s="18" t="n"/>
      <c r="D256" s="18" t="n"/>
      <c r="E256" s="18" t="n"/>
      <c r="F256" s="18" t="n"/>
      <c r="G256" s="18" t="n"/>
      <c r="H256" s="24" t="n"/>
      <c r="I256" s="18" t="n"/>
      <c r="J256" s="8" t="n"/>
      <c r="K256" s="19" t="n"/>
      <c r="L256" s="19" t="n"/>
      <c r="M256" s="19" t="n"/>
      <c r="N256" s="19" t="n"/>
      <c r="O256" s="19" t="n"/>
      <c r="P256" s="19" t="n"/>
      <c r="Q256" s="8" t="n"/>
      <c r="R256" s="8" t="n"/>
      <c r="S256" s="18" t="n"/>
      <c r="T256" s="8" t="n"/>
    </row>
    <row r="257" ht="16" customFormat="1" customHeight="1" s="12">
      <c r="A257" s="17" t="n"/>
      <c r="B257" s="17" t="n"/>
      <c r="E257" s="11" t="n"/>
      <c r="H257" s="11" t="n"/>
      <c r="I257" s="11" t="n"/>
      <c r="K257" s="13" t="n"/>
      <c r="L257" s="13" t="n"/>
      <c r="M257" s="13" t="n"/>
      <c r="N257" s="13" t="n"/>
      <c r="O257" s="13" t="n"/>
      <c r="P257" s="13" t="n"/>
    </row>
    <row r="258" ht="16" customFormat="1" customHeight="1" s="12">
      <c r="A258" s="17" t="n"/>
      <c r="K258" s="20" t="n"/>
      <c r="L258" s="20" t="n"/>
      <c r="M258" s="20" t="n"/>
      <c r="N258" s="20" t="n"/>
      <c r="O258" s="20" t="n"/>
      <c r="P258" s="20" t="n"/>
    </row>
    <row r="259" ht="16" customFormat="1" customHeight="1" s="12">
      <c r="A259" s="17" t="n"/>
      <c r="K259" s="20" t="n"/>
      <c r="L259" s="20" t="n"/>
      <c r="M259" s="20" t="n"/>
      <c r="N259" s="20" t="n"/>
      <c r="O259" s="20" t="n"/>
      <c r="P259" s="20" t="n"/>
    </row>
    <row r="260" ht="16" customFormat="1" customHeight="1" s="12">
      <c r="A260" s="14" t="n"/>
      <c r="B260" s="17" t="n"/>
      <c r="E260" s="11" t="n"/>
      <c r="H260" s="11" t="n"/>
      <c r="K260" s="20" t="n"/>
      <c r="L260" s="20" t="n"/>
      <c r="M260" s="20" t="n"/>
      <c r="N260" s="20" t="n"/>
      <c r="O260" s="20" t="n"/>
      <c r="P260" s="20" t="n"/>
    </row>
    <row r="261" ht="16" customFormat="1" customHeight="1" s="12">
      <c r="A261" s="14" t="n"/>
      <c r="B261" s="17" t="n"/>
      <c r="E261" s="11" t="n"/>
      <c r="H261" s="11" t="n"/>
      <c r="K261" s="20" t="n"/>
      <c r="L261" s="20" t="n"/>
      <c r="M261" s="20" t="n"/>
      <c r="N261" s="20" t="n"/>
      <c r="O261" s="20" t="n"/>
      <c r="P261" s="20" t="n"/>
    </row>
    <row r="262" ht="16" customFormat="1" customHeight="1" s="12">
      <c r="A262" s="14" t="n"/>
      <c r="B262" s="17" t="n"/>
      <c r="H262" s="21" t="n"/>
      <c r="K262" s="20" t="n"/>
      <c r="L262" s="20" t="n"/>
      <c r="M262" s="20" t="n"/>
      <c r="N262" s="20" t="n"/>
      <c r="O262" s="20" t="n"/>
      <c r="P262" s="20" t="n"/>
    </row>
    <row r="263" ht="16" customFormat="1" customHeight="1" s="12">
      <c r="A263" s="23" t="n"/>
      <c r="B263" s="16" t="n"/>
      <c r="C263" s="23" t="n"/>
      <c r="D263" s="23" t="n"/>
      <c r="E263" s="23" t="n"/>
      <c r="F263" s="23" t="n"/>
      <c r="G263" s="23" t="n"/>
      <c r="H263" s="23" t="n"/>
      <c r="K263" s="20" t="n"/>
      <c r="L263" s="20" t="n"/>
      <c r="M263" s="20" t="n"/>
      <c r="N263" s="20" t="n"/>
      <c r="O263" s="20" t="n"/>
      <c r="P263" s="20" t="n"/>
      <c r="Q263" s="20" t="n"/>
    </row>
    <row r="264" ht="16" customFormat="1" customHeight="1" s="12">
      <c r="B264" s="17" t="n"/>
      <c r="K264" s="13" t="n"/>
      <c r="L264" s="13" t="n"/>
      <c r="M264" s="13" t="n"/>
      <c r="N264" s="13" t="n"/>
      <c r="O264" s="13" t="n"/>
      <c r="P264" s="13" t="n"/>
    </row>
    <row r="265" ht="16" customFormat="1" customHeight="1" s="12">
      <c r="A265" s="9" t="n"/>
      <c r="B265" s="10" t="n"/>
      <c r="K265" s="13" t="n"/>
      <c r="L265" s="13" t="n"/>
      <c r="M265" s="13" t="n"/>
      <c r="N265" s="13" t="n"/>
      <c r="O265" s="13" t="n"/>
      <c r="P265" s="13" t="n"/>
    </row>
    <row r="266" ht="16" customFormat="1" customHeight="1" s="12">
      <c r="A266" s="14" t="n"/>
      <c r="B266" s="15" t="n"/>
      <c r="K266" s="13" t="n"/>
      <c r="L266" s="13" t="n"/>
      <c r="M266" s="13" t="n"/>
      <c r="N266" s="13" t="n"/>
      <c r="O266" s="13" t="n"/>
      <c r="P266" s="13" t="n"/>
    </row>
    <row r="267" ht="16" customFormat="1" customHeight="1" s="12">
      <c r="A267" s="14" t="n"/>
      <c r="B267" s="15" t="n"/>
      <c r="K267" s="13" t="n"/>
      <c r="L267" s="13" t="n"/>
      <c r="M267" s="13" t="n"/>
      <c r="N267" s="13" t="n"/>
      <c r="O267" s="13" t="n"/>
      <c r="P267" s="13" t="n"/>
    </row>
    <row r="268" ht="16" customFormat="1" customHeight="1" s="12">
      <c r="A268" s="14" t="n"/>
      <c r="B268" s="17" t="n"/>
      <c r="K268" s="13" t="n"/>
      <c r="L268" s="13" t="n"/>
      <c r="M268" s="13" t="n"/>
      <c r="N268" s="13" t="n"/>
      <c r="O268" s="13" t="n"/>
      <c r="P268" s="13" t="n"/>
    </row>
    <row r="269" ht="16" customFormat="1" customHeight="1" s="12">
      <c r="A269" s="14" t="n"/>
      <c r="B269" s="15" t="n"/>
      <c r="K269" s="13" t="n"/>
      <c r="L269" s="13" t="n"/>
      <c r="M269" s="13" t="n"/>
      <c r="N269" s="13" t="n"/>
      <c r="O269" s="13" t="n"/>
      <c r="P269" s="13" t="n"/>
    </row>
    <row r="270" ht="16" customFormat="1" customHeight="1" s="12">
      <c r="A270" s="14" t="n"/>
      <c r="B270" s="17" t="n"/>
      <c r="K270" s="13" t="n"/>
      <c r="L270" s="13" t="n"/>
      <c r="M270" s="13" t="n"/>
      <c r="N270" s="13" t="n"/>
      <c r="O270" s="13" t="n"/>
      <c r="P270" s="13" t="n"/>
    </row>
    <row r="271" ht="16" customFormat="1" customHeight="1" s="12">
      <c r="A271" s="18" t="n"/>
      <c r="B271" s="10" t="n"/>
      <c r="C271" s="18" t="n"/>
      <c r="D271" s="18" t="n"/>
      <c r="E271" s="18" t="n"/>
      <c r="F271" s="18" t="n"/>
      <c r="G271" s="18" t="n"/>
      <c r="H271" s="18" t="n"/>
      <c r="I271" s="18" t="n"/>
      <c r="J271" s="18" t="n"/>
      <c r="K271" s="13" t="n"/>
      <c r="L271" s="13" t="n"/>
      <c r="M271" s="13" t="n"/>
      <c r="N271" s="13" t="n"/>
      <c r="O271" s="13" t="n"/>
      <c r="P271" s="13" t="n"/>
    </row>
    <row r="272" ht="16" customFormat="1" customHeight="1" s="12">
      <c r="A272" s="18" t="n"/>
      <c r="B272" s="10" t="n"/>
      <c r="C272" s="18" t="n"/>
      <c r="D272" s="18" t="n"/>
      <c r="E272" s="24" t="n"/>
      <c r="F272" s="18" t="n"/>
      <c r="G272" s="18" t="n"/>
      <c r="H272" s="24" t="n"/>
      <c r="I272" s="18" t="n"/>
      <c r="J272" s="8" t="n"/>
      <c r="K272" s="19" t="n"/>
      <c r="L272" s="19" t="n"/>
      <c r="M272" s="19" t="n"/>
      <c r="N272" s="19" t="n"/>
      <c r="O272" s="19" t="n"/>
      <c r="P272" s="19" t="n"/>
      <c r="Q272" s="8" t="n"/>
      <c r="R272" s="8" t="n"/>
      <c r="S272" s="18" t="n"/>
      <c r="T272" s="8" t="n"/>
    </row>
    <row r="273" ht="16" customFormat="1" customHeight="1" s="12">
      <c r="A273" s="17" t="n"/>
      <c r="B273" s="17" t="n"/>
      <c r="K273" s="13" t="n"/>
      <c r="L273" s="13" t="n"/>
      <c r="M273" s="13" t="n"/>
      <c r="N273" s="13" t="n"/>
      <c r="O273" s="13" t="n"/>
      <c r="P273" s="13" t="n"/>
    </row>
    <row r="274" ht="16" customFormat="1" customHeight="1" s="12">
      <c r="B274" s="13" t="n"/>
      <c r="K274" s="20" t="n"/>
      <c r="L274" s="20" t="n"/>
      <c r="M274" s="20" t="n"/>
      <c r="N274" s="20" t="n"/>
      <c r="O274" s="20" t="n"/>
      <c r="P274" s="20" t="n"/>
    </row>
    <row r="275" ht="16" customFormat="1" customHeight="1" s="12">
      <c r="B275" s="13" t="n"/>
      <c r="K275" s="20" t="n"/>
      <c r="L275" s="20" t="n"/>
      <c r="M275" s="20" t="n"/>
      <c r="N275" s="20" t="n"/>
      <c r="O275" s="20" t="n"/>
      <c r="P275" s="20" t="n"/>
    </row>
    <row r="276" ht="16" customFormat="1" customHeight="1" s="12">
      <c r="B276" s="13" t="n"/>
      <c r="K276" s="20" t="n"/>
      <c r="L276" s="20" t="n"/>
      <c r="M276" s="20" t="n"/>
      <c r="N276" s="20" t="n"/>
      <c r="O276" s="20" t="n"/>
      <c r="P276" s="20" t="n"/>
    </row>
    <row r="277" ht="16" customFormat="1" customHeight="1" s="12">
      <c r="B277" s="13" t="n"/>
      <c r="K277" s="20" t="n"/>
      <c r="L277" s="20" t="n"/>
      <c r="M277" s="20" t="n"/>
      <c r="N277" s="20" t="n"/>
      <c r="O277" s="20" t="n"/>
      <c r="P277" s="20" t="n"/>
    </row>
    <row r="278" ht="16" customFormat="1" customHeight="1" s="12">
      <c r="B278" s="13" t="n"/>
      <c r="K278" s="20" t="n"/>
      <c r="L278" s="20" t="n"/>
      <c r="M278" s="20" t="n"/>
      <c r="N278" s="20" t="n"/>
      <c r="O278" s="20" t="n"/>
      <c r="P278" s="20" t="n"/>
    </row>
    <row r="279" ht="16" customFormat="1" customHeight="1" s="12">
      <c r="B279" s="13" t="n"/>
      <c r="K279" s="20" t="n"/>
      <c r="L279" s="20" t="n"/>
      <c r="M279" s="20" t="n"/>
      <c r="N279" s="20" t="n"/>
      <c r="O279" s="20" t="n"/>
      <c r="P279" s="20" t="n"/>
    </row>
    <row r="280" ht="16" customFormat="1" customHeight="1" s="12">
      <c r="B280" s="13" t="n"/>
      <c r="K280" s="20" t="n"/>
      <c r="L280" s="20" t="n"/>
      <c r="M280" s="20" t="n"/>
      <c r="N280" s="20" t="n"/>
      <c r="O280" s="20" t="n"/>
      <c r="P280" s="20" t="n"/>
    </row>
    <row r="281" ht="16" customFormat="1" customHeight="1" s="12">
      <c r="B281" s="13" t="n"/>
      <c r="K281" s="20" t="n"/>
      <c r="L281" s="20" t="n"/>
      <c r="M281" s="20" t="n"/>
      <c r="N281" s="20" t="n"/>
      <c r="O281" s="20" t="n"/>
      <c r="P281" s="20" t="n"/>
    </row>
    <row r="282" ht="16" customFormat="1" customHeight="1" s="12">
      <c r="B282" s="13" t="n"/>
      <c r="K282" s="20" t="n"/>
      <c r="L282" s="20" t="n"/>
      <c r="M282" s="20" t="n"/>
      <c r="N282" s="20" t="n"/>
      <c r="O282" s="20" t="n"/>
      <c r="P282" s="20" t="n"/>
    </row>
    <row r="283" ht="16" customFormat="1" customHeight="1" s="12">
      <c r="B283" s="13" t="n"/>
      <c r="K283" s="20" t="n"/>
      <c r="L283" s="20" t="n"/>
      <c r="M283" s="20" t="n"/>
      <c r="N283" s="20" t="n"/>
      <c r="O283" s="20" t="n"/>
      <c r="P283" s="20" t="n"/>
    </row>
    <row r="284" ht="16" customFormat="1" customHeight="1" s="12">
      <c r="B284" s="13" t="n"/>
      <c r="K284" s="20" t="n"/>
      <c r="L284" s="20" t="n"/>
      <c r="M284" s="20" t="n"/>
      <c r="N284" s="20" t="n"/>
      <c r="O284" s="20" t="n"/>
      <c r="P284" s="20" t="n"/>
    </row>
    <row r="285" ht="16" customFormat="1" customHeight="1" s="12">
      <c r="B285" s="13" t="n"/>
      <c r="K285" s="20" t="n"/>
      <c r="L285" s="20" t="n"/>
      <c r="M285" s="20" t="n"/>
      <c r="N285" s="20" t="n"/>
      <c r="O285" s="20" t="n"/>
      <c r="P285" s="20" t="n"/>
    </row>
    <row r="286" ht="16" customFormat="1" customHeight="1" s="12">
      <c r="B286" s="13" t="n"/>
      <c r="K286" s="20" t="n"/>
      <c r="L286" s="20" t="n"/>
      <c r="M286" s="20" t="n"/>
      <c r="N286" s="20" t="n"/>
      <c r="O286" s="20" t="n"/>
      <c r="P286" s="20" t="n"/>
    </row>
    <row r="287" ht="16" customFormat="1" customHeight="1" s="12">
      <c r="B287" s="13" t="n"/>
      <c r="K287" s="20" t="n"/>
      <c r="L287" s="20" t="n"/>
      <c r="M287" s="20" t="n"/>
      <c r="N287" s="20" t="n"/>
      <c r="O287" s="20" t="n"/>
      <c r="P287" s="20" t="n"/>
    </row>
    <row r="288" ht="16" customFormat="1" customHeight="1" s="12">
      <c r="B288" s="13" t="n"/>
      <c r="K288" s="20" t="n"/>
      <c r="L288" s="20" t="n"/>
      <c r="M288" s="20" t="n"/>
      <c r="N288" s="20" t="n"/>
      <c r="O288" s="20" t="n"/>
      <c r="P288" s="20" t="n"/>
    </row>
    <row r="289" ht="16" customFormat="1" customHeight="1" s="12">
      <c r="B289" s="13" t="n"/>
      <c r="K289" s="20" t="n"/>
      <c r="L289" s="20" t="n"/>
      <c r="M289" s="20" t="n"/>
      <c r="N289" s="20" t="n"/>
      <c r="O289" s="20" t="n"/>
      <c r="P289" s="20" t="n"/>
    </row>
    <row r="290" ht="16" customFormat="1" customHeight="1" s="12">
      <c r="B290" s="13" t="n"/>
      <c r="F290" s="11" t="n"/>
      <c r="G290" s="11" t="n"/>
      <c r="K290" s="13" t="n"/>
      <c r="L290" s="13" t="n"/>
      <c r="M290" s="13" t="n"/>
      <c r="N290" s="13" t="n"/>
      <c r="O290" s="13" t="n"/>
      <c r="P290" s="13" t="n"/>
    </row>
    <row r="291" ht="16" customFormat="1" customHeight="1" s="12">
      <c r="A291" s="9" t="n"/>
      <c r="B291" s="10" t="n"/>
      <c r="K291" s="25" t="n"/>
      <c r="L291" s="26" t="n"/>
      <c r="M291" s="13" t="n"/>
      <c r="N291" s="13" t="n"/>
      <c r="O291" s="13" t="n"/>
      <c r="P291" s="13" t="n"/>
    </row>
    <row r="292" ht="16" customFormat="1" customHeight="1" s="12">
      <c r="A292" s="14" t="n"/>
      <c r="B292" s="15" t="n"/>
      <c r="K292" s="27" t="n"/>
      <c r="L292" s="26" t="n"/>
      <c r="M292" s="13" t="n"/>
      <c r="N292" s="13" t="n"/>
      <c r="O292" s="13" t="n"/>
      <c r="P292" s="13" t="n"/>
    </row>
    <row r="293" ht="16" customFormat="1" customHeight="1" s="12">
      <c r="A293" s="14" t="n"/>
      <c r="B293" s="15" t="n"/>
      <c r="K293" s="13" t="n"/>
      <c r="L293" s="26" t="n"/>
      <c r="M293" s="13" t="n"/>
      <c r="N293" s="13" t="n"/>
      <c r="O293" s="13" t="n"/>
      <c r="P293" s="13" t="n"/>
    </row>
    <row r="294" ht="16" customFormat="1" customHeight="1" s="12">
      <c r="A294" s="14" t="n"/>
      <c r="B294" s="17" t="n"/>
      <c r="K294" s="13" t="n"/>
      <c r="L294" s="13" t="n"/>
      <c r="M294" s="13" t="n"/>
      <c r="N294" s="13" t="n"/>
      <c r="O294" s="13" t="n"/>
      <c r="P294" s="13" t="n"/>
    </row>
    <row r="295" ht="16.25" customFormat="1" customHeight="1" s="12">
      <c r="A295" s="14" t="n"/>
      <c r="B295" s="15" t="n"/>
      <c r="K295" s="13" t="n"/>
      <c r="L295" s="13" t="n"/>
      <c r="M295" s="13" t="n"/>
      <c r="N295" s="13" t="n"/>
      <c r="O295" s="13" t="n"/>
      <c r="P295" s="13" t="n"/>
    </row>
    <row r="296" ht="16" customFormat="1" customHeight="1" s="12">
      <c r="A296" s="14" t="n"/>
      <c r="B296" s="17" t="n"/>
      <c r="H296" s="18" t="n"/>
      <c r="I296" s="18" t="n"/>
      <c r="K296" s="13" t="n"/>
      <c r="L296" s="13" t="n"/>
      <c r="M296" s="13" t="n"/>
      <c r="N296" s="13" t="n"/>
      <c r="O296" s="13" t="n"/>
      <c r="P296" s="13" t="n"/>
    </row>
    <row r="297" ht="16" customFormat="1" customHeight="1" s="12">
      <c r="A297" s="18" t="n"/>
      <c r="B297" s="10" t="n"/>
      <c r="C297" s="18" t="n"/>
      <c r="D297" s="18" t="n"/>
      <c r="E297" s="18" t="n"/>
      <c r="F297" s="18" t="n"/>
      <c r="G297" s="18" t="n"/>
      <c r="H297" s="11" t="n"/>
      <c r="I297" s="11" t="n"/>
      <c r="K297" s="13" t="n"/>
      <c r="L297" s="13" t="n"/>
      <c r="M297" s="13" t="n"/>
      <c r="N297" s="13" t="n"/>
      <c r="O297" s="13" t="n"/>
      <c r="P297" s="13" t="n"/>
    </row>
    <row r="298" ht="16" customFormat="1" customHeight="1" s="12">
      <c r="A298" s="18" t="n"/>
      <c r="B298" s="10" t="n"/>
      <c r="C298" s="18" t="n"/>
      <c r="D298" s="18" t="n"/>
      <c r="E298" s="24" t="n"/>
      <c r="F298" s="18" t="n"/>
      <c r="G298" s="18" t="n"/>
      <c r="H298" s="24" t="n"/>
      <c r="I298" s="18" t="n"/>
      <c r="J298" s="8" t="n"/>
      <c r="K298" s="19" t="n"/>
      <c r="L298" s="19" t="n"/>
      <c r="M298" s="19" t="n"/>
      <c r="N298" s="19" t="n"/>
      <c r="O298" s="19" t="n"/>
      <c r="P298" s="19" t="n"/>
      <c r="Q298" s="8" t="n"/>
      <c r="R298" s="8" t="n"/>
      <c r="S298" s="18" t="n"/>
      <c r="T298" s="8" t="n"/>
    </row>
    <row r="299" ht="16" customFormat="1" customHeight="1" s="12">
      <c r="A299" s="17" t="n"/>
      <c r="B299" s="17" t="n"/>
      <c r="G299" s="17" t="n"/>
      <c r="H299" s="11" t="n"/>
      <c r="I299" s="11" t="n"/>
      <c r="J299" s="11" t="n"/>
      <c r="K299" s="13" t="n"/>
      <c r="L299" s="13" t="n"/>
      <c r="M299" s="13" t="n"/>
      <c r="N299" s="13" t="n"/>
      <c r="O299" s="13" t="n"/>
      <c r="P299" s="13" t="n"/>
    </row>
    <row r="300" ht="16" customFormat="1" customHeight="1" s="12">
      <c r="B300" s="13" t="n"/>
      <c r="H300" s="11" t="n"/>
      <c r="K300" s="20" t="n"/>
      <c r="L300" s="20" t="n"/>
      <c r="M300" s="20" t="n"/>
      <c r="N300" s="20" t="n"/>
      <c r="O300" s="20" t="n"/>
      <c r="P300" s="20" t="n"/>
    </row>
    <row r="301" ht="16" customFormat="1" customHeight="1" s="12">
      <c r="B301" s="13" t="n"/>
      <c r="H301" s="11" t="n"/>
      <c r="K301" s="20" t="n"/>
      <c r="L301" s="20" t="n"/>
      <c r="M301" s="20" t="n"/>
      <c r="N301" s="20" t="n"/>
      <c r="O301" s="20" t="n"/>
      <c r="P301" s="20" t="n"/>
    </row>
    <row r="302" ht="16" customFormat="1" customHeight="1" s="12">
      <c r="A302" s="17" t="n"/>
      <c r="B302" s="17" t="n"/>
      <c r="G302" s="17" t="n"/>
      <c r="H302" s="11" t="n"/>
      <c r="K302" s="20" t="n"/>
      <c r="L302" s="20" t="n"/>
      <c r="M302" s="20" t="n"/>
      <c r="N302" s="20" t="n"/>
      <c r="O302" s="20" t="n"/>
      <c r="P302" s="20" t="n"/>
    </row>
    <row r="303" ht="16" customFormat="1" customHeight="1" s="12">
      <c r="A303" s="17" t="n"/>
      <c r="B303" s="17" t="n"/>
      <c r="G303" s="17" t="n"/>
      <c r="H303" s="11" t="n"/>
      <c r="K303" s="20" t="n"/>
      <c r="L303" s="20" t="n"/>
      <c r="M303" s="20" t="n"/>
      <c r="N303" s="20" t="n"/>
      <c r="O303" s="20" t="n"/>
      <c r="P303" s="20" t="n"/>
    </row>
    <row r="304" ht="16" customFormat="1" customHeight="1" s="12">
      <c r="A304" s="17" t="n"/>
      <c r="B304" s="17" t="n"/>
      <c r="G304" s="17" t="n"/>
      <c r="H304" s="11" t="n"/>
      <c r="K304" s="20" t="n"/>
      <c r="L304" s="20" t="n"/>
      <c r="M304" s="20" t="n"/>
      <c r="N304" s="20" t="n"/>
      <c r="O304" s="20" t="n"/>
      <c r="P304" s="20" t="n"/>
    </row>
    <row r="305" ht="16" customFormat="1" customHeight="1" s="12">
      <c r="A305" s="17" t="n"/>
      <c r="B305" s="17" t="n"/>
      <c r="G305" s="17" t="n"/>
      <c r="H305" s="11" t="n"/>
      <c r="K305" s="20" t="n"/>
      <c r="L305" s="20" t="n"/>
      <c r="M305" s="20" t="n"/>
      <c r="N305" s="20" t="n"/>
      <c r="O305" s="20" t="n"/>
      <c r="P305" s="20" t="n"/>
    </row>
    <row r="306" ht="16" customFormat="1" customHeight="1" s="12">
      <c r="A306" s="17" t="n"/>
      <c r="B306" s="17" t="n"/>
      <c r="G306" s="17" t="n"/>
      <c r="H306" s="11" t="n"/>
      <c r="K306" s="20" t="n"/>
      <c r="L306" s="20" t="n"/>
      <c r="M306" s="20" t="n"/>
      <c r="N306" s="20" t="n"/>
      <c r="O306" s="20" t="n"/>
      <c r="P306" s="20" t="n"/>
    </row>
    <row r="307" ht="16" customFormat="1" customHeight="1" s="12">
      <c r="A307" s="17" t="n"/>
      <c r="B307" s="17" t="n"/>
      <c r="G307" s="17" t="n"/>
      <c r="H307" s="11" t="n"/>
      <c r="K307" s="20" t="n"/>
      <c r="L307" s="20" t="n"/>
      <c r="M307" s="20" t="n"/>
      <c r="N307" s="20" t="n"/>
      <c r="O307" s="20" t="n"/>
      <c r="P307" s="20" t="n"/>
    </row>
    <row r="308" ht="16" customFormat="1" customHeight="1" s="12">
      <c r="A308" s="17" t="n"/>
      <c r="B308" s="17" t="n"/>
      <c r="G308" s="17" t="n"/>
      <c r="H308" s="11" t="n"/>
      <c r="K308" s="20" t="n"/>
      <c r="L308" s="20" t="n"/>
      <c r="M308" s="20" t="n"/>
      <c r="N308" s="20" t="n"/>
      <c r="O308" s="20" t="n"/>
      <c r="P308" s="20" t="n"/>
    </row>
    <row r="309" ht="16" customFormat="1" customHeight="1" s="12">
      <c r="A309" s="17" t="n"/>
      <c r="B309" s="17" t="n"/>
      <c r="G309" s="17" t="n"/>
      <c r="H309" s="11" t="n"/>
      <c r="K309" s="20" t="n"/>
      <c r="L309" s="20" t="n"/>
      <c r="M309" s="20" t="n"/>
      <c r="N309" s="20" t="n"/>
      <c r="O309" s="20" t="n"/>
      <c r="P309" s="20" t="n"/>
    </row>
    <row r="310" ht="16" customFormat="1" customHeight="1" s="12">
      <c r="A310" s="17" t="n"/>
      <c r="B310" s="17" t="n"/>
      <c r="G310" s="17" t="n"/>
      <c r="H310" s="11" t="n"/>
      <c r="K310" s="20" t="n"/>
      <c r="L310" s="20" t="n"/>
      <c r="M310" s="20" t="n"/>
      <c r="N310" s="20" t="n"/>
      <c r="O310" s="20" t="n"/>
      <c r="P310" s="20" t="n"/>
    </row>
    <row r="311" ht="16" customFormat="1" customHeight="1" s="12">
      <c r="A311" s="17" t="n"/>
      <c r="B311" s="17" t="n"/>
      <c r="G311" s="17" t="n"/>
      <c r="H311" s="11" t="n"/>
      <c r="K311" s="20" t="n"/>
      <c r="L311" s="20" t="n"/>
      <c r="M311" s="20" t="n"/>
      <c r="N311" s="20" t="n"/>
      <c r="O311" s="20" t="n"/>
      <c r="P311" s="20" t="n"/>
    </row>
    <row r="312" ht="16" customFormat="1" customHeight="1" s="12">
      <c r="A312" s="17" t="n"/>
      <c r="B312" s="17" t="n"/>
      <c r="G312" s="17" t="n"/>
      <c r="H312" s="11" t="n"/>
      <c r="K312" s="20" t="n"/>
      <c r="L312" s="20" t="n"/>
      <c r="M312" s="20" t="n"/>
      <c r="N312" s="20" t="n"/>
      <c r="O312" s="20" t="n"/>
      <c r="P312" s="20" t="n"/>
    </row>
    <row r="313" ht="16" customFormat="1" customHeight="1" s="12">
      <c r="A313" s="17" t="n"/>
      <c r="B313" s="17" t="n"/>
      <c r="G313" s="17" t="n"/>
      <c r="H313" s="11" t="n"/>
      <c r="K313" s="20" t="n"/>
      <c r="L313" s="20" t="n"/>
      <c r="M313" s="20" t="n"/>
      <c r="N313" s="20" t="n"/>
      <c r="O313" s="20" t="n"/>
      <c r="P313" s="20" t="n"/>
    </row>
    <row r="314" ht="16" customFormat="1" customHeight="1" s="12">
      <c r="A314" s="17" t="n"/>
      <c r="B314" s="17" t="n"/>
      <c r="G314" s="17" t="n"/>
      <c r="H314" s="11" t="n"/>
      <c r="K314" s="20" t="n"/>
      <c r="L314" s="20" t="n"/>
      <c r="M314" s="20" t="n"/>
      <c r="N314" s="20" t="n"/>
      <c r="O314" s="20" t="n"/>
      <c r="P314" s="20" t="n"/>
    </row>
    <row r="315" ht="16" customFormat="1" customHeight="1" s="12">
      <c r="A315" s="17" t="n"/>
      <c r="B315" s="17" t="n"/>
      <c r="G315" s="17" t="n"/>
      <c r="H315" s="11" t="n"/>
      <c r="K315" s="20" t="n"/>
      <c r="L315" s="20" t="n"/>
      <c r="M315" s="20" t="n"/>
      <c r="N315" s="20" t="n"/>
      <c r="O315" s="20" t="n"/>
      <c r="P315" s="20" t="n"/>
    </row>
    <row r="316" ht="16" customFormat="1" customHeight="1" s="12">
      <c r="A316" s="17" t="n"/>
      <c r="B316" s="17" t="n"/>
      <c r="G316" s="17" t="n"/>
      <c r="H316" s="11" t="n"/>
      <c r="K316" s="20" t="n"/>
      <c r="L316" s="20" t="n"/>
      <c r="M316" s="20" t="n"/>
      <c r="N316" s="20" t="n"/>
      <c r="O316" s="20" t="n"/>
      <c r="P316" s="20" t="n"/>
    </row>
    <row r="317" ht="16" customFormat="1" customHeight="1" s="12">
      <c r="A317" s="17" t="n"/>
      <c r="B317" s="17" t="n"/>
      <c r="G317" s="17" t="n"/>
      <c r="H317" s="11" t="n"/>
      <c r="K317" s="20" t="n"/>
      <c r="L317" s="20" t="n"/>
      <c r="M317" s="20" t="n"/>
      <c r="N317" s="20" t="n"/>
      <c r="O317" s="20" t="n"/>
      <c r="P317" s="20" t="n"/>
    </row>
    <row r="318" ht="16" customFormat="1" customHeight="1" s="12">
      <c r="A318" s="17" t="n"/>
      <c r="B318" s="17" t="n"/>
      <c r="G318" s="17" t="n"/>
      <c r="H318" s="11" t="n"/>
      <c r="K318" s="20" t="n"/>
      <c r="L318" s="20" t="n"/>
      <c r="M318" s="20" t="n"/>
      <c r="N318" s="20" t="n"/>
      <c r="O318" s="20" t="n"/>
      <c r="P318" s="20" t="n"/>
    </row>
    <row r="319" ht="16" customFormat="1" customHeight="1" s="12">
      <c r="A319" s="17" t="n"/>
      <c r="B319" s="17" t="n"/>
      <c r="G319" s="17" t="n"/>
      <c r="H319" s="11" t="n"/>
      <c r="K319" s="20" t="n"/>
      <c r="L319" s="20" t="n"/>
      <c r="M319" s="20" t="n"/>
      <c r="N319" s="20" t="n"/>
      <c r="O319" s="20" t="n"/>
      <c r="P319" s="20" t="n"/>
    </row>
    <row r="320" ht="16" customFormat="1" customHeight="1" s="12">
      <c r="A320" s="17" t="n"/>
      <c r="B320" s="17" t="n"/>
      <c r="G320" s="17" t="n"/>
      <c r="H320" s="11" t="n"/>
      <c r="K320" s="20" t="n"/>
      <c r="L320" s="20" t="n"/>
      <c r="M320" s="20" t="n"/>
      <c r="N320" s="20" t="n"/>
      <c r="O320" s="20" t="n"/>
      <c r="P320" s="20" t="n"/>
    </row>
    <row r="321" ht="16" customFormat="1" customHeight="1" s="12">
      <c r="A321" s="17" t="n"/>
      <c r="B321" s="17" t="n"/>
      <c r="G321" s="17" t="n"/>
      <c r="H321" s="11" t="n"/>
      <c r="K321" s="20" t="n"/>
      <c r="L321" s="20" t="n"/>
      <c r="M321" s="20" t="n"/>
      <c r="N321" s="20" t="n"/>
      <c r="O321" s="20" t="n"/>
      <c r="P321" s="20" t="n"/>
    </row>
    <row r="322" ht="16" customFormat="1" customHeight="1" s="12">
      <c r="A322" s="17" t="n"/>
      <c r="B322" s="17" t="n"/>
      <c r="G322" s="17" t="n"/>
      <c r="H322" s="11" t="n"/>
      <c r="K322" s="20" t="n"/>
      <c r="L322" s="20" t="n"/>
      <c r="M322" s="20" t="n"/>
      <c r="N322" s="20" t="n"/>
      <c r="O322" s="20" t="n"/>
      <c r="P322" s="20" t="n"/>
    </row>
    <row r="323" ht="16" customFormat="1" customHeight="1" s="12">
      <c r="A323" s="17" t="n"/>
      <c r="B323" s="17" t="n"/>
      <c r="G323" s="17" t="n"/>
      <c r="H323" s="11" t="n"/>
      <c r="K323" s="20" t="n"/>
      <c r="L323" s="20" t="n"/>
      <c r="M323" s="20" t="n"/>
      <c r="N323" s="20" t="n"/>
      <c r="O323" s="20" t="n"/>
      <c r="P323" s="20" t="n"/>
    </row>
    <row r="324" ht="16" customFormat="1" customHeight="1" s="12">
      <c r="A324" s="17" t="n"/>
      <c r="B324" s="17" t="n"/>
      <c r="G324" s="17" t="n"/>
      <c r="H324" s="11" t="n"/>
      <c r="K324" s="20" t="n"/>
      <c r="L324" s="20" t="n"/>
      <c r="M324" s="20" t="n"/>
      <c r="N324" s="20" t="n"/>
      <c r="O324" s="20" t="n"/>
      <c r="P324" s="20" t="n"/>
    </row>
    <row r="325" ht="16" customFormat="1" customHeight="1" s="12">
      <c r="A325" s="17" t="n"/>
      <c r="B325" s="17" t="n"/>
      <c r="G325" s="17" t="n"/>
      <c r="H325" s="11" t="n"/>
      <c r="K325" s="20" t="n"/>
      <c r="L325" s="20" t="n"/>
      <c r="M325" s="20" t="n"/>
      <c r="N325" s="20" t="n"/>
      <c r="O325" s="20" t="n"/>
      <c r="P325" s="20" t="n"/>
    </row>
    <row r="326" ht="16" customFormat="1" customHeight="1" s="12">
      <c r="A326" s="17" t="n"/>
      <c r="B326" s="17" t="n"/>
      <c r="G326" s="17" t="n"/>
      <c r="H326" s="11" t="n"/>
      <c r="K326" s="20" t="n"/>
      <c r="L326" s="20" t="n"/>
      <c r="M326" s="20" t="n"/>
      <c r="N326" s="20" t="n"/>
      <c r="O326" s="20" t="n"/>
      <c r="P326" s="20" t="n"/>
    </row>
    <row r="327" ht="16" customFormat="1" customHeight="1" s="12">
      <c r="A327" s="17" t="n"/>
      <c r="B327" s="17" t="n"/>
      <c r="G327" s="17" t="n"/>
      <c r="H327" s="11" t="n"/>
      <c r="K327" s="20" t="n"/>
      <c r="L327" s="20" t="n"/>
      <c r="M327" s="20" t="n"/>
      <c r="N327" s="20" t="n"/>
      <c r="O327" s="20" t="n"/>
      <c r="P327" s="20" t="n"/>
    </row>
    <row r="328" ht="16" customFormat="1" customHeight="1" s="12">
      <c r="A328" s="17" t="n"/>
      <c r="B328" s="17" t="n"/>
      <c r="G328" s="17" t="n"/>
      <c r="H328" s="11" t="n"/>
      <c r="K328" s="20" t="n"/>
      <c r="L328" s="20" t="n"/>
      <c r="M328" s="20" t="n"/>
      <c r="N328" s="20" t="n"/>
      <c r="O328" s="20" t="n"/>
      <c r="P328" s="20" t="n"/>
    </row>
    <row r="329" ht="16" customFormat="1" customHeight="1" s="12">
      <c r="A329" s="17" t="n"/>
      <c r="B329" s="17" t="n"/>
      <c r="G329" s="17" t="n"/>
      <c r="H329" s="11" t="n"/>
      <c r="K329" s="20" t="n"/>
      <c r="L329" s="20" t="n"/>
      <c r="M329" s="20" t="n"/>
      <c r="N329" s="20" t="n"/>
      <c r="O329" s="20" t="n"/>
      <c r="P329" s="20" t="n"/>
    </row>
    <row r="330" ht="16" customFormat="1" customHeight="1" s="12">
      <c r="A330" s="17" t="n"/>
      <c r="B330" s="17" t="n"/>
      <c r="G330" s="17" t="n"/>
      <c r="H330" s="11" t="n"/>
      <c r="K330" s="20" t="n"/>
      <c r="L330" s="20" t="n"/>
      <c r="M330" s="20" t="n"/>
      <c r="N330" s="20" t="n"/>
      <c r="O330" s="20" t="n"/>
      <c r="P330" s="20" t="n"/>
    </row>
    <row r="331" ht="16" customFormat="1" customHeight="1" s="12">
      <c r="A331" s="17" t="n"/>
      <c r="B331" s="17" t="n"/>
      <c r="G331" s="17" t="n"/>
      <c r="H331" s="11" t="n"/>
      <c r="K331" s="20" t="n"/>
      <c r="L331" s="20" t="n"/>
      <c r="M331" s="20" t="n"/>
      <c r="N331" s="20" t="n"/>
      <c r="O331" s="20" t="n"/>
      <c r="P331" s="20" t="n"/>
    </row>
    <row r="332" ht="16" customFormat="1" customHeight="1" s="12">
      <c r="A332" s="17" t="n"/>
      <c r="B332" s="17" t="n"/>
      <c r="G332" s="17" t="n"/>
      <c r="H332" s="11" t="n"/>
      <c r="K332" s="20" t="n"/>
      <c r="L332" s="20" t="n"/>
      <c r="M332" s="20" t="n"/>
      <c r="N332" s="20" t="n"/>
      <c r="O332" s="20" t="n"/>
      <c r="P332" s="20" t="n"/>
    </row>
    <row r="333" ht="16" customFormat="1" customHeight="1" s="12">
      <c r="A333" s="17" t="n"/>
      <c r="B333" s="17" t="n"/>
      <c r="G333" s="17" t="n"/>
      <c r="H333" s="11" t="n"/>
      <c r="K333" s="20" t="n"/>
      <c r="L333" s="20" t="n"/>
      <c r="M333" s="20" t="n"/>
      <c r="N333" s="20" t="n"/>
      <c r="O333" s="20" t="n"/>
      <c r="P333" s="20" t="n"/>
    </row>
    <row r="334" ht="16" customFormat="1" customHeight="1" s="12">
      <c r="A334" s="17" t="n"/>
      <c r="B334" s="17" t="n"/>
      <c r="G334" s="17" t="n"/>
      <c r="H334" s="11" t="n"/>
      <c r="K334" s="20" t="n"/>
      <c r="L334" s="20" t="n"/>
      <c r="M334" s="20" t="n"/>
      <c r="N334" s="20" t="n"/>
      <c r="O334" s="20" t="n"/>
      <c r="P334" s="20" t="n"/>
    </row>
    <row r="335" ht="16" customFormat="1" customHeight="1" s="12">
      <c r="A335" s="17" t="n"/>
      <c r="B335" s="17" t="n"/>
      <c r="G335" s="17" t="n"/>
      <c r="H335" s="11" t="n"/>
      <c r="K335" s="20" t="n"/>
      <c r="L335" s="20" t="n"/>
      <c r="M335" s="20" t="n"/>
      <c r="N335" s="20" t="n"/>
      <c r="O335" s="20" t="n"/>
      <c r="P335" s="20" t="n"/>
    </row>
    <row r="336" ht="16" customFormat="1" customHeight="1" s="12">
      <c r="A336" s="17" t="n"/>
      <c r="B336" s="17" t="n"/>
      <c r="G336" s="17" t="n"/>
      <c r="H336" s="11" t="n"/>
      <c r="K336" s="20" t="n"/>
      <c r="L336" s="20" t="n"/>
      <c r="M336" s="20" t="n"/>
      <c r="N336" s="20" t="n"/>
      <c r="O336" s="20" t="n"/>
      <c r="P336" s="20" t="n"/>
    </row>
    <row r="337" ht="16" customFormat="1" customHeight="1" s="12">
      <c r="A337" s="17" t="n"/>
      <c r="B337" s="17" t="n"/>
      <c r="G337" s="17" t="n"/>
      <c r="H337" s="11" t="n"/>
      <c r="K337" s="20" t="n"/>
      <c r="L337" s="20" t="n"/>
      <c r="M337" s="20" t="n"/>
      <c r="N337" s="20" t="n"/>
      <c r="O337" s="20" t="n"/>
      <c r="P337" s="20" t="n"/>
    </row>
    <row r="338" ht="16" customFormat="1" customHeight="1" s="12">
      <c r="A338" s="17" t="n"/>
      <c r="B338" s="17" t="n"/>
      <c r="G338" s="17" t="n"/>
      <c r="H338" s="11" t="n"/>
      <c r="K338" s="20" t="n"/>
      <c r="L338" s="20" t="n"/>
      <c r="M338" s="20" t="n"/>
      <c r="N338" s="20" t="n"/>
      <c r="O338" s="20" t="n"/>
      <c r="P338" s="20" t="n"/>
    </row>
    <row r="339" ht="16" customFormat="1" customHeight="1" s="12">
      <c r="A339" s="17" t="n"/>
      <c r="B339" s="17" t="n"/>
      <c r="G339" s="17" t="n"/>
      <c r="H339" s="11" t="n"/>
      <c r="K339" s="20" t="n"/>
      <c r="L339" s="20" t="n"/>
      <c r="M339" s="20" t="n"/>
      <c r="N339" s="20" t="n"/>
      <c r="O339" s="20" t="n"/>
      <c r="P339" s="20" t="n"/>
    </row>
    <row r="340" ht="16" customFormat="1" customHeight="1" s="12">
      <c r="A340" s="17" t="n"/>
      <c r="B340" s="17" t="n"/>
      <c r="G340" s="17" t="n"/>
      <c r="H340" s="11" t="n"/>
      <c r="K340" s="20" t="n"/>
      <c r="L340" s="20" t="n"/>
      <c r="M340" s="20" t="n"/>
      <c r="N340" s="20" t="n"/>
      <c r="O340" s="20" t="n"/>
      <c r="P340" s="20" t="n"/>
    </row>
    <row r="341" ht="16" customFormat="1" customHeight="1" s="12">
      <c r="A341" s="17" t="n"/>
      <c r="B341" s="17" t="n"/>
      <c r="G341" s="17" t="n"/>
      <c r="H341" s="11" t="n"/>
      <c r="K341" s="20" t="n"/>
      <c r="L341" s="20" t="n"/>
      <c r="M341" s="20" t="n"/>
      <c r="N341" s="20" t="n"/>
      <c r="O341" s="20" t="n"/>
      <c r="P341" s="20" t="n"/>
    </row>
    <row r="342" ht="16" customFormat="1" customHeight="1" s="12">
      <c r="A342" s="17" t="n"/>
      <c r="B342" s="17" t="n"/>
      <c r="G342" s="17" t="n"/>
      <c r="H342" s="11" t="n"/>
      <c r="K342" s="20" t="n"/>
      <c r="L342" s="20" t="n"/>
      <c r="M342" s="20" t="n"/>
      <c r="N342" s="20" t="n"/>
      <c r="O342" s="20" t="n"/>
      <c r="P342" s="20" t="n"/>
    </row>
    <row r="343" ht="16" customFormat="1" customHeight="1" s="12">
      <c r="A343" s="17" t="n"/>
      <c r="B343" s="17" t="n"/>
      <c r="G343" s="17" t="n"/>
      <c r="H343" s="11" t="n"/>
      <c r="K343" s="20" t="n"/>
      <c r="L343" s="20" t="n"/>
      <c r="M343" s="20" t="n"/>
      <c r="N343" s="20" t="n"/>
      <c r="O343" s="20" t="n"/>
      <c r="P343" s="20" t="n"/>
    </row>
    <row r="344" ht="16" customFormat="1" customHeight="1" s="12">
      <c r="A344" s="17" t="n"/>
      <c r="B344" s="17" t="n"/>
      <c r="G344" s="17" t="n"/>
      <c r="H344" s="11" t="n"/>
      <c r="K344" s="20" t="n"/>
      <c r="L344" s="20" t="n"/>
      <c r="M344" s="20" t="n"/>
      <c r="N344" s="20" t="n"/>
      <c r="O344" s="20" t="n"/>
      <c r="P344" s="20" t="n"/>
    </row>
    <row r="345" ht="16" customFormat="1" customHeight="1" s="12">
      <c r="A345" s="17" t="n"/>
      <c r="B345" s="17" t="n"/>
      <c r="G345" s="17" t="n"/>
      <c r="H345" s="11" t="n"/>
      <c r="K345" s="20" t="n"/>
      <c r="L345" s="20" t="n"/>
      <c r="M345" s="20" t="n"/>
      <c r="N345" s="20" t="n"/>
      <c r="O345" s="20" t="n"/>
      <c r="P345" s="20" t="n"/>
    </row>
    <row r="346" ht="16" customFormat="1" customHeight="1" s="12">
      <c r="A346" s="17" t="n"/>
      <c r="B346" s="17" t="n"/>
      <c r="G346" s="17" t="n"/>
      <c r="H346" s="11" t="n"/>
      <c r="K346" s="20" t="n"/>
      <c r="L346" s="20" t="n"/>
      <c r="M346" s="20" t="n"/>
      <c r="N346" s="20" t="n"/>
      <c r="O346" s="20" t="n"/>
      <c r="P346" s="20" t="n"/>
    </row>
    <row r="347" ht="16" customFormat="1" customHeight="1" s="12">
      <c r="A347" s="17" t="n"/>
      <c r="B347" s="17" t="n"/>
      <c r="G347" s="17" t="n"/>
      <c r="H347" s="11" t="n"/>
      <c r="K347" s="20" t="n"/>
      <c r="L347" s="20" t="n"/>
      <c r="M347" s="20" t="n"/>
      <c r="N347" s="20" t="n"/>
      <c r="O347" s="20" t="n"/>
      <c r="P347" s="20" t="n"/>
    </row>
    <row r="348" ht="16" customFormat="1" customHeight="1" s="12">
      <c r="A348" s="17" t="n"/>
      <c r="B348" s="17" t="n"/>
      <c r="G348" s="17" t="n"/>
      <c r="H348" s="11" t="n"/>
      <c r="K348" s="20" t="n"/>
      <c r="L348" s="20" t="n"/>
      <c r="M348" s="20" t="n"/>
      <c r="N348" s="20" t="n"/>
      <c r="O348" s="20" t="n"/>
      <c r="P348" s="20" t="n"/>
    </row>
    <row r="349" ht="16" customFormat="1" customHeight="1" s="12">
      <c r="A349" s="17" t="n"/>
      <c r="B349" s="17" t="n"/>
      <c r="G349" s="17" t="n"/>
      <c r="H349" s="11" t="n"/>
      <c r="K349" s="20" t="n"/>
      <c r="L349" s="20" t="n"/>
      <c r="M349" s="20" t="n"/>
      <c r="N349" s="20" t="n"/>
      <c r="O349" s="20" t="n"/>
      <c r="P349" s="20" t="n"/>
    </row>
    <row r="350" ht="16" customFormat="1" customHeight="1" s="12">
      <c r="A350" s="17" t="n"/>
      <c r="B350" s="17" t="n"/>
      <c r="G350" s="17" t="n"/>
      <c r="H350" s="11" t="n"/>
      <c r="K350" s="20" t="n"/>
      <c r="L350" s="20" t="n"/>
      <c r="M350" s="20" t="n"/>
      <c r="N350" s="20" t="n"/>
      <c r="O350" s="20" t="n"/>
      <c r="P350" s="20" t="n"/>
    </row>
    <row r="351" ht="16" customFormat="1" customHeight="1" s="12">
      <c r="A351" s="17" t="n"/>
      <c r="B351" s="17" t="n"/>
      <c r="G351" s="17" t="n"/>
      <c r="H351" s="11" t="n"/>
      <c r="K351" s="20" t="n"/>
      <c r="L351" s="20" t="n"/>
      <c r="M351" s="20" t="n"/>
      <c r="N351" s="20" t="n"/>
      <c r="O351" s="20" t="n"/>
      <c r="P351" s="20" t="n"/>
    </row>
    <row r="352" ht="16" customFormat="1" customHeight="1" s="12">
      <c r="A352" s="17" t="n"/>
      <c r="B352" s="17" t="n"/>
      <c r="G352" s="17" t="n"/>
      <c r="H352" s="11" t="n"/>
      <c r="K352" s="20" t="n"/>
      <c r="L352" s="20" t="n"/>
      <c r="M352" s="20" t="n"/>
      <c r="N352" s="20" t="n"/>
      <c r="O352" s="20" t="n"/>
      <c r="P352" s="20" t="n"/>
    </row>
    <row r="353" ht="16" customFormat="1" customHeight="1" s="12">
      <c r="A353" s="17" t="n"/>
      <c r="B353" s="17" t="n"/>
      <c r="G353" s="17" t="n"/>
      <c r="H353" s="11" t="n"/>
      <c r="K353" s="20" t="n"/>
      <c r="L353" s="20" t="n"/>
      <c r="M353" s="20" t="n"/>
      <c r="N353" s="20" t="n"/>
      <c r="O353" s="20" t="n"/>
      <c r="P353" s="20" t="n"/>
    </row>
    <row r="354" ht="16" customFormat="1" customHeight="1" s="12">
      <c r="A354" s="17" t="n"/>
      <c r="B354" s="17" t="n"/>
      <c r="G354" s="17" t="n"/>
      <c r="H354" s="11" t="n"/>
      <c r="K354" s="20" t="n"/>
      <c r="L354" s="20" t="n"/>
      <c r="M354" s="20" t="n"/>
      <c r="N354" s="20" t="n"/>
      <c r="O354" s="20" t="n"/>
      <c r="P354" s="20" t="n"/>
    </row>
    <row r="355" ht="16" customFormat="1" customHeight="1" s="12">
      <c r="A355" s="17" t="n"/>
      <c r="B355" s="17" t="n"/>
      <c r="G355" s="17" t="n"/>
      <c r="H355" s="11" t="n"/>
      <c r="K355" s="20" t="n"/>
      <c r="L355" s="20" t="n"/>
      <c r="M355" s="20" t="n"/>
      <c r="N355" s="20" t="n"/>
      <c r="O355" s="20" t="n"/>
      <c r="P355" s="20" t="n"/>
    </row>
    <row r="356" ht="16" customFormat="1" customHeight="1" s="12">
      <c r="A356" s="17" t="n"/>
      <c r="B356" s="17" t="n"/>
      <c r="G356" s="17" t="n"/>
      <c r="H356" s="11" t="n"/>
      <c r="K356" s="20" t="n"/>
      <c r="L356" s="20" t="n"/>
      <c r="M356" s="20" t="n"/>
      <c r="N356" s="20" t="n"/>
      <c r="O356" s="20" t="n"/>
      <c r="P356" s="20" t="n"/>
    </row>
    <row r="357" ht="16" customFormat="1" customHeight="1" s="12">
      <c r="A357" s="17" t="n"/>
      <c r="B357" s="17" t="n"/>
      <c r="G357" s="17" t="n"/>
      <c r="H357" s="11" t="n"/>
      <c r="K357" s="20" t="n"/>
      <c r="L357" s="20" t="n"/>
      <c r="M357" s="20" t="n"/>
      <c r="N357" s="20" t="n"/>
      <c r="O357" s="20" t="n"/>
      <c r="P357" s="20" t="n"/>
    </row>
    <row r="358" ht="16" customFormat="1" customHeight="1" s="12">
      <c r="A358" s="17" t="n"/>
      <c r="B358" s="17" t="n"/>
      <c r="G358" s="17" t="n"/>
      <c r="H358" s="11" t="n"/>
      <c r="K358" s="20" t="n"/>
      <c r="L358" s="20" t="n"/>
      <c r="M358" s="20" t="n"/>
      <c r="N358" s="20" t="n"/>
      <c r="O358" s="20" t="n"/>
      <c r="P358" s="20" t="n"/>
    </row>
    <row r="359" ht="16" customFormat="1" customHeight="1" s="12">
      <c r="A359" s="17" t="n"/>
      <c r="B359" s="17" t="n"/>
      <c r="G359" s="17" t="n"/>
      <c r="H359" s="11" t="n"/>
      <c r="K359" s="20" t="n"/>
      <c r="L359" s="20" t="n"/>
      <c r="M359" s="20" t="n"/>
      <c r="N359" s="20" t="n"/>
      <c r="O359" s="20" t="n"/>
      <c r="P359" s="20" t="n"/>
    </row>
    <row r="360" ht="16" customFormat="1" customHeight="1" s="12">
      <c r="A360" s="17" t="n"/>
      <c r="B360" s="17" t="n"/>
      <c r="G360" s="17" t="n"/>
      <c r="H360" s="11" t="n"/>
      <c r="K360" s="20" t="n"/>
      <c r="L360" s="20" t="n"/>
      <c r="M360" s="20" t="n"/>
      <c r="N360" s="20" t="n"/>
      <c r="O360" s="20" t="n"/>
      <c r="P360" s="20" t="n"/>
    </row>
    <row r="361" ht="16" customFormat="1" customHeight="1" s="12">
      <c r="A361" s="17" t="n"/>
      <c r="B361" s="17" t="n"/>
      <c r="G361" s="17" t="n"/>
      <c r="H361" s="11" t="n"/>
      <c r="K361" s="20" t="n"/>
      <c r="L361" s="20" t="n"/>
      <c r="M361" s="20" t="n"/>
      <c r="N361" s="20" t="n"/>
      <c r="O361" s="20" t="n"/>
      <c r="P361" s="20" t="n"/>
    </row>
    <row r="362" ht="16" customFormat="1" customHeight="1" s="12">
      <c r="A362" s="17" t="n"/>
      <c r="B362" s="17" t="n"/>
      <c r="G362" s="17" t="n"/>
      <c r="H362" s="11" t="n"/>
      <c r="K362" s="20" t="n"/>
      <c r="L362" s="20" t="n"/>
      <c r="M362" s="20" t="n"/>
      <c r="N362" s="20" t="n"/>
      <c r="O362" s="20" t="n"/>
      <c r="P362" s="20" t="n"/>
    </row>
    <row r="363" ht="16" customFormat="1" customHeight="1" s="12">
      <c r="B363" s="13" t="n"/>
      <c r="K363" s="20" t="n"/>
      <c r="L363" s="20" t="n"/>
      <c r="M363" s="20" t="n"/>
      <c r="N363" s="20" t="n"/>
      <c r="O363" s="20" t="n"/>
      <c r="P363" s="20" t="n"/>
    </row>
    <row r="364" ht="16" customFormat="1" customHeight="1" s="12">
      <c r="B364" s="17" t="n"/>
      <c r="F364" s="11" t="n"/>
      <c r="G364" s="11" t="n"/>
      <c r="K364" s="13" t="n"/>
      <c r="L364" s="13" t="n"/>
      <c r="M364" s="13" t="n"/>
      <c r="N364" s="13" t="n"/>
      <c r="O364" s="13" t="n"/>
      <c r="P364" s="13"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Terlouw Tom Mike</dc:creator>
  <dcterms:created xmlns:dcterms="http://purl.org/dc/terms/" xmlns:xsi="http://www.w3.org/2001/XMLSchema-instance" xsi:type="dcterms:W3CDTF">2020-12-17T11:52:00Z</dcterms:created>
  <dcterms:modified xmlns:dcterms="http://purl.org/dc/terms/" xmlns:xsi="http://www.w3.org/2001/XMLSchema-instance" xsi:type="dcterms:W3CDTF">2026-07-07T14:16:30Z</dcterms:modified>
  <cp:lastModifiedBy>Sacchi, Romain</cp:lastModifiedBy>
</cp:coreProperties>
</file>