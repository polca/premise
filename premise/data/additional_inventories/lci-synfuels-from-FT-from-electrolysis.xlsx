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8880" tabRatio="600" firstSheet="0" activeTab="1" autoFilterDateGrouping="1"/>
  </bookViews>
  <sheets>
    <sheet xmlns:r="http://schemas.openxmlformats.org/officeDocument/2006/relationships" name="FT Process description" sheetId="1" state="visible" r:id="rId1"/>
    <sheet xmlns:r="http://schemas.openxmlformats.org/officeDocument/2006/relationships" name="FT fuel - Diesel" sheetId="2" state="visible" r:id="rId2"/>
  </sheets>
  <definedNames>
    <definedName name="_xlnm._FilterDatabase" localSheetId="1" hidden="1">'FT fuel - Diesel'!$A$1:$K$656</definedName>
  </definedNames>
  <calcPr calcId="191029" calcMode="manual" fullCalcOnLoad="1"/>
</workbook>
</file>

<file path=xl/styles.xml><?xml version="1.0" encoding="utf-8"?>
<styleSheet xmlns="http://schemas.openxmlformats.org/spreadsheetml/2006/main">
  <numFmts count="5">
    <numFmt numFmtId="164" formatCode="0.000"/>
    <numFmt numFmtId="165" formatCode="_ * #,##0_ ;_ * \-#,##0_ ;_ * &quot;-&quot;??_ ;_ @_ "/>
    <numFmt numFmtId="166" formatCode="_ [$€-2]\ * #,##0.00_ ;_ [$€-2]\ * \-#,##0.00_ ;_ [$€-2]\ * &quot;-&quot;??_ ;_ @_ "/>
    <numFmt numFmtId="167" formatCode="_ * #,##0.00_ ;_ * \-#,##0.00_ ;_ * &quot;-&quot;??_ ;_ @_ "/>
    <numFmt numFmtId="168" formatCode="0.0"/>
  </numFmts>
  <fonts count="9">
    <font>
      <name val="Calibri"/>
      <family val="2"/>
      <color theme="1"/>
      <sz val="11"/>
      <scheme val="minor"/>
    </font>
    <font>
      <name val="Calibri"/>
      <family val="2"/>
      <color theme="1"/>
      <sz val="12"/>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theme="1"/>
      <sz val="12"/>
      <scheme val="minor"/>
    </font>
    <font>
      <name val="Calibri"/>
      <family val="2"/>
      <color rgb="FF000000"/>
      <sz val="10"/>
      <scheme val="minor"/>
    </font>
    <font>
      <name val="Trebuchet MS"/>
      <family val="2"/>
      <color rgb="FF000000"/>
      <sz val="7"/>
    </font>
    <font>
      <name val="Calibri"/>
      <family val="2"/>
      <color theme="1"/>
      <sz val="11"/>
      <scheme val="minor"/>
    </font>
  </fonts>
  <fills count="5">
    <fill>
      <patternFill/>
    </fill>
    <fill>
      <patternFill patternType="gray125"/>
    </fill>
    <fill>
      <patternFill patternType="solid">
        <fgColor theme="8" tint="0.7999816888943144"/>
        <bgColor indexed="64"/>
      </patternFill>
    </fill>
    <fill>
      <patternFill patternType="solid">
        <fgColor theme="6" tint="0.7999816888943144"/>
        <bgColor indexed="64"/>
      </patternFill>
    </fill>
    <fill>
      <patternFill patternType="solid">
        <fgColor theme="9" tint="0.7999816888943144"/>
        <bgColor indexed="64"/>
      </patternFill>
    </fill>
  </fills>
  <borders count="1">
    <border>
      <left/>
      <right/>
      <top/>
      <bottom/>
      <diagonal/>
    </border>
  </borders>
  <cellStyleXfs count="3">
    <xf numFmtId="0" fontId="8" fillId="0" borderId="0"/>
    <xf numFmtId="43" fontId="8" fillId="0" borderId="0"/>
    <xf numFmtId="9" fontId="8" fillId="0" borderId="0"/>
  </cellStyleXfs>
  <cellXfs count="30">
    <xf numFmtId="0" fontId="0" fillId="0" borderId="0" pivotButton="0" quotePrefix="0" xfId="0"/>
    <xf numFmtId="0" fontId="4" fillId="0" borderId="0" pivotButton="0" quotePrefix="0" xfId="0"/>
    <xf numFmtId="0" fontId="3" fillId="0" borderId="0" pivotButton="0" quotePrefix="0" xfId="0"/>
    <xf numFmtId="11" fontId="0" fillId="0" borderId="0" pivotButton="0" quotePrefix="0" xfId="0"/>
    <xf numFmtId="0" fontId="5" fillId="0" borderId="0" pivotButton="0" quotePrefix="0" xfId="0"/>
    <xf numFmtId="11" fontId="6" fillId="0" borderId="0" pivotButton="0" quotePrefix="0" xfId="0"/>
    <xf numFmtId="0" fontId="7" fillId="0" borderId="0" pivotButton="0" quotePrefix="0" xfId="0"/>
    <xf numFmtId="0" fontId="4" fillId="2" borderId="0" pivotButton="0" quotePrefix="0" xfId="0"/>
    <xf numFmtId="0" fontId="3" fillId="2" borderId="0" pivotButton="0" quotePrefix="0" xfId="0"/>
    <xf numFmtId="0" fontId="0" fillId="2" borderId="0" pivotButton="0" quotePrefix="0" xfId="0"/>
    <xf numFmtId="11" fontId="0" fillId="2" borderId="0" pivotButton="0" quotePrefix="0" xfId="0"/>
    <xf numFmtId="0" fontId="5" fillId="2" borderId="0" pivotButton="0" quotePrefix="0" xfId="0"/>
    <xf numFmtId="11" fontId="6" fillId="2" borderId="0" pivotButton="0" quotePrefix="0" xfId="0"/>
    <xf numFmtId="0" fontId="0" fillId="3" borderId="0" pivotButton="0" quotePrefix="0" xfId="0"/>
    <xf numFmtId="164" fontId="0" fillId="2" borderId="0" pivotButton="0" quotePrefix="0" xfId="0"/>
    <xf numFmtId="0" fontId="0" fillId="4" borderId="0" pivotButton="0" quotePrefix="0" xfId="0"/>
    <xf numFmtId="165" fontId="0" fillId="4" borderId="0" pivotButton="0" quotePrefix="0" xfId="1"/>
    <xf numFmtId="2" fontId="0" fillId="4" borderId="0" pivotButton="0" quotePrefix="0" xfId="0"/>
    <xf numFmtId="9" fontId="0" fillId="4" borderId="0" pivotButton="0" quotePrefix="0" xfId="2"/>
    <xf numFmtId="165" fontId="0" fillId="2" borderId="0" pivotButton="0" quotePrefix="0" xfId="1"/>
    <xf numFmtId="166" fontId="0" fillId="2" borderId="0" pivotButton="0" quotePrefix="0" xfId="0"/>
    <xf numFmtId="9" fontId="0" fillId="2" borderId="0" pivotButton="0" quotePrefix="0" xfId="2"/>
    <xf numFmtId="167" fontId="0" fillId="2" borderId="0" pivotButton="0" quotePrefix="0" xfId="1"/>
    <xf numFmtId="2" fontId="0" fillId="2" borderId="0" pivotButton="0" quotePrefix="0" xfId="0"/>
    <xf numFmtId="0" fontId="2" fillId="2" borderId="0" pivotButton="0" quotePrefix="0" xfId="0"/>
    <xf numFmtId="168" fontId="0" fillId="4" borderId="0" applyAlignment="1" pivotButton="0" quotePrefix="0" xfId="0">
      <alignment horizontal="right"/>
    </xf>
    <xf numFmtId="2" fontId="0" fillId="4" borderId="0" applyAlignment="1" pivotButton="0" quotePrefix="0" xfId="0">
      <alignment horizontal="right"/>
    </xf>
    <xf numFmtId="0" fontId="1" fillId="2" borderId="0" pivotButton="0" quotePrefix="0" xfId="0"/>
    <xf numFmtId="168" fontId="0" fillId="4" borderId="0" applyAlignment="1" pivotButton="0" quotePrefix="0" xfId="0">
      <alignment horizontal="right"/>
    </xf>
    <xf numFmtId="167" fontId="0" fillId="2" borderId="0" pivotButton="0" quotePrefix="0" xfId="1"/>
  </cellXfs>
  <cellStyles count="3">
    <cellStyle name="Normal" xfId="0" builtinId="0"/>
    <cellStyle name="Comma" xfId="1" builtinId="3"/>
    <cellStyle name="Per cent"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M36"/>
  <sheetViews>
    <sheetView workbookViewId="0">
      <selection activeCell="K21" sqref="K21"/>
    </sheetView>
  </sheetViews>
  <sheetFormatPr baseColWidth="10" defaultColWidth="8.83203125" defaultRowHeight="15"/>
  <cols>
    <col width="12.33203125" bestFit="1" customWidth="1" min="1" max="1"/>
    <col width="10.83203125" bestFit="1" customWidth="1" min="3" max="3"/>
    <col width="18.5" bestFit="1" customWidth="1" min="4" max="4"/>
    <col width="19.5" bestFit="1" customWidth="1" min="5" max="5"/>
    <col width="24.83203125" bestFit="1" customWidth="1" min="6" max="6"/>
    <col width="23.33203125" bestFit="1" customWidth="1" min="7" max="7"/>
    <col width="26" bestFit="1" customWidth="1" min="8" max="8"/>
    <col width="30.33203125" bestFit="1" customWidth="1" min="9" max="9"/>
    <col width="26" bestFit="1" customWidth="1" min="10" max="10"/>
    <col width="30.33203125" bestFit="1" customWidth="1" min="11" max="11"/>
    <col width="17.5" bestFit="1" customWidth="1" min="12" max="12"/>
    <col width="22.1640625" bestFit="1" customWidth="1" min="13" max="13"/>
  </cols>
  <sheetData>
    <row r="1">
      <c r="A1" t="inlineStr">
        <is>
          <t>skip</t>
        </is>
      </c>
    </row>
    <row r="2">
      <c r="A2" t="inlineStr">
        <is>
          <t>source</t>
        </is>
      </c>
      <c r="B2" t="inlineStr">
        <is>
          <t>Energy and Climate Impacts of Producing Synthetic Hydrocarbon Fuels from CO2, Coen van der Giesen, René Kleijn, and Gert Jan Kramer, Environmental Science &amp; Technology 2014 48 (12), 7111-7121, DOI: 10.1021/es500191g</t>
        </is>
      </c>
    </row>
    <row r="3"/>
    <row r="4">
      <c r="A4" s="2" t="inlineStr">
        <is>
          <t>Energy-based allocation</t>
        </is>
      </c>
    </row>
    <row r="5">
      <c r="A5" s="15" t="n"/>
      <c r="B5" s="15" t="n"/>
      <c r="C5" s="15" t="inlineStr">
        <is>
          <t>LHV [MJ/kg]</t>
        </is>
      </c>
      <c r="D5" s="15" t="inlineStr">
        <is>
          <t>Energy produced [GJ]</t>
        </is>
      </c>
      <c r="E5" s="15" t="inlineStr">
        <is>
          <t>Energy produced [%]</t>
        </is>
      </c>
      <c r="F5" s="15" t="inlineStr">
        <is>
          <t>Mass [kg]</t>
        </is>
      </c>
      <c r="G5" s="15" t="inlineStr">
        <is>
          <t>Mass syngas, allocated [kg]</t>
        </is>
      </c>
      <c r="H5" s="15" t="inlineStr">
        <is>
          <t>Mass syngas, allocated [kg/kg]</t>
        </is>
      </c>
      <c r="I5" s="15" t="inlineStr">
        <is>
          <t>Embedded CO2 from syngas [kg/kg]</t>
        </is>
      </c>
      <c r="J5" s="15" t="inlineStr">
        <is>
          <t>CO2 content [kg/kg]</t>
        </is>
      </c>
      <c r="K5" s="15" t="inlineStr">
        <is>
          <t>Carbon correction [kg/kg]</t>
        </is>
      </c>
    </row>
    <row r="6">
      <c r="A6" s="15" t="inlineStr">
        <is>
          <t>Syngas</t>
        </is>
      </c>
      <c r="B6" s="15" t="n"/>
      <c r="C6" s="15" t="n">
        <v>23.94</v>
      </c>
      <c r="D6" s="16" t="n">
        <v>980752</v>
      </c>
      <c r="E6" s="15" t="n">
        <v>100</v>
      </c>
      <c r="F6" s="16">
        <f>D6*1000/C6</f>
        <v>40967084.377610691</v>
      </c>
      <c r="G6" s="15" t="n"/>
      <c r="H6" s="15" t="n"/>
      <c r="I6" s="17">
        <f>0.875*1.57</f>
        <v>1.37375</v>
      </c>
      <c r="J6" s="15" t="n"/>
      <c r="K6" s="15" t="n"/>
    </row>
    <row r="7">
      <c r="A7" s="15" t="n"/>
      <c r="B7" s="15" t="n"/>
      <c r="C7" s="15" t="n"/>
      <c r="D7" s="16" t="n"/>
      <c r="E7" s="15" t="n"/>
      <c r="F7" s="16" t="n"/>
      <c r="G7" s="16" t="n"/>
      <c r="H7" s="15" t="n"/>
      <c r="I7" s="15" t="n"/>
      <c r="J7" s="15" t="n"/>
      <c r="K7" s="15" t="n"/>
    </row>
    <row r="8">
      <c r="A8" s="15" t="inlineStr">
        <is>
          <t>Naphtha</t>
        </is>
      </c>
      <c r="B8" s="15" t="n"/>
      <c r="C8" s="15" t="n">
        <v>44.5</v>
      </c>
      <c r="D8" s="16" t="n">
        <v>190189</v>
      </c>
      <c r="E8" s="18">
        <f>D8/SUM($D$8:$D$11)</f>
        <v>0.24240218913817341</v>
      </c>
      <c r="F8" s="16">
        <f>D8*1000/C8</f>
        <v>4273910.1123595508</v>
      </c>
      <c r="G8" s="16">
        <f>E8*$F$6</f>
        <v>9930510.9357410949</v>
      </c>
      <c r="H8" s="17">
        <f>G8/F8</f>
        <v>2.3235189029884942</v>
      </c>
      <c r="I8" s="17">
        <f>$I$6*H8</f>
        <v>3.1919340929804441</v>
      </c>
      <c r="J8" s="17">
        <f>0.9197*(44/12)</f>
        <v>3.372233333333333</v>
      </c>
      <c r="K8" s="17">
        <f>J8-I8</f>
        <v>0.18029924035288891</v>
      </c>
    </row>
    <row r="9">
      <c r="A9" s="15" t="inlineStr">
        <is>
          <t>Kerosene</t>
        </is>
      </c>
      <c r="B9" s="15" t="n"/>
      <c r="C9" s="15" t="n">
        <v>45</v>
      </c>
      <c r="D9" s="16" t="n">
        <v>143100</v>
      </c>
      <c r="E9" s="18">
        <f>D9/SUM($D$8:$D$11)</f>
        <v>0.18238569667894891</v>
      </c>
      <c r="F9" s="16">
        <f>D9*1000/C9</f>
        <v>3180000</v>
      </c>
      <c r="G9" s="16">
        <f>E9*$F$6</f>
        <v>7471810.2251158096</v>
      </c>
      <c r="H9" s="17">
        <f>G9/F9</f>
        <v>2.3496258569546571</v>
      </c>
      <c r="I9" s="17">
        <f>$I$6*H9</f>
        <v>3.2277985209914601</v>
      </c>
      <c r="J9" s="17" t="n">
        <v>3.14</v>
      </c>
      <c r="K9" s="17">
        <f>J9-I9</f>
        <v>-8.7798520991460016E-2</v>
      </c>
    </row>
    <row r="10">
      <c r="A10" s="15" t="inlineStr">
        <is>
          <t>Diesel</t>
        </is>
      </c>
      <c r="B10" s="15" t="n"/>
      <c r="C10" s="15" t="n">
        <v>43.3</v>
      </c>
      <c r="D10" s="16" t="n">
        <v>286404</v>
      </c>
      <c r="E10" s="18">
        <f>D10/SUM($D$8:$D$11)</f>
        <v>0.36503139812465191</v>
      </c>
      <c r="F10" s="16">
        <f>D10*1000/C10</f>
        <v>6614411.0854503466</v>
      </c>
      <c r="G10" s="16">
        <f>E10*$F$6</f>
        <v>14954272.087449815</v>
      </c>
      <c r="H10" s="17">
        <f>G10/F10</f>
        <v>2.2608622134697036</v>
      </c>
      <c r="I10" s="17">
        <f>$I$6*H10</f>
        <v>3.1058594657540053</v>
      </c>
      <c r="J10" s="17" t="n">
        <v>3.16</v>
      </c>
      <c r="K10" s="17">
        <f>J10-I10</f>
        <v>5.4140534245994854E-2</v>
      </c>
    </row>
    <row r="11">
      <c r="A11" s="15" t="inlineStr">
        <is>
          <t>Lubricating oil</t>
        </is>
      </c>
      <c r="B11" s="15" t="n"/>
      <c r="C11" s="15" t="n">
        <v>40.2</v>
      </c>
      <c r="D11" s="16" t="n">
        <v>164908</v>
      </c>
      <c r="E11" s="18">
        <f>D11/SUM($D$8:$D$11)</f>
        <v>0.21018071605822577</v>
      </c>
      <c r="F11" s="16">
        <f>D11*1000/C11</f>
        <v>4102189.0547263678</v>
      </c>
      <c r="G11" s="16">
        <f>E11*$F$6</f>
        <v>8610491.1293039694</v>
      </c>
      <c r="H11" s="17">
        <f>G11/F11</f>
        <v>2.098999098879494</v>
      </c>
      <c r="I11" s="17">
        <f>$I$6*H11</f>
        <v>2.8835000120857051</v>
      </c>
      <c r="J11" s="17">
        <f>0.75*(44/12)</f>
        <v>2.75</v>
      </c>
      <c r="K11" s="17">
        <f>J11-I11</f>
        <v>-0.13350001208570506</v>
      </c>
    </row>
    <row r="12">
      <c r="A12" s="15" t="n"/>
      <c r="B12" s="15" t="n"/>
      <c r="C12" s="15" t="n"/>
      <c r="D12" s="16" t="n"/>
      <c r="E12" s="15" t="n"/>
      <c r="F12" s="15" t="n"/>
      <c r="G12" s="15" t="n"/>
      <c r="H12" s="15" t="n"/>
      <c r="I12" s="15" t="n"/>
      <c r="J12" s="15" t="n"/>
      <c r="K12" s="15" t="n"/>
    </row>
    <row r="13">
      <c r="A13" s="15" t="inlineStr">
        <is>
          <t>Loss</t>
        </is>
      </c>
      <c r="B13" s="15" t="n"/>
      <c r="C13" s="15" t="n"/>
      <c r="D13" s="16">
        <f>D6-SUM(D8:D11)</f>
        <v>196151</v>
      </c>
      <c r="E13" s="15" t="n"/>
      <c r="F13" s="15" t="n"/>
      <c r="G13" s="15" t="n"/>
      <c r="H13" s="15" t="n"/>
      <c r="I13" s="15" t="n"/>
      <c r="J13" s="15" t="n"/>
      <c r="K13" s="15" t="n"/>
    </row>
    <row r="14"/>
    <row r="15">
      <c r="A15" s="2" t="inlineStr">
        <is>
          <t>Energy-based allocation (alternative including LPG and C5-C10 olefins from REDIFUEL project https://doi.org/10.1016/j.apenergy.2023.120834)</t>
        </is>
      </c>
    </row>
    <row r="16">
      <c r="A16" s="15" t="n"/>
      <c r="B16" s="15" t="n"/>
      <c r="C16" s="15" t="inlineStr">
        <is>
          <t>HHV [MJ/kg]</t>
        </is>
      </c>
      <c r="D16" s="15" t="inlineStr">
        <is>
          <t>Energy produced [MJ]</t>
        </is>
      </c>
      <c r="E16" s="15" t="inlineStr">
        <is>
          <t>Energy produced [%]</t>
        </is>
      </c>
      <c r="F16" s="15" t="inlineStr">
        <is>
          <t>Mass [kg]</t>
        </is>
      </c>
      <c r="G16" s="15" t="inlineStr">
        <is>
          <t>Mass syngas, allocated [kg]</t>
        </is>
      </c>
      <c r="H16" s="15" t="inlineStr">
        <is>
          <t>Mass syngas, allocated [kg/kg]</t>
        </is>
      </c>
      <c r="I16" s="15" t="inlineStr">
        <is>
          <t>Embedded CO2 from syngas [kg/kg]</t>
        </is>
      </c>
      <c r="J16" s="15" t="inlineStr">
        <is>
          <t>CO2 content [kg/kg]</t>
        </is>
      </c>
      <c r="K16" s="15" t="inlineStr">
        <is>
          <t>Carbon correction [kg/kg]</t>
        </is>
      </c>
    </row>
    <row r="17">
      <c r="A17" s="15" t="inlineStr">
        <is>
          <t>Syngas</t>
        </is>
      </c>
      <c r="B17" s="15" t="n"/>
      <c r="C17" s="15">
        <f>23.94*(47.5/43)</f>
        <v>26.445348837209302</v>
      </c>
      <c r="D17" s="16">
        <f>SUM(D19:D22)*(D6/SUM(D8:D11))</f>
        <v>110849.209768532</v>
      </c>
      <c r="E17" s="15" t="n">
        <v>100</v>
      </c>
      <c r="F17" s="16">
        <f>D17/C17</f>
        <v>4191.6334872680618</v>
      </c>
      <c r="G17" s="15" t="n"/>
      <c r="H17" s="15" t="n"/>
      <c r="I17" s="17">
        <f>0.875*1.57</f>
        <v>1.37375</v>
      </c>
      <c r="J17" s="15" t="n"/>
      <c r="K17" s="15" t="n"/>
    </row>
    <row r="18">
      <c r="A18" s="15" t="n"/>
      <c r="B18" s="15" t="n"/>
      <c r="C18" s="15" t="n"/>
      <c r="D18" s="16" t="n"/>
      <c r="E18" s="15" t="n"/>
      <c r="F18" s="16" t="n"/>
      <c r="G18" s="16" t="n"/>
      <c r="H18" s="15" t="n"/>
      <c r="I18" s="15" t="n"/>
      <c r="J18" s="15" t="n"/>
      <c r="K18" s="15" t="n"/>
    </row>
    <row r="19">
      <c r="A19" s="15" t="inlineStr">
        <is>
          <t>C5-C10 olefins</t>
        </is>
      </c>
      <c r="B19" s="15" t="n"/>
      <c r="C19" s="15" t="n">
        <v>47.9</v>
      </c>
      <c r="D19" s="16">
        <f>807*47.9</f>
        <v>38655.299999999996</v>
      </c>
      <c r="E19" s="18">
        <f>D19/SUM($D$19:$D$22)</f>
        <v>0.43589992252983506</v>
      </c>
      <c r="F19" s="16">
        <f>D19/C19</f>
        <v>806.99999999999989</v>
      </c>
      <c r="G19" s="16">
        <f>E19*$F$17</f>
        <v>1827.1327123736105</v>
      </c>
      <c r="H19" s="17">
        <f>G19/F19</f>
        <v>2.2641049719623427</v>
      </c>
      <c r="I19" s="17">
        <f>$I$17*H19</f>
        <v>3.1103142052332684</v>
      </c>
      <c r="J19" s="28" t="inlineStr">
        <is>
          <t>na</t>
        </is>
      </c>
      <c r="K19" s="17" t="n"/>
    </row>
    <row r="20">
      <c r="A20" s="15" t="inlineStr">
        <is>
          <t>LPG</t>
        </is>
      </c>
      <c r="B20" s="15" t="n"/>
      <c r="C20" s="15" t="n">
        <v>48.3</v>
      </c>
      <c r="D20" s="16">
        <f>202*48.3</f>
        <v>9756.5999999999985</v>
      </c>
      <c r="E20" s="18">
        <f>D20/SUM($D$19:$D$22)</f>
        <v>0.11002116615715279</v>
      </c>
      <c r="F20" s="16">
        <f>D20/C20</f>
        <v>201.99999999999997</v>
      </c>
      <c r="G20" s="16">
        <f>E20*$F$17</f>
        <v>461.16840437260521</v>
      </c>
      <c r="H20" s="17">
        <f>G20/F20</f>
        <v>2.2830119028346796</v>
      </c>
      <c r="I20" s="17">
        <f>$I$17*H20</f>
        <v>3.136287601519141</v>
      </c>
      <c r="J20" s="17">
        <f>0.82*(44/12)</f>
        <v>3.0066666666666664</v>
      </c>
      <c r="K20" s="17">
        <f>J20-I20</f>
        <v>-0.12962093485247461</v>
      </c>
    </row>
    <row r="21">
      <c r="A21" s="15" t="inlineStr">
        <is>
          <t>Diesel</t>
        </is>
      </c>
      <c r="B21" s="15" t="n"/>
      <c r="C21" s="15" t="n">
        <v>47.5</v>
      </c>
      <c r="D21" s="16">
        <f>785*47.5</f>
        <v>37287.5</v>
      </c>
      <c r="E21" s="18">
        <f>D21/SUM($D$19:$D$22)</f>
        <v>0.42047580438726967</v>
      </c>
      <c r="F21" s="16">
        <f>D21/C21</f>
        <v>785</v>
      </c>
      <c r="G21" s="16">
        <f>E21*$F$17</f>
        <v>1762.4804622556546</v>
      </c>
      <c r="H21" s="17">
        <f>G21/F21</f>
        <v>2.2451980410900059</v>
      </c>
      <c r="I21" s="17">
        <f>$I$17*H21</f>
        <v>3.0843408089473958</v>
      </c>
      <c r="J21" s="17" t="n">
        <v>3.16</v>
      </c>
      <c r="K21" s="17">
        <f>J21-I21</f>
        <v>7.5659191052604324E-2</v>
      </c>
    </row>
    <row r="22">
      <c r="A22" s="15" t="inlineStr">
        <is>
          <t>Wax</t>
        </is>
      </c>
      <c r="B22" s="15" t="n"/>
      <c r="C22" s="15" t="n">
        <v>47.3</v>
      </c>
      <c r="D22" s="16">
        <f>63*47.3</f>
        <v>2979.8999999999996</v>
      </c>
      <c r="E22" s="18">
        <f>D22/SUM($D$19:$D$22)</f>
        <v>3.3603106925742539E-2</v>
      </c>
      <c r="F22" s="16">
        <f>D22/C22</f>
        <v>62.999999999999993</v>
      </c>
      <c r="G22" s="16">
        <f>E22*$F$17</f>
        <v>140.85190826619177</v>
      </c>
      <c r="H22" s="17">
        <f>G22/F22</f>
        <v>2.2357445756538379</v>
      </c>
      <c r="I22" s="17">
        <f>$I$17*H22</f>
        <v>3.0713541108044597</v>
      </c>
      <c r="J22" s="26" t="inlineStr">
        <is>
          <t>na</t>
        </is>
      </c>
      <c r="K22" s="17" t="n"/>
    </row>
    <row r="23">
      <c r="A23" s="15" t="n"/>
      <c r="B23" s="15" t="n"/>
      <c r="C23" s="15" t="n"/>
      <c r="D23" s="16" t="n"/>
      <c r="E23" s="15" t="n"/>
      <c r="F23" s="15" t="n"/>
      <c r="G23" s="15" t="n"/>
      <c r="H23" s="15" t="n"/>
      <c r="I23" s="15" t="n"/>
      <c r="J23" s="15" t="n"/>
      <c r="K23" s="15" t="n"/>
    </row>
    <row r="24">
      <c r="A24" s="15" t="inlineStr">
        <is>
          <t>Loss</t>
        </is>
      </c>
      <c r="B24" s="15" t="n"/>
      <c r="C24" s="15" t="n"/>
      <c r="D24" s="16">
        <f>D17-SUM(D19:D22)</f>
        <v>22169.909768532016</v>
      </c>
      <c r="E24" s="15" t="n"/>
      <c r="F24" s="15" t="n"/>
      <c r="G24" s="15" t="n"/>
      <c r="H24" s="15" t="n"/>
      <c r="I24" s="15" t="n"/>
      <c r="J24" s="15" t="n"/>
      <c r="K24" s="15" t="n"/>
    </row>
    <row r="25"/>
    <row r="26"/>
    <row r="27">
      <c r="A27" s="2" t="inlineStr">
        <is>
          <t>Economic allocation</t>
        </is>
      </c>
    </row>
    <row r="28">
      <c r="A28" s="9" t="n"/>
      <c r="B28" s="9" t="n"/>
      <c r="C28" s="9" t="inlineStr">
        <is>
          <t>LHV [MJ/kg]</t>
        </is>
      </c>
      <c r="D28" s="9" t="inlineStr">
        <is>
          <t>Energy produced [GJ]</t>
        </is>
      </c>
      <c r="E28" s="9" t="inlineStr">
        <is>
          <t>Mass [kg]</t>
        </is>
      </c>
      <c r="F28" s="9" t="inlineStr">
        <is>
          <t>Unitary price [Euro_2005/kg]</t>
        </is>
      </c>
      <c r="G28" s="9" t="inlineStr">
        <is>
          <t>Turnover [Euro_2005]</t>
        </is>
      </c>
      <c r="H28" s="9" t="inlineStr">
        <is>
          <t>Revenue produced [%]</t>
        </is>
      </c>
      <c r="I28" s="9" t="inlineStr">
        <is>
          <t>Mass syngas, allocated [kg]</t>
        </is>
      </c>
      <c r="J28" s="9" t="inlineStr">
        <is>
          <t>Mass syngas, allocated [kg/kg]</t>
        </is>
      </c>
      <c r="K28" s="9" t="inlineStr">
        <is>
          <t>Embedded CO2 from syngas [kg/kg]</t>
        </is>
      </c>
      <c r="L28" s="9" t="inlineStr">
        <is>
          <t>CO2 content [kg/kg]</t>
        </is>
      </c>
      <c r="M28" s="9" t="inlineStr">
        <is>
          <t>Carbon correction [kg/kg]</t>
        </is>
      </c>
    </row>
    <row r="29">
      <c r="A29" s="9" t="inlineStr">
        <is>
          <t>Syngas</t>
        </is>
      </c>
      <c r="B29" s="9" t="n"/>
      <c r="C29" s="9" t="n">
        <v>23.94</v>
      </c>
      <c r="D29" s="19" t="n">
        <v>980752</v>
      </c>
      <c r="E29" s="19">
        <f>D29*1000/C29</f>
        <v>40967084.377610691</v>
      </c>
      <c r="F29" s="9" t="n"/>
      <c r="G29" s="9" t="n"/>
      <c r="H29" s="9" t="n">
        <v>100</v>
      </c>
      <c r="I29" s="9" t="n"/>
      <c r="J29" s="9" t="n"/>
      <c r="K29" s="9" t="n">
        <v>1.37</v>
      </c>
      <c r="L29" s="9" t="n"/>
      <c r="M29" s="9" t="n"/>
    </row>
    <row r="30">
      <c r="A30" s="9" t="n"/>
      <c r="B30" s="9" t="n"/>
      <c r="C30" s="9" t="n"/>
      <c r="D30" s="19" t="n"/>
      <c r="E30" s="19" t="n"/>
      <c r="F30" s="9" t="n"/>
      <c r="G30" s="9" t="n"/>
      <c r="H30" s="9" t="n"/>
      <c r="I30" s="9" t="n"/>
      <c r="J30" s="9" t="n"/>
      <c r="K30" s="9" t="n"/>
      <c r="L30" s="9" t="n"/>
      <c r="M30" s="9" t="n"/>
    </row>
    <row r="31">
      <c r="A31" s="9" t="inlineStr">
        <is>
          <t>Naphtha</t>
        </is>
      </c>
      <c r="B31" s="9" t="n"/>
      <c r="C31" s="9" t="n">
        <v>44.5</v>
      </c>
      <c r="D31" s="19" t="n">
        <v>190189</v>
      </c>
      <c r="E31" s="19">
        <f>D31*1000/C31</f>
        <v>4273910.1123595508</v>
      </c>
      <c r="F31" s="20" t="n">
        <v>0.265</v>
      </c>
      <c r="G31" s="20">
        <f>F31*E31</f>
        <v>1132586.1797752811</v>
      </c>
      <c r="H31" s="21">
        <f>G31/SUM($G$31:$G$34)</f>
        <v>6.7814648037968772E-2</v>
      </c>
      <c r="I31" s="29">
        <f>H31*$E$29</f>
        <v>2778168.408209438</v>
      </c>
      <c r="J31" s="23">
        <f>I31/E31</f>
        <v>0.65002967661284294</v>
      </c>
      <c r="K31" s="23">
        <f>$K$29*J31</f>
        <v>0.89054065695959495</v>
      </c>
      <c r="L31" s="23">
        <f>0.9197*(44/12)</f>
        <v>3.372233333333333</v>
      </c>
      <c r="M31" s="23">
        <f>L31-K31</f>
        <v>2.4816926763737381</v>
      </c>
    </row>
    <row r="32">
      <c r="A32" s="9" t="inlineStr">
        <is>
          <t>Kerosene</t>
        </is>
      </c>
      <c r="B32" s="9" t="n"/>
      <c r="C32" s="9" t="n">
        <v>45</v>
      </c>
      <c r="D32" s="19" t="n">
        <v>143100</v>
      </c>
      <c r="E32" s="19">
        <f>D32*1000/C32</f>
        <v>3180000</v>
      </c>
      <c r="F32" s="20" t="n">
        <v>0.297</v>
      </c>
      <c r="G32" s="20">
        <f>F32*E32</f>
        <v>944460</v>
      </c>
      <c r="H32" s="21">
        <f>G32/SUM($G$31:$G$34)</f>
        <v>5.6550418528546698E-2</v>
      </c>
      <c r="I32" s="19">
        <f>H32*$E$29</f>
        <v>2316705.7674481715</v>
      </c>
      <c r="J32" s="23">
        <f>I32/E32</f>
        <v>0.72852382624156342</v>
      </c>
      <c r="K32" s="23">
        <f>$K$29*J32</f>
        <v>0.99807764195094195</v>
      </c>
      <c r="L32" s="23" t="n">
        <v>3.14</v>
      </c>
      <c r="M32" s="23">
        <f>L32-K32</f>
        <v>2.1419223580490581</v>
      </c>
    </row>
    <row r="33">
      <c r="A33" s="9" t="inlineStr">
        <is>
          <t>Diesel</t>
        </is>
      </c>
      <c r="B33" s="9" t="n"/>
      <c r="C33" s="9" t="n">
        <v>43.3</v>
      </c>
      <c r="D33" s="19" t="n">
        <v>286404</v>
      </c>
      <c r="E33" s="19">
        <f>D33*1000/C33</f>
        <v>6614411.0854503466</v>
      </c>
      <c r="F33" s="20" t="n">
        <v>0.4</v>
      </c>
      <c r="G33" s="20">
        <f>F33*E33</f>
        <v>2645764.4341801386</v>
      </c>
      <c r="H33" s="21">
        <f>G33/SUM($G$31:$G$34)</f>
        <v>0.15841759956041587</v>
      </c>
      <c r="I33" s="19">
        <f>H33*$E$29</f>
        <v>6489907.1680900995</v>
      </c>
      <c r="J33" s="23">
        <f>I33/E33</f>
        <v>0.98117687035900791</v>
      </c>
      <c r="K33" s="23">
        <f>$K$29*J33</f>
        <v>1.344212312391841</v>
      </c>
      <c r="L33" s="23" t="n">
        <v>3.16</v>
      </c>
      <c r="M33" s="23">
        <f>L33-K33</f>
        <v>1.8157876876081591</v>
      </c>
    </row>
    <row r="34">
      <c r="A34" s="9" t="inlineStr">
        <is>
          <t>Lubricating oil</t>
        </is>
      </c>
      <c r="B34" s="9" t="n"/>
      <c r="C34" s="9" t="n">
        <v>40.2</v>
      </c>
      <c r="D34" s="19" t="n">
        <v>164908</v>
      </c>
      <c r="E34" s="19">
        <f>D34*1000/C34</f>
        <v>4102189.0547263678</v>
      </c>
      <c r="F34" s="20" t="n">
        <v>2.92</v>
      </c>
      <c r="G34" s="20">
        <f>F34*E34</f>
        <v>11978392.039800994</v>
      </c>
      <c r="H34" s="21">
        <f>G34/SUM($G$31:$G$34)</f>
        <v>0.71721733387306863</v>
      </c>
      <c r="I34" s="19">
        <f>H34*$E$29</f>
        <v>29382303.033862982</v>
      </c>
      <c r="J34" s="23">
        <f>I34/E34</f>
        <v>7.1625911536207578</v>
      </c>
      <c r="K34" s="23">
        <f>$K$29*J34</f>
        <v>9.8127498804604389</v>
      </c>
      <c r="L34" s="23">
        <f>0.75*(44/12)</f>
        <v>2.75</v>
      </c>
      <c r="M34" s="23">
        <f>L34-K34</f>
        <v>-7.0627498804604389</v>
      </c>
    </row>
    <row r="35">
      <c r="A35" s="9" t="n"/>
      <c r="B35" s="9" t="n"/>
      <c r="C35" s="9" t="n"/>
      <c r="D35" s="19" t="n"/>
      <c r="E35" s="9" t="n"/>
      <c r="F35" s="9" t="n"/>
      <c r="G35" s="9" t="n"/>
      <c r="H35" s="9" t="n"/>
      <c r="I35" s="9" t="n"/>
      <c r="J35" s="9" t="n"/>
      <c r="K35" s="9" t="n"/>
      <c r="L35" s="9" t="n"/>
      <c r="M35" s="9" t="n"/>
    </row>
    <row r="36">
      <c r="A36" s="9" t="inlineStr">
        <is>
          <t>Loss</t>
        </is>
      </c>
      <c r="B36" s="9" t="n"/>
      <c r="C36" s="9" t="n"/>
      <c r="D36" s="19">
        <f>D29-SUM(D31:D34)</f>
        <v>196151</v>
      </c>
      <c r="E36" s="9" t="n"/>
      <c r="F36" s="9" t="n"/>
      <c r="G36" s="9" t="n"/>
      <c r="H36" s="9" t="n"/>
      <c r="I36" s="9" t="n"/>
      <c r="J36" s="9" t="n"/>
      <c r="K36" s="9" t="n"/>
      <c r="L36" s="9" t="n"/>
      <c r="M36" s="9"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656"/>
  <sheetViews>
    <sheetView tabSelected="1" topLeftCell="A57" workbookViewId="0">
      <selection activeCell="B226" sqref="B226"/>
    </sheetView>
  </sheetViews>
  <sheetFormatPr baseColWidth="10" defaultColWidth="8.83203125" defaultRowHeight="15"/>
  <cols>
    <col width="50.33203125" bestFit="1" customWidth="1" min="1" max="1"/>
    <col width="32.5" customWidth="1" min="2" max="2"/>
    <col width="24.1640625" bestFit="1" customWidth="1" min="3" max="3"/>
  </cols>
  <sheetData>
    <row r="1">
      <c r="A1" s="2" t="inlineStr">
        <is>
          <t>database</t>
        </is>
      </c>
      <c r="B1" t="inlineStr">
        <is>
          <t>synfuel from electrolysis</t>
        </is>
      </c>
    </row>
    <row r="2">
      <c r="A2" s="2" t="n"/>
    </row>
    <row r="3" ht="16" customFormat="1" customHeight="1" s="9">
      <c r="A3" s="7" t="inlineStr">
        <is>
          <t>Activity</t>
        </is>
      </c>
      <c r="B3" s="7" t="inlineStr">
        <is>
          <t>kerosene production, synthetic, from Fischer Tropsch process, hydrogen from electrolysis, economic allocation, at fuelling station</t>
        </is>
      </c>
    </row>
    <row r="4" customFormat="1" s="9">
      <c r="A4" s="9" t="inlineStr">
        <is>
          <t>location</t>
        </is>
      </c>
      <c r="B4" s="9" t="inlineStr">
        <is>
          <t>RER</t>
        </is>
      </c>
    </row>
    <row r="5" customFormat="1" s="9">
      <c r="A5" s="9" t="inlineStr">
        <is>
          <t>production amount</t>
        </is>
      </c>
      <c r="B5" s="9" t="n">
        <v>1</v>
      </c>
    </row>
    <row r="6" ht="16" customFormat="1" customHeight="1" s="9">
      <c r="A6" s="9" t="inlineStr">
        <is>
          <t>reference product</t>
        </is>
      </c>
      <c r="B6" s="11" t="inlineStr">
        <is>
          <t>kerosene, synthetic</t>
        </is>
      </c>
    </row>
    <row r="7" customFormat="1" s="9">
      <c r="A7" s="9" t="inlineStr">
        <is>
          <t>type</t>
        </is>
      </c>
      <c r="B7" s="9" t="inlineStr">
        <is>
          <t>process</t>
        </is>
      </c>
    </row>
    <row r="8" customFormat="1" s="9">
      <c r="A8" s="9" t="inlineStr">
        <is>
          <t>unit</t>
        </is>
      </c>
      <c r="B8" s="9" t="inlineStr">
        <is>
          <t>kilogram</t>
        </is>
      </c>
    </row>
    <row r="9" ht="16" customFormat="1" customHeight="1" s="9">
      <c r="A9" s="7" t="inlineStr">
        <is>
          <t>Exchanges</t>
        </is>
      </c>
    </row>
    <row r="10" customFormat="1" s="9">
      <c r="A10" s="9" t="inlineStr">
        <is>
          <t>name</t>
        </is>
      </c>
      <c r="B10" s="9" t="inlineStr">
        <is>
          <t>amount</t>
        </is>
      </c>
      <c r="C10" s="9" t="inlineStr">
        <is>
          <t>location</t>
        </is>
      </c>
      <c r="D10" s="9" t="inlineStr">
        <is>
          <t>unit</t>
        </is>
      </c>
      <c r="E10" s="9" t="inlineStr">
        <is>
          <t>categories</t>
        </is>
      </c>
      <c r="F10" s="9" t="inlineStr">
        <is>
          <t>type</t>
        </is>
      </c>
      <c r="G10" s="9" t="inlineStr">
        <is>
          <t>uncertainty type</t>
        </is>
      </c>
      <c r="H10" s="9" t="inlineStr">
        <is>
          <t>loc</t>
        </is>
      </c>
      <c r="I10" s="9" t="inlineStr">
        <is>
          <t>allocation</t>
        </is>
      </c>
      <c r="J10" s="9" t="inlineStr">
        <is>
          <t>comment</t>
        </is>
      </c>
      <c r="K10" s="9" t="inlineStr">
        <is>
          <t>reference product</t>
        </is>
      </c>
    </row>
    <row r="11" ht="16" customFormat="1" customHeight="1" s="9">
      <c r="A11" s="9" t="inlineStr">
        <is>
          <t>kerosene production, synthetic, from Fischer Tropsch process, hydrogen from electrolysis, economic allocation, at fuelling station</t>
        </is>
      </c>
      <c r="B11" s="9" t="n">
        <v>1</v>
      </c>
      <c r="C11" s="9" t="inlineStr">
        <is>
          <t>RER</t>
        </is>
      </c>
      <c r="D11" s="9" t="inlineStr">
        <is>
          <t>kilogram</t>
        </is>
      </c>
      <c r="F11" s="9" t="inlineStr">
        <is>
          <t>production</t>
        </is>
      </c>
      <c r="I11" s="9" t="n">
        <v>100</v>
      </c>
      <c r="J11" s="9" t="inlineStr"/>
      <c r="K11" s="11" t="inlineStr">
        <is>
          <t>kerosene, synthetic</t>
        </is>
      </c>
    </row>
    <row r="12" customFormat="1" s="9">
      <c r="A12" s="9" t="inlineStr">
        <is>
          <t>Kerosene production, synthetic, Fischer Tropsch process, hydrogen from electrolysis, economic allocation</t>
        </is>
      </c>
      <c r="B12" s="9" t="n">
        <v>1.00057</v>
      </c>
      <c r="C12" s="9" t="inlineStr">
        <is>
          <t>RER</t>
        </is>
      </c>
      <c r="D12" s="9" t="inlineStr">
        <is>
          <t>kilogram</t>
        </is>
      </c>
      <c r="F12" s="9" t="inlineStr">
        <is>
          <t>technosphere</t>
        </is>
      </c>
      <c r="K12" s="9" t="inlineStr">
        <is>
          <t>Kerosene, synthetic</t>
        </is>
      </c>
    </row>
    <row r="13" customFormat="1" s="9">
      <c r="A13" s="9" t="inlineStr">
        <is>
          <t>market group for electricity, low voltage</t>
        </is>
      </c>
      <c r="B13" s="9" t="n">
        <v>0.0067</v>
      </c>
      <c r="C13" s="9" t="inlineStr">
        <is>
          <t>RER</t>
        </is>
      </c>
      <c r="D13" s="9" t="inlineStr">
        <is>
          <t>kilowatt hour</t>
        </is>
      </c>
      <c r="F13" s="9" t="inlineStr">
        <is>
          <t>technosphere</t>
        </is>
      </c>
      <c r="K13" s="9" t="inlineStr">
        <is>
          <t>electricity, low voltage</t>
        </is>
      </c>
    </row>
    <row r="14" customFormat="1" s="9">
      <c r="A14" s="9" t="inlineStr">
        <is>
          <t>market for fly ash and scrubber sludge</t>
        </is>
      </c>
      <c r="B14" s="10" t="n">
        <v>1.85e-05</v>
      </c>
      <c r="C14" s="9" t="inlineStr">
        <is>
          <t>Europe without Switzerland</t>
        </is>
      </c>
      <c r="D14" s="9" t="inlineStr">
        <is>
          <t>kilogram</t>
        </is>
      </c>
      <c r="F14" s="9" t="inlineStr">
        <is>
          <t>technosphere</t>
        </is>
      </c>
      <c r="K14" s="9" t="inlineStr">
        <is>
          <t>fly ash and scrubber sludge</t>
        </is>
      </c>
    </row>
    <row r="15" customFormat="1" s="9">
      <c r="A15" s="9" t="inlineStr">
        <is>
          <t>market for heat, central or small-scale, other than natural gas</t>
        </is>
      </c>
      <c r="B15" s="10" t="n">
        <v>0.000584</v>
      </c>
      <c r="C15" s="9" t="inlineStr">
        <is>
          <t>CH</t>
        </is>
      </c>
      <c r="D15" s="9" t="inlineStr">
        <is>
          <t>megajoule</t>
        </is>
      </c>
      <c r="F15" s="9" t="inlineStr">
        <is>
          <t>technosphere</t>
        </is>
      </c>
      <c r="K15" s="9" t="inlineStr">
        <is>
          <t>heat, central or small-scale, other than natural gas</t>
        </is>
      </c>
    </row>
    <row r="16" customFormat="1" s="9">
      <c r="A16" s="9" t="inlineStr">
        <is>
          <t>infrastructure construction, for regional distribution of oil product</t>
        </is>
      </c>
      <c r="B16" s="10" t="n">
        <v>1.04e-10</v>
      </c>
      <c r="C16" s="9" t="inlineStr">
        <is>
          <t>RER</t>
        </is>
      </c>
      <c r="D16" s="9" t="inlineStr">
        <is>
          <t>unit</t>
        </is>
      </c>
      <c r="F16" s="9" t="inlineStr">
        <is>
          <t>technosphere</t>
        </is>
      </c>
      <c r="K16" s="9" t="inlineStr">
        <is>
          <t>infrastructure, for regional distribution of oil product</t>
        </is>
      </c>
    </row>
    <row r="17" customFormat="1" s="9">
      <c r="A17" s="9" t="inlineStr">
        <is>
          <t>market for municipal solid waste</t>
        </is>
      </c>
      <c r="B17" s="10" t="n">
        <v>-6.27e-06</v>
      </c>
      <c r="C17" s="9" t="inlineStr">
        <is>
          <t>CH</t>
        </is>
      </c>
      <c r="D17" s="9" t="inlineStr">
        <is>
          <t>kilogram</t>
        </is>
      </c>
      <c r="F17" s="9" t="inlineStr">
        <is>
          <t>technosphere</t>
        </is>
      </c>
      <c r="K17" s="9" t="inlineStr">
        <is>
          <t>municipal solid waste</t>
        </is>
      </c>
    </row>
    <row r="18" customFormat="1" s="9">
      <c r="A18" s="9" t="inlineStr">
        <is>
          <t>market for rainwater mineral oil storage</t>
        </is>
      </c>
      <c r="B18" s="10" t="n">
        <v>-5e-05</v>
      </c>
      <c r="C18" s="9" t="inlineStr">
        <is>
          <t>Europe without Switzerland</t>
        </is>
      </c>
      <c r="D18" s="13" t="inlineStr">
        <is>
          <t>cubic meter</t>
        </is>
      </c>
      <c r="F18" s="9" t="inlineStr">
        <is>
          <t>technosphere</t>
        </is>
      </c>
      <c r="K18" s="9" t="inlineStr">
        <is>
          <t>rainwater mineral oil storage</t>
        </is>
      </c>
    </row>
    <row r="19" customFormat="1" s="9">
      <c r="A19" s="9" t="inlineStr">
        <is>
          <t>market for tap water</t>
        </is>
      </c>
      <c r="B19" s="10" t="n">
        <v>0.0006890000000000001</v>
      </c>
      <c r="C19" s="9" t="inlineStr">
        <is>
          <t>Europe without Switzerland</t>
        </is>
      </c>
      <c r="D19" s="9" t="inlineStr">
        <is>
          <t>kilogram</t>
        </is>
      </c>
      <c r="F19" s="9" t="inlineStr">
        <is>
          <t>technosphere</t>
        </is>
      </c>
      <c r="K19" s="9" t="inlineStr">
        <is>
          <t>tap water</t>
        </is>
      </c>
    </row>
    <row r="20" customFormat="1" s="9">
      <c r="A20" s="9" t="inlineStr">
        <is>
          <t>market for transport, freight train</t>
        </is>
      </c>
      <c r="B20" s="9" t="n">
        <v>0.0336</v>
      </c>
      <c r="C20" s="9" t="inlineStr">
        <is>
          <t>Europe without Switzerland</t>
        </is>
      </c>
      <c r="D20" s="9" t="inlineStr">
        <is>
          <t>ton kilometer</t>
        </is>
      </c>
      <c r="F20" s="9" t="inlineStr">
        <is>
          <t>technosphere</t>
        </is>
      </c>
      <c r="K20" s="9" t="inlineStr">
        <is>
          <t>transport, freight train</t>
        </is>
      </c>
    </row>
    <row r="21" customFormat="1" s="9">
      <c r="A21" s="9" t="inlineStr">
        <is>
          <t>market for transport, freight, lorry, unspecified</t>
        </is>
      </c>
      <c r="B21" s="9" t="n">
        <v>0.0326</v>
      </c>
      <c r="C21" s="9" t="inlineStr">
        <is>
          <t>RER</t>
        </is>
      </c>
      <c r="D21" s="9" t="inlineStr">
        <is>
          <t>ton kilometer</t>
        </is>
      </c>
      <c r="F21" s="9" t="inlineStr">
        <is>
          <t>technosphere</t>
        </is>
      </c>
      <c r="K21" s="9" t="inlineStr">
        <is>
          <t>transport, freight, lorry, unspecified</t>
        </is>
      </c>
    </row>
    <row r="22" customFormat="1" s="9">
      <c r="A22" s="9" t="inlineStr">
        <is>
          <t>treatment of wastewater, average, capacity 1E9l/year</t>
        </is>
      </c>
      <c r="B22" s="10" t="n">
        <v>-6.89e-07</v>
      </c>
      <c r="C22" s="9" t="inlineStr">
        <is>
          <t>Europe without Switzerland</t>
        </is>
      </c>
      <c r="D22" s="9" t="inlineStr">
        <is>
          <t>cubic meter</t>
        </is>
      </c>
      <c r="F22" s="9" t="inlineStr">
        <is>
          <t>technosphere</t>
        </is>
      </c>
      <c r="K22" s="9" t="inlineStr">
        <is>
          <t>wastewater, average</t>
        </is>
      </c>
    </row>
    <row r="23" customFormat="1" s="9">
      <c r="A23" s="9" t="inlineStr">
        <is>
          <t>Carbon dioxide, non-fossil</t>
        </is>
      </c>
      <c r="B23" s="10">
        <f>(B12-1)*3.14</f>
        <v>1.7897999999998727E-3</v>
      </c>
      <c r="D23" s="9" t="inlineStr">
        <is>
          <t>kilogram</t>
        </is>
      </c>
      <c r="E23" s="9" t="inlineStr">
        <is>
          <t>air</t>
        </is>
      </c>
      <c r="F23" s="9" t="inlineStr">
        <is>
          <t>biosphere</t>
        </is>
      </c>
    </row>
    <row r="24" ht="16" customFormat="1" customHeight="1" s="9">
      <c r="A24" s="11" t="n"/>
      <c r="B24" s="14" t="n"/>
      <c r="G24" s="11" t="n"/>
    </row>
    <row r="25" ht="16" customFormat="1" customHeight="1" s="9">
      <c r="A25" s="7" t="inlineStr">
        <is>
          <t>Activity</t>
        </is>
      </c>
      <c r="B25" s="7" t="inlineStr">
        <is>
          <t>diesel production, synthetic, from Fischer Tropsch process, hydrogen from electrolysis, economic allocation, at fuelling station</t>
        </is>
      </c>
    </row>
    <row r="26" customFormat="1" s="9">
      <c r="A26" s="9" t="inlineStr">
        <is>
          <t>location</t>
        </is>
      </c>
      <c r="B26" s="9" t="inlineStr">
        <is>
          <t>RER</t>
        </is>
      </c>
    </row>
    <row r="27" customFormat="1" s="9">
      <c r="A27" s="9" t="inlineStr">
        <is>
          <t>production amount</t>
        </is>
      </c>
      <c r="B27" s="9" t="n">
        <v>1</v>
      </c>
    </row>
    <row r="28" ht="16" customFormat="1" customHeight="1" s="9">
      <c r="A28" s="9" t="inlineStr">
        <is>
          <t>reference product</t>
        </is>
      </c>
      <c r="B28" s="11" t="inlineStr">
        <is>
          <t>diesel, synthetic, vehicle grade</t>
        </is>
      </c>
    </row>
    <row r="29" customFormat="1" s="9">
      <c r="A29" s="9" t="inlineStr">
        <is>
          <t>type</t>
        </is>
      </c>
      <c r="B29" s="9" t="inlineStr">
        <is>
          <t>process</t>
        </is>
      </c>
    </row>
    <row r="30" customFormat="1" s="9">
      <c r="A30" s="9" t="inlineStr">
        <is>
          <t>unit</t>
        </is>
      </c>
      <c r="B30" s="9" t="inlineStr">
        <is>
          <t>kilogram</t>
        </is>
      </c>
    </row>
    <row r="31" ht="16" customFormat="1" customHeight="1" s="9">
      <c r="A31" s="7" t="inlineStr">
        <is>
          <t>Exchanges</t>
        </is>
      </c>
    </row>
    <row r="32" customFormat="1" s="9">
      <c r="A32" s="9" t="inlineStr">
        <is>
          <t>name</t>
        </is>
      </c>
      <c r="B32" s="9" t="inlineStr">
        <is>
          <t>amount</t>
        </is>
      </c>
      <c r="C32" s="9" t="inlineStr">
        <is>
          <t>location</t>
        </is>
      </c>
      <c r="D32" s="9" t="inlineStr">
        <is>
          <t>unit</t>
        </is>
      </c>
      <c r="E32" s="9" t="inlineStr">
        <is>
          <t>categories</t>
        </is>
      </c>
      <c r="F32" s="9" t="inlineStr">
        <is>
          <t>type</t>
        </is>
      </c>
      <c r="G32" s="9" t="inlineStr">
        <is>
          <t>uncertainty type</t>
        </is>
      </c>
      <c r="H32" s="9" t="inlineStr">
        <is>
          <t>loc</t>
        </is>
      </c>
      <c r="I32" s="9" t="inlineStr">
        <is>
          <t>allocation</t>
        </is>
      </c>
      <c r="J32" s="9" t="inlineStr">
        <is>
          <t>comment</t>
        </is>
      </c>
      <c r="K32" s="9" t="inlineStr">
        <is>
          <t>reference product</t>
        </is>
      </c>
    </row>
    <row r="33" ht="16" customFormat="1" customHeight="1" s="9">
      <c r="A33" s="9" t="inlineStr">
        <is>
          <t>diesel production, synthetic, from Fischer Tropsch process, hydrogen from electrolysis, economic allocation, at fuelling station</t>
        </is>
      </c>
      <c r="B33" s="9" t="n">
        <v>1</v>
      </c>
      <c r="C33" s="9" t="inlineStr">
        <is>
          <t>RER</t>
        </is>
      </c>
      <c r="D33" s="9" t="inlineStr">
        <is>
          <t>kilogram</t>
        </is>
      </c>
      <c r="F33" s="9" t="inlineStr">
        <is>
          <t>production</t>
        </is>
      </c>
      <c r="I33" s="9" t="n">
        <v>100</v>
      </c>
      <c r="J33" s="9" t="inlineStr"/>
      <c r="K33" s="11" t="inlineStr">
        <is>
          <t>diesel, synthetic, vehicle grade</t>
        </is>
      </c>
    </row>
    <row r="34" customFormat="1" s="9">
      <c r="A34" s="9" t="inlineStr">
        <is>
          <t>Diesel production, synthetic, Fischer Tropsch process, hydrogen from electrolysis, economic allocation</t>
        </is>
      </c>
      <c r="B34" s="9" t="n">
        <v>1.00057</v>
      </c>
      <c r="C34" s="9" t="inlineStr">
        <is>
          <t>RER</t>
        </is>
      </c>
      <c r="D34" s="9" t="inlineStr">
        <is>
          <t>kilogram</t>
        </is>
      </c>
      <c r="F34" s="9" t="inlineStr">
        <is>
          <t>technosphere</t>
        </is>
      </c>
      <c r="K34" s="9" t="inlineStr">
        <is>
          <t>Diesel, synthetic</t>
        </is>
      </c>
    </row>
    <row r="35" customFormat="1" s="9">
      <c r="A35" s="9" t="inlineStr">
        <is>
          <t>market group for electricity, low voltage</t>
        </is>
      </c>
      <c r="B35" s="9" t="n">
        <v>0.0067</v>
      </c>
      <c r="C35" s="9" t="inlineStr">
        <is>
          <t>RER</t>
        </is>
      </c>
      <c r="D35" s="9" t="inlineStr">
        <is>
          <t>kilowatt hour</t>
        </is>
      </c>
      <c r="F35" s="9" t="inlineStr">
        <is>
          <t>technosphere</t>
        </is>
      </c>
      <c r="K35" s="9" t="inlineStr">
        <is>
          <t>electricity, low voltage</t>
        </is>
      </c>
    </row>
    <row r="36" customFormat="1" s="9">
      <c r="A36" s="9" t="inlineStr">
        <is>
          <t>market for fly ash and scrubber sludge</t>
        </is>
      </c>
      <c r="B36" s="9" t="n">
        <v>-0.000168</v>
      </c>
      <c r="C36" s="9" t="inlineStr">
        <is>
          <t>Europe without Switzerland</t>
        </is>
      </c>
      <c r="D36" s="9" t="inlineStr">
        <is>
          <t>kilogram</t>
        </is>
      </c>
      <c r="F36" s="9" t="inlineStr">
        <is>
          <t>technosphere</t>
        </is>
      </c>
      <c r="K36" s="9" t="inlineStr">
        <is>
          <t>fly ash and scrubber sludge</t>
        </is>
      </c>
    </row>
    <row r="37" customFormat="1" s="9">
      <c r="A37" s="9" t="inlineStr">
        <is>
          <t>market for heat, central or small-scale, other than natural gas</t>
        </is>
      </c>
      <c r="B37" s="10" t="n">
        <v>0.000584</v>
      </c>
      <c r="C37" s="9" t="inlineStr">
        <is>
          <t>CH</t>
        </is>
      </c>
      <c r="D37" s="9" t="inlineStr">
        <is>
          <t>megajoule</t>
        </is>
      </c>
      <c r="F37" s="9" t="inlineStr">
        <is>
          <t>technosphere</t>
        </is>
      </c>
      <c r="K37" s="9" t="inlineStr">
        <is>
          <t>heat, central or small-scale, other than natural gas</t>
        </is>
      </c>
    </row>
    <row r="38" customFormat="1" s="9">
      <c r="A38" s="9" t="inlineStr">
        <is>
          <t>infrastructure construction, for regional distribution of oil product</t>
        </is>
      </c>
      <c r="B38" s="10" t="n">
        <v>2.6e-10</v>
      </c>
      <c r="C38" s="9" t="inlineStr">
        <is>
          <t>RER</t>
        </is>
      </c>
      <c r="D38" s="9" t="inlineStr">
        <is>
          <t>unit</t>
        </is>
      </c>
      <c r="F38" s="9" t="inlineStr">
        <is>
          <t>technosphere</t>
        </is>
      </c>
      <c r="K38" s="9" t="inlineStr">
        <is>
          <t>infrastructure, for regional distribution of oil product</t>
        </is>
      </c>
    </row>
    <row r="39" customFormat="1" s="9">
      <c r="A39" s="9" t="inlineStr">
        <is>
          <t>market for municipal solid waste</t>
        </is>
      </c>
      <c r="B39" s="10" t="n">
        <v>-6.27e-06</v>
      </c>
      <c r="C39" s="9" t="inlineStr">
        <is>
          <t>CH</t>
        </is>
      </c>
      <c r="D39" s="9" t="inlineStr">
        <is>
          <t>kilogram</t>
        </is>
      </c>
      <c r="F39" s="9" t="inlineStr">
        <is>
          <t>technosphere</t>
        </is>
      </c>
      <c r="K39" s="9" t="inlineStr">
        <is>
          <t>municipal solid waste</t>
        </is>
      </c>
    </row>
    <row r="40" customFormat="1" s="9">
      <c r="A40" s="9" t="inlineStr">
        <is>
          <t>market for rainwater mineral oil storage</t>
        </is>
      </c>
      <c r="B40" s="10" t="n">
        <v>-7.499999999999999e-05</v>
      </c>
      <c r="C40" s="9" t="inlineStr">
        <is>
          <t>Europe without Switzerland</t>
        </is>
      </c>
      <c r="D40" s="13" t="inlineStr">
        <is>
          <t>cubic meter</t>
        </is>
      </c>
      <c r="F40" s="9" t="inlineStr">
        <is>
          <t>technosphere</t>
        </is>
      </c>
      <c r="K40" s="9" t="inlineStr">
        <is>
          <t>rainwater mineral oil storage</t>
        </is>
      </c>
    </row>
    <row r="41" customFormat="1" s="9">
      <c r="A41" s="9" t="inlineStr">
        <is>
          <t>market for tap water</t>
        </is>
      </c>
      <c r="B41" s="10" t="n">
        <v>0.0006890000000000001</v>
      </c>
      <c r="C41" s="9" t="inlineStr">
        <is>
          <t>Europe without Switzerland</t>
        </is>
      </c>
      <c r="D41" s="9" t="inlineStr">
        <is>
          <t>kilogram</t>
        </is>
      </c>
      <c r="F41" s="9" t="inlineStr">
        <is>
          <t>technosphere</t>
        </is>
      </c>
      <c r="K41" s="9" t="inlineStr">
        <is>
          <t>tap water</t>
        </is>
      </c>
    </row>
    <row r="42" customFormat="1" s="9">
      <c r="A42" s="9" t="inlineStr">
        <is>
          <t>market for transport, freight train</t>
        </is>
      </c>
      <c r="B42" s="9" t="n">
        <v>0.0336</v>
      </c>
      <c r="C42" s="9" t="inlineStr">
        <is>
          <t>Europe without Switzerland</t>
        </is>
      </c>
      <c r="D42" s="9" t="inlineStr">
        <is>
          <t>ton kilometer</t>
        </is>
      </c>
      <c r="F42" s="9" t="inlineStr">
        <is>
          <t>technosphere</t>
        </is>
      </c>
      <c r="K42" s="9" t="inlineStr">
        <is>
          <t>transport, freight train</t>
        </is>
      </c>
    </row>
    <row r="43" customFormat="1" s="9">
      <c r="A43" s="9" t="inlineStr">
        <is>
          <t>market for transport, freight, lorry, unspecified</t>
        </is>
      </c>
      <c r="B43" s="9" t="n">
        <v>0.0326</v>
      </c>
      <c r="C43" s="9" t="inlineStr">
        <is>
          <t>RER</t>
        </is>
      </c>
      <c r="D43" s="9" t="inlineStr">
        <is>
          <t>ton kilometer</t>
        </is>
      </c>
      <c r="F43" s="9" t="inlineStr">
        <is>
          <t>technosphere</t>
        </is>
      </c>
      <c r="K43" s="9" t="inlineStr">
        <is>
          <t>transport, freight, lorry, unspecified</t>
        </is>
      </c>
    </row>
    <row r="44" customFormat="1" s="9">
      <c r="A44" s="9" t="inlineStr">
        <is>
          <t>treatment of wastewater, average, capacity 1E9l/year</t>
        </is>
      </c>
      <c r="B44" s="10" t="n">
        <v>-6.89e-07</v>
      </c>
      <c r="C44" s="9" t="inlineStr">
        <is>
          <t>Europe without Switzerland</t>
        </is>
      </c>
      <c r="D44" s="9" t="inlineStr">
        <is>
          <t>cubic meter</t>
        </is>
      </c>
      <c r="F44" s="9" t="inlineStr">
        <is>
          <t>technosphere</t>
        </is>
      </c>
      <c r="K44" s="9" t="inlineStr">
        <is>
          <t>wastewater, average</t>
        </is>
      </c>
    </row>
    <row r="45" customFormat="1" s="9">
      <c r="A45" s="9" t="inlineStr">
        <is>
          <t>Carbon dioxide, non-fossil</t>
        </is>
      </c>
      <c r="B45" s="10">
        <f>(B34-1)*3.14</f>
        <v>1.7897999999998727E-3</v>
      </c>
      <c r="D45" s="9" t="inlineStr">
        <is>
          <t>kilogram</t>
        </is>
      </c>
      <c r="E45" s="9" t="inlineStr">
        <is>
          <t>air</t>
        </is>
      </c>
      <c r="F45" s="9" t="inlineStr">
        <is>
          <t>biosphere</t>
        </is>
      </c>
    </row>
    <row r="46" ht="16" customFormat="1" customHeight="1" s="9">
      <c r="A46" s="11" t="n"/>
      <c r="B46" s="14" t="n"/>
      <c r="G46" s="11" t="n"/>
    </row>
    <row r="47" ht="16" customFormat="1" customHeight="1" s="9">
      <c r="A47" s="7" t="inlineStr">
        <is>
          <t>Activity</t>
        </is>
      </c>
      <c r="B47" s="7" t="inlineStr">
        <is>
          <t>kerosene production, synthetic, from Fischer Tropsch process, hydrogen from electrolysis, energy allocation, at fuelling station</t>
        </is>
      </c>
    </row>
    <row r="48" customFormat="1" s="9">
      <c r="A48" s="9" t="inlineStr">
        <is>
          <t>location</t>
        </is>
      </c>
      <c r="B48" s="9" t="inlineStr">
        <is>
          <t>RER</t>
        </is>
      </c>
    </row>
    <row r="49" customFormat="1" s="9">
      <c r="A49" s="9" t="inlineStr">
        <is>
          <t>production amount</t>
        </is>
      </c>
      <c r="B49" s="9" t="n">
        <v>1</v>
      </c>
    </row>
    <row r="50" ht="16" customFormat="1" customHeight="1" s="9">
      <c r="A50" s="9" t="inlineStr">
        <is>
          <t>reference product</t>
        </is>
      </c>
      <c r="B50" s="11" t="inlineStr">
        <is>
          <t>kerosene, synthetic</t>
        </is>
      </c>
    </row>
    <row r="51" customFormat="1" s="9">
      <c r="A51" s="9" t="inlineStr">
        <is>
          <t>type</t>
        </is>
      </c>
      <c r="B51" s="9" t="inlineStr">
        <is>
          <t>process</t>
        </is>
      </c>
    </row>
    <row r="52" customFormat="1" s="9">
      <c r="A52" s="9" t="inlineStr">
        <is>
          <t>unit</t>
        </is>
      </c>
      <c r="B52" s="9" t="inlineStr">
        <is>
          <t>kilogram</t>
        </is>
      </c>
    </row>
    <row r="53" ht="16" customFormat="1" customHeight="1" s="9">
      <c r="A53" s="7" t="inlineStr">
        <is>
          <t>Exchanges</t>
        </is>
      </c>
    </row>
    <row r="54" customFormat="1" s="9">
      <c r="A54" s="9" t="inlineStr">
        <is>
          <t>name</t>
        </is>
      </c>
      <c r="B54" s="9" t="inlineStr">
        <is>
          <t>amount</t>
        </is>
      </c>
      <c r="C54" s="9" t="inlineStr">
        <is>
          <t>location</t>
        </is>
      </c>
      <c r="D54" s="9" t="inlineStr">
        <is>
          <t>unit</t>
        </is>
      </c>
      <c r="E54" s="9" t="inlineStr">
        <is>
          <t>categories</t>
        </is>
      </c>
      <c r="F54" s="9" t="inlineStr">
        <is>
          <t>type</t>
        </is>
      </c>
      <c r="G54" s="9" t="inlineStr">
        <is>
          <t>uncertainty type</t>
        </is>
      </c>
      <c r="H54" s="9" t="inlineStr">
        <is>
          <t>loc</t>
        </is>
      </c>
      <c r="I54" s="9" t="inlineStr">
        <is>
          <t>allocation</t>
        </is>
      </c>
      <c r="J54" s="9" t="inlineStr">
        <is>
          <t>comment</t>
        </is>
      </c>
      <c r="K54" s="9" t="inlineStr">
        <is>
          <t>reference product</t>
        </is>
      </c>
    </row>
    <row r="55" ht="16" customFormat="1" customHeight="1" s="9">
      <c r="A55" s="9" t="inlineStr">
        <is>
          <t>kerosene production, synthetic, from Fischer Tropsch process, hydrogen from electrolysis, energy allocation, at fuelling station</t>
        </is>
      </c>
      <c r="B55" s="9" t="n">
        <v>1</v>
      </c>
      <c r="C55" s="9" t="inlineStr">
        <is>
          <t>RER</t>
        </is>
      </c>
      <c r="D55" s="9" t="inlineStr">
        <is>
          <t>kilogram</t>
        </is>
      </c>
      <c r="F55" s="9" t="inlineStr">
        <is>
          <t>production</t>
        </is>
      </c>
      <c r="I55" s="9" t="n">
        <v>100</v>
      </c>
      <c r="J55" s="9" t="inlineStr"/>
      <c r="K55" s="11" t="inlineStr">
        <is>
          <t>kerosene, synthetic</t>
        </is>
      </c>
    </row>
    <row r="56" customFormat="1" s="9">
      <c r="A56" s="9" t="inlineStr">
        <is>
          <t>Kerosene production, synthetic, Fischer Tropsch process, hydrogen from electrolysis, energy allocation</t>
        </is>
      </c>
      <c r="B56" s="9" t="n">
        <v>1.00057</v>
      </c>
      <c r="C56" s="9" t="inlineStr">
        <is>
          <t>RER</t>
        </is>
      </c>
      <c r="D56" s="9" t="inlineStr">
        <is>
          <t>kilogram</t>
        </is>
      </c>
      <c r="F56" s="9" t="inlineStr">
        <is>
          <t>technosphere</t>
        </is>
      </c>
      <c r="K56" s="9" t="inlineStr">
        <is>
          <t>Kerosene, synthetic</t>
        </is>
      </c>
    </row>
    <row r="57" customFormat="1" s="9">
      <c r="A57" s="9" t="inlineStr">
        <is>
          <t>market group for electricity, low voltage</t>
        </is>
      </c>
      <c r="B57" s="9" t="n">
        <v>0.0067</v>
      </c>
      <c r="C57" s="9" t="inlineStr">
        <is>
          <t>RER</t>
        </is>
      </c>
      <c r="D57" s="9" t="inlineStr">
        <is>
          <t>kilowatt hour</t>
        </is>
      </c>
      <c r="F57" s="9" t="inlineStr">
        <is>
          <t>technosphere</t>
        </is>
      </c>
      <c r="K57" s="9" t="inlineStr">
        <is>
          <t>electricity, low voltage</t>
        </is>
      </c>
    </row>
    <row r="58" customFormat="1" s="9">
      <c r="A58" s="9" t="inlineStr">
        <is>
          <t>market for fly ash and scrubber sludge</t>
        </is>
      </c>
      <c r="B58" s="10" t="n">
        <v>1.85e-05</v>
      </c>
      <c r="C58" s="9" t="inlineStr">
        <is>
          <t>Europe without Switzerland</t>
        </is>
      </c>
      <c r="D58" s="9" t="inlineStr">
        <is>
          <t>kilogram</t>
        </is>
      </c>
      <c r="F58" s="9" t="inlineStr">
        <is>
          <t>technosphere</t>
        </is>
      </c>
      <c r="K58" s="9" t="inlineStr">
        <is>
          <t>fly ash and scrubber sludge</t>
        </is>
      </c>
    </row>
    <row r="59" customFormat="1" s="9">
      <c r="A59" s="9" t="inlineStr">
        <is>
          <t>market for heat, central or small-scale, other than natural gas</t>
        </is>
      </c>
      <c r="B59" s="10" t="n">
        <v>0.000584</v>
      </c>
      <c r="C59" s="9" t="inlineStr">
        <is>
          <t>CH</t>
        </is>
      </c>
      <c r="D59" s="9" t="inlineStr">
        <is>
          <t>megajoule</t>
        </is>
      </c>
      <c r="F59" s="9" t="inlineStr">
        <is>
          <t>technosphere</t>
        </is>
      </c>
      <c r="K59" s="9" t="inlineStr">
        <is>
          <t>heat, central or small-scale, other than natural gas</t>
        </is>
      </c>
    </row>
    <row r="60" customFormat="1" s="9">
      <c r="A60" s="9" t="inlineStr">
        <is>
          <t>infrastructure construction, for regional distribution of oil product</t>
        </is>
      </c>
      <c r="B60" s="10" t="n">
        <v>1.04e-10</v>
      </c>
      <c r="C60" s="9" t="inlineStr">
        <is>
          <t>RER</t>
        </is>
      </c>
      <c r="D60" s="9" t="inlineStr">
        <is>
          <t>unit</t>
        </is>
      </c>
      <c r="F60" s="9" t="inlineStr">
        <is>
          <t>technosphere</t>
        </is>
      </c>
      <c r="K60" s="9" t="inlineStr">
        <is>
          <t>infrastructure, for regional distribution of oil product</t>
        </is>
      </c>
    </row>
    <row r="61" customFormat="1" s="9">
      <c r="A61" s="9" t="inlineStr">
        <is>
          <t>market for municipal solid waste</t>
        </is>
      </c>
      <c r="B61" s="10" t="n">
        <v>-6.27e-06</v>
      </c>
      <c r="C61" s="9" t="inlineStr">
        <is>
          <t>CH</t>
        </is>
      </c>
      <c r="D61" s="9" t="inlineStr">
        <is>
          <t>kilogram</t>
        </is>
      </c>
      <c r="F61" s="9" t="inlineStr">
        <is>
          <t>technosphere</t>
        </is>
      </c>
      <c r="K61" s="9" t="inlineStr">
        <is>
          <t>municipal solid waste</t>
        </is>
      </c>
    </row>
    <row r="62" customFormat="1" s="9">
      <c r="A62" s="9" t="inlineStr">
        <is>
          <t>market for rainwater mineral oil storage</t>
        </is>
      </c>
      <c r="B62" s="10" t="n">
        <v>-5e-05</v>
      </c>
      <c r="C62" s="9" t="inlineStr">
        <is>
          <t>Europe without Switzerland</t>
        </is>
      </c>
      <c r="D62" s="13" t="inlineStr">
        <is>
          <t>cubic meter</t>
        </is>
      </c>
      <c r="F62" s="9" t="inlineStr">
        <is>
          <t>technosphere</t>
        </is>
      </c>
      <c r="K62" s="9" t="inlineStr">
        <is>
          <t>rainwater mineral oil storage</t>
        </is>
      </c>
    </row>
    <row r="63" customFormat="1" s="9">
      <c r="A63" s="9" t="inlineStr">
        <is>
          <t>market for tap water</t>
        </is>
      </c>
      <c r="B63" s="10" t="n">
        <v>0.0006890000000000001</v>
      </c>
      <c r="C63" s="9" t="inlineStr">
        <is>
          <t>Europe without Switzerland</t>
        </is>
      </c>
      <c r="D63" s="9" t="inlineStr">
        <is>
          <t>kilogram</t>
        </is>
      </c>
      <c r="F63" s="9" t="inlineStr">
        <is>
          <t>technosphere</t>
        </is>
      </c>
      <c r="K63" s="9" t="inlineStr">
        <is>
          <t>tap water</t>
        </is>
      </c>
    </row>
    <row r="64" customFormat="1" s="9">
      <c r="A64" s="9" t="inlineStr">
        <is>
          <t>market for transport, freight train</t>
        </is>
      </c>
      <c r="B64" s="9" t="n">
        <v>0.0336</v>
      </c>
      <c r="C64" s="9" t="inlineStr">
        <is>
          <t>Europe without Switzerland</t>
        </is>
      </c>
      <c r="D64" s="9" t="inlineStr">
        <is>
          <t>ton kilometer</t>
        </is>
      </c>
      <c r="F64" s="9" t="inlineStr">
        <is>
          <t>technosphere</t>
        </is>
      </c>
      <c r="K64" s="9" t="inlineStr">
        <is>
          <t>transport, freight train</t>
        </is>
      </c>
    </row>
    <row r="65" customFormat="1" s="9">
      <c r="A65" s="9" t="inlineStr">
        <is>
          <t>market for transport, freight, lorry, unspecified</t>
        </is>
      </c>
      <c r="B65" s="9" t="n">
        <v>0.0326</v>
      </c>
      <c r="C65" s="9" t="inlineStr">
        <is>
          <t>RER</t>
        </is>
      </c>
      <c r="D65" s="9" t="inlineStr">
        <is>
          <t>ton kilometer</t>
        </is>
      </c>
      <c r="F65" s="9" t="inlineStr">
        <is>
          <t>technosphere</t>
        </is>
      </c>
      <c r="K65" s="9" t="inlineStr">
        <is>
          <t>transport, freight, lorry, unspecified</t>
        </is>
      </c>
    </row>
    <row r="66" customFormat="1" s="9">
      <c r="A66" s="9" t="inlineStr">
        <is>
          <t>treatment of wastewater, average, capacity 1E9l/year</t>
        </is>
      </c>
      <c r="B66" s="10" t="n">
        <v>-6.89e-07</v>
      </c>
      <c r="C66" s="9" t="inlineStr">
        <is>
          <t>Europe without Switzerland</t>
        </is>
      </c>
      <c r="D66" s="9" t="inlineStr">
        <is>
          <t>cubic meter</t>
        </is>
      </c>
      <c r="F66" s="9" t="inlineStr">
        <is>
          <t>technosphere</t>
        </is>
      </c>
      <c r="K66" s="9" t="inlineStr">
        <is>
          <t>wastewater, average</t>
        </is>
      </c>
    </row>
    <row r="67" customFormat="1" s="9">
      <c r="A67" s="9" t="inlineStr">
        <is>
          <t>Carbon dioxide, non-fossil</t>
        </is>
      </c>
      <c r="B67" s="10">
        <f>(B56-1)*3.14</f>
        <v>1.7897999999998727E-3</v>
      </c>
      <c r="D67" s="9" t="inlineStr">
        <is>
          <t>kilogram</t>
        </is>
      </c>
      <c r="E67" s="9" t="inlineStr">
        <is>
          <t>air</t>
        </is>
      </c>
      <c r="F67" s="9" t="inlineStr">
        <is>
          <t>biosphere</t>
        </is>
      </c>
    </row>
    <row r="68" ht="16" customFormat="1" customHeight="1" s="9">
      <c r="A68" s="11" t="n"/>
      <c r="B68" s="14" t="n"/>
      <c r="G68" s="11" t="n"/>
    </row>
    <row r="69" ht="16" customFormat="1" customHeight="1" s="9">
      <c r="A69" s="7" t="inlineStr">
        <is>
          <t>Activity</t>
        </is>
      </c>
      <c r="B69" s="7" t="inlineStr">
        <is>
          <t>diesel production, synthetic, from Fischer Tropsch process, hydrogen from electrolysis, energy allocation, at fuelling station</t>
        </is>
      </c>
    </row>
    <row r="70" customFormat="1" s="9">
      <c r="A70" s="9" t="inlineStr">
        <is>
          <t>location</t>
        </is>
      </c>
      <c r="B70" s="9" t="inlineStr">
        <is>
          <t>RER</t>
        </is>
      </c>
    </row>
    <row r="71" customFormat="1" s="9">
      <c r="A71" s="9" t="inlineStr">
        <is>
          <t>production amount</t>
        </is>
      </c>
      <c r="B71" s="9" t="n">
        <v>1</v>
      </c>
    </row>
    <row r="72" ht="16" customFormat="1" customHeight="1" s="9">
      <c r="A72" s="9" t="inlineStr">
        <is>
          <t>reference product</t>
        </is>
      </c>
      <c r="B72" s="11" t="inlineStr">
        <is>
          <t>diesel, synthetic, vehicle grade</t>
        </is>
      </c>
    </row>
    <row r="73" customFormat="1" s="9">
      <c r="A73" s="9" t="inlineStr">
        <is>
          <t>type</t>
        </is>
      </c>
      <c r="B73" s="9" t="inlineStr">
        <is>
          <t>process</t>
        </is>
      </c>
    </row>
    <row r="74" customFormat="1" s="9">
      <c r="A74" s="9" t="inlineStr">
        <is>
          <t>unit</t>
        </is>
      </c>
      <c r="B74" s="9" t="inlineStr">
        <is>
          <t>kilogram</t>
        </is>
      </c>
    </row>
    <row r="75" ht="16" customFormat="1" customHeight="1" s="9">
      <c r="A75" s="7" t="inlineStr">
        <is>
          <t>Exchanges</t>
        </is>
      </c>
    </row>
    <row r="76" customFormat="1" s="9">
      <c r="A76" s="9" t="inlineStr">
        <is>
          <t>name</t>
        </is>
      </c>
      <c r="B76" s="9" t="inlineStr">
        <is>
          <t>amount</t>
        </is>
      </c>
      <c r="C76" s="9" t="inlineStr">
        <is>
          <t>location</t>
        </is>
      </c>
      <c r="D76" s="9" t="inlineStr">
        <is>
          <t>unit</t>
        </is>
      </c>
      <c r="E76" s="9" t="inlineStr">
        <is>
          <t>categories</t>
        </is>
      </c>
      <c r="F76" s="9" t="inlineStr">
        <is>
          <t>type</t>
        </is>
      </c>
      <c r="G76" s="9" t="inlineStr">
        <is>
          <t>uncertainty type</t>
        </is>
      </c>
      <c r="H76" s="9" t="inlineStr">
        <is>
          <t>loc</t>
        </is>
      </c>
      <c r="I76" s="9" t="inlineStr">
        <is>
          <t>allocation</t>
        </is>
      </c>
      <c r="J76" s="9" t="inlineStr">
        <is>
          <t>comment</t>
        </is>
      </c>
      <c r="K76" s="9" t="inlineStr">
        <is>
          <t>reference product</t>
        </is>
      </c>
    </row>
    <row r="77" ht="16" customFormat="1" customHeight="1" s="9">
      <c r="A77" s="9" t="inlineStr">
        <is>
          <t>diesel production, synthetic, from Fischer Tropsch process, hydrogen from electrolysis, energy allocation, at fuelling station</t>
        </is>
      </c>
      <c r="B77" s="9" t="n">
        <v>1</v>
      </c>
      <c r="C77" s="9" t="inlineStr">
        <is>
          <t>RER</t>
        </is>
      </c>
      <c r="D77" s="9" t="inlineStr">
        <is>
          <t>kilogram</t>
        </is>
      </c>
      <c r="F77" s="9" t="inlineStr">
        <is>
          <t>production</t>
        </is>
      </c>
      <c r="I77" s="9" t="n">
        <v>100</v>
      </c>
      <c r="J77" s="9" t="inlineStr"/>
      <c r="K77" s="11" t="inlineStr">
        <is>
          <t>diesel, synthetic, vehicle grade</t>
        </is>
      </c>
    </row>
    <row r="78" customFormat="1" s="9">
      <c r="A78" s="9" t="inlineStr">
        <is>
          <t>Diesel production, synthetic, Fischer Tropsch process, hydrogen from electrolysis, energy allocation</t>
        </is>
      </c>
      <c r="B78" s="9" t="n">
        <v>1.00057</v>
      </c>
      <c r="C78" s="9" t="inlineStr">
        <is>
          <t>RER</t>
        </is>
      </c>
      <c r="D78" s="9" t="inlineStr">
        <is>
          <t>kilogram</t>
        </is>
      </c>
      <c r="F78" s="9" t="inlineStr">
        <is>
          <t>technosphere</t>
        </is>
      </c>
      <c r="K78" s="9" t="inlineStr">
        <is>
          <t>Diesel, synthetic</t>
        </is>
      </c>
    </row>
    <row r="79" customFormat="1" s="9">
      <c r="A79" s="9" t="inlineStr">
        <is>
          <t>market group for electricity, low voltage</t>
        </is>
      </c>
      <c r="B79" s="9" t="n">
        <v>0.0067</v>
      </c>
      <c r="C79" s="9" t="inlineStr">
        <is>
          <t>RER</t>
        </is>
      </c>
      <c r="D79" s="9" t="inlineStr">
        <is>
          <t>kilowatt hour</t>
        </is>
      </c>
      <c r="F79" s="9" t="inlineStr">
        <is>
          <t>technosphere</t>
        </is>
      </c>
      <c r="K79" s="9" t="inlineStr">
        <is>
          <t>electricity, low voltage</t>
        </is>
      </c>
    </row>
    <row r="80" customFormat="1" s="9">
      <c r="A80" s="9" t="inlineStr">
        <is>
          <t>market for fly ash and scrubber sludge</t>
        </is>
      </c>
      <c r="B80" s="9" t="n">
        <v>-0.000168</v>
      </c>
      <c r="C80" s="9" t="inlineStr">
        <is>
          <t>Europe without Switzerland</t>
        </is>
      </c>
      <c r="D80" s="9" t="inlineStr">
        <is>
          <t>kilogram</t>
        </is>
      </c>
      <c r="F80" s="9" t="inlineStr">
        <is>
          <t>technosphere</t>
        </is>
      </c>
      <c r="K80" s="9" t="inlineStr">
        <is>
          <t>fly ash and scrubber sludge</t>
        </is>
      </c>
    </row>
    <row r="81" customFormat="1" s="9">
      <c r="A81" s="9" t="inlineStr">
        <is>
          <t>market for heat, central or small-scale, other than natural gas</t>
        </is>
      </c>
      <c r="B81" s="10" t="n">
        <v>0.000584</v>
      </c>
      <c r="C81" s="9" t="inlineStr">
        <is>
          <t>CH</t>
        </is>
      </c>
      <c r="D81" s="9" t="inlineStr">
        <is>
          <t>megajoule</t>
        </is>
      </c>
      <c r="F81" s="9" t="inlineStr">
        <is>
          <t>technosphere</t>
        </is>
      </c>
      <c r="K81" s="9" t="inlineStr">
        <is>
          <t>heat, central or small-scale, other than natural gas</t>
        </is>
      </c>
    </row>
    <row r="82" customFormat="1" s="9">
      <c r="A82" s="9" t="inlineStr">
        <is>
          <t>infrastructure construction, for regional distribution of oil product</t>
        </is>
      </c>
      <c r="B82" s="10" t="n">
        <v>2.6e-10</v>
      </c>
      <c r="C82" s="9" t="inlineStr">
        <is>
          <t>RER</t>
        </is>
      </c>
      <c r="D82" s="9" t="inlineStr">
        <is>
          <t>unit</t>
        </is>
      </c>
      <c r="F82" s="9" t="inlineStr">
        <is>
          <t>technosphere</t>
        </is>
      </c>
      <c r="K82" s="9" t="inlineStr">
        <is>
          <t>infrastructure, for regional distribution of oil product</t>
        </is>
      </c>
    </row>
    <row r="83" customFormat="1" s="9">
      <c r="A83" s="9" t="inlineStr">
        <is>
          <t>market for municipal solid waste</t>
        </is>
      </c>
      <c r="B83" s="10" t="n">
        <v>-6.27e-06</v>
      </c>
      <c r="C83" s="9" t="inlineStr">
        <is>
          <t>CH</t>
        </is>
      </c>
      <c r="D83" s="9" t="inlineStr">
        <is>
          <t>kilogram</t>
        </is>
      </c>
      <c r="F83" s="9" t="inlineStr">
        <is>
          <t>technosphere</t>
        </is>
      </c>
      <c r="K83" s="9" t="inlineStr">
        <is>
          <t>municipal solid waste</t>
        </is>
      </c>
    </row>
    <row r="84" customFormat="1" s="9">
      <c r="A84" s="9" t="inlineStr">
        <is>
          <t>market for rainwater mineral oil storage</t>
        </is>
      </c>
      <c r="B84" s="10" t="n">
        <v>-7.499999999999999e-05</v>
      </c>
      <c r="C84" s="9" t="inlineStr">
        <is>
          <t>Europe without Switzerland</t>
        </is>
      </c>
      <c r="D84" s="13" t="inlineStr">
        <is>
          <t>cubic meter</t>
        </is>
      </c>
      <c r="F84" s="9" t="inlineStr">
        <is>
          <t>technosphere</t>
        </is>
      </c>
      <c r="K84" s="9" t="inlineStr">
        <is>
          <t>rainwater mineral oil storage</t>
        </is>
      </c>
    </row>
    <row r="85" customFormat="1" s="9">
      <c r="A85" s="9" t="inlineStr">
        <is>
          <t>market for tap water</t>
        </is>
      </c>
      <c r="B85" s="10" t="n">
        <v>0.0006890000000000001</v>
      </c>
      <c r="C85" s="9" t="inlineStr">
        <is>
          <t>Europe without Switzerland</t>
        </is>
      </c>
      <c r="D85" s="9" t="inlineStr">
        <is>
          <t>kilogram</t>
        </is>
      </c>
      <c r="F85" s="9" t="inlineStr">
        <is>
          <t>technosphere</t>
        </is>
      </c>
      <c r="K85" s="9" t="inlineStr">
        <is>
          <t>tap water</t>
        </is>
      </c>
    </row>
    <row r="86" customFormat="1" s="9">
      <c r="A86" s="9" t="inlineStr">
        <is>
          <t>market for transport, freight train</t>
        </is>
      </c>
      <c r="B86" s="9" t="n">
        <v>0.0336</v>
      </c>
      <c r="C86" s="9" t="inlineStr">
        <is>
          <t>Europe without Switzerland</t>
        </is>
      </c>
      <c r="D86" s="9" t="inlineStr">
        <is>
          <t>ton kilometer</t>
        </is>
      </c>
      <c r="F86" s="9" t="inlineStr">
        <is>
          <t>technosphere</t>
        </is>
      </c>
      <c r="K86" s="9" t="inlineStr">
        <is>
          <t>transport, freight train</t>
        </is>
      </c>
    </row>
    <row r="87" customFormat="1" s="9">
      <c r="A87" s="9" t="inlineStr">
        <is>
          <t>market for transport, freight, lorry, unspecified</t>
        </is>
      </c>
      <c r="B87" s="9" t="n">
        <v>0.0326</v>
      </c>
      <c r="C87" s="9" t="inlineStr">
        <is>
          <t>RER</t>
        </is>
      </c>
      <c r="D87" s="9" t="inlineStr">
        <is>
          <t>ton kilometer</t>
        </is>
      </c>
      <c r="F87" s="9" t="inlineStr">
        <is>
          <t>technosphere</t>
        </is>
      </c>
      <c r="K87" s="9" t="inlineStr">
        <is>
          <t>transport, freight, lorry, unspecified</t>
        </is>
      </c>
    </row>
    <row r="88" customFormat="1" s="9">
      <c r="A88" s="9" t="inlineStr">
        <is>
          <t>treatment of wastewater, average, capacity 1E9l/year</t>
        </is>
      </c>
      <c r="B88" s="10" t="n">
        <v>-6.89e-07</v>
      </c>
      <c r="C88" s="9" t="inlineStr">
        <is>
          <t>Europe without Switzerland</t>
        </is>
      </c>
      <c r="D88" s="9" t="inlineStr">
        <is>
          <t>cubic meter</t>
        </is>
      </c>
      <c r="F88" s="9" t="inlineStr">
        <is>
          <t>technosphere</t>
        </is>
      </c>
      <c r="K88" s="9" t="inlineStr">
        <is>
          <t>wastewater, average</t>
        </is>
      </c>
    </row>
    <row r="89" customFormat="1" s="9">
      <c r="A89" s="9" t="inlineStr">
        <is>
          <t>Carbon dioxide, non-fossil</t>
        </is>
      </c>
      <c r="B89" s="10">
        <f>(B78-1)*3.14</f>
        <v>1.7897999999998727E-3</v>
      </c>
      <c r="D89" s="9" t="inlineStr">
        <is>
          <t>kilogram</t>
        </is>
      </c>
      <c r="E89" s="9" t="inlineStr">
        <is>
          <t>air</t>
        </is>
      </c>
      <c r="F89" s="9" t="inlineStr">
        <is>
          <t>biosphere</t>
        </is>
      </c>
    </row>
    <row r="90" ht="16" customFormat="1" customHeight="1" s="9">
      <c r="A90" s="11" t="n"/>
      <c r="B90" s="14" t="n"/>
      <c r="G90" s="11" t="n"/>
    </row>
    <row r="91" ht="16" customFormat="1" customHeight="1" s="9">
      <c r="A91" s="7" t="inlineStr">
        <is>
          <t>Activity</t>
        </is>
      </c>
      <c r="B91" s="8" t="inlineStr">
        <is>
          <t>Kerosene production, synthetic, Fischer Tropsch process, hydrogen from electrolysis, economic allocation</t>
        </is>
      </c>
    </row>
    <row r="92" customFormat="1" s="9">
      <c r="A92" s="9" t="inlineStr">
        <is>
          <t>production amount</t>
        </is>
      </c>
      <c r="B92" s="9" t="n">
        <v>1</v>
      </c>
    </row>
    <row r="93" customFormat="1" s="9">
      <c r="A93" s="9" t="inlineStr">
        <is>
          <t>reference product</t>
        </is>
      </c>
      <c r="B93" s="9" t="inlineStr">
        <is>
          <t>Kerosene, synthetic</t>
        </is>
      </c>
    </row>
    <row r="94" customFormat="1" s="9">
      <c r="A94" s="9" t="inlineStr">
        <is>
          <t>type</t>
        </is>
      </c>
      <c r="B94" s="9" t="inlineStr">
        <is>
          <t>process</t>
        </is>
      </c>
    </row>
    <row r="95" customFormat="1" s="9">
      <c r="A95" s="9" t="inlineStr">
        <is>
          <t>unit</t>
        </is>
      </c>
      <c r="B95" s="9" t="inlineStr">
        <is>
          <t>kilogram</t>
        </is>
      </c>
    </row>
    <row r="96" customFormat="1" s="9">
      <c r="A96" s="9" t="inlineStr">
        <is>
          <t>location</t>
        </is>
      </c>
      <c r="B96" s="9" t="inlineStr">
        <is>
          <t>RER</t>
        </is>
      </c>
    </row>
    <row r="97" customFormat="1" s="9">
      <c r="A97" s="9" t="inlineStr">
        <is>
          <t>comment</t>
        </is>
      </c>
      <c r="B97" s="9" t="inlineStr">
        <is>
          <t>Adapted from van der Giesen et al. 2014. LHV: 45 MJ/kg, Formula: C13H18, Density: 7551 kg/m3. Economic allocation between 3 other co-products. Allocation key for this co-product: 6%.</t>
        </is>
      </c>
    </row>
    <row r="98" customFormat="1" s="9">
      <c r="A98" s="9" t="inlineStr">
        <is>
          <t>source</t>
        </is>
      </c>
      <c r="B98" s="9" t="inlineStr">
        <is>
          <t>Energy and Climate Impacts of Producing Synthetic Hydrocarbon Fuels from CO2, Coen van der Giesen, René Kleijn, and Gert Jan Kramer, Environmental Science &amp; Technology 2014 48 (12), 7111-7121, DOI: 10.1021/es500191g</t>
        </is>
      </c>
    </row>
    <row r="99" ht="16" customFormat="1" customHeight="1" s="9">
      <c r="A99" s="7" t="inlineStr">
        <is>
          <t>Exchanges</t>
        </is>
      </c>
    </row>
    <row r="100" customFormat="1" s="9">
      <c r="A100" s="9" t="inlineStr">
        <is>
          <t>name</t>
        </is>
      </c>
      <c r="B100" s="9" t="inlineStr">
        <is>
          <t>amount</t>
        </is>
      </c>
      <c r="C100" s="9" t="inlineStr">
        <is>
          <t>location</t>
        </is>
      </c>
      <c r="D100" s="9" t="inlineStr">
        <is>
          <t>unit</t>
        </is>
      </c>
      <c r="E100" s="9" t="inlineStr">
        <is>
          <t>categories</t>
        </is>
      </c>
      <c r="F100" s="9" t="inlineStr">
        <is>
          <t>type</t>
        </is>
      </c>
      <c r="G100" s="9" t="inlineStr">
        <is>
          <t>reference product</t>
        </is>
      </c>
      <c r="H100" s="9" t="inlineStr">
        <is>
          <t>database</t>
        </is>
      </c>
      <c r="I100" s="9" t="inlineStr">
        <is>
          <t>comment</t>
        </is>
      </c>
    </row>
    <row r="101" customFormat="1" s="9">
      <c r="A101" s="9" t="inlineStr">
        <is>
          <t>Kerosene production, synthetic, Fischer Tropsch process, hydrogen from electrolysis, economic allocation</t>
        </is>
      </c>
      <c r="B101" s="9" t="n">
        <v>1</v>
      </c>
      <c r="C101" s="9" t="inlineStr">
        <is>
          <t>RER</t>
        </is>
      </c>
      <c r="D101" s="9" t="inlineStr">
        <is>
          <t>kilogram</t>
        </is>
      </c>
      <c r="F101" s="9" t="inlineStr">
        <is>
          <t>production</t>
        </is>
      </c>
      <c r="G101" s="9" t="inlineStr">
        <is>
          <t>Kerosene, synthetic</t>
        </is>
      </c>
      <c r="H101" s="9" t="inlineStr">
        <is>
          <t>Car db</t>
        </is>
      </c>
      <c r="I101" s="9" t="inlineStr">
        <is>
          <t>From PEM electrolysis</t>
        </is>
      </c>
    </row>
    <row r="102" customFormat="1" s="9">
      <c r="A102" s="9" t="inlineStr">
        <is>
          <t>Syngas, RWGS, Production, for Fischer Tropsch process, hydrogen from electrolysis</t>
        </is>
      </c>
      <c r="B102" s="9" t="n">
        <v>0.73</v>
      </c>
      <c r="C102" s="9" t="inlineStr">
        <is>
          <t>RER</t>
        </is>
      </c>
      <c r="D102" s="9" t="inlineStr">
        <is>
          <t>kilogram</t>
        </is>
      </c>
      <c r="F102" s="9" t="inlineStr">
        <is>
          <t>technosphere</t>
        </is>
      </c>
      <c r="G102" s="9" t="inlineStr">
        <is>
          <t>Syngas, RWGS, Production, for Fischer Tropsch process, hydrogen from electrolysis</t>
        </is>
      </c>
      <c r="H102" s="9" t="inlineStr">
        <is>
          <t>Car db</t>
        </is>
      </c>
    </row>
    <row r="103" customFormat="1" s="9">
      <c r="A103" s="9" t="inlineStr">
        <is>
          <t>Heat, waste</t>
        </is>
      </c>
      <c r="B103" s="9">
        <f>3.64160231884058*0.06</f>
        <v>0.21849613913043478</v>
      </c>
      <c r="D103" s="9" t="inlineStr">
        <is>
          <t>megajoule</t>
        </is>
      </c>
      <c r="E103" s="9" t="inlineStr">
        <is>
          <t>air</t>
        </is>
      </c>
      <c r="F103" s="9" t="inlineStr">
        <is>
          <t>biosphere</t>
        </is>
      </c>
      <c r="H103" s="9" t="inlineStr">
        <is>
          <t>biosphere3</t>
        </is>
      </c>
    </row>
    <row r="104" customFormat="1" s="9">
      <c r="A104" s="9" t="inlineStr">
        <is>
          <t>Water</t>
        </is>
      </c>
      <c r="B104" s="9">
        <f>0.00107549913043478*0.06</f>
        <v>6.45299478260868E-5</v>
      </c>
      <c r="D104" s="9" t="inlineStr">
        <is>
          <t>cubic meter</t>
        </is>
      </c>
      <c r="E104" s="9" t="inlineStr">
        <is>
          <t>water</t>
        </is>
      </c>
      <c r="F104" s="9" t="inlineStr">
        <is>
          <t>biosphere</t>
        </is>
      </c>
      <c r="H104" s="9" t="inlineStr">
        <is>
          <t>biosphere3</t>
        </is>
      </c>
    </row>
    <row r="105" customFormat="1" s="9">
      <c r="A105" s="9" t="inlineStr">
        <is>
          <t>Gas-to-liquid plant construction</t>
        </is>
      </c>
      <c r="B105" s="10" t="n">
        <v>6.7e-12</v>
      </c>
      <c r="C105" s="9" t="inlineStr">
        <is>
          <t>GLO</t>
        </is>
      </c>
      <c r="D105" s="9" t="inlineStr">
        <is>
          <t>unit</t>
        </is>
      </c>
      <c r="F105" s="9" t="inlineStr">
        <is>
          <t>technosphere</t>
        </is>
      </c>
      <c r="G105" s="9" t="inlineStr">
        <is>
          <t>Gas-to-liquid plant</t>
        </is>
      </c>
      <c r="H105" s="9" t="inlineStr">
        <is>
          <t>Car db</t>
        </is>
      </c>
    </row>
    <row r="106" customFormat="1" s="9">
      <c r="A106" s="9" t="inlineStr">
        <is>
          <t>Carbon dioxide, in air</t>
        </is>
      </c>
      <c r="B106" s="9" t="n">
        <v>2.14</v>
      </c>
      <c r="D106" s="9" t="inlineStr">
        <is>
          <t>kilogram</t>
        </is>
      </c>
      <c r="E106" s="9" t="inlineStr">
        <is>
          <t>natural resource::in air</t>
        </is>
      </c>
      <c r="F106" s="9" t="inlineStr">
        <is>
          <t>biosphere</t>
        </is>
      </c>
      <c r="H106" s="9" t="inlineStr">
        <is>
          <t>biosphere3</t>
        </is>
      </c>
    </row>
    <row r="107" customFormat="1" s="9">
      <c r="A107" s="9" t="inlineStr">
        <is>
          <t>market group for electricity, low voltage</t>
        </is>
      </c>
      <c r="B107" s="10">
        <f>0.0872420618556701*0.06</f>
        <v>5.234523711340206E-3</v>
      </c>
      <c r="C107" s="9" t="inlineStr">
        <is>
          <t>RER</t>
        </is>
      </c>
      <c r="D107" s="9" t="inlineStr">
        <is>
          <t>kilowatt hour</t>
        </is>
      </c>
      <c r="F107" s="9" t="inlineStr">
        <is>
          <t>technosphere</t>
        </is>
      </c>
      <c r="G107" s="9" t="inlineStr">
        <is>
          <t>electricity, low voltage</t>
        </is>
      </c>
      <c r="H107" s="9" t="inlineStr">
        <is>
          <t>ecoinvent</t>
        </is>
      </c>
    </row>
    <row r="108" customFormat="1" s="9"/>
    <row r="109" ht="16" customFormat="1" customHeight="1" s="9">
      <c r="A109" s="7" t="inlineStr">
        <is>
          <t>Activity</t>
        </is>
      </c>
      <c r="B109" s="8" t="inlineStr">
        <is>
          <t>Naphtha production, synthetic, Fischer Tropsch process, hydrogen from electrolysis, economic allocation</t>
        </is>
      </c>
    </row>
    <row r="110" customFormat="1" s="9">
      <c r="A110" s="9" t="inlineStr">
        <is>
          <t>production amount</t>
        </is>
      </c>
      <c r="B110" s="9" t="n">
        <v>1</v>
      </c>
    </row>
    <row r="111" customFormat="1" s="9">
      <c r="A111" s="9" t="inlineStr">
        <is>
          <t>reference product</t>
        </is>
      </c>
      <c r="B111" s="9" t="inlineStr">
        <is>
          <t>Naphtha, synthetic</t>
        </is>
      </c>
    </row>
    <row r="112" customFormat="1" s="9">
      <c r="A112" s="9" t="inlineStr">
        <is>
          <t>type</t>
        </is>
      </c>
      <c r="B112" s="9" t="inlineStr">
        <is>
          <t>process</t>
        </is>
      </c>
    </row>
    <row r="113" customFormat="1" s="9">
      <c r="A113" s="9" t="inlineStr">
        <is>
          <t>unit</t>
        </is>
      </c>
      <c r="B113" s="9" t="inlineStr">
        <is>
          <t>kilogram</t>
        </is>
      </c>
    </row>
    <row r="114" customFormat="1" s="9">
      <c r="A114" s="9" t="inlineStr">
        <is>
          <t>location</t>
        </is>
      </c>
      <c r="B114" s="9" t="inlineStr">
        <is>
          <t>RER</t>
        </is>
      </c>
    </row>
    <row r="115" customFormat="1" s="9">
      <c r="A115" s="9" t="inlineStr">
        <is>
          <t>comment</t>
        </is>
      </c>
      <c r="B115" s="9" t="inlineStr">
        <is>
          <t>Adapted from van der Giesen et al. 2014. LHV: 44.5 MJ/kg, Formula: C13H18, Density: 7551 kg/m3. Economic allocation between 3 other co-products. Allocation key for this co-product: 7%.</t>
        </is>
      </c>
    </row>
    <row r="116" customFormat="1" s="9">
      <c r="A116" s="9" t="inlineStr">
        <is>
          <t>source</t>
        </is>
      </c>
      <c r="B116" s="9" t="inlineStr">
        <is>
          <t>Energy and Climate Impacts of Producing Synthetic Hydrocarbon Fuels from CO2, Coen van der Giesen, René Kleijn, and Gert Jan Kramer, Environmental Science &amp; Technology 2014 48 (12), 7111-7121, DOI: 10.1021/es500191g</t>
        </is>
      </c>
    </row>
    <row r="117" ht="16" customFormat="1" customHeight="1" s="9">
      <c r="A117" s="7" t="inlineStr">
        <is>
          <t>Exchanges</t>
        </is>
      </c>
    </row>
    <row r="118" customFormat="1" s="9">
      <c r="A118" s="9" t="inlineStr">
        <is>
          <t>name</t>
        </is>
      </c>
      <c r="B118" s="9" t="inlineStr">
        <is>
          <t>amount</t>
        </is>
      </c>
      <c r="C118" s="9" t="inlineStr">
        <is>
          <t>location</t>
        </is>
      </c>
      <c r="D118" s="9" t="inlineStr">
        <is>
          <t>unit</t>
        </is>
      </c>
      <c r="E118" s="9" t="inlineStr">
        <is>
          <t>categories</t>
        </is>
      </c>
      <c r="F118" s="9" t="inlineStr">
        <is>
          <t>type</t>
        </is>
      </c>
      <c r="G118" s="9" t="inlineStr">
        <is>
          <t>reference product</t>
        </is>
      </c>
      <c r="H118" s="9" t="inlineStr">
        <is>
          <t>database</t>
        </is>
      </c>
      <c r="I118" s="9" t="inlineStr">
        <is>
          <t>comment</t>
        </is>
      </c>
    </row>
    <row r="119" customFormat="1" s="9">
      <c r="A119" s="9" t="inlineStr">
        <is>
          <t>Naphtha production, synthetic, Fischer Tropsch process, hydrogen from electrolysis, economic allocation</t>
        </is>
      </c>
      <c r="B119" s="9" t="n">
        <v>1</v>
      </c>
      <c r="C119" s="9" t="inlineStr">
        <is>
          <t>RER</t>
        </is>
      </c>
      <c r="D119" s="9" t="inlineStr">
        <is>
          <t>kilogram</t>
        </is>
      </c>
      <c r="F119" s="9" t="inlineStr">
        <is>
          <t>production</t>
        </is>
      </c>
      <c r="G119" s="9" t="inlineStr">
        <is>
          <t>Naphtha, synthetic</t>
        </is>
      </c>
      <c r="H119" s="9" t="inlineStr">
        <is>
          <t>Car db</t>
        </is>
      </c>
    </row>
    <row r="120" customFormat="1" s="9">
      <c r="A120" s="9" t="inlineStr">
        <is>
          <t>Syngas, RWGS, Production, for Fischer Tropsch process, hydrogen from electrolysis</t>
        </is>
      </c>
      <c r="B120" s="9" t="n">
        <v>0.65</v>
      </c>
      <c r="C120" s="9" t="inlineStr">
        <is>
          <t>RER</t>
        </is>
      </c>
      <c r="D120" s="9" t="inlineStr">
        <is>
          <t>kilogram</t>
        </is>
      </c>
      <c r="F120" s="9" t="inlineStr">
        <is>
          <t>technosphere</t>
        </is>
      </c>
      <c r="G120" s="9" t="inlineStr">
        <is>
          <t>Syngas, RWGS, Production, for Fischer Tropsch process, hydrogen from electrolysis</t>
        </is>
      </c>
      <c r="H120" s="9" t="inlineStr">
        <is>
          <t>Car db</t>
        </is>
      </c>
    </row>
    <row r="121" customFormat="1" s="9">
      <c r="A121" s="9" t="inlineStr">
        <is>
          <t>Heat, waste</t>
        </is>
      </c>
      <c r="B121" s="9">
        <f>3.64160231884058*0.07</f>
        <v>0.25491216231884062</v>
      </c>
      <c r="D121" s="9" t="inlineStr">
        <is>
          <t>megajoule</t>
        </is>
      </c>
      <c r="E121" s="9" t="inlineStr">
        <is>
          <t>air</t>
        </is>
      </c>
      <c r="F121" s="9" t="inlineStr">
        <is>
          <t>biosphere</t>
        </is>
      </c>
      <c r="H121" s="9" t="inlineStr">
        <is>
          <t>biosphere3</t>
        </is>
      </c>
    </row>
    <row r="122" customFormat="1" s="9">
      <c r="A122" s="9" t="inlineStr">
        <is>
          <t>Water</t>
        </is>
      </c>
      <c r="B122" s="9">
        <f>0.00107549913043478*0.07</f>
        <v>7.5284939130434612E-5</v>
      </c>
      <c r="D122" s="9" t="inlineStr">
        <is>
          <t>cubic meter</t>
        </is>
      </c>
      <c r="E122" s="9" t="inlineStr">
        <is>
          <t>water</t>
        </is>
      </c>
      <c r="F122" s="9" t="inlineStr">
        <is>
          <t>biosphere</t>
        </is>
      </c>
      <c r="H122" s="9" t="inlineStr">
        <is>
          <t>biosphere3</t>
        </is>
      </c>
    </row>
    <row r="123" customFormat="1" s="9">
      <c r="A123" s="9" t="inlineStr">
        <is>
          <t>Gas-to-liquid plant construction</t>
        </is>
      </c>
      <c r="B123" s="10" t="n">
        <v>6.7e-12</v>
      </c>
      <c r="C123" s="9" t="inlineStr">
        <is>
          <t>GLO</t>
        </is>
      </c>
      <c r="D123" s="9" t="inlineStr">
        <is>
          <t>unit</t>
        </is>
      </c>
      <c r="F123" s="9" t="inlineStr">
        <is>
          <t>technosphere</t>
        </is>
      </c>
      <c r="G123" s="9" t="inlineStr">
        <is>
          <t>Gas-to-liquid plant</t>
        </is>
      </c>
      <c r="H123" s="9" t="inlineStr">
        <is>
          <t>Car db</t>
        </is>
      </c>
    </row>
    <row r="124" customFormat="1" s="9">
      <c r="A124" s="9" t="inlineStr">
        <is>
          <t>Carbon dioxide, in air</t>
        </is>
      </c>
      <c r="B124" s="9" t="n">
        <v>2.48</v>
      </c>
      <c r="D124" s="9" t="inlineStr">
        <is>
          <t>kilogram</t>
        </is>
      </c>
      <c r="E124" s="9" t="inlineStr">
        <is>
          <t>natural resource::in air</t>
        </is>
      </c>
      <c r="F124" s="9" t="inlineStr">
        <is>
          <t>biosphere</t>
        </is>
      </c>
      <c r="H124" s="9" t="inlineStr">
        <is>
          <t>biosphere3</t>
        </is>
      </c>
    </row>
    <row r="125" customFormat="1" s="9">
      <c r="A125" s="9" t="inlineStr">
        <is>
          <t>market group for electricity, low voltage</t>
        </is>
      </c>
      <c r="B125" s="10">
        <f>0.0872420618556701*0.07</f>
        <v>6.106944329896908E-3</v>
      </c>
      <c r="C125" s="9" t="inlineStr">
        <is>
          <t>RER</t>
        </is>
      </c>
      <c r="D125" s="9" t="inlineStr">
        <is>
          <t>kilowatt hour</t>
        </is>
      </c>
      <c r="F125" s="9" t="inlineStr">
        <is>
          <t>technosphere</t>
        </is>
      </c>
      <c r="G125" s="9" t="inlineStr">
        <is>
          <t>electricity, low voltage</t>
        </is>
      </c>
      <c r="H125" s="9" t="inlineStr">
        <is>
          <t>ecoinvent</t>
        </is>
      </c>
    </row>
    <row r="126" customFormat="1" s="9"/>
    <row r="127" ht="16" customFormat="1" customHeight="1" s="9">
      <c r="A127" s="7" t="inlineStr">
        <is>
          <t>Activity</t>
        </is>
      </c>
      <c r="B127" s="8" t="inlineStr">
        <is>
          <t>Diesel production, synthetic, Fischer Tropsch process, hydrogen from electrolysis, economic allocation</t>
        </is>
      </c>
    </row>
    <row r="128" customFormat="1" s="9">
      <c r="A128" s="9" t="inlineStr">
        <is>
          <t>production amount</t>
        </is>
      </c>
      <c r="B128" s="9" t="n">
        <v>1</v>
      </c>
    </row>
    <row r="129" customFormat="1" s="9">
      <c r="A129" s="9" t="inlineStr">
        <is>
          <t>reference product</t>
        </is>
      </c>
      <c r="B129" s="9" t="inlineStr">
        <is>
          <t>Diesel, synthetic</t>
        </is>
      </c>
    </row>
    <row r="130" customFormat="1" s="9">
      <c r="A130" s="9" t="inlineStr">
        <is>
          <t>type</t>
        </is>
      </c>
      <c r="B130" s="9" t="inlineStr">
        <is>
          <t>process</t>
        </is>
      </c>
    </row>
    <row r="131" customFormat="1" s="9">
      <c r="A131" s="9" t="inlineStr">
        <is>
          <t>unit</t>
        </is>
      </c>
      <c r="B131" s="9" t="inlineStr">
        <is>
          <t>kilogram</t>
        </is>
      </c>
    </row>
    <row r="132" customFormat="1" s="9">
      <c r="A132" s="9" t="inlineStr">
        <is>
          <t>location</t>
        </is>
      </c>
      <c r="B132" s="9" t="inlineStr">
        <is>
          <t>RER</t>
        </is>
      </c>
    </row>
    <row r="133" customFormat="1" s="9">
      <c r="A133" s="9" t="inlineStr">
        <is>
          <t>comment</t>
        </is>
      </c>
      <c r="B133" s="9" t="inlineStr">
        <is>
          <t>Adapted from van der Giesen et al. 2014. LHV: 43.3 MJ/kg, Formula: C13H18, Density: 7551 kg/m3. Economic allocation between 3 other co-products. Allocation key for this co-product: 16%.</t>
        </is>
      </c>
    </row>
    <row r="134" customFormat="1" s="9">
      <c r="A134" s="9" t="inlineStr">
        <is>
          <t>source</t>
        </is>
      </c>
      <c r="B134" s="9" t="inlineStr">
        <is>
          <t>Energy and Climate Impacts of Producing Synthetic Hydrocarbon Fuels from CO2, Coen van der Giesen, René Kleijn, and Gert Jan Kramer, Environmental Science &amp; Technology 2014 48 (12), 7111-7121, DOI: 10.1021/es500191g</t>
        </is>
      </c>
    </row>
    <row r="135" ht="16" customFormat="1" customHeight="1" s="9">
      <c r="A135" s="7" t="inlineStr">
        <is>
          <t>Exchanges</t>
        </is>
      </c>
    </row>
    <row r="136" customFormat="1" s="9">
      <c r="A136" s="9" t="inlineStr">
        <is>
          <t>name</t>
        </is>
      </c>
      <c r="B136" s="9" t="inlineStr">
        <is>
          <t>amount</t>
        </is>
      </c>
      <c r="C136" s="9" t="inlineStr">
        <is>
          <t>location</t>
        </is>
      </c>
      <c r="D136" s="9" t="inlineStr">
        <is>
          <t>unit</t>
        </is>
      </c>
      <c r="E136" s="9" t="inlineStr">
        <is>
          <t>categories</t>
        </is>
      </c>
      <c r="F136" s="9" t="inlineStr">
        <is>
          <t>type</t>
        </is>
      </c>
      <c r="G136" s="9" t="inlineStr">
        <is>
          <t>reference product</t>
        </is>
      </c>
      <c r="H136" s="9" t="inlineStr">
        <is>
          <t>database</t>
        </is>
      </c>
      <c r="I136" s="9" t="inlineStr">
        <is>
          <t>comment</t>
        </is>
      </c>
    </row>
    <row r="137" customFormat="1" s="9">
      <c r="A137" s="9" t="inlineStr">
        <is>
          <t>Diesel production, synthetic, Fischer Tropsch process, hydrogen from electrolysis, economic allocation</t>
        </is>
      </c>
      <c r="B137" s="9" t="n">
        <v>1</v>
      </c>
      <c r="C137" s="9" t="inlineStr">
        <is>
          <t>RER</t>
        </is>
      </c>
      <c r="D137" s="9" t="inlineStr">
        <is>
          <t>kilogram</t>
        </is>
      </c>
      <c r="F137" s="9" t="inlineStr">
        <is>
          <t>production</t>
        </is>
      </c>
      <c r="G137" s="9" t="inlineStr">
        <is>
          <t>Diesel, synthetic</t>
        </is>
      </c>
      <c r="H137" s="9" t="inlineStr">
        <is>
          <t>Car db</t>
        </is>
      </c>
      <c r="I137" s="9" t="inlineStr">
        <is>
          <t>From PEM electrolysis</t>
        </is>
      </c>
    </row>
    <row r="138" customFormat="1" s="9">
      <c r="A138" s="9" t="inlineStr">
        <is>
          <t>Syngas, RWGS, Production, for Fischer Tropsch process, hydrogen from electrolysis</t>
        </is>
      </c>
      <c r="B138" s="9" t="n">
        <v>0.98</v>
      </c>
      <c r="C138" s="9" t="inlineStr">
        <is>
          <t>RER</t>
        </is>
      </c>
      <c r="D138" s="9" t="inlineStr">
        <is>
          <t>kilogram</t>
        </is>
      </c>
      <c r="F138" s="9" t="inlineStr">
        <is>
          <t>technosphere</t>
        </is>
      </c>
      <c r="G138" s="9" t="inlineStr">
        <is>
          <t>Syngas, RWGS, Production, for Fischer Tropsch process, hydrogen from electrolysis</t>
        </is>
      </c>
      <c r="H138" s="9" t="inlineStr">
        <is>
          <t>Car db</t>
        </is>
      </c>
    </row>
    <row r="139" customFormat="1" s="9">
      <c r="A139" s="9" t="inlineStr">
        <is>
          <t>Heat, waste</t>
        </is>
      </c>
      <c r="B139" s="9">
        <f>3.64160231884058*0.16</f>
        <v>0.58265637101449286</v>
      </c>
      <c r="D139" s="9" t="inlineStr">
        <is>
          <t>megajoule</t>
        </is>
      </c>
      <c r="E139" s="9" t="inlineStr">
        <is>
          <t>air</t>
        </is>
      </c>
      <c r="F139" s="9" t="inlineStr">
        <is>
          <t>biosphere</t>
        </is>
      </c>
      <c r="H139" s="9" t="inlineStr">
        <is>
          <t>biosphere3</t>
        </is>
      </c>
    </row>
    <row r="140" customFormat="1" s="9">
      <c r="A140" s="9" t="inlineStr">
        <is>
          <t>Water</t>
        </is>
      </c>
      <c r="B140" s="9">
        <f>0.00107549913043478*0.16</f>
        <v>1.7207986086956482E-4</v>
      </c>
      <c r="D140" s="9" t="inlineStr">
        <is>
          <t>cubic meter</t>
        </is>
      </c>
      <c r="E140" s="9" t="inlineStr">
        <is>
          <t>water</t>
        </is>
      </c>
      <c r="F140" s="9" t="inlineStr">
        <is>
          <t>biosphere</t>
        </is>
      </c>
      <c r="H140" s="9" t="inlineStr">
        <is>
          <t>biosphere3</t>
        </is>
      </c>
    </row>
    <row r="141" customFormat="1" s="9">
      <c r="A141" s="9" t="inlineStr">
        <is>
          <t>Gas-to-liquid plant construction</t>
        </is>
      </c>
      <c r="B141" s="10" t="n">
        <v>6.7e-12</v>
      </c>
      <c r="C141" s="9" t="inlineStr">
        <is>
          <t>GLO</t>
        </is>
      </c>
      <c r="D141" s="9" t="inlineStr">
        <is>
          <t>unit</t>
        </is>
      </c>
      <c r="F141" s="9" t="inlineStr">
        <is>
          <t>technosphere</t>
        </is>
      </c>
      <c r="G141" s="9" t="inlineStr">
        <is>
          <t>Gas-to-liquid plant</t>
        </is>
      </c>
      <c r="H141" s="9" t="inlineStr">
        <is>
          <t>Car db</t>
        </is>
      </c>
    </row>
    <row r="142" customFormat="1" s="9">
      <c r="A142" s="9" t="inlineStr">
        <is>
          <t>Carbon dioxide, in air</t>
        </is>
      </c>
      <c r="B142" s="9" t="n">
        <v>1.82</v>
      </c>
      <c r="D142" s="9" t="inlineStr">
        <is>
          <t>kilogram</t>
        </is>
      </c>
      <c r="E142" s="9" t="inlineStr">
        <is>
          <t>natural resource::in air</t>
        </is>
      </c>
      <c r="F142" s="9" t="inlineStr">
        <is>
          <t>biosphere</t>
        </is>
      </c>
      <c r="H142" s="9" t="inlineStr">
        <is>
          <t>biosphere3</t>
        </is>
      </c>
    </row>
    <row r="143" customFormat="1" s="9">
      <c r="A143" s="9" t="inlineStr">
        <is>
          <t>market group for electricity, low voltage</t>
        </is>
      </c>
      <c r="B143" s="10">
        <f>0.0872420618556701*0.16</f>
        <v>1.3958729896907216E-2</v>
      </c>
      <c r="C143" s="9" t="inlineStr">
        <is>
          <t>RER</t>
        </is>
      </c>
      <c r="D143" s="9" t="inlineStr">
        <is>
          <t>kilowatt hour</t>
        </is>
      </c>
      <c r="F143" s="9" t="inlineStr">
        <is>
          <t>technosphere</t>
        </is>
      </c>
      <c r="G143" s="9" t="inlineStr">
        <is>
          <t>electricity, low voltage</t>
        </is>
      </c>
      <c r="H143" s="9" t="inlineStr">
        <is>
          <t>ecoinvent</t>
        </is>
      </c>
    </row>
    <row r="144" customFormat="1" s="9"/>
    <row r="145" ht="16" customFormat="1" customHeight="1" s="9">
      <c r="A145" s="7" t="inlineStr">
        <is>
          <t>Activity</t>
        </is>
      </c>
      <c r="B145" s="8" t="inlineStr">
        <is>
          <t>Lubricating oil production, synthetic, Fischer Tropsch process, hydrogen from electrolysis, energy allocation</t>
        </is>
      </c>
    </row>
    <row r="146" customFormat="1" s="9">
      <c r="A146" s="9" t="inlineStr">
        <is>
          <t>production amount</t>
        </is>
      </c>
      <c r="B146" s="9" t="n">
        <v>1</v>
      </c>
    </row>
    <row r="147" customFormat="1" s="9">
      <c r="A147" s="9" t="inlineStr">
        <is>
          <t>reference product</t>
        </is>
      </c>
      <c r="B147" s="9" t="inlineStr">
        <is>
          <t>Lubricating oil, synthetic</t>
        </is>
      </c>
    </row>
    <row r="148" customFormat="1" s="9">
      <c r="A148" s="9" t="inlineStr">
        <is>
          <t>type</t>
        </is>
      </c>
      <c r="B148" s="9" t="inlineStr">
        <is>
          <t>process</t>
        </is>
      </c>
    </row>
    <row r="149" customFormat="1" s="9">
      <c r="A149" s="9" t="inlineStr">
        <is>
          <t>unit</t>
        </is>
      </c>
      <c r="B149" s="9" t="inlineStr">
        <is>
          <t>kilogram</t>
        </is>
      </c>
    </row>
    <row r="150" customFormat="1" s="9">
      <c r="A150" s="9" t="inlineStr">
        <is>
          <t>location</t>
        </is>
      </c>
      <c r="B150" s="9" t="inlineStr">
        <is>
          <t>RER</t>
        </is>
      </c>
    </row>
    <row r="151" customFormat="1" s="9">
      <c r="A151" s="9" t="inlineStr">
        <is>
          <t>comment</t>
        </is>
      </c>
      <c r="B151" s="9" t="inlineStr">
        <is>
          <t>Adapted from van der Giesen et al. 2014. LHV: 40.2 MJ/kg, Formula: C13H18, Density: 7551 kg/m3. Energy-based allocation between 3 other co-products. Allocation key for this co-product: 21%.</t>
        </is>
      </c>
    </row>
    <row r="152" customFormat="1" s="9">
      <c r="A152" s="9" t="inlineStr">
        <is>
          <t>source</t>
        </is>
      </c>
      <c r="B152" s="9" t="inlineStr">
        <is>
          <t>Energy and Climate Impacts of Producing Synthetic Hydrocarbon Fuels from CO2, Coen van der Giesen, René Kleijn, and Gert Jan Kramer, Environmental Science &amp; Technology 2014 48 (12), 7111-7121, DOI: 10.1021/es500191g</t>
        </is>
      </c>
    </row>
    <row r="153" ht="16" customFormat="1" customHeight="1" s="9">
      <c r="A153" s="7" t="inlineStr">
        <is>
          <t>Exchanges</t>
        </is>
      </c>
    </row>
    <row r="154" customFormat="1" s="9">
      <c r="A154" s="9" t="inlineStr">
        <is>
          <t>name</t>
        </is>
      </c>
      <c r="B154" s="9" t="inlineStr">
        <is>
          <t>amount</t>
        </is>
      </c>
      <c r="C154" s="9" t="inlineStr">
        <is>
          <t>location</t>
        </is>
      </c>
      <c r="D154" s="9" t="inlineStr">
        <is>
          <t>unit</t>
        </is>
      </c>
      <c r="E154" s="9" t="inlineStr">
        <is>
          <t>categories</t>
        </is>
      </c>
      <c r="F154" s="9" t="inlineStr">
        <is>
          <t>type</t>
        </is>
      </c>
      <c r="G154" s="9" t="inlineStr">
        <is>
          <t>reference product</t>
        </is>
      </c>
      <c r="H154" s="9" t="inlineStr">
        <is>
          <t>database</t>
        </is>
      </c>
      <c r="I154" s="9" t="inlineStr">
        <is>
          <t>comment</t>
        </is>
      </c>
    </row>
    <row r="155" customFormat="1" s="9">
      <c r="A155" s="9" t="inlineStr">
        <is>
          <t>Lubricating oil production, synthetic, Fischer Tropsch process, hydrogen from electrolysis, energy allocation</t>
        </is>
      </c>
      <c r="B155" s="9" t="n">
        <v>1</v>
      </c>
      <c r="C155" s="9" t="inlineStr">
        <is>
          <t>RER</t>
        </is>
      </c>
      <c r="D155" s="9" t="inlineStr">
        <is>
          <t>kilogram</t>
        </is>
      </c>
      <c r="F155" s="9" t="inlineStr">
        <is>
          <t>production</t>
        </is>
      </c>
      <c r="G155" s="9" t="inlineStr">
        <is>
          <t>Lubricating oil, synthetic</t>
        </is>
      </c>
      <c r="H155" s="9" t="inlineStr">
        <is>
          <t>Car db</t>
        </is>
      </c>
      <c r="I155" s="9" t="inlineStr">
        <is>
          <t>From PEM electrolysis</t>
        </is>
      </c>
    </row>
    <row r="156" customFormat="1" s="9">
      <c r="A156" s="9" t="inlineStr">
        <is>
          <t>Syngas, RWGS, Production, for Fischer Tropsch process, hydrogen from electrolysis</t>
        </is>
      </c>
      <c r="B156" s="9" t="n">
        <v>2.1</v>
      </c>
      <c r="C156" s="9" t="inlineStr">
        <is>
          <t>RER</t>
        </is>
      </c>
      <c r="D156" s="9" t="inlineStr">
        <is>
          <t>kilogram</t>
        </is>
      </c>
      <c r="F156" s="9" t="inlineStr">
        <is>
          <t>technosphere</t>
        </is>
      </c>
      <c r="G156" s="9" t="inlineStr">
        <is>
          <t>Syngas, RWGS, Production, for Fischer Tropsch process, hydrogen from electrolysis</t>
        </is>
      </c>
      <c r="H156" s="9" t="inlineStr">
        <is>
          <t>Car db</t>
        </is>
      </c>
    </row>
    <row r="157" customFormat="1" s="9">
      <c r="A157" s="9" t="inlineStr">
        <is>
          <t>Heat, waste</t>
        </is>
      </c>
      <c r="B157" s="9">
        <f>3.64160231884058*0.21</f>
        <v>0.76473648695652174</v>
      </c>
      <c r="D157" s="9" t="inlineStr">
        <is>
          <t>megajoule</t>
        </is>
      </c>
      <c r="E157" s="9" t="inlineStr">
        <is>
          <t>air</t>
        </is>
      </c>
      <c r="F157" s="9" t="inlineStr">
        <is>
          <t>biosphere</t>
        </is>
      </c>
      <c r="H157" s="9" t="inlineStr">
        <is>
          <t>biosphere3</t>
        </is>
      </c>
    </row>
    <row r="158" customFormat="1" s="9">
      <c r="A158" s="9" t="inlineStr">
        <is>
          <t>Water</t>
        </is>
      </c>
      <c r="B158" s="9">
        <f>0.00107549913043478*0.21</f>
        <v>2.2585481739130381E-4</v>
      </c>
      <c r="D158" s="9" t="inlineStr">
        <is>
          <t>cubic meter</t>
        </is>
      </c>
      <c r="E158" s="9" t="inlineStr">
        <is>
          <t>water</t>
        </is>
      </c>
      <c r="F158" s="9" t="inlineStr">
        <is>
          <t>biosphere</t>
        </is>
      </c>
      <c r="H158" s="9" t="inlineStr">
        <is>
          <t>biosphere3</t>
        </is>
      </c>
    </row>
    <row r="159" customFormat="1" s="9">
      <c r="A159" s="9" t="inlineStr">
        <is>
          <t>Gas-to-liquid plant construction</t>
        </is>
      </c>
      <c r="B159" s="10" t="n">
        <v>6.7e-12</v>
      </c>
      <c r="C159" s="9" t="inlineStr">
        <is>
          <t>GLO</t>
        </is>
      </c>
      <c r="D159" s="9" t="inlineStr">
        <is>
          <t>unit</t>
        </is>
      </c>
      <c r="F159" s="9" t="inlineStr">
        <is>
          <t>technosphere</t>
        </is>
      </c>
      <c r="G159" s="9" t="inlineStr">
        <is>
          <t>Gas-to-liquid plant</t>
        </is>
      </c>
      <c r="H159" s="9" t="inlineStr">
        <is>
          <t>Car db</t>
        </is>
      </c>
    </row>
    <row r="160" customFormat="1" s="9">
      <c r="A160" s="9" t="inlineStr">
        <is>
          <t>Carbon dioxide, non-fossil</t>
        </is>
      </c>
      <c r="B160" s="9" t="n">
        <v>0.13</v>
      </c>
      <c r="D160" s="9" t="inlineStr">
        <is>
          <t>kilogram</t>
        </is>
      </c>
      <c r="E160" s="9" t="inlineStr">
        <is>
          <t>air</t>
        </is>
      </c>
      <c r="F160" s="9" t="inlineStr">
        <is>
          <t>biosphere</t>
        </is>
      </c>
      <c r="H160" s="9" t="inlineStr">
        <is>
          <t>biosphere3</t>
        </is>
      </c>
    </row>
    <row r="161" customFormat="1" s="9">
      <c r="A161" s="9" t="inlineStr">
        <is>
          <t>market group for electricity, low voltage</t>
        </is>
      </c>
      <c r="B161" s="10">
        <f>0.0872420618556701*0.21</f>
        <v>1.832083298969072E-2</v>
      </c>
      <c r="C161" s="9" t="inlineStr">
        <is>
          <t>RER</t>
        </is>
      </c>
      <c r="D161" s="9" t="inlineStr">
        <is>
          <t>kilowatt hour</t>
        </is>
      </c>
      <c r="F161" s="9" t="inlineStr">
        <is>
          <t>technosphere</t>
        </is>
      </c>
      <c r="G161" s="9" t="inlineStr">
        <is>
          <t>electricity, low voltage</t>
        </is>
      </c>
      <c r="H161" s="9" t="inlineStr">
        <is>
          <t>ecoinvent</t>
        </is>
      </c>
    </row>
    <row r="162" customFormat="1" s="9">
      <c r="B162" s="10" t="n"/>
    </row>
    <row r="163" ht="16" customFormat="1" customHeight="1" s="9">
      <c r="A163" s="7" t="inlineStr">
        <is>
          <t>Activity</t>
        </is>
      </c>
      <c r="B163" s="8" t="inlineStr">
        <is>
          <t>Kerosene production, synthetic, Fischer Tropsch process, hydrogen from electrolysis, energy allocation</t>
        </is>
      </c>
    </row>
    <row r="164" customFormat="1" s="9">
      <c r="A164" s="9" t="inlineStr">
        <is>
          <t>production amount</t>
        </is>
      </c>
      <c r="B164" s="9" t="n">
        <v>1</v>
      </c>
    </row>
    <row r="165" customFormat="1" s="9">
      <c r="A165" s="9" t="inlineStr">
        <is>
          <t>reference product</t>
        </is>
      </c>
      <c r="B165" s="9" t="inlineStr">
        <is>
          <t>Kerosene, synthetic</t>
        </is>
      </c>
    </row>
    <row r="166" customFormat="1" s="9">
      <c r="A166" s="9" t="inlineStr">
        <is>
          <t>type</t>
        </is>
      </c>
      <c r="B166" s="9" t="inlineStr">
        <is>
          <t>process</t>
        </is>
      </c>
    </row>
    <row r="167" customFormat="1" s="9">
      <c r="A167" s="9" t="inlineStr">
        <is>
          <t>unit</t>
        </is>
      </c>
      <c r="B167" s="9" t="inlineStr">
        <is>
          <t>kilogram</t>
        </is>
      </c>
    </row>
    <row r="168" customFormat="1" s="9">
      <c r="A168" s="9" t="inlineStr">
        <is>
          <t>location</t>
        </is>
      </c>
      <c r="B168" s="9" t="inlineStr">
        <is>
          <t>RER</t>
        </is>
      </c>
    </row>
    <row r="169" customFormat="1" s="9">
      <c r="A169" s="9" t="inlineStr">
        <is>
          <t>comment</t>
        </is>
      </c>
      <c r="B169" s="9" t="inlineStr">
        <is>
          <t>Adapted from van der Giesen et al. 2014. LHV: 45 MJ/kg, Formula: C13H18, Density: 7551 kg/m3. Energy-based allocation between 3 other co-products. Allocation key for this co-product: 18%.</t>
        </is>
      </c>
    </row>
    <row r="170" customFormat="1" s="9">
      <c r="A170" s="9" t="inlineStr">
        <is>
          <t>source</t>
        </is>
      </c>
      <c r="B170" s="9" t="inlineStr">
        <is>
          <t>Energy and Climate Impacts of Producing Synthetic Hydrocarbon Fuels from CO2, Coen van der Giesen, René Kleijn, and Gert Jan Kramer, Environmental Science &amp; Technology 2014 48 (12), 7111-7121, DOI: 10.1021/es500191g</t>
        </is>
      </c>
    </row>
    <row r="171" ht="16" customFormat="1" customHeight="1" s="9">
      <c r="A171" s="7" t="inlineStr">
        <is>
          <t>Exchanges</t>
        </is>
      </c>
    </row>
    <row r="172" customFormat="1" s="9">
      <c r="A172" s="9" t="inlineStr">
        <is>
          <t>name</t>
        </is>
      </c>
      <c r="B172" s="9" t="inlineStr">
        <is>
          <t>amount</t>
        </is>
      </c>
      <c r="C172" s="9" t="inlineStr">
        <is>
          <t>location</t>
        </is>
      </c>
      <c r="D172" s="9" t="inlineStr">
        <is>
          <t>unit</t>
        </is>
      </c>
      <c r="E172" s="9" t="inlineStr">
        <is>
          <t>categories</t>
        </is>
      </c>
      <c r="F172" s="9" t="inlineStr">
        <is>
          <t>type</t>
        </is>
      </c>
      <c r="G172" s="9" t="inlineStr">
        <is>
          <t>reference product</t>
        </is>
      </c>
      <c r="H172" s="9" t="inlineStr">
        <is>
          <t>database</t>
        </is>
      </c>
      <c r="I172" s="9" t="inlineStr">
        <is>
          <t>comment</t>
        </is>
      </c>
    </row>
    <row r="173" customFormat="1" s="9">
      <c r="A173" s="9" t="inlineStr">
        <is>
          <t>Kerosene production, synthetic, Fischer Tropsch process, hydrogen from electrolysis, energy allocation</t>
        </is>
      </c>
      <c r="B173" s="9" t="n">
        <v>1</v>
      </c>
      <c r="C173" s="9" t="inlineStr">
        <is>
          <t>RER</t>
        </is>
      </c>
      <c r="D173" s="9" t="inlineStr">
        <is>
          <t>kilogram</t>
        </is>
      </c>
      <c r="F173" s="9" t="inlineStr">
        <is>
          <t>production</t>
        </is>
      </c>
      <c r="G173" s="9" t="inlineStr">
        <is>
          <t>Kerosene, synthetic</t>
        </is>
      </c>
      <c r="H173" s="9" t="inlineStr">
        <is>
          <t>Car db</t>
        </is>
      </c>
      <c r="I173" s="9" t="inlineStr">
        <is>
          <t>From PEM electrolysis</t>
        </is>
      </c>
    </row>
    <row r="174" customFormat="1" s="9">
      <c r="A174" s="9" t="inlineStr">
        <is>
          <t>Syngas, RWGS, Production, for Fischer Tropsch process, hydrogen from electrolysis</t>
        </is>
      </c>
      <c r="B174" s="9" t="n">
        <v>2.35</v>
      </c>
      <c r="C174" s="9" t="inlineStr">
        <is>
          <t>RER</t>
        </is>
      </c>
      <c r="D174" s="9" t="inlineStr">
        <is>
          <t>kilogram</t>
        </is>
      </c>
      <c r="F174" s="9" t="inlineStr">
        <is>
          <t>technosphere</t>
        </is>
      </c>
      <c r="G174" s="9" t="inlineStr">
        <is>
          <t>Syngas, RWGS, Production, for Fischer Tropsch process, hydrogen from electrolysis</t>
        </is>
      </c>
      <c r="H174" s="9" t="inlineStr">
        <is>
          <t>Car db</t>
        </is>
      </c>
    </row>
    <row r="175" customFormat="1" s="9">
      <c r="A175" s="9" t="inlineStr">
        <is>
          <t>Heat, waste</t>
        </is>
      </c>
      <c r="B175" s="9">
        <f>3.64160231884058*0.18</f>
        <v>0.65548841739130437</v>
      </c>
      <c r="D175" s="9" t="inlineStr">
        <is>
          <t>megajoule</t>
        </is>
      </c>
      <c r="E175" s="9" t="inlineStr">
        <is>
          <t>air</t>
        </is>
      </c>
      <c r="F175" s="9" t="inlineStr">
        <is>
          <t>biosphere</t>
        </is>
      </c>
      <c r="H175" s="9" t="inlineStr">
        <is>
          <t>biosphere3</t>
        </is>
      </c>
    </row>
    <row r="176" customFormat="1" s="9">
      <c r="A176" s="9" t="inlineStr">
        <is>
          <t>Water</t>
        </is>
      </c>
      <c r="B176" s="9">
        <f>0.00107549913043478*0.18</f>
        <v>1.9358984347826041E-4</v>
      </c>
      <c r="D176" s="9" t="inlineStr">
        <is>
          <t>cubic meter</t>
        </is>
      </c>
      <c r="E176" s="9" t="inlineStr">
        <is>
          <t>water</t>
        </is>
      </c>
      <c r="F176" s="9" t="inlineStr">
        <is>
          <t>biosphere</t>
        </is>
      </c>
      <c r="H176" s="9" t="inlineStr">
        <is>
          <t>biosphere3</t>
        </is>
      </c>
    </row>
    <row r="177" customFormat="1" s="9">
      <c r="A177" s="9" t="inlineStr">
        <is>
          <t>Gas-to-liquid plant construction</t>
        </is>
      </c>
      <c r="B177" s="10" t="n">
        <v>6.7e-12</v>
      </c>
      <c r="C177" s="9" t="inlineStr">
        <is>
          <t>GLO</t>
        </is>
      </c>
      <c r="D177" s="9" t="inlineStr">
        <is>
          <t>unit</t>
        </is>
      </c>
      <c r="F177" s="9" t="inlineStr">
        <is>
          <t>technosphere</t>
        </is>
      </c>
      <c r="G177" s="9" t="inlineStr">
        <is>
          <t>Gas-to-liquid plant</t>
        </is>
      </c>
      <c r="H177" s="9" t="inlineStr">
        <is>
          <t>Car db</t>
        </is>
      </c>
    </row>
    <row r="178" customFormat="1" s="9">
      <c r="A178" s="9" t="inlineStr">
        <is>
          <t>Carbon dioxide, non-fossil</t>
        </is>
      </c>
      <c r="B178" s="9" t="n">
        <v>0.22</v>
      </c>
      <c r="D178" s="9" t="inlineStr">
        <is>
          <t>kilogram</t>
        </is>
      </c>
      <c r="E178" s="9" t="inlineStr">
        <is>
          <t>air</t>
        </is>
      </c>
      <c r="F178" s="9" t="inlineStr">
        <is>
          <t>biosphere</t>
        </is>
      </c>
      <c r="H178" s="9" t="inlineStr">
        <is>
          <t>biosphere3</t>
        </is>
      </c>
    </row>
    <row r="179" customFormat="1" s="9">
      <c r="A179" s="9" t="inlineStr">
        <is>
          <t>market group for electricity, low voltage</t>
        </is>
      </c>
      <c r="B179" s="10">
        <f>0.0872420618556701*0.18</f>
        <v>1.5703571134020617E-2</v>
      </c>
      <c r="C179" s="9" t="inlineStr">
        <is>
          <t>RER</t>
        </is>
      </c>
      <c r="D179" s="9" t="inlineStr">
        <is>
          <t>kilowatt hour</t>
        </is>
      </c>
      <c r="F179" s="9" t="inlineStr">
        <is>
          <t>technosphere</t>
        </is>
      </c>
      <c r="G179" s="9" t="inlineStr">
        <is>
          <t>electricity, low voltage</t>
        </is>
      </c>
      <c r="H179" s="9" t="inlineStr">
        <is>
          <t>ecoinvent</t>
        </is>
      </c>
    </row>
    <row r="180" customFormat="1" s="9"/>
    <row r="181" ht="16" customFormat="1" customHeight="1" s="9">
      <c r="A181" s="7" t="inlineStr">
        <is>
          <t>Activity</t>
        </is>
      </c>
      <c r="B181" s="8" t="inlineStr">
        <is>
          <t>Naphtha production, synthetic, Fischer Tropsch process, hydrogen from electrolysis, energy allocation</t>
        </is>
      </c>
    </row>
    <row r="182" customFormat="1" s="9">
      <c r="A182" s="9" t="inlineStr">
        <is>
          <t>production amount</t>
        </is>
      </c>
      <c r="B182" s="9" t="n">
        <v>1</v>
      </c>
    </row>
    <row r="183" customFormat="1" s="9">
      <c r="A183" s="9" t="inlineStr">
        <is>
          <t>reference product</t>
        </is>
      </c>
      <c r="B183" s="9" t="inlineStr">
        <is>
          <t>Naphtha, synthetic</t>
        </is>
      </c>
    </row>
    <row r="184" customFormat="1" s="9">
      <c r="A184" s="9" t="inlineStr">
        <is>
          <t>type</t>
        </is>
      </c>
      <c r="B184" s="9" t="inlineStr">
        <is>
          <t>process</t>
        </is>
      </c>
    </row>
    <row r="185" customFormat="1" s="9">
      <c r="A185" s="9" t="inlineStr">
        <is>
          <t>unit</t>
        </is>
      </c>
      <c r="B185" s="9" t="inlineStr">
        <is>
          <t>kilogram</t>
        </is>
      </c>
    </row>
    <row r="186" customFormat="1" s="9">
      <c r="A186" s="9" t="inlineStr">
        <is>
          <t>location</t>
        </is>
      </c>
      <c r="B186" s="9" t="inlineStr">
        <is>
          <t>RER</t>
        </is>
      </c>
    </row>
    <row r="187" customFormat="1" s="9">
      <c r="A187" s="9" t="inlineStr">
        <is>
          <t>comment</t>
        </is>
      </c>
      <c r="B187" s="9" t="inlineStr">
        <is>
          <t>Adapted from van der Giesen et al. 2014. LHV: 44.5 MJ/kg, Formula: C13H18, Density: 7551 kg/m3. Energy-based allocation between 3 other co-products. Allocation key for this co-product: 24%.</t>
        </is>
      </c>
    </row>
    <row r="188" customFormat="1" s="9">
      <c r="A188" s="9" t="inlineStr">
        <is>
          <t>source</t>
        </is>
      </c>
      <c r="B188" s="9" t="inlineStr">
        <is>
          <t>Energy and Climate Impacts of Producing Synthetic Hydrocarbon Fuels from CO2, Coen van der Giesen, René Kleijn, and Gert Jan Kramer, Environmental Science &amp; Technology 2014 48 (12), 7111-7121, DOI: 10.1021/es500191g</t>
        </is>
      </c>
    </row>
    <row r="189" ht="16" customFormat="1" customHeight="1" s="9">
      <c r="A189" s="7" t="inlineStr">
        <is>
          <t>Exchanges</t>
        </is>
      </c>
    </row>
    <row r="190" customFormat="1" s="9">
      <c r="A190" s="9" t="inlineStr">
        <is>
          <t>name</t>
        </is>
      </c>
      <c r="B190" s="9" t="inlineStr">
        <is>
          <t>amount</t>
        </is>
      </c>
      <c r="C190" s="9" t="inlineStr">
        <is>
          <t>location</t>
        </is>
      </c>
      <c r="D190" s="9" t="inlineStr">
        <is>
          <t>unit</t>
        </is>
      </c>
      <c r="E190" s="9" t="inlineStr">
        <is>
          <t>categories</t>
        </is>
      </c>
      <c r="F190" s="9" t="inlineStr">
        <is>
          <t>type</t>
        </is>
      </c>
      <c r="G190" s="9" t="inlineStr">
        <is>
          <t>reference product</t>
        </is>
      </c>
      <c r="H190" s="9" t="inlineStr">
        <is>
          <t>database</t>
        </is>
      </c>
      <c r="I190" s="9" t="inlineStr">
        <is>
          <t>comment</t>
        </is>
      </c>
    </row>
    <row r="191" customFormat="1" s="9">
      <c r="A191" s="9" t="inlineStr">
        <is>
          <t>Naphtha production, synthetic, Fischer Tropsch process, hydrogen from electrolysis, energy allocation</t>
        </is>
      </c>
      <c r="B191" s="9" t="n">
        <v>1</v>
      </c>
      <c r="C191" s="9" t="inlineStr">
        <is>
          <t>RER</t>
        </is>
      </c>
      <c r="D191" s="9" t="inlineStr">
        <is>
          <t>kilogram</t>
        </is>
      </c>
      <c r="F191" s="9" t="inlineStr">
        <is>
          <t>production</t>
        </is>
      </c>
      <c r="G191" s="9" t="inlineStr">
        <is>
          <t>Naphtha, synthetic</t>
        </is>
      </c>
      <c r="H191" s="9" t="inlineStr">
        <is>
          <t>Car db</t>
        </is>
      </c>
    </row>
    <row r="192" customFormat="1" s="9">
      <c r="A192" s="9" t="inlineStr">
        <is>
          <t>Syngas, RWGS, Production, for Fischer Tropsch process, hydrogen from electrolysis</t>
        </is>
      </c>
      <c r="B192" s="9" t="n">
        <v>2.32</v>
      </c>
      <c r="C192" s="9" t="inlineStr">
        <is>
          <t>RER</t>
        </is>
      </c>
      <c r="D192" s="9" t="inlineStr">
        <is>
          <t>kilogram</t>
        </is>
      </c>
      <c r="F192" s="9" t="inlineStr">
        <is>
          <t>technosphere</t>
        </is>
      </c>
      <c r="G192" s="9" t="inlineStr">
        <is>
          <t>Syngas, RWGS, Production, for Fischer Tropsch process, hydrogen from electrolysis</t>
        </is>
      </c>
      <c r="H192" s="9" t="inlineStr">
        <is>
          <t>Car db</t>
        </is>
      </c>
    </row>
    <row r="193" customFormat="1" s="9">
      <c r="A193" s="9" t="inlineStr">
        <is>
          <t>Heat, waste</t>
        </is>
      </c>
      <c r="B193" s="9">
        <f>3.64160231884058*0.24</f>
        <v>0.87398455652173912</v>
      </c>
      <c r="D193" s="9" t="inlineStr">
        <is>
          <t>megajoule</t>
        </is>
      </c>
      <c r="E193" s="9" t="inlineStr">
        <is>
          <t>air</t>
        </is>
      </c>
      <c r="F193" s="9" t="inlineStr">
        <is>
          <t>biosphere</t>
        </is>
      </c>
      <c r="H193" s="9" t="inlineStr">
        <is>
          <t>biosphere3</t>
        </is>
      </c>
    </row>
    <row r="194" customFormat="1" s="9">
      <c r="A194" s="9" t="inlineStr">
        <is>
          <t>Water</t>
        </is>
      </c>
      <c r="B194" s="9">
        <f>0.00107549913043478*0.24</f>
        <v>2.581197913043472E-4</v>
      </c>
      <c r="D194" s="9" t="inlineStr">
        <is>
          <t>cubic meter</t>
        </is>
      </c>
      <c r="E194" s="9" t="inlineStr">
        <is>
          <t>water</t>
        </is>
      </c>
      <c r="F194" s="9" t="inlineStr">
        <is>
          <t>biosphere</t>
        </is>
      </c>
      <c r="H194" s="9" t="inlineStr">
        <is>
          <t>biosphere3</t>
        </is>
      </c>
    </row>
    <row r="195" customFormat="1" s="9">
      <c r="A195" s="9" t="inlineStr">
        <is>
          <t>Gas-to-liquid plant construction</t>
        </is>
      </c>
      <c r="B195" s="10" t="n">
        <v>6.7e-12</v>
      </c>
      <c r="C195" s="9" t="inlineStr">
        <is>
          <t>GLO</t>
        </is>
      </c>
      <c r="D195" s="9" t="inlineStr">
        <is>
          <t>unit</t>
        </is>
      </c>
      <c r="F195" s="9" t="inlineStr">
        <is>
          <t>technosphere</t>
        </is>
      </c>
      <c r="G195" s="9" t="inlineStr">
        <is>
          <t>Gas-to-liquid plant</t>
        </is>
      </c>
      <c r="H195" s="9" t="inlineStr">
        <is>
          <t>Car db</t>
        </is>
      </c>
    </row>
    <row r="196" customFormat="1" s="9">
      <c r="A196" s="9" t="inlineStr">
        <is>
          <t>Carbon dioxide, in air</t>
        </is>
      </c>
      <c r="B196" s="9" t="n">
        <v>0.19</v>
      </c>
      <c r="D196" s="9" t="inlineStr">
        <is>
          <t>kilogram</t>
        </is>
      </c>
      <c r="E196" s="9" t="inlineStr">
        <is>
          <t>natural resource::in air</t>
        </is>
      </c>
      <c r="F196" s="9" t="inlineStr">
        <is>
          <t>biosphere</t>
        </is>
      </c>
      <c r="H196" s="9" t="inlineStr">
        <is>
          <t>biosphere3</t>
        </is>
      </c>
    </row>
    <row r="197" customFormat="1" s="9">
      <c r="A197" s="9" t="inlineStr">
        <is>
          <t>market group for electricity, low voltage</t>
        </is>
      </c>
      <c r="B197" s="10">
        <f>0.0872420618556701*0.24</f>
        <v>2.0938094845360824E-2</v>
      </c>
      <c r="C197" s="9" t="inlineStr">
        <is>
          <t>RER</t>
        </is>
      </c>
      <c r="D197" s="9" t="inlineStr">
        <is>
          <t>kilowatt hour</t>
        </is>
      </c>
      <c r="F197" s="9" t="inlineStr">
        <is>
          <t>technosphere</t>
        </is>
      </c>
      <c r="G197" s="9" t="inlineStr">
        <is>
          <t>electricity, low voltage</t>
        </is>
      </c>
      <c r="H197" s="9" t="inlineStr">
        <is>
          <t>ecoinvent</t>
        </is>
      </c>
    </row>
    <row r="198" customFormat="1" s="9"/>
    <row r="199" ht="16" customFormat="1" customHeight="1" s="9">
      <c r="A199" s="7" t="inlineStr">
        <is>
          <t>Activity</t>
        </is>
      </c>
      <c r="B199" s="8" t="inlineStr">
        <is>
          <t>Diesel production, synthetic, Fischer Tropsch process, hydrogen from electrolysis, energy allocation</t>
        </is>
      </c>
    </row>
    <row r="200" customFormat="1" s="9">
      <c r="A200" s="9" t="inlineStr">
        <is>
          <t>production amount</t>
        </is>
      </c>
      <c r="B200" s="9" t="n">
        <v>1</v>
      </c>
    </row>
    <row r="201" customFormat="1" s="9">
      <c r="A201" s="9" t="inlineStr">
        <is>
          <t>reference product</t>
        </is>
      </c>
      <c r="B201" s="9" t="inlineStr">
        <is>
          <t>Diesel, synthetic</t>
        </is>
      </c>
    </row>
    <row r="202" customFormat="1" s="9">
      <c r="A202" s="9" t="inlineStr">
        <is>
          <t>type</t>
        </is>
      </c>
      <c r="B202" s="9" t="inlineStr">
        <is>
          <t>process</t>
        </is>
      </c>
    </row>
    <row r="203" customFormat="1" s="9">
      <c r="A203" s="9" t="inlineStr">
        <is>
          <t>unit</t>
        </is>
      </c>
      <c r="B203" s="9" t="inlineStr">
        <is>
          <t>kilogram</t>
        </is>
      </c>
    </row>
    <row r="204" customFormat="1" s="9">
      <c r="A204" s="9" t="inlineStr">
        <is>
          <t>location</t>
        </is>
      </c>
      <c r="B204" s="9" t="inlineStr">
        <is>
          <t>RER</t>
        </is>
      </c>
    </row>
    <row r="205" customFormat="1" s="9">
      <c r="A205" s="9" t="inlineStr">
        <is>
          <t>comment</t>
        </is>
      </c>
      <c r="B205" s="9" t="inlineStr">
        <is>
          <t>Adapted from van der Giesen et al. 2014. LHV: 43.3 MJ/kg, Formula: C13H18, Density: 7551 kg/m3. Energy-based allocation between 3 other co-products. Allocation key for this co-product: 37%. Post corrected to preserve carbon balance.</t>
        </is>
      </c>
    </row>
    <row r="206" customFormat="1" s="9">
      <c r="A206" s="9" t="inlineStr">
        <is>
          <t>source</t>
        </is>
      </c>
      <c r="B206" s="9" t="inlineStr">
        <is>
          <t>Energy and Climate Impacts of Producing Synthetic Hydrocarbon Fuels from CO2, Coen van der Giesen, René Kleijn, and Gert Jan Kramer, Environmental Science &amp; Technology 2014 48 (12), 7111-7121, DOI: 10.1021/es500191g</t>
        </is>
      </c>
    </row>
    <row r="207" ht="16" customFormat="1" customHeight="1" s="9">
      <c r="A207" s="7" t="inlineStr">
        <is>
          <t>Exchanges</t>
        </is>
      </c>
    </row>
    <row r="208" customFormat="1" s="9">
      <c r="A208" s="9" t="inlineStr">
        <is>
          <t>name</t>
        </is>
      </c>
      <c r="B208" s="9" t="inlineStr">
        <is>
          <t>amount</t>
        </is>
      </c>
      <c r="C208" s="9" t="inlineStr">
        <is>
          <t>location</t>
        </is>
      </c>
      <c r="D208" s="9" t="inlineStr">
        <is>
          <t>unit</t>
        </is>
      </c>
      <c r="E208" s="9" t="inlineStr">
        <is>
          <t>categories</t>
        </is>
      </c>
      <c r="F208" s="9" t="inlineStr">
        <is>
          <t>type</t>
        </is>
      </c>
      <c r="G208" s="9" t="inlineStr">
        <is>
          <t>reference product</t>
        </is>
      </c>
      <c r="H208" s="9" t="inlineStr">
        <is>
          <t>database</t>
        </is>
      </c>
      <c r="I208" s="9" t="inlineStr">
        <is>
          <t>comment</t>
        </is>
      </c>
    </row>
    <row r="209" customFormat="1" s="9">
      <c r="A209" s="9" t="inlineStr">
        <is>
          <t>Diesel production, synthetic, Fischer Tropsch process, hydrogen from electrolysis, energy allocation</t>
        </is>
      </c>
      <c r="B209" s="9" t="n">
        <v>1</v>
      </c>
      <c r="C209" s="9" t="inlineStr">
        <is>
          <t>RER</t>
        </is>
      </c>
      <c r="D209" s="9" t="inlineStr">
        <is>
          <t>kilogram</t>
        </is>
      </c>
      <c r="F209" s="9" t="inlineStr">
        <is>
          <t>production</t>
        </is>
      </c>
      <c r="G209" s="9" t="inlineStr">
        <is>
          <t>Diesel, synthetic</t>
        </is>
      </c>
      <c r="H209" s="9" t="inlineStr">
        <is>
          <t>Car db</t>
        </is>
      </c>
      <c r="I209" s="9" t="inlineStr">
        <is>
          <t>From PEM electrolysis</t>
        </is>
      </c>
    </row>
    <row r="210" customFormat="1" s="9">
      <c r="A210" s="9" t="inlineStr">
        <is>
          <t>Syngas, RWGS, Production, for Fischer Tropsch process, hydrogen from electrolysis</t>
        </is>
      </c>
      <c r="B210" s="9" t="n">
        <v>2.26</v>
      </c>
      <c r="C210" s="9" t="inlineStr">
        <is>
          <t>RER</t>
        </is>
      </c>
      <c r="D210" s="9" t="inlineStr">
        <is>
          <t>kilogram</t>
        </is>
      </c>
      <c r="F210" s="9" t="inlineStr">
        <is>
          <t>technosphere</t>
        </is>
      </c>
      <c r="G210" s="9" t="inlineStr">
        <is>
          <t>Syngas, RWGS, Production, for Fischer Tropsch process, hydrogen from electrolysis</t>
        </is>
      </c>
      <c r="H210" s="9" t="inlineStr">
        <is>
          <t>Car db</t>
        </is>
      </c>
    </row>
    <row r="211" customFormat="1" s="9">
      <c r="A211" s="9" t="inlineStr">
        <is>
          <t>Heat, waste</t>
        </is>
      </c>
      <c r="B211" s="9">
        <f>3.64160231884058*0.37</f>
        <v>1.3473928579710146</v>
      </c>
      <c r="D211" s="9" t="inlineStr">
        <is>
          <t>megajoule</t>
        </is>
      </c>
      <c r="E211" s="9" t="inlineStr">
        <is>
          <t>air</t>
        </is>
      </c>
      <c r="F211" s="9" t="inlineStr">
        <is>
          <t>biosphere</t>
        </is>
      </c>
      <c r="H211" s="9" t="inlineStr">
        <is>
          <t>biosphere3</t>
        </is>
      </c>
    </row>
    <row r="212" customFormat="1" s="9">
      <c r="A212" s="9" t="inlineStr">
        <is>
          <t>Water</t>
        </is>
      </c>
      <c r="B212" s="9">
        <f>0.00107549913043478*0.37</f>
        <v>3.9793467826086865E-4</v>
      </c>
      <c r="D212" s="9" t="inlineStr">
        <is>
          <t>cubic meter</t>
        </is>
      </c>
      <c r="E212" s="9" t="inlineStr">
        <is>
          <t>water</t>
        </is>
      </c>
      <c r="F212" s="9" t="inlineStr">
        <is>
          <t>biosphere</t>
        </is>
      </c>
      <c r="H212" s="9" t="inlineStr">
        <is>
          <t>biosphere3</t>
        </is>
      </c>
    </row>
    <row r="213" customFormat="1" s="9">
      <c r="A213" s="9" t="inlineStr">
        <is>
          <t>Gas-to-liquid plant construction</t>
        </is>
      </c>
      <c r="B213" s="10" t="n">
        <v>6.7e-12</v>
      </c>
      <c r="C213" s="9" t="inlineStr">
        <is>
          <t>GLO</t>
        </is>
      </c>
      <c r="D213" s="9" t="inlineStr">
        <is>
          <t>unit</t>
        </is>
      </c>
      <c r="F213" s="9" t="inlineStr">
        <is>
          <t>technosphere</t>
        </is>
      </c>
      <c r="G213" s="9" t="inlineStr">
        <is>
          <t>Gas-to-liquid plant</t>
        </is>
      </c>
      <c r="H213" s="9" t="inlineStr">
        <is>
          <t>Car db</t>
        </is>
      </c>
    </row>
    <row r="214" customFormat="1" s="9">
      <c r="A214" s="9" t="inlineStr">
        <is>
          <t>Carbon dioxide, in air</t>
        </is>
      </c>
      <c r="B214" s="9" t="n">
        <v>0.05</v>
      </c>
      <c r="D214" s="9" t="inlineStr">
        <is>
          <t>kilogram</t>
        </is>
      </c>
      <c r="E214" s="9" t="inlineStr">
        <is>
          <t>natural resource::in air</t>
        </is>
      </c>
      <c r="F214" s="9" t="inlineStr">
        <is>
          <t>biosphere</t>
        </is>
      </c>
      <c r="H214" s="9" t="inlineStr">
        <is>
          <t>biosphere3</t>
        </is>
      </c>
    </row>
    <row r="215" customFormat="1" s="9">
      <c r="A215" s="9" t="inlineStr">
        <is>
          <t>market group for electricity, low voltage</t>
        </is>
      </c>
      <c r="B215" s="10">
        <f>0.0872420618556701*0.37</f>
        <v>3.2279562886597939E-2</v>
      </c>
      <c r="C215" s="9" t="inlineStr">
        <is>
          <t>RER</t>
        </is>
      </c>
      <c r="D215" s="9" t="inlineStr">
        <is>
          <t>kilowatt hour</t>
        </is>
      </c>
      <c r="F215" s="9" t="inlineStr">
        <is>
          <t>technosphere</t>
        </is>
      </c>
      <c r="G215" s="9" t="inlineStr">
        <is>
          <t>electricity, low voltage</t>
        </is>
      </c>
      <c r="H215" s="9" t="inlineStr">
        <is>
          <t>ecoinvent</t>
        </is>
      </c>
    </row>
    <row r="216" customFormat="1" s="9"/>
    <row r="217" ht="16" customFormat="1" customHeight="1" s="9">
      <c r="A217" s="7" t="inlineStr">
        <is>
          <t>Activity</t>
        </is>
      </c>
      <c r="B217" s="8" t="inlineStr">
        <is>
          <t>liquefied petroleum gas production, synthetic, Fischer Tropsch process, hydrogen from electrolysis, energy allocation</t>
        </is>
      </c>
    </row>
    <row r="218" customFormat="1" s="9">
      <c r="A218" s="9" t="inlineStr">
        <is>
          <t>production amount</t>
        </is>
      </c>
      <c r="B218" s="9" t="n">
        <v>1</v>
      </c>
    </row>
    <row r="219" customFormat="1" s="9">
      <c r="A219" s="9" t="inlineStr">
        <is>
          <t>reference product</t>
        </is>
      </c>
      <c r="B219" s="9" t="inlineStr">
        <is>
          <t>liquefied petroleum gas, synthetic</t>
        </is>
      </c>
    </row>
    <row r="220" customFormat="1" s="9">
      <c r="A220" s="9" t="inlineStr">
        <is>
          <t>type</t>
        </is>
      </c>
      <c r="B220" s="9" t="inlineStr">
        <is>
          <t>process</t>
        </is>
      </c>
    </row>
    <row r="221" customFormat="1" s="9">
      <c r="A221" s="9" t="inlineStr">
        <is>
          <t>unit</t>
        </is>
      </c>
      <c r="B221" s="9" t="inlineStr">
        <is>
          <t>kilogram</t>
        </is>
      </c>
    </row>
    <row r="222" customFormat="1" s="9">
      <c r="A222" s="9" t="inlineStr">
        <is>
          <t>location</t>
        </is>
      </c>
      <c r="B222" s="9" t="inlineStr">
        <is>
          <t>RER</t>
        </is>
      </c>
    </row>
    <row r="223" customFormat="1" s="9">
      <c r="A223" s="9" t="inlineStr">
        <is>
          <t>comment</t>
        </is>
      </c>
      <c r="B223" s="9" t="inlineStr">
        <is>
          <t>Adapted from A.E.M. van den Oever, D. Costa, M. Messagie, Prospective life cycle assessment of alternatively fueled heavy-duty trucks, Applied Energy, 2023, https://doi.org/10.1016/j.apenergy.2023.120834. Energy-based allocation between 3 other co-products (diesel, wax and C5-C10 olefins). Allocation key for this co-product: 11%. Post corrected to preserve carbon balance.</t>
        </is>
      </c>
    </row>
    <row r="224" customFormat="1" s="9">
      <c r="A224" s="9" t="inlineStr">
        <is>
          <t>source</t>
        </is>
      </c>
      <c r="B224" s="9" t="inlineStr">
        <is>
          <t xml:space="preserve"> A.E.M. van den Oever, D. Costa, M. Messagie, Prospective life cycle assessment of alternatively fueled heavy-duty trucks, Applied Energy, 2023, https://doi.org/10.1016/j.apenergy.2023.120834</t>
        </is>
      </c>
    </row>
    <row r="225" ht="16" customFormat="1" customHeight="1" s="9">
      <c r="A225" s="7" t="inlineStr">
        <is>
          <t>Exchanges</t>
        </is>
      </c>
    </row>
    <row r="226" customFormat="1" s="9">
      <c r="A226" s="9" t="inlineStr">
        <is>
          <t>name</t>
        </is>
      </c>
      <c r="B226" s="9" t="inlineStr">
        <is>
          <t>amount</t>
        </is>
      </c>
      <c r="C226" s="9" t="inlineStr">
        <is>
          <t>location</t>
        </is>
      </c>
      <c r="D226" s="9" t="inlineStr">
        <is>
          <t>unit</t>
        </is>
      </c>
      <c r="E226" s="9" t="inlineStr">
        <is>
          <t>categories</t>
        </is>
      </c>
      <c r="F226" s="9" t="inlineStr">
        <is>
          <t>type</t>
        </is>
      </c>
      <c r="G226" s="9" t="inlineStr">
        <is>
          <t>reference product</t>
        </is>
      </c>
      <c r="H226" s="9" t="inlineStr">
        <is>
          <t>comment</t>
        </is>
      </c>
    </row>
    <row r="227" customFormat="1" s="9">
      <c r="A227" s="9" t="inlineStr">
        <is>
          <t>liquefied petroleum gas production, synthetic, Fischer Tropsch process, hydrogen from electrolysis, energy allocation</t>
        </is>
      </c>
      <c r="B227" s="9" t="n">
        <v>1</v>
      </c>
      <c r="C227" s="9" t="inlineStr">
        <is>
          <t>RER</t>
        </is>
      </c>
      <c r="D227" s="9" t="inlineStr">
        <is>
          <t>kilogram</t>
        </is>
      </c>
      <c r="F227" s="9" t="inlineStr">
        <is>
          <t>production</t>
        </is>
      </c>
      <c r="G227" s="9" t="inlineStr">
        <is>
          <t>liquefied petroleum gas production, synthetic, Fischer Tropsch process, hydrogen from electrolysis, energy allocation</t>
        </is>
      </c>
      <c r="H227" s="9" t="inlineStr">
        <is>
          <t>From PEM electrolysis</t>
        </is>
      </c>
    </row>
    <row r="228" customFormat="1" s="9">
      <c r="A228" s="9" t="inlineStr">
        <is>
          <t>Syngas, RWGS, Production, for Fischer Tropsch process, hydrogen from electrolysis</t>
        </is>
      </c>
      <c r="B228" s="9" t="n">
        <v>2.28</v>
      </c>
      <c r="C228" s="9" t="inlineStr">
        <is>
          <t>RER</t>
        </is>
      </c>
      <c r="D228" s="9" t="inlineStr">
        <is>
          <t>kilogram</t>
        </is>
      </c>
      <c r="F228" s="9" t="inlineStr">
        <is>
          <t>technosphere</t>
        </is>
      </c>
      <c r="G228" s="9" t="inlineStr">
        <is>
          <t>Syngas, RWGS, Production, for Fischer Tropsch process, hydrogen from electrolysis</t>
        </is>
      </c>
    </row>
    <row r="229" customFormat="1" s="9">
      <c r="A229" s="9" t="inlineStr">
        <is>
          <t>Heat, waste</t>
        </is>
      </c>
      <c r="B229" s="9">
        <f>3.64160231884058*0.11</f>
        <v>0.4005762550724638</v>
      </c>
      <c r="D229" s="9" t="inlineStr">
        <is>
          <t>megajoule</t>
        </is>
      </c>
      <c r="E229" s="9" t="inlineStr">
        <is>
          <t>air</t>
        </is>
      </c>
      <c r="F229" s="9" t="inlineStr">
        <is>
          <t>biosphere</t>
        </is>
      </c>
    </row>
    <row r="230" customFormat="1" s="9">
      <c r="A230" s="9" t="inlineStr">
        <is>
          <t>Water</t>
        </is>
      </c>
      <c r="B230" s="9">
        <f>0.00107549913043478*0.11</f>
        <v>1.1830490434782582E-4</v>
      </c>
      <c r="D230" s="9" t="inlineStr">
        <is>
          <t>cubic meter</t>
        </is>
      </c>
      <c r="E230" s="9" t="inlineStr">
        <is>
          <t>water</t>
        </is>
      </c>
      <c r="F230" s="9" t="inlineStr">
        <is>
          <t>biosphere</t>
        </is>
      </c>
    </row>
    <row r="231" customFormat="1" s="9">
      <c r="A231" s="9" t="inlineStr">
        <is>
          <t>Gas-to-liquid plant construction</t>
        </is>
      </c>
      <c r="B231" s="10" t="n">
        <v>6.7e-12</v>
      </c>
      <c r="C231" s="9" t="inlineStr">
        <is>
          <t>GLO</t>
        </is>
      </c>
      <c r="D231" s="9" t="inlineStr">
        <is>
          <t>unit</t>
        </is>
      </c>
      <c r="F231" s="9" t="inlineStr">
        <is>
          <t>technosphere</t>
        </is>
      </c>
      <c r="G231" s="9" t="inlineStr">
        <is>
          <t>Gas-to-liquid plant</t>
        </is>
      </c>
    </row>
    <row r="232" customFormat="1" s="9">
      <c r="A232" s="9" t="inlineStr">
        <is>
          <t>Carbon dioxide, in air</t>
        </is>
      </c>
      <c r="B232" s="9" t="n">
        <v>-0.13</v>
      </c>
      <c r="D232" s="9" t="inlineStr">
        <is>
          <t>kilogram</t>
        </is>
      </c>
      <c r="E232" s="9" t="inlineStr">
        <is>
          <t>natural resource::in air</t>
        </is>
      </c>
      <c r="F232" s="9" t="inlineStr">
        <is>
          <t>biosphere</t>
        </is>
      </c>
    </row>
    <row r="233" customFormat="1" s="9">
      <c r="A233" s="9" t="inlineStr">
        <is>
          <t>market group for electricity, low voltage</t>
        </is>
      </c>
      <c r="B233" s="10">
        <f>0.0872420618556701*0.11</f>
        <v>9.5966268041237108E-3</v>
      </c>
      <c r="C233" s="9" t="inlineStr">
        <is>
          <t>RER</t>
        </is>
      </c>
      <c r="D233" s="9" t="inlineStr">
        <is>
          <t>kilowatt hour</t>
        </is>
      </c>
      <c r="F233" s="9" t="inlineStr">
        <is>
          <t>technosphere</t>
        </is>
      </c>
      <c r="G233" s="9" t="inlineStr">
        <is>
          <t>electricity, low voltage</t>
        </is>
      </c>
    </row>
    <row r="234" customFormat="1" s="9"/>
    <row r="235" ht="16" customFormat="1" customHeight="1" s="9">
      <c r="A235" s="7" t="inlineStr">
        <is>
          <t>Activity</t>
        </is>
      </c>
      <c r="B235" s="8" t="inlineStr">
        <is>
          <t>Syngas, RWGS, Production, for Fischer Tropsch process, hydrogen from electrolysis</t>
        </is>
      </c>
    </row>
    <row r="236" customFormat="1" s="9">
      <c r="A236" s="9" t="inlineStr">
        <is>
          <t>production amount</t>
        </is>
      </c>
      <c r="B236" s="9" t="n">
        <v>1</v>
      </c>
    </row>
    <row r="237" customFormat="1" s="9">
      <c r="A237" s="9" t="inlineStr">
        <is>
          <t>reference product</t>
        </is>
      </c>
      <c r="B237" s="9" t="inlineStr">
        <is>
          <t>Syngas, RWGS, Production, for Fischer Tropsch process, hydrogen from electrolysis</t>
        </is>
      </c>
    </row>
    <row r="238" customFormat="1" s="9">
      <c r="A238" s="9" t="inlineStr">
        <is>
          <t>type</t>
        </is>
      </c>
      <c r="B238" s="9" t="inlineStr">
        <is>
          <t>process</t>
        </is>
      </c>
    </row>
    <row r="239" customFormat="1" s="9">
      <c r="A239" s="9" t="inlineStr">
        <is>
          <t>unit</t>
        </is>
      </c>
      <c r="B239" s="9" t="inlineStr">
        <is>
          <t>kilogram</t>
        </is>
      </c>
    </row>
    <row r="240" customFormat="1" s="9">
      <c r="A240" s="9" t="inlineStr">
        <is>
          <t>location</t>
        </is>
      </c>
      <c r="B240" s="9" t="inlineStr">
        <is>
          <t>RER</t>
        </is>
      </c>
    </row>
    <row r="241" customFormat="1" s="9">
      <c r="A241" s="9" t="inlineStr">
        <is>
          <t>comment</t>
        </is>
      </c>
      <c r="B241" s="9" t="inlineStr">
        <is>
          <t>Adapted from van der Giesen et al. 2014. Density of syngas: 0.470kg/m3 @1 bar. LHV: 23.9 MJ/kg.</t>
        </is>
      </c>
    </row>
    <row r="242" customFormat="1" s="9">
      <c r="A242" s="9" t="inlineStr">
        <is>
          <t>source</t>
        </is>
      </c>
      <c r="B242" s="9" t="inlineStr">
        <is>
          <t>Energy and Climate Impacts of Producing Synthetic Hydrocarbon Fuels from CO2, Coen van der Giesen, René Kleijn, and Gert Jan Kramer, Environmental Science &amp; Technology 2014 48 (12), 7111-7121, DOI: 10.1021/es500191g</t>
        </is>
      </c>
    </row>
    <row r="243" ht="16" customFormat="1" customHeight="1" s="9">
      <c r="A243" s="7" t="inlineStr">
        <is>
          <t>Exchanges</t>
        </is>
      </c>
    </row>
    <row r="244" customFormat="1" s="9">
      <c r="A244" s="9" t="inlineStr">
        <is>
          <t>name</t>
        </is>
      </c>
      <c r="B244" s="9" t="inlineStr">
        <is>
          <t>amount</t>
        </is>
      </c>
      <c r="C244" s="9" t="inlineStr">
        <is>
          <t>location</t>
        </is>
      </c>
      <c r="D244" s="9" t="inlineStr">
        <is>
          <t>unit</t>
        </is>
      </c>
      <c r="E244" s="9" t="inlineStr">
        <is>
          <t>categories</t>
        </is>
      </c>
      <c r="F244" s="9" t="inlineStr">
        <is>
          <t>type</t>
        </is>
      </c>
      <c r="G244" s="9" t="inlineStr">
        <is>
          <t>reference product</t>
        </is>
      </c>
    </row>
    <row r="245" customFormat="1" s="9">
      <c r="A245" s="9" t="inlineStr">
        <is>
          <t>Carbon monoxide, from RWGS, for Fischer Tropsch process, hydrogen from electrolysis</t>
        </is>
      </c>
      <c r="B245" s="9" t="n">
        <v>0.875</v>
      </c>
      <c r="C245" s="9" t="inlineStr">
        <is>
          <t>RER</t>
        </is>
      </c>
      <c r="D245" s="9" t="inlineStr">
        <is>
          <t>kilogram</t>
        </is>
      </c>
      <c r="F245" s="9" t="inlineStr">
        <is>
          <t>technosphere</t>
        </is>
      </c>
      <c r="G245" s="9" t="inlineStr">
        <is>
          <t>Carbon monoxide, from RWGS</t>
        </is>
      </c>
    </row>
    <row r="246" ht="16" customFormat="1" customHeight="1" s="9">
      <c r="A246" s="24" t="inlineStr">
        <is>
          <t>hydrogen production, gaseous, 30 bar, from PEM electrolysis, from grid electricity</t>
        </is>
      </c>
      <c r="B246" s="9" t="n">
        <v>0.125</v>
      </c>
      <c r="C246" s="9" t="inlineStr">
        <is>
          <t>RER</t>
        </is>
      </c>
      <c r="D246" s="9" t="inlineStr">
        <is>
          <t>kilogram</t>
        </is>
      </c>
      <c r="F246" s="9" t="inlineStr">
        <is>
          <t>technosphere</t>
        </is>
      </c>
      <c r="G246" s="24" t="inlineStr">
        <is>
          <t>hydrogen, gaseous, 30 bar</t>
        </is>
      </c>
    </row>
    <row r="247" customFormat="1" s="9">
      <c r="A247" s="9" t="inlineStr">
        <is>
          <t>Syngas, RWGS, Production, for Fischer Tropsch process, hydrogen from electrolysis</t>
        </is>
      </c>
      <c r="B247" s="9" t="n">
        <v>1</v>
      </c>
      <c r="C247" s="9" t="inlineStr">
        <is>
          <t>RER</t>
        </is>
      </c>
      <c r="D247" s="9" t="inlineStr">
        <is>
          <t>kilogram</t>
        </is>
      </c>
      <c r="F247" s="9" t="inlineStr">
        <is>
          <t>production</t>
        </is>
      </c>
      <c r="G247" s="9" t="inlineStr">
        <is>
          <t>Syngas, RWGS, Production, for Fischer Tropsch process, hydrogen from electrolysis</t>
        </is>
      </c>
    </row>
    <row r="248" customFormat="1" s="9">
      <c r="A248" s="9" t="inlineStr">
        <is>
          <t>RWGS tank construction</t>
        </is>
      </c>
      <c r="B248" s="12" t="n">
        <v>5.71e-06</v>
      </c>
      <c r="C248" s="9" t="inlineStr">
        <is>
          <t>GLO</t>
        </is>
      </c>
      <c r="D248" s="9" t="inlineStr">
        <is>
          <t>unit</t>
        </is>
      </c>
      <c r="F248" s="9" t="inlineStr">
        <is>
          <t>technosphere</t>
        </is>
      </c>
    </row>
    <row r="249" customFormat="1" s="9">
      <c r="B249" s="12" t="n"/>
    </row>
    <row r="250" ht="16" customFormat="1" customHeight="1" s="9">
      <c r="A250" s="7" t="inlineStr">
        <is>
          <t>Activity</t>
        </is>
      </c>
      <c r="B250" s="8" t="inlineStr">
        <is>
          <t>Carbon monoxide, from RWGS, for Fischer Tropsch process, hydrogen from electrolysis</t>
        </is>
      </c>
    </row>
    <row r="251" customFormat="1" s="9">
      <c r="A251" s="9" t="inlineStr">
        <is>
          <t>production amount</t>
        </is>
      </c>
      <c r="B251" s="9" t="n">
        <v>1</v>
      </c>
    </row>
    <row r="252" customFormat="1" s="9">
      <c r="A252" s="9" t="inlineStr">
        <is>
          <t>reference product</t>
        </is>
      </c>
      <c r="B252" s="9" t="inlineStr">
        <is>
          <t>Carbon monoxide, from RWGS</t>
        </is>
      </c>
    </row>
    <row r="253" customFormat="1" s="9">
      <c r="A253" s="9" t="inlineStr">
        <is>
          <t>type</t>
        </is>
      </c>
      <c r="B253" s="9" t="inlineStr">
        <is>
          <t>process</t>
        </is>
      </c>
    </row>
    <row r="254" customFormat="1" s="9">
      <c r="A254" s="9" t="inlineStr">
        <is>
          <t>unit</t>
        </is>
      </c>
      <c r="B254" s="9" t="inlineStr">
        <is>
          <t>kilogram</t>
        </is>
      </c>
    </row>
    <row r="255" customFormat="1" s="9">
      <c r="A255" s="9" t="inlineStr">
        <is>
          <t>location</t>
        </is>
      </c>
      <c r="B255" s="9" t="inlineStr">
        <is>
          <t>RER</t>
        </is>
      </c>
    </row>
    <row r="256" customFormat="1" s="9">
      <c r="A256" s="9" t="inlineStr">
        <is>
          <t>comment</t>
        </is>
      </c>
      <c r="B256" s="9" t="inlineStr">
        <is>
          <t>Adapted from van der Giesen et al. 2014. Density of syngas: 0.470kg/m3 @1 bar. LHV: 23.9 MJ/kg.</t>
        </is>
      </c>
    </row>
    <row r="257" ht="16" customFormat="1" customHeight="1" s="9">
      <c r="A257" s="7" t="inlineStr">
        <is>
          <t>Exchanges</t>
        </is>
      </c>
    </row>
    <row r="258" customFormat="1" s="9">
      <c r="A258" s="9" t="inlineStr">
        <is>
          <t>name</t>
        </is>
      </c>
      <c r="B258" s="9" t="inlineStr">
        <is>
          <t>amount</t>
        </is>
      </c>
      <c r="C258" s="9" t="inlineStr">
        <is>
          <t>location</t>
        </is>
      </c>
      <c r="D258" s="9" t="inlineStr">
        <is>
          <t>unit</t>
        </is>
      </c>
      <c r="E258" s="9" t="inlineStr">
        <is>
          <t>categories</t>
        </is>
      </c>
      <c r="F258" s="9" t="inlineStr">
        <is>
          <t>type</t>
        </is>
      </c>
      <c r="G258" s="9" t="inlineStr">
        <is>
          <t>reference product</t>
        </is>
      </c>
    </row>
    <row r="259" customFormat="1" s="9">
      <c r="A259" s="9" t="inlineStr">
        <is>
          <t>Carbon monoxide, from RWGS, for Fischer Tropsch process, hydrogen from electrolysis</t>
        </is>
      </c>
      <c r="B259" s="9" t="n">
        <v>1</v>
      </c>
      <c r="C259" s="9" t="inlineStr">
        <is>
          <t>RER</t>
        </is>
      </c>
      <c r="D259" s="9" t="inlineStr">
        <is>
          <t>kilogram</t>
        </is>
      </c>
      <c r="F259" s="9" t="inlineStr">
        <is>
          <t>production</t>
        </is>
      </c>
      <c r="G259" s="9" t="inlineStr">
        <is>
          <t>Carbon monoxide, from RWGS</t>
        </is>
      </c>
    </row>
    <row r="260" ht="16" customFormat="1" customHeight="1" s="9">
      <c r="A260" s="24" t="inlineStr">
        <is>
          <t>hydrogen production, gaseous, 30 bar, from PEM electrolysis, from grid electricity</t>
        </is>
      </c>
      <c r="B260" s="9" t="n">
        <v>0.07000000000000001</v>
      </c>
      <c r="C260" s="9" t="inlineStr">
        <is>
          <t>RER</t>
        </is>
      </c>
      <c r="D260" s="9" t="inlineStr">
        <is>
          <t>kilogram</t>
        </is>
      </c>
      <c r="F260" s="9" t="inlineStr">
        <is>
          <t>technosphere</t>
        </is>
      </c>
      <c r="G260" s="24" t="inlineStr">
        <is>
          <t>hydrogen, gaseous, 30 bar</t>
        </is>
      </c>
    </row>
    <row r="261" ht="16" customFormat="1" customHeight="1" s="9">
      <c r="A261" s="27" t="inlineStr">
        <is>
          <t>carbon dioxide, captured, with a solvent-based direct air capture system, 1MtCO2</t>
        </is>
      </c>
      <c r="B261" s="9" t="n">
        <v>1.57</v>
      </c>
      <c r="C261" s="9" t="inlineStr">
        <is>
          <t>RER</t>
        </is>
      </c>
      <c r="D261" s="9" t="inlineStr">
        <is>
          <t>kilogram</t>
        </is>
      </c>
      <c r="F261" s="9" t="inlineStr">
        <is>
          <t>technosphere</t>
        </is>
      </c>
      <c r="G261" s="27" t="inlineStr">
        <is>
          <t>carbon dioxide, captured</t>
        </is>
      </c>
    </row>
    <row r="262" customFormat="1" s="9">
      <c r="A262" s="9" t="inlineStr">
        <is>
          <t>Fixed bed reactor for RWGS</t>
        </is>
      </c>
      <c r="B262" s="10" t="n">
        <v>1.93e-09</v>
      </c>
      <c r="C262" s="9" t="inlineStr">
        <is>
          <t>RER</t>
        </is>
      </c>
      <c r="D262" s="9" t="inlineStr">
        <is>
          <t>unit</t>
        </is>
      </c>
      <c r="F262" s="9" t="inlineStr">
        <is>
          <t>technosphere</t>
        </is>
      </c>
      <c r="G262" s="9" t="inlineStr">
        <is>
          <t>Fixed bed reactor</t>
        </is>
      </c>
    </row>
    <row r="263" customFormat="1" s="9">
      <c r="B263" s="10" t="n"/>
    </row>
    <row r="264" ht="16" customHeight="1">
      <c r="A264" s="1" t="inlineStr">
        <is>
          <t>Activity</t>
        </is>
      </c>
      <c r="B264" s="2" t="inlineStr">
        <is>
          <t>Gas-to-liquid plant construction</t>
        </is>
      </c>
    </row>
    <row r="265">
      <c r="A265" t="inlineStr">
        <is>
          <t>production amount</t>
        </is>
      </c>
      <c r="B265" t="n">
        <v>1</v>
      </c>
    </row>
    <row r="266">
      <c r="A266" t="inlineStr">
        <is>
          <t>reference product</t>
        </is>
      </c>
      <c r="B266" t="inlineStr">
        <is>
          <t>Gas-to-liquid plant</t>
        </is>
      </c>
    </row>
    <row r="267">
      <c r="A267" t="inlineStr">
        <is>
          <t>type</t>
        </is>
      </c>
      <c r="B267" t="inlineStr">
        <is>
          <t>process</t>
        </is>
      </c>
    </row>
    <row r="268">
      <c r="A268" t="inlineStr">
        <is>
          <t>unit</t>
        </is>
      </c>
      <c r="B268" t="inlineStr">
        <is>
          <t>unit</t>
        </is>
      </c>
    </row>
    <row r="269">
      <c r="A269" t="inlineStr">
        <is>
          <t>location</t>
        </is>
      </c>
      <c r="B269" t="inlineStr">
        <is>
          <t>GLO</t>
        </is>
      </c>
    </row>
    <row r="270">
      <c r="A270" t="inlineStr">
        <is>
          <t>comment</t>
        </is>
      </c>
      <c r="B270" t="inlineStr">
        <is>
          <t>Represents an input of 1.120.000 m2 of land, 14.400 ton of steel in an assumed equal division of reinforcing and low alloyed steel, 345.000 m3 of concrete.</t>
        </is>
      </c>
    </row>
    <row r="271">
      <c r="A271" t="inlineStr">
        <is>
          <t>source</t>
        </is>
      </c>
      <c r="B271" t="inlineStr">
        <is>
          <t>Energy and Climate Impacts of Producing Synthetic Hydrocarbon Fuels from CO2, Coen van der Giesen, René Kleijn, and Gert Jan Kramer, Environmental Science &amp; Technology 2014 48 (12), 7111-7121, DOI: 10.1021/es500191g</t>
        </is>
      </c>
    </row>
    <row r="272" ht="16" customHeight="1">
      <c r="A272" s="1" t="inlineStr">
        <is>
          <t>Exchanges</t>
        </is>
      </c>
    </row>
    <row r="273">
      <c r="A273" t="inlineStr">
        <is>
          <t>name</t>
        </is>
      </c>
      <c r="B273" t="inlineStr">
        <is>
          <t>amount</t>
        </is>
      </c>
      <c r="C273" t="inlineStr">
        <is>
          <t>location</t>
        </is>
      </c>
      <c r="D273" t="inlineStr">
        <is>
          <t>unit</t>
        </is>
      </c>
      <c r="E273" t="inlineStr">
        <is>
          <t>categories</t>
        </is>
      </c>
      <c r="F273" t="inlineStr">
        <is>
          <t>type</t>
        </is>
      </c>
      <c r="G273" t="inlineStr">
        <is>
          <t>reference product</t>
        </is>
      </c>
    </row>
    <row r="274">
      <c r="A274" t="inlineStr">
        <is>
          <t>Gas-to-liquid plant construction</t>
        </is>
      </c>
      <c r="B274" t="n">
        <v>1</v>
      </c>
      <c r="C274" t="inlineStr">
        <is>
          <t>GLO</t>
        </is>
      </c>
      <c r="D274" t="inlineStr">
        <is>
          <t>unit</t>
        </is>
      </c>
      <c r="F274" t="inlineStr">
        <is>
          <t>production</t>
        </is>
      </c>
      <c r="G274" t="inlineStr">
        <is>
          <t>Gas-to-liquid plant</t>
        </is>
      </c>
    </row>
    <row r="275">
      <c r="A275" t="inlineStr">
        <is>
          <t>market for concrete, sole plate and foundation</t>
        </is>
      </c>
      <c r="B275" s="3" t="n">
        <v>345000</v>
      </c>
      <c r="C275" t="inlineStr">
        <is>
          <t>CH</t>
        </is>
      </c>
      <c r="D275" t="inlineStr">
        <is>
          <t>cubic meter</t>
        </is>
      </c>
      <c r="F275" t="inlineStr">
        <is>
          <t>technosphere</t>
        </is>
      </c>
      <c r="G275" s="6" t="inlineStr">
        <is>
          <t>concrete, sole plate and foundation</t>
        </is>
      </c>
    </row>
    <row r="276">
      <c r="A276" t="inlineStr">
        <is>
          <t>market for steel, chromium steel 18/8</t>
        </is>
      </c>
      <c r="B276" s="3" t="n">
        <v>7200000</v>
      </c>
      <c r="C276" t="inlineStr">
        <is>
          <t>GLO</t>
        </is>
      </c>
      <c r="D276" t="inlineStr">
        <is>
          <t>kilogram</t>
        </is>
      </c>
      <c r="F276" t="inlineStr">
        <is>
          <t>technosphere</t>
        </is>
      </c>
      <c r="G276" t="inlineStr">
        <is>
          <t>steel, chromium steel 18/8</t>
        </is>
      </c>
    </row>
    <row r="277">
      <c r="A277" t="inlineStr">
        <is>
          <t>market for reinforcing steel</t>
        </is>
      </c>
      <c r="B277" s="3" t="n">
        <v>7200000</v>
      </c>
      <c r="C277" t="inlineStr">
        <is>
          <t>GLO</t>
        </is>
      </c>
      <c r="D277" t="inlineStr">
        <is>
          <t>kilogram</t>
        </is>
      </c>
      <c r="F277" t="inlineStr">
        <is>
          <t>technosphere</t>
        </is>
      </c>
      <c r="G277" t="inlineStr">
        <is>
          <t>reinforcing steel</t>
        </is>
      </c>
    </row>
    <row r="278">
      <c r="A278" t="inlineStr">
        <is>
          <t>treatment of waste reinforced concrete, collection for final disposal</t>
        </is>
      </c>
      <c r="B278" s="3" t="n">
        <v>-828000000</v>
      </c>
      <c r="C278" t="inlineStr">
        <is>
          <t>Europe without Switzerland</t>
        </is>
      </c>
      <c r="D278" t="inlineStr">
        <is>
          <t>kilogram</t>
        </is>
      </c>
      <c r="F278" t="inlineStr">
        <is>
          <t>technosphere</t>
        </is>
      </c>
      <c r="G278" t="inlineStr">
        <is>
          <t>waste reinforced concrete</t>
        </is>
      </c>
    </row>
    <row r="279">
      <c r="A279" t="inlineStr">
        <is>
          <t>treatment of waste bulk iron, excluding reinforcement, sorting plant</t>
        </is>
      </c>
      <c r="B279" s="3" t="n">
        <v>-14400000</v>
      </c>
      <c r="C279" t="inlineStr">
        <is>
          <t>Europe without Switzerland</t>
        </is>
      </c>
      <c r="D279" t="inlineStr">
        <is>
          <t>kilogram</t>
        </is>
      </c>
      <c r="F279" t="inlineStr">
        <is>
          <t>technosphere</t>
        </is>
      </c>
      <c r="G279" t="inlineStr">
        <is>
          <t>waste bulk iron, excluding reinforcement</t>
        </is>
      </c>
    </row>
    <row r="280">
      <c r="A280" t="inlineStr">
        <is>
          <t>Occupation, industrial area</t>
        </is>
      </c>
      <c r="B280" s="3" t="n">
        <v>1120000</v>
      </c>
      <c r="D280" t="inlineStr">
        <is>
          <t>square meter-year</t>
        </is>
      </c>
      <c r="E280" t="inlineStr">
        <is>
          <t>natural resource::land</t>
        </is>
      </c>
      <c r="F280" t="inlineStr">
        <is>
          <t>biosphere</t>
        </is>
      </c>
    </row>
    <row r="281"/>
    <row r="282" ht="16" customHeight="1">
      <c r="A282" s="1" t="inlineStr">
        <is>
          <t>Activity</t>
        </is>
      </c>
      <c r="B282" s="2" t="inlineStr">
        <is>
          <t>RWGS tank construction</t>
        </is>
      </c>
    </row>
    <row r="283">
      <c r="A283" t="inlineStr">
        <is>
          <t>production amount</t>
        </is>
      </c>
      <c r="B283" t="n">
        <v>1</v>
      </c>
    </row>
    <row r="284">
      <c r="A284" t="inlineStr">
        <is>
          <t>reference product</t>
        </is>
      </c>
      <c r="B284" t="inlineStr">
        <is>
          <t>RWGS tank construction</t>
        </is>
      </c>
    </row>
    <row r="285">
      <c r="A285" t="inlineStr">
        <is>
          <t>type</t>
        </is>
      </c>
      <c r="B285" t="inlineStr">
        <is>
          <t>process</t>
        </is>
      </c>
    </row>
    <row r="286">
      <c r="A286" t="inlineStr">
        <is>
          <t>unit</t>
        </is>
      </c>
      <c r="B286" t="inlineStr">
        <is>
          <t>unit</t>
        </is>
      </c>
    </row>
    <row r="287">
      <c r="A287" t="inlineStr">
        <is>
          <t>location</t>
        </is>
      </c>
      <c r="B287" t="inlineStr">
        <is>
          <t>GLO</t>
        </is>
      </c>
    </row>
    <row r="288" ht="16" customHeight="1">
      <c r="A288" s="1" t="inlineStr">
        <is>
          <t>Exchanges</t>
        </is>
      </c>
    </row>
    <row r="289">
      <c r="A289" t="inlineStr">
        <is>
          <t>name</t>
        </is>
      </c>
      <c r="B289" t="inlineStr">
        <is>
          <t>amount</t>
        </is>
      </c>
      <c r="C289" t="inlineStr">
        <is>
          <t>location</t>
        </is>
      </c>
      <c r="D289" t="inlineStr">
        <is>
          <t>unit</t>
        </is>
      </c>
      <c r="E289" t="inlineStr">
        <is>
          <t>categories</t>
        </is>
      </c>
      <c r="F289" t="inlineStr">
        <is>
          <t>type</t>
        </is>
      </c>
      <c r="G289" t="inlineStr">
        <is>
          <t>reference product</t>
        </is>
      </c>
    </row>
    <row r="290">
      <c r="A290" t="inlineStr">
        <is>
          <t>market for steel, chromium steel 18/8</t>
        </is>
      </c>
      <c r="B290" t="n">
        <v>300</v>
      </c>
      <c r="C290" t="inlineStr">
        <is>
          <t>GLO</t>
        </is>
      </c>
      <c r="D290" t="inlineStr">
        <is>
          <t>kilogram</t>
        </is>
      </c>
      <c r="F290" t="inlineStr">
        <is>
          <t>technosphere</t>
        </is>
      </c>
      <c r="G290" t="inlineStr">
        <is>
          <t>steel, chromium steel 18/8</t>
        </is>
      </c>
    </row>
    <row r="291">
      <c r="A291" t="inlineStr">
        <is>
          <t>RWGS tank construction</t>
        </is>
      </c>
      <c r="B291" t="n">
        <v>1</v>
      </c>
      <c r="C291" t="inlineStr">
        <is>
          <t>GLO</t>
        </is>
      </c>
      <c r="D291" t="inlineStr">
        <is>
          <t>unit</t>
        </is>
      </c>
      <c r="F291" t="inlineStr">
        <is>
          <t>production</t>
        </is>
      </c>
      <c r="G291" t="inlineStr">
        <is>
          <t>RWGS tank construction</t>
        </is>
      </c>
    </row>
    <row r="292"/>
    <row r="293" ht="16" customHeight="1">
      <c r="A293" s="1" t="inlineStr">
        <is>
          <t>Activity</t>
        </is>
      </c>
      <c r="B293" s="2" t="inlineStr">
        <is>
          <t>RWGS catalyst</t>
        </is>
      </c>
    </row>
    <row r="294">
      <c r="A294" t="inlineStr">
        <is>
          <t>production amount</t>
        </is>
      </c>
      <c r="B294" t="n">
        <v>1</v>
      </c>
    </row>
    <row r="295">
      <c r="A295" t="inlineStr">
        <is>
          <t>reference product</t>
        </is>
      </c>
      <c r="B295" t="inlineStr">
        <is>
          <t>RWGS catalyst</t>
        </is>
      </c>
    </row>
    <row r="296">
      <c r="A296" t="inlineStr">
        <is>
          <t>type</t>
        </is>
      </c>
      <c r="B296" t="inlineStr">
        <is>
          <t>process</t>
        </is>
      </c>
    </row>
    <row r="297">
      <c r="A297" t="inlineStr">
        <is>
          <t>unit</t>
        </is>
      </c>
      <c r="B297" t="inlineStr">
        <is>
          <t>kilogram</t>
        </is>
      </c>
    </row>
    <row r="298">
      <c r="A298" t="inlineStr">
        <is>
          <t>location</t>
        </is>
      </c>
      <c r="B298" t="inlineStr">
        <is>
          <t>RER</t>
        </is>
      </c>
    </row>
    <row r="299">
      <c r="A299" t="inlineStr">
        <is>
          <t>comment</t>
        </is>
      </c>
      <c r="B299" t="inlineStr">
        <is>
          <t>As RWGS catalyst Südchemie Shiftmax 240 is proposed. This catalyst consists of 57% CuO, 31% ZnO and 11% Al2O3.</t>
        </is>
      </c>
    </row>
    <row r="300">
      <c r="A300" t="inlineStr">
        <is>
          <t>source</t>
        </is>
      </c>
      <c r="B300" t="inlineStr">
        <is>
          <t>Energy and Climate Impacts of Producing Synthetic Hydrocarbon Fuels from CO2, Coen van der Giesen, René Kleijn, and Gert Jan Kramer, Environmental Science &amp; Technology 2014 48 (12), 7111-7121, DOI: 10.1021/es500191g</t>
        </is>
      </c>
    </row>
    <row r="301" ht="16" customHeight="1">
      <c r="A301" s="1" t="inlineStr">
        <is>
          <t>Exchanges</t>
        </is>
      </c>
    </row>
    <row r="302">
      <c r="A302" t="inlineStr">
        <is>
          <t>name</t>
        </is>
      </c>
      <c r="B302" t="inlineStr">
        <is>
          <t>amount</t>
        </is>
      </c>
      <c r="C302" t="inlineStr">
        <is>
          <t>location</t>
        </is>
      </c>
      <c r="D302" t="inlineStr">
        <is>
          <t>unit</t>
        </is>
      </c>
      <c r="E302" t="inlineStr">
        <is>
          <t>categories</t>
        </is>
      </c>
      <c r="F302" t="inlineStr">
        <is>
          <t>type</t>
        </is>
      </c>
      <c r="G302" t="inlineStr">
        <is>
          <t>reference product</t>
        </is>
      </c>
    </row>
    <row r="303">
      <c r="A303" t="inlineStr">
        <is>
          <t>RWGS catalyst</t>
        </is>
      </c>
      <c r="B303" t="n">
        <v>1</v>
      </c>
      <c r="C303" t="inlineStr">
        <is>
          <t>RER</t>
        </is>
      </c>
      <c r="D303" t="inlineStr">
        <is>
          <t>kilogram</t>
        </is>
      </c>
      <c r="F303" t="inlineStr">
        <is>
          <t>production</t>
        </is>
      </c>
      <c r="G303" t="inlineStr">
        <is>
          <t>RWGS catalyst</t>
        </is>
      </c>
    </row>
    <row r="304">
      <c r="A304" t="inlineStr">
        <is>
          <t>market for copper oxide</t>
        </is>
      </c>
      <c r="B304" t="n">
        <v>0.57</v>
      </c>
      <c r="C304" t="inlineStr">
        <is>
          <t>GLO</t>
        </is>
      </c>
      <c r="D304" t="inlineStr">
        <is>
          <t>kilogram</t>
        </is>
      </c>
      <c r="F304" t="inlineStr">
        <is>
          <t>technosphere</t>
        </is>
      </c>
      <c r="G304" t="inlineStr">
        <is>
          <t>copper oxide</t>
        </is>
      </c>
    </row>
    <row r="305">
      <c r="A305" t="inlineStr">
        <is>
          <t>market for aluminium oxide, metallurgical</t>
        </is>
      </c>
      <c r="B305" t="n">
        <v>0.11</v>
      </c>
      <c r="C305" t="inlineStr">
        <is>
          <t>IAI Area, EU27 &amp; EFTA</t>
        </is>
      </c>
      <c r="D305" t="inlineStr">
        <is>
          <t>kilogram</t>
        </is>
      </c>
      <c r="F305" t="inlineStr">
        <is>
          <t>technosphere</t>
        </is>
      </c>
      <c r="G305" t="inlineStr">
        <is>
          <t>aluminium oxide, metallurgical</t>
        </is>
      </c>
    </row>
    <row r="306">
      <c r="A306" t="inlineStr">
        <is>
          <t>market for zinc oxide</t>
        </is>
      </c>
      <c r="B306" t="n">
        <v>0.31</v>
      </c>
      <c r="C306" t="inlineStr">
        <is>
          <t>GLO</t>
        </is>
      </c>
      <c r="D306" t="inlineStr">
        <is>
          <t>kilogram</t>
        </is>
      </c>
      <c r="F306" t="inlineStr">
        <is>
          <t>technosphere</t>
        </is>
      </c>
      <c r="G306" t="inlineStr">
        <is>
          <t>zinc oxide</t>
        </is>
      </c>
    </row>
    <row r="307"/>
    <row r="308" ht="16" customHeight="1">
      <c r="A308" s="1" t="inlineStr">
        <is>
          <t>Activity</t>
        </is>
      </c>
      <c r="B308" s="2" t="inlineStr">
        <is>
          <t>Fixed bed reactor for RWGS</t>
        </is>
      </c>
    </row>
    <row r="309">
      <c r="A309" t="inlineStr">
        <is>
          <t>production amount</t>
        </is>
      </c>
      <c r="B309" t="n">
        <v>1</v>
      </c>
    </row>
    <row r="310">
      <c r="A310" t="inlineStr">
        <is>
          <t>reference product</t>
        </is>
      </c>
      <c r="B310" t="inlineStr">
        <is>
          <t>Fixed bed reactor</t>
        </is>
      </c>
    </row>
    <row r="311">
      <c r="A311" t="inlineStr">
        <is>
          <t>type</t>
        </is>
      </c>
      <c r="B311" t="inlineStr">
        <is>
          <t>process</t>
        </is>
      </c>
    </row>
    <row r="312">
      <c r="A312" t="inlineStr">
        <is>
          <t>unit</t>
        </is>
      </c>
      <c r="B312" t="inlineStr">
        <is>
          <t>unit</t>
        </is>
      </c>
    </row>
    <row r="313">
      <c r="A313" t="inlineStr">
        <is>
          <t>location</t>
        </is>
      </c>
      <c r="B313" t="inlineStr">
        <is>
          <t>RER</t>
        </is>
      </c>
    </row>
    <row r="314">
      <c r="A314" t="inlineStr">
        <is>
          <t>comment</t>
        </is>
      </c>
      <c r="B314" t="inlineStr">
        <is>
          <t>The reactor vessel consists of 4760 kg of steel (assuming 50% low alloyed steel and 50% chromium steel) and is filled with a mixture of 440 kg of RWGS catalyst and 1780 kg of sorbent, which need to be renewed every 4 years.14 Over a reactor lifetime of 30 years therefore 30/4 x 440 kg = 3300 kg of catalyst and 30/4 x 1780 kg = 13350 kg of sorbent is needed. Since two identical reactors are use in parallel all numbers are doubled in the unit process representing the construction of the fixed bed
reactor.</t>
        </is>
      </c>
    </row>
    <row r="315">
      <c r="A315" t="inlineStr">
        <is>
          <t>source</t>
        </is>
      </c>
      <c r="B315" t="inlineStr">
        <is>
          <t>Energy and Climate Impacts of Producing Synthetic Hydrocarbon Fuels from CO2, Coen van der Giesen, René Kleijn, and Gert Jan Kramer, Environmental Science &amp; Technology 2014 48 (12), 7111-7121, DOI: 10.1021/es500191g</t>
        </is>
      </c>
    </row>
    <row r="316" ht="16" customHeight="1">
      <c r="A316" s="1" t="inlineStr">
        <is>
          <t>Exchanges</t>
        </is>
      </c>
    </row>
    <row r="317">
      <c r="A317" t="inlineStr">
        <is>
          <t>name</t>
        </is>
      </c>
      <c r="B317" t="inlineStr">
        <is>
          <t>amount</t>
        </is>
      </c>
      <c r="C317" t="inlineStr">
        <is>
          <t>location</t>
        </is>
      </c>
      <c r="D317" t="inlineStr">
        <is>
          <t>unit</t>
        </is>
      </c>
      <c r="E317" t="inlineStr">
        <is>
          <t>categories</t>
        </is>
      </c>
      <c r="F317" t="inlineStr">
        <is>
          <t>type</t>
        </is>
      </c>
      <c r="G317" t="inlineStr">
        <is>
          <t>reference product</t>
        </is>
      </c>
      <c r="H317" t="inlineStr">
        <is>
          <t>comment</t>
        </is>
      </c>
    </row>
    <row r="318">
      <c r="A318" t="inlineStr">
        <is>
          <t>Fixed bed reactor for RWGS</t>
        </is>
      </c>
      <c r="B318" t="n">
        <v>1</v>
      </c>
      <c r="C318" t="inlineStr">
        <is>
          <t>RER</t>
        </is>
      </c>
      <c r="D318" t="inlineStr">
        <is>
          <t>unit</t>
        </is>
      </c>
      <c r="F318" t="inlineStr">
        <is>
          <t>production</t>
        </is>
      </c>
      <c r="G318" t="inlineStr">
        <is>
          <t>Fixed bed reactor</t>
        </is>
      </c>
    </row>
    <row r="319">
      <c r="A319" t="inlineStr">
        <is>
          <t>market for steel, low-alloyed</t>
        </is>
      </c>
      <c r="B319" s="3">
        <f>4760/2</f>
        <v>2380</v>
      </c>
      <c r="C319" t="inlineStr">
        <is>
          <t>GLO</t>
        </is>
      </c>
      <c r="D319" t="inlineStr">
        <is>
          <t>kilogram</t>
        </is>
      </c>
      <c r="F319" t="inlineStr">
        <is>
          <t>technosphere</t>
        </is>
      </c>
      <c r="G319" t="inlineStr">
        <is>
          <t>steel, low-alloyed</t>
        </is>
      </c>
      <c r="H319" t="inlineStr">
        <is>
          <t xml:space="preserve">The reactor vessel consists of 4760 kg of steel (assuming 50% low alloyed steel and 50% chromium steel) </t>
        </is>
      </c>
    </row>
    <row r="320">
      <c r="A320" t="inlineStr">
        <is>
          <t>treatment of waste bulk iron, excluding reinforcement, sorting plant</t>
        </is>
      </c>
      <c r="B320" s="3" t="n">
        <v>-9520</v>
      </c>
      <c r="C320" t="inlineStr">
        <is>
          <t>Europe without Switzerland</t>
        </is>
      </c>
      <c r="D320" t="inlineStr">
        <is>
          <t>kilogram</t>
        </is>
      </c>
      <c r="F320" t="inlineStr">
        <is>
          <t>technosphere</t>
        </is>
      </c>
      <c r="G320" t="inlineStr">
        <is>
          <t>waste bulk iron, excluding reinforcement</t>
        </is>
      </c>
    </row>
    <row r="321">
      <c r="A321" t="inlineStr">
        <is>
          <t>market for steel, chromium steel 18/8, hot rolled</t>
        </is>
      </c>
      <c r="B321" s="3">
        <f>4760/2</f>
        <v>2380</v>
      </c>
      <c r="C321" t="inlineStr">
        <is>
          <t>GLO</t>
        </is>
      </c>
      <c r="D321" t="inlineStr">
        <is>
          <t>kilogram</t>
        </is>
      </c>
      <c r="F321" t="inlineStr">
        <is>
          <t>technosphere</t>
        </is>
      </c>
      <c r="G321" t="inlineStr">
        <is>
          <t>steel, chromium steel 18/8, hot rolled</t>
        </is>
      </c>
      <c r="H321" t="inlineStr">
        <is>
          <t xml:space="preserve">The reactor vessel consists of 4760 kg of steel (assuming 50% low alloyed steel and 50% chromium steel) </t>
        </is>
      </c>
    </row>
    <row r="322">
      <c r="A322" t="inlineStr">
        <is>
          <t>market for zeolite, powder</t>
        </is>
      </c>
      <c r="B322" s="3" t="n">
        <v>26700</v>
      </c>
      <c r="C322" t="inlineStr">
        <is>
          <t>GLO</t>
        </is>
      </c>
      <c r="D322" t="inlineStr">
        <is>
          <t>kilogram</t>
        </is>
      </c>
      <c r="F322" t="inlineStr">
        <is>
          <t>technosphere</t>
        </is>
      </c>
      <c r="G322" t="inlineStr">
        <is>
          <t>zeolite, powder</t>
        </is>
      </c>
      <c r="H322" t="inlineStr">
        <is>
          <t xml:space="preserve">Over a reactor lifetime of 30 years therefore 30/4 x 440 kg = 3300 kg of catalyst and 30/4 x 1780 kg = 13350 kg of sorbent is needed. Since two identical reactors are use in parallel all numbers are doubled in the unit process representing the construction of the fixed bed reactor (see Table S18). As water sorbent zeolite (Merck) is proposed. </t>
        </is>
      </c>
    </row>
    <row r="323">
      <c r="A323" t="inlineStr">
        <is>
          <t>RWGS catalyst</t>
        </is>
      </c>
      <c r="B323" s="3" t="n">
        <v>6600</v>
      </c>
      <c r="C323" t="inlineStr">
        <is>
          <t>RER</t>
        </is>
      </c>
      <c r="D323" t="inlineStr">
        <is>
          <t>kilogram</t>
        </is>
      </c>
      <c r="F323" t="inlineStr">
        <is>
          <t>technosphere</t>
        </is>
      </c>
      <c r="G323" t="inlineStr">
        <is>
          <t>RWGS catalyst</t>
        </is>
      </c>
      <c r="H323" t="inlineStr">
        <is>
          <t>Over a reactor lifetime of 30 years therefore 30/4 x 440 kg = 3300 kg of catalyst and 30/4 x 1780 kg = 13350 kg of sorbent is needed. Since two identical reactors are use in parallel all numbers are doubled in the unit process representing the construction of the fixed bed reactor (see Table S18).</t>
        </is>
      </c>
    </row>
    <row r="324"/>
    <row r="325"/>
    <row r="326" ht="16" customHeight="1">
      <c r="A326" s="1" t="n"/>
    </row>
    <row r="327"/>
    <row r="328"/>
    <row r="329"/>
    <row r="330"/>
    <row r="331"/>
    <row r="332">
      <c r="B332" s="3" t="n"/>
    </row>
    <row r="333">
      <c r="B333" s="3" t="n"/>
    </row>
    <row r="334"/>
    <row r="335" ht="16" customHeight="1">
      <c r="A335" s="1" t="n"/>
      <c r="B335" s="2" t="n"/>
    </row>
    <row r="336"/>
    <row r="337"/>
    <row r="338"/>
    <row r="339"/>
    <row r="340"/>
    <row r="341"/>
    <row r="342" ht="16" customHeight="1">
      <c r="A342" s="1" t="n"/>
    </row>
    <row r="343"/>
    <row r="344"/>
    <row r="345" ht="16" customHeight="1">
      <c r="A345" s="4" t="n"/>
      <c r="G345" s="4" t="n"/>
    </row>
    <row r="346"/>
    <row r="347"/>
    <row r="348"/>
    <row r="349">
      <c r="B349" s="5" t="n"/>
    </row>
    <row r="350">
      <c r="B350" s="5" t="n"/>
    </row>
    <row r="351" ht="16" customHeight="1">
      <c r="A351" s="1" t="n"/>
      <c r="B351" s="2" t="n"/>
    </row>
    <row r="352"/>
    <row r="353"/>
    <row r="354"/>
    <row r="355"/>
    <row r="356"/>
    <row r="357"/>
    <row r="358" ht="16" customHeight="1">
      <c r="A358" s="1" t="n"/>
    </row>
    <row r="359"/>
    <row r="360"/>
    <row r="361" ht="16" customHeight="1">
      <c r="A361" s="4" t="n"/>
      <c r="G361" s="4" t="n"/>
    </row>
    <row r="362" ht="16" customHeight="1">
      <c r="A362" s="4" t="n"/>
      <c r="G362" s="4" t="n"/>
    </row>
    <row r="363"/>
    <row r="364"/>
    <row r="365" ht="16" customHeight="1">
      <c r="A365" s="1" t="n"/>
      <c r="B365" s="2" t="n"/>
    </row>
    <row r="366"/>
    <row r="367"/>
    <row r="368"/>
    <row r="369"/>
    <row r="370"/>
    <row r="371"/>
    <row r="372" ht="16" customHeight="1">
      <c r="A372" s="1" t="n"/>
    </row>
    <row r="373"/>
    <row r="374"/>
    <row r="375"/>
    <row r="376"/>
    <row r="377"/>
    <row r="378">
      <c r="B378" s="3" t="n"/>
    </row>
    <row r="379">
      <c r="B379" s="3" t="n"/>
    </row>
    <row r="380"/>
    <row r="381" ht="16" customHeight="1">
      <c r="A381" s="1" t="n"/>
      <c r="B381" s="2" t="n"/>
    </row>
    <row r="382"/>
    <row r="383"/>
    <row r="384"/>
    <row r="385"/>
    <row r="386"/>
    <row r="387"/>
    <row r="388" ht="16" customHeight="1">
      <c r="A388" s="1" t="n"/>
    </row>
    <row r="389"/>
    <row r="390"/>
    <row r="391" ht="16" customHeight="1">
      <c r="A391" s="4" t="n"/>
      <c r="G391" s="4" t="n"/>
    </row>
    <row r="392"/>
    <row r="393"/>
    <row r="394"/>
    <row r="395">
      <c r="B395" s="5" t="n"/>
    </row>
    <row r="396">
      <c r="B396" s="5" t="n"/>
    </row>
    <row r="397" ht="16" customHeight="1">
      <c r="A397" s="1" t="n"/>
      <c r="B397" s="2" t="n"/>
    </row>
    <row r="398"/>
    <row r="399"/>
    <row r="400"/>
    <row r="401"/>
    <row r="402"/>
    <row r="403"/>
    <row r="404" ht="16" customHeight="1">
      <c r="A404" s="1" t="n"/>
    </row>
    <row r="405"/>
    <row r="406"/>
    <row r="407" ht="16" customHeight="1">
      <c r="A407" s="4" t="n"/>
      <c r="G407" s="4" t="n"/>
    </row>
    <row r="408" ht="16" customHeight="1">
      <c r="A408" s="4" t="n"/>
      <c r="G408" s="4" t="n"/>
    </row>
    <row r="409"/>
    <row r="410"/>
    <row r="411" ht="16" customHeight="1">
      <c r="A411" s="1" t="n"/>
      <c r="B411" s="2" t="n"/>
    </row>
    <row r="412"/>
    <row r="413"/>
    <row r="414"/>
    <row r="415"/>
    <row r="416"/>
    <row r="417"/>
    <row r="418" ht="16" customHeight="1">
      <c r="A418" s="1" t="n"/>
    </row>
    <row r="419"/>
    <row r="420"/>
    <row r="421"/>
    <row r="422"/>
    <row r="423"/>
    <row r="424">
      <c r="B424" s="3" t="n"/>
    </row>
    <row r="425">
      <c r="B425" s="3" t="n"/>
    </row>
    <row r="426"/>
    <row r="427" ht="16" customHeight="1">
      <c r="A427" s="1" t="n"/>
      <c r="B427" s="2" t="n"/>
    </row>
    <row r="428"/>
    <row r="429"/>
    <row r="430"/>
    <row r="431"/>
    <row r="432"/>
    <row r="433"/>
    <row r="434" ht="16" customHeight="1">
      <c r="A434" s="1" t="n"/>
    </row>
    <row r="435"/>
    <row r="436"/>
    <row r="437" ht="16" customHeight="1">
      <c r="A437" s="4" t="n"/>
      <c r="G437" s="4" t="n"/>
    </row>
    <row r="438"/>
    <row r="439"/>
    <row r="440"/>
    <row r="441">
      <c r="B441" s="5" t="n"/>
    </row>
    <row r="442">
      <c r="B442" s="5" t="n"/>
    </row>
    <row r="443" ht="16" customHeight="1">
      <c r="A443" s="1" t="n"/>
      <c r="B443" s="2" t="n"/>
    </row>
    <row r="444"/>
    <row r="445"/>
    <row r="446"/>
    <row r="447"/>
    <row r="448"/>
    <row r="449"/>
    <row r="450" ht="16" customHeight="1">
      <c r="A450" s="1" t="n"/>
    </row>
    <row r="451"/>
    <row r="452"/>
    <row r="453" ht="16" customHeight="1">
      <c r="A453" s="4" t="n"/>
      <c r="G453" s="4" t="n"/>
    </row>
    <row r="454" ht="16" customHeight="1">
      <c r="A454" s="4" t="n"/>
      <c r="G454" s="4" t="n"/>
    </row>
    <row r="455"/>
    <row r="456"/>
    <row r="457" ht="16" customHeight="1">
      <c r="A457" s="1" t="n"/>
      <c r="B457" s="2" t="n"/>
    </row>
    <row r="458"/>
    <row r="459"/>
    <row r="460"/>
    <row r="461"/>
    <row r="462"/>
    <row r="463"/>
    <row r="464" ht="16" customHeight="1">
      <c r="A464" s="1" t="n"/>
    </row>
    <row r="465"/>
    <row r="466"/>
    <row r="467"/>
    <row r="468"/>
    <row r="469"/>
    <row r="470">
      <c r="B470" s="3" t="n"/>
    </row>
    <row r="471">
      <c r="B471" s="3" t="n"/>
    </row>
    <row r="472"/>
    <row r="473" ht="16" customHeight="1">
      <c r="A473" s="1" t="n"/>
      <c r="B473" s="2" t="n"/>
    </row>
    <row r="474"/>
    <row r="475"/>
    <row r="476"/>
    <row r="477"/>
    <row r="478"/>
    <row r="479"/>
    <row r="480" ht="16" customHeight="1">
      <c r="A480" s="1" t="n"/>
    </row>
    <row r="481"/>
    <row r="482"/>
    <row r="483" ht="16" customHeight="1">
      <c r="A483" s="4" t="n"/>
      <c r="G483" s="4" t="n"/>
    </row>
    <row r="484"/>
    <row r="485"/>
    <row r="486"/>
    <row r="487">
      <c r="B487" s="5" t="n"/>
    </row>
    <row r="488">
      <c r="B488" s="5" t="n"/>
    </row>
    <row r="489" ht="16" customHeight="1">
      <c r="A489" s="1" t="n"/>
      <c r="B489" s="2" t="n"/>
    </row>
    <row r="490"/>
    <row r="491"/>
    <row r="492"/>
    <row r="493"/>
    <row r="494"/>
    <row r="495"/>
    <row r="496" ht="16" customHeight="1">
      <c r="A496" s="1" t="n"/>
    </row>
    <row r="497"/>
    <row r="498"/>
    <row r="499" ht="16" customHeight="1">
      <c r="A499" s="4" t="n"/>
      <c r="G499" s="4" t="n"/>
    </row>
    <row r="500" ht="16" customHeight="1">
      <c r="A500" s="4" t="n"/>
      <c r="G500" s="4" t="n"/>
    </row>
    <row r="501"/>
    <row r="502"/>
    <row r="503" ht="16" customHeight="1">
      <c r="A503" s="1" t="n"/>
      <c r="B503" s="2" t="n"/>
    </row>
    <row r="504"/>
    <row r="505"/>
    <row r="506"/>
    <row r="507"/>
    <row r="508"/>
    <row r="509"/>
    <row r="510" ht="16" customHeight="1">
      <c r="A510" s="1" t="n"/>
    </row>
    <row r="511"/>
    <row r="512"/>
    <row r="513"/>
    <row r="514"/>
    <row r="515"/>
    <row r="516">
      <c r="B516" s="3" t="n"/>
    </row>
    <row r="517">
      <c r="B517" s="3" t="n"/>
    </row>
    <row r="518"/>
    <row r="519" ht="16" customHeight="1">
      <c r="A519" s="1" t="n"/>
      <c r="B519" s="2" t="n"/>
    </row>
    <row r="520"/>
    <row r="521"/>
    <row r="522"/>
    <row r="523"/>
    <row r="524"/>
    <row r="525"/>
    <row r="526" ht="16" customHeight="1">
      <c r="A526" s="1" t="n"/>
    </row>
    <row r="527"/>
    <row r="528"/>
    <row r="529" ht="16" customHeight="1">
      <c r="A529" s="4" t="n"/>
      <c r="G529" s="4" t="n"/>
    </row>
    <row r="530"/>
    <row r="531"/>
    <row r="532"/>
    <row r="533">
      <c r="B533" s="5" t="n"/>
    </row>
    <row r="534"/>
    <row r="535" ht="16" customHeight="1">
      <c r="A535" s="1" t="n"/>
      <c r="B535" s="2" t="n"/>
    </row>
    <row r="536"/>
    <row r="537"/>
    <row r="538"/>
    <row r="539"/>
    <row r="540"/>
    <row r="541"/>
    <row r="542" ht="16" customHeight="1">
      <c r="A542" s="1" t="n"/>
    </row>
    <row r="543"/>
    <row r="544"/>
    <row r="545" ht="16" customHeight="1">
      <c r="A545" s="4" t="n"/>
      <c r="G545" s="4" t="n"/>
    </row>
    <row r="546" ht="16" customHeight="1">
      <c r="A546" s="4" t="n"/>
      <c r="G546" s="4" t="n"/>
    </row>
    <row r="547"/>
    <row r="548" ht="16" customHeight="1">
      <c r="A548" s="1" t="n"/>
      <c r="B548" s="2" t="n"/>
    </row>
    <row r="549"/>
    <row r="550"/>
    <row r="551"/>
    <row r="552"/>
    <row r="553"/>
    <row r="554"/>
    <row r="555" ht="16" customHeight="1">
      <c r="A555" s="1" t="n"/>
    </row>
    <row r="556"/>
    <row r="557"/>
    <row r="558"/>
    <row r="559"/>
    <row r="560"/>
    <row r="561">
      <c r="B561" s="3" t="n"/>
    </row>
    <row r="562">
      <c r="B562" s="3" t="n"/>
    </row>
    <row r="563"/>
    <row r="564" ht="16" customHeight="1">
      <c r="A564" s="1" t="n"/>
      <c r="B564" s="2" t="n"/>
    </row>
    <row r="565"/>
    <row r="566"/>
    <row r="567"/>
    <row r="568"/>
    <row r="569"/>
    <row r="570"/>
    <row r="571" ht="16" customHeight="1">
      <c r="A571" s="1" t="n"/>
    </row>
    <row r="572"/>
    <row r="573"/>
    <row r="574" ht="16" customHeight="1">
      <c r="A574" s="4" t="n"/>
      <c r="G574" s="4" t="n"/>
    </row>
    <row r="575"/>
    <row r="576"/>
    <row r="577"/>
    <row r="578">
      <c r="B578" s="5" t="n"/>
    </row>
    <row r="579">
      <c r="B579" s="5" t="n"/>
    </row>
    <row r="580" ht="16" customHeight="1">
      <c r="A580" s="1" t="n"/>
      <c r="B580" s="2" t="n"/>
    </row>
    <row r="581"/>
    <row r="582"/>
    <row r="583"/>
    <row r="584"/>
    <row r="585"/>
    <row r="586"/>
    <row r="587" ht="16" customHeight="1">
      <c r="A587" s="1" t="n"/>
    </row>
    <row r="588"/>
    <row r="589"/>
    <row r="590" ht="16" customHeight="1">
      <c r="A590" s="4" t="n"/>
      <c r="G590" s="4" t="n"/>
    </row>
    <row r="591" ht="16" customHeight="1">
      <c r="A591" s="4" t="n"/>
      <c r="G591" s="4" t="n"/>
    </row>
    <row r="592"/>
    <row r="593"/>
    <row r="594" ht="16" customHeight="1">
      <c r="A594" s="1" t="n"/>
      <c r="B594" s="2" t="n"/>
    </row>
    <row r="595"/>
    <row r="596"/>
    <row r="597"/>
    <row r="598"/>
    <row r="599"/>
    <row r="600"/>
    <row r="601" ht="16" customHeight="1">
      <c r="A601" s="1" t="n"/>
    </row>
    <row r="602"/>
    <row r="603"/>
    <row r="604"/>
    <row r="605"/>
    <row r="606"/>
    <row r="607">
      <c r="B607" s="3" t="n"/>
    </row>
    <row r="608">
      <c r="B608" s="3" t="n"/>
    </row>
    <row r="609"/>
    <row r="610" ht="16" customHeight="1">
      <c r="A610" s="1" t="n"/>
      <c r="B610" s="2" t="n"/>
    </row>
    <row r="611"/>
    <row r="612"/>
    <row r="613"/>
    <row r="614"/>
    <row r="615"/>
    <row r="616"/>
    <row r="617" ht="16" customHeight="1">
      <c r="A617" s="1" t="n"/>
    </row>
    <row r="618"/>
    <row r="619"/>
    <row r="620" ht="16" customHeight="1">
      <c r="A620" s="4" t="n"/>
      <c r="G620" s="4" t="n"/>
    </row>
    <row r="621"/>
    <row r="622"/>
    <row r="623"/>
    <row r="624">
      <c r="B624" s="5" t="n"/>
    </row>
    <row r="625"/>
    <row r="626" ht="16" customHeight="1">
      <c r="A626" s="1" t="n"/>
      <c r="B626" s="2" t="n"/>
    </row>
    <row r="627"/>
    <row r="628"/>
    <row r="629"/>
    <row r="630"/>
    <row r="631"/>
    <row r="632"/>
    <row r="633" ht="16" customHeight="1">
      <c r="A633" s="1" t="n"/>
    </row>
    <row r="634"/>
    <row r="635"/>
    <row r="636" ht="16" customHeight="1">
      <c r="A636" s="4" t="n"/>
      <c r="G636" s="4" t="n"/>
    </row>
    <row r="637" ht="16" customHeight="1">
      <c r="A637" s="4" t="n"/>
      <c r="G637" s="4" t="n"/>
    </row>
    <row r="638"/>
    <row r="639" ht="16" customHeight="1">
      <c r="A639" s="1" t="n"/>
      <c r="B639" s="2" t="n"/>
    </row>
    <row r="640"/>
    <row r="641"/>
    <row r="642"/>
    <row r="643"/>
    <row r="644"/>
    <row r="645" ht="16" customHeight="1">
      <c r="A645" s="1" t="n"/>
    </row>
    <row r="646"/>
    <row r="647"/>
    <row r="648"/>
    <row r="649"/>
    <row r="650" ht="16" customHeight="1">
      <c r="A650" s="1" t="n"/>
      <c r="B650" s="2" t="n"/>
    </row>
    <row r="651"/>
    <row r="652"/>
    <row r="653"/>
    <row r="654"/>
    <row r="655"/>
    <row r="656" ht="16" customHeight="1">
      <c r="A656" s="1" t="n"/>
    </row>
  </sheetData>
  <autoFilter ref="A1:K656"/>
  <pageMargins left="0.7" right="0.7" top="0.75" bottom="0.75" header="0.3" footer="0.3"/>
  <pageSetup orientation="portrait"/>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Romain Sacchi</dc:creator>
  <dcterms:created xmlns:dcterms="http://purl.org/dc/terms/" xmlns:xsi="http://www.w3.org/2001/XMLSchema-instance" xsi:type="dcterms:W3CDTF">2020-03-25T12:54:37Z</dcterms:created>
  <dcterms:modified xmlns:dcterms="http://purl.org/dc/terms/" xmlns:xsi="http://www.w3.org/2001/XMLSchema-instance" xsi:type="dcterms:W3CDTF">2026-07-07T14:16:35Z</dcterms:modified>
  <cp:lastModifiedBy>Romain Sacchi</cp:lastModifiedBy>
</cp:coreProperties>
</file>