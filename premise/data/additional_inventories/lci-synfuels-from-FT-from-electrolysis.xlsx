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402"/>
  <workbookPr defaultThemeVersion="166925"/>
  <mc:AlternateContent xmlns:mc="http://schemas.openxmlformats.org/markup-compatibility/2006">
    <mc:Choice Requires="x15">
      <x15ac:absPath xmlns:x15ac="http://schemas.microsoft.com/office/spreadsheetml/2010/11/ac" url="/Users/romain/GitHub/premise/premise/data/additional_inventories/"/>
    </mc:Choice>
  </mc:AlternateContent>
  <xr:revisionPtr revIDLastSave="0" documentId="13_ncr:1_{AC7C2ABE-59DC-0E42-AB18-37944BE9FFA5}" xr6:coauthVersionLast="47" xr6:coauthVersionMax="47" xr10:uidLastSave="{00000000-0000-0000-0000-000000000000}"/>
  <bookViews>
    <workbookView xWindow="0" yWindow="760" windowWidth="30240" windowHeight="18880" activeTab="1" xr2:uid="{00000000-000D-0000-FFFF-FFFF00000000}"/>
  </bookViews>
  <sheets>
    <sheet name="FT Process description" sheetId="2" r:id="rId1"/>
    <sheet name="FT fuel - Diesel" sheetId="1" r:id="rId2"/>
  </sheets>
  <definedNames>
    <definedName name="_xlnm._FilterDatabase" localSheetId="1" hidden="1">'FT fuel - Diesel'!$A$1:$K$656</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0" i="2" l="1"/>
  <c r="B233" i="1" l="1"/>
  <c r="B230" i="1"/>
  <c r="B229" i="1"/>
  <c r="G227" i="1"/>
  <c r="A227" i="1"/>
  <c r="J20" i="2"/>
  <c r="I20" i="2"/>
  <c r="I21" i="2"/>
  <c r="I22" i="2"/>
  <c r="I19" i="2"/>
  <c r="C17" i="2"/>
  <c r="F17" i="2" s="1"/>
  <c r="E19" i="2"/>
  <c r="F22" i="2"/>
  <c r="F21" i="2"/>
  <c r="F20" i="2"/>
  <c r="F19" i="2"/>
  <c r="E20" i="2"/>
  <c r="E21" i="2"/>
  <c r="E22" i="2"/>
  <c r="D17" i="2"/>
  <c r="D22" i="2"/>
  <c r="D21" i="2"/>
  <c r="D20" i="2"/>
  <c r="D19" i="2"/>
  <c r="I17" i="2"/>
  <c r="B107" i="1"/>
  <c r="B125" i="1"/>
  <c r="B143" i="1"/>
  <c r="B161" i="1"/>
  <c r="B179" i="1"/>
  <c r="B197" i="1"/>
  <c r="B215" i="1"/>
  <c r="B104" i="1"/>
  <c r="B103" i="1"/>
  <c r="B122" i="1"/>
  <c r="B121" i="1"/>
  <c r="B140" i="1"/>
  <c r="B139" i="1"/>
  <c r="B158" i="1"/>
  <c r="B157" i="1"/>
  <c r="B176" i="1"/>
  <c r="B175" i="1"/>
  <c r="B194" i="1"/>
  <c r="B193" i="1"/>
  <c r="B212" i="1"/>
  <c r="B211" i="1"/>
  <c r="G20" i="2" l="1"/>
  <c r="H20" i="2" s="1"/>
  <c r="G21" i="2"/>
  <c r="H21" i="2" s="1"/>
  <c r="K21" i="2" s="1"/>
  <c r="G22" i="2"/>
  <c r="G19" i="2"/>
  <c r="H19" i="2" s="1"/>
  <c r="H22" i="2"/>
  <c r="D24" i="2"/>
  <c r="D36" i="2"/>
  <c r="L34" i="2"/>
  <c r="E34" i="2"/>
  <c r="G34" i="2" s="1"/>
  <c r="E33" i="2"/>
  <c r="G33" i="2" s="1"/>
  <c r="E32" i="2"/>
  <c r="G32" i="2" s="1"/>
  <c r="L31" i="2"/>
  <c r="E31" i="2"/>
  <c r="G31" i="2" s="1"/>
  <c r="E29" i="2"/>
  <c r="D13" i="2"/>
  <c r="J11" i="2"/>
  <c r="F11" i="2"/>
  <c r="E11" i="2"/>
  <c r="G11" i="2" s="1"/>
  <c r="H11" i="2" s="1"/>
  <c r="F10" i="2"/>
  <c r="E10" i="2"/>
  <c r="G10" i="2" s="1"/>
  <c r="H10" i="2" s="1"/>
  <c r="F9" i="2"/>
  <c r="E9" i="2"/>
  <c r="G9" i="2" s="1"/>
  <c r="H9" i="2" s="1"/>
  <c r="I9" i="2" s="1"/>
  <c r="K9" i="2" s="1"/>
  <c r="J8" i="2"/>
  <c r="F8" i="2"/>
  <c r="E8" i="2"/>
  <c r="G8" i="2" s="1"/>
  <c r="H8" i="2" s="1"/>
  <c r="I8" i="2" s="1"/>
  <c r="I6" i="2"/>
  <c r="F6" i="2"/>
  <c r="H31" i="2" l="1"/>
  <c r="I31" i="2" s="1"/>
  <c r="J31" i="2" s="1"/>
  <c r="K31" i="2" s="1"/>
  <c r="M31" i="2" s="1"/>
  <c r="I11" i="2"/>
  <c r="H33" i="2"/>
  <c r="I33" i="2" s="1"/>
  <c r="J33" i="2" s="1"/>
  <c r="K33" i="2" s="1"/>
  <c r="M33" i="2" s="1"/>
  <c r="K11" i="2"/>
  <c r="K8" i="2"/>
  <c r="H32" i="2"/>
  <c r="I32" i="2" s="1"/>
  <c r="J32" i="2" s="1"/>
  <c r="K32" i="2" s="1"/>
  <c r="M32" i="2" s="1"/>
  <c r="H34" i="2"/>
  <c r="I34" i="2" s="1"/>
  <c r="J34" i="2" s="1"/>
  <c r="K34" i="2" s="1"/>
  <c r="M34" i="2"/>
  <c r="I10" i="2"/>
  <c r="K10" i="2" s="1"/>
  <c r="B23" i="1" l="1"/>
  <c r="B45" i="1"/>
  <c r="B67" i="1"/>
  <c r="B89" i="1"/>
  <c r="B321" i="1" l="1"/>
  <c r="B319" i="1"/>
</calcChain>
</file>

<file path=xl/sharedStrings.xml><?xml version="1.0" encoding="utf-8"?>
<sst xmlns="http://schemas.openxmlformats.org/spreadsheetml/2006/main" count="1187" uniqueCount="165">
  <si>
    <t>Activity</t>
  </si>
  <si>
    <t>production amount</t>
  </si>
  <si>
    <t>reference product</t>
  </si>
  <si>
    <t>type</t>
  </si>
  <si>
    <t>process</t>
  </si>
  <si>
    <t>unit</t>
  </si>
  <si>
    <t>kilogram</t>
  </si>
  <si>
    <t>location</t>
  </si>
  <si>
    <t>RER</t>
  </si>
  <si>
    <t>comment</t>
  </si>
  <si>
    <t>Exchanges</t>
  </si>
  <si>
    <t>name</t>
  </si>
  <si>
    <t>amount</t>
  </si>
  <si>
    <t>categories</t>
  </si>
  <si>
    <t>database</t>
  </si>
  <si>
    <t>production</t>
  </si>
  <si>
    <t>From PEM electrolysis</t>
  </si>
  <si>
    <t>technosphere</t>
  </si>
  <si>
    <t>megajoule</t>
  </si>
  <si>
    <t>air</t>
  </si>
  <si>
    <t>biosphere</t>
  </si>
  <si>
    <t>biosphere3</t>
  </si>
  <si>
    <t>cubic meter</t>
  </si>
  <si>
    <t>market group for electricity, low voltage</t>
  </si>
  <si>
    <t>kilowatt hour</t>
  </si>
  <si>
    <t>electricity, low voltage</t>
  </si>
  <si>
    <t>RWGS tank construction</t>
  </si>
  <si>
    <t>GLO</t>
  </si>
  <si>
    <t>market for steel, chromium steel 18/8</t>
  </si>
  <si>
    <t>steel, chromium steel 18/8</t>
  </si>
  <si>
    <t>Adapted from van der Giesen et al. 2014. Density of syngas: 0.470kg/m3 @1 bar. LHV: 23.9 MJ/kg.</t>
  </si>
  <si>
    <t>Carbon monoxide, from RWGS</t>
  </si>
  <si>
    <t>Diesel, synthetic</t>
  </si>
  <si>
    <t>Lubricating oil, synthetic</t>
  </si>
  <si>
    <t>source</t>
  </si>
  <si>
    <t>Energy and Climate Impacts of Producing Synthetic Hydrocarbon Fuels from CO2, Coen van der Giesen, René Kleijn, and Gert Jan Kramer, Environmental Science &amp; Technology 2014 48 (12), 7111-7121, DOI: 10.1021/es500191g</t>
  </si>
  <si>
    <t>Car db</t>
  </si>
  <si>
    <t>Gas-to-liquid plant construction</t>
  </si>
  <si>
    <t>Gas-to-liquid plant</t>
  </si>
  <si>
    <t>Kerosene, synthetic</t>
  </si>
  <si>
    <t>Adapted from van der Giesen et al. 2014. LHV: 45 MJ/kg, Formula: C13H18, Density: 7551 kg/m3. Economic allocation between 3 other co-products. Allocation key for this co-product: 6%.</t>
  </si>
  <si>
    <t>Naphtha, synthetic</t>
  </si>
  <si>
    <t>Adapted from van der Giesen et al. 2014. LHV: 44.5 MJ/kg, Formula: C13H18, Density: 7551 kg/m3. Economic allocation between 3 other co-products. Allocation key for this co-product: 7%.</t>
  </si>
  <si>
    <t>Adapted from van der Giesen et al. 2014. LHV: 43.3 MJ/kg, Formula: C13H18, Density: 7551 kg/m3. Economic allocation between 3 other co-products. Allocation key for this co-product: 16%.</t>
  </si>
  <si>
    <t>Adapted from van der Giesen et al. 2014. LHV: 40.2 MJ/kg, Formula: C13H18, Density: 7551 kg/m3. Energy-based allocation between 3 other co-products. Allocation key for this co-product: 21%.</t>
  </si>
  <si>
    <t>Adapted from van der Giesen et al. 2014. LHV: 45 MJ/kg, Formula: C13H18, Density: 7551 kg/m3. Energy-based allocation between 3 other co-products. Allocation key for this co-product: 18%.</t>
  </si>
  <si>
    <t>Adapted from van der Giesen et al. 2014. LHV: 44.5 MJ/kg, Formula: C13H18, Density: 7551 kg/m3. Energy-based allocation between 3 other co-products. Allocation key for this co-product: 24%.</t>
  </si>
  <si>
    <t>Adapted from van der Giesen et al. 2014. LHV: 43.3 MJ/kg, Formula: C13H18, Density: 7551 kg/m3. Energy-based allocation between 3 other co-products. Allocation key for this co-product: 37%. Post corrected to preserve carbon balance.</t>
  </si>
  <si>
    <t>Fixed bed reactor for RWGS</t>
  </si>
  <si>
    <t>Fixed bed reactor</t>
  </si>
  <si>
    <t>Represents an input of 1.120.000 m2 of land, 14.400 ton of steel in an assumed equal division of reinforcing and low alloyed steel, 345.000 m3 of concrete.</t>
  </si>
  <si>
    <t>market for concrete, sole plate and foundation</t>
  </si>
  <si>
    <t>CH</t>
  </si>
  <si>
    <t>concrete, sole plate and foundation</t>
  </si>
  <si>
    <t>market for reinforcing steel</t>
  </si>
  <si>
    <t>reinforcing steel</t>
  </si>
  <si>
    <t>treatment of waste reinforced concrete, collection for final disposal</t>
  </si>
  <si>
    <t>Europe without Switzerland</t>
  </si>
  <si>
    <t>waste reinforced concrete</t>
  </si>
  <si>
    <t>treatment of waste bulk iron, excluding reinforcement, sorting plant</t>
  </si>
  <si>
    <t>waste bulk iron, excluding reinforcement</t>
  </si>
  <si>
    <t>Occupation, industrial area</t>
  </si>
  <si>
    <t>square meter-year</t>
  </si>
  <si>
    <t>natural resource::land</t>
  </si>
  <si>
    <t>RWGS catalyst</t>
  </si>
  <si>
    <t>As RWGS catalyst Südchemie Shiftmax 240 is proposed. This catalyst consists of 57% CuO, 31% ZnO and 11% Al2O3.</t>
  </si>
  <si>
    <t>market for copper oxide</t>
  </si>
  <si>
    <t>copper oxide</t>
  </si>
  <si>
    <t>market for aluminium oxide, metallurgical</t>
  </si>
  <si>
    <t>IAI Area, EU27 &amp; EFTA</t>
  </si>
  <si>
    <t>aluminium oxide, metallurgical</t>
  </si>
  <si>
    <t>market for zinc oxide</t>
  </si>
  <si>
    <t>zinc oxide</t>
  </si>
  <si>
    <t>The reactor vessel consists of 4760 kg of steel (assuming 50% low alloyed steel and 50% chromium steel) and is filled with a mixture of 440 kg of RWGS catalyst and 1780 kg of sorbent, which need to be renewed every 4 years.14 Over a reactor lifetime of 30 years therefore 30/4 x 440 kg = 3300 kg of catalyst and 30/4 x 1780 kg = 13350 kg of sorbent is needed. Since two identical reactors are use in parallel all numbers are doubled in the unit process representing the construction of the fixed bed
reactor.</t>
  </si>
  <si>
    <t>market for steel, low-alloyed</t>
  </si>
  <si>
    <t>steel, low-alloyed</t>
  </si>
  <si>
    <t>market for steel, chromium steel 18/8, hot rolled</t>
  </si>
  <si>
    <t>steel, chromium steel 18/8, hot rolled</t>
  </si>
  <si>
    <t>market for zeolite, powder</t>
  </si>
  <si>
    <t>zeolite, powder</t>
  </si>
  <si>
    <t>uncertainty type</t>
  </si>
  <si>
    <t>loc</t>
  </si>
  <si>
    <t>allocation</t>
  </si>
  <si>
    <t/>
  </si>
  <si>
    <t>market for fly ash and scrubber sludge</t>
  </si>
  <si>
    <t>fly ash and scrubber sludge</t>
  </si>
  <si>
    <t>market for heat, central or small-scale, other than natural gas</t>
  </si>
  <si>
    <t>heat, central or small-scale, other than natural gas</t>
  </si>
  <si>
    <t>infrastructure construction, for regional distribution of oil product</t>
  </si>
  <si>
    <t>infrastructure, for regional distribution of oil product</t>
  </si>
  <si>
    <t>market for municipal solid waste</t>
  </si>
  <si>
    <t>municipal solid waste</t>
  </si>
  <si>
    <t>market for rainwater mineral oil storage</t>
  </si>
  <si>
    <t>rainwater mineral oil storage</t>
  </si>
  <si>
    <t>market for tap water</t>
  </si>
  <si>
    <t>tap water</t>
  </si>
  <si>
    <t>market for transport, freight train</t>
  </si>
  <si>
    <t>ton kilometer</t>
  </si>
  <si>
    <t>transport, freight train</t>
  </si>
  <si>
    <t>market for transport, freight, lorry, unspecified</t>
  </si>
  <si>
    <t>transport, freight, lorry, unspecified</t>
  </si>
  <si>
    <t>wastewater, average</t>
  </si>
  <si>
    <t>diesel, synthetic, vehicle grade</t>
  </si>
  <si>
    <t>treatment of wastewater, average, capacity 1E9l/year</t>
  </si>
  <si>
    <t>synfuel from electrolysis</t>
  </si>
  <si>
    <t>kerosene, synthetic</t>
  </si>
  <si>
    <t>Kerosene production, synthetic, Fischer Tropsch process, hydrogen from electrolysis, economic allocation</t>
  </si>
  <si>
    <t>Diesel production, synthetic, Fischer Tropsch process, hydrogen from electrolysis, economic allocation</t>
  </si>
  <si>
    <t>Kerosene production, synthetic, Fischer Tropsch process, hydrogen from electrolysis, energy allocation</t>
  </si>
  <si>
    <t>Diesel production, synthetic, Fischer Tropsch process, hydrogen from electrolysis, energy allocation</t>
  </si>
  <si>
    <t>Naphtha production, synthetic, Fischer Tropsch process, hydrogen from electrolysis, economic allocation</t>
  </si>
  <si>
    <t>Lubricating oil production, synthetic, Fischer Tropsch process, hydrogen from electrolysis, energy allocation</t>
  </si>
  <si>
    <t>Naphtha production, synthetic, Fischer Tropsch process, hydrogen from electrolysis, energy allocation</t>
  </si>
  <si>
    <t>Carbon monoxide, from RWGS, for Fischer Tropsch process, hydrogen from electrolysis</t>
  </si>
  <si>
    <t>Syngas, RWGS, Production, for Fischer Tropsch process, hydrogen from electrolysis</t>
  </si>
  <si>
    <t>kerosene production, synthetic, from Fischer Tropsch process, hydrogen from electrolysis, economic allocation, at fuelling station</t>
  </si>
  <si>
    <t>diesel production, synthetic, from Fischer Tropsch process, hydrogen from electrolysis, economic allocation, at fuelling station</t>
  </si>
  <si>
    <t>kerosene production, synthetic, from Fischer Tropsch process, hydrogen from electrolysis, energy allocation, at fuelling station</t>
  </si>
  <si>
    <t>diesel production, synthetic, from Fischer Tropsch process, hydrogen from electrolysis, energy allocation, at fuelling station</t>
  </si>
  <si>
    <t xml:space="preserve">The reactor vessel consists of 4760 kg of steel (assuming 50% low alloyed steel and 50% chromium steel) </t>
  </si>
  <si>
    <t xml:space="preserve">Over a reactor lifetime of 30 years therefore 30/4 x 440 kg = 3300 kg of catalyst and 30/4 x 1780 kg = 13350 kg of sorbent is needed. Since two identical reactors are use in parallel all numbers are doubled in the unit process representing the construction of the fixed bed reactor (see Table S18). As water sorbent zeolite (Merck) is proposed. </t>
  </si>
  <si>
    <t>Over a reactor lifetime of 30 years therefore 30/4 x 440 kg = 3300 kg of catalyst and 30/4 x 1780 kg = 13350 kg of sorbent is needed. Since two identical reactors are use in parallel all numbers are doubled in the unit process representing the construction of the fixed bed reactor (see Table S18).</t>
  </si>
  <si>
    <t>Carbon dioxide, non-fossil</t>
  </si>
  <si>
    <t>natural resource::in air</t>
  </si>
  <si>
    <t>Carbon dioxide, in air</t>
  </si>
  <si>
    <t>skip</t>
  </si>
  <si>
    <t>Energy-based allocation</t>
  </si>
  <si>
    <t>LHV [MJ/kg]</t>
  </si>
  <si>
    <t>Energy produced [GJ]</t>
  </si>
  <si>
    <t>Energy produced [%]</t>
  </si>
  <si>
    <t>Mass [kg]</t>
  </si>
  <si>
    <t>Mass syngas, allocated [kg]</t>
  </si>
  <si>
    <t>Mass syngas, allocated [kg/kg]</t>
  </si>
  <si>
    <t>Embedded CO2 from syngas [kg/kg]</t>
  </si>
  <si>
    <t>CO2 content [kg/kg]</t>
  </si>
  <si>
    <t>Carbon correction [kg/kg]</t>
  </si>
  <si>
    <t>Syngas</t>
  </si>
  <si>
    <t>Naphtha</t>
  </si>
  <si>
    <t>Kerosene</t>
  </si>
  <si>
    <t>Diesel</t>
  </si>
  <si>
    <t>Lubricating oil</t>
  </si>
  <si>
    <t>Loss</t>
  </si>
  <si>
    <t>Economic allocation</t>
  </si>
  <si>
    <t>Unitary price [Euro_2005/kg]</t>
  </si>
  <si>
    <t>Turnover [Euro_2005]</t>
  </si>
  <si>
    <t>Revenue produced [%]</t>
  </si>
  <si>
    <t>Heat, waste</t>
  </si>
  <si>
    <t>Water</t>
  </si>
  <si>
    <t>water</t>
  </si>
  <si>
    <t>ecoinvent</t>
  </si>
  <si>
    <t>hydrogen production, gaseous, 30 bar, from PEM electrolysis, from grid electricity</t>
  </si>
  <si>
    <t>hydrogen, gaseous, 30 bar</t>
  </si>
  <si>
    <t>Energy-based allocation (alternative including LPG and C5-C10 olefins from REDIFUEL project https://doi.org/10.1016/j.apenergy.2023.120834)</t>
  </si>
  <si>
    <t>C5-C10 olefins</t>
  </si>
  <si>
    <t>LPG</t>
  </si>
  <si>
    <t>Wax</t>
  </si>
  <si>
    <t>HHV [MJ/kg]</t>
  </si>
  <si>
    <t>Energy produced [MJ]</t>
  </si>
  <si>
    <t>na</t>
  </si>
  <si>
    <t>liquefied petroleum gas production, synthetic, Fischer Tropsch process, hydrogen from electrolysis, energy allocation</t>
  </si>
  <si>
    <t>liquefied petroleum gas, synthetic</t>
  </si>
  <si>
    <t>Adapted from A.E.M. van den Oever, D. Costa, M. Messagie, Prospective life cycle assessment of alternatively fueled heavy-duty trucks, Applied Energy, 2023, https://doi.org/10.1016/j.apenergy.2023.120834. Energy-based allocation between 3 other co-products (diesel, wax and C5-C10 olefins). Allocation key for this co-product: 11%. Post corrected to preserve carbon balance.</t>
  </si>
  <si>
    <t xml:space="preserve"> A.E.M. van den Oever, D. Costa, M. Messagie, Prospective life cycle assessment of alternatively fueled heavy-duty trucks, Applied Energy, 2023, https://doi.org/10.1016/j.apenergy.2023.120834</t>
  </si>
  <si>
    <t>carbon dioxide, captured, with a solvent-based direct air capture system, 1MtCO2</t>
  </si>
  <si>
    <t>carbon dioxide, captured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</si>
</sst>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 #,##0.00_ ;_ * \-#,##0.00_ ;_ * &quot;-&quot;??_ ;_ @_ "/>
    <numFmt numFmtId="164" formatCode="0.000"/>
    <numFmt numFmtId="165" formatCode="_ * #,##0_ ;_ * \-#,##0_ ;_ * &quot;-&quot;??_ ;_ @_ "/>
    <numFmt numFmtId="166" formatCode="_ [$€-2]\ * #,##0.00_ ;_ [$€-2]\ * \-#,##0.00_ ;_ [$€-2]\ * &quot;-&quot;??_ ;_ @_ "/>
    <numFmt numFmtId="167" formatCode="0.0"/>
  </numFmts>
  <fonts count="9" x14ac:knownFonts="1">
    <font>
      <sz val="11"/>
      <color theme="1"/>
      <name val="Calibri"/>
      <family val="2"/>
      <scheme val="minor"/>
    </font>
    <font>
      <sz val="12"/>
      <color theme="1"/>
      <name val="Calibri"/>
      <family val="2"/>
      <scheme val="minor"/>
    </font>
    <font>
      <sz val="12"/>
      <color theme="1"/>
      <name val="Calibri"/>
      <family val="2"/>
      <scheme val="minor"/>
    </font>
    <font>
      <b/>
      <sz val="11"/>
      <color theme="1"/>
      <name val="Calibri"/>
      <family val="2"/>
      <scheme val="minor"/>
    </font>
    <font>
      <b/>
      <sz val="12"/>
      <color theme="1"/>
      <name val="Calibri"/>
      <family val="2"/>
      <scheme val="minor"/>
    </font>
    <font>
      <sz val="12"/>
      <color theme="1"/>
      <name val="Calibri"/>
      <family val="2"/>
      <scheme val="minor"/>
    </font>
    <font>
      <sz val="10"/>
      <color rgb="FF000000"/>
      <name val="Calibri"/>
      <family val="2"/>
      <scheme val="minor"/>
    </font>
    <font>
      <sz val="7"/>
      <color rgb="FF000000"/>
      <name val="Trebuchet MS"/>
      <family val="2"/>
    </font>
    <font>
      <sz val="11"/>
      <color theme="1"/>
      <name val="Calibri"/>
      <family val="2"/>
      <scheme val="minor"/>
    </font>
  </fonts>
  <fills count="5">
    <fill>
      <patternFill patternType="none"/>
    </fill>
    <fill>
      <patternFill patternType="gray125"/>
    </fill>
    <fill>
      <patternFill patternType="solid">
        <fgColor theme="8" tint="0.79998168889431442"/>
        <bgColor indexed="64"/>
      </patternFill>
    </fill>
    <fill>
      <patternFill patternType="solid">
        <fgColor theme="6" tint="0.79998168889431442"/>
        <bgColor indexed="64"/>
      </patternFill>
    </fill>
    <fill>
      <patternFill patternType="solid">
        <fgColor theme="9" tint="0.79998168889431442"/>
        <bgColor indexed="64"/>
      </patternFill>
    </fill>
  </fills>
  <borders count="1">
    <border>
      <left/>
      <right/>
      <top/>
      <bottom/>
      <diagonal/>
    </border>
  </borders>
  <cellStyleXfs count="3">
    <xf numFmtId="0" fontId="0" fillId="0" borderId="0"/>
    <xf numFmtId="43" fontId="8" fillId="0" borderId="0" applyFont="0" applyFill="0" applyBorder="0" applyAlignment="0" applyProtection="0"/>
    <xf numFmtId="9" fontId="8" fillId="0" borderId="0" applyFont="0" applyFill="0" applyBorder="0" applyAlignment="0" applyProtection="0"/>
  </cellStyleXfs>
  <cellXfs count="28">
    <xf numFmtId="0" fontId="0" fillId="0" borderId="0" xfId="0"/>
    <xf numFmtId="0" fontId="4" fillId="0" borderId="0" xfId="0" applyFont="1"/>
    <xf numFmtId="0" fontId="3" fillId="0" borderId="0" xfId="0" applyFont="1"/>
    <xf numFmtId="11" fontId="0" fillId="0" borderId="0" xfId="0" applyNumberFormat="1"/>
    <xf numFmtId="0" fontId="5" fillId="0" borderId="0" xfId="0" applyFont="1"/>
    <xf numFmtId="11" fontId="6" fillId="0" borderId="0" xfId="0" applyNumberFormat="1" applyFont="1"/>
    <xf numFmtId="0" fontId="7" fillId="0" borderId="0" xfId="0" applyFont="1"/>
    <xf numFmtId="0" fontId="4" fillId="2" borderId="0" xfId="0" applyFont="1" applyFill="1"/>
    <xf numFmtId="0" fontId="3" fillId="2" borderId="0" xfId="0" applyFont="1" applyFill="1"/>
    <xf numFmtId="0" fontId="0" fillId="2" borderId="0" xfId="0" applyFill="1"/>
    <xf numFmtId="11" fontId="0" fillId="2" borderId="0" xfId="0" applyNumberFormat="1" applyFill="1"/>
    <xf numFmtId="0" fontId="5" fillId="2" borderId="0" xfId="0" applyFont="1" applyFill="1"/>
    <xf numFmtId="11" fontId="6" fillId="2" borderId="0" xfId="0" applyNumberFormat="1" applyFont="1" applyFill="1"/>
    <xf numFmtId="0" fontId="0" fillId="3" borderId="0" xfId="0" applyFill="1"/>
    <xf numFmtId="164" fontId="0" fillId="2" borderId="0" xfId="0" applyNumberFormat="1" applyFill="1"/>
    <xf numFmtId="0" fontId="0" fillId="4" borderId="0" xfId="0" applyFill="1"/>
    <xf numFmtId="165" fontId="0" fillId="4" borderId="0" xfId="1" applyNumberFormat="1" applyFont="1" applyFill="1"/>
    <xf numFmtId="2" fontId="0" fillId="4" borderId="0" xfId="0" applyNumberFormat="1" applyFill="1"/>
    <xf numFmtId="9" fontId="0" fillId="4" borderId="0" xfId="2" applyFont="1" applyFill="1"/>
    <xf numFmtId="165" fontId="0" fillId="2" borderId="0" xfId="1" applyNumberFormat="1" applyFont="1" applyFill="1"/>
    <xf numFmtId="166" fontId="0" fillId="2" borderId="0" xfId="0" applyNumberFormat="1" applyFill="1"/>
    <xf numFmtId="9" fontId="0" fillId="2" borderId="0" xfId="2" applyFont="1" applyFill="1"/>
    <xf numFmtId="43" fontId="0" fillId="2" borderId="0" xfId="1" applyFont="1" applyFill="1"/>
    <xf numFmtId="2" fontId="0" fillId="2" borderId="0" xfId="0" applyNumberFormat="1" applyFill="1"/>
    <xf numFmtId="0" fontId="2" fillId="2" borderId="0" xfId="0" applyFont="1" applyFill="1"/>
    <xf numFmtId="167" fontId="0" fillId="4" borderId="0" xfId="0" applyNumberFormat="1" applyFill="1" applyAlignment="1">
      <alignment horizontal="right"/>
    </xf>
    <xf numFmtId="2" fontId="0" fillId="4" borderId="0" xfId="0" applyNumberFormat="1" applyFill="1" applyAlignment="1">
      <alignment horizontal="right"/>
    </xf>
    <xf numFmtId="0" fontId="1" fillId="2" borderId="0" xfId="0" applyFont="1" applyFill="1"/>
  </cellXfs>
  <cellStyles count="3">
    <cellStyle name="Comma" xfId="1" builtinId="3"/>
    <cellStyle name="Normal" xfId="0" builtinId="0"/>
    <cellStyle name="Per 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521810-1828-BD4D-A97E-7E3B0102C0F6}">
  <dimension ref="A1:M36"/>
  <sheetViews>
    <sheetView workbookViewId="0">
      <selection activeCell="K21" sqref="K21"/>
    </sheetView>
  </sheetViews>
  <sheetFormatPr baseColWidth="10" defaultColWidth="8.83203125" defaultRowHeight="15" x14ac:dyDescent="0.2"/>
  <cols>
    <col min="1" max="1" width="12.33203125" bestFit="1" customWidth="1"/>
    <col min="3" max="3" width="10.83203125" bestFit="1" customWidth="1"/>
    <col min="4" max="4" width="18.5" bestFit="1" customWidth="1"/>
    <col min="5" max="5" width="19.5" bestFit="1" customWidth="1"/>
    <col min="6" max="6" width="24.83203125" bestFit="1" customWidth="1"/>
    <col min="7" max="7" width="23.33203125" bestFit="1" customWidth="1"/>
    <col min="8" max="8" width="26" bestFit="1" customWidth="1"/>
    <col min="9" max="9" width="30.33203125" bestFit="1" customWidth="1"/>
    <col min="10" max="10" width="26" bestFit="1" customWidth="1"/>
    <col min="11" max="11" width="30.33203125" bestFit="1" customWidth="1"/>
    <col min="12" max="12" width="17.5" bestFit="1" customWidth="1"/>
    <col min="13" max="13" width="22.1640625" bestFit="1" customWidth="1"/>
  </cols>
  <sheetData>
    <row r="1" spans="1:11" x14ac:dyDescent="0.2">
      <c r="A1" t="s">
        <v>125</v>
      </c>
    </row>
    <row r="2" spans="1:11" x14ac:dyDescent="0.2">
      <c r="A2" t="s">
        <v>34</v>
      </c>
      <c r="B2" t="s">
        <v>35</v>
      </c>
    </row>
    <row r="4" spans="1:11" x14ac:dyDescent="0.2">
      <c r="A4" s="2" t="s">
        <v>126</v>
      </c>
    </row>
    <row r="5" spans="1:11" x14ac:dyDescent="0.2">
      <c r="A5" s="15"/>
      <c r="B5" s="15"/>
      <c r="C5" s="15" t="s">
        <v>127</v>
      </c>
      <c r="D5" s="15" t="s">
        <v>128</v>
      </c>
      <c r="E5" s="15" t="s">
        <v>129</v>
      </c>
      <c r="F5" s="15" t="s">
        <v>130</v>
      </c>
      <c r="G5" s="15" t="s">
        <v>131</v>
      </c>
      <c r="H5" s="15" t="s">
        <v>132</v>
      </c>
      <c r="I5" s="15" t="s">
        <v>133</v>
      </c>
      <c r="J5" s="15" t="s">
        <v>134</v>
      </c>
      <c r="K5" s="15" t="s">
        <v>135</v>
      </c>
    </row>
    <row r="6" spans="1:11" x14ac:dyDescent="0.2">
      <c r="A6" s="15" t="s">
        <v>136</v>
      </c>
      <c r="B6" s="15"/>
      <c r="C6" s="15">
        <v>23.94</v>
      </c>
      <c r="D6" s="16">
        <v>980752</v>
      </c>
      <c r="E6" s="15">
        <v>100</v>
      </c>
      <c r="F6" s="16">
        <f>D6*1000/C6</f>
        <v>40967084.377610691</v>
      </c>
      <c r="G6" s="15"/>
      <c r="H6" s="15"/>
      <c r="I6" s="17">
        <f>0.875*1.57</f>
        <v>1.37375</v>
      </c>
      <c r="J6" s="15"/>
      <c r="K6" s="15"/>
    </row>
    <row r="7" spans="1:11" x14ac:dyDescent="0.2">
      <c r="A7" s="15"/>
      <c r="B7" s="15"/>
      <c r="C7" s="15"/>
      <c r="D7" s="16"/>
      <c r="E7" s="15"/>
      <c r="F7" s="16"/>
      <c r="G7" s="16"/>
      <c r="H7" s="15"/>
      <c r="I7" s="15"/>
      <c r="J7" s="15"/>
      <c r="K7" s="15"/>
    </row>
    <row r="8" spans="1:11" x14ac:dyDescent="0.2">
      <c r="A8" s="15" t="s">
        <v>137</v>
      </c>
      <c r="B8" s="15"/>
      <c r="C8" s="15">
        <v>44.5</v>
      </c>
      <c r="D8" s="16">
        <v>190189</v>
      </c>
      <c r="E8" s="18">
        <f>D8/SUM($D$8:$D$11)</f>
        <v>0.24240218913817341</v>
      </c>
      <c r="F8" s="16">
        <f>D8*1000/C8</f>
        <v>4273910.1123595508</v>
      </c>
      <c r="G8" s="16">
        <f>E8*$F$6</f>
        <v>9930510.9357410949</v>
      </c>
      <c r="H8" s="17">
        <f>G8/F8</f>
        <v>2.3235189029884942</v>
      </c>
      <c r="I8" s="17">
        <f>$I$6*H8</f>
        <v>3.1919340929804441</v>
      </c>
      <c r="J8" s="17">
        <f>0.9197*(44/12)</f>
        <v>3.372233333333333</v>
      </c>
      <c r="K8" s="17">
        <f>J8-I8</f>
        <v>0.18029924035288891</v>
      </c>
    </row>
    <row r="9" spans="1:11" x14ac:dyDescent="0.2">
      <c r="A9" s="15" t="s">
        <v>138</v>
      </c>
      <c r="B9" s="15"/>
      <c r="C9" s="15">
        <v>45</v>
      </c>
      <c r="D9" s="16">
        <v>143100</v>
      </c>
      <c r="E9" s="18">
        <f t="shared" ref="E9:E11" si="0">D9/SUM($D$8:$D$11)</f>
        <v>0.18238569667894891</v>
      </c>
      <c r="F9" s="16">
        <f t="shared" ref="F9:F11" si="1">D9*1000/C9</f>
        <v>3180000</v>
      </c>
      <c r="G9" s="16">
        <f>E9*$F$6</f>
        <v>7471810.2251158096</v>
      </c>
      <c r="H9" s="17">
        <f>G9/F9</f>
        <v>2.3496258569546571</v>
      </c>
      <c r="I9" s="17">
        <f t="shared" ref="I9:I11" si="2">$I$6*H9</f>
        <v>3.2277985209914601</v>
      </c>
      <c r="J9" s="17">
        <v>3.14</v>
      </c>
      <c r="K9" s="17">
        <f t="shared" ref="K9:K11" si="3">J9-I9</f>
        <v>-8.7798520991460016E-2</v>
      </c>
    </row>
    <row r="10" spans="1:11" x14ac:dyDescent="0.2">
      <c r="A10" s="15" t="s">
        <v>139</v>
      </c>
      <c r="B10" s="15"/>
      <c r="C10" s="15">
        <v>43.3</v>
      </c>
      <c r="D10" s="16">
        <v>286404</v>
      </c>
      <c r="E10" s="18">
        <f t="shared" si="0"/>
        <v>0.36503139812465191</v>
      </c>
      <c r="F10" s="16">
        <f t="shared" si="1"/>
        <v>6614411.0854503466</v>
      </c>
      <c r="G10" s="16">
        <f>E10*$F$6</f>
        <v>14954272.087449815</v>
      </c>
      <c r="H10" s="17">
        <f>G10/F10</f>
        <v>2.2608622134697036</v>
      </c>
      <c r="I10" s="17">
        <f t="shared" si="2"/>
        <v>3.1058594657540053</v>
      </c>
      <c r="J10" s="17">
        <v>3.16</v>
      </c>
      <c r="K10" s="17">
        <f t="shared" si="3"/>
        <v>5.4140534245994854E-2</v>
      </c>
    </row>
    <row r="11" spans="1:11" x14ac:dyDescent="0.2">
      <c r="A11" s="15" t="s">
        <v>140</v>
      </c>
      <c r="B11" s="15"/>
      <c r="C11" s="15">
        <v>40.200000000000003</v>
      </c>
      <c r="D11" s="16">
        <v>164908</v>
      </c>
      <c r="E11" s="18">
        <f t="shared" si="0"/>
        <v>0.21018071605822577</v>
      </c>
      <c r="F11" s="16">
        <f t="shared" si="1"/>
        <v>4102189.0547263678</v>
      </c>
      <c r="G11" s="16">
        <f>E11*$F$6</f>
        <v>8610491.1293039694</v>
      </c>
      <c r="H11" s="17">
        <f>G11/F11</f>
        <v>2.098999098879494</v>
      </c>
      <c r="I11" s="17">
        <f t="shared" si="2"/>
        <v>2.8835000120857051</v>
      </c>
      <c r="J11" s="17">
        <f>0.75*(44/12)</f>
        <v>2.75</v>
      </c>
      <c r="K11" s="17">
        <f t="shared" si="3"/>
        <v>-0.13350001208570506</v>
      </c>
    </row>
    <row r="12" spans="1:11" x14ac:dyDescent="0.2">
      <c r="A12" s="15"/>
      <c r="B12" s="15"/>
      <c r="C12" s="15"/>
      <c r="D12" s="16"/>
      <c r="E12" s="15"/>
      <c r="F12" s="15"/>
      <c r="G12" s="15"/>
      <c r="H12" s="15"/>
      <c r="I12" s="15"/>
      <c r="J12" s="15"/>
      <c r="K12" s="15"/>
    </row>
    <row r="13" spans="1:11" x14ac:dyDescent="0.2">
      <c r="A13" s="15" t="s">
        <v>141</v>
      </c>
      <c r="B13" s="15"/>
      <c r="C13" s="15"/>
      <c r="D13" s="16">
        <f>D6-SUM(D8:D11)</f>
        <v>196151</v>
      </c>
      <c r="E13" s="15"/>
      <c r="F13" s="15"/>
      <c r="G13" s="15"/>
      <c r="H13" s="15"/>
      <c r="I13" s="15"/>
      <c r="J13" s="15"/>
      <c r="K13" s="15"/>
    </row>
    <row r="15" spans="1:11" x14ac:dyDescent="0.2">
      <c r="A15" s="2" t="s">
        <v>152</v>
      </c>
    </row>
    <row r="16" spans="1:11" x14ac:dyDescent="0.2">
      <c r="A16" s="15"/>
      <c r="B16" s="15"/>
      <c r="C16" s="15" t="s">
        <v>156</v>
      </c>
      <c r="D16" s="15" t="s">
        <v>157</v>
      </c>
      <c r="E16" s="15" t="s">
        <v>129</v>
      </c>
      <c r="F16" s="15" t="s">
        <v>130</v>
      </c>
      <c r="G16" s="15" t="s">
        <v>131</v>
      </c>
      <c r="H16" s="15" t="s">
        <v>132</v>
      </c>
      <c r="I16" s="15" t="s">
        <v>133</v>
      </c>
      <c r="J16" s="15" t="s">
        <v>134</v>
      </c>
      <c r="K16" s="15" t="s">
        <v>135</v>
      </c>
    </row>
    <row r="17" spans="1:13" x14ac:dyDescent="0.2">
      <c r="A17" s="15" t="s">
        <v>136</v>
      </c>
      <c r="B17" s="15"/>
      <c r="C17" s="15">
        <f>23.94*(47.5/43)</f>
        <v>26.445348837209302</v>
      </c>
      <c r="D17" s="16">
        <f>SUM(D19:D22)*(D6/SUM(D8:D11))</f>
        <v>110849.209768532</v>
      </c>
      <c r="E17" s="15">
        <v>100</v>
      </c>
      <c r="F17" s="16">
        <f>D17/C17</f>
        <v>4191.6334872680618</v>
      </c>
      <c r="G17" s="15"/>
      <c r="H17" s="15"/>
      <c r="I17" s="17">
        <f>0.875*1.57</f>
        <v>1.37375</v>
      </c>
      <c r="J17" s="15"/>
      <c r="K17" s="15"/>
    </row>
    <row r="18" spans="1:13" x14ac:dyDescent="0.2">
      <c r="A18" s="15"/>
      <c r="B18" s="15"/>
      <c r="C18" s="15"/>
      <c r="D18" s="16"/>
      <c r="E18" s="15"/>
      <c r="F18" s="16"/>
      <c r="G18" s="16"/>
      <c r="H18" s="15"/>
      <c r="I18" s="15"/>
      <c r="J18" s="15"/>
      <c r="K18" s="15"/>
    </row>
    <row r="19" spans="1:13" x14ac:dyDescent="0.2">
      <c r="A19" s="15" t="s">
        <v>153</v>
      </c>
      <c r="B19" s="15"/>
      <c r="C19" s="15">
        <v>47.9</v>
      </c>
      <c r="D19" s="16">
        <f>807*47.9</f>
        <v>38655.299999999996</v>
      </c>
      <c r="E19" s="18">
        <f>D19/SUM($D$19:$D$22)</f>
        <v>0.43589992252983506</v>
      </c>
      <c r="F19" s="16">
        <f>D19/C19</f>
        <v>806.99999999999989</v>
      </c>
      <c r="G19" s="16">
        <f>E19*$F$17</f>
        <v>1827.1327123736105</v>
      </c>
      <c r="H19" s="17">
        <f>G19/F19</f>
        <v>2.2641049719623427</v>
      </c>
      <c r="I19" s="17">
        <f>$I$17*H19</f>
        <v>3.1103142052332684</v>
      </c>
      <c r="J19" s="25" t="s">
        <v>158</v>
      </c>
      <c r="K19" s="17"/>
    </row>
    <row r="20" spans="1:13" x14ac:dyDescent="0.2">
      <c r="A20" s="15" t="s">
        <v>154</v>
      </c>
      <c r="B20" s="15"/>
      <c r="C20" s="15">
        <v>48.3</v>
      </c>
      <c r="D20" s="16">
        <f>202*48.3</f>
        <v>9756.5999999999985</v>
      </c>
      <c r="E20" s="18">
        <f t="shared" ref="E20:E22" si="4">D20/SUM($D$19:$D$22)</f>
        <v>0.11002116615715279</v>
      </c>
      <c r="F20" s="16">
        <f>D20/C20</f>
        <v>201.99999999999997</v>
      </c>
      <c r="G20" s="16">
        <f t="shared" ref="G20:G22" si="5">E20*$F$17</f>
        <v>461.16840437260521</v>
      </c>
      <c r="H20" s="17">
        <f>G20/F20</f>
        <v>2.2830119028346796</v>
      </c>
      <c r="I20" s="17">
        <f t="shared" ref="I20:I22" si="6">$I$17*H20</f>
        <v>3.136287601519141</v>
      </c>
      <c r="J20" s="17">
        <f>0.82*(44/12)</f>
        <v>3.0066666666666664</v>
      </c>
      <c r="K20" s="17">
        <f>J20-I20</f>
        <v>-0.12962093485247461</v>
      </c>
    </row>
    <row r="21" spans="1:13" x14ac:dyDescent="0.2">
      <c r="A21" s="15" t="s">
        <v>139</v>
      </c>
      <c r="B21" s="15"/>
      <c r="C21" s="15">
        <v>47.5</v>
      </c>
      <c r="D21" s="16">
        <f>785*47.5</f>
        <v>37287.5</v>
      </c>
      <c r="E21" s="18">
        <f t="shared" si="4"/>
        <v>0.42047580438726967</v>
      </c>
      <c r="F21" s="16">
        <f>D21/C21</f>
        <v>785</v>
      </c>
      <c r="G21" s="16">
        <f t="shared" si="5"/>
        <v>1762.4804622556546</v>
      </c>
      <c r="H21" s="17">
        <f>G21/F21</f>
        <v>2.2451980410900059</v>
      </c>
      <c r="I21" s="17">
        <f t="shared" si="6"/>
        <v>3.0843408089473958</v>
      </c>
      <c r="J21" s="17">
        <v>3.16</v>
      </c>
      <c r="K21" s="17">
        <f t="shared" ref="K21" si="7">J21-I21</f>
        <v>7.5659191052604324E-2</v>
      </c>
    </row>
    <row r="22" spans="1:13" x14ac:dyDescent="0.2">
      <c r="A22" s="15" t="s">
        <v>155</v>
      </c>
      <c r="B22" s="15"/>
      <c r="C22" s="15">
        <v>47.3</v>
      </c>
      <c r="D22" s="16">
        <f>63*47.3</f>
        <v>2979.8999999999996</v>
      </c>
      <c r="E22" s="18">
        <f t="shared" si="4"/>
        <v>3.3603106925742539E-2</v>
      </c>
      <c r="F22" s="16">
        <f>D22/C22</f>
        <v>62.999999999999993</v>
      </c>
      <c r="G22" s="16">
        <f t="shared" si="5"/>
        <v>140.85190826619177</v>
      </c>
      <c r="H22" s="17">
        <f>G22/F22</f>
        <v>2.2357445756538379</v>
      </c>
      <c r="I22" s="17">
        <f t="shared" si="6"/>
        <v>3.0713541108044597</v>
      </c>
      <c r="J22" s="26" t="s">
        <v>158</v>
      </c>
      <c r="K22" s="17"/>
    </row>
    <row r="23" spans="1:13" x14ac:dyDescent="0.2">
      <c r="A23" s="15"/>
      <c r="B23" s="15"/>
      <c r="C23" s="15"/>
      <c r="D23" s="16"/>
      <c r="E23" s="15"/>
      <c r="F23" s="15"/>
      <c r="G23" s="15"/>
      <c r="H23" s="15"/>
      <c r="I23" s="15"/>
      <c r="J23" s="15"/>
      <c r="K23" s="15"/>
    </row>
    <row r="24" spans="1:13" x14ac:dyDescent="0.2">
      <c r="A24" s="15" t="s">
        <v>141</v>
      </c>
      <c r="B24" s="15"/>
      <c r="C24" s="15"/>
      <c r="D24" s="16">
        <f>D17-SUM(D19:D22)</f>
        <v>22169.909768532016</v>
      </c>
      <c r="E24" s="15"/>
      <c r="F24" s="15"/>
      <c r="G24" s="15"/>
      <c r="H24" s="15"/>
      <c r="I24" s="15"/>
      <c r="J24" s="15"/>
      <c r="K24" s="15"/>
    </row>
    <row r="27" spans="1:13" x14ac:dyDescent="0.2">
      <c r="A27" s="2" t="s">
        <v>142</v>
      </c>
    </row>
    <row r="28" spans="1:13" x14ac:dyDescent="0.2">
      <c r="A28" s="9"/>
      <c r="B28" s="9"/>
      <c r="C28" s="9" t="s">
        <v>127</v>
      </c>
      <c r="D28" s="9" t="s">
        <v>128</v>
      </c>
      <c r="E28" s="9" t="s">
        <v>130</v>
      </c>
      <c r="F28" s="9" t="s">
        <v>143</v>
      </c>
      <c r="G28" s="9" t="s">
        <v>144</v>
      </c>
      <c r="H28" s="9" t="s">
        <v>145</v>
      </c>
      <c r="I28" s="9" t="s">
        <v>131</v>
      </c>
      <c r="J28" s="9" t="s">
        <v>132</v>
      </c>
      <c r="K28" s="9" t="s">
        <v>133</v>
      </c>
      <c r="L28" s="9" t="s">
        <v>134</v>
      </c>
      <c r="M28" s="9" t="s">
        <v>135</v>
      </c>
    </row>
    <row r="29" spans="1:13" x14ac:dyDescent="0.2">
      <c r="A29" s="9" t="s">
        <v>136</v>
      </c>
      <c r="B29" s="9"/>
      <c r="C29" s="9">
        <v>23.94</v>
      </c>
      <c r="D29" s="19">
        <v>980752</v>
      </c>
      <c r="E29" s="19">
        <f>D29*1000/C29</f>
        <v>40967084.377610691</v>
      </c>
      <c r="F29" s="9"/>
      <c r="G29" s="9"/>
      <c r="H29" s="9">
        <v>100</v>
      </c>
      <c r="I29" s="9"/>
      <c r="J29" s="9"/>
      <c r="K29" s="9">
        <v>1.37</v>
      </c>
      <c r="L29" s="9"/>
      <c r="M29" s="9"/>
    </row>
    <row r="30" spans="1:13" x14ac:dyDescent="0.2">
      <c r="A30" s="9"/>
      <c r="B30" s="9"/>
      <c r="C30" s="9"/>
      <c r="D30" s="19"/>
      <c r="E30" s="19"/>
      <c r="F30" s="9"/>
      <c r="G30" s="9"/>
      <c r="H30" s="9"/>
      <c r="I30" s="9"/>
      <c r="J30" s="9"/>
      <c r="K30" s="9"/>
      <c r="L30" s="9"/>
      <c r="M30" s="9"/>
    </row>
    <row r="31" spans="1:13" x14ac:dyDescent="0.2">
      <c r="A31" s="9" t="s">
        <v>137</v>
      </c>
      <c r="B31" s="9"/>
      <c r="C31" s="9">
        <v>44.5</v>
      </c>
      <c r="D31" s="19">
        <v>190189</v>
      </c>
      <c r="E31" s="19">
        <f>D31*1000/C31</f>
        <v>4273910.1123595508</v>
      </c>
      <c r="F31" s="20">
        <v>0.26500000000000001</v>
      </c>
      <c r="G31" s="20">
        <f>F31*E31</f>
        <v>1132586.1797752811</v>
      </c>
      <c r="H31" s="21">
        <f>G31/SUM($G$31:$G$34)</f>
        <v>6.7814648037968772E-2</v>
      </c>
      <c r="I31" s="22">
        <f>H31*$E$29</f>
        <v>2778168.408209438</v>
      </c>
      <c r="J31" s="23">
        <f>I31/E31</f>
        <v>0.65002967661284294</v>
      </c>
      <c r="K31" s="23">
        <f>$K$29*J31</f>
        <v>0.89054065695959495</v>
      </c>
      <c r="L31" s="23">
        <f>0.9197*(44/12)</f>
        <v>3.372233333333333</v>
      </c>
      <c r="M31" s="23">
        <f>L31-K31</f>
        <v>2.4816926763737381</v>
      </c>
    </row>
    <row r="32" spans="1:13" x14ac:dyDescent="0.2">
      <c r="A32" s="9" t="s">
        <v>138</v>
      </c>
      <c r="B32" s="9"/>
      <c r="C32" s="9">
        <v>45</v>
      </c>
      <c r="D32" s="19">
        <v>143100</v>
      </c>
      <c r="E32" s="19">
        <f>D32*1000/C32</f>
        <v>3180000</v>
      </c>
      <c r="F32" s="20">
        <v>0.29699999999999999</v>
      </c>
      <c r="G32" s="20">
        <f>F32*E32</f>
        <v>944460</v>
      </c>
      <c r="H32" s="21">
        <f t="shared" ref="H32:H34" si="8">G32/SUM($G$31:$G$34)</f>
        <v>5.6550418528546698E-2</v>
      </c>
      <c r="I32" s="19">
        <f t="shared" ref="I32:I34" si="9">H32*$E$29</f>
        <v>2316705.7674481715</v>
      </c>
      <c r="J32" s="23">
        <f>I32/E32</f>
        <v>0.72852382624156342</v>
      </c>
      <c r="K32" s="23">
        <f t="shared" ref="K32:K34" si="10">$K$29*J32</f>
        <v>0.99807764195094195</v>
      </c>
      <c r="L32" s="23">
        <v>3.14</v>
      </c>
      <c r="M32" s="23">
        <f t="shared" ref="M32:M34" si="11">L32-K32</f>
        <v>2.1419223580490581</v>
      </c>
    </row>
    <row r="33" spans="1:13" x14ac:dyDescent="0.2">
      <c r="A33" s="9" t="s">
        <v>139</v>
      </c>
      <c r="B33" s="9"/>
      <c r="C33" s="9">
        <v>43.3</v>
      </c>
      <c r="D33" s="19">
        <v>286404</v>
      </c>
      <c r="E33" s="19">
        <f>D33*1000/C33</f>
        <v>6614411.0854503466</v>
      </c>
      <c r="F33" s="20">
        <v>0.4</v>
      </c>
      <c r="G33" s="20">
        <f>F33*E33</f>
        <v>2645764.4341801386</v>
      </c>
      <c r="H33" s="21">
        <f t="shared" si="8"/>
        <v>0.15841759956041587</v>
      </c>
      <c r="I33" s="19">
        <f t="shared" si="9"/>
        <v>6489907.1680900995</v>
      </c>
      <c r="J33" s="23">
        <f>I33/E33</f>
        <v>0.98117687035900791</v>
      </c>
      <c r="K33" s="23">
        <f t="shared" si="10"/>
        <v>1.344212312391841</v>
      </c>
      <c r="L33" s="23">
        <v>3.16</v>
      </c>
      <c r="M33" s="23">
        <f t="shared" si="11"/>
        <v>1.8157876876081591</v>
      </c>
    </row>
    <row r="34" spans="1:13" x14ac:dyDescent="0.2">
      <c r="A34" s="9" t="s">
        <v>140</v>
      </c>
      <c r="B34" s="9"/>
      <c r="C34" s="9">
        <v>40.200000000000003</v>
      </c>
      <c r="D34" s="19">
        <v>164908</v>
      </c>
      <c r="E34" s="19">
        <f>D34*1000/C34</f>
        <v>4102189.0547263678</v>
      </c>
      <c r="F34" s="20">
        <v>2.92</v>
      </c>
      <c r="G34" s="20">
        <f>F34*E34</f>
        <v>11978392.039800994</v>
      </c>
      <c r="H34" s="21">
        <f t="shared" si="8"/>
        <v>0.71721733387306863</v>
      </c>
      <c r="I34" s="19">
        <f t="shared" si="9"/>
        <v>29382303.033862982</v>
      </c>
      <c r="J34" s="23">
        <f>I34/E34</f>
        <v>7.1625911536207578</v>
      </c>
      <c r="K34" s="23">
        <f t="shared" si="10"/>
        <v>9.8127498804604389</v>
      </c>
      <c r="L34" s="23">
        <f>0.75*(44/12)</f>
        <v>2.75</v>
      </c>
      <c r="M34" s="23">
        <f t="shared" si="11"/>
        <v>-7.0627498804604389</v>
      </c>
    </row>
    <row r="35" spans="1:13" x14ac:dyDescent="0.2">
      <c r="A35" s="9"/>
      <c r="B35" s="9"/>
      <c r="C35" s="9"/>
      <c r="D35" s="19"/>
      <c r="E35" s="9"/>
      <c r="F35" s="9"/>
      <c r="G35" s="9"/>
      <c r="H35" s="9"/>
      <c r="I35" s="9"/>
      <c r="J35" s="9"/>
      <c r="K35" s="9"/>
      <c r="L35" s="9"/>
      <c r="M35" s="9"/>
    </row>
    <row r="36" spans="1:13" x14ac:dyDescent="0.2">
      <c r="A36" s="9" t="s">
        <v>141</v>
      </c>
      <c r="B36" s="9"/>
      <c r="C36" s="9"/>
      <c r="D36" s="19">
        <f>D29-SUM(D31:D34)</f>
        <v>196151</v>
      </c>
      <c r="E36" s="9"/>
      <c r="F36" s="9"/>
      <c r="G36" s="9"/>
      <c r="H36" s="9"/>
      <c r="I36" s="9"/>
      <c r="J36" s="9"/>
      <c r="K36" s="9"/>
      <c r="L36" s="9"/>
      <c r="M36" s="9"/>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656"/>
  <sheetViews>
    <sheetView tabSelected="1" topLeftCell="A57" workbookViewId="0">
      <selection activeCell="B226" sqref="B226"/>
    </sheetView>
  </sheetViews>
  <sheetFormatPr baseColWidth="10" defaultColWidth="8.83203125" defaultRowHeight="15" x14ac:dyDescent="0.2"/>
  <cols>
    <col min="1" max="1" width="50.33203125" bestFit="1" customWidth="1"/>
    <col min="2" max="2" width="32.5" customWidth="1"/>
    <col min="3" max="3" width="24.1640625" bestFit="1" customWidth="1"/>
  </cols>
  <sheetData>
    <row r="1" spans="1:11" x14ac:dyDescent="0.2">
      <c r="A1" s="2" t="s">
        <v>14</v>
      </c>
      <c r="B1" t="s">
        <v>104</v>
      </c>
    </row>
    <row r="2" spans="1:11" x14ac:dyDescent="0.2">
      <c r="A2" s="2"/>
    </row>
    <row r="3" spans="1:11" s="9" customFormat="1" ht="16" x14ac:dyDescent="0.2">
      <c r="A3" s="7" t="s">
        <v>0</v>
      </c>
      <c r="B3" s="7" t="s">
        <v>115</v>
      </c>
    </row>
    <row r="4" spans="1:11" s="9" customFormat="1" x14ac:dyDescent="0.2">
      <c r="A4" s="9" t="s">
        <v>7</v>
      </c>
      <c r="B4" s="9" t="s">
        <v>8</v>
      </c>
    </row>
    <row r="5" spans="1:11" s="9" customFormat="1" x14ac:dyDescent="0.2">
      <c r="A5" s="9" t="s">
        <v>1</v>
      </c>
      <c r="B5" s="9">
        <v>1</v>
      </c>
    </row>
    <row r="6" spans="1:11" s="9" customFormat="1" ht="16" x14ac:dyDescent="0.2">
      <c r="A6" s="9" t="s">
        <v>2</v>
      </c>
      <c r="B6" s="11" t="s">
        <v>105</v>
      </c>
    </row>
    <row r="7" spans="1:11" s="9" customFormat="1" x14ac:dyDescent="0.2">
      <c r="A7" s="9" t="s">
        <v>3</v>
      </c>
      <c r="B7" s="9" t="s">
        <v>4</v>
      </c>
    </row>
    <row r="8" spans="1:11" s="9" customFormat="1" x14ac:dyDescent="0.2">
      <c r="A8" s="9" t="s">
        <v>5</v>
      </c>
      <c r="B8" s="9" t="s">
        <v>6</v>
      </c>
    </row>
    <row r="9" spans="1:11" s="9" customFormat="1" ht="16" x14ac:dyDescent="0.2">
      <c r="A9" s="7" t="s">
        <v>10</v>
      </c>
    </row>
    <row r="10" spans="1:11" s="9" customFormat="1" x14ac:dyDescent="0.2">
      <c r="A10" s="9" t="s">
        <v>11</v>
      </c>
      <c r="B10" s="9" t="s">
        <v>12</v>
      </c>
      <c r="C10" s="9" t="s">
        <v>7</v>
      </c>
      <c r="D10" s="9" t="s">
        <v>5</v>
      </c>
      <c r="E10" s="9" t="s">
        <v>13</v>
      </c>
      <c r="F10" s="9" t="s">
        <v>3</v>
      </c>
      <c r="G10" s="9" t="s">
        <v>80</v>
      </c>
      <c r="H10" s="9" t="s">
        <v>81</v>
      </c>
      <c r="I10" s="9" t="s">
        <v>82</v>
      </c>
      <c r="J10" s="9" t="s">
        <v>9</v>
      </c>
      <c r="K10" s="9" t="s">
        <v>2</v>
      </c>
    </row>
    <row r="11" spans="1:11" s="9" customFormat="1" ht="16" x14ac:dyDescent="0.2">
      <c r="A11" s="9" t="s">
        <v>115</v>
      </c>
      <c r="B11" s="9">
        <v>1</v>
      </c>
      <c r="C11" s="9" t="s">
        <v>8</v>
      </c>
      <c r="D11" s="9" t="s">
        <v>6</v>
      </c>
      <c r="F11" s="9" t="s">
        <v>15</v>
      </c>
      <c r="I11" s="9">
        <v>100</v>
      </c>
      <c r="J11" s="9" t="s">
        <v>83</v>
      </c>
      <c r="K11" s="11" t="s">
        <v>105</v>
      </c>
    </row>
    <row r="12" spans="1:11" s="9" customFormat="1" x14ac:dyDescent="0.2">
      <c r="A12" s="9" t="s">
        <v>106</v>
      </c>
      <c r="B12" s="9">
        <v>1.00057</v>
      </c>
      <c r="C12" s="9" t="s">
        <v>8</v>
      </c>
      <c r="D12" s="9" t="s">
        <v>6</v>
      </c>
      <c r="F12" s="9" t="s">
        <v>17</v>
      </c>
      <c r="K12" s="9" t="s">
        <v>39</v>
      </c>
    </row>
    <row r="13" spans="1:11" s="9" customFormat="1" x14ac:dyDescent="0.2">
      <c r="A13" s="9" t="s">
        <v>23</v>
      </c>
      <c r="B13" s="9">
        <v>6.7000000000000002E-3</v>
      </c>
      <c r="C13" s="9" t="s">
        <v>8</v>
      </c>
      <c r="D13" s="9" t="s">
        <v>24</v>
      </c>
      <c r="F13" s="9" t="s">
        <v>17</v>
      </c>
      <c r="K13" s="9" t="s">
        <v>25</v>
      </c>
    </row>
    <row r="14" spans="1:11" s="9" customFormat="1" x14ac:dyDescent="0.2">
      <c r="A14" s="9" t="s">
        <v>84</v>
      </c>
      <c r="B14" s="10">
        <v>1.8499999999999999E-5</v>
      </c>
      <c r="C14" s="9" t="s">
        <v>57</v>
      </c>
      <c r="D14" s="9" t="s">
        <v>6</v>
      </c>
      <c r="F14" s="9" t="s">
        <v>17</v>
      </c>
      <c r="K14" s="9" t="s">
        <v>85</v>
      </c>
    </row>
    <row r="15" spans="1:11" s="9" customFormat="1" x14ac:dyDescent="0.2">
      <c r="A15" s="9" t="s">
        <v>86</v>
      </c>
      <c r="B15" s="10">
        <v>5.8399999999999999E-4</v>
      </c>
      <c r="C15" s="9" t="s">
        <v>52</v>
      </c>
      <c r="D15" s="9" t="s">
        <v>18</v>
      </c>
      <c r="F15" s="9" t="s">
        <v>17</v>
      </c>
      <c r="K15" s="9" t="s">
        <v>87</v>
      </c>
    </row>
    <row r="16" spans="1:11" s="9" customFormat="1" x14ac:dyDescent="0.2">
      <c r="A16" s="9" t="s">
        <v>88</v>
      </c>
      <c r="B16" s="10">
        <v>1.04E-10</v>
      </c>
      <c r="C16" s="9" t="s">
        <v>8</v>
      </c>
      <c r="D16" s="9" t="s">
        <v>5</v>
      </c>
      <c r="F16" s="9" t="s">
        <v>17</v>
      </c>
      <c r="K16" s="9" t="s">
        <v>89</v>
      </c>
    </row>
    <row r="17" spans="1:11" s="9" customFormat="1" x14ac:dyDescent="0.2">
      <c r="A17" s="9" t="s">
        <v>90</v>
      </c>
      <c r="B17" s="10">
        <v>-6.2700000000000001E-6</v>
      </c>
      <c r="C17" s="9" t="s">
        <v>52</v>
      </c>
      <c r="D17" s="9" t="s">
        <v>6</v>
      </c>
      <c r="F17" s="9" t="s">
        <v>17</v>
      </c>
      <c r="K17" s="9" t="s">
        <v>91</v>
      </c>
    </row>
    <row r="18" spans="1:11" s="9" customFormat="1" x14ac:dyDescent="0.2">
      <c r="A18" s="9" t="s">
        <v>92</v>
      </c>
      <c r="B18" s="10">
        <v>-5.0000000000000002E-5</v>
      </c>
      <c r="C18" s="9" t="s">
        <v>57</v>
      </c>
      <c r="D18" s="13" t="s">
        <v>22</v>
      </c>
      <c r="F18" s="9" t="s">
        <v>17</v>
      </c>
      <c r="K18" s="9" t="s">
        <v>93</v>
      </c>
    </row>
    <row r="19" spans="1:11" s="9" customFormat="1" x14ac:dyDescent="0.2">
      <c r="A19" s="9" t="s">
        <v>94</v>
      </c>
      <c r="B19" s="10">
        <v>6.8900000000000005E-4</v>
      </c>
      <c r="C19" s="9" t="s">
        <v>57</v>
      </c>
      <c r="D19" s="9" t="s">
        <v>6</v>
      </c>
      <c r="F19" s="9" t="s">
        <v>17</v>
      </c>
      <c r="K19" s="9" t="s">
        <v>95</v>
      </c>
    </row>
    <row r="20" spans="1:11" s="9" customFormat="1" x14ac:dyDescent="0.2">
      <c r="A20" s="9" t="s">
        <v>96</v>
      </c>
      <c r="B20" s="9">
        <v>3.3599999999999998E-2</v>
      </c>
      <c r="C20" s="9" t="s">
        <v>57</v>
      </c>
      <c r="D20" s="9" t="s">
        <v>97</v>
      </c>
      <c r="F20" s="9" t="s">
        <v>17</v>
      </c>
      <c r="K20" s="9" t="s">
        <v>98</v>
      </c>
    </row>
    <row r="21" spans="1:11" s="9" customFormat="1" x14ac:dyDescent="0.2">
      <c r="A21" s="9" t="s">
        <v>99</v>
      </c>
      <c r="B21" s="9">
        <v>3.2599999999999997E-2</v>
      </c>
      <c r="C21" s="9" t="s">
        <v>8</v>
      </c>
      <c r="D21" s="9" t="s">
        <v>97</v>
      </c>
      <c r="F21" s="9" t="s">
        <v>17</v>
      </c>
      <c r="K21" s="9" t="s">
        <v>100</v>
      </c>
    </row>
    <row r="22" spans="1:11" s="9" customFormat="1" x14ac:dyDescent="0.2">
      <c r="A22" s="9" t="s">
        <v>103</v>
      </c>
      <c r="B22" s="10">
        <v>-6.8899999999999999E-7</v>
      </c>
      <c r="C22" s="9" t="s">
        <v>57</v>
      </c>
      <c r="D22" s="9" t="s">
        <v>22</v>
      </c>
      <c r="F22" s="9" t="s">
        <v>17</v>
      </c>
      <c r="K22" s="9" t="s">
        <v>101</v>
      </c>
    </row>
    <row r="23" spans="1:11" s="9" customFormat="1" x14ac:dyDescent="0.2">
      <c r="A23" s="9" t="s">
        <v>122</v>
      </c>
      <c r="B23" s="10">
        <f>(B12-1)*3.14</f>
        <v>1.7897999999998727E-3</v>
      </c>
      <c r="D23" s="9" t="s">
        <v>6</v>
      </c>
      <c r="E23" s="9" t="s">
        <v>19</v>
      </c>
      <c r="F23" s="9" t="s">
        <v>20</v>
      </c>
    </row>
    <row r="24" spans="1:11" s="9" customFormat="1" ht="16" x14ac:dyDescent="0.2">
      <c r="A24" s="11"/>
      <c r="B24" s="14"/>
      <c r="G24" s="11"/>
    </row>
    <row r="25" spans="1:11" s="9" customFormat="1" ht="16" x14ac:dyDescent="0.2">
      <c r="A25" s="7" t="s">
        <v>0</v>
      </c>
      <c r="B25" s="7" t="s">
        <v>116</v>
      </c>
    </row>
    <row r="26" spans="1:11" s="9" customFormat="1" x14ac:dyDescent="0.2">
      <c r="A26" s="9" t="s">
        <v>7</v>
      </c>
      <c r="B26" s="9" t="s">
        <v>8</v>
      </c>
    </row>
    <row r="27" spans="1:11" s="9" customFormat="1" x14ac:dyDescent="0.2">
      <c r="A27" s="9" t="s">
        <v>1</v>
      </c>
      <c r="B27" s="9">
        <v>1</v>
      </c>
    </row>
    <row r="28" spans="1:11" s="9" customFormat="1" ht="16" x14ac:dyDescent="0.2">
      <c r="A28" s="9" t="s">
        <v>2</v>
      </c>
      <c r="B28" s="11" t="s">
        <v>102</v>
      </c>
    </row>
    <row r="29" spans="1:11" s="9" customFormat="1" x14ac:dyDescent="0.2">
      <c r="A29" s="9" t="s">
        <v>3</v>
      </c>
      <c r="B29" s="9" t="s">
        <v>4</v>
      </c>
    </row>
    <row r="30" spans="1:11" s="9" customFormat="1" x14ac:dyDescent="0.2">
      <c r="A30" s="9" t="s">
        <v>5</v>
      </c>
      <c r="B30" s="9" t="s">
        <v>6</v>
      </c>
    </row>
    <row r="31" spans="1:11" s="9" customFormat="1" ht="16" x14ac:dyDescent="0.2">
      <c r="A31" s="7" t="s">
        <v>10</v>
      </c>
    </row>
    <row r="32" spans="1:11" s="9" customFormat="1" x14ac:dyDescent="0.2">
      <c r="A32" s="9" t="s">
        <v>11</v>
      </c>
      <c r="B32" s="9" t="s">
        <v>12</v>
      </c>
      <c r="C32" s="9" t="s">
        <v>7</v>
      </c>
      <c r="D32" s="9" t="s">
        <v>5</v>
      </c>
      <c r="E32" s="9" t="s">
        <v>13</v>
      </c>
      <c r="F32" s="9" t="s">
        <v>3</v>
      </c>
      <c r="G32" s="9" t="s">
        <v>80</v>
      </c>
      <c r="H32" s="9" t="s">
        <v>81</v>
      </c>
      <c r="I32" s="9" t="s">
        <v>82</v>
      </c>
      <c r="J32" s="9" t="s">
        <v>9</v>
      </c>
      <c r="K32" s="9" t="s">
        <v>2</v>
      </c>
    </row>
    <row r="33" spans="1:11" s="9" customFormat="1" ht="16" x14ac:dyDescent="0.2">
      <c r="A33" s="9" t="s">
        <v>116</v>
      </c>
      <c r="B33" s="9">
        <v>1</v>
      </c>
      <c r="C33" s="9" t="s">
        <v>8</v>
      </c>
      <c r="D33" s="9" t="s">
        <v>6</v>
      </c>
      <c r="F33" s="9" t="s">
        <v>15</v>
      </c>
      <c r="I33" s="9">
        <v>100</v>
      </c>
      <c r="J33" s="9" t="s">
        <v>83</v>
      </c>
      <c r="K33" s="11" t="s">
        <v>102</v>
      </c>
    </row>
    <row r="34" spans="1:11" s="9" customFormat="1" x14ac:dyDescent="0.2">
      <c r="A34" s="9" t="s">
        <v>107</v>
      </c>
      <c r="B34" s="9">
        <v>1.00057</v>
      </c>
      <c r="C34" s="9" t="s">
        <v>8</v>
      </c>
      <c r="D34" s="9" t="s">
        <v>6</v>
      </c>
      <c r="F34" s="9" t="s">
        <v>17</v>
      </c>
      <c r="K34" s="9" t="s">
        <v>32</v>
      </c>
    </row>
    <row r="35" spans="1:11" s="9" customFormat="1" x14ac:dyDescent="0.2">
      <c r="A35" s="9" t="s">
        <v>23</v>
      </c>
      <c r="B35" s="9">
        <v>6.7000000000000002E-3</v>
      </c>
      <c r="C35" s="9" t="s">
        <v>8</v>
      </c>
      <c r="D35" s="9" t="s">
        <v>24</v>
      </c>
      <c r="F35" s="9" t="s">
        <v>17</v>
      </c>
      <c r="K35" s="9" t="s">
        <v>25</v>
      </c>
    </row>
    <row r="36" spans="1:11" s="9" customFormat="1" x14ac:dyDescent="0.2">
      <c r="A36" s="9" t="s">
        <v>84</v>
      </c>
      <c r="B36" s="9">
        <v>-1.6799999999999999E-4</v>
      </c>
      <c r="C36" s="9" t="s">
        <v>57</v>
      </c>
      <c r="D36" s="9" t="s">
        <v>6</v>
      </c>
      <c r="F36" s="9" t="s">
        <v>17</v>
      </c>
      <c r="K36" s="9" t="s">
        <v>85</v>
      </c>
    </row>
    <row r="37" spans="1:11" s="9" customFormat="1" x14ac:dyDescent="0.2">
      <c r="A37" s="9" t="s">
        <v>86</v>
      </c>
      <c r="B37" s="10">
        <v>5.8399999999999999E-4</v>
      </c>
      <c r="C37" s="9" t="s">
        <v>52</v>
      </c>
      <c r="D37" s="9" t="s">
        <v>18</v>
      </c>
      <c r="F37" s="9" t="s">
        <v>17</v>
      </c>
      <c r="K37" s="9" t="s">
        <v>87</v>
      </c>
    </row>
    <row r="38" spans="1:11" s="9" customFormat="1" x14ac:dyDescent="0.2">
      <c r="A38" s="9" t="s">
        <v>88</v>
      </c>
      <c r="B38" s="10">
        <v>2.5999999999999998E-10</v>
      </c>
      <c r="C38" s="9" t="s">
        <v>8</v>
      </c>
      <c r="D38" s="9" t="s">
        <v>5</v>
      </c>
      <c r="F38" s="9" t="s">
        <v>17</v>
      </c>
      <c r="K38" s="9" t="s">
        <v>89</v>
      </c>
    </row>
    <row r="39" spans="1:11" s="9" customFormat="1" x14ac:dyDescent="0.2">
      <c r="A39" s="9" t="s">
        <v>90</v>
      </c>
      <c r="B39" s="10">
        <v>-6.2700000000000001E-6</v>
      </c>
      <c r="C39" s="9" t="s">
        <v>52</v>
      </c>
      <c r="D39" s="9" t="s">
        <v>6</v>
      </c>
      <c r="F39" s="9" t="s">
        <v>17</v>
      </c>
      <c r="K39" s="9" t="s">
        <v>91</v>
      </c>
    </row>
    <row r="40" spans="1:11" s="9" customFormat="1" x14ac:dyDescent="0.2">
      <c r="A40" s="9" t="s">
        <v>92</v>
      </c>
      <c r="B40" s="10">
        <v>-7.4999999999999993E-5</v>
      </c>
      <c r="C40" s="9" t="s">
        <v>57</v>
      </c>
      <c r="D40" s="13" t="s">
        <v>22</v>
      </c>
      <c r="F40" s="9" t="s">
        <v>17</v>
      </c>
      <c r="K40" s="9" t="s">
        <v>93</v>
      </c>
    </row>
    <row r="41" spans="1:11" s="9" customFormat="1" x14ac:dyDescent="0.2">
      <c r="A41" s="9" t="s">
        <v>94</v>
      </c>
      <c r="B41" s="10">
        <v>6.8900000000000005E-4</v>
      </c>
      <c r="C41" s="9" t="s">
        <v>57</v>
      </c>
      <c r="D41" s="9" t="s">
        <v>6</v>
      </c>
      <c r="F41" s="9" t="s">
        <v>17</v>
      </c>
      <c r="K41" s="9" t="s">
        <v>95</v>
      </c>
    </row>
    <row r="42" spans="1:11" s="9" customFormat="1" x14ac:dyDescent="0.2">
      <c r="A42" s="9" t="s">
        <v>96</v>
      </c>
      <c r="B42" s="9">
        <v>3.3599999999999998E-2</v>
      </c>
      <c r="C42" s="9" t="s">
        <v>57</v>
      </c>
      <c r="D42" s="9" t="s">
        <v>97</v>
      </c>
      <c r="F42" s="9" t="s">
        <v>17</v>
      </c>
      <c r="K42" s="9" t="s">
        <v>98</v>
      </c>
    </row>
    <row r="43" spans="1:11" s="9" customFormat="1" x14ac:dyDescent="0.2">
      <c r="A43" s="9" t="s">
        <v>99</v>
      </c>
      <c r="B43" s="9">
        <v>3.2599999999999997E-2</v>
      </c>
      <c r="C43" s="9" t="s">
        <v>8</v>
      </c>
      <c r="D43" s="9" t="s">
        <v>97</v>
      </c>
      <c r="F43" s="9" t="s">
        <v>17</v>
      </c>
      <c r="K43" s="9" t="s">
        <v>100</v>
      </c>
    </row>
    <row r="44" spans="1:11" s="9" customFormat="1" x14ac:dyDescent="0.2">
      <c r="A44" s="9" t="s">
        <v>103</v>
      </c>
      <c r="B44" s="10">
        <v>-6.8899999999999999E-7</v>
      </c>
      <c r="C44" s="9" t="s">
        <v>57</v>
      </c>
      <c r="D44" s="9" t="s">
        <v>22</v>
      </c>
      <c r="F44" s="9" t="s">
        <v>17</v>
      </c>
      <c r="K44" s="9" t="s">
        <v>101</v>
      </c>
    </row>
    <row r="45" spans="1:11" s="9" customFormat="1" x14ac:dyDescent="0.2">
      <c r="A45" s="9" t="s">
        <v>122</v>
      </c>
      <c r="B45" s="10">
        <f>(B34-1)*3.14</f>
        <v>1.7897999999998727E-3</v>
      </c>
      <c r="D45" s="9" t="s">
        <v>6</v>
      </c>
      <c r="E45" s="9" t="s">
        <v>19</v>
      </c>
      <c r="F45" s="9" t="s">
        <v>20</v>
      </c>
    </row>
    <row r="46" spans="1:11" s="9" customFormat="1" ht="16" x14ac:dyDescent="0.2">
      <c r="A46" s="11"/>
      <c r="B46" s="14"/>
      <c r="G46" s="11"/>
    </row>
    <row r="47" spans="1:11" s="9" customFormat="1" ht="16" x14ac:dyDescent="0.2">
      <c r="A47" s="7" t="s">
        <v>0</v>
      </c>
      <c r="B47" s="7" t="s">
        <v>117</v>
      </c>
    </row>
    <row r="48" spans="1:11" s="9" customFormat="1" x14ac:dyDescent="0.2">
      <c r="A48" s="9" t="s">
        <v>7</v>
      </c>
      <c r="B48" s="9" t="s">
        <v>8</v>
      </c>
    </row>
    <row r="49" spans="1:11" s="9" customFormat="1" x14ac:dyDescent="0.2">
      <c r="A49" s="9" t="s">
        <v>1</v>
      </c>
      <c r="B49" s="9">
        <v>1</v>
      </c>
    </row>
    <row r="50" spans="1:11" s="9" customFormat="1" ht="16" x14ac:dyDescent="0.2">
      <c r="A50" s="9" t="s">
        <v>2</v>
      </c>
      <c r="B50" s="11" t="s">
        <v>105</v>
      </c>
    </row>
    <row r="51" spans="1:11" s="9" customFormat="1" x14ac:dyDescent="0.2">
      <c r="A51" s="9" t="s">
        <v>3</v>
      </c>
      <c r="B51" s="9" t="s">
        <v>4</v>
      </c>
    </row>
    <row r="52" spans="1:11" s="9" customFormat="1" x14ac:dyDescent="0.2">
      <c r="A52" s="9" t="s">
        <v>5</v>
      </c>
      <c r="B52" s="9" t="s">
        <v>6</v>
      </c>
    </row>
    <row r="53" spans="1:11" s="9" customFormat="1" ht="16" x14ac:dyDescent="0.2">
      <c r="A53" s="7" t="s">
        <v>10</v>
      </c>
    </row>
    <row r="54" spans="1:11" s="9" customFormat="1" x14ac:dyDescent="0.2">
      <c r="A54" s="9" t="s">
        <v>11</v>
      </c>
      <c r="B54" s="9" t="s">
        <v>12</v>
      </c>
      <c r="C54" s="9" t="s">
        <v>7</v>
      </c>
      <c r="D54" s="9" t="s">
        <v>5</v>
      </c>
      <c r="E54" s="9" t="s">
        <v>13</v>
      </c>
      <c r="F54" s="9" t="s">
        <v>3</v>
      </c>
      <c r="G54" s="9" t="s">
        <v>80</v>
      </c>
      <c r="H54" s="9" t="s">
        <v>81</v>
      </c>
      <c r="I54" s="9" t="s">
        <v>82</v>
      </c>
      <c r="J54" s="9" t="s">
        <v>9</v>
      </c>
      <c r="K54" s="9" t="s">
        <v>2</v>
      </c>
    </row>
    <row r="55" spans="1:11" s="9" customFormat="1" ht="16" x14ac:dyDescent="0.2">
      <c r="A55" s="9" t="s">
        <v>117</v>
      </c>
      <c r="B55" s="9">
        <v>1</v>
      </c>
      <c r="C55" s="9" t="s">
        <v>8</v>
      </c>
      <c r="D55" s="9" t="s">
        <v>6</v>
      </c>
      <c r="F55" s="9" t="s">
        <v>15</v>
      </c>
      <c r="I55" s="9">
        <v>100</v>
      </c>
      <c r="J55" s="9" t="s">
        <v>83</v>
      </c>
      <c r="K55" s="11" t="s">
        <v>105</v>
      </c>
    </row>
    <row r="56" spans="1:11" s="9" customFormat="1" x14ac:dyDescent="0.2">
      <c r="A56" s="9" t="s">
        <v>108</v>
      </c>
      <c r="B56" s="9">
        <v>1.00057</v>
      </c>
      <c r="C56" s="9" t="s">
        <v>8</v>
      </c>
      <c r="D56" s="9" t="s">
        <v>6</v>
      </c>
      <c r="F56" s="9" t="s">
        <v>17</v>
      </c>
      <c r="K56" s="9" t="s">
        <v>39</v>
      </c>
    </row>
    <row r="57" spans="1:11" s="9" customFormat="1" x14ac:dyDescent="0.2">
      <c r="A57" s="9" t="s">
        <v>23</v>
      </c>
      <c r="B57" s="9">
        <v>6.7000000000000002E-3</v>
      </c>
      <c r="C57" s="9" t="s">
        <v>8</v>
      </c>
      <c r="D57" s="9" t="s">
        <v>24</v>
      </c>
      <c r="F57" s="9" t="s">
        <v>17</v>
      </c>
      <c r="K57" s="9" t="s">
        <v>25</v>
      </c>
    </row>
    <row r="58" spans="1:11" s="9" customFormat="1" x14ac:dyDescent="0.2">
      <c r="A58" s="9" t="s">
        <v>84</v>
      </c>
      <c r="B58" s="10">
        <v>1.8499999999999999E-5</v>
      </c>
      <c r="C58" s="9" t="s">
        <v>57</v>
      </c>
      <c r="D58" s="9" t="s">
        <v>6</v>
      </c>
      <c r="F58" s="9" t="s">
        <v>17</v>
      </c>
      <c r="K58" s="9" t="s">
        <v>85</v>
      </c>
    </row>
    <row r="59" spans="1:11" s="9" customFormat="1" x14ac:dyDescent="0.2">
      <c r="A59" s="9" t="s">
        <v>86</v>
      </c>
      <c r="B59" s="10">
        <v>5.8399999999999999E-4</v>
      </c>
      <c r="C59" s="9" t="s">
        <v>52</v>
      </c>
      <c r="D59" s="9" t="s">
        <v>18</v>
      </c>
      <c r="F59" s="9" t="s">
        <v>17</v>
      </c>
      <c r="K59" s="9" t="s">
        <v>87</v>
      </c>
    </row>
    <row r="60" spans="1:11" s="9" customFormat="1" x14ac:dyDescent="0.2">
      <c r="A60" s="9" t="s">
        <v>88</v>
      </c>
      <c r="B60" s="10">
        <v>1.04E-10</v>
      </c>
      <c r="C60" s="9" t="s">
        <v>8</v>
      </c>
      <c r="D60" s="9" t="s">
        <v>5</v>
      </c>
      <c r="F60" s="9" t="s">
        <v>17</v>
      </c>
      <c r="K60" s="9" t="s">
        <v>89</v>
      </c>
    </row>
    <row r="61" spans="1:11" s="9" customFormat="1" x14ac:dyDescent="0.2">
      <c r="A61" s="9" t="s">
        <v>90</v>
      </c>
      <c r="B61" s="10">
        <v>-6.2700000000000001E-6</v>
      </c>
      <c r="C61" s="9" t="s">
        <v>52</v>
      </c>
      <c r="D61" s="9" t="s">
        <v>6</v>
      </c>
      <c r="F61" s="9" t="s">
        <v>17</v>
      </c>
      <c r="K61" s="9" t="s">
        <v>91</v>
      </c>
    </row>
    <row r="62" spans="1:11" s="9" customFormat="1" x14ac:dyDescent="0.2">
      <c r="A62" s="9" t="s">
        <v>92</v>
      </c>
      <c r="B62" s="10">
        <v>-5.0000000000000002E-5</v>
      </c>
      <c r="C62" s="9" t="s">
        <v>57</v>
      </c>
      <c r="D62" s="13" t="s">
        <v>22</v>
      </c>
      <c r="F62" s="9" t="s">
        <v>17</v>
      </c>
      <c r="K62" s="9" t="s">
        <v>93</v>
      </c>
    </row>
    <row r="63" spans="1:11" s="9" customFormat="1" x14ac:dyDescent="0.2">
      <c r="A63" s="9" t="s">
        <v>94</v>
      </c>
      <c r="B63" s="10">
        <v>6.8900000000000005E-4</v>
      </c>
      <c r="C63" s="9" t="s">
        <v>57</v>
      </c>
      <c r="D63" s="9" t="s">
        <v>6</v>
      </c>
      <c r="F63" s="9" t="s">
        <v>17</v>
      </c>
      <c r="K63" s="9" t="s">
        <v>95</v>
      </c>
    </row>
    <row r="64" spans="1:11" s="9" customFormat="1" x14ac:dyDescent="0.2">
      <c r="A64" s="9" t="s">
        <v>96</v>
      </c>
      <c r="B64" s="9">
        <v>3.3599999999999998E-2</v>
      </c>
      <c r="C64" s="9" t="s">
        <v>57</v>
      </c>
      <c r="D64" s="9" t="s">
        <v>97</v>
      </c>
      <c r="F64" s="9" t="s">
        <v>17</v>
      </c>
      <c r="K64" s="9" t="s">
        <v>98</v>
      </c>
    </row>
    <row r="65" spans="1:11" s="9" customFormat="1" x14ac:dyDescent="0.2">
      <c r="A65" s="9" t="s">
        <v>99</v>
      </c>
      <c r="B65" s="9">
        <v>3.2599999999999997E-2</v>
      </c>
      <c r="C65" s="9" t="s">
        <v>8</v>
      </c>
      <c r="D65" s="9" t="s">
        <v>97</v>
      </c>
      <c r="F65" s="9" t="s">
        <v>17</v>
      </c>
      <c r="K65" s="9" t="s">
        <v>100</v>
      </c>
    </row>
    <row r="66" spans="1:11" s="9" customFormat="1" x14ac:dyDescent="0.2">
      <c r="A66" s="9" t="s">
        <v>103</v>
      </c>
      <c r="B66" s="10">
        <v>-6.8899999999999999E-7</v>
      </c>
      <c r="C66" s="9" t="s">
        <v>57</v>
      </c>
      <c r="D66" s="9" t="s">
        <v>22</v>
      </c>
      <c r="F66" s="9" t="s">
        <v>17</v>
      </c>
      <c r="K66" s="9" t="s">
        <v>101</v>
      </c>
    </row>
    <row r="67" spans="1:11" s="9" customFormat="1" x14ac:dyDescent="0.2">
      <c r="A67" s="9" t="s">
        <v>122</v>
      </c>
      <c r="B67" s="10">
        <f>(B56-1)*3.14</f>
        <v>1.7897999999998727E-3</v>
      </c>
      <c r="D67" s="9" t="s">
        <v>6</v>
      </c>
      <c r="E67" s="9" t="s">
        <v>19</v>
      </c>
      <c r="F67" s="9" t="s">
        <v>20</v>
      </c>
    </row>
    <row r="68" spans="1:11" s="9" customFormat="1" ht="16" x14ac:dyDescent="0.2">
      <c r="A68" s="11"/>
      <c r="B68" s="14"/>
      <c r="G68" s="11"/>
    </row>
    <row r="69" spans="1:11" s="9" customFormat="1" ht="16" x14ac:dyDescent="0.2">
      <c r="A69" s="7" t="s">
        <v>0</v>
      </c>
      <c r="B69" s="7" t="s">
        <v>118</v>
      </c>
    </row>
    <row r="70" spans="1:11" s="9" customFormat="1" x14ac:dyDescent="0.2">
      <c r="A70" s="9" t="s">
        <v>7</v>
      </c>
      <c r="B70" s="9" t="s">
        <v>8</v>
      </c>
    </row>
    <row r="71" spans="1:11" s="9" customFormat="1" x14ac:dyDescent="0.2">
      <c r="A71" s="9" t="s">
        <v>1</v>
      </c>
      <c r="B71" s="9">
        <v>1</v>
      </c>
    </row>
    <row r="72" spans="1:11" s="9" customFormat="1" ht="16" x14ac:dyDescent="0.2">
      <c r="A72" s="9" t="s">
        <v>2</v>
      </c>
      <c r="B72" s="11" t="s">
        <v>102</v>
      </c>
    </row>
    <row r="73" spans="1:11" s="9" customFormat="1" x14ac:dyDescent="0.2">
      <c r="A73" s="9" t="s">
        <v>3</v>
      </c>
      <c r="B73" s="9" t="s">
        <v>4</v>
      </c>
    </row>
    <row r="74" spans="1:11" s="9" customFormat="1" x14ac:dyDescent="0.2">
      <c r="A74" s="9" t="s">
        <v>5</v>
      </c>
      <c r="B74" s="9" t="s">
        <v>6</v>
      </c>
    </row>
    <row r="75" spans="1:11" s="9" customFormat="1" ht="16" x14ac:dyDescent="0.2">
      <c r="A75" s="7" t="s">
        <v>10</v>
      </c>
    </row>
    <row r="76" spans="1:11" s="9" customFormat="1" x14ac:dyDescent="0.2">
      <c r="A76" s="9" t="s">
        <v>11</v>
      </c>
      <c r="B76" s="9" t="s">
        <v>12</v>
      </c>
      <c r="C76" s="9" t="s">
        <v>7</v>
      </c>
      <c r="D76" s="9" t="s">
        <v>5</v>
      </c>
      <c r="E76" s="9" t="s">
        <v>13</v>
      </c>
      <c r="F76" s="9" t="s">
        <v>3</v>
      </c>
      <c r="G76" s="9" t="s">
        <v>80</v>
      </c>
      <c r="H76" s="9" t="s">
        <v>81</v>
      </c>
      <c r="I76" s="9" t="s">
        <v>82</v>
      </c>
      <c r="J76" s="9" t="s">
        <v>9</v>
      </c>
      <c r="K76" s="9" t="s">
        <v>2</v>
      </c>
    </row>
    <row r="77" spans="1:11" s="9" customFormat="1" ht="16" x14ac:dyDescent="0.2">
      <c r="A77" s="9" t="s">
        <v>118</v>
      </c>
      <c r="B77" s="9">
        <v>1</v>
      </c>
      <c r="C77" s="9" t="s">
        <v>8</v>
      </c>
      <c r="D77" s="9" t="s">
        <v>6</v>
      </c>
      <c r="F77" s="9" t="s">
        <v>15</v>
      </c>
      <c r="I77" s="9">
        <v>100</v>
      </c>
      <c r="J77" s="9" t="s">
        <v>83</v>
      </c>
      <c r="K77" s="11" t="s">
        <v>102</v>
      </c>
    </row>
    <row r="78" spans="1:11" s="9" customFormat="1" x14ac:dyDescent="0.2">
      <c r="A78" s="9" t="s">
        <v>109</v>
      </c>
      <c r="B78" s="9">
        <v>1.00057</v>
      </c>
      <c r="C78" s="9" t="s">
        <v>8</v>
      </c>
      <c r="D78" s="9" t="s">
        <v>6</v>
      </c>
      <c r="F78" s="9" t="s">
        <v>17</v>
      </c>
      <c r="K78" s="9" t="s">
        <v>32</v>
      </c>
    </row>
    <row r="79" spans="1:11" s="9" customFormat="1" x14ac:dyDescent="0.2">
      <c r="A79" s="9" t="s">
        <v>23</v>
      </c>
      <c r="B79" s="9">
        <v>6.7000000000000002E-3</v>
      </c>
      <c r="C79" s="9" t="s">
        <v>8</v>
      </c>
      <c r="D79" s="9" t="s">
        <v>24</v>
      </c>
      <c r="F79" s="9" t="s">
        <v>17</v>
      </c>
      <c r="K79" s="9" t="s">
        <v>25</v>
      </c>
    </row>
    <row r="80" spans="1:11" s="9" customFormat="1" x14ac:dyDescent="0.2">
      <c r="A80" s="9" t="s">
        <v>84</v>
      </c>
      <c r="B80" s="9">
        <v>-1.6799999999999999E-4</v>
      </c>
      <c r="C80" s="9" t="s">
        <v>57</v>
      </c>
      <c r="D80" s="9" t="s">
        <v>6</v>
      </c>
      <c r="F80" s="9" t="s">
        <v>17</v>
      </c>
      <c r="K80" s="9" t="s">
        <v>85</v>
      </c>
    </row>
    <row r="81" spans="1:11" s="9" customFormat="1" x14ac:dyDescent="0.2">
      <c r="A81" s="9" t="s">
        <v>86</v>
      </c>
      <c r="B81" s="10">
        <v>5.8399999999999999E-4</v>
      </c>
      <c r="C81" s="9" t="s">
        <v>52</v>
      </c>
      <c r="D81" s="9" t="s">
        <v>18</v>
      </c>
      <c r="F81" s="9" t="s">
        <v>17</v>
      </c>
      <c r="K81" s="9" t="s">
        <v>87</v>
      </c>
    </row>
    <row r="82" spans="1:11" s="9" customFormat="1" x14ac:dyDescent="0.2">
      <c r="A82" s="9" t="s">
        <v>88</v>
      </c>
      <c r="B82" s="10">
        <v>2.5999999999999998E-10</v>
      </c>
      <c r="C82" s="9" t="s">
        <v>8</v>
      </c>
      <c r="D82" s="9" t="s">
        <v>5</v>
      </c>
      <c r="F82" s="9" t="s">
        <v>17</v>
      </c>
      <c r="K82" s="9" t="s">
        <v>89</v>
      </c>
    </row>
    <row r="83" spans="1:11" s="9" customFormat="1" x14ac:dyDescent="0.2">
      <c r="A83" s="9" t="s">
        <v>90</v>
      </c>
      <c r="B83" s="10">
        <v>-6.2700000000000001E-6</v>
      </c>
      <c r="C83" s="9" t="s">
        <v>52</v>
      </c>
      <c r="D83" s="9" t="s">
        <v>6</v>
      </c>
      <c r="F83" s="9" t="s">
        <v>17</v>
      </c>
      <c r="K83" s="9" t="s">
        <v>91</v>
      </c>
    </row>
    <row r="84" spans="1:11" s="9" customFormat="1" x14ac:dyDescent="0.2">
      <c r="A84" s="9" t="s">
        <v>92</v>
      </c>
      <c r="B84" s="10">
        <v>-7.4999999999999993E-5</v>
      </c>
      <c r="C84" s="9" t="s">
        <v>57</v>
      </c>
      <c r="D84" s="13" t="s">
        <v>22</v>
      </c>
      <c r="F84" s="9" t="s">
        <v>17</v>
      </c>
      <c r="K84" s="9" t="s">
        <v>93</v>
      </c>
    </row>
    <row r="85" spans="1:11" s="9" customFormat="1" x14ac:dyDescent="0.2">
      <c r="A85" s="9" t="s">
        <v>94</v>
      </c>
      <c r="B85" s="10">
        <v>6.8900000000000005E-4</v>
      </c>
      <c r="C85" s="9" t="s">
        <v>57</v>
      </c>
      <c r="D85" s="9" t="s">
        <v>6</v>
      </c>
      <c r="F85" s="9" t="s">
        <v>17</v>
      </c>
      <c r="K85" s="9" t="s">
        <v>95</v>
      </c>
    </row>
    <row r="86" spans="1:11" s="9" customFormat="1" x14ac:dyDescent="0.2">
      <c r="A86" s="9" t="s">
        <v>96</v>
      </c>
      <c r="B86" s="9">
        <v>3.3599999999999998E-2</v>
      </c>
      <c r="C86" s="9" t="s">
        <v>57</v>
      </c>
      <c r="D86" s="9" t="s">
        <v>97</v>
      </c>
      <c r="F86" s="9" t="s">
        <v>17</v>
      </c>
      <c r="K86" s="9" t="s">
        <v>98</v>
      </c>
    </row>
    <row r="87" spans="1:11" s="9" customFormat="1" x14ac:dyDescent="0.2">
      <c r="A87" s="9" t="s">
        <v>99</v>
      </c>
      <c r="B87" s="9">
        <v>3.2599999999999997E-2</v>
      </c>
      <c r="C87" s="9" t="s">
        <v>8</v>
      </c>
      <c r="D87" s="9" t="s">
        <v>97</v>
      </c>
      <c r="F87" s="9" t="s">
        <v>17</v>
      </c>
      <c r="K87" s="9" t="s">
        <v>100</v>
      </c>
    </row>
    <row r="88" spans="1:11" s="9" customFormat="1" x14ac:dyDescent="0.2">
      <c r="A88" s="9" t="s">
        <v>103</v>
      </c>
      <c r="B88" s="10">
        <v>-6.8899999999999999E-7</v>
      </c>
      <c r="C88" s="9" t="s">
        <v>57</v>
      </c>
      <c r="D88" s="9" t="s">
        <v>22</v>
      </c>
      <c r="F88" s="9" t="s">
        <v>17</v>
      </c>
      <c r="K88" s="9" t="s">
        <v>101</v>
      </c>
    </row>
    <row r="89" spans="1:11" s="9" customFormat="1" x14ac:dyDescent="0.2">
      <c r="A89" s="9" t="s">
        <v>122</v>
      </c>
      <c r="B89" s="10">
        <f>(B78-1)*3.14</f>
        <v>1.7897999999998727E-3</v>
      </c>
      <c r="D89" s="9" t="s">
        <v>6</v>
      </c>
      <c r="E89" s="9" t="s">
        <v>19</v>
      </c>
      <c r="F89" s="9" t="s">
        <v>20</v>
      </c>
    </row>
    <row r="90" spans="1:11" s="9" customFormat="1" ht="16" x14ac:dyDescent="0.2">
      <c r="A90" s="11"/>
      <c r="B90" s="14"/>
      <c r="G90" s="11"/>
    </row>
    <row r="91" spans="1:11" s="9" customFormat="1" ht="16" x14ac:dyDescent="0.2">
      <c r="A91" s="7" t="s">
        <v>0</v>
      </c>
      <c r="B91" s="8" t="s">
        <v>106</v>
      </c>
    </row>
    <row r="92" spans="1:11" s="9" customFormat="1" x14ac:dyDescent="0.2">
      <c r="A92" s="9" t="s">
        <v>1</v>
      </c>
      <c r="B92" s="9">
        <v>1</v>
      </c>
    </row>
    <row r="93" spans="1:11" s="9" customFormat="1" x14ac:dyDescent="0.2">
      <c r="A93" s="9" t="s">
        <v>2</v>
      </c>
      <c r="B93" s="9" t="s">
        <v>39</v>
      </c>
    </row>
    <row r="94" spans="1:11" s="9" customFormat="1" x14ac:dyDescent="0.2">
      <c r="A94" s="9" t="s">
        <v>3</v>
      </c>
      <c r="B94" s="9" t="s">
        <v>4</v>
      </c>
    </row>
    <row r="95" spans="1:11" s="9" customFormat="1" x14ac:dyDescent="0.2">
      <c r="A95" s="9" t="s">
        <v>5</v>
      </c>
      <c r="B95" s="9" t="s">
        <v>6</v>
      </c>
    </row>
    <row r="96" spans="1:11" s="9" customFormat="1" x14ac:dyDescent="0.2">
      <c r="A96" s="9" t="s">
        <v>7</v>
      </c>
      <c r="B96" s="9" t="s">
        <v>8</v>
      </c>
    </row>
    <row r="97" spans="1:9" s="9" customFormat="1" x14ac:dyDescent="0.2">
      <c r="A97" s="9" t="s">
        <v>9</v>
      </c>
      <c r="B97" s="9" t="inlineStr">
        <is>
          <t>APPROVED GTL LIFETIME-OUTPUT REFERENCE ASSUMPTION, 2026-10-18. Van der Giesen et al. (2014), DOI 10.1021/es500191g, SI https://doi.org/10.1021/es500191g.s001, page S10 and Table S22, gives 18000 tonnes fuel/day, 300 operating days/year and 30 years. Adopt that published production calendar as the reference for the existing GTL equipment: 1/(18000*1000*300*30) = 6.172839506172839E-12 plant units/kg fuel, replacing the inconsistent transcribed 6.7E-12. USER-APPROVED OPERATING ASSUMPTION: this uses the published reference output/calendar; it does not establish measured operation, future plant duty or complete catalyst coverage. Existing product-allocation keys, fuel output and construction recipe remain unchanged. No new hardware, metal-content factors, credits or primary/secondary shares. Prior references to the former dose or preserved lifetime allocation are superseded only for this coefficient.
PREVIOUS NOTES (retained as history; the correction above takes precedence):
Adapted from van der Giesen et al. 2014. LHV: 45 MJ/kg, Formula: C13H18, Density: 7551 kg/m3. Economic allocation between 3 other co-products. Allocation key for this co-product: 6%.</t>
        </is>
      </c>
    </row>
    <row r="98" spans="1:9" s="9" customFormat="1" x14ac:dyDescent="0.2">
      <c r="A98" s="9" t="s">
        <v>34</v>
      </c>
      <c r="B98" s="9" t="s">
        <v>35</v>
      </c>
    </row>
    <row r="99" spans="1:9" s="9" customFormat="1" ht="16" x14ac:dyDescent="0.2">
      <c r="A99" s="7" t="s">
        <v>10</v>
      </c>
    </row>
    <row r="100" spans="1:9" s="9" customFormat="1" x14ac:dyDescent="0.2">
      <c r="A100" s="9" t="s">
        <v>11</v>
      </c>
      <c r="B100" s="9" t="s">
        <v>12</v>
      </c>
      <c r="C100" s="9" t="s">
        <v>7</v>
      </c>
      <c r="D100" s="9" t="s">
        <v>5</v>
      </c>
      <c r="E100" s="9" t="s">
        <v>13</v>
      </c>
      <c r="F100" s="9" t="s">
        <v>3</v>
      </c>
      <c r="G100" s="9" t="s">
        <v>2</v>
      </c>
      <c r="H100" s="9" t="s">
        <v>14</v>
      </c>
      <c r="I100" s="9" t="s">
        <v>9</v>
      </c>
    </row>
    <row r="101" spans="1:9" s="9" customFormat="1" x14ac:dyDescent="0.2">
      <c r="A101" s="9" t="s">
        <v>106</v>
      </c>
      <c r="B101" s="9">
        <v>1</v>
      </c>
      <c r="C101" s="9" t="s">
        <v>8</v>
      </c>
      <c r="D101" s="9" t="s">
        <v>6</v>
      </c>
      <c r="F101" s="9" t="s">
        <v>15</v>
      </c>
      <c r="G101" s="9" t="s">
        <v>39</v>
      </c>
      <c r="H101" s="9" t="s">
        <v>36</v>
      </c>
      <c r="I101" s="9" t="s">
        <v>16</v>
      </c>
    </row>
    <row r="102" spans="1:9" s="9" customFormat="1" x14ac:dyDescent="0.2">
      <c r="A102" s="9" t="s">
        <v>114</v>
      </c>
      <c r="B102" s="9">
        <v>0.73</v>
      </c>
      <c r="C102" s="9" t="s">
        <v>8</v>
      </c>
      <c r="D102" s="9" t="s">
        <v>6</v>
      </c>
      <c r="F102" s="9" t="s">
        <v>17</v>
      </c>
      <c r="G102" s="9" t="s">
        <v>114</v>
      </c>
      <c r="H102" s="9" t="s">
        <v>36</v>
      </c>
    </row>
    <row r="103" spans="1:9" s="9" customFormat="1" x14ac:dyDescent="0.2">
      <c r="A103" s="9" t="s">
        <v>146</v>
      </c>
      <c r="B103" s="9">
        <f>3.64160231884058*0.06</f>
        <v>0.21849613913043478</v>
      </c>
      <c r="D103" s="9" t="s">
        <v>18</v>
      </c>
      <c r="E103" s="9" t="s">
        <v>19</v>
      </c>
      <c r="F103" s="9" t="s">
        <v>20</v>
      </c>
      <c r="H103" s="9" t="s">
        <v>21</v>
      </c>
    </row>
    <row r="104" spans="1:9" s="9" customFormat="1" x14ac:dyDescent="0.2">
      <c r="A104" s="9" t="s">
        <v>147</v>
      </c>
      <c r="B104" s="9">
        <f>0.00107549913043478*0.06</f>
        <v>6.45299478260868E-5</v>
      </c>
      <c r="D104" s="9" t="s">
        <v>22</v>
      </c>
      <c r="E104" s="9" t="s">
        <v>148</v>
      </c>
      <c r="F104" s="9" t="s">
        <v>20</v>
      </c>
      <c r="H104" s="9" t="s">
        <v>21</v>
      </c>
    </row>
    <row r="105" spans="1:9" s="9" customFormat="1" x14ac:dyDescent="0.2">
      <c r="A105" s="9" t="s">
        <v>37</v>
      </c>
      <c r="B105" s="10">
        <v>6.172839506172839e-12</v>
      </c>
      <c r="C105" s="9" t="s">
        <v>27</v>
      </c>
      <c r="D105" s="9" t="s">
        <v>5</v>
      </c>
      <c r="F105" s="9" t="s">
        <v>17</v>
      </c>
      <c r="G105" s="9" t="s">
        <v>38</v>
      </c>
      <c r="H105" s="9" t="s">
        <v>36</v>
      </c>
    </row>
    <row r="106" spans="1:9" s="9" customFormat="1" x14ac:dyDescent="0.2">
      <c r="A106" s="9" t="s">
        <v>124</v>
      </c>
      <c r="B106" s="9">
        <v>2.14</v>
      </c>
      <c r="D106" s="9" t="s">
        <v>6</v>
      </c>
      <c r="E106" s="9" t="s">
        <v>123</v>
      </c>
      <c r="F106" s="9" t="s">
        <v>20</v>
      </c>
      <c r="H106" s="9" t="s">
        <v>21</v>
      </c>
    </row>
    <row r="107" spans="1:9" s="9" customFormat="1" x14ac:dyDescent="0.2">
      <c r="A107" s="9" t="s">
        <v>23</v>
      </c>
      <c r="B107" s="10">
        <f>0.0872420618556701*0.06</f>
        <v>5.234523711340206E-3</v>
      </c>
      <c r="C107" s="9" t="s">
        <v>8</v>
      </c>
      <c r="D107" s="9" t="s">
        <v>24</v>
      </c>
      <c r="F107" s="9" t="s">
        <v>17</v>
      </c>
      <c r="G107" s="9" t="s">
        <v>25</v>
      </c>
      <c r="H107" s="9" t="s">
        <v>149</v>
      </c>
    </row>
    <row r="108" spans="1:9" s="9" customFormat="1" x14ac:dyDescent="0.2"/>
    <row r="109" spans="1:9" s="9" customFormat="1" ht="16" x14ac:dyDescent="0.2">
      <c r="A109" s="7" t="s">
        <v>0</v>
      </c>
      <c r="B109" s="8" t="s">
        <v>110</v>
      </c>
    </row>
    <row r="110" spans="1:9" s="9" customFormat="1" x14ac:dyDescent="0.2">
      <c r="A110" s="9" t="s">
        <v>1</v>
      </c>
      <c r="B110" s="9">
        <v>1</v>
      </c>
    </row>
    <row r="111" spans="1:9" s="9" customFormat="1" x14ac:dyDescent="0.2">
      <c r="A111" s="9" t="s">
        <v>2</v>
      </c>
      <c r="B111" s="9" t="s">
        <v>41</v>
      </c>
    </row>
    <row r="112" spans="1:9" s="9" customFormat="1" x14ac:dyDescent="0.2">
      <c r="A112" s="9" t="s">
        <v>3</v>
      </c>
      <c r="B112" s="9" t="s">
        <v>4</v>
      </c>
    </row>
    <row r="113" spans="1:9" s="9" customFormat="1" x14ac:dyDescent="0.2">
      <c r="A113" s="9" t="s">
        <v>5</v>
      </c>
      <c r="B113" s="9" t="s">
        <v>6</v>
      </c>
    </row>
    <row r="114" spans="1:9" s="9" customFormat="1" x14ac:dyDescent="0.2">
      <c r="A114" s="9" t="s">
        <v>7</v>
      </c>
      <c r="B114" s="9" t="s">
        <v>8</v>
      </c>
    </row>
    <row r="115" spans="1:9" s="9" customFormat="1" x14ac:dyDescent="0.2">
      <c r="A115" s="9" t="s">
        <v>9</v>
      </c>
      <c r="B115" s="9" t="inlineStr">
        <is>
          <t>APPROVED GTL LIFETIME-OUTPUT REFERENCE ASSUMPTION, 2026-10-18. Van der Giesen et al. (2014), DOI 10.1021/es500191g, SI https://doi.org/10.1021/es500191g.s001, page S10 and Table S22, gives 18000 tonnes fuel/day, 300 operating days/year and 30 years. Adopt that published production calendar as the reference for the existing GTL equipment: 1/(18000*1000*300*30) = 6.172839506172839E-12 plant units/kg fuel, replacing the inconsistent transcribed 6.7E-12. USER-APPROVED OPERATING ASSUMPTION: this uses the published reference output/calendar; it does not establish measured operation, future plant duty or complete catalyst coverage. Existing product-allocation keys, fuel output and construction recipe remain unchanged. No new hardware, metal-content factors, credits or primary/secondary shares. Prior references to the former dose or preserved lifetime allocation are superseded only for this coefficient.
PREVIOUS NOTES (retained as history; the correction above takes precedence):
Adapted from van der Giesen et al. 2014. LHV: 44.5 MJ/kg, Formula: C13H18, Density: 7551 kg/m3. Economic allocation between 3 other co-products. Allocation key for this co-product: 7%.</t>
        </is>
      </c>
    </row>
    <row r="116" spans="1:9" s="9" customFormat="1" x14ac:dyDescent="0.2">
      <c r="A116" s="9" t="s">
        <v>34</v>
      </c>
      <c r="B116" s="9" t="s">
        <v>35</v>
      </c>
    </row>
    <row r="117" spans="1:9" s="9" customFormat="1" ht="16" x14ac:dyDescent="0.2">
      <c r="A117" s="7" t="s">
        <v>10</v>
      </c>
    </row>
    <row r="118" spans="1:9" s="9" customFormat="1" x14ac:dyDescent="0.2">
      <c r="A118" s="9" t="s">
        <v>11</v>
      </c>
      <c r="B118" s="9" t="s">
        <v>12</v>
      </c>
      <c r="C118" s="9" t="s">
        <v>7</v>
      </c>
      <c r="D118" s="9" t="s">
        <v>5</v>
      </c>
      <c r="E118" s="9" t="s">
        <v>13</v>
      </c>
      <c r="F118" s="9" t="s">
        <v>3</v>
      </c>
      <c r="G118" s="9" t="s">
        <v>2</v>
      </c>
      <c r="H118" s="9" t="s">
        <v>14</v>
      </c>
      <c r="I118" s="9" t="s">
        <v>9</v>
      </c>
    </row>
    <row r="119" spans="1:9" s="9" customFormat="1" x14ac:dyDescent="0.2">
      <c r="A119" s="9" t="s">
        <v>110</v>
      </c>
      <c r="B119" s="9">
        <v>1</v>
      </c>
      <c r="C119" s="9" t="s">
        <v>8</v>
      </c>
      <c r="D119" s="9" t="s">
        <v>6</v>
      </c>
      <c r="F119" s="9" t="s">
        <v>15</v>
      </c>
      <c r="G119" s="9" t="s">
        <v>41</v>
      </c>
      <c r="H119" s="9" t="s">
        <v>36</v>
      </c>
    </row>
    <row r="120" spans="1:9" s="9" customFormat="1" x14ac:dyDescent="0.2">
      <c r="A120" s="9" t="s">
        <v>114</v>
      </c>
      <c r="B120" s="9">
        <v>0.65</v>
      </c>
      <c r="C120" s="9" t="s">
        <v>8</v>
      </c>
      <c r="D120" s="9" t="s">
        <v>6</v>
      </c>
      <c r="F120" s="9" t="s">
        <v>17</v>
      </c>
      <c r="G120" s="9" t="s">
        <v>114</v>
      </c>
      <c r="H120" s="9" t="s">
        <v>36</v>
      </c>
    </row>
    <row r="121" spans="1:9" s="9" customFormat="1" x14ac:dyDescent="0.2">
      <c r="A121" s="9" t="s">
        <v>146</v>
      </c>
      <c r="B121" s="9">
        <f>3.64160231884058*0.07</f>
        <v>0.25491216231884062</v>
      </c>
      <c r="D121" s="9" t="s">
        <v>18</v>
      </c>
      <c r="E121" s="9" t="s">
        <v>19</v>
      </c>
      <c r="F121" s="9" t="s">
        <v>20</v>
      </c>
      <c r="H121" s="9" t="s">
        <v>21</v>
      </c>
    </row>
    <row r="122" spans="1:9" s="9" customFormat="1" x14ac:dyDescent="0.2">
      <c r="A122" s="9" t="s">
        <v>147</v>
      </c>
      <c r="B122" s="9">
        <f>0.00107549913043478*0.07</f>
        <v>7.5284939130434612E-5</v>
      </c>
      <c r="D122" s="9" t="s">
        <v>22</v>
      </c>
      <c r="E122" s="9" t="s">
        <v>148</v>
      </c>
      <c r="F122" s="9" t="s">
        <v>20</v>
      </c>
      <c r="H122" s="9" t="s">
        <v>21</v>
      </c>
    </row>
    <row r="123" spans="1:9" s="9" customFormat="1" x14ac:dyDescent="0.2">
      <c r="A123" s="9" t="s">
        <v>37</v>
      </c>
      <c r="B123" s="10">
        <v>6.172839506172839e-12</v>
      </c>
      <c r="C123" s="9" t="s">
        <v>27</v>
      </c>
      <c r="D123" s="9" t="s">
        <v>5</v>
      </c>
      <c r="F123" s="9" t="s">
        <v>17</v>
      </c>
      <c r="G123" s="9" t="s">
        <v>38</v>
      </c>
      <c r="H123" s="9" t="s">
        <v>36</v>
      </c>
    </row>
    <row r="124" spans="1:9" s="9" customFormat="1" x14ac:dyDescent="0.2">
      <c r="A124" s="9" t="s">
        <v>124</v>
      </c>
      <c r="B124" s="9">
        <v>2.48</v>
      </c>
      <c r="D124" s="9" t="s">
        <v>6</v>
      </c>
      <c r="E124" s="9" t="s">
        <v>123</v>
      </c>
      <c r="F124" s="9" t="s">
        <v>20</v>
      </c>
      <c r="H124" s="9" t="s">
        <v>21</v>
      </c>
    </row>
    <row r="125" spans="1:9" s="9" customFormat="1" x14ac:dyDescent="0.2">
      <c r="A125" s="9" t="s">
        <v>23</v>
      </c>
      <c r="B125" s="10">
        <f>0.0872420618556701*0.07</f>
        <v>6.106944329896908E-3</v>
      </c>
      <c r="C125" s="9" t="s">
        <v>8</v>
      </c>
      <c r="D125" s="9" t="s">
        <v>24</v>
      </c>
      <c r="F125" s="9" t="s">
        <v>17</v>
      </c>
      <c r="G125" s="9" t="s">
        <v>25</v>
      </c>
      <c r="H125" s="9" t="s">
        <v>149</v>
      </c>
    </row>
    <row r="126" spans="1:9" s="9" customFormat="1" x14ac:dyDescent="0.2"/>
    <row r="127" spans="1:9" s="9" customFormat="1" ht="16" x14ac:dyDescent="0.2">
      <c r="A127" s="7" t="s">
        <v>0</v>
      </c>
      <c r="B127" s="8" t="s">
        <v>107</v>
      </c>
    </row>
    <row r="128" spans="1:9" s="9" customFormat="1" x14ac:dyDescent="0.2">
      <c r="A128" s="9" t="s">
        <v>1</v>
      </c>
      <c r="B128" s="9">
        <v>1</v>
      </c>
    </row>
    <row r="129" spans="1:9" s="9" customFormat="1" x14ac:dyDescent="0.2">
      <c r="A129" s="9" t="s">
        <v>2</v>
      </c>
      <c r="B129" s="9" t="s">
        <v>32</v>
      </c>
    </row>
    <row r="130" spans="1:9" s="9" customFormat="1" x14ac:dyDescent="0.2">
      <c r="A130" s="9" t="s">
        <v>3</v>
      </c>
      <c r="B130" s="9" t="s">
        <v>4</v>
      </c>
    </row>
    <row r="131" spans="1:9" s="9" customFormat="1" x14ac:dyDescent="0.2">
      <c r="A131" s="9" t="s">
        <v>5</v>
      </c>
      <c r="B131" s="9" t="s">
        <v>6</v>
      </c>
    </row>
    <row r="132" spans="1:9" s="9" customFormat="1" x14ac:dyDescent="0.2">
      <c r="A132" s="9" t="s">
        <v>7</v>
      </c>
      <c r="B132" s="9" t="s">
        <v>8</v>
      </c>
    </row>
    <row r="133" spans="1:9" s="9" customFormat="1" x14ac:dyDescent="0.2">
      <c r="A133" s="9" t="s">
        <v>9</v>
      </c>
      <c r="B133" s="9" t="inlineStr">
        <is>
          <t>APPROVED GTL LIFETIME-OUTPUT REFERENCE ASSUMPTION, 2026-10-18. Van der Giesen et al. (2014), DOI 10.1021/es500191g, SI https://doi.org/10.1021/es500191g.s001, page S10 and Table S22, gives 18000 tonnes fuel/day, 300 operating days/year and 30 years. Adopt that published production calendar as the reference for the existing GTL equipment: 1/(18000*1000*300*30) = 6.172839506172839E-12 plant units/kg fuel, replacing the inconsistent transcribed 6.7E-12. USER-APPROVED OPERATING ASSUMPTION: this uses the published reference output/calendar; it does not establish measured operation, future plant duty or complete catalyst coverage. Existing product-allocation keys, fuel output and construction recipe remain unchanged. No new hardware, metal-content factors, credits or primary/secondary shares. Prior references to the former dose or preserved lifetime allocation are superseded only for this coefficient.
PREVIOUS NOTES (retained as history; the correction above takes precedence):
Adapted from van der Giesen et al. 2014. LHV: 43.3 MJ/kg, Formula: C13H18, Density: 7551 kg/m3. Economic allocation between 3 other co-products. Allocation key for this co-product: 16%.</t>
        </is>
      </c>
    </row>
    <row r="134" spans="1:9" s="9" customFormat="1" x14ac:dyDescent="0.2">
      <c r="A134" s="9" t="s">
        <v>34</v>
      </c>
      <c r="B134" s="9" t="s">
        <v>35</v>
      </c>
    </row>
    <row r="135" spans="1:9" s="9" customFormat="1" ht="16" x14ac:dyDescent="0.2">
      <c r="A135" s="7" t="s">
        <v>10</v>
      </c>
    </row>
    <row r="136" spans="1:9" s="9" customFormat="1" x14ac:dyDescent="0.2">
      <c r="A136" s="9" t="s">
        <v>11</v>
      </c>
      <c r="B136" s="9" t="s">
        <v>12</v>
      </c>
      <c r="C136" s="9" t="s">
        <v>7</v>
      </c>
      <c r="D136" s="9" t="s">
        <v>5</v>
      </c>
      <c r="E136" s="9" t="s">
        <v>13</v>
      </c>
      <c r="F136" s="9" t="s">
        <v>3</v>
      </c>
      <c r="G136" s="9" t="s">
        <v>2</v>
      </c>
      <c r="H136" s="9" t="s">
        <v>14</v>
      </c>
      <c r="I136" s="9" t="s">
        <v>9</v>
      </c>
    </row>
    <row r="137" spans="1:9" s="9" customFormat="1" x14ac:dyDescent="0.2">
      <c r="A137" s="9" t="s">
        <v>107</v>
      </c>
      <c r="B137" s="9">
        <v>1</v>
      </c>
      <c r="C137" s="9" t="s">
        <v>8</v>
      </c>
      <c r="D137" s="9" t="s">
        <v>6</v>
      </c>
      <c r="F137" s="9" t="s">
        <v>15</v>
      </c>
      <c r="G137" s="9" t="s">
        <v>32</v>
      </c>
      <c r="H137" s="9" t="s">
        <v>36</v>
      </c>
      <c r="I137" s="9" t="s">
        <v>16</v>
      </c>
    </row>
    <row r="138" spans="1:9" s="9" customFormat="1" x14ac:dyDescent="0.2">
      <c r="A138" s="9" t="s">
        <v>114</v>
      </c>
      <c r="B138" s="9">
        <v>0.98</v>
      </c>
      <c r="C138" s="9" t="s">
        <v>8</v>
      </c>
      <c r="D138" s="9" t="s">
        <v>6</v>
      </c>
      <c r="F138" s="9" t="s">
        <v>17</v>
      </c>
      <c r="G138" s="9" t="s">
        <v>114</v>
      </c>
      <c r="H138" s="9" t="s">
        <v>36</v>
      </c>
    </row>
    <row r="139" spans="1:9" s="9" customFormat="1" x14ac:dyDescent="0.2">
      <c r="A139" s="9" t="s">
        <v>146</v>
      </c>
      <c r="B139" s="9">
        <f>3.64160231884058*0.16</f>
        <v>0.58265637101449286</v>
      </c>
      <c r="D139" s="9" t="s">
        <v>18</v>
      </c>
      <c r="E139" s="9" t="s">
        <v>19</v>
      </c>
      <c r="F139" s="9" t="s">
        <v>20</v>
      </c>
      <c r="H139" s="9" t="s">
        <v>21</v>
      </c>
    </row>
    <row r="140" spans="1:9" s="9" customFormat="1" x14ac:dyDescent="0.2">
      <c r="A140" s="9" t="s">
        <v>147</v>
      </c>
      <c r="B140" s="9">
        <f>0.00107549913043478*0.16</f>
        <v>1.7207986086956482E-4</v>
      </c>
      <c r="D140" s="9" t="s">
        <v>22</v>
      </c>
      <c r="E140" s="9" t="s">
        <v>148</v>
      </c>
      <c r="F140" s="9" t="s">
        <v>20</v>
      </c>
      <c r="H140" s="9" t="s">
        <v>21</v>
      </c>
    </row>
    <row r="141" spans="1:9" s="9" customFormat="1" x14ac:dyDescent="0.2">
      <c r="A141" s="9" t="s">
        <v>37</v>
      </c>
      <c r="B141" s="10">
        <v>6.172839506172839e-12</v>
      </c>
      <c r="C141" s="9" t="s">
        <v>27</v>
      </c>
      <c r="D141" s="9" t="s">
        <v>5</v>
      </c>
      <c r="F141" s="9" t="s">
        <v>17</v>
      </c>
      <c r="G141" s="9" t="s">
        <v>38</v>
      </c>
      <c r="H141" s="9" t="s">
        <v>36</v>
      </c>
    </row>
    <row r="142" spans="1:9" s="9" customFormat="1" x14ac:dyDescent="0.2">
      <c r="A142" s="9" t="s">
        <v>124</v>
      </c>
      <c r="B142" s="9">
        <v>1.82</v>
      </c>
      <c r="D142" s="9" t="s">
        <v>6</v>
      </c>
      <c r="E142" s="9" t="s">
        <v>123</v>
      </c>
      <c r="F142" s="9" t="s">
        <v>20</v>
      </c>
      <c r="H142" s="9" t="s">
        <v>21</v>
      </c>
    </row>
    <row r="143" spans="1:9" s="9" customFormat="1" x14ac:dyDescent="0.2">
      <c r="A143" s="9" t="s">
        <v>23</v>
      </c>
      <c r="B143" s="10">
        <f>0.0872420618556701*0.16</f>
        <v>1.3958729896907216E-2</v>
      </c>
      <c r="C143" s="9" t="s">
        <v>8</v>
      </c>
      <c r="D143" s="9" t="s">
        <v>24</v>
      </c>
      <c r="F143" s="9" t="s">
        <v>17</v>
      </c>
      <c r="G143" s="9" t="s">
        <v>25</v>
      </c>
      <c r="H143" s="9" t="s">
        <v>149</v>
      </c>
    </row>
    <row r="144" spans="1:9" s="9" customFormat="1" x14ac:dyDescent="0.2"/>
    <row r="145" spans="1:9" s="9" customFormat="1" ht="16" x14ac:dyDescent="0.2">
      <c r="A145" s="7" t="s">
        <v>0</v>
      </c>
      <c r="B145" s="8" t="s">
        <v>111</v>
      </c>
    </row>
    <row r="146" spans="1:9" s="9" customFormat="1" x14ac:dyDescent="0.2">
      <c r="A146" s="9" t="s">
        <v>1</v>
      </c>
      <c r="B146" s="9">
        <v>1</v>
      </c>
    </row>
    <row r="147" spans="1:9" s="9" customFormat="1" x14ac:dyDescent="0.2">
      <c r="A147" s="9" t="s">
        <v>2</v>
      </c>
      <c r="B147" s="9" t="s">
        <v>33</v>
      </c>
    </row>
    <row r="148" spans="1:9" s="9" customFormat="1" x14ac:dyDescent="0.2">
      <c r="A148" s="9" t="s">
        <v>3</v>
      </c>
      <c r="B148" s="9" t="s">
        <v>4</v>
      </c>
    </row>
    <row r="149" spans="1:9" s="9" customFormat="1" x14ac:dyDescent="0.2">
      <c r="A149" s="9" t="s">
        <v>5</v>
      </c>
      <c r="B149" s="9" t="s">
        <v>6</v>
      </c>
    </row>
    <row r="150" spans="1:9" s="9" customFormat="1" x14ac:dyDescent="0.2">
      <c r="A150" s="9" t="s">
        <v>7</v>
      </c>
      <c r="B150" s="9" t="s">
        <v>8</v>
      </c>
    </row>
    <row r="151" spans="1:9" s="9" customFormat="1" x14ac:dyDescent="0.2">
      <c r="A151" s="9" t="s">
        <v>9</v>
      </c>
      <c r="B151" s="9" t="inlineStr">
        <is>
          <t>APPROVED GTL LIFETIME-OUTPUT REFERENCE ASSUMPTION, 2026-10-18. Van der Giesen et al. (2014), DOI 10.1021/es500191g, SI https://doi.org/10.1021/es500191g.s001, page S10 and Table S22, gives 18000 tonnes fuel/day, 300 operating days/year and 30 years. Adopt that published production calendar as the reference for the existing GTL equipment: 1/(18000*1000*300*30) = 6.172839506172839E-12 plant units/kg fuel, replacing the inconsistent transcribed 6.7E-12. USER-APPROVED OPERATING ASSUMPTION: this uses the published reference output/calendar; it does not establish measured operation, future plant duty or complete catalyst coverage. Existing product-allocation keys, fuel output and construction recipe remain unchanged. No new hardware, metal-content factors, credits or primary/secondary shares. Prior references to the former dose or preserved lifetime allocation are superseded only for this coefficient.
PREVIOUS NOTES (retained as history; the correction above takes precedence):
Adapted from van der Giesen et al. 2014. LHV: 40.2 MJ/kg, Formula: C13H18, Density: 7551 kg/m3. Energy-based allocation between 3 other co-products. Allocation key for this co-product: 21%.</t>
        </is>
      </c>
    </row>
    <row r="152" spans="1:9" s="9" customFormat="1" x14ac:dyDescent="0.2">
      <c r="A152" s="9" t="s">
        <v>34</v>
      </c>
      <c r="B152" s="9" t="s">
        <v>35</v>
      </c>
    </row>
    <row r="153" spans="1:9" s="9" customFormat="1" ht="16" x14ac:dyDescent="0.2">
      <c r="A153" s="7" t="s">
        <v>10</v>
      </c>
    </row>
    <row r="154" spans="1:9" s="9" customFormat="1" x14ac:dyDescent="0.2">
      <c r="A154" s="9" t="s">
        <v>11</v>
      </c>
      <c r="B154" s="9" t="s">
        <v>12</v>
      </c>
      <c r="C154" s="9" t="s">
        <v>7</v>
      </c>
      <c r="D154" s="9" t="s">
        <v>5</v>
      </c>
      <c r="E154" s="9" t="s">
        <v>13</v>
      </c>
      <c r="F154" s="9" t="s">
        <v>3</v>
      </c>
      <c r="G154" s="9" t="s">
        <v>2</v>
      </c>
      <c r="H154" s="9" t="s">
        <v>14</v>
      </c>
      <c r="I154" s="9" t="s">
        <v>9</v>
      </c>
    </row>
    <row r="155" spans="1:9" s="9" customFormat="1" x14ac:dyDescent="0.2">
      <c r="A155" s="9" t="s">
        <v>111</v>
      </c>
      <c r="B155" s="9">
        <v>1</v>
      </c>
      <c r="C155" s="9" t="s">
        <v>8</v>
      </c>
      <c r="D155" s="9" t="s">
        <v>6</v>
      </c>
      <c r="F155" s="9" t="s">
        <v>15</v>
      </c>
      <c r="G155" s="9" t="s">
        <v>33</v>
      </c>
      <c r="H155" s="9" t="s">
        <v>36</v>
      </c>
      <c r="I155" s="9" t="s">
        <v>16</v>
      </c>
    </row>
    <row r="156" spans="1:9" s="9" customFormat="1" x14ac:dyDescent="0.2">
      <c r="A156" s="9" t="s">
        <v>114</v>
      </c>
      <c r="B156" s="9">
        <v>2.1</v>
      </c>
      <c r="C156" s="9" t="s">
        <v>8</v>
      </c>
      <c r="D156" s="9" t="s">
        <v>6</v>
      </c>
      <c r="F156" s="9" t="s">
        <v>17</v>
      </c>
      <c r="G156" s="9" t="s">
        <v>114</v>
      </c>
      <c r="H156" s="9" t="s">
        <v>36</v>
      </c>
    </row>
    <row r="157" spans="1:9" s="9" customFormat="1" x14ac:dyDescent="0.2">
      <c r="A157" s="9" t="s">
        <v>146</v>
      </c>
      <c r="B157" s="9">
        <f>3.64160231884058*0.21</f>
        <v>0.76473648695652174</v>
      </c>
      <c r="D157" s="9" t="s">
        <v>18</v>
      </c>
      <c r="E157" s="9" t="s">
        <v>19</v>
      </c>
      <c r="F157" s="9" t="s">
        <v>20</v>
      </c>
      <c r="H157" s="9" t="s">
        <v>21</v>
      </c>
    </row>
    <row r="158" spans="1:9" s="9" customFormat="1" x14ac:dyDescent="0.2">
      <c r="A158" s="9" t="s">
        <v>147</v>
      </c>
      <c r="B158" s="9">
        <f>0.00107549913043478*0.21</f>
        <v>2.2585481739130381E-4</v>
      </c>
      <c r="D158" s="9" t="s">
        <v>22</v>
      </c>
      <c r="E158" s="9" t="s">
        <v>148</v>
      </c>
      <c r="F158" s="9" t="s">
        <v>20</v>
      </c>
      <c r="H158" s="9" t="s">
        <v>21</v>
      </c>
    </row>
    <row r="159" spans="1:9" s="9" customFormat="1" x14ac:dyDescent="0.2">
      <c r="A159" s="9" t="s">
        <v>37</v>
      </c>
      <c r="B159" s="10">
        <v>6.172839506172839e-12</v>
      </c>
      <c r="C159" s="9" t="s">
        <v>27</v>
      </c>
      <c r="D159" s="9" t="s">
        <v>5</v>
      </c>
      <c r="F159" s="9" t="s">
        <v>17</v>
      </c>
      <c r="G159" s="9" t="s">
        <v>38</v>
      </c>
      <c r="H159" s="9" t="s">
        <v>36</v>
      </c>
    </row>
    <row r="160" spans="1:9" s="9" customFormat="1" x14ac:dyDescent="0.2">
      <c r="A160" s="9" t="s">
        <v>122</v>
      </c>
      <c r="B160" s="9">
        <v>0.13</v>
      </c>
      <c r="D160" s="9" t="s">
        <v>6</v>
      </c>
      <c r="E160" s="9" t="s">
        <v>19</v>
      </c>
      <c r="F160" s="9" t="s">
        <v>20</v>
      </c>
      <c r="H160" s="9" t="s">
        <v>21</v>
      </c>
    </row>
    <row r="161" spans="1:9" s="9" customFormat="1" x14ac:dyDescent="0.2">
      <c r="A161" s="9" t="s">
        <v>23</v>
      </c>
      <c r="B161" s="10">
        <f>0.0872420618556701*0.21</f>
        <v>1.832083298969072E-2</v>
      </c>
      <c r="C161" s="9" t="s">
        <v>8</v>
      </c>
      <c r="D161" s="9" t="s">
        <v>24</v>
      </c>
      <c r="F161" s="9" t="s">
        <v>17</v>
      </c>
      <c r="G161" s="9" t="s">
        <v>25</v>
      </c>
      <c r="H161" s="9" t="s">
        <v>149</v>
      </c>
    </row>
    <row r="162" spans="1:9" s="9" customFormat="1" x14ac:dyDescent="0.2">
      <c r="B162" s="10"/>
    </row>
    <row r="163" spans="1:9" s="9" customFormat="1" ht="16" x14ac:dyDescent="0.2">
      <c r="A163" s="7" t="s">
        <v>0</v>
      </c>
      <c r="B163" s="8" t="s">
        <v>108</v>
      </c>
    </row>
    <row r="164" spans="1:9" s="9" customFormat="1" x14ac:dyDescent="0.2">
      <c r="A164" s="9" t="s">
        <v>1</v>
      </c>
      <c r="B164" s="9">
        <v>1</v>
      </c>
    </row>
    <row r="165" spans="1:9" s="9" customFormat="1" x14ac:dyDescent="0.2">
      <c r="A165" s="9" t="s">
        <v>2</v>
      </c>
      <c r="B165" s="9" t="s">
        <v>39</v>
      </c>
    </row>
    <row r="166" spans="1:9" s="9" customFormat="1" x14ac:dyDescent="0.2">
      <c r="A166" s="9" t="s">
        <v>3</v>
      </c>
      <c r="B166" s="9" t="s">
        <v>4</v>
      </c>
    </row>
    <row r="167" spans="1:9" s="9" customFormat="1" x14ac:dyDescent="0.2">
      <c r="A167" s="9" t="s">
        <v>5</v>
      </c>
      <c r="B167" s="9" t="s">
        <v>6</v>
      </c>
    </row>
    <row r="168" spans="1:9" s="9" customFormat="1" x14ac:dyDescent="0.2">
      <c r="A168" s="9" t="s">
        <v>7</v>
      </c>
      <c r="B168" s="9" t="s">
        <v>8</v>
      </c>
    </row>
    <row r="169" spans="1:9" s="9" customFormat="1" x14ac:dyDescent="0.2">
      <c r="A169" s="9" t="s">
        <v>9</v>
      </c>
      <c r="B169" s="9" t="inlineStr">
        <is>
          <t>APPROVED GTL LIFETIME-OUTPUT REFERENCE ASSUMPTION, 2026-10-18. Van der Giesen et al. (2014), DOI 10.1021/es500191g, SI https://doi.org/10.1021/es500191g.s001, page S10 and Table S22, gives 18000 tonnes fuel/day, 300 operating days/year and 30 years. Adopt that published production calendar as the reference for the existing GTL equipment: 1/(18000*1000*300*30) = 6.172839506172839E-12 plant units/kg fuel, replacing the inconsistent transcribed 6.7E-12. USER-APPROVED OPERATING ASSUMPTION: this uses the published reference output/calendar; it does not establish measured operation, future plant duty or complete catalyst coverage. Existing product-allocation keys, fuel output and construction recipe remain unchanged. No new hardware, metal-content factors, credits or primary/secondary shares. Prior references to the former dose or preserved lifetime allocation are superseded only for this coefficient.
PREVIOUS NOTES (retained as history; the correction above takes precedence):
Adapted from van der Giesen et al. 2014. LHV: 45 MJ/kg, Formula: C13H18, Density: 7551 kg/m3. Energy-based allocation between 3 other co-products. Allocation key for this co-product: 18%.</t>
        </is>
      </c>
    </row>
    <row r="170" spans="1:9" s="9" customFormat="1" x14ac:dyDescent="0.2">
      <c r="A170" s="9" t="s">
        <v>34</v>
      </c>
      <c r="B170" s="9" t="s">
        <v>35</v>
      </c>
    </row>
    <row r="171" spans="1:9" s="9" customFormat="1" ht="16" x14ac:dyDescent="0.2">
      <c r="A171" s="7" t="s">
        <v>10</v>
      </c>
    </row>
    <row r="172" spans="1:9" s="9" customFormat="1" x14ac:dyDescent="0.2">
      <c r="A172" s="9" t="s">
        <v>11</v>
      </c>
      <c r="B172" s="9" t="s">
        <v>12</v>
      </c>
      <c r="C172" s="9" t="s">
        <v>7</v>
      </c>
      <c r="D172" s="9" t="s">
        <v>5</v>
      </c>
      <c r="E172" s="9" t="s">
        <v>13</v>
      </c>
      <c r="F172" s="9" t="s">
        <v>3</v>
      </c>
      <c r="G172" s="9" t="s">
        <v>2</v>
      </c>
      <c r="H172" s="9" t="s">
        <v>14</v>
      </c>
      <c r="I172" s="9" t="s">
        <v>9</v>
      </c>
    </row>
    <row r="173" spans="1:9" s="9" customFormat="1" x14ac:dyDescent="0.2">
      <c r="A173" s="9" t="s">
        <v>108</v>
      </c>
      <c r="B173" s="9">
        <v>1</v>
      </c>
      <c r="C173" s="9" t="s">
        <v>8</v>
      </c>
      <c r="D173" s="9" t="s">
        <v>6</v>
      </c>
      <c r="F173" s="9" t="s">
        <v>15</v>
      </c>
      <c r="G173" s="9" t="s">
        <v>39</v>
      </c>
      <c r="H173" s="9" t="s">
        <v>36</v>
      </c>
      <c r="I173" s="9" t="s">
        <v>16</v>
      </c>
    </row>
    <row r="174" spans="1:9" s="9" customFormat="1" x14ac:dyDescent="0.2">
      <c r="A174" s="9" t="s">
        <v>114</v>
      </c>
      <c r="B174" s="9">
        <v>2.35</v>
      </c>
      <c r="C174" s="9" t="s">
        <v>8</v>
      </c>
      <c r="D174" s="9" t="s">
        <v>6</v>
      </c>
      <c r="F174" s="9" t="s">
        <v>17</v>
      </c>
      <c r="G174" s="9" t="s">
        <v>114</v>
      </c>
      <c r="H174" s="9" t="s">
        <v>36</v>
      </c>
    </row>
    <row r="175" spans="1:9" s="9" customFormat="1" x14ac:dyDescent="0.2">
      <c r="A175" s="9" t="s">
        <v>146</v>
      </c>
      <c r="B175" s="9">
        <f>3.64160231884058*0.18</f>
        <v>0.65548841739130437</v>
      </c>
      <c r="D175" s="9" t="s">
        <v>18</v>
      </c>
      <c r="E175" s="9" t="s">
        <v>19</v>
      </c>
      <c r="F175" s="9" t="s">
        <v>20</v>
      </c>
      <c r="H175" s="9" t="s">
        <v>21</v>
      </c>
    </row>
    <row r="176" spans="1:9" s="9" customFormat="1" x14ac:dyDescent="0.2">
      <c r="A176" s="9" t="s">
        <v>147</v>
      </c>
      <c r="B176" s="9">
        <f>0.00107549913043478*0.18</f>
        <v>1.9358984347826041E-4</v>
      </c>
      <c r="D176" s="9" t="s">
        <v>22</v>
      </c>
      <c r="E176" s="9" t="s">
        <v>148</v>
      </c>
      <c r="F176" s="9" t="s">
        <v>20</v>
      </c>
      <c r="H176" s="9" t="s">
        <v>21</v>
      </c>
    </row>
    <row r="177" spans="1:9" s="9" customFormat="1" x14ac:dyDescent="0.2">
      <c r="A177" s="9" t="s">
        <v>37</v>
      </c>
      <c r="B177" s="10">
        <v>6.172839506172839e-12</v>
      </c>
      <c r="C177" s="9" t="s">
        <v>27</v>
      </c>
      <c r="D177" s="9" t="s">
        <v>5</v>
      </c>
      <c r="F177" s="9" t="s">
        <v>17</v>
      </c>
      <c r="G177" s="9" t="s">
        <v>38</v>
      </c>
      <c r="H177" s="9" t="s">
        <v>36</v>
      </c>
    </row>
    <row r="178" spans="1:9" s="9" customFormat="1" x14ac:dyDescent="0.2">
      <c r="A178" s="9" t="s">
        <v>122</v>
      </c>
      <c r="B178" s="9">
        <v>0.22</v>
      </c>
      <c r="D178" s="9" t="s">
        <v>6</v>
      </c>
      <c r="E178" s="9" t="s">
        <v>19</v>
      </c>
      <c r="F178" s="9" t="s">
        <v>20</v>
      </c>
      <c r="H178" s="9" t="s">
        <v>21</v>
      </c>
    </row>
    <row r="179" spans="1:9" s="9" customFormat="1" x14ac:dyDescent="0.2">
      <c r="A179" s="9" t="s">
        <v>23</v>
      </c>
      <c r="B179" s="10">
        <f>0.0872420618556701*0.18</f>
        <v>1.5703571134020617E-2</v>
      </c>
      <c r="C179" s="9" t="s">
        <v>8</v>
      </c>
      <c r="D179" s="9" t="s">
        <v>24</v>
      </c>
      <c r="F179" s="9" t="s">
        <v>17</v>
      </c>
      <c r="G179" s="9" t="s">
        <v>25</v>
      </c>
      <c r="H179" s="9" t="s">
        <v>149</v>
      </c>
    </row>
    <row r="180" spans="1:9" s="9" customFormat="1" x14ac:dyDescent="0.2"/>
    <row r="181" spans="1:9" s="9" customFormat="1" ht="16" x14ac:dyDescent="0.2">
      <c r="A181" s="7" t="s">
        <v>0</v>
      </c>
      <c r="B181" s="8" t="s">
        <v>112</v>
      </c>
    </row>
    <row r="182" spans="1:9" s="9" customFormat="1" x14ac:dyDescent="0.2">
      <c r="A182" s="9" t="s">
        <v>1</v>
      </c>
      <c r="B182" s="9">
        <v>1</v>
      </c>
    </row>
    <row r="183" spans="1:9" s="9" customFormat="1" x14ac:dyDescent="0.2">
      <c r="A183" s="9" t="s">
        <v>2</v>
      </c>
      <c r="B183" s="9" t="s">
        <v>41</v>
      </c>
    </row>
    <row r="184" spans="1:9" s="9" customFormat="1" x14ac:dyDescent="0.2">
      <c r="A184" s="9" t="s">
        <v>3</v>
      </c>
      <c r="B184" s="9" t="s">
        <v>4</v>
      </c>
    </row>
    <row r="185" spans="1:9" s="9" customFormat="1" x14ac:dyDescent="0.2">
      <c r="A185" s="9" t="s">
        <v>5</v>
      </c>
      <c r="B185" s="9" t="s">
        <v>6</v>
      </c>
    </row>
    <row r="186" spans="1:9" s="9" customFormat="1" x14ac:dyDescent="0.2">
      <c r="A186" s="9" t="s">
        <v>7</v>
      </c>
      <c r="B186" s="9" t="s">
        <v>8</v>
      </c>
    </row>
    <row r="187" spans="1:9" s="9" customFormat="1" x14ac:dyDescent="0.2">
      <c r="A187" s="9" t="s">
        <v>9</v>
      </c>
      <c r="B187" s="9" t="inlineStr">
        <is>
          <t>APPROVED GTL LIFETIME-OUTPUT REFERENCE ASSUMPTION, 2026-10-18. Van der Giesen et al. (2014), DOI 10.1021/es500191g, SI https://doi.org/10.1021/es500191g.s001, page S10 and Table S22, gives 18000 tonnes fuel/day, 300 operating days/year and 30 years. Adopt that published production calendar as the reference for the existing GTL equipment: 1/(18000*1000*300*30) = 6.172839506172839E-12 plant units/kg fuel, replacing the inconsistent transcribed 6.7E-12. USER-APPROVED OPERATING ASSUMPTION: this uses the published reference output/calendar; it does not establish measured operation, future plant duty or complete catalyst coverage. Existing product-allocation keys, fuel output and construction recipe remain unchanged. No new hardware, metal-content factors, credits or primary/secondary shares. Prior references to the former dose or preserved lifetime allocation are superseded only for this coefficient.
PREVIOUS NOTES (retained as history; the correction above takes precedence):
Adapted from van der Giesen et al. 2014. LHV: 44.5 MJ/kg, Formula: C13H18, Density: 7551 kg/m3. Energy-based allocation between 3 other co-products. Allocation key for this co-product: 24%.</t>
        </is>
      </c>
    </row>
    <row r="188" spans="1:9" s="9" customFormat="1" x14ac:dyDescent="0.2">
      <c r="A188" s="9" t="s">
        <v>34</v>
      </c>
      <c r="B188" s="9" t="s">
        <v>35</v>
      </c>
    </row>
    <row r="189" spans="1:9" s="9" customFormat="1" ht="16" x14ac:dyDescent="0.2">
      <c r="A189" s="7" t="s">
        <v>10</v>
      </c>
    </row>
    <row r="190" spans="1:9" s="9" customFormat="1" x14ac:dyDescent="0.2">
      <c r="A190" s="9" t="s">
        <v>11</v>
      </c>
      <c r="B190" s="9" t="s">
        <v>12</v>
      </c>
      <c r="C190" s="9" t="s">
        <v>7</v>
      </c>
      <c r="D190" s="9" t="s">
        <v>5</v>
      </c>
      <c r="E190" s="9" t="s">
        <v>13</v>
      </c>
      <c r="F190" s="9" t="s">
        <v>3</v>
      </c>
      <c r="G190" s="9" t="s">
        <v>2</v>
      </c>
      <c r="H190" s="9" t="s">
        <v>14</v>
      </c>
      <c r="I190" s="9" t="s">
        <v>9</v>
      </c>
    </row>
    <row r="191" spans="1:9" s="9" customFormat="1" x14ac:dyDescent="0.2">
      <c r="A191" s="9" t="s">
        <v>112</v>
      </c>
      <c r="B191" s="9">
        <v>1</v>
      </c>
      <c r="C191" s="9" t="s">
        <v>8</v>
      </c>
      <c r="D191" s="9" t="s">
        <v>6</v>
      </c>
      <c r="F191" s="9" t="s">
        <v>15</v>
      </c>
      <c r="G191" s="9" t="s">
        <v>41</v>
      </c>
      <c r="H191" s="9" t="s">
        <v>36</v>
      </c>
    </row>
    <row r="192" spans="1:9" s="9" customFormat="1" x14ac:dyDescent="0.2">
      <c r="A192" s="9" t="s">
        <v>114</v>
      </c>
      <c r="B192" s="9">
        <v>2.3199999999999998</v>
      </c>
      <c r="C192" s="9" t="s">
        <v>8</v>
      </c>
      <c r="D192" s="9" t="s">
        <v>6</v>
      </c>
      <c r="F192" s="9" t="s">
        <v>17</v>
      </c>
      <c r="G192" s="9" t="s">
        <v>114</v>
      </c>
      <c r="H192" s="9" t="s">
        <v>36</v>
      </c>
    </row>
    <row r="193" spans="1:9" s="9" customFormat="1" x14ac:dyDescent="0.2">
      <c r="A193" s="9" t="s">
        <v>146</v>
      </c>
      <c r="B193" s="9">
        <f>3.64160231884058*0.24</f>
        <v>0.87398455652173912</v>
      </c>
      <c r="D193" s="9" t="s">
        <v>18</v>
      </c>
      <c r="E193" s="9" t="s">
        <v>19</v>
      </c>
      <c r="F193" s="9" t="s">
        <v>20</v>
      </c>
      <c r="H193" s="9" t="s">
        <v>21</v>
      </c>
    </row>
    <row r="194" spans="1:9" s="9" customFormat="1" x14ac:dyDescent="0.2">
      <c r="A194" s="9" t="s">
        <v>147</v>
      </c>
      <c r="B194" s="9">
        <f>0.00107549913043478*0.24</f>
        <v>2.581197913043472E-4</v>
      </c>
      <c r="D194" s="9" t="s">
        <v>22</v>
      </c>
      <c r="E194" s="9" t="s">
        <v>148</v>
      </c>
      <c r="F194" s="9" t="s">
        <v>20</v>
      </c>
      <c r="H194" s="9" t="s">
        <v>21</v>
      </c>
    </row>
    <row r="195" spans="1:9" s="9" customFormat="1" x14ac:dyDescent="0.2">
      <c r="A195" s="9" t="s">
        <v>37</v>
      </c>
      <c r="B195" s="10">
        <v>6.172839506172839e-12</v>
      </c>
      <c r="C195" s="9" t="s">
        <v>27</v>
      </c>
      <c r="D195" s="9" t="s">
        <v>5</v>
      </c>
      <c r="F195" s="9" t="s">
        <v>17</v>
      </c>
      <c r="G195" s="9" t="s">
        <v>38</v>
      </c>
      <c r="H195" s="9" t="s">
        <v>36</v>
      </c>
    </row>
    <row r="196" spans="1:9" s="9" customFormat="1" x14ac:dyDescent="0.2">
      <c r="A196" s="9" t="s">
        <v>124</v>
      </c>
      <c r="B196" s="9">
        <v>0.19</v>
      </c>
      <c r="D196" s="9" t="s">
        <v>6</v>
      </c>
      <c r="E196" s="9" t="s">
        <v>123</v>
      </c>
      <c r="F196" s="9" t="s">
        <v>20</v>
      </c>
      <c r="H196" s="9" t="s">
        <v>21</v>
      </c>
    </row>
    <row r="197" spans="1:9" s="9" customFormat="1" x14ac:dyDescent="0.2">
      <c r="A197" s="9" t="s">
        <v>23</v>
      </c>
      <c r="B197" s="10">
        <f>0.0872420618556701*0.24</f>
        <v>2.0938094845360824E-2</v>
      </c>
      <c r="C197" s="9" t="s">
        <v>8</v>
      </c>
      <c r="D197" s="9" t="s">
        <v>24</v>
      </c>
      <c r="F197" s="9" t="s">
        <v>17</v>
      </c>
      <c r="G197" s="9" t="s">
        <v>25</v>
      </c>
      <c r="H197" s="9" t="s">
        <v>149</v>
      </c>
    </row>
    <row r="198" spans="1:9" s="9" customFormat="1" x14ac:dyDescent="0.2"/>
    <row r="199" spans="1:9" s="9" customFormat="1" ht="16" x14ac:dyDescent="0.2">
      <c r="A199" s="7" t="s">
        <v>0</v>
      </c>
      <c r="B199" s="8" t="s">
        <v>109</v>
      </c>
    </row>
    <row r="200" spans="1:9" s="9" customFormat="1" x14ac:dyDescent="0.2">
      <c r="A200" s="9" t="s">
        <v>1</v>
      </c>
      <c r="B200" s="9">
        <v>1</v>
      </c>
    </row>
    <row r="201" spans="1:9" s="9" customFormat="1" x14ac:dyDescent="0.2">
      <c r="A201" s="9" t="s">
        <v>2</v>
      </c>
      <c r="B201" s="9" t="s">
        <v>32</v>
      </c>
    </row>
    <row r="202" spans="1:9" s="9" customFormat="1" x14ac:dyDescent="0.2">
      <c r="A202" s="9" t="s">
        <v>3</v>
      </c>
      <c r="B202" s="9" t="s">
        <v>4</v>
      </c>
    </row>
    <row r="203" spans="1:9" s="9" customFormat="1" x14ac:dyDescent="0.2">
      <c r="A203" s="9" t="s">
        <v>5</v>
      </c>
      <c r="B203" s="9" t="s">
        <v>6</v>
      </c>
    </row>
    <row r="204" spans="1:9" s="9" customFormat="1" x14ac:dyDescent="0.2">
      <c r="A204" s="9" t="s">
        <v>7</v>
      </c>
      <c r="B204" s="9" t="s">
        <v>8</v>
      </c>
    </row>
    <row r="205" spans="1:9" s="9" customFormat="1" x14ac:dyDescent="0.2">
      <c r="A205" s="9" t="s">
        <v>9</v>
      </c>
      <c r="B205" s="9" t="inlineStr">
        <is>
          <t>APPROVED GTL LIFETIME-OUTPUT REFERENCE ASSUMPTION, 2026-10-18. Van der Giesen et al. (2014), DOI 10.1021/es500191g, SI https://doi.org/10.1021/es500191g.s001, page S10 and Table S22, gives 18000 tonnes fuel/day, 300 operating days/year and 30 years. Adopt that published production calendar as the reference for the existing GTL equipment: 1/(18000*1000*300*30) = 6.172839506172839E-12 plant units/kg fuel, replacing the inconsistent transcribed 6.7E-12. USER-APPROVED OPERATING ASSUMPTION: this uses the published reference output/calendar; it does not establish measured operation, future plant duty or complete catalyst coverage. Existing product-allocation keys, fuel output and construction recipe remain unchanged. No new hardware, metal-content factors, credits or primary/secondary shares. Prior references to the former dose or preserved lifetime allocation are superseded only for this coefficient.
PREVIOUS NOTES (retained as history; the correction above takes precedence):
Adapted from van der Giesen et al. 2014. LHV: 43.3 MJ/kg, Formula: C13H18, Density: 7551 kg/m3. Energy-based allocation between 3 other co-products. Allocation key for this co-product: 37%. Post corrected to preserve carbon balance.</t>
        </is>
      </c>
    </row>
    <row r="206" spans="1:9" s="9" customFormat="1" x14ac:dyDescent="0.2">
      <c r="A206" s="9" t="s">
        <v>34</v>
      </c>
      <c r="B206" s="9" t="s">
        <v>35</v>
      </c>
    </row>
    <row r="207" spans="1:9" s="9" customFormat="1" ht="16" x14ac:dyDescent="0.2">
      <c r="A207" s="7" t="s">
        <v>10</v>
      </c>
    </row>
    <row r="208" spans="1:9" s="9" customFormat="1" x14ac:dyDescent="0.2">
      <c r="A208" s="9" t="s">
        <v>11</v>
      </c>
      <c r="B208" s="9" t="s">
        <v>12</v>
      </c>
      <c r="C208" s="9" t="s">
        <v>7</v>
      </c>
      <c r="D208" s="9" t="s">
        <v>5</v>
      </c>
      <c r="E208" s="9" t="s">
        <v>13</v>
      </c>
      <c r="F208" s="9" t="s">
        <v>3</v>
      </c>
      <c r="G208" s="9" t="s">
        <v>2</v>
      </c>
      <c r="H208" s="9" t="s">
        <v>14</v>
      </c>
      <c r="I208" s="9" t="s">
        <v>9</v>
      </c>
    </row>
    <row r="209" spans="1:9" s="9" customFormat="1" x14ac:dyDescent="0.2">
      <c r="A209" s="9" t="s">
        <v>109</v>
      </c>
      <c r="B209" s="9">
        <v>1</v>
      </c>
      <c r="C209" s="9" t="s">
        <v>8</v>
      </c>
      <c r="D209" s="9" t="s">
        <v>6</v>
      </c>
      <c r="F209" s="9" t="s">
        <v>15</v>
      </c>
      <c r="G209" s="9" t="s">
        <v>32</v>
      </c>
      <c r="H209" s="9" t="s">
        <v>36</v>
      </c>
      <c r="I209" s="9" t="s">
        <v>16</v>
      </c>
    </row>
    <row r="210" spans="1:9" s="9" customFormat="1" x14ac:dyDescent="0.2">
      <c r="A210" s="9" t="s">
        <v>114</v>
      </c>
      <c r="B210" s="9">
        <v>2.2599999999999998</v>
      </c>
      <c r="C210" s="9" t="s">
        <v>8</v>
      </c>
      <c r="D210" s="9" t="s">
        <v>6</v>
      </c>
      <c r="F210" s="9" t="s">
        <v>17</v>
      </c>
      <c r="G210" s="9" t="s">
        <v>114</v>
      </c>
      <c r="H210" s="9" t="s">
        <v>36</v>
      </c>
    </row>
    <row r="211" spans="1:9" s="9" customFormat="1" x14ac:dyDescent="0.2">
      <c r="A211" s="9" t="s">
        <v>146</v>
      </c>
      <c r="B211" s="9">
        <f>3.64160231884058*0.37</f>
        <v>1.3473928579710146</v>
      </c>
      <c r="D211" s="9" t="s">
        <v>18</v>
      </c>
      <c r="E211" s="9" t="s">
        <v>19</v>
      </c>
      <c r="F211" s="9" t="s">
        <v>20</v>
      </c>
      <c r="H211" s="9" t="s">
        <v>21</v>
      </c>
    </row>
    <row r="212" spans="1:9" s="9" customFormat="1" x14ac:dyDescent="0.2">
      <c r="A212" s="9" t="s">
        <v>147</v>
      </c>
      <c r="B212" s="9">
        <f>0.00107549913043478*0.37</f>
        <v>3.9793467826086865E-4</v>
      </c>
      <c r="D212" s="9" t="s">
        <v>22</v>
      </c>
      <c r="E212" s="9" t="s">
        <v>148</v>
      </c>
      <c r="F212" s="9" t="s">
        <v>20</v>
      </c>
      <c r="H212" s="9" t="s">
        <v>21</v>
      </c>
    </row>
    <row r="213" spans="1:9" s="9" customFormat="1" x14ac:dyDescent="0.2">
      <c r="A213" s="9" t="s">
        <v>37</v>
      </c>
      <c r="B213" s="10">
        <v>6.172839506172839e-12</v>
      </c>
      <c r="C213" s="9" t="s">
        <v>27</v>
      </c>
      <c r="D213" s="9" t="s">
        <v>5</v>
      </c>
      <c r="F213" s="9" t="s">
        <v>17</v>
      </c>
      <c r="G213" s="9" t="s">
        <v>38</v>
      </c>
      <c r="H213" s="9" t="s">
        <v>36</v>
      </c>
    </row>
    <row r="214" spans="1:9" s="9" customFormat="1" x14ac:dyDescent="0.2">
      <c r="A214" s="9" t="s">
        <v>124</v>
      </c>
      <c r="B214" s="9">
        <v>0.05</v>
      </c>
      <c r="D214" s="9" t="s">
        <v>6</v>
      </c>
      <c r="E214" s="9" t="s">
        <v>123</v>
      </c>
      <c r="F214" s="9" t="s">
        <v>20</v>
      </c>
      <c r="H214" s="9" t="s">
        <v>21</v>
      </c>
    </row>
    <row r="215" spans="1:9" s="9" customFormat="1" x14ac:dyDescent="0.2">
      <c r="A215" s="9" t="s">
        <v>23</v>
      </c>
      <c r="B215" s="10">
        <f>0.0872420618556701*0.37</f>
        <v>3.2279562886597939E-2</v>
      </c>
      <c r="C215" s="9" t="s">
        <v>8</v>
      </c>
      <c r="D215" s="9" t="s">
        <v>24</v>
      </c>
      <c r="F215" s="9" t="s">
        <v>17</v>
      </c>
      <c r="G215" s="9" t="s">
        <v>25</v>
      </c>
      <c r="H215" s="9" t="s">
        <v>149</v>
      </c>
    </row>
    <row r="216" spans="1:9" s="9" customFormat="1" x14ac:dyDescent="0.2"/>
    <row r="217" spans="1:9" s="9" customFormat="1" ht="16" x14ac:dyDescent="0.2">
      <c r="A217" s="7" t="s">
        <v>0</v>
      </c>
      <c r="B217" s="8" t="s">
        <v>159</v>
      </c>
    </row>
    <row r="218" spans="1:9" s="9" customFormat="1" x14ac:dyDescent="0.2">
      <c r="A218" s="9" t="s">
        <v>1</v>
      </c>
      <c r="B218" s="9">
        <v>1</v>
      </c>
    </row>
    <row r="219" spans="1:9" s="9" customFormat="1" x14ac:dyDescent="0.2">
      <c r="A219" s="9" t="s">
        <v>2</v>
      </c>
      <c r="B219" s="9" t="s">
        <v>160</v>
      </c>
    </row>
    <row r="220" spans="1:9" s="9" customFormat="1" x14ac:dyDescent="0.2">
      <c r="A220" s="9" t="s">
        <v>3</v>
      </c>
      <c r="B220" s="9" t="s">
        <v>4</v>
      </c>
    </row>
    <row r="221" spans="1:9" s="9" customFormat="1" x14ac:dyDescent="0.2">
      <c r="A221" s="9" t="s">
        <v>5</v>
      </c>
      <c r="B221" s="9" t="s">
        <v>6</v>
      </c>
    </row>
    <row r="222" spans="1:9" s="9" customFormat="1" x14ac:dyDescent="0.2">
      <c r="A222" s="9" t="s">
        <v>7</v>
      </c>
      <c r="B222" s="9" t="s">
        <v>8</v>
      </c>
    </row>
    <row r="223" spans="1:9" s="9" customFormat="1" x14ac:dyDescent="0.2">
      <c r="A223" s="9" t="s">
        <v>9</v>
      </c>
      <c r="B223" s="9" t="inlineStr">
        <is>
          <t>APPROVED GTL LIFETIME-OUTPUT REFERENCE ASSUMPTION, 2026-10-18. Van der Giesen et al. (2014), DOI 10.1021/es500191g, SI https://doi.org/10.1021/es500191g.s001, page S10 and Table S22, gives 18000 tonnes fuel/day, 300 operating days/year and 30 years. Adopt that published production calendar as the reference for the existing GTL equipment: 1/(18000*1000*300*30) = 6.172839506172839E-12 plant units/kg fuel, replacing the inconsistent transcribed 6.7E-12. USER-APPROVED OPERATING ASSUMPTION: this uses the published reference output/calendar; it does not establish measured operation, future plant duty or complete catalyst coverage. Existing product-allocation keys, fuel output and construction recipe remain unchanged. No new hardware, metal-content factors, credits or primary/secondary shares. Prior references to the former dose or preserved lifetime allocation are superseded only for this coefficient.
PREVIOUS NOTES (retained as history; the correction above takes precedence):
Adapted from A.E.M. van den Oever, D. Costa, M. Messagie, Prospective life cycle assessment of alternatively fueled heavy-duty trucks, Applied Energy, 2023, https://doi.org/10.1016/j.apenergy.2023.120834. Energy-based allocation between 3 other co-products (diesel, wax and C5-C10 olefins). Allocation key for this co-product: 11%. Post corrected to preserve carbon balance.</t>
        </is>
      </c>
    </row>
    <row r="224" spans="1:9" s="9" customFormat="1" x14ac:dyDescent="0.2">
      <c r="A224" s="9" t="s">
        <v>34</v>
      </c>
      <c r="B224" s="9" t="s">
        <v>162</v>
      </c>
    </row>
    <row r="225" spans="1:8" s="9" customFormat="1" ht="16" x14ac:dyDescent="0.2">
      <c r="A225" s="7" t="s">
        <v>10</v>
      </c>
    </row>
    <row r="226" spans="1:8" s="9" customFormat="1" x14ac:dyDescent="0.2">
      <c r="A226" s="9" t="s">
        <v>11</v>
      </c>
      <c r="B226" s="9" t="s">
        <v>12</v>
      </c>
      <c r="C226" s="9" t="s">
        <v>7</v>
      </c>
      <c r="D226" s="9" t="s">
        <v>5</v>
      </c>
      <c r="E226" s="9" t="s">
        <v>13</v>
      </c>
      <c r="F226" s="9" t="s">
        <v>3</v>
      </c>
      <c r="G226" s="9" t="s">
        <v>2</v>
      </c>
      <c r="H226" s="9" t="s">
        <v>9</v>
      </c>
    </row>
    <row r="227" spans="1:8" s="9" customFormat="1" x14ac:dyDescent="0.2">
      <c r="A227" s="9" t="str">
        <f>B217</f>
        <v>liquefied petroleum gas production, synthetic, Fischer Tropsch process, hydrogen from electrolysis, energy allocation</v>
      </c>
      <c r="B227" s="9">
        <v>1</v>
      </c>
      <c r="C227" s="9" t="s">
        <v>8</v>
      </c>
      <c r="D227" s="9" t="s">
        <v>6</v>
      </c>
      <c r="F227" s="9" t="s">
        <v>15</v>
      </c>
      <c r="G227" s="9" t="str">
        <f>B217</f>
        <v>liquefied petroleum gas production, synthetic, Fischer Tropsch process, hydrogen from electrolysis, energy allocation</v>
      </c>
      <c r="H227" s="9" t="s">
        <v>16</v>
      </c>
    </row>
    <row r="228" spans="1:8" s="9" customFormat="1" x14ac:dyDescent="0.2">
      <c r="A228" s="9" t="s">
        <v>114</v>
      </c>
      <c r="B228" s="9">
        <v>2.2799999999999998</v>
      </c>
      <c r="C228" s="9" t="s">
        <v>8</v>
      </c>
      <c r="D228" s="9" t="s">
        <v>6</v>
      </c>
      <c r="F228" s="9" t="s">
        <v>17</v>
      </c>
      <c r="G228" s="9" t="s">
        <v>114</v>
      </c>
    </row>
    <row r="229" spans="1:8" s="9" customFormat="1" x14ac:dyDescent="0.2">
      <c r="A229" s="9" t="s">
        <v>146</v>
      </c>
      <c r="B229" s="9">
        <f>3.64160231884058*0.11</f>
        <v>0.4005762550724638</v>
      </c>
      <c r="D229" s="9" t="s">
        <v>18</v>
      </c>
      <c r="E229" s="9" t="s">
        <v>19</v>
      </c>
      <c r="F229" s="9" t="s">
        <v>20</v>
      </c>
    </row>
    <row r="230" spans="1:8" s="9" customFormat="1" x14ac:dyDescent="0.2">
      <c r="A230" s="9" t="s">
        <v>147</v>
      </c>
      <c r="B230" s="9">
        <f>0.00107549913043478*0.11</f>
        <v>1.1830490434782582E-4</v>
      </c>
      <c r="D230" s="9" t="s">
        <v>22</v>
      </c>
      <c r="E230" s="9" t="s">
        <v>148</v>
      </c>
      <c r="F230" s="9" t="s">
        <v>20</v>
      </c>
    </row>
    <row r="231" spans="1:8" s="9" customFormat="1" x14ac:dyDescent="0.2">
      <c r="A231" s="9" t="s">
        <v>37</v>
      </c>
      <c r="B231" s="10">
        <v>6.172839506172839e-12</v>
      </c>
      <c r="C231" s="9" t="s">
        <v>27</v>
      </c>
      <c r="D231" s="9" t="s">
        <v>5</v>
      </c>
      <c r="F231" s="9" t="s">
        <v>17</v>
      </c>
      <c r="G231" s="9" t="s">
        <v>38</v>
      </c>
    </row>
    <row r="232" spans="1:8" s="9" customFormat="1" x14ac:dyDescent="0.2">
      <c r="A232" s="9" t="s">
        <v>124</v>
      </c>
      <c r="B232" s="9">
        <v>-0.13</v>
      </c>
      <c r="D232" s="9" t="s">
        <v>6</v>
      </c>
      <c r="E232" s="9" t="s">
        <v>123</v>
      </c>
      <c r="F232" s="9" t="s">
        <v>20</v>
      </c>
    </row>
    <row r="233" spans="1:8" s="9" customFormat="1" x14ac:dyDescent="0.2">
      <c r="A233" s="9" t="s">
        <v>23</v>
      </c>
      <c r="B233" s="10">
        <f>0.0872420618556701*0.11</f>
        <v>9.5966268041237108E-3</v>
      </c>
      <c r="C233" s="9" t="s">
        <v>8</v>
      </c>
      <c r="D233" s="9" t="s">
        <v>24</v>
      </c>
      <c r="F233" s="9" t="s">
        <v>17</v>
      </c>
      <c r="G233" s="9" t="s">
        <v>25</v>
      </c>
    </row>
    <row r="234" spans="1:8" s="9" customFormat="1" x14ac:dyDescent="0.2"/>
    <row r="235" spans="1:8" s="9" customFormat="1" ht="16" x14ac:dyDescent="0.2">
      <c r="A235" s="7" t="s">
        <v>0</v>
      </c>
      <c r="B235" s="8" t="s">
        <v>114</v>
      </c>
    </row>
    <row r="236" spans="1:8" s="9" customFormat="1" x14ac:dyDescent="0.2">
      <c r="A236" s="9" t="s">
        <v>1</v>
      </c>
      <c r="B236" s="9">
        <v>1</v>
      </c>
    </row>
    <row r="237" spans="1:8" s="9" customFormat="1" x14ac:dyDescent="0.2">
      <c r="A237" s="9" t="s">
        <v>2</v>
      </c>
      <c r="B237" s="9" t="s">
        <v>114</v>
      </c>
    </row>
    <row r="238" spans="1:8" s="9" customFormat="1" x14ac:dyDescent="0.2">
      <c r="A238" s="9" t="s">
        <v>3</v>
      </c>
      <c r="B238" s="9" t="s">
        <v>4</v>
      </c>
    </row>
    <row r="239" spans="1:8" s="9" customFormat="1" x14ac:dyDescent="0.2">
      <c r="A239" s="9" t="s">
        <v>5</v>
      </c>
      <c r="B239" s="9" t="s">
        <v>6</v>
      </c>
    </row>
    <row r="240" spans="1:8" s="9" customFormat="1" x14ac:dyDescent="0.2">
      <c r="A240" s="9" t="s">
        <v>7</v>
      </c>
      <c r="B240" s="9" t="s">
        <v>8</v>
      </c>
    </row>
    <row r="241" spans="1:7" s="9" customFormat="1" x14ac:dyDescent="0.2">
      <c r="A241" s="9" t="s">
        <v>9</v>
      </c>
      <c r="B241" s="9" t="s">
        <v>30</v>
      </c>
    </row>
    <row r="242" spans="1:7" s="9" customFormat="1" x14ac:dyDescent="0.2">
      <c r="A242" s="9" t="s">
        <v>34</v>
      </c>
      <c r="B242" s="9" t="s">
        <v>35</v>
      </c>
    </row>
    <row r="243" spans="1:7" s="9" customFormat="1" ht="16" x14ac:dyDescent="0.2">
      <c r="A243" s="7" t="s">
        <v>10</v>
      </c>
    </row>
    <row r="244" spans="1:7" s="9" customFormat="1" x14ac:dyDescent="0.2">
      <c r="A244" s="9" t="s">
        <v>11</v>
      </c>
      <c r="B244" s="9" t="s">
        <v>12</v>
      </c>
      <c r="C244" s="9" t="s">
        <v>7</v>
      </c>
      <c r="D244" s="9" t="s">
        <v>5</v>
      </c>
      <c r="E244" s="9" t="s">
        <v>13</v>
      </c>
      <c r="F244" s="9" t="s">
        <v>3</v>
      </c>
      <c r="G244" s="9" t="s">
        <v>2</v>
      </c>
    </row>
    <row r="245" spans="1:7" s="9" customFormat="1" x14ac:dyDescent="0.2">
      <c r="A245" s="9" t="s">
        <v>113</v>
      </c>
      <c r="B245" s="9">
        <v>0.875</v>
      </c>
      <c r="C245" s="9" t="s">
        <v>8</v>
      </c>
      <c r="D245" s="9" t="s">
        <v>6</v>
      </c>
      <c r="F245" s="9" t="s">
        <v>17</v>
      </c>
      <c r="G245" s="9" t="s">
        <v>31</v>
      </c>
    </row>
    <row r="246" spans="1:7" s="9" customFormat="1" ht="16" x14ac:dyDescent="0.2">
      <c r="A246" s="24" t="s">
        <v>150</v>
      </c>
      <c r="B246" s="9">
        <v>0.125</v>
      </c>
      <c r="C246" s="9" t="s">
        <v>8</v>
      </c>
      <c r="D246" s="9" t="s">
        <v>6</v>
      </c>
      <c r="F246" s="9" t="s">
        <v>17</v>
      </c>
      <c r="G246" s="24" t="s">
        <v>151</v>
      </c>
    </row>
    <row r="247" spans="1:7" s="9" customFormat="1" x14ac:dyDescent="0.2">
      <c r="A247" s="9" t="s">
        <v>114</v>
      </c>
      <c r="B247" s="9">
        <v>1</v>
      </c>
      <c r="C247" s="9" t="s">
        <v>8</v>
      </c>
      <c r="D247" s="9" t="s">
        <v>6</v>
      </c>
      <c r="F247" s="9" t="s">
        <v>15</v>
      </c>
      <c r="G247" s="9" t="s">
        <v>114</v>
      </c>
    </row>
    <row r="248" spans="1:7" s="9" customFormat="1" x14ac:dyDescent="0.2">
      <c r="A248" s="9" t="s">
        <v>26</v>
      </c>
      <c r="B248" s="12">
        <v>5.7100000000000004E-6</v>
      </c>
      <c r="C248" s="9" t="s">
        <v>27</v>
      </c>
      <c r="D248" s="9" t="s">
        <v>5</v>
      </c>
      <c r="F248" s="9" t="s">
        <v>17</v>
      </c>
    </row>
    <row r="249" spans="1:7" s="9" customFormat="1" x14ac:dyDescent="0.2">
      <c r="B249" s="12"/>
    </row>
    <row r="250" spans="1:7" s="9" customFormat="1" ht="16" x14ac:dyDescent="0.2">
      <c r="A250" s="7" t="s">
        <v>0</v>
      </c>
      <c r="B250" s="8" t="s">
        <v>113</v>
      </c>
    </row>
    <row r="251" spans="1:7" s="9" customFormat="1" x14ac:dyDescent="0.2">
      <c r="A251" s="9" t="s">
        <v>1</v>
      </c>
      <c r="B251" s="9">
        <v>1</v>
      </c>
    </row>
    <row r="252" spans="1:7" s="9" customFormat="1" x14ac:dyDescent="0.2">
      <c r="A252" s="9" t="s">
        <v>2</v>
      </c>
      <c r="B252" s="9" t="s">
        <v>31</v>
      </c>
    </row>
    <row r="253" spans="1:7" s="9" customFormat="1" x14ac:dyDescent="0.2">
      <c r="A253" s="9" t="s">
        <v>3</v>
      </c>
      <c r="B253" s="9" t="s">
        <v>4</v>
      </c>
    </row>
    <row r="254" spans="1:7" s="9" customFormat="1" x14ac:dyDescent="0.2">
      <c r="A254" s="9" t="s">
        <v>5</v>
      </c>
      <c r="B254" s="9" t="s">
        <v>6</v>
      </c>
    </row>
    <row r="255" spans="1:7" s="9" customFormat="1" x14ac:dyDescent="0.2">
      <c r="A255" s="9" t="s">
        <v>7</v>
      </c>
      <c r="B255" s="9" t="s">
        <v>8</v>
      </c>
    </row>
    <row r="256" spans="1:7" s="9" customFormat="1" x14ac:dyDescent="0.2">
      <c r="A256" s="9" t="s">
        <v>9</v>
      </c>
      <c r="B256" s="9" t="inlineStr">
        <is>
          <t>APPROVED RWGS PAIR-LEVEL THROUGHPUT ASSUMPTION, 2026-10-18. Van der Giesen et al. (2014), DOI 10.1021/es500191g, SI https://doi.org/10.1021/es500191g.s001, pages S7-S8 and Table S19, states 2900 kg CO per 30 minutes, 8000 operating hours/year and 30 years, for construction represented by a two-reactor unit. EXPLICIT USER-APPROVED BOUNDARY ASSUMPTION: treat 2900 kg per 30 minutes as total output of the COMPLETE TWO-REACTOR UNIT, not per vessel. Then 1/(2900*2*8000*30) = 7.183908045977011E-10 pair units/kg CO, replacing the inconsistent 1.93E-9. The source duty/parallel-vessel interpretation remains ambiguous: if both vessels each deliver this throughput, the dose would be half this value. This reference accounting assumption is not proof of industrial performance. Keep the corrected two-vessel steel recipe, catalyst/zeolite lifetime quantities, CO output and other material/energy flows unchanged. Historical dose statements are superseded only for this coefficient. No new recovery credit or primary/secondary split.
PREVIOUS NOTES (retained as history; the correction above takes precedence):
Adapted from van der Giesen et al. 2014. Density of syngas: 0.470kg/m3 @1 bar. LHV: 23.9 MJ/kg.</t>
        </is>
      </c>
    </row>
    <row r="257" spans="1:7" s="9" customFormat="1" ht="16" x14ac:dyDescent="0.2">
      <c r="A257" s="7" t="s">
        <v>10</v>
      </c>
    </row>
    <row r="258" spans="1:7" s="9" customFormat="1" x14ac:dyDescent="0.2">
      <c r="A258" s="9" t="s">
        <v>11</v>
      </c>
      <c r="B258" s="9" t="s">
        <v>12</v>
      </c>
      <c r="C258" s="9" t="s">
        <v>7</v>
      </c>
      <c r="D258" s="9" t="s">
        <v>5</v>
      </c>
      <c r="E258" s="9" t="s">
        <v>13</v>
      </c>
      <c r="F258" s="9" t="s">
        <v>3</v>
      </c>
      <c r="G258" s="9" t="s">
        <v>2</v>
      </c>
    </row>
    <row r="259" spans="1:7" s="9" customFormat="1" x14ac:dyDescent="0.2">
      <c r="A259" s="9" t="s">
        <v>113</v>
      </c>
      <c r="B259" s="9">
        <v>1</v>
      </c>
      <c r="C259" s="9" t="s">
        <v>8</v>
      </c>
      <c r="D259" s="9" t="s">
        <v>6</v>
      </c>
      <c r="F259" s="9" t="s">
        <v>15</v>
      </c>
      <c r="G259" s="9" t="s">
        <v>31</v>
      </c>
    </row>
    <row r="260" spans="1:7" s="9" customFormat="1" ht="16" x14ac:dyDescent="0.2">
      <c r="A260" s="24" t="s">
        <v>150</v>
      </c>
      <c r="B260" s="9">
        <v>7.0000000000000007E-2</v>
      </c>
      <c r="C260" s="9" t="s">
        <v>8</v>
      </c>
      <c r="D260" s="9" t="s">
        <v>6</v>
      </c>
      <c r="F260" s="9" t="s">
        <v>17</v>
      </c>
      <c r="G260" s="24" t="s">
        <v>151</v>
      </c>
    </row>
    <row r="261" spans="1:7" s="9" customFormat="1" ht="16" x14ac:dyDescent="0.2">
      <c r="A261" s="27" t="s">
        <v>163</v>
      </c>
      <c r="B261" s="9">
        <v>1.57</v>
      </c>
      <c r="C261" s="9" t="s">
        <v>8</v>
      </c>
      <c r="D261" s="9" t="s">
        <v>6</v>
      </c>
      <c r="F261" s="9" t="s">
        <v>17</v>
      </c>
      <c r="G261" s="27" t="s">
        <v>164</v>
      </c>
    </row>
    <row r="262" spans="1:7" s="9" customFormat="1" x14ac:dyDescent="0.2">
      <c r="A262" s="9" t="s">
        <v>48</v>
      </c>
      <c r="B262" s="10">
        <v>7.183908045977011e-10</v>
      </c>
      <c r="C262" s="9" t="s">
        <v>8</v>
      </c>
      <c r="D262" s="9" t="s">
        <v>5</v>
      </c>
      <c r="F262" s="9" t="s">
        <v>17</v>
      </c>
      <c r="G262" s="9" t="s">
        <v>49</v>
      </c>
    </row>
    <row r="263" spans="1:7" s="9" customFormat="1" x14ac:dyDescent="0.2">
      <c r="B263" s="10"/>
    </row>
    <row r="264" spans="1:7" ht="16" x14ac:dyDescent="0.2">
      <c r="A264" s="1" t="s">
        <v>0</v>
      </c>
      <c r="B264" s="2" t="s">
        <v>37</v>
      </c>
    </row>
    <row r="265" spans="1:7" x14ac:dyDescent="0.2">
      <c r="A265" t="s">
        <v>1</v>
      </c>
      <c r="B265">
        <v>1</v>
      </c>
    </row>
    <row r="266" spans="1:7" x14ac:dyDescent="0.2">
      <c r="A266" t="s">
        <v>2</v>
      </c>
      <c r="B266" t="s">
        <v>38</v>
      </c>
    </row>
    <row r="267" spans="1:7" x14ac:dyDescent="0.2">
      <c r="A267" t="s">
        <v>3</v>
      </c>
      <c r="B267" t="s">
        <v>4</v>
      </c>
    </row>
    <row r="268" spans="1:7" x14ac:dyDescent="0.2">
      <c r="A268" t="s">
        <v>5</v>
      </c>
      <c r="B268" t="s">
        <v>5</v>
      </c>
    </row>
    <row r="269" spans="1:7" x14ac:dyDescent="0.2">
      <c r="A269" t="s">
        <v>7</v>
      </c>
      <c r="B269" t="s">
        <v>27</v>
      </c>
    </row>
    <row r="270" spans="1:7" x14ac:dyDescent="0.2">
      <c r="A270" t="s">
        <v>9</v>
      </c>
      <c r="B270" t="inlineStr">
        <is>
          <t>APPROVED GTL-PLANT STEEL-GRADE SOURCE CORRECTION, 2026-10-18. Van der Giesen, Kleijn and Kramer (2014), Energy and Climate Impacts of Producing Synthetic Hydrocarbon Fuels from CO2, Environmental Science &amp; Technology 48, 7111-7121, DOI 10.1021/es500191g; supporting information https://doi.org/10.1021/es500191g.s001, Table S21, page S25. The source specifies 7.20E+06 kg low-alloy steel plus 7.20E+06 kg reinforcing steel per GTL plant. Its plant-construction narrative also explicitly describes an equal division of reinforcing and low-alloy steel. Replace the transcribed stainless/chromium-steel 18/8 purchase with the existing market for steel, low-alloyed, while retaining the 7,200,000 kg amount and inherited GLO market geography. This is a source material-identity correction, not validation of the exact alloy grade, a modern plant design, manufacturing yields or future engineering. The original source uses RER supply; supply geography is not revised in this targeted change. Reinforcing steel, concrete, 14,400,000 kg waste bulk iron, concrete disposal, land occupation, plant output, every fuel-plant dose and lifetime allocation remain unchanged. No extra equipment, treatment, metal-content factor, recovered-metal credit or primary/secondary split is introduced. This restores the historical source recipe; full system metal effects, plant lifetime arithmetic, RWGS equipment and catalyst coverage remain separate and unvalidated by this correction.
PREVIOUS SOURCE NOTES:
Represents an input of 1.120.000 m2 of land, 14.400 ton of steel in an assumed equal division of reinforcing and low alloyed steel, 345.000 m3 of concrete.</t>
        </is>
      </c>
    </row>
    <row r="271" spans="1:7" x14ac:dyDescent="0.2">
      <c r="A271" t="s">
        <v>34</v>
      </c>
      <c r="B271" t="s">
        <v>35</v>
      </c>
    </row>
    <row r="272" spans="1:7" ht="16" x14ac:dyDescent="0.2">
      <c r="A272" s="1" t="s">
        <v>10</v>
      </c>
    </row>
    <row r="273" spans="1:7" x14ac:dyDescent="0.2">
      <c r="A273" t="s">
        <v>11</v>
      </c>
      <c r="B273" t="s">
        <v>12</v>
      </c>
      <c r="C273" t="s">
        <v>7</v>
      </c>
      <c r="D273" t="s">
        <v>5</v>
      </c>
      <c r="E273" t="s">
        <v>13</v>
      </c>
      <c r="F273" t="s">
        <v>3</v>
      </c>
      <c r="G273" t="s">
        <v>2</v>
      </c>
    </row>
    <row r="274" spans="1:7" x14ac:dyDescent="0.2">
      <c r="A274" t="s">
        <v>37</v>
      </c>
      <c r="B274">
        <v>1</v>
      </c>
      <c r="C274" t="s">
        <v>27</v>
      </c>
      <c r="D274" t="s">
        <v>5</v>
      </c>
      <c r="F274" t="s">
        <v>15</v>
      </c>
      <c r="G274" t="s">
        <v>38</v>
      </c>
    </row>
    <row r="275" spans="1:7" x14ac:dyDescent="0.2">
      <c r="A275" t="s">
        <v>51</v>
      </c>
      <c r="B275" s="3">
        <v>345000</v>
      </c>
      <c r="C275" t="s">
        <v>52</v>
      </c>
      <c r="D275" t="s">
        <v>22</v>
      </c>
      <c r="F275" t="s">
        <v>17</v>
      </c>
      <c r="G275" s="6" t="s">
        <v>53</v>
      </c>
    </row>
    <row r="276" spans="1:7" x14ac:dyDescent="0.2">
      <c r="A276" t="inlineStr">
        <is>
          <t>market for steel, low-alloyed</t>
        </is>
      </c>
      <c r="B276" s="3">
        <v>7200000</v>
      </c>
      <c r="C276" t="s">
        <v>27</v>
      </c>
      <c r="D276" t="s">
        <v>6</v>
      </c>
      <c r="F276" t="s">
        <v>17</v>
      </c>
      <c r="G276" t="inlineStr">
        <is>
          <t>steel, low-alloyed</t>
        </is>
      </c>
    </row>
    <row r="277" spans="1:7" x14ac:dyDescent="0.2">
      <c r="A277" t="s">
        <v>54</v>
      </c>
      <c r="B277" s="3">
        <v>7200000</v>
      </c>
      <c r="C277" t="s">
        <v>27</v>
      </c>
      <c r="D277" t="s">
        <v>6</v>
      </c>
      <c r="F277" t="s">
        <v>17</v>
      </c>
      <c r="G277" t="s">
        <v>55</v>
      </c>
    </row>
    <row r="278" spans="1:7" x14ac:dyDescent="0.2">
      <c r="A278" t="s">
        <v>56</v>
      </c>
      <c r="B278" s="3">
        <v>-828000000</v>
      </c>
      <c r="C278" t="s">
        <v>57</v>
      </c>
      <c r="D278" t="s">
        <v>6</v>
      </c>
      <c r="F278" t="s">
        <v>17</v>
      </c>
      <c r="G278" t="s">
        <v>58</v>
      </c>
    </row>
    <row r="279" spans="1:7" x14ac:dyDescent="0.2">
      <c r="A279" t="s">
        <v>59</v>
      </c>
      <c r="B279" s="3">
        <v>-14400000</v>
      </c>
      <c r="C279" t="s">
        <v>57</v>
      </c>
      <c r="D279" t="s">
        <v>6</v>
      </c>
      <c r="F279" t="s">
        <v>17</v>
      </c>
      <c r="G279" t="s">
        <v>60</v>
      </c>
    </row>
    <row r="280" spans="1:7" x14ac:dyDescent="0.2">
      <c r="A280" t="s">
        <v>61</v>
      </c>
      <c r="B280" s="3">
        <v>1120000</v>
      </c>
      <c r="D280" t="s">
        <v>62</v>
      </c>
      <c r="E280" t="s">
        <v>63</v>
      </c>
      <c r="F280" t="s">
        <v>20</v>
      </c>
    </row>
    <row r="282" spans="1:7" ht="16" x14ac:dyDescent="0.2">
      <c r="A282" s="1" t="s">
        <v>0</v>
      </c>
      <c r="B282" s="2" t="s">
        <v>26</v>
      </c>
    </row>
    <row r="283" spans="1:7" x14ac:dyDescent="0.2">
      <c r="A283" t="s">
        <v>1</v>
      </c>
      <c r="B283">
        <v>1</v>
      </c>
    </row>
    <row r="284" spans="1:7" x14ac:dyDescent="0.2">
      <c r="A284" t="s">
        <v>2</v>
      </c>
      <c r="B284" t="s">
        <v>26</v>
      </c>
    </row>
    <row r="285" spans="1:7" x14ac:dyDescent="0.2">
      <c r="A285" t="s">
        <v>3</v>
      </c>
      <c r="B285" t="s">
        <v>4</v>
      </c>
    </row>
    <row r="286" spans="1:7" x14ac:dyDescent="0.2">
      <c r="A286" t="s">
        <v>5</v>
      </c>
      <c r="B286" t="s">
        <v>5</v>
      </c>
    </row>
    <row r="287" spans="1:7" x14ac:dyDescent="0.2">
      <c r="A287" t="s">
        <v>7</v>
      </c>
      <c r="B287" t="s">
        <v>27</v>
      </c>
    </row>
    <row r="288" spans="1:7" ht="16" x14ac:dyDescent="0.2">
      <c r="A288" s="1" t="s">
        <v>10</v>
      </c>
    </row>
    <row r="289" spans="1:7" x14ac:dyDescent="0.2">
      <c r="A289" t="s">
        <v>11</v>
      </c>
      <c r="B289" t="s">
        <v>12</v>
      </c>
      <c r="C289" t="s">
        <v>7</v>
      </c>
      <c r="D289" t="s">
        <v>5</v>
      </c>
      <c r="E289" t="s">
        <v>13</v>
      </c>
      <c r="F289" t="s">
        <v>3</v>
      </c>
      <c r="G289" t="s">
        <v>2</v>
      </c>
    </row>
    <row r="290" spans="1:7" x14ac:dyDescent="0.2">
      <c r="A290" t="s">
        <v>28</v>
      </c>
      <c r="B290">
        <v>300</v>
      </c>
      <c r="C290" t="s">
        <v>27</v>
      </c>
      <c r="D290" t="s">
        <v>6</v>
      </c>
      <c r="F290" t="s">
        <v>17</v>
      </c>
      <c r="G290" t="s">
        <v>29</v>
      </c>
    </row>
    <row r="291" spans="1:7" x14ac:dyDescent="0.2">
      <c r="A291" t="s">
        <v>26</v>
      </c>
      <c r="B291">
        <v>1</v>
      </c>
      <c r="C291" t="s">
        <v>27</v>
      </c>
      <c r="D291" t="s">
        <v>5</v>
      </c>
      <c r="F291" t="s">
        <v>15</v>
      </c>
      <c r="G291" t="s">
        <v>26</v>
      </c>
    </row>
    <row r="293" spans="1:7" ht="16" x14ac:dyDescent="0.2">
      <c r="A293" s="1" t="s">
        <v>0</v>
      </c>
      <c r="B293" s="2" t="s">
        <v>64</v>
      </c>
    </row>
    <row r="294" spans="1:7" x14ac:dyDescent="0.2">
      <c r="A294" t="s">
        <v>1</v>
      </c>
      <c r="B294">
        <v>1</v>
      </c>
    </row>
    <row r="295" spans="1:7" x14ac:dyDescent="0.2">
      <c r="A295" t="s">
        <v>2</v>
      </c>
      <c r="B295" t="s">
        <v>64</v>
      </c>
    </row>
    <row r="296" spans="1:7" x14ac:dyDescent="0.2">
      <c r="A296" t="s">
        <v>3</v>
      </c>
      <c r="B296" t="s">
        <v>4</v>
      </c>
    </row>
    <row r="297" spans="1:7" x14ac:dyDescent="0.2">
      <c r="A297" t="s">
        <v>5</v>
      </c>
      <c r="B297" t="s">
        <v>6</v>
      </c>
    </row>
    <row r="298" spans="1:7" x14ac:dyDescent="0.2">
      <c r="A298" t="s">
        <v>7</v>
      </c>
      <c r="B298" t="s">
        <v>8</v>
      </c>
    </row>
    <row r="299" spans="1:7" x14ac:dyDescent="0.2">
      <c r="A299" t="s">
        <v>9</v>
      </c>
      <c r="B299" t="s">
        <v>65</v>
      </c>
    </row>
    <row r="300" spans="1:7" x14ac:dyDescent="0.2">
      <c r="A300" t="s">
        <v>34</v>
      </c>
      <c r="B300" t="s">
        <v>35</v>
      </c>
    </row>
    <row r="301" spans="1:7" ht="16" x14ac:dyDescent="0.2">
      <c r="A301" s="1" t="s">
        <v>10</v>
      </c>
    </row>
    <row r="302" spans="1:7" x14ac:dyDescent="0.2">
      <c r="A302" t="s">
        <v>11</v>
      </c>
      <c r="B302" t="s">
        <v>12</v>
      </c>
      <c r="C302" t="s">
        <v>7</v>
      </c>
      <c r="D302" t="s">
        <v>5</v>
      </c>
      <c r="E302" t="s">
        <v>13</v>
      </c>
      <c r="F302" t="s">
        <v>3</v>
      </c>
      <c r="G302" t="s">
        <v>2</v>
      </c>
    </row>
    <row r="303" spans="1:7" x14ac:dyDescent="0.2">
      <c r="A303" t="s">
        <v>64</v>
      </c>
      <c r="B303">
        <v>1</v>
      </c>
      <c r="C303" t="s">
        <v>8</v>
      </c>
      <c r="D303" t="s">
        <v>6</v>
      </c>
      <c r="F303" t="s">
        <v>15</v>
      </c>
      <c r="G303" t="s">
        <v>64</v>
      </c>
    </row>
    <row r="304" spans="1:7" x14ac:dyDescent="0.2">
      <c r="A304" t="s">
        <v>66</v>
      </c>
      <c r="B304">
        <v>0.56999999999999995</v>
      </c>
      <c r="C304" t="s">
        <v>27</v>
      </c>
      <c r="D304" t="s">
        <v>6</v>
      </c>
      <c r="F304" t="s">
        <v>17</v>
      </c>
      <c r="G304" t="s">
        <v>67</v>
      </c>
    </row>
    <row r="305" spans="1:8" x14ac:dyDescent="0.2">
      <c r="A305" t="s">
        <v>68</v>
      </c>
      <c r="B305">
        <v>0.11</v>
      </c>
      <c r="C305" t="s">
        <v>69</v>
      </c>
      <c r="D305" t="s">
        <v>6</v>
      </c>
      <c r="F305" t="s">
        <v>17</v>
      </c>
      <c r="G305" t="s">
        <v>70</v>
      </c>
    </row>
    <row r="306" spans="1:8" x14ac:dyDescent="0.2">
      <c r="A306" t="s">
        <v>71</v>
      </c>
      <c r="B306">
        <v>0.31</v>
      </c>
      <c r="C306" t="s">
        <v>27</v>
      </c>
      <c r="D306" t="s">
        <v>6</v>
      </c>
      <c r="F306" t="s">
        <v>17</v>
      </c>
      <c r="G306" t="s">
        <v>72</v>
      </c>
    </row>
    <row r="308" spans="1:8" ht="16" x14ac:dyDescent="0.2">
      <c r="A308" s="1" t="s">
        <v>0</v>
      </c>
      <c r="B308" s="2" t="s">
        <v>48</v>
      </c>
    </row>
    <row r="309" spans="1:8" x14ac:dyDescent="0.2">
      <c r="A309" t="s">
        <v>1</v>
      </c>
      <c r="B309">
        <v>1</v>
      </c>
    </row>
    <row r="310" spans="1:8" x14ac:dyDescent="0.2">
      <c r="A310" t="s">
        <v>2</v>
      </c>
      <c r="B310" t="s">
        <v>49</v>
      </c>
    </row>
    <row r="311" spans="1:8" x14ac:dyDescent="0.2">
      <c r="A311" t="s">
        <v>3</v>
      </c>
      <c r="B311" t="s">
        <v>4</v>
      </c>
    </row>
    <row r="312" spans="1:8" x14ac:dyDescent="0.2">
      <c r="A312" t="s">
        <v>5</v>
      </c>
      <c r="B312" t="s">
        <v>5</v>
      </c>
    </row>
    <row r="313" spans="1:8" x14ac:dyDescent="0.2">
      <c r="A313" t="s">
        <v>7</v>
      </c>
      <c r="B313" t="s">
        <v>8</v>
      </c>
    </row>
    <row r="314" spans="1:8" x14ac:dyDescent="0.2">
      <c r="A314" t="s">
        <v>9</v>
      </c>
      <c r="B314" t="inlineStr">
        <is>
          <t>APPROVED RWGS TWO-VESSEL STEEL SOURCE CORRECTION, 2026-10-18. Van der Giesen, Kleijn and Kramer (2014), Energy and Climate Impacts of Producing Synthetic Hydrocarbon Fuels from CO2, Environmental Science &amp; Technology 48, 7111-7121, DOI 10.1021/es500191g; supporting information https://doi.org/10.1021/es500191g.s001, Table S18, page S24, and reactor narrative on page S7. Each vessel contains 4,760 kg steel, split equally between low-alloy and chromium steel. One declared reactor-construction unit represents TWO parallel vessels: 2 vessels * 4,760 kg/vessel * 0.5 = 4,760 kg of EACH steel grade. The previous 2,380 kg purchases each represented only one vessel, despite the existing two-vessel catalyst, sorbent and waste quantities. Restore both steel purchases to 4,760 kg, totaling 9,520 kg and matching the existing -9,520 kg steel-treatment input. Keep every supplier identity, processing form and geography, the one-unit output, 26,700 kg lifetime zeolite, 6,600 kg lifetime catalyst, and all other equipment and process coefficients unchanged. Preserve the inherited 1.93E-09 construction units/kg CO allocation: its separate disputed source throughput/lifetime arithmetic is not corrected here. This restores the historical source two-vessel boundary, not independent validation of modern engineering, material retention or manufacturing and treatment yields. No primary/secondary split, new metal-content factor, recovery credit, extra equipment or invented catalyst dose is introduced. Separate tank/catalyst coverage and full system metal effects remain unvalidated by this correction.
PREVIOUS SOURCE NOTES:
The reactor vessel consists of 4760 kg of steel (assuming 50% low alloyed steel and 50% chromium steel) and is filled with a mixture of 440 kg of RWGS catalyst and 1780 kg of sorbent, which need to be renewed every 4 years.14 Over a reactor lifetime of 30 years therefore 30/4 x 440 kg = 3300 kg of catalyst and 30/4 x 1780 kg = 13350 kg of sorbent is needed. Since two identical reactors are use in parallel all numbers are doubled in the unit process representing the construction of the fixed bed
reactor.</t>
        </is>
      </c>
    </row>
    <row r="315" spans="1:8" x14ac:dyDescent="0.2">
      <c r="A315" t="s">
        <v>34</v>
      </c>
      <c r="B315" t="s">
        <v>35</v>
      </c>
    </row>
    <row r="316" spans="1:8" ht="16" x14ac:dyDescent="0.2">
      <c r="A316" s="1" t="s">
        <v>10</v>
      </c>
    </row>
    <row r="317" spans="1:8" x14ac:dyDescent="0.2">
      <c r="A317" t="s">
        <v>11</v>
      </c>
      <c r="B317" t="s">
        <v>12</v>
      </c>
      <c r="C317" t="s">
        <v>7</v>
      </c>
      <c r="D317" t="s">
        <v>5</v>
      </c>
      <c r="E317" t="s">
        <v>13</v>
      </c>
      <c r="F317" t="s">
        <v>3</v>
      </c>
      <c r="G317" t="s">
        <v>2</v>
      </c>
      <c r="H317" t="s">
        <v>9</v>
      </c>
    </row>
    <row r="318" spans="1:8" x14ac:dyDescent="0.2">
      <c r="A318" t="s">
        <v>48</v>
      </c>
      <c r="B318">
        <v>1</v>
      </c>
      <c r="C318" t="s">
        <v>8</v>
      </c>
      <c r="D318" t="s">
        <v>5</v>
      </c>
      <c r="F318" t="s">
        <v>15</v>
      </c>
      <c r="G318" t="s">
        <v>49</v>
      </c>
    </row>
    <row r="319" spans="1:8" x14ac:dyDescent="0.2">
      <c r="A319" t="s">
        <v>74</v>
      </c>
      <c r="B319" s="3">
        <f>2*4760/2</f>
        <v>4760</v>
      </c>
      <c r="C319" t="s">
        <v>27</v>
      </c>
      <c r="D319" t="s">
        <v>6</v>
      </c>
      <c r="F319" t="s">
        <v>17</v>
      </c>
      <c r="G319" t="s">
        <v>75</v>
      </c>
      <c r="H319" t="inlineStr">
        <is>
          <t>APPROVED RWGS TWO-VESSEL STEEL SOURCE CORRECTION, 2026-10-18. Van der Giesen, Kleijn and Kramer (2014), Energy and Climate Impacts of Producing Synthetic Hydrocarbon Fuels from CO2, Environmental Science &amp; Technology 48, 7111-7121, DOI 10.1021/es500191g; supporting information https://doi.org/10.1021/es500191g.s001, Table S18, page S24, and reactor narrative on page S7. Each vessel contains 4,760 kg steel, split equally between low-alloy and chromium steel. One declared reactor-construction unit represents TWO parallel vessels: 2 vessels * 4,760 kg/vessel * 0.5 = 4,760 kg of EACH steel grade. The previous 2,380 kg purchases each represented only one vessel, despite the existing two-vessel catalyst, sorbent and waste quantities. Restore both steel purchases to 4,760 kg, totaling 9,520 kg and matching the existing -9,520 kg steel-treatment input. Keep every supplier identity, processing form and geography, the one-unit output, 26,700 kg lifetime zeolite, 6,600 kg lifetime catalyst, and all other equipment and process coefficients unchanged. Preserve the inherited 1.93E-09 construction units/kg CO allocation: its separate disputed source throughput/lifetime arithmetic is not corrected here. This restores the historical source two-vessel boundary, not independent validation of modern engineering, material retention or manufacturing and treatment yields. No primary/secondary split, new metal-content factor, recovery credit, extra equipment or invented catalyst dose is introduced. Separate tank/catalyst coverage and full system metal effects remain unvalidated by this correction.
PREVIOUS SOURCE NOTES:
The reactor vessel consists of 4760 kg of steel (assuming 50% low alloyed steel and 50% chromium steel) </t>
        </is>
      </c>
    </row>
    <row r="320" spans="1:8" x14ac:dyDescent="0.2">
      <c r="A320" t="s">
        <v>59</v>
      </c>
      <c r="B320" s="3">
        <v>-9520</v>
      </c>
      <c r="C320" t="s">
        <v>57</v>
      </c>
      <c r="D320" t="s">
        <v>6</v>
      </c>
      <c r="F320" t="s">
        <v>17</v>
      </c>
      <c r="G320" t="s">
        <v>60</v>
      </c>
    </row>
    <row r="321" spans="1:8" x14ac:dyDescent="0.2">
      <c r="A321" t="s">
        <v>76</v>
      </c>
      <c r="B321" s="3">
        <f>2*4760/2</f>
        <v>4760</v>
      </c>
      <c r="C321" t="s">
        <v>27</v>
      </c>
      <c r="D321" t="s">
        <v>6</v>
      </c>
      <c r="F321" t="s">
        <v>17</v>
      </c>
      <c r="G321" t="s">
        <v>77</v>
      </c>
      <c r="H321" t="inlineStr">
        <is>
          <t>APPROVED RWGS TWO-VESSEL STEEL SOURCE CORRECTION, 2026-10-18. Van der Giesen, Kleijn and Kramer (2014), Energy and Climate Impacts of Producing Synthetic Hydrocarbon Fuels from CO2, Environmental Science &amp; Technology 48, 7111-7121, DOI 10.1021/es500191g; supporting information https://doi.org/10.1021/es500191g.s001, Table S18, page S24, and reactor narrative on page S7. Each vessel contains 4,760 kg steel, split equally between low-alloy and chromium steel. One declared reactor-construction unit represents TWO parallel vessels: 2 vessels * 4,760 kg/vessel * 0.5 = 4,760 kg of EACH steel grade. The previous 2,380 kg purchases each represented only one vessel, despite the existing two-vessel catalyst, sorbent and waste quantities. Restore both steel purchases to 4,760 kg, totaling 9,520 kg and matching the existing -9,520 kg steel-treatment input. Keep every supplier identity, processing form and geography, the one-unit output, 26,700 kg lifetime zeolite, 6,600 kg lifetime catalyst, and all other equipment and process coefficients unchanged. Preserve the inherited 1.93E-09 construction units/kg CO allocation: its separate disputed source throughput/lifetime arithmetic is not corrected here. This restores the historical source two-vessel boundary, not independent validation of modern engineering, material retention or manufacturing and treatment yields. No primary/secondary split, new metal-content factor, recovery credit, extra equipment or invented catalyst dose is introduced. Separate tank/catalyst coverage and full system metal effects remain unvalidated by this correction.
PREVIOUS SOURCE NOTES:
The reactor vessel consists of 4760 kg of steel (assuming 50% low alloyed steel and 50% chromium steel) </t>
        </is>
      </c>
    </row>
    <row r="322" spans="1:8" x14ac:dyDescent="0.2">
      <c r="A322" t="s">
        <v>78</v>
      </c>
      <c r="B322" s="3">
        <v>26700</v>
      </c>
      <c r="C322" t="s">
        <v>27</v>
      </c>
      <c r="D322" t="s">
        <v>6</v>
      </c>
      <c r="F322" t="s">
        <v>17</v>
      </c>
      <c r="G322" t="s">
        <v>79</v>
      </c>
      <c r="H322" t="s">
        <v>120</v>
      </c>
    </row>
    <row r="323" spans="1:8" x14ac:dyDescent="0.2">
      <c r="A323" t="s">
        <v>64</v>
      </c>
      <c r="B323" s="3">
        <v>6600</v>
      </c>
      <c r="C323" t="s">
        <v>8</v>
      </c>
      <c r="D323" t="s">
        <v>6</v>
      </c>
      <c r="F323" t="s">
        <v>17</v>
      </c>
      <c r="G323" t="s">
        <v>64</v>
      </c>
      <c r="H323" t="s">
        <v>121</v>
      </c>
    </row>
    <row r="326" spans="1:8" ht="16" x14ac:dyDescent="0.2">
      <c r="A326" s="1"/>
    </row>
    <row r="332" spans="1:8" x14ac:dyDescent="0.2">
      <c r="B332" s="3"/>
    </row>
    <row r="333" spans="1:8" x14ac:dyDescent="0.2">
      <c r="B333" s="3"/>
    </row>
    <row r="335" spans="1:8" ht="16" x14ac:dyDescent="0.2">
      <c r="A335" s="1"/>
      <c r="B335" s="2"/>
    </row>
    <row r="342" spans="1:7" ht="16" x14ac:dyDescent="0.2">
      <c r="A342" s="1"/>
    </row>
    <row r="345" spans="1:7" ht="16" x14ac:dyDescent="0.2">
      <c r="A345" s="4"/>
      <c r="G345" s="4"/>
    </row>
    <row r="349" spans="1:7" x14ac:dyDescent="0.2">
      <c r="B349" s="5"/>
    </row>
    <row r="350" spans="1:7" x14ac:dyDescent="0.2">
      <c r="B350" s="5"/>
    </row>
    <row r="351" spans="1:7" ht="16" x14ac:dyDescent="0.2">
      <c r="A351" s="1"/>
      <c r="B351" s="2"/>
    </row>
    <row r="358" spans="1:7" ht="16" x14ac:dyDescent="0.2">
      <c r="A358" s="1"/>
    </row>
    <row r="361" spans="1:7" ht="16" x14ac:dyDescent="0.2">
      <c r="A361" s="4"/>
      <c r="G361" s="4"/>
    </row>
    <row r="362" spans="1:7" ht="16" x14ac:dyDescent="0.2">
      <c r="A362" s="4"/>
      <c r="G362" s="4"/>
    </row>
    <row r="365" spans="1:7" ht="16" x14ac:dyDescent="0.2">
      <c r="A365" s="1"/>
      <c r="B365" s="2"/>
    </row>
    <row r="372" spans="1:2" ht="16" x14ac:dyDescent="0.2">
      <c r="A372" s="1"/>
    </row>
    <row r="378" spans="1:2" x14ac:dyDescent="0.2">
      <c r="B378" s="3"/>
    </row>
    <row r="379" spans="1:2" x14ac:dyDescent="0.2">
      <c r="B379" s="3"/>
    </row>
    <row r="381" spans="1:2" ht="16" x14ac:dyDescent="0.2">
      <c r="A381" s="1"/>
      <c r="B381" s="2"/>
    </row>
    <row r="388" spans="1:7" ht="16" x14ac:dyDescent="0.2">
      <c r="A388" s="1"/>
    </row>
    <row r="391" spans="1:7" ht="16" x14ac:dyDescent="0.2">
      <c r="A391" s="4"/>
      <c r="G391" s="4"/>
    </row>
    <row r="395" spans="1:7" x14ac:dyDescent="0.2">
      <c r="B395" s="5"/>
    </row>
    <row r="396" spans="1:7" x14ac:dyDescent="0.2">
      <c r="B396" s="5"/>
    </row>
    <row r="397" spans="1:7" ht="16" x14ac:dyDescent="0.2">
      <c r="A397" s="1"/>
      <c r="B397" s="2"/>
    </row>
    <row r="404" spans="1:7" ht="16" x14ac:dyDescent="0.2">
      <c r="A404" s="1"/>
    </row>
    <row r="407" spans="1:7" ht="16" x14ac:dyDescent="0.2">
      <c r="A407" s="4"/>
      <c r="G407" s="4"/>
    </row>
    <row r="408" spans="1:7" ht="16" x14ac:dyDescent="0.2">
      <c r="A408" s="4"/>
      <c r="G408" s="4"/>
    </row>
    <row r="411" spans="1:7" ht="16" x14ac:dyDescent="0.2">
      <c r="A411" s="1"/>
      <c r="B411" s="2"/>
    </row>
    <row r="418" spans="1:2" ht="16" x14ac:dyDescent="0.2">
      <c r="A418" s="1"/>
    </row>
    <row r="424" spans="1:2" x14ac:dyDescent="0.2">
      <c r="B424" s="3"/>
    </row>
    <row r="425" spans="1:2" x14ac:dyDescent="0.2">
      <c r="B425" s="3"/>
    </row>
    <row r="427" spans="1:2" ht="16" x14ac:dyDescent="0.2">
      <c r="A427" s="1"/>
      <c r="B427" s="2"/>
    </row>
    <row r="434" spans="1:7" ht="16" x14ac:dyDescent="0.2">
      <c r="A434" s="1"/>
    </row>
    <row r="437" spans="1:7" ht="16" x14ac:dyDescent="0.2">
      <c r="A437" s="4"/>
      <c r="G437" s="4"/>
    </row>
    <row r="441" spans="1:7" x14ac:dyDescent="0.2">
      <c r="B441" s="5"/>
    </row>
    <row r="442" spans="1:7" x14ac:dyDescent="0.2">
      <c r="B442" s="5"/>
    </row>
    <row r="443" spans="1:7" ht="16" x14ac:dyDescent="0.2">
      <c r="A443" s="1"/>
      <c r="B443" s="2"/>
    </row>
    <row r="450" spans="1:7" ht="16" x14ac:dyDescent="0.2">
      <c r="A450" s="1"/>
    </row>
    <row r="453" spans="1:7" ht="16" x14ac:dyDescent="0.2">
      <c r="A453" s="4"/>
      <c r="G453" s="4"/>
    </row>
    <row r="454" spans="1:7" ht="16" x14ac:dyDescent="0.2">
      <c r="A454" s="4"/>
      <c r="G454" s="4"/>
    </row>
    <row r="457" spans="1:7" ht="16" x14ac:dyDescent="0.2">
      <c r="A457" s="1"/>
      <c r="B457" s="2"/>
    </row>
    <row r="464" spans="1:7" ht="16" x14ac:dyDescent="0.2">
      <c r="A464" s="1"/>
    </row>
    <row r="470" spans="1:2" x14ac:dyDescent="0.2">
      <c r="B470" s="3"/>
    </row>
    <row r="471" spans="1:2" x14ac:dyDescent="0.2">
      <c r="B471" s="3"/>
    </row>
    <row r="473" spans="1:2" ht="16" x14ac:dyDescent="0.2">
      <c r="A473" s="1"/>
      <c r="B473" s="2"/>
    </row>
    <row r="480" spans="1:2" ht="16" x14ac:dyDescent="0.2">
      <c r="A480" s="1"/>
    </row>
    <row r="483" spans="1:7" ht="16" x14ac:dyDescent="0.2">
      <c r="A483" s="4"/>
      <c r="G483" s="4"/>
    </row>
    <row r="487" spans="1:7" x14ac:dyDescent="0.2">
      <c r="B487" s="5"/>
    </row>
    <row r="488" spans="1:7" x14ac:dyDescent="0.2">
      <c r="B488" s="5"/>
    </row>
    <row r="489" spans="1:7" ht="16" x14ac:dyDescent="0.2">
      <c r="A489" s="1"/>
      <c r="B489" s="2"/>
    </row>
    <row r="496" spans="1:7" ht="16" x14ac:dyDescent="0.2">
      <c r="A496" s="1"/>
    </row>
    <row r="499" spans="1:7" ht="16" x14ac:dyDescent="0.2">
      <c r="A499" s="4"/>
      <c r="G499" s="4"/>
    </row>
    <row r="500" spans="1:7" ht="16" x14ac:dyDescent="0.2">
      <c r="A500" s="4"/>
      <c r="G500" s="4"/>
    </row>
    <row r="503" spans="1:7" ht="16" x14ac:dyDescent="0.2">
      <c r="A503" s="1"/>
      <c r="B503" s="2"/>
    </row>
    <row r="510" spans="1:7" ht="16" x14ac:dyDescent="0.2">
      <c r="A510" s="1"/>
    </row>
    <row r="516" spans="1:2" x14ac:dyDescent="0.2">
      <c r="B516" s="3"/>
    </row>
    <row r="517" spans="1:2" x14ac:dyDescent="0.2">
      <c r="B517" s="3"/>
    </row>
    <row r="519" spans="1:2" ht="16" x14ac:dyDescent="0.2">
      <c r="A519" s="1"/>
      <c r="B519" s="2"/>
    </row>
    <row r="526" spans="1:2" ht="16" x14ac:dyDescent="0.2">
      <c r="A526" s="1"/>
    </row>
    <row r="529" spans="1:7" ht="16" x14ac:dyDescent="0.2">
      <c r="A529" s="4"/>
      <c r="G529" s="4"/>
    </row>
    <row r="533" spans="1:7" x14ac:dyDescent="0.2">
      <c r="B533" s="5"/>
    </row>
    <row r="535" spans="1:7" ht="16" x14ac:dyDescent="0.2">
      <c r="A535" s="1"/>
      <c r="B535" s="2"/>
    </row>
    <row r="542" spans="1:7" ht="16" x14ac:dyDescent="0.2">
      <c r="A542" s="1"/>
    </row>
    <row r="545" spans="1:7" ht="16" x14ac:dyDescent="0.2">
      <c r="A545" s="4"/>
      <c r="G545" s="4"/>
    </row>
    <row r="546" spans="1:7" ht="16" x14ac:dyDescent="0.2">
      <c r="A546" s="4"/>
      <c r="G546" s="4"/>
    </row>
    <row r="548" spans="1:7" ht="16" x14ac:dyDescent="0.2">
      <c r="A548" s="1"/>
      <c r="B548" s="2"/>
    </row>
    <row r="555" spans="1:7" ht="16" x14ac:dyDescent="0.2">
      <c r="A555" s="1"/>
    </row>
    <row r="561" spans="1:7" x14ac:dyDescent="0.2">
      <c r="B561" s="3"/>
    </row>
    <row r="562" spans="1:7" x14ac:dyDescent="0.2">
      <c r="B562" s="3"/>
    </row>
    <row r="564" spans="1:7" ht="16" x14ac:dyDescent="0.2">
      <c r="A564" s="1"/>
      <c r="B564" s="2"/>
    </row>
    <row r="571" spans="1:7" ht="16" x14ac:dyDescent="0.2">
      <c r="A571" s="1"/>
    </row>
    <row r="574" spans="1:7" ht="16" x14ac:dyDescent="0.2">
      <c r="A574" s="4"/>
      <c r="G574" s="4"/>
    </row>
    <row r="578" spans="1:7" x14ac:dyDescent="0.2">
      <c r="B578" s="5"/>
    </row>
    <row r="579" spans="1:7" x14ac:dyDescent="0.2">
      <c r="B579" s="5"/>
    </row>
    <row r="580" spans="1:7" ht="16" x14ac:dyDescent="0.2">
      <c r="A580" s="1"/>
      <c r="B580" s="2"/>
    </row>
    <row r="587" spans="1:7" ht="16" x14ac:dyDescent="0.2">
      <c r="A587" s="1"/>
    </row>
    <row r="590" spans="1:7" ht="16" x14ac:dyDescent="0.2">
      <c r="A590" s="4"/>
      <c r="G590" s="4"/>
    </row>
    <row r="591" spans="1:7" ht="16" x14ac:dyDescent="0.2">
      <c r="A591" s="4"/>
      <c r="G591" s="4"/>
    </row>
    <row r="594" spans="1:2" ht="16" x14ac:dyDescent="0.2">
      <c r="A594" s="1"/>
      <c r="B594" s="2"/>
    </row>
    <row r="601" spans="1:2" ht="16" x14ac:dyDescent="0.2">
      <c r="A601" s="1"/>
    </row>
    <row r="607" spans="1:2" x14ac:dyDescent="0.2">
      <c r="B607" s="3"/>
    </row>
    <row r="608" spans="1:2" x14ac:dyDescent="0.2">
      <c r="B608" s="3"/>
    </row>
    <row r="610" spans="1:7" ht="16" x14ac:dyDescent="0.2">
      <c r="A610" s="1"/>
      <c r="B610" s="2"/>
    </row>
    <row r="617" spans="1:7" ht="16" x14ac:dyDescent="0.2">
      <c r="A617" s="1"/>
    </row>
    <row r="620" spans="1:7" ht="16" x14ac:dyDescent="0.2">
      <c r="A620" s="4"/>
      <c r="G620" s="4"/>
    </row>
    <row r="624" spans="1:7" x14ac:dyDescent="0.2">
      <c r="B624" s="5"/>
    </row>
    <row r="626" spans="1:7" ht="16" x14ac:dyDescent="0.2">
      <c r="A626" s="1"/>
      <c r="B626" s="2"/>
    </row>
    <row r="633" spans="1:7" ht="16" x14ac:dyDescent="0.2">
      <c r="A633" s="1"/>
    </row>
    <row r="636" spans="1:7" ht="16" x14ac:dyDescent="0.2">
      <c r="A636" s="4"/>
      <c r="G636" s="4"/>
    </row>
    <row r="637" spans="1:7" ht="16" x14ac:dyDescent="0.2">
      <c r="A637" s="4"/>
      <c r="G637" s="4"/>
    </row>
    <row r="639" spans="1:7" ht="16" x14ac:dyDescent="0.2">
      <c r="A639" s="1"/>
      <c r="B639" s="2"/>
    </row>
    <row r="645" spans="1:2" ht="16" x14ac:dyDescent="0.2">
      <c r="A645" s="1"/>
    </row>
    <row r="650" spans="1:2" ht="16" x14ac:dyDescent="0.2">
      <c r="A650" s="1"/>
      <c r="B650" s="2"/>
    </row>
    <row r="656" spans="1:2" ht="16" x14ac:dyDescent="0.2">
      <c r="A656" s="1"/>
    </row>
  </sheetData>
  <autoFilter ref="A1:K656" xr:uid="{00000000-0001-0000-0000-000000000000}"/>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FT Process description</vt:lpstr>
      <vt:lpstr>FT fuel - Diesel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Romain Sacchi</dc:creator>
  <cp:lastModifiedBy>Romain Sacchi</cp:lastModifiedBy>
  <dcterms:created xsi:type="dcterms:W3CDTF">2020-03-25T12:54:37Z</dcterms:created>
  <dcterms:modified xsi:type="dcterms:W3CDTF">2025-04-13T09:07:22Z</dcterms:modified>
</cp:coreProperties>
</file>