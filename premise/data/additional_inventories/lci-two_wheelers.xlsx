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romain/GitHub/premise-witch/premise/data/additional_inventories/"/>
    </mc:Choice>
  </mc:AlternateContent>
  <xr:revisionPtr revIDLastSave="0" documentId="13_ncr:1_{11108317-006F-BF4D-BDE8-B16A2432D838}" xr6:coauthVersionLast="47" xr6:coauthVersionMax="47" xr10:uidLastSave="{00000000-0000-0000-0000-000000000000}"/>
  <bookViews>
    <workbookView xWindow="0" yWindow="760" windowWidth="30240" windowHeight="18880" firstSheet="4" activeTab="11" xr2:uid="{00000000-000D-0000-FFFF-FFFF00000000}"/>
  </bookViews>
  <sheets>
    <sheet name="Readmefirst" sheetId="24" r:id="rId1"/>
    <sheet name="vehicles specifications" sheetId="1" r:id="rId2"/>
    <sheet name="LCIA results" sheetId="51" r:id="rId3"/>
    <sheet name="ei names mapping" sheetId="7" r:id="rId4"/>
    <sheet name="EoL and shipping" sheetId="25" r:id="rId5"/>
    <sheet name="abrasion emissions" sheetId="5" r:id="rId6"/>
    <sheet name="energy battery" sheetId="3" r:id="rId7"/>
    <sheet name="fuels and tailpipe emissions" sheetId="2" r:id="rId8"/>
    <sheet name="lci-kick scooter - NMC" sheetId="6" r:id="rId9"/>
    <sheet name="lci-motorbikes&lt;4kW - NMC" sheetId="19" r:id="rId10"/>
    <sheet name="lci-motorbikes-4-11kW - NMC" sheetId="20" r:id="rId11"/>
    <sheet name="lci-motorbikes-11-35kW - NMC" sheetId="21" r:id="rId12"/>
    <sheet name="lci-motorbikes&gt;35kW - NMC" sheetId="22" r:id="rId13"/>
    <sheet name="lci-motorbikes-gas-4-11kW" sheetId="16" r:id="rId14"/>
    <sheet name="lci-motorbikes-gas-11-35kW" sheetId="17" r:id="rId15"/>
    <sheet name="lci-motorbikes-gas-&gt;35kW" sheetId="18" r:id="rId16"/>
    <sheet name="lci-scooter&lt;4kW" sheetId="28" r:id="rId17"/>
    <sheet name="lci-scooter-4-11kW" sheetId="14" r:id="rId18"/>
    <sheet name="lci-scooter-electric&lt;4kW - NMC" sheetId="29" r:id="rId19"/>
    <sheet name="lci-scooter-elec-4-11kW - NMC" sheetId="15" r:id="rId20"/>
    <sheet name="lci-moped" sheetId="13" r:id="rId21"/>
    <sheet name="lci-bicycle" sheetId="8" r:id="rId22"/>
    <sheet name="lci-elec-bicycle-25kmh - NMC" sheetId="9" r:id="rId23"/>
    <sheet name="lci-elec-bicycle-45kmh - NMC" sheetId="10" r:id="rId24"/>
    <sheet name="lci-elec-bicycle-cargo - NMC" sheetId="11" r:id="rId25"/>
    <sheet name="lci-tram" sheetId="12" r:id="rId26"/>
    <sheet name="lci-others" sheetId="23" r:id="rId27"/>
  </sheets>
  <definedNames>
    <definedName name="_xlnm._FilterDatabase" localSheetId="26" hidden="1">'lci-others'!$A$1:$N$133</definedName>
    <definedName name="_xlnm._FilterDatabase" localSheetId="2" hidden="1">'LCIA results'!$A$2:$BA$275</definedName>
    <definedName name="_xlnm._FilterDatabase" localSheetId="1" hidden="1">'vehicles specifications'!$A$2:$CW$166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158" i="1" l="1"/>
  <c r="V157" i="1"/>
  <c r="V156" i="1"/>
  <c r="V155" i="1"/>
  <c r="V142" i="1"/>
  <c r="V141" i="1"/>
  <c r="V140" i="1"/>
  <c r="V139" i="1"/>
  <c r="V124" i="1"/>
  <c r="V125" i="1"/>
  <c r="V126" i="1"/>
  <c r="V123" i="1"/>
  <c r="CK4" i="1"/>
  <c r="CL4" i="1"/>
  <c r="CM4" i="1"/>
  <c r="CK5" i="1"/>
  <c r="CL5" i="1"/>
  <c r="CM5" i="1"/>
  <c r="CK6" i="1"/>
  <c r="CL6" i="1"/>
  <c r="CM6" i="1"/>
  <c r="CK7" i="1"/>
  <c r="CL7" i="1"/>
  <c r="CM7" i="1"/>
  <c r="CK8" i="1"/>
  <c r="CL8" i="1"/>
  <c r="CM8" i="1"/>
  <c r="CK9" i="1"/>
  <c r="CL9" i="1"/>
  <c r="CM9" i="1"/>
  <c r="CK10" i="1"/>
  <c r="CL10" i="1"/>
  <c r="CM10" i="1"/>
  <c r="CK11" i="1"/>
  <c r="CL11" i="1"/>
  <c r="CM11" i="1"/>
  <c r="CK12" i="1"/>
  <c r="CL12" i="1"/>
  <c r="CM12" i="1"/>
  <c r="CK13" i="1"/>
  <c r="CL13" i="1"/>
  <c r="CM13" i="1"/>
  <c r="CK14" i="1"/>
  <c r="CL14" i="1"/>
  <c r="CM14" i="1"/>
  <c r="CK15" i="1"/>
  <c r="CL15" i="1"/>
  <c r="CM15" i="1"/>
  <c r="CK16" i="1"/>
  <c r="CL16" i="1"/>
  <c r="CM16" i="1"/>
  <c r="CK17" i="1"/>
  <c r="CL17" i="1"/>
  <c r="CM17" i="1"/>
  <c r="CK18" i="1"/>
  <c r="CL18" i="1"/>
  <c r="CM18" i="1"/>
  <c r="CK19" i="1"/>
  <c r="CL19" i="1"/>
  <c r="CM19" i="1"/>
  <c r="CK20" i="1"/>
  <c r="CL20" i="1"/>
  <c r="CM20" i="1"/>
  <c r="CK21" i="1"/>
  <c r="CL21" i="1"/>
  <c r="CM21" i="1"/>
  <c r="CK22" i="1"/>
  <c r="CL22" i="1"/>
  <c r="CM22" i="1"/>
  <c r="CK23" i="1"/>
  <c r="CL23" i="1"/>
  <c r="CM23" i="1"/>
  <c r="CK24" i="1"/>
  <c r="CL24" i="1"/>
  <c r="CM24" i="1"/>
  <c r="CK25" i="1"/>
  <c r="CL25" i="1"/>
  <c r="CM25" i="1"/>
  <c r="CK26" i="1"/>
  <c r="CL26" i="1"/>
  <c r="CM26" i="1"/>
  <c r="CK27" i="1"/>
  <c r="CL27" i="1"/>
  <c r="CM27" i="1"/>
  <c r="CK28" i="1"/>
  <c r="CL28" i="1"/>
  <c r="CM28" i="1"/>
  <c r="CK29" i="1"/>
  <c r="CL29" i="1"/>
  <c r="CM29" i="1"/>
  <c r="CK30" i="1"/>
  <c r="CL30" i="1"/>
  <c r="CM30" i="1"/>
  <c r="CK31" i="1"/>
  <c r="CL31" i="1"/>
  <c r="CM31" i="1"/>
  <c r="CK32" i="1"/>
  <c r="CL32" i="1"/>
  <c r="CM32" i="1"/>
  <c r="CK33" i="1"/>
  <c r="CL33" i="1"/>
  <c r="CM33" i="1"/>
  <c r="CK34" i="1"/>
  <c r="CL34" i="1"/>
  <c r="CM34" i="1"/>
  <c r="CK35" i="1"/>
  <c r="CL35" i="1"/>
  <c r="CM35" i="1"/>
  <c r="CK36" i="1"/>
  <c r="CL36" i="1"/>
  <c r="CM36" i="1"/>
  <c r="CK37" i="1"/>
  <c r="CL37" i="1"/>
  <c r="CM37" i="1"/>
  <c r="CK38" i="1"/>
  <c r="CL38" i="1"/>
  <c r="CM38" i="1"/>
  <c r="CK39" i="1"/>
  <c r="CL39" i="1"/>
  <c r="CM39" i="1"/>
  <c r="CK40" i="1"/>
  <c r="CL40" i="1"/>
  <c r="CM40" i="1"/>
  <c r="CK41" i="1"/>
  <c r="CL41" i="1"/>
  <c r="CM41" i="1"/>
  <c r="CK42" i="1"/>
  <c r="CL42" i="1"/>
  <c r="CM42" i="1"/>
  <c r="CK43" i="1"/>
  <c r="CL43" i="1"/>
  <c r="CM43" i="1"/>
  <c r="CK44" i="1"/>
  <c r="CL44" i="1"/>
  <c r="CM44" i="1"/>
  <c r="CK45" i="1"/>
  <c r="CL45" i="1"/>
  <c r="CM45" i="1"/>
  <c r="CK46" i="1"/>
  <c r="CL46" i="1"/>
  <c r="CM46" i="1"/>
  <c r="CK47" i="1"/>
  <c r="CL47" i="1"/>
  <c r="CM47" i="1"/>
  <c r="CK48" i="1"/>
  <c r="CL48" i="1"/>
  <c r="CM48" i="1"/>
  <c r="CK49" i="1"/>
  <c r="CL49" i="1"/>
  <c r="CV49" i="1" s="1"/>
  <c r="CM49" i="1"/>
  <c r="CK50" i="1"/>
  <c r="CL50" i="1"/>
  <c r="CM50" i="1"/>
  <c r="CK51" i="1"/>
  <c r="CL51" i="1"/>
  <c r="CM51" i="1"/>
  <c r="CK52" i="1"/>
  <c r="CL52" i="1"/>
  <c r="CM52" i="1"/>
  <c r="CK53" i="1"/>
  <c r="CL53" i="1"/>
  <c r="CM53" i="1"/>
  <c r="CK54" i="1"/>
  <c r="CL54" i="1"/>
  <c r="CM54" i="1"/>
  <c r="CW54" i="1" s="1"/>
  <c r="CK55" i="1"/>
  <c r="CL55" i="1"/>
  <c r="CM55" i="1"/>
  <c r="CK56" i="1"/>
  <c r="CL56" i="1"/>
  <c r="CM56" i="1"/>
  <c r="CK57" i="1"/>
  <c r="CL57" i="1"/>
  <c r="CM57" i="1"/>
  <c r="CK58" i="1"/>
  <c r="CL58" i="1"/>
  <c r="CM58" i="1"/>
  <c r="CK59" i="1"/>
  <c r="CL59" i="1"/>
  <c r="CM59" i="1"/>
  <c r="CK60" i="1"/>
  <c r="CL60" i="1"/>
  <c r="CM60" i="1"/>
  <c r="CK61" i="1"/>
  <c r="CL61" i="1"/>
  <c r="CM61" i="1"/>
  <c r="CK62" i="1"/>
  <c r="CL62" i="1"/>
  <c r="CM62" i="1"/>
  <c r="CK63" i="1"/>
  <c r="CL63" i="1"/>
  <c r="CM63" i="1"/>
  <c r="CK64" i="1"/>
  <c r="CL64" i="1"/>
  <c r="CM64" i="1"/>
  <c r="CK65" i="1"/>
  <c r="CL65" i="1"/>
  <c r="CM65" i="1"/>
  <c r="CK66" i="1"/>
  <c r="CL66" i="1"/>
  <c r="CM66" i="1"/>
  <c r="CK67" i="1"/>
  <c r="CL67" i="1"/>
  <c r="CM67" i="1"/>
  <c r="CK68" i="1"/>
  <c r="CL68" i="1"/>
  <c r="CM68" i="1"/>
  <c r="CK69" i="1"/>
  <c r="CL69" i="1"/>
  <c r="CM69" i="1"/>
  <c r="CK70" i="1"/>
  <c r="CL70" i="1"/>
  <c r="CM70" i="1"/>
  <c r="CK71" i="1"/>
  <c r="CL71" i="1"/>
  <c r="CM71" i="1"/>
  <c r="CK72" i="1"/>
  <c r="CL72" i="1"/>
  <c r="CM72" i="1"/>
  <c r="CK73" i="1"/>
  <c r="CL73" i="1"/>
  <c r="CM73" i="1"/>
  <c r="CK74" i="1"/>
  <c r="CL74" i="1"/>
  <c r="CM74" i="1"/>
  <c r="CK75" i="1"/>
  <c r="CL75" i="1"/>
  <c r="CM75" i="1"/>
  <c r="CK76" i="1"/>
  <c r="CL76" i="1"/>
  <c r="CM76" i="1"/>
  <c r="CK77" i="1"/>
  <c r="CL77" i="1"/>
  <c r="CM77" i="1"/>
  <c r="CK78" i="1"/>
  <c r="CL78" i="1"/>
  <c r="CM78" i="1"/>
  <c r="CK79" i="1"/>
  <c r="CL79" i="1"/>
  <c r="CM79" i="1"/>
  <c r="CK80" i="1"/>
  <c r="CL80" i="1"/>
  <c r="CM80" i="1"/>
  <c r="CK81" i="1"/>
  <c r="CL81" i="1"/>
  <c r="CM81" i="1"/>
  <c r="CK82" i="1"/>
  <c r="CL82" i="1"/>
  <c r="CM82" i="1"/>
  <c r="CK83" i="1"/>
  <c r="CL83" i="1"/>
  <c r="CM83" i="1"/>
  <c r="CK84" i="1"/>
  <c r="CL84" i="1"/>
  <c r="CM84" i="1"/>
  <c r="CK85" i="1"/>
  <c r="CL85" i="1"/>
  <c r="CM85" i="1"/>
  <c r="CK86" i="1"/>
  <c r="CL86" i="1"/>
  <c r="CM86" i="1"/>
  <c r="CW86" i="1" s="1"/>
  <c r="CK87" i="1"/>
  <c r="CL87" i="1"/>
  <c r="CM87" i="1"/>
  <c r="CK88" i="1"/>
  <c r="CL88" i="1"/>
  <c r="CM88" i="1"/>
  <c r="CK89" i="1"/>
  <c r="CL89" i="1"/>
  <c r="CW89" i="1" s="1"/>
  <c r="CM89" i="1"/>
  <c r="CK90" i="1"/>
  <c r="CL90" i="1"/>
  <c r="CM90" i="1"/>
  <c r="CK91" i="1"/>
  <c r="CL91" i="1"/>
  <c r="CM91" i="1"/>
  <c r="CK92" i="1"/>
  <c r="CL92" i="1"/>
  <c r="CM92" i="1"/>
  <c r="CK93" i="1"/>
  <c r="CL93" i="1"/>
  <c r="CM93" i="1"/>
  <c r="CK94" i="1"/>
  <c r="CL94" i="1"/>
  <c r="CM94" i="1"/>
  <c r="CK95" i="1"/>
  <c r="CL95" i="1"/>
  <c r="CM95" i="1"/>
  <c r="CK96" i="1"/>
  <c r="CL96" i="1"/>
  <c r="CM96" i="1"/>
  <c r="CK97" i="1"/>
  <c r="CL97" i="1"/>
  <c r="CW97" i="1" s="1"/>
  <c r="CM97" i="1"/>
  <c r="CK98" i="1"/>
  <c r="CL98" i="1"/>
  <c r="CM98" i="1"/>
  <c r="CK99" i="1"/>
  <c r="CL99" i="1"/>
  <c r="CM99" i="1"/>
  <c r="CK100" i="1"/>
  <c r="CV100" i="1" s="1"/>
  <c r="CL100" i="1"/>
  <c r="CM100" i="1"/>
  <c r="CK101" i="1"/>
  <c r="CL101" i="1"/>
  <c r="CM101" i="1"/>
  <c r="CK102" i="1"/>
  <c r="CL102" i="1"/>
  <c r="CM102" i="1"/>
  <c r="CK103" i="1"/>
  <c r="CL103" i="1"/>
  <c r="CM103" i="1"/>
  <c r="CK104" i="1"/>
  <c r="CL104" i="1"/>
  <c r="CM104" i="1"/>
  <c r="CK105" i="1"/>
  <c r="CL105" i="1"/>
  <c r="CM105" i="1"/>
  <c r="CK106" i="1"/>
  <c r="CL106" i="1"/>
  <c r="CM106" i="1"/>
  <c r="CK107" i="1"/>
  <c r="CL107" i="1"/>
  <c r="CM107" i="1"/>
  <c r="CK108" i="1"/>
  <c r="CW108" i="1" s="1"/>
  <c r="CL108" i="1"/>
  <c r="CM108" i="1"/>
  <c r="CK109" i="1"/>
  <c r="CL109" i="1"/>
  <c r="CM109" i="1"/>
  <c r="CK110" i="1"/>
  <c r="CL110" i="1"/>
  <c r="CM110" i="1"/>
  <c r="CK111" i="1"/>
  <c r="CL111" i="1"/>
  <c r="CM111" i="1"/>
  <c r="CK112" i="1"/>
  <c r="CL112" i="1"/>
  <c r="CM112" i="1"/>
  <c r="CK113" i="1"/>
  <c r="CL113" i="1"/>
  <c r="CW113" i="1" s="1"/>
  <c r="CM113" i="1"/>
  <c r="CK114" i="1"/>
  <c r="CL114" i="1"/>
  <c r="CM114" i="1"/>
  <c r="CK115" i="1"/>
  <c r="CL115" i="1"/>
  <c r="CM115" i="1"/>
  <c r="CK116" i="1"/>
  <c r="CW116" i="1" s="1"/>
  <c r="CL116" i="1"/>
  <c r="CM116" i="1"/>
  <c r="CK117" i="1"/>
  <c r="CL117" i="1"/>
  <c r="CM117" i="1"/>
  <c r="CK118" i="1"/>
  <c r="CL118" i="1"/>
  <c r="CM118" i="1"/>
  <c r="CV118" i="1" s="1"/>
  <c r="CK119" i="1"/>
  <c r="CL119" i="1"/>
  <c r="CM119" i="1"/>
  <c r="CK120" i="1"/>
  <c r="CL120" i="1"/>
  <c r="CM120" i="1"/>
  <c r="CK121" i="1"/>
  <c r="CL121" i="1"/>
  <c r="CM121" i="1"/>
  <c r="CK122" i="1"/>
  <c r="CL122" i="1"/>
  <c r="CM122" i="1"/>
  <c r="CK123" i="1"/>
  <c r="CW123" i="1" s="1"/>
  <c r="CL123" i="1"/>
  <c r="CM123" i="1"/>
  <c r="CK124" i="1"/>
  <c r="CV124" i="1" s="1"/>
  <c r="CL124" i="1"/>
  <c r="CM124" i="1"/>
  <c r="CK125" i="1"/>
  <c r="CL125" i="1"/>
  <c r="CM125" i="1"/>
  <c r="CV125" i="1" s="1"/>
  <c r="CK126" i="1"/>
  <c r="CL126" i="1"/>
  <c r="CM126" i="1"/>
  <c r="CV126" i="1" s="1"/>
  <c r="CK127" i="1"/>
  <c r="CL127" i="1"/>
  <c r="CM127" i="1"/>
  <c r="CK128" i="1"/>
  <c r="CL128" i="1"/>
  <c r="CW128" i="1" s="1"/>
  <c r="CM128" i="1"/>
  <c r="CK129" i="1"/>
  <c r="CL129" i="1"/>
  <c r="CV129" i="1" s="1"/>
  <c r="CM129" i="1"/>
  <c r="CK130" i="1"/>
  <c r="CL130" i="1"/>
  <c r="CM130" i="1"/>
  <c r="CK131" i="1"/>
  <c r="CW131" i="1" s="1"/>
  <c r="CL131" i="1"/>
  <c r="CM131" i="1"/>
  <c r="CK132" i="1"/>
  <c r="CW132" i="1" s="1"/>
  <c r="CL132" i="1"/>
  <c r="CM132" i="1"/>
  <c r="CK133" i="1"/>
  <c r="CL133" i="1"/>
  <c r="CM133" i="1"/>
  <c r="CV133" i="1" s="1"/>
  <c r="CK134" i="1"/>
  <c r="CL134" i="1"/>
  <c r="CM134" i="1"/>
  <c r="CV134" i="1" s="1"/>
  <c r="CK135" i="1"/>
  <c r="CL135" i="1"/>
  <c r="CM135" i="1"/>
  <c r="CK136" i="1"/>
  <c r="CL136" i="1"/>
  <c r="CW136" i="1" s="1"/>
  <c r="CM136" i="1"/>
  <c r="CK137" i="1"/>
  <c r="CL137" i="1"/>
  <c r="CV137" i="1" s="1"/>
  <c r="CM137" i="1"/>
  <c r="CK138" i="1"/>
  <c r="CL138" i="1"/>
  <c r="CM138" i="1"/>
  <c r="CK139" i="1"/>
  <c r="CV139" i="1" s="1"/>
  <c r="CL139" i="1"/>
  <c r="CM139" i="1"/>
  <c r="CK140" i="1"/>
  <c r="CV140" i="1" s="1"/>
  <c r="CL140" i="1"/>
  <c r="CM140" i="1"/>
  <c r="CK141" i="1"/>
  <c r="CL141" i="1"/>
  <c r="CM141" i="1"/>
  <c r="CK142" i="1"/>
  <c r="CL142" i="1"/>
  <c r="CM142" i="1"/>
  <c r="CW142" i="1" s="1"/>
  <c r="CK143" i="1"/>
  <c r="CL143" i="1"/>
  <c r="CM143" i="1"/>
  <c r="CK144" i="1"/>
  <c r="CL144" i="1"/>
  <c r="CW144" i="1" s="1"/>
  <c r="CM144" i="1"/>
  <c r="CK145" i="1"/>
  <c r="CL145" i="1"/>
  <c r="CW145" i="1" s="1"/>
  <c r="CM145" i="1"/>
  <c r="CK146" i="1"/>
  <c r="CL146" i="1"/>
  <c r="CM146" i="1"/>
  <c r="CK147" i="1"/>
  <c r="CL147" i="1"/>
  <c r="CM147" i="1"/>
  <c r="CK148" i="1"/>
  <c r="CW148" i="1" s="1"/>
  <c r="CL148" i="1"/>
  <c r="CM148" i="1"/>
  <c r="CK149" i="1"/>
  <c r="CL149" i="1"/>
  <c r="CM149" i="1"/>
  <c r="CV149" i="1" s="1"/>
  <c r="CK150" i="1"/>
  <c r="CL150" i="1"/>
  <c r="CM150" i="1"/>
  <c r="CV150" i="1" s="1"/>
  <c r="CK151" i="1"/>
  <c r="CL151" i="1"/>
  <c r="CM151" i="1"/>
  <c r="CK152" i="1"/>
  <c r="CL152" i="1"/>
  <c r="CM152" i="1"/>
  <c r="CK153" i="1"/>
  <c r="CL153" i="1"/>
  <c r="CV153" i="1" s="1"/>
  <c r="CM153" i="1"/>
  <c r="CK154" i="1"/>
  <c r="CL154" i="1"/>
  <c r="CM154" i="1"/>
  <c r="CK155" i="1"/>
  <c r="CL155" i="1"/>
  <c r="CM155" i="1"/>
  <c r="CK156" i="1"/>
  <c r="CL156" i="1"/>
  <c r="CM156" i="1"/>
  <c r="CK157" i="1"/>
  <c r="CL157" i="1"/>
  <c r="CM157" i="1"/>
  <c r="CK158" i="1"/>
  <c r="CL158" i="1"/>
  <c r="CM158" i="1"/>
  <c r="CV158" i="1" s="1"/>
  <c r="CK159" i="1"/>
  <c r="CL159" i="1"/>
  <c r="CM159" i="1"/>
  <c r="CK160" i="1"/>
  <c r="CL160" i="1"/>
  <c r="CV160" i="1" s="1"/>
  <c r="CM160" i="1"/>
  <c r="CK161" i="1"/>
  <c r="CL161" i="1"/>
  <c r="CW161" i="1" s="1"/>
  <c r="CM161" i="1"/>
  <c r="CK162" i="1"/>
  <c r="CL162" i="1"/>
  <c r="CM162" i="1"/>
  <c r="CK163" i="1"/>
  <c r="CV163" i="1" s="1"/>
  <c r="CL163" i="1"/>
  <c r="CM163" i="1"/>
  <c r="CK164" i="1"/>
  <c r="CV164" i="1" s="1"/>
  <c r="CL164" i="1"/>
  <c r="CM164" i="1"/>
  <c r="CK165" i="1"/>
  <c r="CL165" i="1"/>
  <c r="CM165" i="1"/>
  <c r="CK166" i="1"/>
  <c r="CL166" i="1"/>
  <c r="CM166" i="1"/>
  <c r="CW166" i="1" s="1"/>
  <c r="CM3" i="1"/>
  <c r="CL3" i="1"/>
  <c r="CK3" i="1"/>
  <c r="BG4" i="51"/>
  <c r="BG5" i="51"/>
  <c r="BG6" i="51"/>
  <c r="BG7" i="51"/>
  <c r="BG8" i="51"/>
  <c r="BG9" i="51"/>
  <c r="BG10" i="51"/>
  <c r="BG11" i="51"/>
  <c r="BG12" i="51"/>
  <c r="BG13" i="51"/>
  <c r="BG14" i="51"/>
  <c r="BG15" i="51"/>
  <c r="BG16" i="51"/>
  <c r="BG17" i="51"/>
  <c r="BG18" i="51"/>
  <c r="BG19" i="51"/>
  <c r="BG20" i="51"/>
  <c r="BG21" i="51"/>
  <c r="BG22" i="51"/>
  <c r="BG23" i="51"/>
  <c r="BG24" i="51"/>
  <c r="BG25" i="51"/>
  <c r="BG26" i="51"/>
  <c r="BG27" i="51"/>
  <c r="BG28" i="51"/>
  <c r="BG29" i="51"/>
  <c r="BG30" i="51"/>
  <c r="BG31" i="51"/>
  <c r="BG32" i="51"/>
  <c r="BG33" i="51"/>
  <c r="BG34" i="51"/>
  <c r="BG35" i="51"/>
  <c r="BG36" i="51"/>
  <c r="BG37" i="51"/>
  <c r="BG38" i="51"/>
  <c r="BG39" i="51"/>
  <c r="BG40" i="51"/>
  <c r="BG41" i="51"/>
  <c r="BG42" i="51"/>
  <c r="BG43" i="51"/>
  <c r="BG44" i="51"/>
  <c r="BG45" i="51"/>
  <c r="BG46" i="51"/>
  <c r="BG47" i="51"/>
  <c r="BG48" i="51"/>
  <c r="BG49" i="51"/>
  <c r="BG50" i="51"/>
  <c r="BG51" i="51"/>
  <c r="BG52" i="51"/>
  <c r="BG53" i="51"/>
  <c r="BG54" i="51"/>
  <c r="BG55" i="51"/>
  <c r="BG56" i="51"/>
  <c r="BG57" i="51"/>
  <c r="BG58" i="51"/>
  <c r="BG59" i="51"/>
  <c r="BG60" i="51"/>
  <c r="BG61" i="51"/>
  <c r="BG62" i="51"/>
  <c r="BG63" i="51"/>
  <c r="BG64" i="51"/>
  <c r="BG65" i="51"/>
  <c r="BG66" i="51"/>
  <c r="BG67" i="51"/>
  <c r="BG68" i="51"/>
  <c r="BG69" i="51"/>
  <c r="BG70" i="51"/>
  <c r="BG71" i="51"/>
  <c r="BG72" i="51"/>
  <c r="BG73" i="51"/>
  <c r="BG74" i="51"/>
  <c r="BG75" i="51"/>
  <c r="BG76" i="51"/>
  <c r="BG77" i="51"/>
  <c r="BG78" i="51"/>
  <c r="BG79" i="51"/>
  <c r="BG80" i="51"/>
  <c r="BG81" i="51"/>
  <c r="BG82" i="51"/>
  <c r="BG83" i="51"/>
  <c r="BG84" i="51"/>
  <c r="BG85" i="51"/>
  <c r="BG86" i="51"/>
  <c r="BG87" i="51"/>
  <c r="BG88" i="51"/>
  <c r="BG89" i="51"/>
  <c r="BG90" i="51"/>
  <c r="BG95" i="51"/>
  <c r="BG96" i="51"/>
  <c r="BG97" i="51"/>
  <c r="BG98" i="51"/>
  <c r="BG99" i="51"/>
  <c r="BG100" i="51"/>
  <c r="BG101" i="51"/>
  <c r="BG102" i="51"/>
  <c r="BG103" i="51"/>
  <c r="BG104" i="51"/>
  <c r="BG105" i="51"/>
  <c r="BG106" i="51"/>
  <c r="BG107" i="51"/>
  <c r="BG108" i="51"/>
  <c r="BG109" i="51"/>
  <c r="BG110" i="51"/>
  <c r="BG111" i="51"/>
  <c r="BG112" i="51"/>
  <c r="BG113" i="51"/>
  <c r="BG114" i="51"/>
  <c r="BG115" i="51"/>
  <c r="BG116" i="51"/>
  <c r="BG117" i="51"/>
  <c r="BG118" i="51"/>
  <c r="BG119" i="51"/>
  <c r="BG120" i="51"/>
  <c r="BG121" i="51"/>
  <c r="BG122" i="51"/>
  <c r="BG123" i="51"/>
  <c r="BG124" i="51"/>
  <c r="BG125" i="51"/>
  <c r="BG126" i="51"/>
  <c r="BG127" i="51"/>
  <c r="BG128" i="51"/>
  <c r="BG129" i="51"/>
  <c r="BG130" i="51"/>
  <c r="BG131" i="51"/>
  <c r="BG132" i="51"/>
  <c r="BG133" i="51"/>
  <c r="BG134" i="51"/>
  <c r="BG135" i="51"/>
  <c r="BG136" i="51"/>
  <c r="BG137" i="51"/>
  <c r="BG138" i="51"/>
  <c r="BG139" i="51"/>
  <c r="BG140" i="51"/>
  <c r="BG141" i="51"/>
  <c r="BG142" i="51"/>
  <c r="BG143" i="51"/>
  <c r="BG144" i="51"/>
  <c r="BG145" i="51"/>
  <c r="BG146" i="51"/>
  <c r="BG147" i="51"/>
  <c r="BG148" i="51"/>
  <c r="BG149" i="51"/>
  <c r="BG150" i="51"/>
  <c r="BG151" i="51"/>
  <c r="BG152" i="51"/>
  <c r="BG153" i="51"/>
  <c r="BG154" i="51"/>
  <c r="BG155" i="51"/>
  <c r="BG156" i="51"/>
  <c r="BG157" i="51"/>
  <c r="BG158" i="51"/>
  <c r="BG159" i="51"/>
  <c r="BG160" i="51"/>
  <c r="BG161" i="51"/>
  <c r="BG162" i="51"/>
  <c r="BG163" i="51"/>
  <c r="BG164" i="51"/>
  <c r="BG165" i="51"/>
  <c r="BG166" i="51"/>
  <c r="BG167" i="51"/>
  <c r="BG168" i="51"/>
  <c r="BG169" i="51"/>
  <c r="BG170" i="51"/>
  <c r="BG171" i="51"/>
  <c r="BG172" i="51"/>
  <c r="BG173" i="51"/>
  <c r="BG174" i="51"/>
  <c r="BG175" i="51"/>
  <c r="BG176" i="51"/>
  <c r="BG177" i="51"/>
  <c r="BG178" i="51"/>
  <c r="BG179" i="51"/>
  <c r="BG180" i="51"/>
  <c r="BG181" i="51"/>
  <c r="BG182" i="51"/>
  <c r="BG183" i="51"/>
  <c r="BG184" i="51"/>
  <c r="BG185" i="51"/>
  <c r="BG186" i="51"/>
  <c r="BG187" i="51"/>
  <c r="BG188" i="51"/>
  <c r="BG189" i="51"/>
  <c r="BG190" i="51"/>
  <c r="BG191" i="51"/>
  <c r="BG192" i="51"/>
  <c r="BG193" i="51"/>
  <c r="BG194" i="51"/>
  <c r="BG195" i="51"/>
  <c r="BG196" i="51"/>
  <c r="BG197" i="51"/>
  <c r="BG198" i="51"/>
  <c r="BG199" i="51"/>
  <c r="BG200" i="51"/>
  <c r="BG201" i="51"/>
  <c r="BG202" i="51"/>
  <c r="BG203" i="51"/>
  <c r="BG204" i="51"/>
  <c r="BG205" i="51"/>
  <c r="BG206" i="51"/>
  <c r="BG207" i="51"/>
  <c r="BG208" i="51"/>
  <c r="BG209" i="51"/>
  <c r="BG210" i="51"/>
  <c r="BG211" i="51"/>
  <c r="BG212" i="51"/>
  <c r="BG213" i="51"/>
  <c r="BG214" i="51"/>
  <c r="BG215" i="51"/>
  <c r="BG216" i="51"/>
  <c r="BG217" i="51"/>
  <c r="BG218" i="51"/>
  <c r="BG219" i="51"/>
  <c r="BG220" i="51"/>
  <c r="BG221" i="51"/>
  <c r="BG222" i="51"/>
  <c r="BG223" i="51"/>
  <c r="BG224" i="51"/>
  <c r="BG225" i="51"/>
  <c r="BG226" i="51"/>
  <c r="BG227" i="51"/>
  <c r="BG228" i="51"/>
  <c r="BG229" i="51"/>
  <c r="BG230" i="51"/>
  <c r="BG231" i="51"/>
  <c r="BG232" i="51"/>
  <c r="BG233" i="51"/>
  <c r="BG234" i="51"/>
  <c r="BG235" i="51"/>
  <c r="BG236" i="51"/>
  <c r="BG237" i="51"/>
  <c r="BG238" i="51"/>
  <c r="BG239" i="51"/>
  <c r="BG240" i="51"/>
  <c r="BG241" i="51"/>
  <c r="BG242" i="51"/>
  <c r="BG243" i="51"/>
  <c r="BG244" i="51"/>
  <c r="BG245" i="51"/>
  <c r="BG246" i="51"/>
  <c r="BG247" i="51"/>
  <c r="BG248" i="51"/>
  <c r="BG249" i="51"/>
  <c r="BG250" i="51"/>
  <c r="BG251" i="51"/>
  <c r="BG252" i="51"/>
  <c r="BG253" i="51"/>
  <c r="BG254" i="51"/>
  <c r="BG255" i="51"/>
  <c r="BG256" i="51"/>
  <c r="BG257" i="51"/>
  <c r="BG258" i="51"/>
  <c r="BG259" i="51"/>
  <c r="BG260" i="51"/>
  <c r="BG261" i="51"/>
  <c r="BG262" i="51"/>
  <c r="BG263" i="51"/>
  <c r="BG264" i="51"/>
  <c r="BG265" i="51"/>
  <c r="BG266" i="51"/>
  <c r="BG267" i="51"/>
  <c r="BG268" i="51"/>
  <c r="BG269" i="51"/>
  <c r="BG270" i="51"/>
  <c r="BG271" i="51"/>
  <c r="BG272" i="51"/>
  <c r="BG273" i="51"/>
  <c r="BG274" i="51"/>
  <c r="BG3" i="51"/>
  <c r="BH94" i="51"/>
  <c r="BH93" i="51"/>
  <c r="BH92" i="51"/>
  <c r="BH91" i="51"/>
  <c r="BF94" i="51"/>
  <c r="BG94" i="51"/>
  <c r="BF93" i="51"/>
  <c r="BG93" i="51"/>
  <c r="BF92" i="51"/>
  <c r="BG92" i="51"/>
  <c r="BF91" i="51"/>
  <c r="BG91" i="51"/>
  <c r="A274" i="51"/>
  <c r="A273" i="51"/>
  <c r="A272" i="51"/>
  <c r="A271" i="51"/>
  <c r="A270" i="51"/>
  <c r="A269" i="51"/>
  <c r="A268" i="51"/>
  <c r="A267" i="51"/>
  <c r="A266" i="51"/>
  <c r="A265" i="51"/>
  <c r="A264" i="51"/>
  <c r="A263" i="51"/>
  <c r="A262" i="51"/>
  <c r="A261" i="51"/>
  <c r="A260" i="51"/>
  <c r="A259" i="51"/>
  <c r="A258" i="51"/>
  <c r="A257" i="51"/>
  <c r="A256" i="51"/>
  <c r="A255" i="51"/>
  <c r="A254" i="51"/>
  <c r="A253" i="51"/>
  <c r="A252" i="51"/>
  <c r="A251" i="51"/>
  <c r="A250" i="51"/>
  <c r="A249" i="51"/>
  <c r="A248" i="51"/>
  <c r="A247" i="51"/>
  <c r="A246" i="51"/>
  <c r="A245" i="51"/>
  <c r="A244" i="51"/>
  <c r="A243" i="51"/>
  <c r="A242" i="51"/>
  <c r="A241" i="51"/>
  <c r="A240" i="51"/>
  <c r="A239" i="51"/>
  <c r="A238" i="51"/>
  <c r="A237" i="51"/>
  <c r="A236" i="51"/>
  <c r="A235" i="51"/>
  <c r="A234" i="51"/>
  <c r="A233" i="51"/>
  <c r="A232" i="51"/>
  <c r="A231" i="51"/>
  <c r="A230" i="51"/>
  <c r="A229" i="51"/>
  <c r="A228" i="51"/>
  <c r="A227" i="51"/>
  <c r="A160" i="51"/>
  <c r="A159" i="51"/>
  <c r="A158" i="51"/>
  <c r="A157" i="51"/>
  <c r="A156" i="51"/>
  <c r="A155" i="51"/>
  <c r="A154" i="51"/>
  <c r="A153" i="51"/>
  <c r="A152" i="51"/>
  <c r="A151" i="51"/>
  <c r="A150" i="51"/>
  <c r="A149" i="51"/>
  <c r="A148" i="51"/>
  <c r="A147" i="51"/>
  <c r="A146" i="51"/>
  <c r="A145" i="51"/>
  <c r="A144" i="51"/>
  <c r="A143" i="51"/>
  <c r="A142" i="51"/>
  <c r="A141" i="51"/>
  <c r="A140" i="51"/>
  <c r="A139" i="51"/>
  <c r="A138" i="51"/>
  <c r="A137" i="51"/>
  <c r="A90" i="51"/>
  <c r="A89" i="51"/>
  <c r="A88" i="51"/>
  <c r="A87" i="51"/>
  <c r="A86" i="51"/>
  <c r="A85" i="51"/>
  <c r="A84" i="51"/>
  <c r="A83" i="51"/>
  <c r="A82" i="51"/>
  <c r="A81" i="51"/>
  <c r="A80" i="51"/>
  <c r="A79" i="51"/>
  <c r="A78" i="51"/>
  <c r="A77" i="51"/>
  <c r="A76" i="51"/>
  <c r="A75" i="51"/>
  <c r="A74" i="51"/>
  <c r="A73" i="51"/>
  <c r="A72" i="51"/>
  <c r="A71" i="51"/>
  <c r="A70" i="51"/>
  <c r="A69" i="51"/>
  <c r="A68" i="51"/>
  <c r="A67" i="51"/>
  <c r="A66" i="51"/>
  <c r="A65" i="51"/>
  <c r="A64" i="51"/>
  <c r="A63" i="51"/>
  <c r="A62" i="51"/>
  <c r="A61" i="51"/>
  <c r="A60" i="51"/>
  <c r="A59" i="51"/>
  <c r="A58" i="51"/>
  <c r="A57" i="51"/>
  <c r="A56" i="51"/>
  <c r="A55" i="51"/>
  <c r="A226" i="51"/>
  <c r="A225" i="51"/>
  <c r="A224" i="51"/>
  <c r="A223" i="51"/>
  <c r="A222" i="51"/>
  <c r="A221" i="51"/>
  <c r="A220" i="51"/>
  <c r="A219" i="51"/>
  <c r="A218" i="51"/>
  <c r="A217" i="51"/>
  <c r="A216" i="51"/>
  <c r="A215" i="51"/>
  <c r="A214" i="51"/>
  <c r="A213" i="51"/>
  <c r="A212" i="51"/>
  <c r="A211" i="51"/>
  <c r="A210" i="51"/>
  <c r="A209" i="51"/>
  <c r="A208" i="51"/>
  <c r="A207" i="51"/>
  <c r="A206" i="51"/>
  <c r="A205" i="51"/>
  <c r="A204" i="51"/>
  <c r="A203" i="51"/>
  <c r="A202" i="51"/>
  <c r="A201" i="51"/>
  <c r="A200" i="51"/>
  <c r="A199" i="51"/>
  <c r="A198" i="51"/>
  <c r="A197" i="51"/>
  <c r="A196" i="51"/>
  <c r="A195" i="51"/>
  <c r="A194" i="51"/>
  <c r="A193" i="51"/>
  <c r="A192" i="51"/>
  <c r="A191" i="51"/>
  <c r="A190" i="51"/>
  <c r="A189" i="51"/>
  <c r="A188" i="51"/>
  <c r="A187" i="51"/>
  <c r="A186" i="51"/>
  <c r="A185" i="51"/>
  <c r="A184" i="51"/>
  <c r="A183" i="51"/>
  <c r="A182" i="51"/>
  <c r="A181" i="51"/>
  <c r="A180" i="51"/>
  <c r="A179" i="51"/>
  <c r="A178" i="51"/>
  <c r="A177" i="51"/>
  <c r="A176" i="51"/>
  <c r="A175" i="51"/>
  <c r="A174" i="51"/>
  <c r="A173" i="51"/>
  <c r="A172" i="51"/>
  <c r="A171" i="51"/>
  <c r="A170" i="51"/>
  <c r="A169" i="51"/>
  <c r="A168" i="51"/>
  <c r="A167" i="51"/>
  <c r="A166" i="51"/>
  <c r="A165" i="51"/>
  <c r="A164" i="51"/>
  <c r="A163" i="51"/>
  <c r="A162" i="51"/>
  <c r="A161" i="51"/>
  <c r="A136" i="51"/>
  <c r="A135" i="51"/>
  <c r="A134" i="51"/>
  <c r="A133" i="51"/>
  <c r="A132" i="51"/>
  <c r="A131" i="51"/>
  <c r="A130" i="51"/>
  <c r="A129" i="51"/>
  <c r="A128" i="51"/>
  <c r="A127" i="51"/>
  <c r="A126" i="51"/>
  <c r="A125" i="51"/>
  <c r="A124" i="51"/>
  <c r="A123" i="51"/>
  <c r="A122" i="51"/>
  <c r="A121" i="51"/>
  <c r="A120" i="51"/>
  <c r="A119" i="51"/>
  <c r="A118" i="51"/>
  <c r="A117" i="51"/>
  <c r="A116" i="51"/>
  <c r="A115" i="51"/>
  <c r="A114" i="51"/>
  <c r="A113" i="51"/>
  <c r="A112" i="51"/>
  <c r="A111" i="51"/>
  <c r="A110" i="51"/>
  <c r="A109" i="51"/>
  <c r="A108" i="51"/>
  <c r="A107" i="51"/>
  <c r="A106" i="51"/>
  <c r="A105" i="51"/>
  <c r="A104" i="51"/>
  <c r="A103" i="51"/>
  <c r="A102" i="51"/>
  <c r="A101" i="51"/>
  <c r="A100" i="51"/>
  <c r="A99" i="51"/>
  <c r="A98" i="51"/>
  <c r="A97" i="51"/>
  <c r="A96" i="51"/>
  <c r="A95" i="51"/>
  <c r="A94" i="51"/>
  <c r="A93" i="51"/>
  <c r="A92" i="51"/>
  <c r="A91" i="51"/>
  <c r="A54" i="51"/>
  <c r="A53" i="51"/>
  <c r="A52" i="51"/>
  <c r="A51" i="51"/>
  <c r="A50" i="51"/>
  <c r="A49" i="51"/>
  <c r="A48" i="51"/>
  <c r="A47" i="51"/>
  <c r="A46" i="51"/>
  <c r="A45" i="51"/>
  <c r="A44" i="51"/>
  <c r="A43" i="51"/>
  <c r="A42" i="51"/>
  <c r="A41" i="51"/>
  <c r="A40" i="51"/>
  <c r="A39" i="51"/>
  <c r="A38" i="51"/>
  <c r="A37" i="51"/>
  <c r="A36" i="51"/>
  <c r="A35" i="51"/>
  <c r="A34" i="51"/>
  <c r="A33" i="51"/>
  <c r="A32"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A6" i="51"/>
  <c r="A5" i="51"/>
  <c r="A4" i="51"/>
  <c r="A3" i="51"/>
  <c r="B133" i="23"/>
  <c r="T192" i="7"/>
  <c r="T191" i="7"/>
  <c r="T190" i="7"/>
  <c r="T189" i="7"/>
  <c r="C5" i="2"/>
  <c r="C4" i="2"/>
  <c r="C3" i="2"/>
  <c r="AV115" i="1"/>
  <c r="AU73" i="1"/>
  <c r="AV68" i="1"/>
  <c r="AV61" i="1"/>
  <c r="AU67" i="1"/>
  <c r="AU75" i="1"/>
  <c r="AU107" i="1"/>
  <c r="AU115" i="1"/>
  <c r="AV62" i="1"/>
  <c r="AV70" i="1"/>
  <c r="AV102" i="1"/>
  <c r="AV110" i="1"/>
  <c r="AV118" i="1"/>
  <c r="AU74" i="1"/>
  <c r="AV69" i="1"/>
  <c r="AV109" i="1"/>
  <c r="AV117" i="1"/>
  <c r="AU68" i="1"/>
  <c r="AU116" i="1"/>
  <c r="AV71" i="1"/>
  <c r="AV103" i="1"/>
  <c r="AV111" i="1"/>
  <c r="AU61" i="1"/>
  <c r="AU101" i="1"/>
  <c r="AU109" i="1"/>
  <c r="AU117" i="1"/>
  <c r="AV64" i="1"/>
  <c r="AV72" i="1"/>
  <c r="AV104" i="1"/>
  <c r="AV112" i="1"/>
  <c r="AU65" i="1"/>
  <c r="AU113" i="1"/>
  <c r="AU66" i="1"/>
  <c r="AU60" i="1"/>
  <c r="AU108" i="1"/>
  <c r="AU69" i="1"/>
  <c r="AU62" i="1"/>
  <c r="AU70" i="1"/>
  <c r="AU102" i="1"/>
  <c r="AU110" i="1"/>
  <c r="AU118" i="1"/>
  <c r="AV65" i="1"/>
  <c r="AV73" i="1"/>
  <c r="AV105" i="1"/>
  <c r="AV113" i="1"/>
  <c r="AV60" i="1"/>
  <c r="AU114" i="1"/>
  <c r="AV101" i="1"/>
  <c r="AU76" i="1"/>
  <c r="AV63" i="1"/>
  <c r="AU63" i="1"/>
  <c r="AU71" i="1"/>
  <c r="AU103" i="1"/>
  <c r="AU111" i="1"/>
  <c r="AU59" i="1"/>
  <c r="AV66" i="1"/>
  <c r="AV74" i="1"/>
  <c r="AV106" i="1"/>
  <c r="AV114" i="1"/>
  <c r="AU105" i="1"/>
  <c r="AV76" i="1"/>
  <c r="AV108" i="1"/>
  <c r="AV116" i="1"/>
  <c r="AU106" i="1"/>
  <c r="AU64" i="1"/>
  <c r="AU72" i="1"/>
  <c r="AU104" i="1"/>
  <c r="AU112" i="1"/>
  <c r="AV59" i="1"/>
  <c r="AV67" i="1"/>
  <c r="AV75" i="1"/>
  <c r="AV10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104" i="1"/>
  <c r="AK103" i="1"/>
  <c r="AK102" i="1"/>
  <c r="AK101" i="1"/>
  <c r="AK100" i="1"/>
  <c r="AK99" i="1"/>
  <c r="AK98" i="1"/>
  <c r="AK97" i="1"/>
  <c r="AK96" i="1"/>
  <c r="AK95" i="1"/>
  <c r="AK94" i="1"/>
  <c r="AK93" i="1"/>
  <c r="AK92" i="1"/>
  <c r="AK91" i="1"/>
  <c r="AK90" i="1"/>
  <c r="AK89" i="1"/>
  <c r="AK88" i="1"/>
  <c r="AK87" i="1"/>
  <c r="AK86" i="1"/>
  <c r="AK85" i="1"/>
  <c r="AK84" i="1"/>
  <c r="AK83" i="1"/>
  <c r="AK82" i="1"/>
  <c r="AK81" i="1"/>
  <c r="AK80" i="1"/>
  <c r="AK79" i="1"/>
  <c r="AK78" i="1"/>
  <c r="AK77" i="1"/>
  <c r="AK76" i="1"/>
  <c r="AK75" i="1"/>
  <c r="AK74" i="1"/>
  <c r="AK73" i="1"/>
  <c r="AK72" i="1"/>
  <c r="AK71" i="1"/>
  <c r="AK70" i="1"/>
  <c r="AK69" i="1"/>
  <c r="AK68" i="1"/>
  <c r="AK67" i="1"/>
  <c r="AK66" i="1"/>
  <c r="AK65" i="1"/>
  <c r="AK64" i="1"/>
  <c r="AK63" i="1"/>
  <c r="AK62" i="1"/>
  <c r="AK61" i="1"/>
  <c r="AK60" i="1"/>
  <c r="AK59" i="1"/>
  <c r="AK54" i="1"/>
  <c r="AK53" i="1"/>
  <c r="AK52" i="1"/>
  <c r="AK51" i="1"/>
  <c r="AK50" i="1"/>
  <c r="AK49" i="1"/>
  <c r="AK48" i="1"/>
  <c r="AK47" i="1"/>
  <c r="AK46" i="1"/>
  <c r="AK45" i="1"/>
  <c r="AK44" i="1"/>
  <c r="AK43" i="1"/>
  <c r="AK42" i="1"/>
  <c r="AK41" i="1"/>
  <c r="AK40" i="1"/>
  <c r="AK39" i="1"/>
  <c r="AK38" i="1"/>
  <c r="AK37" i="1"/>
  <c r="AK36" i="1"/>
  <c r="AK35" i="1"/>
  <c r="AK34" i="1"/>
  <c r="AK33" i="1"/>
  <c r="AK32" i="1"/>
  <c r="AK31" i="1"/>
  <c r="AK30" i="1"/>
  <c r="AK29" i="1"/>
  <c r="AK28" i="1"/>
  <c r="AK27" i="1"/>
  <c r="AK26" i="1"/>
  <c r="AK25" i="1"/>
  <c r="AK24" i="1"/>
  <c r="AK23" i="1"/>
  <c r="AK22" i="1"/>
  <c r="AK21" i="1"/>
  <c r="AK20" i="1"/>
  <c r="R285" i="7"/>
  <c r="O285" i="7"/>
  <c r="M285" i="7"/>
  <c r="L285" i="7"/>
  <c r="G285" i="7"/>
  <c r="F285" i="7"/>
  <c r="C285" i="7"/>
  <c r="R269" i="7"/>
  <c r="O269" i="7"/>
  <c r="M269" i="7"/>
  <c r="L269" i="7"/>
  <c r="G269" i="7"/>
  <c r="F269" i="7"/>
  <c r="C269" i="7"/>
  <c r="R218" i="7"/>
  <c r="O218" i="7"/>
  <c r="M218" i="7"/>
  <c r="L218" i="7"/>
  <c r="G218" i="7"/>
  <c r="F218" i="7"/>
  <c r="C218" i="7"/>
  <c r="R217" i="7"/>
  <c r="O217" i="7"/>
  <c r="M217" i="7"/>
  <c r="L217" i="7"/>
  <c r="G217" i="7"/>
  <c r="F217" i="7"/>
  <c r="C217" i="7"/>
  <c r="R216" i="7"/>
  <c r="O216" i="7"/>
  <c r="M216" i="7"/>
  <c r="L216" i="7"/>
  <c r="G216" i="7"/>
  <c r="F216" i="7"/>
  <c r="C216" i="7"/>
  <c r="R215" i="7"/>
  <c r="O215" i="7"/>
  <c r="M215" i="7"/>
  <c r="L215" i="7"/>
  <c r="G215" i="7"/>
  <c r="F215" i="7"/>
  <c r="C215" i="7"/>
  <c r="R222" i="7"/>
  <c r="O222" i="7"/>
  <c r="M222" i="7"/>
  <c r="L222" i="7"/>
  <c r="G222" i="7"/>
  <c r="F222" i="7"/>
  <c r="C222" i="7"/>
  <c r="R221" i="7"/>
  <c r="O221" i="7"/>
  <c r="M221" i="7"/>
  <c r="L221" i="7"/>
  <c r="G221" i="7"/>
  <c r="F221" i="7"/>
  <c r="C221" i="7"/>
  <c r="R220" i="7"/>
  <c r="O220" i="7"/>
  <c r="M220" i="7"/>
  <c r="L220" i="7"/>
  <c r="G220" i="7"/>
  <c r="F220" i="7"/>
  <c r="C220" i="7"/>
  <c r="R219" i="7"/>
  <c r="O219" i="7"/>
  <c r="M219" i="7"/>
  <c r="L219" i="7"/>
  <c r="G219" i="7"/>
  <c r="F219" i="7"/>
  <c r="C219" i="7"/>
  <c r="R284" i="7"/>
  <c r="O284" i="7"/>
  <c r="M284" i="7"/>
  <c r="L284" i="7"/>
  <c r="G284" i="7"/>
  <c r="F284" i="7"/>
  <c r="C284" i="7"/>
  <c r="R283" i="7"/>
  <c r="O283" i="7"/>
  <c r="M283" i="7"/>
  <c r="L283" i="7"/>
  <c r="G283" i="7"/>
  <c r="F283" i="7"/>
  <c r="C283" i="7"/>
  <c r="R282" i="7"/>
  <c r="O282" i="7"/>
  <c r="M282" i="7"/>
  <c r="L282" i="7"/>
  <c r="G282" i="7"/>
  <c r="F282" i="7"/>
  <c r="C282" i="7"/>
  <c r="R281" i="7"/>
  <c r="O281" i="7"/>
  <c r="M281" i="7"/>
  <c r="L281" i="7"/>
  <c r="G281" i="7"/>
  <c r="F281" i="7"/>
  <c r="C281" i="7"/>
  <c r="R280" i="7"/>
  <c r="O280" i="7"/>
  <c r="M280" i="7"/>
  <c r="L280" i="7"/>
  <c r="G280" i="7"/>
  <c r="F280" i="7"/>
  <c r="C280" i="7"/>
  <c r="R279" i="7"/>
  <c r="O279" i="7"/>
  <c r="M279" i="7"/>
  <c r="L279" i="7"/>
  <c r="G279" i="7"/>
  <c r="F279" i="7"/>
  <c r="C279" i="7"/>
  <c r="R278" i="7"/>
  <c r="O278" i="7"/>
  <c r="M278" i="7"/>
  <c r="L278" i="7"/>
  <c r="G278" i="7"/>
  <c r="F278" i="7"/>
  <c r="C278" i="7"/>
  <c r="R277" i="7"/>
  <c r="O277" i="7"/>
  <c r="M277" i="7"/>
  <c r="L277" i="7"/>
  <c r="G277" i="7"/>
  <c r="F277" i="7"/>
  <c r="C277" i="7"/>
  <c r="R276" i="7"/>
  <c r="O276" i="7"/>
  <c r="M276" i="7"/>
  <c r="L276" i="7"/>
  <c r="G276" i="7"/>
  <c r="F276" i="7"/>
  <c r="C276" i="7"/>
  <c r="R275" i="7"/>
  <c r="O275" i="7"/>
  <c r="M275" i="7"/>
  <c r="L275" i="7"/>
  <c r="G275" i="7"/>
  <c r="F275" i="7"/>
  <c r="C275" i="7"/>
  <c r="R274" i="7"/>
  <c r="O274" i="7"/>
  <c r="M274" i="7"/>
  <c r="L274" i="7"/>
  <c r="G274" i="7"/>
  <c r="F274" i="7"/>
  <c r="C274" i="7"/>
  <c r="R273" i="7"/>
  <c r="O273" i="7"/>
  <c r="M273" i="7"/>
  <c r="L273" i="7"/>
  <c r="G273" i="7"/>
  <c r="F273" i="7"/>
  <c r="C273" i="7"/>
  <c r="R272" i="7"/>
  <c r="O272" i="7"/>
  <c r="M272" i="7"/>
  <c r="L272" i="7"/>
  <c r="G272" i="7"/>
  <c r="F272" i="7"/>
  <c r="C272" i="7"/>
  <c r="R271" i="7"/>
  <c r="O271" i="7"/>
  <c r="M271" i="7"/>
  <c r="L271" i="7"/>
  <c r="G271" i="7"/>
  <c r="F271" i="7"/>
  <c r="C271" i="7"/>
  <c r="R270" i="7"/>
  <c r="O270" i="7"/>
  <c r="M270" i="7"/>
  <c r="L270" i="7"/>
  <c r="G270" i="7"/>
  <c r="F270" i="7"/>
  <c r="C270" i="7"/>
  <c r="R268" i="7"/>
  <c r="O268" i="7"/>
  <c r="M268" i="7"/>
  <c r="L268" i="7"/>
  <c r="G268" i="7"/>
  <c r="F268" i="7"/>
  <c r="C268" i="7"/>
  <c r="R267" i="7"/>
  <c r="O267" i="7"/>
  <c r="M267" i="7"/>
  <c r="L267" i="7"/>
  <c r="G267" i="7"/>
  <c r="F267" i="7"/>
  <c r="C267" i="7"/>
  <c r="R266" i="7"/>
  <c r="O266" i="7"/>
  <c r="M266" i="7"/>
  <c r="L266" i="7"/>
  <c r="G266" i="7"/>
  <c r="F266" i="7"/>
  <c r="C266" i="7"/>
  <c r="R265" i="7"/>
  <c r="O265" i="7"/>
  <c r="M265" i="7"/>
  <c r="L265" i="7"/>
  <c r="G265" i="7"/>
  <c r="F265" i="7"/>
  <c r="C265" i="7"/>
  <c r="R264" i="7"/>
  <c r="O264" i="7"/>
  <c r="M264" i="7"/>
  <c r="L264" i="7"/>
  <c r="G264" i="7"/>
  <c r="F264" i="7"/>
  <c r="C264" i="7"/>
  <c r="R263" i="7"/>
  <c r="O263" i="7"/>
  <c r="M263" i="7"/>
  <c r="L263" i="7"/>
  <c r="G263" i="7"/>
  <c r="F263" i="7"/>
  <c r="C263" i="7"/>
  <c r="R262" i="7"/>
  <c r="O262" i="7"/>
  <c r="M262" i="7"/>
  <c r="L262" i="7"/>
  <c r="G262" i="7"/>
  <c r="F262" i="7"/>
  <c r="C262" i="7"/>
  <c r="R261" i="7"/>
  <c r="O261" i="7"/>
  <c r="M261" i="7"/>
  <c r="L261" i="7"/>
  <c r="G261" i="7"/>
  <c r="F261" i="7"/>
  <c r="C261" i="7"/>
  <c r="R260" i="7"/>
  <c r="O260" i="7"/>
  <c r="M260" i="7"/>
  <c r="L260" i="7"/>
  <c r="G260" i="7"/>
  <c r="F260" i="7"/>
  <c r="C260" i="7"/>
  <c r="R259" i="7"/>
  <c r="O259" i="7"/>
  <c r="M259" i="7"/>
  <c r="L259" i="7"/>
  <c r="G259" i="7"/>
  <c r="F259" i="7"/>
  <c r="C259" i="7"/>
  <c r="R258" i="7"/>
  <c r="O258" i="7"/>
  <c r="M258" i="7"/>
  <c r="L258" i="7"/>
  <c r="G258" i="7"/>
  <c r="F258" i="7"/>
  <c r="C258" i="7"/>
  <c r="R257" i="7"/>
  <c r="O257" i="7"/>
  <c r="M257" i="7"/>
  <c r="L257" i="7"/>
  <c r="G257" i="7"/>
  <c r="F257" i="7"/>
  <c r="C257" i="7"/>
  <c r="R256" i="7"/>
  <c r="O256" i="7"/>
  <c r="M256" i="7"/>
  <c r="L256" i="7"/>
  <c r="G256" i="7"/>
  <c r="F256" i="7"/>
  <c r="C256" i="7"/>
  <c r="R255" i="7"/>
  <c r="O255" i="7"/>
  <c r="M255" i="7"/>
  <c r="L255" i="7"/>
  <c r="G255" i="7"/>
  <c r="F255" i="7"/>
  <c r="C255" i="7"/>
  <c r="R254" i="7"/>
  <c r="O254" i="7"/>
  <c r="M254" i="7"/>
  <c r="L254" i="7"/>
  <c r="G254" i="7"/>
  <c r="F254" i="7"/>
  <c r="C254" i="7"/>
  <c r="R234" i="7"/>
  <c r="O234" i="7"/>
  <c r="M234" i="7"/>
  <c r="L234" i="7"/>
  <c r="G234" i="7"/>
  <c r="F234" i="7"/>
  <c r="C234" i="7"/>
  <c r="R233" i="7"/>
  <c r="O233" i="7"/>
  <c r="M233" i="7"/>
  <c r="L233" i="7"/>
  <c r="G233" i="7"/>
  <c r="F233" i="7"/>
  <c r="C233" i="7"/>
  <c r="R232" i="7"/>
  <c r="O232" i="7"/>
  <c r="M232" i="7"/>
  <c r="L232" i="7"/>
  <c r="G232" i="7"/>
  <c r="F232" i="7"/>
  <c r="C232" i="7"/>
  <c r="R231" i="7"/>
  <c r="O231" i="7"/>
  <c r="M231" i="7"/>
  <c r="L231" i="7"/>
  <c r="G231" i="7"/>
  <c r="F231" i="7"/>
  <c r="C231" i="7"/>
  <c r="R230" i="7"/>
  <c r="O230" i="7"/>
  <c r="M230" i="7"/>
  <c r="L230" i="7"/>
  <c r="G230" i="7"/>
  <c r="F230" i="7"/>
  <c r="C230" i="7"/>
  <c r="R229" i="7"/>
  <c r="O229" i="7"/>
  <c r="M229" i="7"/>
  <c r="L229" i="7"/>
  <c r="G229" i="7"/>
  <c r="F229" i="7"/>
  <c r="C229" i="7"/>
  <c r="R228" i="7"/>
  <c r="O228" i="7"/>
  <c r="M228" i="7"/>
  <c r="L228" i="7"/>
  <c r="G228" i="7"/>
  <c r="F228" i="7"/>
  <c r="C228" i="7"/>
  <c r="R227" i="7"/>
  <c r="O227" i="7"/>
  <c r="M227" i="7"/>
  <c r="L227" i="7"/>
  <c r="G227" i="7"/>
  <c r="F227" i="7"/>
  <c r="C227" i="7"/>
  <c r="BL188" i="7"/>
  <c r="BK188" i="7"/>
  <c r="BJ188" i="7"/>
  <c r="R188" i="7"/>
  <c r="Q188" i="7"/>
  <c r="P188" i="7"/>
  <c r="O188" i="7"/>
  <c r="M188" i="7"/>
  <c r="L188" i="7"/>
  <c r="G188" i="7"/>
  <c r="F188" i="7"/>
  <c r="D188" i="7"/>
  <c r="C188" i="7"/>
  <c r="B188" i="7"/>
  <c r="BL187" i="7"/>
  <c r="BK187" i="7"/>
  <c r="BJ187" i="7"/>
  <c r="R187" i="7"/>
  <c r="Q187" i="7"/>
  <c r="P187" i="7"/>
  <c r="O187" i="7"/>
  <c r="M187" i="7"/>
  <c r="L187" i="7"/>
  <c r="G187" i="7"/>
  <c r="F187" i="7"/>
  <c r="D187" i="7"/>
  <c r="C187" i="7"/>
  <c r="B187" i="7"/>
  <c r="BL186" i="7"/>
  <c r="BK186" i="7"/>
  <c r="BJ186" i="7"/>
  <c r="R186" i="7"/>
  <c r="Q186" i="7"/>
  <c r="P186" i="7"/>
  <c r="O186" i="7"/>
  <c r="M186" i="7"/>
  <c r="L186" i="7"/>
  <c r="G186" i="7"/>
  <c r="F186" i="7"/>
  <c r="D186" i="7"/>
  <c r="C186" i="7"/>
  <c r="B186" i="7"/>
  <c r="BL185" i="7"/>
  <c r="BK185" i="7"/>
  <c r="BJ185" i="7"/>
  <c r="R185" i="7"/>
  <c r="Q185" i="7"/>
  <c r="P185" i="7"/>
  <c r="O185" i="7"/>
  <c r="M185" i="7"/>
  <c r="L185" i="7"/>
  <c r="G185" i="7"/>
  <c r="F185" i="7"/>
  <c r="D185" i="7"/>
  <c r="C185" i="7"/>
  <c r="B185" i="7"/>
  <c r="BL184" i="7"/>
  <c r="BK184" i="7"/>
  <c r="BJ184" i="7"/>
  <c r="R184" i="7"/>
  <c r="Q184" i="7"/>
  <c r="P184" i="7"/>
  <c r="O184" i="7"/>
  <c r="M184" i="7"/>
  <c r="L184" i="7"/>
  <c r="G184" i="7"/>
  <c r="F184" i="7"/>
  <c r="D184" i="7"/>
  <c r="C184" i="7"/>
  <c r="B184" i="7"/>
  <c r="BL183" i="7"/>
  <c r="BK183" i="7"/>
  <c r="BJ183" i="7"/>
  <c r="R183" i="7"/>
  <c r="Q183" i="7"/>
  <c r="P183" i="7"/>
  <c r="O183" i="7"/>
  <c r="M183" i="7"/>
  <c r="L183" i="7"/>
  <c r="G183" i="7"/>
  <c r="F183" i="7"/>
  <c r="D183" i="7"/>
  <c r="C183" i="7"/>
  <c r="B183" i="7"/>
  <c r="BL182" i="7"/>
  <c r="BK182" i="7"/>
  <c r="BJ182" i="7"/>
  <c r="R182" i="7"/>
  <c r="Q182" i="7"/>
  <c r="P182" i="7"/>
  <c r="O182" i="7"/>
  <c r="M182" i="7"/>
  <c r="L182" i="7"/>
  <c r="G182" i="7"/>
  <c r="F182" i="7"/>
  <c r="D182" i="7"/>
  <c r="C182" i="7"/>
  <c r="B182" i="7"/>
  <c r="BL181" i="7"/>
  <c r="BK181" i="7"/>
  <c r="BJ181" i="7"/>
  <c r="R181" i="7"/>
  <c r="Q181" i="7"/>
  <c r="P181" i="7"/>
  <c r="O181" i="7"/>
  <c r="M181" i="7"/>
  <c r="L181" i="7"/>
  <c r="G181" i="7"/>
  <c r="F181" i="7"/>
  <c r="D181" i="7"/>
  <c r="C181" i="7"/>
  <c r="B181" i="7"/>
  <c r="BL180" i="7"/>
  <c r="BK180" i="7"/>
  <c r="BJ180" i="7"/>
  <c r="R180" i="7"/>
  <c r="Q180" i="7"/>
  <c r="P180" i="7"/>
  <c r="O180" i="7"/>
  <c r="M180" i="7"/>
  <c r="L180" i="7"/>
  <c r="G180" i="7"/>
  <c r="F180" i="7"/>
  <c r="D180" i="7"/>
  <c r="C180" i="7"/>
  <c r="B180" i="7"/>
  <c r="BL179" i="7"/>
  <c r="BK179" i="7"/>
  <c r="BJ179" i="7"/>
  <c r="R179" i="7"/>
  <c r="Q179" i="7"/>
  <c r="P179" i="7"/>
  <c r="O179" i="7"/>
  <c r="M179" i="7"/>
  <c r="L179" i="7"/>
  <c r="G179" i="7"/>
  <c r="F179" i="7"/>
  <c r="D179" i="7"/>
  <c r="C179" i="7"/>
  <c r="B179" i="7"/>
  <c r="BL178" i="7"/>
  <c r="BK178" i="7"/>
  <c r="BJ178" i="7"/>
  <c r="R178" i="7"/>
  <c r="Q178" i="7"/>
  <c r="P178" i="7"/>
  <c r="O178" i="7"/>
  <c r="M178" i="7"/>
  <c r="L178" i="7"/>
  <c r="G178" i="7"/>
  <c r="F178" i="7"/>
  <c r="D178" i="7"/>
  <c r="C178" i="7"/>
  <c r="B178" i="7"/>
  <c r="BL177" i="7"/>
  <c r="BK177" i="7"/>
  <c r="BJ177" i="7"/>
  <c r="R177" i="7"/>
  <c r="Q177" i="7"/>
  <c r="P177" i="7"/>
  <c r="O177" i="7"/>
  <c r="M177" i="7"/>
  <c r="L177" i="7"/>
  <c r="G177" i="7"/>
  <c r="F177" i="7"/>
  <c r="D177" i="7"/>
  <c r="C177" i="7"/>
  <c r="B177" i="7"/>
  <c r="BL176" i="7"/>
  <c r="BK176" i="7"/>
  <c r="BJ176" i="7"/>
  <c r="R176" i="7"/>
  <c r="Q176" i="7"/>
  <c r="P176" i="7"/>
  <c r="O176" i="7"/>
  <c r="M176" i="7"/>
  <c r="L176" i="7"/>
  <c r="G176" i="7"/>
  <c r="F176" i="7"/>
  <c r="D176" i="7"/>
  <c r="C176" i="7"/>
  <c r="B176" i="7"/>
  <c r="BL175" i="7"/>
  <c r="BK175" i="7"/>
  <c r="BJ175" i="7"/>
  <c r="R175" i="7"/>
  <c r="Q175" i="7"/>
  <c r="P175" i="7"/>
  <c r="O175" i="7"/>
  <c r="M175" i="7"/>
  <c r="L175" i="7"/>
  <c r="G175" i="7"/>
  <c r="F175" i="7"/>
  <c r="D175" i="7"/>
  <c r="C175" i="7"/>
  <c r="B175" i="7"/>
  <c r="BL174" i="7"/>
  <c r="BK174" i="7"/>
  <c r="BJ174" i="7"/>
  <c r="R174" i="7"/>
  <c r="Q174" i="7"/>
  <c r="P174" i="7"/>
  <c r="O174" i="7"/>
  <c r="M174" i="7"/>
  <c r="L174" i="7"/>
  <c r="G174" i="7"/>
  <c r="F174" i="7"/>
  <c r="D174" i="7"/>
  <c r="C174" i="7"/>
  <c r="B174" i="7"/>
  <c r="BL173" i="7"/>
  <c r="BK173" i="7"/>
  <c r="BJ173" i="7"/>
  <c r="R173" i="7"/>
  <c r="Q173" i="7"/>
  <c r="P173" i="7"/>
  <c r="O173" i="7"/>
  <c r="M173" i="7"/>
  <c r="L173" i="7"/>
  <c r="G173" i="7"/>
  <c r="F173" i="7"/>
  <c r="D173" i="7"/>
  <c r="C173" i="7"/>
  <c r="B173" i="7"/>
  <c r="BL172" i="7"/>
  <c r="BK172" i="7"/>
  <c r="BJ172" i="7"/>
  <c r="R172" i="7"/>
  <c r="Q172" i="7"/>
  <c r="P172" i="7"/>
  <c r="O172" i="7"/>
  <c r="M172" i="7"/>
  <c r="L172" i="7"/>
  <c r="G172" i="7"/>
  <c r="F172" i="7"/>
  <c r="D172" i="7"/>
  <c r="C172" i="7"/>
  <c r="B172" i="7"/>
  <c r="BL171" i="7"/>
  <c r="BK171" i="7"/>
  <c r="BJ171" i="7"/>
  <c r="R171" i="7"/>
  <c r="Q171" i="7"/>
  <c r="P171" i="7"/>
  <c r="O171" i="7"/>
  <c r="M171" i="7"/>
  <c r="L171" i="7"/>
  <c r="G171" i="7"/>
  <c r="F171" i="7"/>
  <c r="D171" i="7"/>
  <c r="C171" i="7"/>
  <c r="B171" i="7"/>
  <c r="BL170" i="7"/>
  <c r="BK170" i="7"/>
  <c r="BJ170" i="7"/>
  <c r="R170" i="7"/>
  <c r="Q170" i="7"/>
  <c r="P170" i="7"/>
  <c r="O170" i="7"/>
  <c r="M170" i="7"/>
  <c r="L170" i="7"/>
  <c r="G170" i="7"/>
  <c r="F170" i="7"/>
  <c r="D170" i="7"/>
  <c r="C170" i="7"/>
  <c r="B170" i="7"/>
  <c r="BL169" i="7"/>
  <c r="BK169" i="7"/>
  <c r="BJ169" i="7"/>
  <c r="R169" i="7"/>
  <c r="Q169" i="7"/>
  <c r="P169" i="7"/>
  <c r="O169" i="7"/>
  <c r="M169" i="7"/>
  <c r="L169" i="7"/>
  <c r="G169" i="7"/>
  <c r="F169" i="7"/>
  <c r="D169" i="7"/>
  <c r="C169" i="7"/>
  <c r="B169" i="7"/>
  <c r="BL168" i="7"/>
  <c r="BK168" i="7"/>
  <c r="BJ168" i="7"/>
  <c r="R168" i="7"/>
  <c r="Q168" i="7"/>
  <c r="P168" i="7"/>
  <c r="O168" i="7"/>
  <c r="M168" i="7"/>
  <c r="L168" i="7"/>
  <c r="G168" i="7"/>
  <c r="F168" i="7"/>
  <c r="D168" i="7"/>
  <c r="C168" i="7"/>
  <c r="B168" i="7"/>
  <c r="BL167" i="7"/>
  <c r="BK167" i="7"/>
  <c r="BJ167" i="7"/>
  <c r="R167" i="7"/>
  <c r="Q167" i="7"/>
  <c r="P167" i="7"/>
  <c r="O167" i="7"/>
  <c r="M167" i="7"/>
  <c r="L167" i="7"/>
  <c r="G167" i="7"/>
  <c r="F167" i="7"/>
  <c r="D167" i="7"/>
  <c r="C167" i="7"/>
  <c r="B167" i="7"/>
  <c r="BL166" i="7"/>
  <c r="BK166" i="7"/>
  <c r="BJ166" i="7"/>
  <c r="R166" i="7"/>
  <c r="Q166" i="7"/>
  <c r="P166" i="7"/>
  <c r="O166" i="7"/>
  <c r="M166" i="7"/>
  <c r="L166" i="7"/>
  <c r="G166" i="7"/>
  <c r="F166" i="7"/>
  <c r="D166" i="7"/>
  <c r="C166" i="7"/>
  <c r="B166" i="7"/>
  <c r="BL165" i="7"/>
  <c r="BK165" i="7"/>
  <c r="BJ165" i="7"/>
  <c r="R165" i="7"/>
  <c r="Q165" i="7"/>
  <c r="P165" i="7"/>
  <c r="O165" i="7"/>
  <c r="M165" i="7"/>
  <c r="L165" i="7"/>
  <c r="G165" i="7"/>
  <c r="F165" i="7"/>
  <c r="D165" i="7"/>
  <c r="C165" i="7"/>
  <c r="B165" i="7"/>
  <c r="BL148" i="7"/>
  <c r="BK148" i="7"/>
  <c r="BJ148" i="7"/>
  <c r="R148" i="7"/>
  <c r="Q148" i="7"/>
  <c r="P148" i="7"/>
  <c r="O148" i="7"/>
  <c r="M148" i="7"/>
  <c r="L148" i="7"/>
  <c r="G148" i="7"/>
  <c r="F148" i="7"/>
  <c r="D148" i="7"/>
  <c r="C148" i="7"/>
  <c r="B148" i="7"/>
  <c r="BL147" i="7"/>
  <c r="BK147" i="7"/>
  <c r="BJ147" i="7"/>
  <c r="R147" i="7"/>
  <c r="Q147" i="7"/>
  <c r="P147" i="7"/>
  <c r="O147" i="7"/>
  <c r="M147" i="7"/>
  <c r="L147" i="7"/>
  <c r="G147" i="7"/>
  <c r="F147" i="7"/>
  <c r="D147" i="7"/>
  <c r="C147" i="7"/>
  <c r="B147" i="7"/>
  <c r="BL146" i="7"/>
  <c r="BK146" i="7"/>
  <c r="BJ146" i="7"/>
  <c r="R146" i="7"/>
  <c r="Q146" i="7"/>
  <c r="P146" i="7"/>
  <c r="O146" i="7"/>
  <c r="M146" i="7"/>
  <c r="L146" i="7"/>
  <c r="G146" i="7"/>
  <c r="F146" i="7"/>
  <c r="D146" i="7"/>
  <c r="C146" i="7"/>
  <c r="B146" i="7"/>
  <c r="BL145" i="7"/>
  <c r="BK145" i="7"/>
  <c r="BJ145" i="7"/>
  <c r="R145" i="7"/>
  <c r="Q145" i="7"/>
  <c r="P145" i="7"/>
  <c r="O145" i="7"/>
  <c r="M145" i="7"/>
  <c r="L145" i="7"/>
  <c r="G145" i="7"/>
  <c r="F145" i="7"/>
  <c r="D145" i="7"/>
  <c r="C145" i="7"/>
  <c r="B145" i="7"/>
  <c r="BL144" i="7"/>
  <c r="BK144" i="7"/>
  <c r="BJ144" i="7"/>
  <c r="R144" i="7"/>
  <c r="Q144" i="7"/>
  <c r="P144" i="7"/>
  <c r="O144" i="7"/>
  <c r="M144" i="7"/>
  <c r="L144" i="7"/>
  <c r="G144" i="7"/>
  <c r="F144" i="7"/>
  <c r="D144" i="7"/>
  <c r="C144" i="7"/>
  <c r="B144" i="7"/>
  <c r="BL143" i="7"/>
  <c r="BK143" i="7"/>
  <c r="BJ143" i="7"/>
  <c r="R143" i="7"/>
  <c r="Q143" i="7"/>
  <c r="P143" i="7"/>
  <c r="O143" i="7"/>
  <c r="M143" i="7"/>
  <c r="L143" i="7"/>
  <c r="G143" i="7"/>
  <c r="F143" i="7"/>
  <c r="D143" i="7"/>
  <c r="C143" i="7"/>
  <c r="B143" i="7"/>
  <c r="BL142" i="7"/>
  <c r="BK142" i="7"/>
  <c r="BJ142" i="7"/>
  <c r="R142" i="7"/>
  <c r="Q142" i="7"/>
  <c r="P142" i="7"/>
  <c r="O142" i="7"/>
  <c r="M142" i="7"/>
  <c r="L142" i="7"/>
  <c r="G142" i="7"/>
  <c r="F142" i="7"/>
  <c r="D142" i="7"/>
  <c r="C142" i="7"/>
  <c r="B142" i="7"/>
  <c r="BL141" i="7"/>
  <c r="BK141" i="7"/>
  <c r="BJ141" i="7"/>
  <c r="R141" i="7"/>
  <c r="Q141" i="7"/>
  <c r="P141" i="7"/>
  <c r="O141" i="7"/>
  <c r="M141" i="7"/>
  <c r="L141" i="7"/>
  <c r="G141" i="7"/>
  <c r="F141" i="7"/>
  <c r="D141" i="7"/>
  <c r="C141" i="7"/>
  <c r="B141" i="7"/>
  <c r="AO150" i="1"/>
  <c r="AF150" i="1"/>
  <c r="AA150" i="1"/>
  <c r="Z150" i="1"/>
  <c r="AT150" i="1"/>
  <c r="U150" i="1"/>
  <c r="L150" i="1"/>
  <c r="A150" i="1"/>
  <c r="AO149" i="1"/>
  <c r="AF149" i="1"/>
  <c r="AA149" i="1"/>
  <c r="Z149" i="1"/>
  <c r="AT149" i="1"/>
  <c r="U149" i="1"/>
  <c r="AN149" i="1"/>
  <c r="L149" i="1"/>
  <c r="A149" i="1"/>
  <c r="AO148" i="1"/>
  <c r="AF148" i="1"/>
  <c r="AA148" i="1"/>
  <c r="Z148" i="1"/>
  <c r="AT148" i="1"/>
  <c r="U148" i="1"/>
  <c r="AN148" i="1"/>
  <c r="L148" i="1"/>
  <c r="A148" i="1"/>
  <c r="AO147" i="1"/>
  <c r="AF147" i="1"/>
  <c r="AA147" i="1"/>
  <c r="AB147" i="1"/>
  <c r="Z147" i="1"/>
  <c r="AT147" i="1"/>
  <c r="U147" i="1"/>
  <c r="AN147" i="1"/>
  <c r="L147" i="1"/>
  <c r="A147" i="1"/>
  <c r="AO146" i="1"/>
  <c r="AF146" i="1"/>
  <c r="AA146" i="1"/>
  <c r="Z146" i="1"/>
  <c r="AT146" i="1"/>
  <c r="U146" i="1"/>
  <c r="AN146" i="1"/>
  <c r="L146" i="1"/>
  <c r="A146" i="1"/>
  <c r="AO145" i="1"/>
  <c r="AF145" i="1"/>
  <c r="AA145" i="1"/>
  <c r="AB145" i="1"/>
  <c r="Z145" i="1"/>
  <c r="AT145" i="1"/>
  <c r="U145" i="1"/>
  <c r="AN145" i="1"/>
  <c r="L145" i="1"/>
  <c r="A145" i="1"/>
  <c r="AO144" i="1"/>
  <c r="AF144" i="1"/>
  <c r="AA144" i="1"/>
  <c r="AB144" i="1"/>
  <c r="Z144" i="1"/>
  <c r="AT144" i="1"/>
  <c r="U144" i="1"/>
  <c r="AN144" i="1"/>
  <c r="L144" i="1"/>
  <c r="A144" i="1"/>
  <c r="AO143" i="1"/>
  <c r="AF143" i="1"/>
  <c r="AA143" i="1"/>
  <c r="AB143" i="1"/>
  <c r="Z143" i="1"/>
  <c r="AT143" i="1"/>
  <c r="U143" i="1"/>
  <c r="AN143" i="1"/>
  <c r="L143" i="1"/>
  <c r="A143" i="1"/>
  <c r="AF142" i="1"/>
  <c r="AA142" i="1"/>
  <c r="AB142" i="1"/>
  <c r="Z142" i="1"/>
  <c r="AT142" i="1"/>
  <c r="U142" i="1"/>
  <c r="L142" i="1"/>
  <c r="A142" i="1"/>
  <c r="AF141" i="1"/>
  <c r="AA141" i="1"/>
  <c r="AB141" i="1"/>
  <c r="Z141" i="1"/>
  <c r="AT141" i="1"/>
  <c r="U141" i="1"/>
  <c r="L141" i="1"/>
  <c r="A141" i="1"/>
  <c r="AF140" i="1"/>
  <c r="AA140" i="1"/>
  <c r="Z140" i="1"/>
  <c r="AT140" i="1"/>
  <c r="U140" i="1"/>
  <c r="L140" i="1"/>
  <c r="A140" i="1"/>
  <c r="AF139" i="1"/>
  <c r="AA139" i="1"/>
  <c r="AB139" i="1"/>
  <c r="Z139" i="1"/>
  <c r="AT139" i="1"/>
  <c r="U139" i="1"/>
  <c r="L139" i="1"/>
  <c r="A139" i="1"/>
  <c r="AO138" i="1"/>
  <c r="AF138" i="1"/>
  <c r="AA138" i="1"/>
  <c r="AB138" i="1"/>
  <c r="Z138" i="1"/>
  <c r="AT138" i="1"/>
  <c r="U138" i="1"/>
  <c r="AN138" i="1"/>
  <c r="L138" i="1"/>
  <c r="A138" i="1"/>
  <c r="AO137" i="1"/>
  <c r="AF137" i="1"/>
  <c r="AA137" i="1"/>
  <c r="AB137" i="1"/>
  <c r="Z137" i="1"/>
  <c r="AT137" i="1"/>
  <c r="U137" i="1"/>
  <c r="AN137" i="1"/>
  <c r="L137" i="1"/>
  <c r="A137" i="1"/>
  <c r="AO136" i="1"/>
  <c r="AF136" i="1"/>
  <c r="AA136" i="1"/>
  <c r="Z136" i="1"/>
  <c r="AT136" i="1"/>
  <c r="U136" i="1"/>
  <c r="AN136" i="1"/>
  <c r="L136" i="1"/>
  <c r="A136" i="1"/>
  <c r="AO135" i="1"/>
  <c r="AF135" i="1"/>
  <c r="AA135" i="1"/>
  <c r="AB135" i="1"/>
  <c r="Z135" i="1"/>
  <c r="AT135" i="1"/>
  <c r="U135" i="1"/>
  <c r="AN135" i="1"/>
  <c r="L135" i="1"/>
  <c r="A135" i="1"/>
  <c r="AO134" i="1"/>
  <c r="AF134" i="1"/>
  <c r="AA134" i="1"/>
  <c r="Z134" i="1"/>
  <c r="AT134" i="1"/>
  <c r="U134" i="1"/>
  <c r="L134" i="1"/>
  <c r="A134" i="1"/>
  <c r="AO133" i="1"/>
  <c r="AF133" i="1"/>
  <c r="AA133" i="1"/>
  <c r="AB133" i="1"/>
  <c r="AC133" i="1"/>
  <c r="AP133" i="1"/>
  <c r="Z133" i="1"/>
  <c r="AT133" i="1"/>
  <c r="U133" i="1"/>
  <c r="AN133" i="1"/>
  <c r="L133" i="1"/>
  <c r="A133" i="1"/>
  <c r="AO132" i="1"/>
  <c r="AF132" i="1"/>
  <c r="AA132" i="1"/>
  <c r="Z132" i="1"/>
  <c r="AT132" i="1"/>
  <c r="U132" i="1"/>
  <c r="AN132" i="1"/>
  <c r="L132" i="1"/>
  <c r="A132" i="1"/>
  <c r="AO131" i="1"/>
  <c r="AF131" i="1"/>
  <c r="AA131" i="1"/>
  <c r="Z131" i="1"/>
  <c r="AT131" i="1"/>
  <c r="U131" i="1"/>
  <c r="AN131" i="1"/>
  <c r="L131" i="1"/>
  <c r="A131" i="1"/>
  <c r="AO130" i="1"/>
  <c r="AF130" i="1"/>
  <c r="AA130" i="1"/>
  <c r="AB130" i="1"/>
  <c r="AC130" i="1"/>
  <c r="Z130" i="1"/>
  <c r="AT130" i="1"/>
  <c r="U130" i="1"/>
  <c r="AN130" i="1"/>
  <c r="L130" i="1"/>
  <c r="A130" i="1"/>
  <c r="AO129" i="1"/>
  <c r="AF129" i="1"/>
  <c r="AA129" i="1"/>
  <c r="AB129" i="1"/>
  <c r="AC129" i="1"/>
  <c r="AP129" i="1"/>
  <c r="Z129" i="1"/>
  <c r="AT129" i="1"/>
  <c r="U129" i="1"/>
  <c r="AN129" i="1"/>
  <c r="L129" i="1"/>
  <c r="A129" i="1"/>
  <c r="AO128" i="1"/>
  <c r="AF128" i="1"/>
  <c r="AA128" i="1"/>
  <c r="Z128" i="1"/>
  <c r="AT128" i="1"/>
  <c r="U128" i="1"/>
  <c r="AN128" i="1"/>
  <c r="L128" i="1"/>
  <c r="A128" i="1"/>
  <c r="AO127" i="1"/>
  <c r="AF127" i="1"/>
  <c r="AA127" i="1"/>
  <c r="AB127" i="1"/>
  <c r="Z127" i="1"/>
  <c r="AT127" i="1"/>
  <c r="U127" i="1"/>
  <c r="AN127" i="1"/>
  <c r="L127" i="1"/>
  <c r="A127" i="1"/>
  <c r="AF126" i="1"/>
  <c r="AA126" i="1"/>
  <c r="AB126" i="1"/>
  <c r="AC126" i="1"/>
  <c r="AP126" i="1"/>
  <c r="Z126" i="1"/>
  <c r="AT126" i="1"/>
  <c r="U126" i="1"/>
  <c r="L126" i="1"/>
  <c r="A126" i="1"/>
  <c r="AF125" i="1"/>
  <c r="AA125" i="1"/>
  <c r="AB125" i="1"/>
  <c r="Z125" i="1"/>
  <c r="AT125" i="1"/>
  <c r="U125" i="1"/>
  <c r="L125" i="1"/>
  <c r="A125" i="1"/>
  <c r="AF124" i="1"/>
  <c r="AA124" i="1"/>
  <c r="AB124" i="1"/>
  <c r="AC124" i="1"/>
  <c r="Z124" i="1"/>
  <c r="AT124" i="1"/>
  <c r="U124" i="1"/>
  <c r="L124" i="1"/>
  <c r="A124" i="1"/>
  <c r="AF123" i="1"/>
  <c r="AA123" i="1"/>
  <c r="AB123" i="1"/>
  <c r="Z123" i="1"/>
  <c r="AT123" i="1"/>
  <c r="U123" i="1"/>
  <c r="L123" i="1"/>
  <c r="A123" i="1"/>
  <c r="AO122" i="1"/>
  <c r="AF122" i="1"/>
  <c r="AA122" i="1"/>
  <c r="AB122" i="1"/>
  <c r="AC122" i="1"/>
  <c r="AP122" i="1"/>
  <c r="Z122" i="1"/>
  <c r="AT122" i="1"/>
  <c r="U122" i="1"/>
  <c r="AN122" i="1"/>
  <c r="L122" i="1"/>
  <c r="A122" i="1"/>
  <c r="AO121" i="1"/>
  <c r="AF121" i="1"/>
  <c r="AA121" i="1"/>
  <c r="Z121" i="1"/>
  <c r="AT121" i="1"/>
  <c r="U121" i="1"/>
  <c r="AN121" i="1"/>
  <c r="L121" i="1"/>
  <c r="A121" i="1"/>
  <c r="AO120" i="1"/>
  <c r="AF120" i="1"/>
  <c r="AA120" i="1"/>
  <c r="AB120" i="1"/>
  <c r="AC120" i="1"/>
  <c r="Z120" i="1"/>
  <c r="AT120" i="1"/>
  <c r="U120" i="1"/>
  <c r="AN120" i="1"/>
  <c r="L120" i="1"/>
  <c r="A120" i="1"/>
  <c r="AO119" i="1"/>
  <c r="AF119" i="1"/>
  <c r="AA119" i="1"/>
  <c r="AB119" i="1"/>
  <c r="Z119" i="1"/>
  <c r="AT119" i="1"/>
  <c r="U119" i="1"/>
  <c r="AN119" i="1"/>
  <c r="L119" i="1"/>
  <c r="A119" i="1"/>
  <c r="AO100" i="1"/>
  <c r="AF100" i="1"/>
  <c r="AA100" i="1"/>
  <c r="Z100" i="1"/>
  <c r="AT100" i="1"/>
  <c r="U100" i="1"/>
  <c r="L100" i="1"/>
  <c r="A100" i="1"/>
  <c r="AO99" i="1"/>
  <c r="AF99" i="1"/>
  <c r="AA99" i="1"/>
  <c r="AB99" i="1"/>
  <c r="AC99" i="1"/>
  <c r="Z99" i="1"/>
  <c r="AT99" i="1"/>
  <c r="U99" i="1"/>
  <c r="AN99" i="1"/>
  <c r="L99" i="1"/>
  <c r="A99" i="1"/>
  <c r="AO98" i="1"/>
  <c r="AF98" i="1"/>
  <c r="AA98" i="1"/>
  <c r="AB98" i="1"/>
  <c r="AC98" i="1"/>
  <c r="Z98" i="1"/>
  <c r="AT98" i="1"/>
  <c r="U98" i="1"/>
  <c r="AN98" i="1"/>
  <c r="L98" i="1"/>
  <c r="A98" i="1"/>
  <c r="AO97" i="1"/>
  <c r="AF97" i="1"/>
  <c r="AA97" i="1"/>
  <c r="Z97" i="1"/>
  <c r="AT97" i="1"/>
  <c r="U97" i="1"/>
  <c r="L97" i="1"/>
  <c r="A97" i="1"/>
  <c r="AO96" i="1"/>
  <c r="AF96" i="1"/>
  <c r="AA96" i="1"/>
  <c r="AB96" i="1"/>
  <c r="AC96" i="1"/>
  <c r="Z96" i="1"/>
  <c r="AT96" i="1"/>
  <c r="U96" i="1"/>
  <c r="AN96" i="1"/>
  <c r="L96" i="1"/>
  <c r="A96" i="1"/>
  <c r="AO95" i="1"/>
  <c r="AF95" i="1"/>
  <c r="AA95" i="1"/>
  <c r="Z95" i="1"/>
  <c r="AT95" i="1"/>
  <c r="U95" i="1"/>
  <c r="AN95" i="1"/>
  <c r="L95" i="1"/>
  <c r="A95" i="1"/>
  <c r="AO94" i="1"/>
  <c r="AF94" i="1"/>
  <c r="AA94" i="1"/>
  <c r="AB94" i="1"/>
  <c r="Z94" i="1"/>
  <c r="AT94" i="1"/>
  <c r="U94" i="1"/>
  <c r="AN94" i="1"/>
  <c r="L94" i="1"/>
  <c r="A94" i="1"/>
  <c r="AO93" i="1"/>
  <c r="AF93" i="1"/>
  <c r="AA93" i="1"/>
  <c r="AB93" i="1"/>
  <c r="Z93" i="1"/>
  <c r="AT93" i="1"/>
  <c r="U93" i="1"/>
  <c r="AN93" i="1"/>
  <c r="L93" i="1"/>
  <c r="A93" i="1"/>
  <c r="AO92" i="1"/>
  <c r="AF92" i="1"/>
  <c r="AA92" i="1"/>
  <c r="AB92" i="1"/>
  <c r="Z92" i="1"/>
  <c r="AT92" i="1"/>
  <c r="U92" i="1"/>
  <c r="L92" i="1"/>
  <c r="A92" i="1"/>
  <c r="AO91" i="1"/>
  <c r="AF91" i="1"/>
  <c r="AA91" i="1"/>
  <c r="Z91" i="1"/>
  <c r="AT91" i="1"/>
  <c r="U91" i="1"/>
  <c r="AN91" i="1"/>
  <c r="L91" i="1"/>
  <c r="A91" i="1"/>
  <c r="AO90" i="1"/>
  <c r="AF90" i="1"/>
  <c r="AA90" i="1"/>
  <c r="Z90" i="1"/>
  <c r="AT90" i="1"/>
  <c r="U90" i="1"/>
  <c r="AN90" i="1"/>
  <c r="L90" i="1"/>
  <c r="A90" i="1"/>
  <c r="AO89" i="1"/>
  <c r="AF89" i="1"/>
  <c r="AA89" i="1"/>
  <c r="AB89" i="1"/>
  <c r="Z89" i="1"/>
  <c r="AT89" i="1"/>
  <c r="U89" i="1"/>
  <c r="L89" i="1"/>
  <c r="A89" i="1"/>
  <c r="AO88" i="1"/>
  <c r="AF88" i="1"/>
  <c r="AA88" i="1"/>
  <c r="Z88" i="1"/>
  <c r="AT88" i="1"/>
  <c r="U88" i="1"/>
  <c r="AN88" i="1"/>
  <c r="L88" i="1"/>
  <c r="A88" i="1"/>
  <c r="AO87" i="1"/>
  <c r="AF87" i="1"/>
  <c r="AA87" i="1"/>
  <c r="Z87" i="1"/>
  <c r="AT87" i="1"/>
  <c r="U87" i="1"/>
  <c r="L87" i="1"/>
  <c r="A87" i="1"/>
  <c r="AO86" i="1"/>
  <c r="AF86" i="1"/>
  <c r="AA86" i="1"/>
  <c r="AB86" i="1"/>
  <c r="Z86" i="1"/>
  <c r="AT86" i="1"/>
  <c r="U86" i="1"/>
  <c r="AN86" i="1"/>
  <c r="L86" i="1"/>
  <c r="A86" i="1"/>
  <c r="AO85" i="1"/>
  <c r="AF85" i="1"/>
  <c r="AA85" i="1"/>
  <c r="Z85" i="1"/>
  <c r="AT85" i="1"/>
  <c r="U85" i="1"/>
  <c r="AN85" i="1"/>
  <c r="L85" i="1"/>
  <c r="A85" i="1"/>
  <c r="AO54" i="1"/>
  <c r="AA54" i="1"/>
  <c r="Z54" i="1"/>
  <c r="AT54" i="1"/>
  <c r="U54" i="1"/>
  <c r="AN54" i="1"/>
  <c r="L54" i="1"/>
  <c r="A54" i="1"/>
  <c r="AO53" i="1"/>
  <c r="AA53" i="1"/>
  <c r="AB53" i="1"/>
  <c r="AC53" i="1"/>
  <c r="AP53" i="1"/>
  <c r="Z53" i="1"/>
  <c r="AT53" i="1"/>
  <c r="U53" i="1"/>
  <c r="AN53" i="1"/>
  <c r="L53" i="1"/>
  <c r="A53" i="1"/>
  <c r="AO52" i="1"/>
  <c r="AA52" i="1"/>
  <c r="Z52" i="1"/>
  <c r="AT52" i="1"/>
  <c r="U52" i="1"/>
  <c r="AN52" i="1"/>
  <c r="L52" i="1"/>
  <c r="A52" i="1"/>
  <c r="AO51" i="1"/>
  <c r="AA51" i="1"/>
  <c r="AB51" i="1"/>
  <c r="AC51" i="1"/>
  <c r="AP51" i="1"/>
  <c r="Z51" i="1"/>
  <c r="AT51" i="1"/>
  <c r="U51" i="1"/>
  <c r="AN51" i="1"/>
  <c r="L51" i="1"/>
  <c r="A51" i="1"/>
  <c r="AO50" i="1"/>
  <c r="AA50" i="1"/>
  <c r="Z50" i="1"/>
  <c r="AT50" i="1"/>
  <c r="U50" i="1"/>
  <c r="AN50" i="1"/>
  <c r="L50" i="1"/>
  <c r="A50" i="1"/>
  <c r="AO49" i="1"/>
  <c r="AA49" i="1"/>
  <c r="AB49" i="1"/>
  <c r="AC49" i="1"/>
  <c r="AP49" i="1"/>
  <c r="Z49" i="1"/>
  <c r="AT49" i="1"/>
  <c r="U49" i="1"/>
  <c r="AN49" i="1"/>
  <c r="L49" i="1"/>
  <c r="A49" i="1"/>
  <c r="AO48" i="1"/>
  <c r="AA48" i="1"/>
  <c r="Z48" i="1"/>
  <c r="AT48" i="1"/>
  <c r="U48" i="1"/>
  <c r="AN48" i="1"/>
  <c r="L48" i="1"/>
  <c r="A48" i="1"/>
  <c r="AO47" i="1"/>
  <c r="AA47" i="1"/>
  <c r="AB47" i="1"/>
  <c r="AC47" i="1"/>
  <c r="AP47" i="1"/>
  <c r="Z47" i="1"/>
  <c r="AT47" i="1"/>
  <c r="U47" i="1"/>
  <c r="AN47" i="1"/>
  <c r="L47" i="1"/>
  <c r="A47" i="1"/>
  <c r="AO46" i="1"/>
  <c r="AA46" i="1"/>
  <c r="Z46" i="1"/>
  <c r="AT46" i="1"/>
  <c r="U46" i="1"/>
  <c r="AN46" i="1"/>
  <c r="L46" i="1"/>
  <c r="A46" i="1"/>
  <c r="AO45" i="1"/>
  <c r="AA45" i="1"/>
  <c r="AB45" i="1"/>
  <c r="AC45" i="1"/>
  <c r="AP45" i="1"/>
  <c r="Z45" i="1"/>
  <c r="AT45" i="1"/>
  <c r="U45" i="1"/>
  <c r="AN45" i="1"/>
  <c r="L45" i="1"/>
  <c r="A45" i="1"/>
  <c r="AO44" i="1"/>
  <c r="AA44" i="1"/>
  <c r="Z44" i="1"/>
  <c r="AT44" i="1"/>
  <c r="U44" i="1"/>
  <c r="AN44" i="1"/>
  <c r="L44" i="1"/>
  <c r="A44" i="1"/>
  <c r="AO43" i="1"/>
  <c r="AA43" i="1"/>
  <c r="AB43" i="1"/>
  <c r="AC43" i="1"/>
  <c r="AP43" i="1"/>
  <c r="Z43" i="1"/>
  <c r="AT43" i="1"/>
  <c r="U43" i="1"/>
  <c r="AN43" i="1"/>
  <c r="L43" i="1"/>
  <c r="A43" i="1"/>
  <c r="AO42" i="1"/>
  <c r="AA42" i="1"/>
  <c r="AB42" i="1"/>
  <c r="Z42" i="1"/>
  <c r="AT42" i="1"/>
  <c r="U42" i="1"/>
  <c r="AN42" i="1"/>
  <c r="L42" i="1"/>
  <c r="A42" i="1"/>
  <c r="AO41" i="1"/>
  <c r="AA41" i="1"/>
  <c r="Z41" i="1"/>
  <c r="AT41" i="1"/>
  <c r="U41" i="1"/>
  <c r="AN41" i="1"/>
  <c r="L41" i="1"/>
  <c r="A41" i="1"/>
  <c r="AO40" i="1"/>
  <c r="AA40" i="1"/>
  <c r="AB40" i="1"/>
  <c r="Z40" i="1"/>
  <c r="AT40" i="1"/>
  <c r="U40" i="1"/>
  <c r="AN40" i="1"/>
  <c r="L40" i="1"/>
  <c r="A40" i="1"/>
  <c r="AO39" i="1"/>
  <c r="AA39" i="1"/>
  <c r="Z39" i="1"/>
  <c r="AT39" i="1"/>
  <c r="U39" i="1"/>
  <c r="AN39" i="1"/>
  <c r="L39" i="1"/>
  <c r="A39" i="1"/>
  <c r="AO38" i="1"/>
  <c r="AA38" i="1"/>
  <c r="Z38" i="1"/>
  <c r="AT38" i="1"/>
  <c r="U38" i="1"/>
  <c r="AN38" i="1"/>
  <c r="L38" i="1"/>
  <c r="A38" i="1"/>
  <c r="AO37" i="1"/>
  <c r="AA37" i="1"/>
  <c r="Z37" i="1"/>
  <c r="AT37" i="1"/>
  <c r="U37" i="1"/>
  <c r="AN37" i="1"/>
  <c r="L37" i="1"/>
  <c r="A37" i="1"/>
  <c r="AO36" i="1"/>
  <c r="AA36" i="1"/>
  <c r="AB36" i="1"/>
  <c r="Z36" i="1"/>
  <c r="AT36" i="1"/>
  <c r="U36" i="1"/>
  <c r="AN36" i="1"/>
  <c r="L36" i="1"/>
  <c r="A36" i="1"/>
  <c r="AO35" i="1"/>
  <c r="AA35" i="1"/>
  <c r="Z35" i="1"/>
  <c r="AT35" i="1"/>
  <c r="U35" i="1"/>
  <c r="AN35" i="1"/>
  <c r="L35" i="1"/>
  <c r="A35" i="1"/>
  <c r="AO34" i="1"/>
  <c r="AA34" i="1"/>
  <c r="Z34" i="1"/>
  <c r="AT34" i="1"/>
  <c r="U34" i="1"/>
  <c r="AN34" i="1"/>
  <c r="L34" i="1"/>
  <c r="A34" i="1"/>
  <c r="AO33" i="1"/>
  <c r="AA33" i="1"/>
  <c r="Z33" i="1"/>
  <c r="AT33" i="1"/>
  <c r="U33" i="1"/>
  <c r="AN33" i="1"/>
  <c r="L33" i="1"/>
  <c r="A33" i="1"/>
  <c r="AO32" i="1"/>
  <c r="AA32" i="1"/>
  <c r="AB32" i="1"/>
  <c r="Z32" i="1"/>
  <c r="AT32" i="1"/>
  <c r="U32" i="1"/>
  <c r="AN32" i="1"/>
  <c r="L32" i="1"/>
  <c r="A32" i="1"/>
  <c r="AO31" i="1"/>
  <c r="AA31" i="1"/>
  <c r="Z31" i="1"/>
  <c r="AT31" i="1"/>
  <c r="U31" i="1"/>
  <c r="AN31" i="1"/>
  <c r="L31" i="1"/>
  <c r="A31" i="1"/>
  <c r="AO14" i="1"/>
  <c r="AA14" i="1"/>
  <c r="Z14" i="1"/>
  <c r="AT14" i="1"/>
  <c r="U14" i="1"/>
  <c r="AN14" i="1"/>
  <c r="L14" i="1"/>
  <c r="A14" i="1"/>
  <c r="AO13" i="1"/>
  <c r="AA13" i="1"/>
  <c r="AB13" i="1"/>
  <c r="Z13" i="1"/>
  <c r="AT13" i="1"/>
  <c r="U13" i="1"/>
  <c r="AN13" i="1"/>
  <c r="L13" i="1"/>
  <c r="A13" i="1"/>
  <c r="AO12" i="1"/>
  <c r="AA12" i="1"/>
  <c r="Z12" i="1"/>
  <c r="AT12" i="1"/>
  <c r="U12" i="1"/>
  <c r="AN12" i="1"/>
  <c r="L12" i="1"/>
  <c r="A12" i="1"/>
  <c r="AO11" i="1"/>
  <c r="AA11" i="1"/>
  <c r="AB11" i="1"/>
  <c r="AC11" i="1"/>
  <c r="AP11" i="1"/>
  <c r="Z11" i="1"/>
  <c r="AT11" i="1"/>
  <c r="U11" i="1"/>
  <c r="AN11" i="1"/>
  <c r="L11" i="1"/>
  <c r="A11" i="1"/>
  <c r="AO10" i="1"/>
  <c r="AA10" i="1"/>
  <c r="Z10" i="1"/>
  <c r="AT10" i="1"/>
  <c r="U10" i="1"/>
  <c r="AN10" i="1"/>
  <c r="L10" i="1"/>
  <c r="AO9" i="1"/>
  <c r="AA9" i="1"/>
  <c r="AB9" i="1"/>
  <c r="Z9" i="1"/>
  <c r="AT9" i="1"/>
  <c r="U9" i="1"/>
  <c r="AN9" i="1"/>
  <c r="L9" i="1"/>
  <c r="AO8" i="1"/>
  <c r="AA8" i="1"/>
  <c r="Z8" i="1"/>
  <c r="AT8" i="1"/>
  <c r="U8" i="1"/>
  <c r="AN8" i="1"/>
  <c r="L8" i="1"/>
  <c r="A8" i="1"/>
  <c r="AO7" i="1"/>
  <c r="AA7" i="1"/>
  <c r="Z7" i="1"/>
  <c r="AT7" i="1"/>
  <c r="U7" i="1"/>
  <c r="AN7" i="1"/>
  <c r="L7" i="1"/>
  <c r="A7" i="1"/>
  <c r="A17" i="1"/>
  <c r="A18" i="1"/>
  <c r="A19" i="1"/>
  <c r="A20" i="1"/>
  <c r="A21" i="1"/>
  <c r="A22" i="1"/>
  <c r="A23" i="1"/>
  <c r="A24" i="1"/>
  <c r="A25" i="1"/>
  <c r="A26" i="1"/>
  <c r="A27" i="1"/>
  <c r="A28" i="1"/>
  <c r="A29" i="1"/>
  <c r="A30"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101" i="1"/>
  <c r="A102" i="1"/>
  <c r="A103" i="1"/>
  <c r="A104" i="1"/>
  <c r="A105" i="1"/>
  <c r="A106" i="1"/>
  <c r="A107" i="1"/>
  <c r="A108" i="1"/>
  <c r="A109" i="1"/>
  <c r="A110" i="1"/>
  <c r="A111" i="1"/>
  <c r="A112" i="1"/>
  <c r="A113" i="1"/>
  <c r="A114" i="1"/>
  <c r="A115" i="1"/>
  <c r="A116" i="1"/>
  <c r="A117" i="1"/>
  <c r="A118" i="1"/>
  <c r="A151" i="1"/>
  <c r="A152" i="1"/>
  <c r="A153" i="1"/>
  <c r="A154" i="1"/>
  <c r="A155" i="1"/>
  <c r="A156" i="1"/>
  <c r="A157" i="1"/>
  <c r="A158" i="1"/>
  <c r="A159" i="1"/>
  <c r="A160" i="1"/>
  <c r="A161" i="1"/>
  <c r="A162" i="1"/>
  <c r="A163" i="1"/>
  <c r="A164" i="1"/>
  <c r="A165" i="1"/>
  <c r="A166" i="1"/>
  <c r="A4" i="1"/>
  <c r="A5" i="1"/>
  <c r="A6" i="1"/>
  <c r="A15" i="1"/>
  <c r="A16" i="1"/>
  <c r="A3" i="1"/>
  <c r="AA4" i="1"/>
  <c r="AB4" i="1"/>
  <c r="AC4" i="1"/>
  <c r="AA5" i="1"/>
  <c r="AB5" i="1"/>
  <c r="AA6" i="1"/>
  <c r="AB6" i="1"/>
  <c r="AA15" i="1"/>
  <c r="AB15" i="1"/>
  <c r="AA16" i="1"/>
  <c r="AC16" i="1"/>
  <c r="AA17" i="1"/>
  <c r="AC17" i="1"/>
  <c r="AA18" i="1"/>
  <c r="AC18" i="1"/>
  <c r="AA19" i="1"/>
  <c r="AA20" i="1"/>
  <c r="AA21" i="1"/>
  <c r="AB21" i="1"/>
  <c r="AC21" i="1"/>
  <c r="AA22" i="1"/>
  <c r="AB22" i="1"/>
  <c r="AA23" i="1"/>
  <c r="AB23" i="1"/>
  <c r="AA24" i="1"/>
  <c r="AB24" i="1"/>
  <c r="AC24" i="1"/>
  <c r="AA25" i="1"/>
  <c r="AA26" i="1"/>
  <c r="AB26" i="1"/>
  <c r="AC26" i="1"/>
  <c r="AA27" i="1"/>
  <c r="AA28" i="1"/>
  <c r="AA29" i="1"/>
  <c r="AB29" i="1"/>
  <c r="AC29" i="1"/>
  <c r="AA30" i="1"/>
  <c r="AB30" i="1"/>
  <c r="AA55" i="1"/>
  <c r="AB55" i="1"/>
  <c r="AA56" i="1"/>
  <c r="AB56" i="1"/>
  <c r="AC56" i="1"/>
  <c r="AA57" i="1"/>
  <c r="AA58" i="1"/>
  <c r="AB58" i="1"/>
  <c r="AC58" i="1"/>
  <c r="AA59" i="1"/>
  <c r="AC59" i="1"/>
  <c r="AA60" i="1"/>
  <c r="AC60" i="1"/>
  <c r="AA61" i="1"/>
  <c r="AB61" i="1"/>
  <c r="AA62" i="1"/>
  <c r="AB62" i="1"/>
  <c r="AA63" i="1"/>
  <c r="AC63" i="1"/>
  <c r="AA64" i="1"/>
  <c r="AB64" i="1"/>
  <c r="AA65" i="1"/>
  <c r="AC65" i="1"/>
  <c r="AA66" i="1"/>
  <c r="AB66" i="1"/>
  <c r="AA67" i="1"/>
  <c r="AC67" i="1"/>
  <c r="AA68" i="1"/>
  <c r="AC68" i="1"/>
  <c r="AA69" i="1"/>
  <c r="AB69" i="1"/>
  <c r="AA70" i="1"/>
  <c r="AB70" i="1"/>
  <c r="AA71" i="1"/>
  <c r="AC71" i="1"/>
  <c r="AA72" i="1"/>
  <c r="AB72" i="1"/>
  <c r="AA73" i="1"/>
  <c r="AC73" i="1"/>
  <c r="AA74" i="1"/>
  <c r="AC74" i="1"/>
  <c r="AA75" i="1"/>
  <c r="AC75" i="1"/>
  <c r="AA76" i="1"/>
  <c r="AC76" i="1"/>
  <c r="AA77" i="1"/>
  <c r="AB77" i="1"/>
  <c r="AC77" i="1"/>
  <c r="AA78" i="1"/>
  <c r="AB78" i="1"/>
  <c r="AA79" i="1"/>
  <c r="AB79" i="1"/>
  <c r="AA80" i="1"/>
  <c r="AB80" i="1"/>
  <c r="AC80" i="1"/>
  <c r="AA81" i="1"/>
  <c r="AA82" i="1"/>
  <c r="AB82" i="1"/>
  <c r="AC82" i="1"/>
  <c r="AA83" i="1"/>
  <c r="AA84" i="1"/>
  <c r="AA101" i="1"/>
  <c r="AB101" i="1"/>
  <c r="AA102" i="1"/>
  <c r="AB102" i="1"/>
  <c r="AA103" i="1"/>
  <c r="AC103" i="1"/>
  <c r="AA104" i="1"/>
  <c r="AB104" i="1"/>
  <c r="AA105" i="1"/>
  <c r="AC105" i="1"/>
  <c r="AA106" i="1"/>
  <c r="AB106" i="1"/>
  <c r="AA107" i="1"/>
  <c r="AC107" i="1"/>
  <c r="AA108" i="1"/>
  <c r="AC108" i="1"/>
  <c r="AA109" i="1"/>
  <c r="AB109" i="1"/>
  <c r="AA110" i="1"/>
  <c r="AB110" i="1"/>
  <c r="AA111" i="1"/>
  <c r="AC111" i="1"/>
  <c r="AA112" i="1"/>
  <c r="AB112" i="1"/>
  <c r="AA113" i="1"/>
  <c r="AC113" i="1"/>
  <c r="AA114" i="1"/>
  <c r="AC114" i="1"/>
  <c r="AA115" i="1"/>
  <c r="AC115" i="1"/>
  <c r="AA116" i="1"/>
  <c r="AC116" i="1"/>
  <c r="AA117" i="1"/>
  <c r="AB117" i="1"/>
  <c r="AA118" i="1"/>
  <c r="AB118" i="1"/>
  <c r="AA151" i="1"/>
  <c r="AB151" i="1"/>
  <c r="AA152" i="1"/>
  <c r="AB152" i="1"/>
  <c r="AC152" i="1"/>
  <c r="AA153" i="1"/>
  <c r="AA154" i="1"/>
  <c r="AB154" i="1"/>
  <c r="AC154" i="1"/>
  <c r="AA155" i="1"/>
  <c r="AA156" i="1"/>
  <c r="AA157" i="1"/>
  <c r="AB157" i="1"/>
  <c r="AC157" i="1"/>
  <c r="AA158" i="1"/>
  <c r="AB158" i="1"/>
  <c r="AA159" i="1"/>
  <c r="AB159" i="1"/>
  <c r="AA160" i="1"/>
  <c r="AB160" i="1"/>
  <c r="AC160" i="1"/>
  <c r="AA161" i="1"/>
  <c r="AA162" i="1"/>
  <c r="AB162" i="1"/>
  <c r="AC162" i="1"/>
  <c r="AA163" i="1"/>
  <c r="AA164" i="1"/>
  <c r="AA165" i="1"/>
  <c r="AB165" i="1"/>
  <c r="AC165" i="1"/>
  <c r="AA166" i="1"/>
  <c r="AB166" i="1"/>
  <c r="AA3" i="1"/>
  <c r="AB3" i="1"/>
  <c r="AN126" i="1"/>
  <c r="W126" i="1"/>
  <c r="AO126" i="1"/>
  <c r="AN142" i="1"/>
  <c r="W142" i="1"/>
  <c r="AO142" i="1"/>
  <c r="AN125" i="1"/>
  <c r="W125" i="1"/>
  <c r="AO125" i="1"/>
  <c r="AN141" i="1"/>
  <c r="W141" i="1"/>
  <c r="AO141" i="1"/>
  <c r="AN124" i="1"/>
  <c r="W124" i="1"/>
  <c r="AO124" i="1"/>
  <c r="AN140" i="1"/>
  <c r="W140" i="1"/>
  <c r="AO140" i="1"/>
  <c r="AN139" i="1"/>
  <c r="W139" i="1"/>
  <c r="AO139" i="1"/>
  <c r="AN123" i="1"/>
  <c r="W123" i="1"/>
  <c r="AO123" i="1"/>
  <c r="AB37" i="1"/>
  <c r="AC37" i="1"/>
  <c r="AB88" i="1"/>
  <c r="AC88" i="1"/>
  <c r="AB146" i="1"/>
  <c r="AC146" i="1"/>
  <c r="AB136" i="1"/>
  <c r="AC136" i="1"/>
  <c r="AB8" i="1"/>
  <c r="AC8" i="1"/>
  <c r="AB31" i="1"/>
  <c r="AC31" i="1"/>
  <c r="AB35" i="1"/>
  <c r="AC35" i="1"/>
  <c r="AB39" i="1"/>
  <c r="AC39" i="1"/>
  <c r="AB85" i="1"/>
  <c r="AC85" i="1"/>
  <c r="AB150" i="1"/>
  <c r="AC150" i="1"/>
  <c r="AB33" i="1"/>
  <c r="AC33" i="1"/>
  <c r="AB87" i="1"/>
  <c r="AC87" i="1"/>
  <c r="AB7" i="1"/>
  <c r="AC7" i="1"/>
  <c r="AB10" i="1"/>
  <c r="AC10" i="1"/>
  <c r="AB34" i="1"/>
  <c r="AC34" i="1"/>
  <c r="AB38" i="1"/>
  <c r="AC38" i="1"/>
  <c r="AB91" i="1"/>
  <c r="AC91" i="1"/>
  <c r="AB149" i="1"/>
  <c r="AC149" i="1"/>
  <c r="AB41" i="1"/>
  <c r="AC41" i="1"/>
  <c r="AB90" i="1"/>
  <c r="AC90" i="1"/>
  <c r="AB140" i="1"/>
  <c r="AC140" i="1"/>
  <c r="AB148" i="1"/>
  <c r="AC148" i="1"/>
  <c r="AC135" i="1"/>
  <c r="AP135" i="1"/>
  <c r="AC139" i="1"/>
  <c r="AC145" i="1"/>
  <c r="AP145" i="1"/>
  <c r="AC138" i="1"/>
  <c r="AP138" i="1"/>
  <c r="AC142" i="1"/>
  <c r="A9" i="1"/>
  <c r="A10" i="1"/>
  <c r="AC119" i="1"/>
  <c r="AP119" i="1"/>
  <c r="P126" i="1"/>
  <c r="AC143" i="1"/>
  <c r="P122" i="1"/>
  <c r="AC93" i="1"/>
  <c r="AP93" i="1"/>
  <c r="AC137" i="1"/>
  <c r="AC141" i="1"/>
  <c r="AC144" i="1"/>
  <c r="AP144" i="1"/>
  <c r="AC147" i="1"/>
  <c r="AN150" i="1"/>
  <c r="AC127" i="1"/>
  <c r="AP127" i="1"/>
  <c r="AC123" i="1"/>
  <c r="AP123" i="1"/>
  <c r="AP130" i="1"/>
  <c r="P130" i="1"/>
  <c r="AP124" i="1"/>
  <c r="P124" i="1"/>
  <c r="P99" i="1"/>
  <c r="AP99" i="1"/>
  <c r="AP98" i="1"/>
  <c r="P98" i="1"/>
  <c r="AP120" i="1"/>
  <c r="P120" i="1"/>
  <c r="AP96" i="1"/>
  <c r="P96" i="1"/>
  <c r="AN100" i="1"/>
  <c r="AN87" i="1"/>
  <c r="AB128" i="1"/>
  <c r="AC128" i="1"/>
  <c r="AC94" i="1"/>
  <c r="AP94" i="1"/>
  <c r="AC106" i="1"/>
  <c r="AN89" i="1"/>
  <c r="AN97" i="1"/>
  <c r="P129" i="1"/>
  <c r="AN92" i="1"/>
  <c r="AC86" i="1"/>
  <c r="AB97" i="1"/>
  <c r="AC97" i="1"/>
  <c r="AB121" i="1"/>
  <c r="AC121" i="1"/>
  <c r="AB131" i="1"/>
  <c r="AC131" i="1"/>
  <c r="AC89" i="1"/>
  <c r="AP89" i="1"/>
  <c r="AC92" i="1"/>
  <c r="AB100" i="1"/>
  <c r="AC100" i="1"/>
  <c r="AC125" i="1"/>
  <c r="P133" i="1"/>
  <c r="AB134" i="1"/>
  <c r="AC134" i="1"/>
  <c r="AB95" i="1"/>
  <c r="AC95" i="1"/>
  <c r="AN134" i="1"/>
  <c r="AB132" i="1"/>
  <c r="AC132" i="1"/>
  <c r="AB44" i="1"/>
  <c r="AC44" i="1"/>
  <c r="AB48" i="1"/>
  <c r="AC48" i="1"/>
  <c r="AB52" i="1"/>
  <c r="AC52" i="1"/>
  <c r="AC72" i="1"/>
  <c r="P43" i="1"/>
  <c r="P47" i="1"/>
  <c r="P51" i="1"/>
  <c r="AC66" i="1"/>
  <c r="AB114" i="1"/>
  <c r="AB46" i="1"/>
  <c r="AC46" i="1"/>
  <c r="AB50" i="1"/>
  <c r="AC50" i="1"/>
  <c r="AB54" i="1"/>
  <c r="AC54" i="1"/>
  <c r="P45" i="1"/>
  <c r="P49" i="1"/>
  <c r="P53" i="1"/>
  <c r="AC117" i="1"/>
  <c r="AC69" i="1"/>
  <c r="AC32" i="1"/>
  <c r="AP32" i="1"/>
  <c r="AC36" i="1"/>
  <c r="AC40" i="1"/>
  <c r="AC112" i="1"/>
  <c r="AB111" i="1"/>
  <c r="AB74" i="1"/>
  <c r="AC109" i="1"/>
  <c r="AC64" i="1"/>
  <c r="AB71" i="1"/>
  <c r="AC61" i="1"/>
  <c r="AC13" i="1"/>
  <c r="AP13" i="1"/>
  <c r="AC104" i="1"/>
  <c r="AC15" i="1"/>
  <c r="AC42" i="1"/>
  <c r="AC3" i="1"/>
  <c r="AC159" i="1"/>
  <c r="AC151" i="1"/>
  <c r="AC79" i="1"/>
  <c r="AC55" i="1"/>
  <c r="AC23" i="1"/>
  <c r="AB103" i="1"/>
  <c r="AC101" i="1"/>
  <c r="AB63" i="1"/>
  <c r="AB164" i="1"/>
  <c r="AC164" i="1"/>
  <c r="AB156" i="1"/>
  <c r="AC156" i="1"/>
  <c r="AB116" i="1"/>
  <c r="AB108" i="1"/>
  <c r="AB84" i="1"/>
  <c r="AC84" i="1"/>
  <c r="AB76" i="1"/>
  <c r="AB68" i="1"/>
  <c r="AB60" i="1"/>
  <c r="AB28" i="1"/>
  <c r="AC28" i="1"/>
  <c r="AB19" i="1"/>
  <c r="AC19" i="1"/>
  <c r="AC6" i="1"/>
  <c r="AC9" i="1"/>
  <c r="AB163" i="1"/>
  <c r="AC163" i="1"/>
  <c r="AB155" i="1"/>
  <c r="AC155" i="1"/>
  <c r="AB115" i="1"/>
  <c r="AB107" i="1"/>
  <c r="AB83" i="1"/>
  <c r="AC83" i="1"/>
  <c r="AB75" i="1"/>
  <c r="AB67" i="1"/>
  <c r="AB59" i="1"/>
  <c r="AB27" i="1"/>
  <c r="AC27" i="1"/>
  <c r="AB18" i="1"/>
  <c r="AC166" i="1"/>
  <c r="AC158" i="1"/>
  <c r="AC118" i="1"/>
  <c r="AC110" i="1"/>
  <c r="AC102" i="1"/>
  <c r="AC78" i="1"/>
  <c r="AC70" i="1"/>
  <c r="AC62" i="1"/>
  <c r="AC30" i="1"/>
  <c r="AC22" i="1"/>
  <c r="AC5" i="1"/>
  <c r="AB161" i="1"/>
  <c r="AC161" i="1"/>
  <c r="AB153" i="1"/>
  <c r="AC153" i="1"/>
  <c r="AB113" i="1"/>
  <c r="AB105" i="1"/>
  <c r="AB81" i="1"/>
  <c r="AC81" i="1"/>
  <c r="AB73" i="1"/>
  <c r="AB65" i="1"/>
  <c r="AB57" i="1"/>
  <c r="AC57" i="1"/>
  <c r="AB25" i="1"/>
  <c r="AC25" i="1"/>
  <c r="AB16" i="1"/>
  <c r="AB12" i="1"/>
  <c r="AB17" i="1"/>
  <c r="P11" i="1"/>
  <c r="AB14" i="1"/>
  <c r="AC14" i="1"/>
  <c r="AB20" i="1"/>
  <c r="AC20" i="1"/>
  <c r="P139" i="1"/>
  <c r="Q139" i="1"/>
  <c r="AP149" i="1"/>
  <c r="P149" i="1"/>
  <c r="AP148" i="1"/>
  <c r="P148" i="1"/>
  <c r="Q148" i="1"/>
  <c r="AP150" i="1"/>
  <c r="P150" i="1"/>
  <c r="AP88" i="1"/>
  <c r="P88" i="1"/>
  <c r="Q88" i="1"/>
  <c r="AP10" i="1"/>
  <c r="P10" i="1"/>
  <c r="AP31" i="1"/>
  <c r="P31" i="1"/>
  <c r="Q31" i="1"/>
  <c r="P94" i="1"/>
  <c r="AP7" i="1"/>
  <c r="P7" i="1"/>
  <c r="P8" i="1"/>
  <c r="Q8" i="1"/>
  <c r="AP8" i="1"/>
  <c r="AP38" i="1"/>
  <c r="P38" i="1"/>
  <c r="AP146" i="1"/>
  <c r="P146" i="1"/>
  <c r="AP33" i="1"/>
  <c r="P33" i="1"/>
  <c r="Q33" i="1"/>
  <c r="AP85" i="1"/>
  <c r="P85" i="1"/>
  <c r="P91" i="1"/>
  <c r="AP91" i="1"/>
  <c r="P34" i="1"/>
  <c r="Q34" i="1"/>
  <c r="AP34" i="1"/>
  <c r="AP140" i="1"/>
  <c r="P140" i="1"/>
  <c r="Q140" i="1"/>
  <c r="AP39" i="1"/>
  <c r="P39" i="1"/>
  <c r="AP41" i="1"/>
  <c r="P41" i="1"/>
  <c r="AP87" i="1"/>
  <c r="P87" i="1"/>
  <c r="AP136" i="1"/>
  <c r="P136" i="1"/>
  <c r="Q136" i="1"/>
  <c r="AP90" i="1"/>
  <c r="P90" i="1"/>
  <c r="AP35" i="1"/>
  <c r="P35" i="1"/>
  <c r="AP37" i="1"/>
  <c r="P37" i="1"/>
  <c r="Q51" i="1"/>
  <c r="Q47" i="1"/>
  <c r="Q99" i="1"/>
  <c r="Q146" i="1"/>
  <c r="Q126" i="1"/>
  <c r="Q124" i="1"/>
  <c r="Q43" i="1"/>
  <c r="Q53" i="1"/>
  <c r="Q133" i="1"/>
  <c r="Q120" i="1"/>
  <c r="Q130" i="1"/>
  <c r="Q10" i="1"/>
  <c r="Q49" i="1"/>
  <c r="Q45" i="1"/>
  <c r="Q11" i="1"/>
  <c r="Q149" i="1"/>
  <c r="Q129" i="1"/>
  <c r="Q96" i="1"/>
  <c r="Q98" i="1"/>
  <c r="Q87" i="1"/>
  <c r="Q37" i="1"/>
  <c r="Q122" i="1"/>
  <c r="P119" i="1"/>
  <c r="P145" i="1"/>
  <c r="P127" i="1"/>
  <c r="P135" i="1"/>
  <c r="P144" i="1"/>
  <c r="AP142" i="1"/>
  <c r="P142" i="1"/>
  <c r="AC12" i="1"/>
  <c r="P12" i="1"/>
  <c r="Q7" i="1"/>
  <c r="P123" i="1"/>
  <c r="AP139" i="1"/>
  <c r="AP9" i="1"/>
  <c r="P138" i="1"/>
  <c r="P141" i="1"/>
  <c r="AP141" i="1"/>
  <c r="P137" i="1"/>
  <c r="AP137" i="1"/>
  <c r="P147" i="1"/>
  <c r="AP147" i="1"/>
  <c r="P93" i="1"/>
  <c r="AP143" i="1"/>
  <c r="P143" i="1"/>
  <c r="AP128" i="1"/>
  <c r="P128" i="1"/>
  <c r="AP134" i="1"/>
  <c r="P134" i="1"/>
  <c r="AP86" i="1"/>
  <c r="P86" i="1"/>
  <c r="AP97" i="1"/>
  <c r="P97" i="1"/>
  <c r="AP100" i="1"/>
  <c r="P100" i="1"/>
  <c r="AP92" i="1"/>
  <c r="P92" i="1"/>
  <c r="AP95" i="1"/>
  <c r="P95" i="1"/>
  <c r="P131" i="1"/>
  <c r="AP131" i="1"/>
  <c r="AP121" i="1"/>
  <c r="P121" i="1"/>
  <c r="P125" i="1"/>
  <c r="AP125" i="1"/>
  <c r="P132" i="1"/>
  <c r="AP132" i="1"/>
  <c r="P13" i="1"/>
  <c r="P89" i="1"/>
  <c r="AP48" i="1"/>
  <c r="P48" i="1"/>
  <c r="AP46" i="1"/>
  <c r="P46" i="1"/>
  <c r="P54" i="1"/>
  <c r="AP54" i="1"/>
  <c r="AP44" i="1"/>
  <c r="P44" i="1"/>
  <c r="P50" i="1"/>
  <c r="AP50" i="1"/>
  <c r="P32" i="1"/>
  <c r="AP52" i="1"/>
  <c r="P52" i="1"/>
  <c r="AP40" i="1"/>
  <c r="P40" i="1"/>
  <c r="P42" i="1"/>
  <c r="AP42" i="1"/>
  <c r="AP36" i="1"/>
  <c r="P36" i="1"/>
  <c r="AP14" i="1"/>
  <c r="P14" i="1"/>
  <c r="P9" i="1"/>
  <c r="AL34" i="1"/>
  <c r="CN34" i="1"/>
  <c r="CO34" i="1"/>
  <c r="CP34" i="1"/>
  <c r="CQ34" i="1"/>
  <c r="CR34" i="1"/>
  <c r="CS34" i="1"/>
  <c r="CT34" i="1"/>
  <c r="CU34" i="1"/>
  <c r="AL88" i="1"/>
  <c r="CN88" i="1"/>
  <c r="CO88" i="1"/>
  <c r="CQ88" i="1"/>
  <c r="CR88" i="1"/>
  <c r="CP88" i="1"/>
  <c r="CS88" i="1"/>
  <c r="CT88" i="1"/>
  <c r="CU88" i="1"/>
  <c r="AL96" i="1"/>
  <c r="CR96" i="1"/>
  <c r="CS96" i="1"/>
  <c r="CT96" i="1"/>
  <c r="CU96" i="1"/>
  <c r="CN96" i="1"/>
  <c r="CO96" i="1"/>
  <c r="CP96" i="1"/>
  <c r="CQ96" i="1"/>
  <c r="CW96" i="1"/>
  <c r="AL10" i="1"/>
  <c r="CN10" i="1"/>
  <c r="CO10" i="1"/>
  <c r="CP10" i="1"/>
  <c r="CQ10" i="1"/>
  <c r="CR10" i="1"/>
  <c r="CS10" i="1"/>
  <c r="CT10" i="1"/>
  <c r="CU10" i="1"/>
  <c r="AL124" i="1"/>
  <c r="CR124" i="1"/>
  <c r="CS124" i="1"/>
  <c r="CT124" i="1"/>
  <c r="CU124" i="1"/>
  <c r="CN124" i="1"/>
  <c r="CO124" i="1"/>
  <c r="CP124" i="1"/>
  <c r="CQ124" i="1"/>
  <c r="CW124" i="1"/>
  <c r="AL7" i="1"/>
  <c r="CN7" i="1"/>
  <c r="CO7" i="1"/>
  <c r="CP7" i="1"/>
  <c r="CQ7" i="1"/>
  <c r="CR7" i="1"/>
  <c r="CS7" i="1"/>
  <c r="CT7" i="1"/>
  <c r="CU7" i="1"/>
  <c r="AL122" i="1"/>
  <c r="CR122" i="1"/>
  <c r="CS122" i="1"/>
  <c r="CT122" i="1"/>
  <c r="CU122" i="1"/>
  <c r="CN122" i="1"/>
  <c r="CO122" i="1"/>
  <c r="CP122" i="1"/>
  <c r="CQ122" i="1"/>
  <c r="CW122" i="1"/>
  <c r="AL129" i="1"/>
  <c r="CR129" i="1"/>
  <c r="CS129" i="1"/>
  <c r="CT129" i="1"/>
  <c r="CU129" i="1"/>
  <c r="CN129" i="1"/>
  <c r="CO129" i="1"/>
  <c r="CP129" i="1"/>
  <c r="CQ129" i="1"/>
  <c r="CW129" i="1"/>
  <c r="AL130" i="1"/>
  <c r="CR130" i="1"/>
  <c r="CS130" i="1"/>
  <c r="CT130" i="1"/>
  <c r="CU130" i="1"/>
  <c r="CN130" i="1"/>
  <c r="CO130" i="1"/>
  <c r="CP130" i="1"/>
  <c r="CQ130" i="1"/>
  <c r="CW130" i="1"/>
  <c r="AL126" i="1"/>
  <c r="CR126" i="1"/>
  <c r="CS126" i="1"/>
  <c r="CT126" i="1"/>
  <c r="CU126" i="1"/>
  <c r="CN126" i="1"/>
  <c r="CO126" i="1"/>
  <c r="CP126" i="1"/>
  <c r="CQ126" i="1"/>
  <c r="AL136" i="1"/>
  <c r="CR136" i="1"/>
  <c r="CT136" i="1"/>
  <c r="CU136" i="1"/>
  <c r="CN136" i="1"/>
  <c r="CO136" i="1"/>
  <c r="CP136" i="1"/>
  <c r="CQ136" i="1"/>
  <c r="CS136" i="1"/>
  <c r="AL149" i="1"/>
  <c r="CR149" i="1"/>
  <c r="CO149" i="1"/>
  <c r="CP149" i="1"/>
  <c r="CS149" i="1"/>
  <c r="CT149" i="1"/>
  <c r="CU149" i="1"/>
  <c r="CQ149" i="1"/>
  <c r="CN149" i="1"/>
  <c r="AL120" i="1"/>
  <c r="CR120" i="1"/>
  <c r="CS120" i="1"/>
  <c r="CT120" i="1"/>
  <c r="CU120" i="1"/>
  <c r="CN120" i="1"/>
  <c r="CO120" i="1"/>
  <c r="CP120" i="1"/>
  <c r="CQ120" i="1"/>
  <c r="AL146" i="1"/>
  <c r="CR146" i="1"/>
  <c r="CN146" i="1"/>
  <c r="CO146" i="1"/>
  <c r="CP146" i="1"/>
  <c r="CQ146" i="1"/>
  <c r="CS146" i="1"/>
  <c r="CT146" i="1"/>
  <c r="CU146" i="1"/>
  <c r="AL31" i="1"/>
  <c r="CN31" i="1"/>
  <c r="CO31" i="1"/>
  <c r="CP31" i="1"/>
  <c r="CV31" i="1"/>
  <c r="CQ31" i="1"/>
  <c r="CR31" i="1"/>
  <c r="CS31" i="1"/>
  <c r="CT31" i="1"/>
  <c r="CU31" i="1"/>
  <c r="AL133" i="1"/>
  <c r="CR133" i="1"/>
  <c r="CS133" i="1"/>
  <c r="CT133" i="1"/>
  <c r="CU133" i="1"/>
  <c r="CN133" i="1"/>
  <c r="CO133" i="1"/>
  <c r="CP133" i="1"/>
  <c r="CQ133" i="1"/>
  <c r="AL99" i="1"/>
  <c r="CR99" i="1"/>
  <c r="CS99" i="1"/>
  <c r="CT99" i="1"/>
  <c r="CU99" i="1"/>
  <c r="CN99" i="1"/>
  <c r="CO99" i="1"/>
  <c r="CP99" i="1"/>
  <c r="CQ99" i="1"/>
  <c r="CW99" i="1"/>
  <c r="AL37" i="1"/>
  <c r="CN37" i="1"/>
  <c r="CV37" i="1"/>
  <c r="CO37" i="1"/>
  <c r="CP37" i="1"/>
  <c r="CQ37" i="1"/>
  <c r="CR37" i="1"/>
  <c r="CS37" i="1"/>
  <c r="CT37" i="1"/>
  <c r="CU37" i="1"/>
  <c r="AL11" i="1"/>
  <c r="CN11" i="1"/>
  <c r="CO11" i="1"/>
  <c r="CP11" i="1"/>
  <c r="CQ11" i="1"/>
  <c r="CR11" i="1"/>
  <c r="CS11" i="1"/>
  <c r="CT11" i="1"/>
  <c r="CU11" i="1"/>
  <c r="AL53" i="1"/>
  <c r="CN53" i="1"/>
  <c r="CO53" i="1"/>
  <c r="CP53" i="1"/>
  <c r="CQ53" i="1"/>
  <c r="CR53" i="1"/>
  <c r="CS53" i="1"/>
  <c r="CT53" i="1"/>
  <c r="CU53" i="1"/>
  <c r="AL47" i="1"/>
  <c r="CN47" i="1"/>
  <c r="CO47" i="1"/>
  <c r="CP47" i="1"/>
  <c r="CQ47" i="1"/>
  <c r="CR47" i="1"/>
  <c r="CS47" i="1"/>
  <c r="CT47" i="1"/>
  <c r="CU47" i="1"/>
  <c r="AL87" i="1"/>
  <c r="CN87" i="1"/>
  <c r="CO87" i="1"/>
  <c r="CQ87" i="1"/>
  <c r="CR87" i="1"/>
  <c r="CT87" i="1"/>
  <c r="CU87" i="1"/>
  <c r="CP87" i="1"/>
  <c r="CS87" i="1"/>
  <c r="AL148" i="1"/>
  <c r="CR148" i="1"/>
  <c r="CN148" i="1"/>
  <c r="CO148" i="1"/>
  <c r="CP148" i="1"/>
  <c r="CQ148" i="1"/>
  <c r="CS148" i="1"/>
  <c r="CT148" i="1"/>
  <c r="CU148" i="1"/>
  <c r="AL139" i="1"/>
  <c r="CR139" i="1"/>
  <c r="CT139" i="1"/>
  <c r="CU139" i="1"/>
  <c r="CN139" i="1"/>
  <c r="CO139" i="1"/>
  <c r="CP139" i="1"/>
  <c r="CQ139" i="1"/>
  <c r="CS139" i="1"/>
  <c r="AL140" i="1"/>
  <c r="CR140" i="1"/>
  <c r="CU140" i="1"/>
  <c r="CN140" i="1"/>
  <c r="CO140" i="1"/>
  <c r="CP140" i="1"/>
  <c r="CQ140" i="1"/>
  <c r="CS140" i="1"/>
  <c r="CT140" i="1"/>
  <c r="AL45" i="1"/>
  <c r="CN45" i="1"/>
  <c r="CO45" i="1"/>
  <c r="CP45" i="1"/>
  <c r="CQ45" i="1"/>
  <c r="CW45" i="1"/>
  <c r="CR45" i="1"/>
  <c r="CS45" i="1"/>
  <c r="CT45" i="1"/>
  <c r="CU45" i="1"/>
  <c r="AL8" i="1"/>
  <c r="CN8" i="1"/>
  <c r="CO8" i="1"/>
  <c r="CP8" i="1"/>
  <c r="CQ8" i="1"/>
  <c r="CR8" i="1"/>
  <c r="CS8" i="1"/>
  <c r="CT8" i="1"/>
  <c r="CU8" i="1"/>
  <c r="AL51" i="1"/>
  <c r="CN51" i="1"/>
  <c r="CO51" i="1"/>
  <c r="CP51" i="1"/>
  <c r="CQ51" i="1"/>
  <c r="CR51" i="1"/>
  <c r="CS51" i="1"/>
  <c r="CT51" i="1"/>
  <c r="CU51" i="1"/>
  <c r="AL98" i="1"/>
  <c r="CR98" i="1"/>
  <c r="CS98" i="1"/>
  <c r="CT98" i="1"/>
  <c r="CU98" i="1"/>
  <c r="CN98" i="1"/>
  <c r="CV98" i="1"/>
  <c r="CO98" i="1"/>
  <c r="CP98" i="1"/>
  <c r="CQ98" i="1"/>
  <c r="AL49" i="1"/>
  <c r="CN49" i="1"/>
  <c r="CO49" i="1"/>
  <c r="CP49" i="1"/>
  <c r="CQ49" i="1"/>
  <c r="CR49" i="1"/>
  <c r="CS49" i="1"/>
  <c r="CT49" i="1"/>
  <c r="CU49" i="1"/>
  <c r="AL43" i="1"/>
  <c r="CN43" i="1"/>
  <c r="CO43" i="1"/>
  <c r="CP43" i="1"/>
  <c r="CQ43" i="1"/>
  <c r="CR43" i="1"/>
  <c r="CS43" i="1"/>
  <c r="CT43" i="1"/>
  <c r="CU43" i="1"/>
  <c r="AL33" i="1"/>
  <c r="CN33" i="1"/>
  <c r="CO33" i="1"/>
  <c r="CP33" i="1"/>
  <c r="CQ33" i="1"/>
  <c r="CR33" i="1"/>
  <c r="CS33" i="1"/>
  <c r="CT33" i="1"/>
  <c r="CU33" i="1"/>
  <c r="Q150" i="1"/>
  <c r="Q38" i="1"/>
  <c r="Q91" i="1"/>
  <c r="Q41" i="1"/>
  <c r="Q35" i="1"/>
  <c r="Q85" i="1"/>
  <c r="Q94" i="1"/>
  <c r="Q90" i="1"/>
  <c r="Q39" i="1"/>
  <c r="CV10" i="1"/>
  <c r="CV7" i="1"/>
  <c r="CV136" i="1"/>
  <c r="CV88" i="1"/>
  <c r="CV146" i="1"/>
  <c r="CV34" i="1"/>
  <c r="Q131" i="1"/>
  <c r="Q52" i="1"/>
  <c r="Q54" i="1"/>
  <c r="Q132" i="1"/>
  <c r="Q95" i="1"/>
  <c r="Q86" i="1"/>
  <c r="Q93" i="1"/>
  <c r="Q123" i="1"/>
  <c r="Q46" i="1"/>
  <c r="Q92" i="1"/>
  <c r="Q134" i="1"/>
  <c r="Q147" i="1"/>
  <c r="Q138" i="1"/>
  <c r="Q135" i="1"/>
  <c r="Q40" i="1"/>
  <c r="Q36" i="1"/>
  <c r="Q32" i="1"/>
  <c r="Q142" i="1"/>
  <c r="Q144" i="1"/>
  <c r="Q127" i="1"/>
  <c r="Q125" i="1"/>
  <c r="Q48" i="1"/>
  <c r="Q121" i="1"/>
  <c r="Q100" i="1"/>
  <c r="Q128" i="1"/>
  <c r="Q137" i="1"/>
  <c r="Q145" i="1"/>
  <c r="Q50" i="1"/>
  <c r="Q42" i="1"/>
  <c r="Q44" i="1"/>
  <c r="Q89" i="1"/>
  <c r="Q97" i="1"/>
  <c r="Q143" i="1"/>
  <c r="Q141" i="1"/>
  <c r="Q119" i="1"/>
  <c r="Q9" i="1"/>
  <c r="Q14" i="1"/>
  <c r="AP12" i="1"/>
  <c r="Q12" i="1"/>
  <c r="Q13" i="1"/>
  <c r="CV130" i="1"/>
  <c r="CW7" i="1"/>
  <c r="CW88" i="1"/>
  <c r="CW34" i="1"/>
  <c r="CW8" i="1"/>
  <c r="CW11" i="1"/>
  <c r="CW31" i="1"/>
  <c r="CW146" i="1"/>
  <c r="CV120" i="1"/>
  <c r="CV122" i="1"/>
  <c r="CV8" i="1"/>
  <c r="CV45" i="1"/>
  <c r="CW87" i="1"/>
  <c r="CV47" i="1"/>
  <c r="CV53" i="1"/>
  <c r="CV11" i="1"/>
  <c r="CW98" i="1"/>
  <c r="CW10" i="1"/>
  <c r="CV96" i="1"/>
  <c r="CW49" i="1"/>
  <c r="CW120" i="1"/>
  <c r="CW149" i="1"/>
  <c r="CW47" i="1"/>
  <c r="CW53" i="1"/>
  <c r="CV148" i="1"/>
  <c r="CW37" i="1"/>
  <c r="CV99" i="1"/>
  <c r="CW43" i="1"/>
  <c r="CW51" i="1"/>
  <c r="CV87" i="1"/>
  <c r="CV43" i="1"/>
  <c r="CV33" i="1"/>
  <c r="CW140" i="1"/>
  <c r="CW139" i="1"/>
  <c r="CV51" i="1"/>
  <c r="AL143" i="1"/>
  <c r="CR143" i="1"/>
  <c r="CN143" i="1"/>
  <c r="CO143" i="1"/>
  <c r="CP143" i="1"/>
  <c r="CQ143" i="1"/>
  <c r="CS143" i="1"/>
  <c r="CT143" i="1"/>
  <c r="CU143" i="1"/>
  <c r="AL32" i="1"/>
  <c r="CN32" i="1"/>
  <c r="CO32" i="1"/>
  <c r="CP32" i="1"/>
  <c r="CQ32" i="1"/>
  <c r="CR32" i="1"/>
  <c r="CS32" i="1"/>
  <c r="CT32" i="1"/>
  <c r="CU32" i="1"/>
  <c r="AL131" i="1"/>
  <c r="CR131" i="1"/>
  <c r="CS131" i="1"/>
  <c r="CT131" i="1"/>
  <c r="CU131" i="1"/>
  <c r="CN131" i="1"/>
  <c r="CO131" i="1"/>
  <c r="CP131" i="1"/>
  <c r="CQ131" i="1"/>
  <c r="AL9" i="1"/>
  <c r="CN9" i="1"/>
  <c r="CO9" i="1"/>
  <c r="CP9" i="1"/>
  <c r="CQ9" i="1"/>
  <c r="CR9" i="1"/>
  <c r="CS9" i="1"/>
  <c r="CT9" i="1"/>
  <c r="CU9" i="1"/>
  <c r="AL39" i="1"/>
  <c r="CN39" i="1"/>
  <c r="CO39" i="1"/>
  <c r="CP39" i="1"/>
  <c r="CQ39" i="1"/>
  <c r="CR39" i="1"/>
  <c r="CS39" i="1"/>
  <c r="CT39" i="1"/>
  <c r="CU39" i="1"/>
  <c r="AL85" i="1"/>
  <c r="CN85" i="1"/>
  <c r="CO85" i="1"/>
  <c r="CQ85" i="1"/>
  <c r="CR85" i="1"/>
  <c r="CT85" i="1"/>
  <c r="CU85" i="1"/>
  <c r="CS85" i="1"/>
  <c r="CP85" i="1"/>
  <c r="AL91" i="1"/>
  <c r="CR91" i="1"/>
  <c r="CS91" i="1"/>
  <c r="CT91" i="1"/>
  <c r="CU91" i="1"/>
  <c r="CN91" i="1"/>
  <c r="CO91" i="1"/>
  <c r="CP91" i="1"/>
  <c r="CQ91" i="1"/>
  <c r="AL128" i="1"/>
  <c r="CR128" i="1"/>
  <c r="CS128" i="1"/>
  <c r="CT128" i="1"/>
  <c r="CU128" i="1"/>
  <c r="CN128" i="1"/>
  <c r="CO128" i="1"/>
  <c r="CP128" i="1"/>
  <c r="CQ128" i="1"/>
  <c r="AL46" i="1"/>
  <c r="CN46" i="1"/>
  <c r="CO46" i="1"/>
  <c r="CP46" i="1"/>
  <c r="CQ46" i="1"/>
  <c r="CR46" i="1"/>
  <c r="CS46" i="1"/>
  <c r="CT46" i="1"/>
  <c r="CU46" i="1"/>
  <c r="AL89" i="1"/>
  <c r="CR89" i="1"/>
  <c r="CS89" i="1"/>
  <c r="CT89" i="1"/>
  <c r="CU89" i="1"/>
  <c r="CN89" i="1"/>
  <c r="CO89" i="1"/>
  <c r="CP89" i="1"/>
  <c r="CQ89" i="1"/>
  <c r="AL121" i="1"/>
  <c r="CR121" i="1"/>
  <c r="CS121" i="1"/>
  <c r="CT121" i="1"/>
  <c r="CU121" i="1"/>
  <c r="CN121" i="1"/>
  <c r="CO121" i="1"/>
  <c r="CP121" i="1"/>
  <c r="CQ121" i="1"/>
  <c r="AL40" i="1"/>
  <c r="CN40" i="1"/>
  <c r="CO40" i="1"/>
  <c r="CP40" i="1"/>
  <c r="CQ40" i="1"/>
  <c r="CR40" i="1"/>
  <c r="CS40" i="1"/>
  <c r="CT40" i="1"/>
  <c r="CU40" i="1"/>
  <c r="AL93" i="1"/>
  <c r="CR93" i="1"/>
  <c r="CS93" i="1"/>
  <c r="CT93" i="1"/>
  <c r="CU93" i="1"/>
  <c r="CN93" i="1"/>
  <c r="CO93" i="1"/>
  <c r="CP93" i="1"/>
  <c r="CQ93" i="1"/>
  <c r="AL90" i="1"/>
  <c r="CR90" i="1"/>
  <c r="CS90" i="1"/>
  <c r="CT90" i="1"/>
  <c r="CU90" i="1"/>
  <c r="CN90" i="1"/>
  <c r="CO90" i="1"/>
  <c r="CP90" i="1"/>
  <c r="CQ90" i="1"/>
  <c r="AL97" i="1"/>
  <c r="CR97" i="1"/>
  <c r="CS97" i="1"/>
  <c r="CT97" i="1"/>
  <c r="CU97" i="1"/>
  <c r="CN97" i="1"/>
  <c r="CO97" i="1"/>
  <c r="CP97" i="1"/>
  <c r="CQ97" i="1"/>
  <c r="AL100" i="1"/>
  <c r="CR100" i="1"/>
  <c r="CS100" i="1"/>
  <c r="CT100" i="1"/>
  <c r="CU100" i="1"/>
  <c r="CN100" i="1"/>
  <c r="CO100" i="1"/>
  <c r="CP100" i="1"/>
  <c r="CQ100" i="1"/>
  <c r="AL36" i="1"/>
  <c r="CN36" i="1"/>
  <c r="CO36" i="1"/>
  <c r="CP36" i="1"/>
  <c r="CQ36" i="1"/>
  <c r="CR36" i="1"/>
  <c r="CS36" i="1"/>
  <c r="CT36" i="1"/>
  <c r="CU36" i="1"/>
  <c r="AL123" i="1"/>
  <c r="CR123" i="1"/>
  <c r="CS123" i="1"/>
  <c r="CT123" i="1"/>
  <c r="CU123" i="1"/>
  <c r="CN123" i="1"/>
  <c r="CO123" i="1"/>
  <c r="CP123" i="1"/>
  <c r="CQ123" i="1"/>
  <c r="AL13" i="1"/>
  <c r="CN13" i="1"/>
  <c r="CO13" i="1"/>
  <c r="CP13" i="1"/>
  <c r="CQ13" i="1"/>
  <c r="CR13" i="1"/>
  <c r="CS13" i="1"/>
  <c r="CT13" i="1"/>
  <c r="CU13" i="1"/>
  <c r="AL44" i="1"/>
  <c r="CN44" i="1"/>
  <c r="CO44" i="1"/>
  <c r="CP44" i="1"/>
  <c r="CQ44" i="1"/>
  <c r="CR44" i="1"/>
  <c r="CS44" i="1"/>
  <c r="CT44" i="1"/>
  <c r="CU44" i="1"/>
  <c r="AL48" i="1"/>
  <c r="CN48" i="1"/>
  <c r="CO48" i="1"/>
  <c r="CP48" i="1"/>
  <c r="CQ48" i="1"/>
  <c r="CR48" i="1"/>
  <c r="CS48" i="1"/>
  <c r="CT48" i="1"/>
  <c r="CU48" i="1"/>
  <c r="AL135" i="1"/>
  <c r="CR135" i="1"/>
  <c r="CW135" i="1"/>
  <c r="CT135" i="1"/>
  <c r="CU135" i="1"/>
  <c r="CN135" i="1"/>
  <c r="CO135" i="1"/>
  <c r="CP135" i="1"/>
  <c r="CQ135" i="1"/>
  <c r="CS135" i="1"/>
  <c r="AL86" i="1"/>
  <c r="CN86" i="1"/>
  <c r="CO86" i="1"/>
  <c r="CQ86" i="1"/>
  <c r="CR86" i="1"/>
  <c r="CT86" i="1"/>
  <c r="CU86" i="1"/>
  <c r="CP86" i="1"/>
  <c r="CS86" i="1"/>
  <c r="AL94" i="1"/>
  <c r="CR94" i="1"/>
  <c r="CS94" i="1"/>
  <c r="CT94" i="1"/>
  <c r="CU94" i="1"/>
  <c r="CN94" i="1"/>
  <c r="CO94" i="1"/>
  <c r="CP94" i="1"/>
  <c r="CQ94" i="1"/>
  <c r="AL35" i="1"/>
  <c r="CN35" i="1"/>
  <c r="CO35" i="1"/>
  <c r="CP35" i="1"/>
  <c r="CQ35" i="1"/>
  <c r="CR35" i="1"/>
  <c r="CS35" i="1"/>
  <c r="CT35" i="1"/>
  <c r="CU35" i="1"/>
  <c r="AL38" i="1"/>
  <c r="CN38" i="1"/>
  <c r="CO38" i="1"/>
  <c r="CP38" i="1"/>
  <c r="CQ38" i="1"/>
  <c r="CR38" i="1"/>
  <c r="CS38" i="1"/>
  <c r="CT38" i="1"/>
  <c r="CU38" i="1"/>
  <c r="AL41" i="1"/>
  <c r="CN41" i="1"/>
  <c r="CO41" i="1"/>
  <c r="CP41" i="1"/>
  <c r="CQ41" i="1"/>
  <c r="CR41" i="1"/>
  <c r="CS41" i="1"/>
  <c r="CT41" i="1"/>
  <c r="CU41" i="1"/>
  <c r="AL42" i="1"/>
  <c r="CN42" i="1"/>
  <c r="CO42" i="1"/>
  <c r="CP42" i="1"/>
  <c r="CQ42" i="1"/>
  <c r="CR42" i="1"/>
  <c r="CS42" i="1"/>
  <c r="CT42" i="1"/>
  <c r="CU42" i="1"/>
  <c r="AL125" i="1"/>
  <c r="CR125" i="1"/>
  <c r="CS125" i="1"/>
  <c r="CT125" i="1"/>
  <c r="CU125" i="1"/>
  <c r="CN125" i="1"/>
  <c r="CO125" i="1"/>
  <c r="CP125" i="1"/>
  <c r="CQ125" i="1"/>
  <c r="AL138" i="1"/>
  <c r="CR138" i="1"/>
  <c r="CT138" i="1"/>
  <c r="CU138" i="1"/>
  <c r="CN138" i="1"/>
  <c r="CO138" i="1"/>
  <c r="CP138" i="1"/>
  <c r="CS138" i="1"/>
  <c r="CQ138" i="1"/>
  <c r="AL95" i="1"/>
  <c r="CR95" i="1"/>
  <c r="CS95" i="1"/>
  <c r="CT95" i="1"/>
  <c r="CU95" i="1"/>
  <c r="CN95" i="1"/>
  <c r="CO95" i="1"/>
  <c r="CP95" i="1"/>
  <c r="CQ95" i="1"/>
  <c r="AL50" i="1"/>
  <c r="CN50" i="1"/>
  <c r="CO50" i="1"/>
  <c r="CP50" i="1"/>
  <c r="CQ50" i="1"/>
  <c r="CR50" i="1"/>
  <c r="CS50" i="1"/>
  <c r="CT50" i="1"/>
  <c r="CU50" i="1"/>
  <c r="AL127" i="1"/>
  <c r="CR127" i="1"/>
  <c r="CS127" i="1"/>
  <c r="CT127" i="1"/>
  <c r="CU127" i="1"/>
  <c r="CN127" i="1"/>
  <c r="CO127" i="1"/>
  <c r="CP127" i="1"/>
  <c r="CQ127" i="1"/>
  <c r="AL147" i="1"/>
  <c r="CR147" i="1"/>
  <c r="CN147" i="1"/>
  <c r="CO147" i="1"/>
  <c r="CP147" i="1"/>
  <c r="CQ147" i="1"/>
  <c r="CS147" i="1"/>
  <c r="CT147" i="1"/>
  <c r="CU147" i="1"/>
  <c r="AL132" i="1"/>
  <c r="CR132" i="1"/>
  <c r="CS132" i="1"/>
  <c r="CT132" i="1"/>
  <c r="CU132" i="1"/>
  <c r="CN132" i="1"/>
  <c r="CO132" i="1"/>
  <c r="CP132" i="1"/>
  <c r="CQ132" i="1"/>
  <c r="AL12" i="1"/>
  <c r="CN12" i="1"/>
  <c r="CO12" i="1"/>
  <c r="CP12" i="1"/>
  <c r="CQ12" i="1"/>
  <c r="CR12" i="1"/>
  <c r="CS12" i="1"/>
  <c r="CT12" i="1"/>
  <c r="CU12" i="1"/>
  <c r="AL14" i="1"/>
  <c r="CN14" i="1"/>
  <c r="CO14" i="1"/>
  <c r="CP14" i="1"/>
  <c r="CQ14" i="1"/>
  <c r="CR14" i="1"/>
  <c r="CS14" i="1"/>
  <c r="CT14" i="1"/>
  <c r="CU14" i="1"/>
  <c r="AL119" i="1"/>
  <c r="CR119" i="1"/>
  <c r="CS119" i="1"/>
  <c r="CT119" i="1"/>
  <c r="CU119" i="1"/>
  <c r="CN119" i="1"/>
  <c r="CO119" i="1"/>
  <c r="CP119" i="1"/>
  <c r="CQ119" i="1"/>
  <c r="AL145" i="1"/>
  <c r="CR145" i="1"/>
  <c r="CU145" i="1"/>
  <c r="CN145" i="1"/>
  <c r="CO145" i="1"/>
  <c r="CP145" i="1"/>
  <c r="CQ145" i="1"/>
  <c r="CS145" i="1"/>
  <c r="CT145" i="1"/>
  <c r="AL144" i="1"/>
  <c r="CR144" i="1"/>
  <c r="CU144" i="1"/>
  <c r="CN144" i="1"/>
  <c r="CO144" i="1"/>
  <c r="CP144" i="1"/>
  <c r="CS144" i="1"/>
  <c r="CT144" i="1"/>
  <c r="CQ144" i="1"/>
  <c r="AL134" i="1"/>
  <c r="CR134" i="1"/>
  <c r="CT134" i="1"/>
  <c r="CU134" i="1"/>
  <c r="CN134" i="1"/>
  <c r="CO134" i="1"/>
  <c r="CP134" i="1"/>
  <c r="CS134" i="1"/>
  <c r="CQ134" i="1"/>
  <c r="AL54" i="1"/>
  <c r="CN54" i="1"/>
  <c r="CO54" i="1"/>
  <c r="CP54" i="1"/>
  <c r="CQ54" i="1"/>
  <c r="CR54" i="1"/>
  <c r="CS54" i="1"/>
  <c r="CT54" i="1"/>
  <c r="CU54" i="1"/>
  <c r="AL141" i="1"/>
  <c r="CR141" i="1"/>
  <c r="CN141" i="1"/>
  <c r="CO141" i="1"/>
  <c r="CP141" i="1"/>
  <c r="CT141" i="1"/>
  <c r="CU141" i="1"/>
  <c r="CS141" i="1"/>
  <c r="CQ141" i="1"/>
  <c r="AL137" i="1"/>
  <c r="CR137" i="1"/>
  <c r="CT137" i="1"/>
  <c r="CU137" i="1"/>
  <c r="CN137" i="1"/>
  <c r="CO137" i="1"/>
  <c r="CP137" i="1"/>
  <c r="CQ137" i="1"/>
  <c r="CS137" i="1"/>
  <c r="AL142" i="1"/>
  <c r="CR142" i="1"/>
  <c r="CN142" i="1"/>
  <c r="CO142" i="1"/>
  <c r="CP142" i="1"/>
  <c r="CQ142" i="1"/>
  <c r="CS142" i="1"/>
  <c r="CT142" i="1"/>
  <c r="CU142" i="1"/>
  <c r="AL92" i="1"/>
  <c r="CR92" i="1"/>
  <c r="CS92" i="1"/>
  <c r="CT92" i="1"/>
  <c r="CU92" i="1"/>
  <c r="CN92" i="1"/>
  <c r="CO92" i="1"/>
  <c r="CP92" i="1"/>
  <c r="CQ92" i="1"/>
  <c r="AL52" i="1"/>
  <c r="CN52" i="1"/>
  <c r="CO52" i="1"/>
  <c r="CP52" i="1"/>
  <c r="CQ52" i="1"/>
  <c r="CR52" i="1"/>
  <c r="CS52" i="1"/>
  <c r="CT52" i="1"/>
  <c r="CU52" i="1"/>
  <c r="AL150" i="1"/>
  <c r="CR150" i="1"/>
  <c r="CO150" i="1"/>
  <c r="CP150" i="1"/>
  <c r="CN150" i="1"/>
  <c r="CQ150" i="1"/>
  <c r="CS150" i="1"/>
  <c r="CT150" i="1"/>
  <c r="CU150" i="1"/>
  <c r="CW91" i="1"/>
  <c r="CV41" i="1"/>
  <c r="CV90" i="1"/>
  <c r="CV38" i="1"/>
  <c r="CV91" i="1"/>
  <c r="CW90" i="1"/>
  <c r="CW33" i="1"/>
  <c r="CW39" i="1"/>
  <c r="CV46" i="1"/>
  <c r="CV39" i="1"/>
  <c r="CV85" i="1"/>
  <c r="CV121" i="1"/>
  <c r="CV44" i="1"/>
  <c r="CV40" i="1"/>
  <c r="CW100" i="1"/>
  <c r="CV13" i="1"/>
  <c r="CV128" i="1"/>
  <c r="CV131" i="1"/>
  <c r="CV97" i="1"/>
  <c r="CV127" i="1"/>
  <c r="CV36" i="1"/>
  <c r="CW95" i="1"/>
  <c r="CV135" i="1"/>
  <c r="CV86" i="1"/>
  <c r="CW36" i="1"/>
  <c r="CV12" i="1"/>
  <c r="CW147" i="1"/>
  <c r="CW50" i="1"/>
  <c r="CW9" i="1"/>
  <c r="CV9" i="1"/>
  <c r="CW46" i="1"/>
  <c r="CW13" i="1"/>
  <c r="CW121" i="1"/>
  <c r="CW143" i="1"/>
  <c r="CW44" i="1"/>
  <c r="CV143" i="1"/>
  <c r="CV32" i="1"/>
  <c r="CW42" i="1"/>
  <c r="CW134" i="1"/>
  <c r="CW48" i="1"/>
  <c r="CW32" i="1"/>
  <c r="CV14" i="1"/>
  <c r="CV50" i="1"/>
  <c r="CV138" i="1"/>
  <c r="CV42" i="1"/>
  <c r="CW141" i="1"/>
  <c r="CW119" i="1"/>
  <c r="CW92" i="1"/>
  <c r="CW127" i="1"/>
  <c r="CW125" i="1"/>
  <c r="CW85" i="1"/>
  <c r="CV144" i="1"/>
  <c r="CV119" i="1"/>
  <c r="CW14" i="1"/>
  <c r="CW12" i="1"/>
  <c r="CV48" i="1"/>
  <c r="CV93" i="1"/>
  <c r="CW40" i="1"/>
  <c r="CW41" i="1"/>
  <c r="CW38" i="1"/>
  <c r="CW35" i="1"/>
  <c r="CV94" i="1"/>
  <c r="CV54" i="1"/>
  <c r="CV95" i="1"/>
  <c r="CW138" i="1"/>
  <c r="CW93" i="1"/>
  <c r="CV147" i="1"/>
  <c r="CW150" i="1"/>
  <c r="CV52" i="1"/>
  <c r="CW52" i="1"/>
  <c r="CV92" i="1"/>
  <c r="CW94" i="1"/>
  <c r="CV141" i="1"/>
  <c r="CV142" i="1"/>
  <c r="CV35"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CE71" i="1"/>
  <c r="CF71" i="1"/>
  <c r="CG71" i="1"/>
  <c r="CH71" i="1"/>
  <c r="CI71" i="1"/>
  <c r="CJ71"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CE72" i="1"/>
  <c r="CF72" i="1"/>
  <c r="CG72" i="1"/>
  <c r="CH72" i="1"/>
  <c r="CI72" i="1"/>
  <c r="CJ72"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CE73" i="1"/>
  <c r="CF73" i="1"/>
  <c r="CG73" i="1"/>
  <c r="CH73" i="1"/>
  <c r="CI73" i="1"/>
  <c r="CJ73"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CE74" i="1"/>
  <c r="CF74" i="1"/>
  <c r="CG74" i="1"/>
  <c r="CH74" i="1"/>
  <c r="CI74" i="1"/>
  <c r="CJ74"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CE75" i="1"/>
  <c r="CF75" i="1"/>
  <c r="CG75" i="1"/>
  <c r="CH75" i="1"/>
  <c r="CI75" i="1"/>
  <c r="CJ75"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CE76" i="1"/>
  <c r="CF76" i="1"/>
  <c r="CG76" i="1"/>
  <c r="CH76" i="1"/>
  <c r="CI76" i="1"/>
  <c r="CJ76" i="1"/>
  <c r="AX76" i="1"/>
  <c r="AX75" i="1"/>
  <c r="AX74" i="1"/>
  <c r="AX73" i="1"/>
  <c r="AX72" i="1"/>
  <c r="AX71" i="1"/>
  <c r="AK19" i="1"/>
  <c r="U81" i="1"/>
  <c r="L300" i="7"/>
  <c r="L299" i="7"/>
  <c r="L298" i="7"/>
  <c r="L297" i="7"/>
  <c r="L296" i="7"/>
  <c r="L295" i="7"/>
  <c r="L294" i="7"/>
  <c r="L293" i="7"/>
  <c r="L292" i="7"/>
  <c r="L291" i="7"/>
  <c r="L290" i="7"/>
  <c r="L289" i="7"/>
  <c r="L288" i="7"/>
  <c r="L287" i="7"/>
  <c r="L286" i="7"/>
  <c r="L253" i="7"/>
  <c r="L252" i="7"/>
  <c r="L251" i="7"/>
  <c r="L250" i="7"/>
  <c r="L249" i="7"/>
  <c r="L248" i="7"/>
  <c r="L247" i="7"/>
  <c r="L246" i="7"/>
  <c r="L245" i="7"/>
  <c r="L244" i="7"/>
  <c r="L243" i="7"/>
  <c r="L242" i="7"/>
  <c r="L241" i="7"/>
  <c r="L240" i="7"/>
  <c r="L239" i="7"/>
  <c r="L238" i="7"/>
  <c r="L237" i="7"/>
  <c r="L236" i="7"/>
  <c r="L235" i="7"/>
  <c r="L226" i="7"/>
  <c r="L225" i="7"/>
  <c r="L224" i="7"/>
  <c r="L223" i="7"/>
  <c r="L214" i="7"/>
  <c r="L213" i="7"/>
  <c r="L212" i="7"/>
  <c r="L211" i="7"/>
  <c r="L210" i="7"/>
  <c r="L209" i="7"/>
  <c r="L208" i="7"/>
  <c r="L207" i="7"/>
  <c r="L206" i="7"/>
  <c r="L205" i="7"/>
  <c r="L204" i="7"/>
  <c r="L203" i="7"/>
  <c r="L202" i="7"/>
  <c r="L201" i="7"/>
  <c r="L200" i="7"/>
  <c r="L199" i="7"/>
  <c r="L198" i="7"/>
  <c r="L197" i="7"/>
  <c r="L196" i="7"/>
  <c r="L195" i="7"/>
  <c r="L194" i="7"/>
  <c r="L193" i="7"/>
  <c r="L164" i="7"/>
  <c r="L163" i="7"/>
  <c r="L162" i="7"/>
  <c r="L161" i="7"/>
  <c r="L160" i="7"/>
  <c r="L159" i="7"/>
  <c r="L158" i="7"/>
  <c r="L157" i="7"/>
  <c r="L156" i="7"/>
  <c r="L155" i="7"/>
  <c r="L154" i="7"/>
  <c r="L153" i="7"/>
  <c r="L152" i="7"/>
  <c r="L151" i="7"/>
  <c r="L150" i="7"/>
  <c r="L149" i="7"/>
  <c r="L140" i="7"/>
  <c r="L139" i="7"/>
  <c r="L138" i="7"/>
  <c r="L137" i="7"/>
  <c r="R204" i="7"/>
  <c r="O204" i="7"/>
  <c r="M204" i="7"/>
  <c r="G204" i="7"/>
  <c r="F204" i="7"/>
  <c r="D204" i="7"/>
  <c r="C204" i="7"/>
  <c r="B204" i="7"/>
  <c r="R203" i="7"/>
  <c r="O203" i="7"/>
  <c r="M203" i="7"/>
  <c r="G203" i="7"/>
  <c r="F203" i="7"/>
  <c r="D203" i="7"/>
  <c r="C203" i="7"/>
  <c r="B203" i="7"/>
  <c r="R202" i="7"/>
  <c r="O202" i="7"/>
  <c r="M202" i="7"/>
  <c r="G202" i="7"/>
  <c r="F202" i="7"/>
  <c r="D202" i="7"/>
  <c r="C202" i="7"/>
  <c r="B202" i="7"/>
  <c r="R201" i="7"/>
  <c r="O201" i="7"/>
  <c r="M201" i="7"/>
  <c r="G201" i="7"/>
  <c r="F201" i="7"/>
  <c r="D201" i="7"/>
  <c r="C201" i="7"/>
  <c r="B201" i="7"/>
  <c r="R200" i="7"/>
  <c r="O200" i="7"/>
  <c r="M200" i="7"/>
  <c r="G200" i="7"/>
  <c r="F200" i="7"/>
  <c r="D200" i="7"/>
  <c r="C200" i="7"/>
  <c r="B200" i="7"/>
  <c r="R199" i="7"/>
  <c r="O199" i="7"/>
  <c r="M199" i="7"/>
  <c r="G199" i="7"/>
  <c r="F199" i="7"/>
  <c r="D199" i="7"/>
  <c r="C199" i="7"/>
  <c r="B199" i="7"/>
  <c r="R214" i="7"/>
  <c r="O214" i="7"/>
  <c r="M214" i="7"/>
  <c r="G214" i="7"/>
  <c r="F214" i="7"/>
  <c r="C214" i="7"/>
  <c r="R213" i="7"/>
  <c r="O213" i="7"/>
  <c r="M213" i="7"/>
  <c r="G213" i="7"/>
  <c r="F213" i="7"/>
  <c r="C213" i="7"/>
  <c r="R212" i="7"/>
  <c r="O212" i="7"/>
  <c r="M212" i="7"/>
  <c r="G212" i="7"/>
  <c r="F212" i="7"/>
  <c r="C212" i="7"/>
  <c r="R211" i="7"/>
  <c r="O211" i="7"/>
  <c r="M211" i="7"/>
  <c r="G211" i="7"/>
  <c r="F211" i="7"/>
  <c r="C211" i="7"/>
  <c r="AS70" i="1"/>
  <c r="AO70" i="1"/>
  <c r="AF70" i="1"/>
  <c r="AP70" i="1"/>
  <c r="Z70" i="1"/>
  <c r="U70" i="1"/>
  <c r="AN70" i="1"/>
  <c r="L70" i="1"/>
  <c r="AS69" i="1"/>
  <c r="AO69" i="1"/>
  <c r="AF69" i="1"/>
  <c r="AH69" i="1"/>
  <c r="AP69" i="1"/>
  <c r="Z69" i="1"/>
  <c r="U69" i="1"/>
  <c r="AN69" i="1"/>
  <c r="L69" i="1"/>
  <c r="AS68" i="1"/>
  <c r="AO68" i="1"/>
  <c r="AF68" i="1"/>
  <c r="AP68" i="1"/>
  <c r="Z68" i="1"/>
  <c r="U68" i="1"/>
  <c r="L68" i="1"/>
  <c r="AS67" i="1"/>
  <c r="AO67" i="1"/>
  <c r="AF67" i="1"/>
  <c r="AH67" i="1"/>
  <c r="AP67" i="1"/>
  <c r="Z67" i="1"/>
  <c r="U67" i="1"/>
  <c r="AN67" i="1"/>
  <c r="L67" i="1"/>
  <c r="CJ66" i="1"/>
  <c r="CB66" i="1"/>
  <c r="BT66" i="1"/>
  <c r="BL66" i="1"/>
  <c r="BD66" i="1"/>
  <c r="AS66" i="1"/>
  <c r="CI66" i="1"/>
  <c r="AO66" i="1"/>
  <c r="AF66" i="1"/>
  <c r="AP66" i="1"/>
  <c r="Z66" i="1"/>
  <c r="U66" i="1"/>
  <c r="AN66" i="1"/>
  <c r="L66" i="1"/>
  <c r="CJ65" i="1"/>
  <c r="CB65" i="1"/>
  <c r="BT65" i="1"/>
  <c r="BL65" i="1"/>
  <c r="BD65" i="1"/>
  <c r="AS65" i="1"/>
  <c r="CI65" i="1"/>
  <c r="AO65" i="1"/>
  <c r="AF65" i="1"/>
  <c r="AG65" i="1"/>
  <c r="AP65" i="1"/>
  <c r="Z65" i="1"/>
  <c r="U65" i="1"/>
  <c r="AN65" i="1"/>
  <c r="L65" i="1"/>
  <c r="AO80" i="1"/>
  <c r="AF80" i="1"/>
  <c r="AP80" i="1"/>
  <c r="Z80" i="1"/>
  <c r="AT80" i="1"/>
  <c r="U80" i="1"/>
  <c r="AN80" i="1"/>
  <c r="L80" i="1"/>
  <c r="AO79" i="1"/>
  <c r="AF79" i="1"/>
  <c r="Z79" i="1"/>
  <c r="U79" i="1"/>
  <c r="AN79" i="1"/>
  <c r="L79" i="1"/>
  <c r="AO78" i="1"/>
  <c r="AF78" i="1"/>
  <c r="Z78" i="1"/>
  <c r="AT78" i="1"/>
  <c r="U78" i="1"/>
  <c r="AN78" i="1"/>
  <c r="L78" i="1"/>
  <c r="AO77" i="1"/>
  <c r="AF77" i="1"/>
  <c r="Z77" i="1"/>
  <c r="AT77" i="1"/>
  <c r="U77" i="1"/>
  <c r="AN77" i="1"/>
  <c r="L77" i="1"/>
  <c r="CH67" i="1"/>
  <c r="BZ67" i="1"/>
  <c r="BR67" i="1"/>
  <c r="BJ67" i="1"/>
  <c r="BB67" i="1"/>
  <c r="CA67" i="1"/>
  <c r="CG67" i="1"/>
  <c r="BY67" i="1"/>
  <c r="BQ67" i="1"/>
  <c r="BI67" i="1"/>
  <c r="BA67" i="1"/>
  <c r="CF67" i="1"/>
  <c r="BX67" i="1"/>
  <c r="BP67" i="1"/>
  <c r="BH67" i="1"/>
  <c r="AZ67" i="1"/>
  <c r="BC67" i="1"/>
  <c r="CE67" i="1"/>
  <c r="BW67" i="1"/>
  <c r="BO67" i="1"/>
  <c r="BG67" i="1"/>
  <c r="AY67" i="1"/>
  <c r="CD67" i="1"/>
  <c r="BV67" i="1"/>
  <c r="BN67" i="1"/>
  <c r="BF67" i="1"/>
  <c r="AX67" i="1"/>
  <c r="CC67" i="1"/>
  <c r="BU67" i="1"/>
  <c r="BM67" i="1"/>
  <c r="BE67" i="1"/>
  <c r="BS67" i="1"/>
  <c r="CJ67" i="1"/>
  <c r="CB67" i="1"/>
  <c r="BT67" i="1"/>
  <c r="BL67" i="1"/>
  <c r="BD67" i="1"/>
  <c r="CI67" i="1"/>
  <c r="BK67" i="1"/>
  <c r="BE65" i="1"/>
  <c r="BM65" i="1"/>
  <c r="BU65" i="1"/>
  <c r="CC65" i="1"/>
  <c r="BE66" i="1"/>
  <c r="BM66" i="1"/>
  <c r="BU66" i="1"/>
  <c r="CC66" i="1"/>
  <c r="AX65" i="1"/>
  <c r="BF65" i="1"/>
  <c r="BN65" i="1"/>
  <c r="BV65" i="1"/>
  <c r="CD65" i="1"/>
  <c r="AX66" i="1"/>
  <c r="BF66" i="1"/>
  <c r="BN66" i="1"/>
  <c r="BV66" i="1"/>
  <c r="CD66" i="1"/>
  <c r="AY65" i="1"/>
  <c r="BG65" i="1"/>
  <c r="BO65" i="1"/>
  <c r="BW65" i="1"/>
  <c r="CE65" i="1"/>
  <c r="AY66" i="1"/>
  <c r="BG66" i="1"/>
  <c r="BO66" i="1"/>
  <c r="BW66" i="1"/>
  <c r="CE66" i="1"/>
  <c r="AH65" i="1"/>
  <c r="AZ65" i="1"/>
  <c r="BH65" i="1"/>
  <c r="BP65" i="1"/>
  <c r="BX65" i="1"/>
  <c r="CF65" i="1"/>
  <c r="AZ66" i="1"/>
  <c r="BH66" i="1"/>
  <c r="BP66" i="1"/>
  <c r="BX66" i="1"/>
  <c r="CF66" i="1"/>
  <c r="BA65" i="1"/>
  <c r="BI65" i="1"/>
  <c r="BQ65" i="1"/>
  <c r="BY65" i="1"/>
  <c r="CG65" i="1"/>
  <c r="BA66" i="1"/>
  <c r="BI66" i="1"/>
  <c r="BQ66" i="1"/>
  <c r="BY66" i="1"/>
  <c r="CG66" i="1"/>
  <c r="BB65" i="1"/>
  <c r="CH65" i="1"/>
  <c r="BB66" i="1"/>
  <c r="BR66" i="1"/>
  <c r="CH66" i="1"/>
  <c r="BJ65" i="1"/>
  <c r="BR65" i="1"/>
  <c r="BZ65" i="1"/>
  <c r="BJ66" i="1"/>
  <c r="BZ66" i="1"/>
  <c r="BC65" i="1"/>
  <c r="BK65" i="1"/>
  <c r="BS65" i="1"/>
  <c r="CA65" i="1"/>
  <c r="BC66" i="1"/>
  <c r="BK66" i="1"/>
  <c r="BS66" i="1"/>
  <c r="CA66" i="1"/>
  <c r="CF69" i="1"/>
  <c r="BX69" i="1"/>
  <c r="BP69" i="1"/>
  <c r="BH69" i="1"/>
  <c r="AZ69" i="1"/>
  <c r="CE69" i="1"/>
  <c r="BW69" i="1"/>
  <c r="BO69" i="1"/>
  <c r="BG69" i="1"/>
  <c r="AY69" i="1"/>
  <c r="CD69" i="1"/>
  <c r="BV69" i="1"/>
  <c r="BN69" i="1"/>
  <c r="BF69" i="1"/>
  <c r="AX69" i="1"/>
  <c r="CC69" i="1"/>
  <c r="BU69" i="1"/>
  <c r="BM69" i="1"/>
  <c r="BE69" i="1"/>
  <c r="CJ69" i="1"/>
  <c r="CB69" i="1"/>
  <c r="BT69" i="1"/>
  <c r="BL69" i="1"/>
  <c r="BD69" i="1"/>
  <c r="CI69" i="1"/>
  <c r="CA69" i="1"/>
  <c r="BS69" i="1"/>
  <c r="BK69" i="1"/>
  <c r="BC69" i="1"/>
  <c r="CH69" i="1"/>
  <c r="BZ69" i="1"/>
  <c r="BR69" i="1"/>
  <c r="BJ69" i="1"/>
  <c r="BB69" i="1"/>
  <c r="CG69" i="1"/>
  <c r="BY69" i="1"/>
  <c r="BQ69" i="1"/>
  <c r="BI69" i="1"/>
  <c r="BA69" i="1"/>
  <c r="CG68" i="1"/>
  <c r="BY68" i="1"/>
  <c r="BQ68" i="1"/>
  <c r="BI68" i="1"/>
  <c r="BA68" i="1"/>
  <c r="BZ68" i="1"/>
  <c r="CF68" i="1"/>
  <c r="BX68" i="1"/>
  <c r="BP68" i="1"/>
  <c r="BH68" i="1"/>
  <c r="AZ68" i="1"/>
  <c r="CE68" i="1"/>
  <c r="BW68" i="1"/>
  <c r="BO68" i="1"/>
  <c r="BG68" i="1"/>
  <c r="AY68" i="1"/>
  <c r="BR68" i="1"/>
  <c r="CD68" i="1"/>
  <c r="BV68" i="1"/>
  <c r="BN68" i="1"/>
  <c r="BF68" i="1"/>
  <c r="AX68" i="1"/>
  <c r="CC68" i="1"/>
  <c r="BU68" i="1"/>
  <c r="BM68" i="1"/>
  <c r="BE68" i="1"/>
  <c r="CJ68" i="1"/>
  <c r="CB68" i="1"/>
  <c r="BT68" i="1"/>
  <c r="BL68" i="1"/>
  <c r="BD68" i="1"/>
  <c r="CH68" i="1"/>
  <c r="BB68" i="1"/>
  <c r="CI68" i="1"/>
  <c r="CA68" i="1"/>
  <c r="BS68" i="1"/>
  <c r="BK68" i="1"/>
  <c r="BC68" i="1"/>
  <c r="BJ68" i="1"/>
  <c r="B11" i="23"/>
  <c r="B14" i="23" s="1"/>
  <c r="D10" i="23"/>
  <c r="C10" i="23"/>
  <c r="A10" i="23"/>
  <c r="B3" i="23"/>
  <c r="H10" i="23" s="1"/>
  <c r="U160" i="1"/>
  <c r="U161" i="1"/>
  <c r="AN161" i="1"/>
  <c r="U162" i="1"/>
  <c r="AN162" i="1"/>
  <c r="U159" i="1"/>
  <c r="AN159" i="1"/>
  <c r="U152" i="1"/>
  <c r="U153" i="1"/>
  <c r="AN153" i="1"/>
  <c r="U154" i="1"/>
  <c r="U151" i="1"/>
  <c r="AN151" i="1"/>
  <c r="U156" i="1"/>
  <c r="U157" i="1"/>
  <c r="U158" i="1"/>
  <c r="U155" i="1"/>
  <c r="U164" i="1"/>
  <c r="U165" i="1"/>
  <c r="AN165" i="1"/>
  <c r="U166" i="1"/>
  <c r="U163" i="1"/>
  <c r="AN163" i="1"/>
  <c r="AO107" i="1"/>
  <c r="AO108" i="1"/>
  <c r="AO109" i="1"/>
  <c r="AO110" i="1"/>
  <c r="AO111" i="1"/>
  <c r="U107" i="1"/>
  <c r="AN107" i="1"/>
  <c r="U108" i="1"/>
  <c r="U109" i="1"/>
  <c r="AN109" i="1"/>
  <c r="U110" i="1"/>
  <c r="U111" i="1"/>
  <c r="AN111" i="1"/>
  <c r="U112" i="1"/>
  <c r="AN112" i="1"/>
  <c r="U113" i="1"/>
  <c r="AN113" i="1"/>
  <c r="U114" i="1"/>
  <c r="AN114" i="1"/>
  <c r="U115" i="1"/>
  <c r="U116" i="1"/>
  <c r="AN116" i="1"/>
  <c r="U117" i="1"/>
  <c r="U118" i="1"/>
  <c r="AN118" i="1"/>
  <c r="U102" i="1"/>
  <c r="AN102" i="1"/>
  <c r="U103" i="1"/>
  <c r="AN103" i="1"/>
  <c r="U104" i="1"/>
  <c r="AN104" i="1"/>
  <c r="U105" i="1"/>
  <c r="U106" i="1"/>
  <c r="U101" i="1"/>
  <c r="V104" i="1"/>
  <c r="AO104" i="1"/>
  <c r="V105" i="1"/>
  <c r="V106" i="1"/>
  <c r="AO106" i="1"/>
  <c r="V101" i="1"/>
  <c r="AO101" i="1"/>
  <c r="V102" i="1"/>
  <c r="AO102" i="1"/>
  <c r="AF59" i="1"/>
  <c r="AF60" i="1"/>
  <c r="AH60" i="1"/>
  <c r="AF61" i="1"/>
  <c r="AH61" i="1"/>
  <c r="AF62" i="1"/>
  <c r="AH62" i="1"/>
  <c r="AF63" i="1"/>
  <c r="AH63" i="1"/>
  <c r="AF64" i="1"/>
  <c r="AG64" i="1"/>
  <c r="AF71" i="1"/>
  <c r="AH71" i="1"/>
  <c r="AF72" i="1"/>
  <c r="AH72" i="1"/>
  <c r="AF73" i="1"/>
  <c r="AF74" i="1"/>
  <c r="AH74" i="1"/>
  <c r="AF75" i="1"/>
  <c r="AF76" i="1"/>
  <c r="AG76" i="1"/>
  <c r="AF81" i="1"/>
  <c r="P81" i="1"/>
  <c r="AF82" i="1"/>
  <c r="AF83" i="1"/>
  <c r="AF84" i="1"/>
  <c r="AF101" i="1"/>
  <c r="AH101" i="1"/>
  <c r="AF102" i="1"/>
  <c r="AF103" i="1"/>
  <c r="AG103" i="1"/>
  <c r="AF104" i="1"/>
  <c r="AG104" i="1"/>
  <c r="AF105" i="1"/>
  <c r="AH105" i="1"/>
  <c r="AF106" i="1"/>
  <c r="AH106" i="1"/>
  <c r="AF107" i="1"/>
  <c r="AH107" i="1"/>
  <c r="AF108" i="1"/>
  <c r="AH108" i="1"/>
  <c r="AF109" i="1"/>
  <c r="AF110" i="1"/>
  <c r="AH110" i="1"/>
  <c r="AF111" i="1"/>
  <c r="AF112" i="1"/>
  <c r="AF113" i="1"/>
  <c r="AH113" i="1"/>
  <c r="AF114" i="1"/>
  <c r="AF115" i="1"/>
  <c r="AH115" i="1"/>
  <c r="AF116" i="1"/>
  <c r="AH116" i="1"/>
  <c r="AF117" i="1"/>
  <c r="AF118" i="1"/>
  <c r="AG118" i="1"/>
  <c r="Z81" i="1"/>
  <c r="AT81" i="1"/>
  <c r="Z82" i="1"/>
  <c r="AT82" i="1"/>
  <c r="Z83" i="1"/>
  <c r="AT83" i="1"/>
  <c r="Z84" i="1"/>
  <c r="BI192" i="7"/>
  <c r="BH192" i="7"/>
  <c r="BG192" i="7"/>
  <c r="BF192" i="7"/>
  <c r="BE192" i="7"/>
  <c r="BD192" i="7"/>
  <c r="BC192" i="7"/>
  <c r="BB192" i="7"/>
  <c r="BA192" i="7"/>
  <c r="AZ192" i="7"/>
  <c r="AY192" i="7"/>
  <c r="AX192" i="7"/>
  <c r="AW192" i="7"/>
  <c r="AV192" i="7"/>
  <c r="AU192" i="7"/>
  <c r="AT192" i="7"/>
  <c r="AS192" i="7"/>
  <c r="AR192" i="7"/>
  <c r="AQ192" i="7"/>
  <c r="AP192" i="7"/>
  <c r="AO192" i="7"/>
  <c r="AN192" i="7"/>
  <c r="AM192" i="7"/>
  <c r="AL192" i="7"/>
  <c r="AK192" i="7"/>
  <c r="AJ192" i="7"/>
  <c r="AI192" i="7"/>
  <c r="AH192" i="7"/>
  <c r="AG192" i="7"/>
  <c r="AF192" i="7"/>
  <c r="AE192" i="7"/>
  <c r="AD192" i="7"/>
  <c r="BI191" i="7"/>
  <c r="BH191" i="7"/>
  <c r="BG191" i="7"/>
  <c r="BF191" i="7"/>
  <c r="BE191" i="7"/>
  <c r="BD191" i="7"/>
  <c r="BC191" i="7"/>
  <c r="BB191" i="7"/>
  <c r="BA191" i="7"/>
  <c r="AZ191" i="7"/>
  <c r="AY191" i="7"/>
  <c r="AX191" i="7"/>
  <c r="AW191" i="7"/>
  <c r="AV191" i="7"/>
  <c r="AU191" i="7"/>
  <c r="AT191" i="7"/>
  <c r="AS191" i="7"/>
  <c r="AR191" i="7"/>
  <c r="AQ191" i="7"/>
  <c r="AP191" i="7"/>
  <c r="AO191" i="7"/>
  <c r="AN191" i="7"/>
  <c r="AM191" i="7"/>
  <c r="AL191" i="7"/>
  <c r="AK191" i="7"/>
  <c r="AJ191" i="7"/>
  <c r="AI191" i="7"/>
  <c r="AH191" i="7"/>
  <c r="AG191" i="7"/>
  <c r="AF191" i="7"/>
  <c r="AE191" i="7"/>
  <c r="AD191" i="7"/>
  <c r="BI190" i="7"/>
  <c r="BH190" i="7"/>
  <c r="BG190" i="7"/>
  <c r="BF190" i="7"/>
  <c r="BE190" i="7"/>
  <c r="BD190" i="7"/>
  <c r="BC190" i="7"/>
  <c r="BB190" i="7"/>
  <c r="BA190" i="7"/>
  <c r="AZ190" i="7"/>
  <c r="AY190" i="7"/>
  <c r="AX190" i="7"/>
  <c r="AW190" i="7"/>
  <c r="AV190" i="7"/>
  <c r="AU190" i="7"/>
  <c r="AT190" i="7"/>
  <c r="AS190" i="7"/>
  <c r="AR190" i="7"/>
  <c r="AQ190" i="7"/>
  <c r="AP190" i="7"/>
  <c r="AO190" i="7"/>
  <c r="AN190" i="7"/>
  <c r="AM190" i="7"/>
  <c r="AL190" i="7"/>
  <c r="AK190" i="7"/>
  <c r="AJ190" i="7"/>
  <c r="AI190" i="7"/>
  <c r="AH190" i="7"/>
  <c r="AG190" i="7"/>
  <c r="AF190" i="7"/>
  <c r="AE190" i="7"/>
  <c r="AD190" i="7"/>
  <c r="BI189" i="7"/>
  <c r="BH189" i="7"/>
  <c r="BG189" i="7"/>
  <c r="BF189" i="7"/>
  <c r="BE189" i="7"/>
  <c r="BD189" i="7"/>
  <c r="BC189" i="7"/>
  <c r="BB189" i="7"/>
  <c r="BA189" i="7"/>
  <c r="AZ189" i="7"/>
  <c r="AY189" i="7"/>
  <c r="AX189" i="7"/>
  <c r="AW189" i="7"/>
  <c r="AV189" i="7"/>
  <c r="AU189" i="7"/>
  <c r="AT189" i="7"/>
  <c r="AS189" i="7"/>
  <c r="AR189" i="7"/>
  <c r="AQ189" i="7"/>
  <c r="AP189" i="7"/>
  <c r="AO189" i="7"/>
  <c r="AN189" i="7"/>
  <c r="AM189" i="7"/>
  <c r="AL189" i="7"/>
  <c r="AK189" i="7"/>
  <c r="AJ189" i="7"/>
  <c r="AI189" i="7"/>
  <c r="AH189" i="7"/>
  <c r="AG189" i="7"/>
  <c r="AF189" i="7"/>
  <c r="AE189" i="7"/>
  <c r="AD189" i="7"/>
  <c r="Q138" i="7"/>
  <c r="Q139" i="7"/>
  <c r="Q140" i="7"/>
  <c r="Q137" i="7"/>
  <c r="P139" i="7"/>
  <c r="P140" i="7"/>
  <c r="P149" i="7"/>
  <c r="P150" i="7"/>
  <c r="P151" i="7"/>
  <c r="P152" i="7"/>
  <c r="P138" i="7"/>
  <c r="P137" i="7"/>
  <c r="Q192" i="7"/>
  <c r="P192" i="7"/>
  <c r="Q191" i="7"/>
  <c r="P191" i="7"/>
  <c r="Q190" i="7"/>
  <c r="P190" i="7"/>
  <c r="Q189" i="7"/>
  <c r="P189" i="7"/>
  <c r="P154" i="7"/>
  <c r="Q154" i="7"/>
  <c r="P155" i="7"/>
  <c r="Q155" i="7"/>
  <c r="P156" i="7"/>
  <c r="Q156" i="7"/>
  <c r="P157" i="7"/>
  <c r="Q157" i="7"/>
  <c r="P158" i="7"/>
  <c r="Q158" i="7"/>
  <c r="P159" i="7"/>
  <c r="Q159" i="7"/>
  <c r="P160" i="7"/>
  <c r="Q160" i="7"/>
  <c r="P161" i="7"/>
  <c r="Q161" i="7"/>
  <c r="P162" i="7"/>
  <c r="Q162" i="7"/>
  <c r="P163" i="7"/>
  <c r="Q163" i="7"/>
  <c r="P164" i="7"/>
  <c r="Q164" i="7"/>
  <c r="Q153" i="7"/>
  <c r="P153" i="7"/>
  <c r="B43" i="23"/>
  <c r="B42" i="23"/>
  <c r="B28" i="23"/>
  <c r="B27" i="23"/>
  <c r="C138" i="7"/>
  <c r="C139" i="7"/>
  <c r="C140" i="7"/>
  <c r="C149" i="7"/>
  <c r="C150" i="7"/>
  <c r="C151" i="7"/>
  <c r="C152" i="7"/>
  <c r="C153" i="7"/>
  <c r="C154" i="7"/>
  <c r="C155" i="7"/>
  <c r="C156" i="7"/>
  <c r="C157" i="7"/>
  <c r="C158" i="7"/>
  <c r="C159" i="7"/>
  <c r="C160" i="7"/>
  <c r="C161" i="7"/>
  <c r="C162" i="7"/>
  <c r="C163" i="7"/>
  <c r="C164" i="7"/>
  <c r="C189" i="7"/>
  <c r="C190" i="7"/>
  <c r="C191" i="7"/>
  <c r="C192" i="7"/>
  <c r="C193" i="7"/>
  <c r="C194" i="7"/>
  <c r="C195" i="7"/>
  <c r="C196" i="7"/>
  <c r="C197" i="7"/>
  <c r="C198" i="7"/>
  <c r="C205" i="7"/>
  <c r="C206" i="7"/>
  <c r="C207" i="7"/>
  <c r="C208" i="7"/>
  <c r="C209" i="7"/>
  <c r="C210" i="7"/>
  <c r="C223" i="7"/>
  <c r="C224" i="7"/>
  <c r="C225" i="7"/>
  <c r="C226" i="7"/>
  <c r="C235" i="7"/>
  <c r="C236" i="7"/>
  <c r="C238" i="7"/>
  <c r="C239" i="7"/>
  <c r="C240" i="7"/>
  <c r="C241" i="7"/>
  <c r="C242" i="7"/>
  <c r="C243" i="7"/>
  <c r="C244" i="7"/>
  <c r="C245" i="7"/>
  <c r="C246" i="7"/>
  <c r="C247" i="7"/>
  <c r="C248" i="7"/>
  <c r="C249" i="7"/>
  <c r="C250" i="7"/>
  <c r="C251" i="7"/>
  <c r="C252" i="7"/>
  <c r="C253" i="7"/>
  <c r="C286" i="7"/>
  <c r="C287" i="7"/>
  <c r="C288" i="7"/>
  <c r="C289" i="7"/>
  <c r="C290" i="7"/>
  <c r="C291" i="7"/>
  <c r="C292" i="7"/>
  <c r="C293" i="7"/>
  <c r="C294" i="7"/>
  <c r="C295" i="7"/>
  <c r="C296" i="7"/>
  <c r="C297" i="7"/>
  <c r="C298" i="7"/>
  <c r="C299" i="7"/>
  <c r="C300" i="7"/>
  <c r="C137" i="7"/>
  <c r="B44" i="23"/>
  <c r="D40" i="23"/>
  <c r="C40" i="23"/>
  <c r="A40" i="23"/>
  <c r="B33" i="23"/>
  <c r="H40" i="23" s="1"/>
  <c r="B29" i="23"/>
  <c r="B18" i="23"/>
  <c r="H25" i="23" s="1"/>
  <c r="D25" i="23"/>
  <c r="C25" i="23"/>
  <c r="A25" i="23"/>
  <c r="R138" i="7"/>
  <c r="R139" i="7"/>
  <c r="R140" i="7"/>
  <c r="R149" i="7"/>
  <c r="R150" i="7"/>
  <c r="R151" i="7"/>
  <c r="R152" i="7"/>
  <c r="R153" i="7"/>
  <c r="R154" i="7"/>
  <c r="R155" i="7"/>
  <c r="R156" i="7"/>
  <c r="R157" i="7"/>
  <c r="R158" i="7"/>
  <c r="R159" i="7"/>
  <c r="R160" i="7"/>
  <c r="R161" i="7"/>
  <c r="R162" i="7"/>
  <c r="R163" i="7"/>
  <c r="R164" i="7"/>
  <c r="R189" i="7"/>
  <c r="R190" i="7"/>
  <c r="R191" i="7"/>
  <c r="R192" i="7"/>
  <c r="R193" i="7"/>
  <c r="R194" i="7"/>
  <c r="R195" i="7"/>
  <c r="R196" i="7"/>
  <c r="R197" i="7"/>
  <c r="R198" i="7"/>
  <c r="R205" i="7"/>
  <c r="R206" i="7"/>
  <c r="R207" i="7"/>
  <c r="R208" i="7"/>
  <c r="R209" i="7"/>
  <c r="R210" i="7"/>
  <c r="R223" i="7"/>
  <c r="R224" i="7"/>
  <c r="R225" i="7"/>
  <c r="R226" i="7"/>
  <c r="R235" i="7"/>
  <c r="R236" i="7"/>
  <c r="R237" i="7"/>
  <c r="R238" i="7"/>
  <c r="R239" i="7"/>
  <c r="R240" i="7"/>
  <c r="R241" i="7"/>
  <c r="R242" i="7"/>
  <c r="R243" i="7"/>
  <c r="R244" i="7"/>
  <c r="R245" i="7"/>
  <c r="R246" i="7"/>
  <c r="R247" i="7"/>
  <c r="R248" i="7"/>
  <c r="R249" i="7"/>
  <c r="R250" i="7"/>
  <c r="R251" i="7"/>
  <c r="R252" i="7"/>
  <c r="R253" i="7"/>
  <c r="R286" i="7"/>
  <c r="R287" i="7"/>
  <c r="R288" i="7"/>
  <c r="R289" i="7"/>
  <c r="R290" i="7"/>
  <c r="R291" i="7"/>
  <c r="R292" i="7"/>
  <c r="R293" i="7"/>
  <c r="R294" i="7"/>
  <c r="R295" i="7"/>
  <c r="R296" i="7"/>
  <c r="R297" i="7"/>
  <c r="R298" i="7"/>
  <c r="R299" i="7"/>
  <c r="R300" i="7"/>
  <c r="R137" i="7"/>
  <c r="F189" i="7"/>
  <c r="G189" i="7"/>
  <c r="F190" i="7"/>
  <c r="G190" i="7"/>
  <c r="F191" i="7"/>
  <c r="G191" i="7"/>
  <c r="F192" i="7"/>
  <c r="G192" i="7"/>
  <c r="F193" i="7"/>
  <c r="G193" i="7"/>
  <c r="F194" i="7"/>
  <c r="G194" i="7"/>
  <c r="F195" i="7"/>
  <c r="G195" i="7"/>
  <c r="F196" i="7"/>
  <c r="G196" i="7"/>
  <c r="F197" i="7"/>
  <c r="G197" i="7"/>
  <c r="F198" i="7"/>
  <c r="G198" i="7"/>
  <c r="F205" i="7"/>
  <c r="G205" i="7"/>
  <c r="F206" i="7"/>
  <c r="G206" i="7"/>
  <c r="F207" i="7"/>
  <c r="G207" i="7"/>
  <c r="F208" i="7"/>
  <c r="G208" i="7"/>
  <c r="F209" i="7"/>
  <c r="G209" i="7"/>
  <c r="F210" i="7"/>
  <c r="G210" i="7"/>
  <c r="F223" i="7"/>
  <c r="G223" i="7"/>
  <c r="F224" i="7"/>
  <c r="G224" i="7"/>
  <c r="F225" i="7"/>
  <c r="G225" i="7"/>
  <c r="F226" i="7"/>
  <c r="G226" i="7"/>
  <c r="F235" i="7"/>
  <c r="G235" i="7"/>
  <c r="F236" i="7"/>
  <c r="G236" i="7"/>
  <c r="F237" i="7"/>
  <c r="G237" i="7"/>
  <c r="F238" i="7"/>
  <c r="G238" i="7"/>
  <c r="F239" i="7"/>
  <c r="G239" i="7"/>
  <c r="F240" i="7"/>
  <c r="G240" i="7"/>
  <c r="F241" i="7"/>
  <c r="G241" i="7"/>
  <c r="F242" i="7"/>
  <c r="G242" i="7"/>
  <c r="F243" i="7"/>
  <c r="G243" i="7"/>
  <c r="F244" i="7"/>
  <c r="G244" i="7"/>
  <c r="F245" i="7"/>
  <c r="G245" i="7"/>
  <c r="F246" i="7"/>
  <c r="G246" i="7"/>
  <c r="F247" i="7"/>
  <c r="G247" i="7"/>
  <c r="F248" i="7"/>
  <c r="G248" i="7"/>
  <c r="F249" i="7"/>
  <c r="G249" i="7"/>
  <c r="F250" i="7"/>
  <c r="G250" i="7"/>
  <c r="F251" i="7"/>
  <c r="G251" i="7"/>
  <c r="F252" i="7"/>
  <c r="G252" i="7"/>
  <c r="F253" i="7"/>
  <c r="G253" i="7"/>
  <c r="F286" i="7"/>
  <c r="G286" i="7"/>
  <c r="F287" i="7"/>
  <c r="G287" i="7"/>
  <c r="F288" i="7"/>
  <c r="G288" i="7"/>
  <c r="F289" i="7"/>
  <c r="G289" i="7"/>
  <c r="F290" i="7"/>
  <c r="G290" i="7"/>
  <c r="F291" i="7"/>
  <c r="G291" i="7"/>
  <c r="F292" i="7"/>
  <c r="G292" i="7"/>
  <c r="F293" i="7"/>
  <c r="G293" i="7"/>
  <c r="F294" i="7"/>
  <c r="G294" i="7"/>
  <c r="F295" i="7"/>
  <c r="G295" i="7"/>
  <c r="F296" i="7"/>
  <c r="G296" i="7"/>
  <c r="F297" i="7"/>
  <c r="G297" i="7"/>
  <c r="F298" i="7"/>
  <c r="G298" i="7"/>
  <c r="F299" i="7"/>
  <c r="G299" i="7"/>
  <c r="F300" i="7"/>
  <c r="G300" i="7"/>
  <c r="F138" i="7"/>
  <c r="G138" i="7"/>
  <c r="F139" i="7"/>
  <c r="G139" i="7"/>
  <c r="F140" i="7"/>
  <c r="G140" i="7"/>
  <c r="F149" i="7"/>
  <c r="G149" i="7"/>
  <c r="F150" i="7"/>
  <c r="G150" i="7"/>
  <c r="F151" i="7"/>
  <c r="G151" i="7"/>
  <c r="F152" i="7"/>
  <c r="G152" i="7"/>
  <c r="F153" i="7"/>
  <c r="G153" i="7"/>
  <c r="F154" i="7"/>
  <c r="G154" i="7"/>
  <c r="F155" i="7"/>
  <c r="G155" i="7"/>
  <c r="F156" i="7"/>
  <c r="G156" i="7"/>
  <c r="F157" i="7"/>
  <c r="G157" i="7"/>
  <c r="F158" i="7"/>
  <c r="G158" i="7"/>
  <c r="F159" i="7"/>
  <c r="G159" i="7"/>
  <c r="F160" i="7"/>
  <c r="G160" i="7"/>
  <c r="F161" i="7"/>
  <c r="G161" i="7"/>
  <c r="F162" i="7"/>
  <c r="G162" i="7"/>
  <c r="F163" i="7"/>
  <c r="G163" i="7"/>
  <c r="F164" i="7"/>
  <c r="G164" i="7"/>
  <c r="G137" i="7"/>
  <c r="F137" i="7"/>
  <c r="S190" i="7"/>
  <c r="U190" i="7"/>
  <c r="V190" i="7"/>
  <c r="W190" i="7"/>
  <c r="X190" i="7"/>
  <c r="Y190" i="7"/>
  <c r="Z190" i="7"/>
  <c r="AA190" i="7"/>
  <c r="AB190" i="7"/>
  <c r="AC190" i="7"/>
  <c r="BJ190" i="7"/>
  <c r="BK190" i="7"/>
  <c r="BL190" i="7"/>
  <c r="S191" i="7"/>
  <c r="U191" i="7"/>
  <c r="V191" i="7"/>
  <c r="W191" i="7"/>
  <c r="X191" i="7"/>
  <c r="Y191" i="7"/>
  <c r="Z191" i="7"/>
  <c r="AA191" i="7"/>
  <c r="AB191" i="7"/>
  <c r="AC191" i="7"/>
  <c r="BJ191" i="7"/>
  <c r="BK191" i="7"/>
  <c r="BL191" i="7"/>
  <c r="S192" i="7"/>
  <c r="U192" i="7"/>
  <c r="V192" i="7"/>
  <c r="W192" i="7"/>
  <c r="X192" i="7"/>
  <c r="Y192" i="7"/>
  <c r="Z192" i="7"/>
  <c r="AA192" i="7"/>
  <c r="AB192" i="7"/>
  <c r="AC192" i="7"/>
  <c r="BJ192" i="7"/>
  <c r="BK192" i="7"/>
  <c r="BL192" i="7"/>
  <c r="BK189" i="7"/>
  <c r="BL189" i="7"/>
  <c r="BJ189" i="7"/>
  <c r="U189" i="7"/>
  <c r="V189" i="7"/>
  <c r="W189" i="7"/>
  <c r="X189" i="7"/>
  <c r="Y189" i="7"/>
  <c r="Z189" i="7"/>
  <c r="AA189" i="7"/>
  <c r="AB189" i="7"/>
  <c r="AC189" i="7"/>
  <c r="S189" i="7"/>
  <c r="O194" i="7"/>
  <c r="O195" i="7"/>
  <c r="O196" i="7"/>
  <c r="O197" i="7"/>
  <c r="O198" i="7"/>
  <c r="O205" i="7"/>
  <c r="O206" i="7"/>
  <c r="O207" i="7"/>
  <c r="O208" i="7"/>
  <c r="O209" i="7"/>
  <c r="O210" i="7"/>
  <c r="O223" i="7"/>
  <c r="O224" i="7"/>
  <c r="O225" i="7"/>
  <c r="O226" i="7"/>
  <c r="O235" i="7"/>
  <c r="O236" i="7"/>
  <c r="O237" i="7"/>
  <c r="O238" i="7"/>
  <c r="O239" i="7"/>
  <c r="O240" i="7"/>
  <c r="O241" i="7"/>
  <c r="O242" i="7"/>
  <c r="O243" i="7"/>
  <c r="O244" i="7"/>
  <c r="O245" i="7"/>
  <c r="O246" i="7"/>
  <c r="O247" i="7"/>
  <c r="O248" i="7"/>
  <c r="O249" i="7"/>
  <c r="O250" i="7"/>
  <c r="O251" i="7"/>
  <c r="O252" i="7"/>
  <c r="O253" i="7"/>
  <c r="O286" i="7"/>
  <c r="O287" i="7"/>
  <c r="O288" i="7"/>
  <c r="O289" i="7"/>
  <c r="O290" i="7"/>
  <c r="O291" i="7"/>
  <c r="O292" i="7"/>
  <c r="O293" i="7"/>
  <c r="O294" i="7"/>
  <c r="O295" i="7"/>
  <c r="O296" i="7"/>
  <c r="O297" i="7"/>
  <c r="O298" i="7"/>
  <c r="O299" i="7"/>
  <c r="O300" i="7"/>
  <c r="O193" i="7"/>
  <c r="O138" i="7"/>
  <c r="O139" i="7"/>
  <c r="O140" i="7"/>
  <c r="O149" i="7"/>
  <c r="O150" i="7"/>
  <c r="O151" i="7"/>
  <c r="O152" i="7"/>
  <c r="O153" i="7"/>
  <c r="O154" i="7"/>
  <c r="O155" i="7"/>
  <c r="O156" i="7"/>
  <c r="O157" i="7"/>
  <c r="O158" i="7"/>
  <c r="O159" i="7"/>
  <c r="O160" i="7"/>
  <c r="O161" i="7"/>
  <c r="O162" i="7"/>
  <c r="O163" i="7"/>
  <c r="O164" i="7"/>
  <c r="O137" i="7"/>
  <c r="M194" i="7"/>
  <c r="M195" i="7"/>
  <c r="M196" i="7"/>
  <c r="M197" i="7"/>
  <c r="M198" i="7"/>
  <c r="M205" i="7"/>
  <c r="M206" i="7"/>
  <c r="M207" i="7"/>
  <c r="M208" i="7"/>
  <c r="M209" i="7"/>
  <c r="M210" i="7"/>
  <c r="M223" i="7"/>
  <c r="M224" i="7"/>
  <c r="M225" i="7"/>
  <c r="M226" i="7"/>
  <c r="M235" i="7"/>
  <c r="M236" i="7"/>
  <c r="M237" i="7"/>
  <c r="M238" i="7"/>
  <c r="M239" i="7"/>
  <c r="M240" i="7"/>
  <c r="M241" i="7"/>
  <c r="M242" i="7"/>
  <c r="M243" i="7"/>
  <c r="M244" i="7"/>
  <c r="M245" i="7"/>
  <c r="M246" i="7"/>
  <c r="M247" i="7"/>
  <c r="M248" i="7"/>
  <c r="M249" i="7"/>
  <c r="M250" i="7"/>
  <c r="M251" i="7"/>
  <c r="M252" i="7"/>
  <c r="M253" i="7"/>
  <c r="M286" i="7"/>
  <c r="M287" i="7"/>
  <c r="M288" i="7"/>
  <c r="M289" i="7"/>
  <c r="M290" i="7"/>
  <c r="M291" i="7"/>
  <c r="M292" i="7"/>
  <c r="M293" i="7"/>
  <c r="M294" i="7"/>
  <c r="M295" i="7"/>
  <c r="M296" i="7"/>
  <c r="M297" i="7"/>
  <c r="M298" i="7"/>
  <c r="M299" i="7"/>
  <c r="M300" i="7"/>
  <c r="M193" i="7"/>
  <c r="M138" i="7"/>
  <c r="M139" i="7"/>
  <c r="M140" i="7"/>
  <c r="M149" i="7"/>
  <c r="M150" i="7"/>
  <c r="M151" i="7"/>
  <c r="M152" i="7"/>
  <c r="M153" i="7"/>
  <c r="M154" i="7"/>
  <c r="M155" i="7"/>
  <c r="M156" i="7"/>
  <c r="M157" i="7"/>
  <c r="M158" i="7"/>
  <c r="M159" i="7"/>
  <c r="M160" i="7"/>
  <c r="M161" i="7"/>
  <c r="M162" i="7"/>
  <c r="M163" i="7"/>
  <c r="M164" i="7"/>
  <c r="M137" i="7"/>
  <c r="BJ138" i="7"/>
  <c r="BK138" i="7"/>
  <c r="BL138" i="7"/>
  <c r="BJ139" i="7"/>
  <c r="BK139" i="7"/>
  <c r="BL139" i="7"/>
  <c r="BJ140" i="7"/>
  <c r="BK140" i="7"/>
  <c r="BL140" i="7"/>
  <c r="BJ149" i="7"/>
  <c r="BK149" i="7"/>
  <c r="BL149" i="7"/>
  <c r="BJ150" i="7"/>
  <c r="BK150" i="7"/>
  <c r="BL150" i="7"/>
  <c r="BJ151" i="7"/>
  <c r="BK151" i="7"/>
  <c r="BL151" i="7"/>
  <c r="BJ152" i="7"/>
  <c r="BK152" i="7"/>
  <c r="BL152" i="7"/>
  <c r="BJ153" i="7"/>
  <c r="BK153" i="7"/>
  <c r="BL153" i="7"/>
  <c r="BJ154" i="7"/>
  <c r="BK154" i="7"/>
  <c r="BL154" i="7"/>
  <c r="BJ155" i="7"/>
  <c r="BK155" i="7"/>
  <c r="BL155" i="7"/>
  <c r="BJ156" i="7"/>
  <c r="BK156" i="7"/>
  <c r="BL156" i="7"/>
  <c r="BJ157" i="7"/>
  <c r="BK157" i="7"/>
  <c r="BL157" i="7"/>
  <c r="BJ158" i="7"/>
  <c r="BK158" i="7"/>
  <c r="BL158" i="7"/>
  <c r="BJ159" i="7"/>
  <c r="BK159" i="7"/>
  <c r="BL159" i="7"/>
  <c r="BJ160" i="7"/>
  <c r="BK160" i="7"/>
  <c r="BL160" i="7"/>
  <c r="BJ161" i="7"/>
  <c r="BK161" i="7"/>
  <c r="BL161" i="7"/>
  <c r="BJ162" i="7"/>
  <c r="BK162" i="7"/>
  <c r="BL162" i="7"/>
  <c r="BJ163" i="7"/>
  <c r="BK163" i="7"/>
  <c r="BL163" i="7"/>
  <c r="BJ164" i="7"/>
  <c r="BK164" i="7"/>
  <c r="BL164" i="7"/>
  <c r="BJ137" i="7"/>
  <c r="BK137" i="7"/>
  <c r="BL137" i="7"/>
  <c r="O189" i="7"/>
  <c r="O190" i="7"/>
  <c r="O191" i="7"/>
  <c r="O192" i="7"/>
  <c r="M189" i="7"/>
  <c r="M190" i="7"/>
  <c r="M191" i="7"/>
  <c r="M192" i="7"/>
  <c r="E192" i="7"/>
  <c r="E191" i="7"/>
  <c r="E190" i="7"/>
  <c r="E189" i="7"/>
  <c r="D252" i="7"/>
  <c r="D251" i="7"/>
  <c r="D250" i="7"/>
  <c r="D249" i="7"/>
  <c r="D248" i="7"/>
  <c r="D247" i="7"/>
  <c r="D246" i="7"/>
  <c r="D245" i="7"/>
  <c r="D244" i="7"/>
  <c r="D243" i="7"/>
  <c r="D242" i="7"/>
  <c r="D241" i="7"/>
  <c r="D240" i="7"/>
  <c r="D239" i="7"/>
  <c r="D238" i="7"/>
  <c r="D237" i="7"/>
  <c r="D236" i="7"/>
  <c r="D235" i="7"/>
  <c r="D210" i="7"/>
  <c r="D209" i="7"/>
  <c r="D208" i="7"/>
  <c r="D207" i="7"/>
  <c r="D206" i="7"/>
  <c r="D205" i="7"/>
  <c r="D198" i="7"/>
  <c r="D197" i="7"/>
  <c r="D196" i="7"/>
  <c r="D195" i="7"/>
  <c r="D194" i="7"/>
  <c r="D193" i="7"/>
  <c r="D192" i="7"/>
  <c r="D191" i="7"/>
  <c r="D190" i="7"/>
  <c r="D189" i="7"/>
  <c r="D164" i="7"/>
  <c r="D163" i="7"/>
  <c r="D162" i="7"/>
  <c r="D161" i="7"/>
  <c r="D160" i="7"/>
  <c r="D159" i="7"/>
  <c r="D158" i="7"/>
  <c r="D157" i="7"/>
  <c r="D156" i="7"/>
  <c r="D155" i="7"/>
  <c r="D154" i="7"/>
  <c r="D153" i="7"/>
  <c r="D152" i="7"/>
  <c r="D151" i="7"/>
  <c r="D150" i="7"/>
  <c r="D149" i="7"/>
  <c r="D140" i="7"/>
  <c r="D139" i="7"/>
  <c r="D138" i="7"/>
  <c r="D137" i="7"/>
  <c r="B252" i="7"/>
  <c r="B251" i="7"/>
  <c r="B250" i="7"/>
  <c r="B249" i="7"/>
  <c r="B248" i="7"/>
  <c r="B247" i="7"/>
  <c r="B246" i="7"/>
  <c r="B245" i="7"/>
  <c r="B244" i="7"/>
  <c r="B243" i="7"/>
  <c r="B242" i="7"/>
  <c r="B241" i="7"/>
  <c r="B240" i="7"/>
  <c r="B239" i="7"/>
  <c r="B238" i="7"/>
  <c r="B237" i="7"/>
  <c r="B236" i="7"/>
  <c r="B235" i="7"/>
  <c r="B210" i="7"/>
  <c r="B209" i="7"/>
  <c r="B208" i="7"/>
  <c r="B207" i="7"/>
  <c r="B206" i="7"/>
  <c r="B205" i="7"/>
  <c r="B198" i="7"/>
  <c r="B197" i="7"/>
  <c r="B196" i="7"/>
  <c r="B195" i="7"/>
  <c r="B194" i="7"/>
  <c r="B193" i="7"/>
  <c r="B192" i="7"/>
  <c r="B191" i="7"/>
  <c r="B190" i="7"/>
  <c r="B189" i="7"/>
  <c r="B164" i="7"/>
  <c r="B163" i="7"/>
  <c r="B162" i="7"/>
  <c r="B161" i="7"/>
  <c r="B160" i="7"/>
  <c r="B159" i="7"/>
  <c r="B158" i="7"/>
  <c r="B157" i="7"/>
  <c r="B156" i="7"/>
  <c r="B155" i="7"/>
  <c r="B154" i="7"/>
  <c r="B153" i="7"/>
  <c r="B152" i="7"/>
  <c r="B151" i="7"/>
  <c r="B150" i="7"/>
  <c r="B149" i="7"/>
  <c r="B140" i="7"/>
  <c r="B139" i="7"/>
  <c r="B138" i="7"/>
  <c r="B137" i="7"/>
  <c r="AO4" i="1"/>
  <c r="AO5" i="1"/>
  <c r="AO6" i="1"/>
  <c r="AO15" i="1"/>
  <c r="AO16" i="1"/>
  <c r="AO17" i="1"/>
  <c r="AO18" i="1"/>
  <c r="AO19" i="1"/>
  <c r="AO20" i="1"/>
  <c r="AO21" i="1"/>
  <c r="AO22" i="1"/>
  <c r="AO23" i="1"/>
  <c r="AO24" i="1"/>
  <c r="AO25" i="1"/>
  <c r="AO26" i="1"/>
  <c r="AO27" i="1"/>
  <c r="AO28" i="1"/>
  <c r="AO29" i="1"/>
  <c r="AO30" i="1"/>
  <c r="AO55" i="1"/>
  <c r="AO56" i="1"/>
  <c r="AO57" i="1"/>
  <c r="AO58" i="1"/>
  <c r="AO59" i="1"/>
  <c r="AO60" i="1"/>
  <c r="AO61" i="1"/>
  <c r="AO62" i="1"/>
  <c r="AO63" i="1"/>
  <c r="AO64" i="1"/>
  <c r="AO71" i="1"/>
  <c r="AO72" i="1"/>
  <c r="AO73" i="1"/>
  <c r="AO74" i="1"/>
  <c r="AO75" i="1"/>
  <c r="AO76" i="1"/>
  <c r="AO81" i="1"/>
  <c r="AO82" i="1"/>
  <c r="AO83" i="1"/>
  <c r="AO84" i="1"/>
  <c r="AO112" i="1"/>
  <c r="AO113" i="1"/>
  <c r="AO114" i="1"/>
  <c r="AO116" i="1"/>
  <c r="AO117" i="1"/>
  <c r="AO118" i="1"/>
  <c r="AO151" i="1"/>
  <c r="AO152" i="1"/>
  <c r="AO153" i="1"/>
  <c r="AO154" i="1"/>
  <c r="AO159" i="1"/>
  <c r="AO160" i="1"/>
  <c r="AO161" i="1"/>
  <c r="AO162" i="1"/>
  <c r="AO163" i="1"/>
  <c r="AO164" i="1"/>
  <c r="AO165" i="1"/>
  <c r="AO166" i="1"/>
  <c r="AO3" i="1"/>
  <c r="AL56" i="1"/>
  <c r="AL57" i="1"/>
  <c r="AL58" i="1"/>
  <c r="AL55" i="1"/>
  <c r="Z4" i="1"/>
  <c r="AT4" i="1"/>
  <c r="Z5" i="1"/>
  <c r="AT5" i="1"/>
  <c r="Z6" i="1"/>
  <c r="AT6" i="1"/>
  <c r="Z15" i="1"/>
  <c r="Z16" i="1"/>
  <c r="Z17" i="1"/>
  <c r="Z18" i="1"/>
  <c r="Z19" i="1"/>
  <c r="AT19" i="1"/>
  <c r="Z20" i="1"/>
  <c r="AT20" i="1"/>
  <c r="Z21" i="1"/>
  <c r="Z22" i="1"/>
  <c r="Z23" i="1"/>
  <c r="AT23" i="1"/>
  <c r="Z24" i="1"/>
  <c r="Z25" i="1"/>
  <c r="Z26" i="1"/>
  <c r="AT26" i="1"/>
  <c r="Z27" i="1"/>
  <c r="AT27" i="1"/>
  <c r="Z28" i="1"/>
  <c r="Z29" i="1"/>
  <c r="AT29" i="1"/>
  <c r="Z30" i="1"/>
  <c r="AT30" i="1"/>
  <c r="Z55" i="1"/>
  <c r="AT55" i="1"/>
  <c r="Z56" i="1"/>
  <c r="AT56" i="1"/>
  <c r="Z57" i="1"/>
  <c r="Z58" i="1"/>
  <c r="AT58" i="1"/>
  <c r="Z59" i="1"/>
  <c r="Z60" i="1"/>
  <c r="Z61" i="1"/>
  <c r="Z62" i="1"/>
  <c r="Z63" i="1"/>
  <c r="Z64" i="1"/>
  <c r="Z71" i="1"/>
  <c r="Z72" i="1"/>
  <c r="Z73" i="1"/>
  <c r="Z74" i="1"/>
  <c r="Z75" i="1"/>
  <c r="Z76" i="1"/>
  <c r="Z101" i="1"/>
  <c r="Z102" i="1"/>
  <c r="Z103" i="1"/>
  <c r="Z104" i="1"/>
  <c r="Z105" i="1"/>
  <c r="Z106" i="1"/>
  <c r="Z107" i="1"/>
  <c r="Z108" i="1"/>
  <c r="Z109" i="1"/>
  <c r="Z110" i="1"/>
  <c r="Z111" i="1"/>
  <c r="Z112" i="1"/>
  <c r="Z113" i="1"/>
  <c r="Z114" i="1"/>
  <c r="Z115" i="1"/>
  <c r="Z116" i="1"/>
  <c r="Z117" i="1"/>
  <c r="Z118" i="1"/>
  <c r="Z151" i="1"/>
  <c r="AT151" i="1"/>
  <c r="Z152" i="1"/>
  <c r="AT152" i="1"/>
  <c r="Z153" i="1"/>
  <c r="AT153" i="1"/>
  <c r="Z154" i="1"/>
  <c r="AT154" i="1"/>
  <c r="Z155" i="1"/>
  <c r="AT155" i="1"/>
  <c r="Z156" i="1"/>
  <c r="AT156" i="1"/>
  <c r="Z157" i="1"/>
  <c r="AT157" i="1"/>
  <c r="Z158" i="1"/>
  <c r="AT158" i="1"/>
  <c r="Z159" i="1"/>
  <c r="AT159" i="1"/>
  <c r="Z160" i="1"/>
  <c r="AT160" i="1"/>
  <c r="Z161" i="1"/>
  <c r="AT161" i="1"/>
  <c r="Z162" i="1"/>
  <c r="AT162" i="1"/>
  <c r="Z163" i="1"/>
  <c r="AT163" i="1"/>
  <c r="Z164" i="1"/>
  <c r="AT164" i="1"/>
  <c r="Z165" i="1"/>
  <c r="AT165" i="1"/>
  <c r="Z166" i="1"/>
  <c r="AT166" i="1"/>
  <c r="Z3" i="1"/>
  <c r="AS15" i="1"/>
  <c r="AS16" i="1"/>
  <c r="AS17" i="1"/>
  <c r="AS18" i="1"/>
  <c r="AS59" i="1"/>
  <c r="AS60" i="1"/>
  <c r="AS61" i="1"/>
  <c r="AS62" i="1"/>
  <c r="AS63" i="1"/>
  <c r="AS64" i="1"/>
  <c r="AS71" i="1"/>
  <c r="AS72" i="1"/>
  <c r="AS73" i="1"/>
  <c r="AS74" i="1"/>
  <c r="AS75" i="1"/>
  <c r="AS76" i="1"/>
  <c r="AS101" i="1"/>
  <c r="AS102" i="1"/>
  <c r="AS103" i="1"/>
  <c r="AS104" i="1"/>
  <c r="AS105" i="1"/>
  <c r="AS106" i="1"/>
  <c r="AS107" i="1"/>
  <c r="AS108" i="1"/>
  <c r="AS109" i="1"/>
  <c r="AS110" i="1"/>
  <c r="AS111" i="1"/>
  <c r="AS112" i="1"/>
  <c r="AS113" i="1"/>
  <c r="AS114" i="1"/>
  <c r="AS115" i="1"/>
  <c r="AS116" i="1"/>
  <c r="AS117" i="1"/>
  <c r="AS118" i="1"/>
  <c r="AN81" i="1"/>
  <c r="U84" i="1"/>
  <c r="AN84" i="1"/>
  <c r="AN101" i="1"/>
  <c r="AN105" i="1"/>
  <c r="AN108" i="1"/>
  <c r="U71" i="1"/>
  <c r="AN71" i="1"/>
  <c r="U73" i="1"/>
  <c r="AN73" i="1"/>
  <c r="U61" i="1"/>
  <c r="U64" i="1"/>
  <c r="AN64" i="1"/>
  <c r="K201" i="7"/>
  <c r="AF151" i="1"/>
  <c r="AF152" i="1"/>
  <c r="AF153" i="1"/>
  <c r="AF154" i="1"/>
  <c r="AF155" i="1"/>
  <c r="AF156" i="1"/>
  <c r="AF157" i="1"/>
  <c r="AF158" i="1"/>
  <c r="AF159" i="1"/>
  <c r="AF160" i="1"/>
  <c r="AF161" i="1"/>
  <c r="AF162" i="1"/>
  <c r="AF163" i="1"/>
  <c r="AF164" i="1"/>
  <c r="AF165" i="1"/>
  <c r="AF166" i="1"/>
  <c r="P166" i="1"/>
  <c r="AP59" i="1"/>
  <c r="AP60" i="1"/>
  <c r="AP61" i="1"/>
  <c r="AP62" i="1"/>
  <c r="AP63" i="1"/>
  <c r="AP64" i="1"/>
  <c r="AP71" i="1"/>
  <c r="AP72" i="1"/>
  <c r="AP73" i="1"/>
  <c r="AP74" i="1"/>
  <c r="AP75" i="1"/>
  <c r="AP76" i="1"/>
  <c r="AP102" i="1"/>
  <c r="AP103" i="1"/>
  <c r="AP104" i="1"/>
  <c r="AP105" i="1"/>
  <c r="AP106" i="1"/>
  <c r="AP107" i="1"/>
  <c r="AP108" i="1"/>
  <c r="AP110" i="1"/>
  <c r="AP111" i="1"/>
  <c r="AP112" i="1"/>
  <c r="AP113" i="1"/>
  <c r="AP114" i="1"/>
  <c r="AP115" i="1"/>
  <c r="AP117" i="1"/>
  <c r="AP118" i="1"/>
  <c r="AP166" i="1"/>
  <c r="AP160" i="1"/>
  <c r="AP158" i="1"/>
  <c r="AP82" i="1"/>
  <c r="AP81" i="1"/>
  <c r="AP58" i="1"/>
  <c r="AP28" i="1"/>
  <c r="AP24" i="1"/>
  <c r="AP6" i="1"/>
  <c r="U4" i="1"/>
  <c r="AN4" i="1"/>
  <c r="U5" i="1"/>
  <c r="AN5" i="1"/>
  <c r="U6" i="1"/>
  <c r="AN6" i="1"/>
  <c r="U15" i="1"/>
  <c r="AN15" i="1"/>
  <c r="U16" i="1"/>
  <c r="AN16" i="1"/>
  <c r="U17" i="1"/>
  <c r="AN17" i="1"/>
  <c r="U18" i="1"/>
  <c r="AN18" i="1"/>
  <c r="U19" i="1"/>
  <c r="AN19" i="1"/>
  <c r="U20" i="1"/>
  <c r="AN20" i="1"/>
  <c r="U21" i="1"/>
  <c r="AN21" i="1"/>
  <c r="U22" i="1"/>
  <c r="AN22" i="1"/>
  <c r="U23" i="1"/>
  <c r="P23" i="1"/>
  <c r="U24" i="1"/>
  <c r="AN24" i="1"/>
  <c r="U25" i="1"/>
  <c r="AN25" i="1"/>
  <c r="U26" i="1"/>
  <c r="AN26" i="1"/>
  <c r="U27" i="1"/>
  <c r="AN27" i="1"/>
  <c r="U28" i="1"/>
  <c r="AN28" i="1"/>
  <c r="U29" i="1"/>
  <c r="AN29" i="1"/>
  <c r="U30" i="1"/>
  <c r="AN30" i="1"/>
  <c r="U55" i="1"/>
  <c r="AN55" i="1"/>
  <c r="U56" i="1"/>
  <c r="AN56" i="1"/>
  <c r="U57" i="1"/>
  <c r="AN57" i="1"/>
  <c r="U58" i="1"/>
  <c r="AN58" i="1"/>
  <c r="U60" i="1"/>
  <c r="AN60" i="1"/>
  <c r="U62" i="1"/>
  <c r="AN62" i="1"/>
  <c r="U63" i="1"/>
  <c r="AN63" i="1"/>
  <c r="U72" i="1"/>
  <c r="AN72" i="1"/>
  <c r="U74" i="1"/>
  <c r="AN74" i="1"/>
  <c r="U75" i="1"/>
  <c r="U76" i="1"/>
  <c r="AN76" i="1"/>
  <c r="U82" i="1"/>
  <c r="U83" i="1"/>
  <c r="AN83" i="1"/>
  <c r="AN106" i="1"/>
  <c r="AN110" i="1"/>
  <c r="AN152" i="1"/>
  <c r="AN154" i="1"/>
  <c r="AN166" i="1"/>
  <c r="U3" i="1"/>
  <c r="AN3" i="1"/>
  <c r="L154" i="1"/>
  <c r="L153" i="1"/>
  <c r="L152" i="1"/>
  <c r="L151" i="1"/>
  <c r="L4" i="1"/>
  <c r="L5" i="1"/>
  <c r="L6" i="1"/>
  <c r="L15" i="1"/>
  <c r="L16" i="1"/>
  <c r="L17" i="1"/>
  <c r="L18" i="1"/>
  <c r="L19" i="1"/>
  <c r="L20" i="1"/>
  <c r="L21" i="1"/>
  <c r="L22" i="1"/>
  <c r="L23" i="1"/>
  <c r="L24" i="1"/>
  <c r="L25" i="1"/>
  <c r="L26" i="1"/>
  <c r="L27" i="1"/>
  <c r="L28" i="1"/>
  <c r="L29" i="1"/>
  <c r="L30" i="1"/>
  <c r="L55" i="1"/>
  <c r="AK55" i="1"/>
  <c r="L56" i="1"/>
  <c r="AK56" i="1"/>
  <c r="L57" i="1"/>
  <c r="AK57" i="1"/>
  <c r="L58" i="1"/>
  <c r="AK58" i="1"/>
  <c r="L59" i="1"/>
  <c r="L60" i="1"/>
  <c r="L61" i="1"/>
  <c r="L62" i="1"/>
  <c r="L63" i="1"/>
  <c r="L64" i="1"/>
  <c r="L71" i="1"/>
  <c r="L72" i="1"/>
  <c r="L73" i="1"/>
  <c r="L74" i="1"/>
  <c r="L75" i="1"/>
  <c r="L76" i="1"/>
  <c r="L81" i="1"/>
  <c r="L82" i="1"/>
  <c r="L83" i="1"/>
  <c r="L84" i="1"/>
  <c r="L101" i="1"/>
  <c r="L102" i="1"/>
  <c r="L103" i="1"/>
  <c r="L104" i="1"/>
  <c r="L105" i="1"/>
  <c r="L106" i="1"/>
  <c r="L107" i="1"/>
  <c r="L108" i="1"/>
  <c r="L109" i="1"/>
  <c r="L110" i="1"/>
  <c r="L111" i="1"/>
  <c r="L112" i="1"/>
  <c r="L113" i="1"/>
  <c r="L114" i="1"/>
  <c r="L115" i="1"/>
  <c r="L116" i="1"/>
  <c r="L117" i="1"/>
  <c r="L118" i="1"/>
  <c r="L155" i="1"/>
  <c r="L156" i="1"/>
  <c r="L157" i="1"/>
  <c r="L158" i="1"/>
  <c r="L159" i="1"/>
  <c r="L160" i="1"/>
  <c r="L161" i="1"/>
  <c r="L162" i="1"/>
  <c r="L163" i="1"/>
  <c r="L164" i="1"/>
  <c r="L165" i="1"/>
  <c r="L166" i="1"/>
  <c r="L3" i="1"/>
  <c r="U59" i="1"/>
  <c r="AN59" i="1"/>
  <c r="K294" i="7"/>
  <c r="K286" i="7"/>
  <c r="K246" i="7"/>
  <c r="K238" i="7"/>
  <c r="K162" i="7"/>
  <c r="K154" i="7"/>
  <c r="K138" i="7"/>
  <c r="K253" i="7"/>
  <c r="K209" i="7"/>
  <c r="K195" i="7"/>
  <c r="K153" i="7"/>
  <c r="K252" i="7"/>
  <c r="K244" i="7"/>
  <c r="K236" i="7"/>
  <c r="K208" i="7"/>
  <c r="K160" i="7"/>
  <c r="K251" i="7"/>
  <c r="K243" i="7"/>
  <c r="K235" i="7"/>
  <c r="K193" i="7"/>
  <c r="K159" i="7"/>
  <c r="K151" i="7"/>
  <c r="K250" i="7"/>
  <c r="K206" i="7"/>
  <c r="K192" i="7"/>
  <c r="K158" i="7"/>
  <c r="K150" i="7"/>
  <c r="K289" i="7"/>
  <c r="K225" i="7"/>
  <c r="K191" i="7"/>
  <c r="K137" i="7"/>
  <c r="K149" i="7"/>
  <c r="K248" i="7"/>
  <c r="K240" i="7"/>
  <c r="K224" i="7"/>
  <c r="K198" i="7"/>
  <c r="K295" i="7"/>
  <c r="K287" i="7"/>
  <c r="K247" i="7"/>
  <c r="K239" i="7"/>
  <c r="K197" i="7"/>
  <c r="AH75" i="1"/>
  <c r="AW103" i="1"/>
  <c r="AW74" i="1"/>
  <c r="AW63" i="1"/>
  <c r="AW114" i="1"/>
  <c r="AW104" i="1"/>
  <c r="AW113" i="1"/>
  <c r="AW101" i="1"/>
  <c r="AW105" i="1"/>
  <c r="AW106" i="1"/>
  <c r="C237" i="7"/>
  <c r="V103" i="1"/>
  <c r="AO103" i="1"/>
  <c r="AN115" i="1"/>
  <c r="AO115" i="1"/>
  <c r="AZ112" i="1"/>
  <c r="BH112" i="1"/>
  <c r="BP112" i="1"/>
  <c r="BX112" i="1"/>
  <c r="CF112" i="1"/>
  <c r="BA112" i="1"/>
  <c r="BI112" i="1"/>
  <c r="BQ112" i="1"/>
  <c r="BY112" i="1"/>
  <c r="CG112" i="1"/>
  <c r="BB112" i="1"/>
  <c r="BJ112" i="1"/>
  <c r="BR112" i="1"/>
  <c r="BZ112" i="1"/>
  <c r="CH112" i="1"/>
  <c r="BC112" i="1"/>
  <c r="BK112" i="1"/>
  <c r="BS112" i="1"/>
  <c r="CA112" i="1"/>
  <c r="CI112" i="1"/>
  <c r="BE112" i="1"/>
  <c r="BM112" i="1"/>
  <c r="BU112" i="1"/>
  <c r="CC112" i="1"/>
  <c r="BG112" i="1"/>
  <c r="CD112" i="1"/>
  <c r="BL112" i="1"/>
  <c r="CE112" i="1"/>
  <c r="BN112" i="1"/>
  <c r="CJ112" i="1"/>
  <c r="BO112" i="1"/>
  <c r="AX112" i="1"/>
  <c r="BT112" i="1"/>
  <c r="AY112" i="1"/>
  <c r="BV112" i="1"/>
  <c r="BD112" i="1"/>
  <c r="BW112" i="1"/>
  <c r="BF112" i="1"/>
  <c r="CB112" i="1"/>
  <c r="AW112" i="1"/>
  <c r="AY111" i="1"/>
  <c r="BG111" i="1"/>
  <c r="BO111" i="1"/>
  <c r="BW111" i="1"/>
  <c r="CE111" i="1"/>
  <c r="AZ111" i="1"/>
  <c r="BH111" i="1"/>
  <c r="BP111" i="1"/>
  <c r="BX111" i="1"/>
  <c r="CF111" i="1"/>
  <c r="BA111" i="1"/>
  <c r="BI111" i="1"/>
  <c r="BQ111" i="1"/>
  <c r="BY111" i="1"/>
  <c r="CG111" i="1"/>
  <c r="BB111" i="1"/>
  <c r="BJ111" i="1"/>
  <c r="BR111" i="1"/>
  <c r="BZ111" i="1"/>
  <c r="CH111" i="1"/>
  <c r="BD111" i="1"/>
  <c r="BL111" i="1"/>
  <c r="BT111" i="1"/>
  <c r="CB111" i="1"/>
  <c r="CJ111" i="1"/>
  <c r="BE111" i="1"/>
  <c r="CA111" i="1"/>
  <c r="BF111" i="1"/>
  <c r="CC111" i="1"/>
  <c r="BK111" i="1"/>
  <c r="CD111" i="1"/>
  <c r="BM111" i="1"/>
  <c r="CI111" i="1"/>
  <c r="BN111" i="1"/>
  <c r="BS111" i="1"/>
  <c r="AX111" i="1"/>
  <c r="BU111" i="1"/>
  <c r="BC111" i="1"/>
  <c r="BV111" i="1"/>
  <c r="AZ105" i="1"/>
  <c r="BH105" i="1"/>
  <c r="BP105" i="1"/>
  <c r="BX105" i="1"/>
  <c r="CF105" i="1"/>
  <c r="BA105" i="1"/>
  <c r="BI105" i="1"/>
  <c r="BQ105" i="1"/>
  <c r="BY105" i="1"/>
  <c r="CG105" i="1"/>
  <c r="BC105" i="1"/>
  <c r="BK105" i="1"/>
  <c r="BS105" i="1"/>
  <c r="CA105" i="1"/>
  <c r="CI105" i="1"/>
  <c r="BD105" i="1"/>
  <c r="BL105" i="1"/>
  <c r="BT105" i="1"/>
  <c r="CB105" i="1"/>
  <c r="CJ105" i="1"/>
  <c r="BE105" i="1"/>
  <c r="BM105" i="1"/>
  <c r="BU105" i="1"/>
  <c r="CC105" i="1"/>
  <c r="AX105" i="1"/>
  <c r="BF105" i="1"/>
  <c r="BN105" i="1"/>
  <c r="BV105" i="1"/>
  <c r="CD105" i="1"/>
  <c r="AY105" i="1"/>
  <c r="BG105" i="1"/>
  <c r="BO105" i="1"/>
  <c r="BW105" i="1"/>
  <c r="CE105" i="1"/>
  <c r="BB105" i="1"/>
  <c r="BJ105" i="1"/>
  <c r="BR105" i="1"/>
  <c r="BZ105" i="1"/>
  <c r="CH105" i="1"/>
  <c r="BE102" i="1"/>
  <c r="BM102" i="1"/>
  <c r="BU102" i="1"/>
  <c r="CC102" i="1"/>
  <c r="AX102" i="1"/>
  <c r="BF102" i="1"/>
  <c r="BN102" i="1"/>
  <c r="BV102" i="1"/>
  <c r="CD102" i="1"/>
  <c r="AZ102" i="1"/>
  <c r="BH102" i="1"/>
  <c r="BP102" i="1"/>
  <c r="BX102" i="1"/>
  <c r="CF102" i="1"/>
  <c r="BA102" i="1"/>
  <c r="BI102" i="1"/>
  <c r="BQ102" i="1"/>
  <c r="BY102" i="1"/>
  <c r="CG102" i="1"/>
  <c r="BB102" i="1"/>
  <c r="BJ102" i="1"/>
  <c r="BR102" i="1"/>
  <c r="BZ102" i="1"/>
  <c r="CH102" i="1"/>
  <c r="BC102" i="1"/>
  <c r="BK102" i="1"/>
  <c r="BS102" i="1"/>
  <c r="CA102" i="1"/>
  <c r="CI102" i="1"/>
  <c r="BD102" i="1"/>
  <c r="BL102" i="1"/>
  <c r="BT102" i="1"/>
  <c r="CB102" i="1"/>
  <c r="CJ102" i="1"/>
  <c r="AY102" i="1"/>
  <c r="BG102" i="1"/>
  <c r="BO102" i="1"/>
  <c r="BW102" i="1"/>
  <c r="CE102" i="1"/>
  <c r="BA106" i="1"/>
  <c r="BI106" i="1"/>
  <c r="BQ106" i="1"/>
  <c r="BY106" i="1"/>
  <c r="CG106" i="1"/>
  <c r="BB106" i="1"/>
  <c r="BJ106" i="1"/>
  <c r="BR106" i="1"/>
  <c r="BZ106" i="1"/>
  <c r="CH106" i="1"/>
  <c r="BD106" i="1"/>
  <c r="BL106" i="1"/>
  <c r="BT106" i="1"/>
  <c r="CB106" i="1"/>
  <c r="CJ106" i="1"/>
  <c r="BE106" i="1"/>
  <c r="BM106" i="1"/>
  <c r="BU106" i="1"/>
  <c r="CC106" i="1"/>
  <c r="AX106" i="1"/>
  <c r="BF106" i="1"/>
  <c r="BN106" i="1"/>
  <c r="BV106" i="1"/>
  <c r="CD106" i="1"/>
  <c r="AY106" i="1"/>
  <c r="BG106" i="1"/>
  <c r="BO106" i="1"/>
  <c r="BW106" i="1"/>
  <c r="CE106" i="1"/>
  <c r="AZ106" i="1"/>
  <c r="BH106" i="1"/>
  <c r="BP106" i="1"/>
  <c r="BX106" i="1"/>
  <c r="CF106" i="1"/>
  <c r="BK106" i="1"/>
  <c r="BS106" i="1"/>
  <c r="CA106" i="1"/>
  <c r="CI106" i="1"/>
  <c r="BC106" i="1"/>
  <c r="BD113" i="1"/>
  <c r="BL113" i="1"/>
  <c r="BT113" i="1"/>
  <c r="CB113" i="1"/>
  <c r="CJ113" i="1"/>
  <c r="BE113" i="1"/>
  <c r="BM113" i="1"/>
  <c r="BU113" i="1"/>
  <c r="CC113" i="1"/>
  <c r="AX113" i="1"/>
  <c r="BF113" i="1"/>
  <c r="BN113" i="1"/>
  <c r="BV113" i="1"/>
  <c r="CD113" i="1"/>
  <c r="AY113" i="1"/>
  <c r="BG113" i="1"/>
  <c r="BO113" i="1"/>
  <c r="BW113" i="1"/>
  <c r="CE113" i="1"/>
  <c r="AZ113" i="1"/>
  <c r="BH113" i="1"/>
  <c r="BP113" i="1"/>
  <c r="BX113" i="1"/>
  <c r="CF113" i="1"/>
  <c r="BA113" i="1"/>
  <c r="BI113" i="1"/>
  <c r="BQ113" i="1"/>
  <c r="BY113" i="1"/>
  <c r="CG113" i="1"/>
  <c r="BC113" i="1"/>
  <c r="BK113" i="1"/>
  <c r="BS113" i="1"/>
  <c r="CA113" i="1"/>
  <c r="CI113" i="1"/>
  <c r="BB113" i="1"/>
  <c r="BJ113" i="1"/>
  <c r="BR113" i="1"/>
  <c r="BZ113" i="1"/>
  <c r="CH113" i="1"/>
  <c r="BD101" i="1"/>
  <c r="BE101" i="1"/>
  <c r="BF101" i="1"/>
  <c r="BH101" i="1"/>
  <c r="BP101" i="1"/>
  <c r="BX101" i="1"/>
  <c r="CF101" i="1"/>
  <c r="BI101" i="1"/>
  <c r="BQ101" i="1"/>
  <c r="BY101" i="1"/>
  <c r="CG101" i="1"/>
  <c r="AY101" i="1"/>
  <c r="BJ101" i="1"/>
  <c r="BR101" i="1"/>
  <c r="BZ101" i="1"/>
  <c r="CH101" i="1"/>
  <c r="BG101" i="1"/>
  <c r="AZ101" i="1"/>
  <c r="BK101" i="1"/>
  <c r="BS101" i="1"/>
  <c r="CA101" i="1"/>
  <c r="CI101" i="1"/>
  <c r="BO101" i="1"/>
  <c r="BA101" i="1"/>
  <c r="BL101" i="1"/>
  <c r="BT101" i="1"/>
  <c r="CB101" i="1"/>
  <c r="CJ101" i="1"/>
  <c r="BW101" i="1"/>
  <c r="BB101" i="1"/>
  <c r="BM101" i="1"/>
  <c r="BU101" i="1"/>
  <c r="CC101" i="1"/>
  <c r="AX101" i="1"/>
  <c r="BC101" i="1"/>
  <c r="BN101" i="1"/>
  <c r="BV101" i="1"/>
  <c r="CD101" i="1"/>
  <c r="CE101" i="1"/>
  <c r="BB64" i="1"/>
  <c r="BJ64" i="1"/>
  <c r="BR64" i="1"/>
  <c r="BZ64" i="1"/>
  <c r="CH64" i="1"/>
  <c r="BL64" i="1"/>
  <c r="BT64" i="1"/>
  <c r="CB64" i="1"/>
  <c r="CJ64" i="1"/>
  <c r="BE64" i="1"/>
  <c r="BU64" i="1"/>
  <c r="CC64" i="1"/>
  <c r="AX64" i="1"/>
  <c r="BF64" i="1"/>
  <c r="BN64" i="1"/>
  <c r="BV64" i="1"/>
  <c r="CD64" i="1"/>
  <c r="AY64" i="1"/>
  <c r="BG64" i="1"/>
  <c r="BO64" i="1"/>
  <c r="BW64" i="1"/>
  <c r="CE64" i="1"/>
  <c r="AZ64" i="1"/>
  <c r="BH64" i="1"/>
  <c r="BP64" i="1"/>
  <c r="BX64" i="1"/>
  <c r="CF64" i="1"/>
  <c r="BA64" i="1"/>
  <c r="CG64" i="1"/>
  <c r="BC64" i="1"/>
  <c r="CI64" i="1"/>
  <c r="BI64" i="1"/>
  <c r="BY64" i="1"/>
  <c r="BK64" i="1"/>
  <c r="BQ64" i="1"/>
  <c r="BS64" i="1"/>
  <c r="CA64" i="1"/>
  <c r="AX60" i="1"/>
  <c r="BF60" i="1"/>
  <c r="BN60" i="1"/>
  <c r="BV60" i="1"/>
  <c r="CD60" i="1"/>
  <c r="BG60" i="1"/>
  <c r="BW60" i="1"/>
  <c r="AY60" i="1"/>
  <c r="BO60" i="1"/>
  <c r="CE60" i="1"/>
  <c r="AZ60" i="1"/>
  <c r="BH60" i="1"/>
  <c r="BP60" i="1"/>
  <c r="BX60" i="1"/>
  <c r="CF60" i="1"/>
  <c r="BA60" i="1"/>
  <c r="BI60" i="1"/>
  <c r="BQ60" i="1"/>
  <c r="BY60" i="1"/>
  <c r="CG60" i="1"/>
  <c r="BB60" i="1"/>
  <c r="BJ60" i="1"/>
  <c r="BR60" i="1"/>
  <c r="BZ60" i="1"/>
  <c r="CH60" i="1"/>
  <c r="BC60" i="1"/>
  <c r="BK60" i="1"/>
  <c r="BS60" i="1"/>
  <c r="CA60" i="1"/>
  <c r="CI60" i="1"/>
  <c r="BD60" i="1"/>
  <c r="BL60" i="1"/>
  <c r="BT60" i="1"/>
  <c r="CB60" i="1"/>
  <c r="CJ60" i="1"/>
  <c r="BE60" i="1"/>
  <c r="BM60" i="1"/>
  <c r="CC60" i="1"/>
  <c r="BU60" i="1"/>
  <c r="AW107" i="1"/>
  <c r="BA107" i="1"/>
  <c r="BI107" i="1"/>
  <c r="BD107" i="1"/>
  <c r="BM107" i="1"/>
  <c r="BU107" i="1"/>
  <c r="CC107" i="1"/>
  <c r="AX107" i="1"/>
  <c r="BE107" i="1"/>
  <c r="BN107" i="1"/>
  <c r="BV107" i="1"/>
  <c r="CD107" i="1"/>
  <c r="BG107" i="1"/>
  <c r="BP107" i="1"/>
  <c r="BX107" i="1"/>
  <c r="CF107" i="1"/>
  <c r="AY107" i="1"/>
  <c r="BH107" i="1"/>
  <c r="BQ107" i="1"/>
  <c r="BY107" i="1"/>
  <c r="CG107" i="1"/>
  <c r="AZ107" i="1"/>
  <c r="BJ107" i="1"/>
  <c r="BR107" i="1"/>
  <c r="BZ107" i="1"/>
  <c r="CH107" i="1"/>
  <c r="BB107" i="1"/>
  <c r="BK107" i="1"/>
  <c r="BS107" i="1"/>
  <c r="CA107" i="1"/>
  <c r="CI107" i="1"/>
  <c r="BC107" i="1"/>
  <c r="BL107" i="1"/>
  <c r="BT107" i="1"/>
  <c r="CB107" i="1"/>
  <c r="CJ107" i="1"/>
  <c r="BO107" i="1"/>
  <c r="BW107" i="1"/>
  <c r="CE107" i="1"/>
  <c r="BF107" i="1"/>
  <c r="BA63" i="1"/>
  <c r="BI63" i="1"/>
  <c r="BQ63" i="1"/>
  <c r="BY63" i="1"/>
  <c r="CG63" i="1"/>
  <c r="BB63" i="1"/>
  <c r="BR63" i="1"/>
  <c r="BJ63" i="1"/>
  <c r="BC63" i="1"/>
  <c r="BK63" i="1"/>
  <c r="BS63" i="1"/>
  <c r="CA63" i="1"/>
  <c r="CI63" i="1"/>
  <c r="BD63" i="1"/>
  <c r="BL63" i="1"/>
  <c r="BT63" i="1"/>
  <c r="CB63" i="1"/>
  <c r="CJ63" i="1"/>
  <c r="BE63" i="1"/>
  <c r="BM63" i="1"/>
  <c r="BU63" i="1"/>
  <c r="CC63" i="1"/>
  <c r="AX63" i="1"/>
  <c r="BF63" i="1"/>
  <c r="BN63" i="1"/>
  <c r="BV63" i="1"/>
  <c r="CD63" i="1"/>
  <c r="AY63" i="1"/>
  <c r="BG63" i="1"/>
  <c r="BO63" i="1"/>
  <c r="BW63" i="1"/>
  <c r="CE63" i="1"/>
  <c r="AZ63" i="1"/>
  <c r="BH63" i="1"/>
  <c r="BP63" i="1"/>
  <c r="CF63" i="1"/>
  <c r="BX63" i="1"/>
  <c r="BZ63" i="1"/>
  <c r="CH63" i="1"/>
  <c r="BD59" i="1"/>
  <c r="BL59" i="1"/>
  <c r="BT59" i="1"/>
  <c r="CB59" i="1"/>
  <c r="CJ59" i="1"/>
  <c r="BF59" i="1"/>
  <c r="BN59" i="1"/>
  <c r="BV59" i="1"/>
  <c r="CD59" i="1"/>
  <c r="AY59" i="1"/>
  <c r="BG59" i="1"/>
  <c r="BO59" i="1"/>
  <c r="BW59" i="1"/>
  <c r="CE59" i="1"/>
  <c r="BP59" i="1"/>
  <c r="BX59" i="1"/>
  <c r="AZ59" i="1"/>
  <c r="BH59" i="1"/>
  <c r="CF59" i="1"/>
  <c r="BA59" i="1"/>
  <c r="BI59" i="1"/>
  <c r="BQ59" i="1"/>
  <c r="BY59" i="1"/>
  <c r="CG59" i="1"/>
  <c r="BB59" i="1"/>
  <c r="BJ59" i="1"/>
  <c r="BR59" i="1"/>
  <c r="BZ59" i="1"/>
  <c r="CH59" i="1"/>
  <c r="CC59" i="1"/>
  <c r="BC59" i="1"/>
  <c r="CI59" i="1"/>
  <c r="BE59" i="1"/>
  <c r="AX59" i="1"/>
  <c r="BK59" i="1"/>
  <c r="BM59" i="1"/>
  <c r="BU59" i="1"/>
  <c r="CA59" i="1"/>
  <c r="BS59" i="1"/>
  <c r="AX103" i="1"/>
  <c r="BF103" i="1"/>
  <c r="BN103" i="1"/>
  <c r="BV103" i="1"/>
  <c r="CD103" i="1"/>
  <c r="AY103" i="1"/>
  <c r="BG103" i="1"/>
  <c r="BO103" i="1"/>
  <c r="BW103" i="1"/>
  <c r="CE103" i="1"/>
  <c r="BA103" i="1"/>
  <c r="BI103" i="1"/>
  <c r="BQ103" i="1"/>
  <c r="BY103" i="1"/>
  <c r="CG103" i="1"/>
  <c r="BB103" i="1"/>
  <c r="BJ103" i="1"/>
  <c r="BR103" i="1"/>
  <c r="BZ103" i="1"/>
  <c r="CH103" i="1"/>
  <c r="BC103" i="1"/>
  <c r="BK103" i="1"/>
  <c r="BS103" i="1"/>
  <c r="CA103" i="1"/>
  <c r="CI103" i="1"/>
  <c r="BD103" i="1"/>
  <c r="BL103" i="1"/>
  <c r="BT103" i="1"/>
  <c r="CB103" i="1"/>
  <c r="CJ103" i="1"/>
  <c r="BE103" i="1"/>
  <c r="BM103" i="1"/>
  <c r="BU103" i="1"/>
  <c r="CC103" i="1"/>
  <c r="AZ103" i="1"/>
  <c r="BH103" i="1"/>
  <c r="BP103" i="1"/>
  <c r="BX103" i="1"/>
  <c r="CF103" i="1"/>
  <c r="AY104" i="1"/>
  <c r="BG104" i="1"/>
  <c r="BO104" i="1"/>
  <c r="BW104" i="1"/>
  <c r="CE104" i="1"/>
  <c r="AZ104" i="1"/>
  <c r="BH104" i="1"/>
  <c r="BP104" i="1"/>
  <c r="BX104" i="1"/>
  <c r="CF104" i="1"/>
  <c r="BB104" i="1"/>
  <c r="BJ104" i="1"/>
  <c r="BR104" i="1"/>
  <c r="BZ104" i="1"/>
  <c r="CH104" i="1"/>
  <c r="BC104" i="1"/>
  <c r="BK104" i="1"/>
  <c r="BS104" i="1"/>
  <c r="CA104" i="1"/>
  <c r="CI104" i="1"/>
  <c r="BD104" i="1"/>
  <c r="BL104" i="1"/>
  <c r="BT104" i="1"/>
  <c r="CB104" i="1"/>
  <c r="CJ104" i="1"/>
  <c r="BE104" i="1"/>
  <c r="BM104" i="1"/>
  <c r="BU104" i="1"/>
  <c r="CC104" i="1"/>
  <c r="AX104" i="1"/>
  <c r="BF104" i="1"/>
  <c r="BN104" i="1"/>
  <c r="BV104" i="1"/>
  <c r="CD104" i="1"/>
  <c r="BY104" i="1"/>
  <c r="CG104" i="1"/>
  <c r="BA104" i="1"/>
  <c r="BI104" i="1"/>
  <c r="BQ104" i="1"/>
  <c r="AW108" i="1"/>
  <c r="BD108" i="1"/>
  <c r="BL108" i="1"/>
  <c r="BT108" i="1"/>
  <c r="CB108" i="1"/>
  <c r="CJ108" i="1"/>
  <c r="BE108" i="1"/>
  <c r="BM108" i="1"/>
  <c r="BU108" i="1"/>
  <c r="CC108" i="1"/>
  <c r="AX108" i="1"/>
  <c r="BF108" i="1"/>
  <c r="BN108" i="1"/>
  <c r="BV108" i="1"/>
  <c r="CD108" i="1"/>
  <c r="AY108" i="1"/>
  <c r="BG108" i="1"/>
  <c r="BO108" i="1"/>
  <c r="BW108" i="1"/>
  <c r="CE108" i="1"/>
  <c r="AZ108" i="1"/>
  <c r="BH108" i="1"/>
  <c r="BP108" i="1"/>
  <c r="BX108" i="1"/>
  <c r="CF108" i="1"/>
  <c r="BA108" i="1"/>
  <c r="BI108" i="1"/>
  <c r="BQ108" i="1"/>
  <c r="BY108" i="1"/>
  <c r="CG108" i="1"/>
  <c r="BC108" i="1"/>
  <c r="BK108" i="1"/>
  <c r="BS108" i="1"/>
  <c r="CA108" i="1"/>
  <c r="CI108" i="1"/>
  <c r="BZ108" i="1"/>
  <c r="CH108" i="1"/>
  <c r="BB108" i="1"/>
  <c r="BJ108" i="1"/>
  <c r="BR108" i="1"/>
  <c r="AZ62" i="1"/>
  <c r="BH62" i="1"/>
  <c r="BP62" i="1"/>
  <c r="BX62" i="1"/>
  <c r="CF62" i="1"/>
  <c r="BI62" i="1"/>
  <c r="BY62" i="1"/>
  <c r="BA62" i="1"/>
  <c r="BQ62" i="1"/>
  <c r="CG62" i="1"/>
  <c r="BB62" i="1"/>
  <c r="BJ62" i="1"/>
  <c r="BR62" i="1"/>
  <c r="BZ62" i="1"/>
  <c r="CH62" i="1"/>
  <c r="BC62" i="1"/>
  <c r="BK62" i="1"/>
  <c r="BS62" i="1"/>
  <c r="CA62" i="1"/>
  <c r="CI62" i="1"/>
  <c r="BD62" i="1"/>
  <c r="BL62" i="1"/>
  <c r="BT62" i="1"/>
  <c r="CB62" i="1"/>
  <c r="CJ62" i="1"/>
  <c r="BE62" i="1"/>
  <c r="BM62" i="1"/>
  <c r="BU62" i="1"/>
  <c r="CC62" i="1"/>
  <c r="AX62" i="1"/>
  <c r="BF62" i="1"/>
  <c r="BN62" i="1"/>
  <c r="BV62" i="1"/>
  <c r="CD62" i="1"/>
  <c r="CE62" i="1"/>
  <c r="BO62" i="1"/>
  <c r="AY62" i="1"/>
  <c r="BG62" i="1"/>
  <c r="BW62" i="1"/>
  <c r="AW75" i="1"/>
  <c r="AW61" i="1"/>
  <c r="AY61" i="1"/>
  <c r="BG61" i="1"/>
  <c r="BO61" i="1"/>
  <c r="BW61" i="1"/>
  <c r="CE61" i="1"/>
  <c r="AZ61" i="1"/>
  <c r="BP61" i="1"/>
  <c r="CF61" i="1"/>
  <c r="BH61" i="1"/>
  <c r="BX61" i="1"/>
  <c r="BA61" i="1"/>
  <c r="BI61" i="1"/>
  <c r="BQ61" i="1"/>
  <c r="BY61" i="1"/>
  <c r="CG61" i="1"/>
  <c r="BB61" i="1"/>
  <c r="BJ61" i="1"/>
  <c r="BR61" i="1"/>
  <c r="BZ61" i="1"/>
  <c r="CH61" i="1"/>
  <c r="BC61" i="1"/>
  <c r="BK61" i="1"/>
  <c r="BS61" i="1"/>
  <c r="CA61" i="1"/>
  <c r="CI61" i="1"/>
  <c r="BD61" i="1"/>
  <c r="BL61" i="1"/>
  <c r="BT61" i="1"/>
  <c r="CB61" i="1"/>
  <c r="CJ61" i="1"/>
  <c r="BE61" i="1"/>
  <c r="BM61" i="1"/>
  <c r="BU61" i="1"/>
  <c r="CC61" i="1"/>
  <c r="BF61" i="1"/>
  <c r="BN61" i="1"/>
  <c r="BV61" i="1"/>
  <c r="CD61" i="1"/>
  <c r="AX61" i="1"/>
  <c r="AX114" i="1"/>
  <c r="BF114" i="1"/>
  <c r="BN114" i="1"/>
  <c r="BV114" i="1"/>
  <c r="CD114" i="1"/>
  <c r="AY114" i="1"/>
  <c r="BG114" i="1"/>
  <c r="BO114" i="1"/>
  <c r="BW114" i="1"/>
  <c r="CE114" i="1"/>
  <c r="AZ114" i="1"/>
  <c r="BH114" i="1"/>
  <c r="BP114" i="1"/>
  <c r="BX114" i="1"/>
  <c r="CF114" i="1"/>
  <c r="BA114" i="1"/>
  <c r="BI114" i="1"/>
  <c r="BQ114" i="1"/>
  <c r="BY114" i="1"/>
  <c r="CG114" i="1"/>
  <c r="BB114" i="1"/>
  <c r="BJ114" i="1"/>
  <c r="BR114" i="1"/>
  <c r="BZ114" i="1"/>
  <c r="CH114" i="1"/>
  <c r="BC114" i="1"/>
  <c r="BK114" i="1"/>
  <c r="BS114" i="1"/>
  <c r="CA114" i="1"/>
  <c r="CI114" i="1"/>
  <c r="BE114" i="1"/>
  <c r="BM114" i="1"/>
  <c r="BU114" i="1"/>
  <c r="CC114" i="1"/>
  <c r="BD114" i="1"/>
  <c r="BL114" i="1"/>
  <c r="BT114" i="1"/>
  <c r="CB114" i="1"/>
  <c r="CJ114" i="1"/>
  <c r="AH59" i="1"/>
  <c r="K164" i="7"/>
  <c r="K205" i="7"/>
  <c r="K298" i="7"/>
  <c r="K291" i="7"/>
  <c r="K163" i="7"/>
  <c r="K189" i="7"/>
  <c r="K223" i="7"/>
  <c r="K190" i="7"/>
  <c r="K157" i="7"/>
  <c r="K297" i="7"/>
  <c r="K290" i="7"/>
  <c r="K207" i="7"/>
  <c r="K194" i="7"/>
  <c r="K161" i="7"/>
  <c r="K293" i="7"/>
  <c r="K210" i="7"/>
  <c r="AG72" i="1"/>
  <c r="AG108" i="1"/>
  <c r="AG117" i="1"/>
  <c r="K140" i="7"/>
  <c r="K288" i="7"/>
  <c r="K241" i="7"/>
  <c r="K226" i="7"/>
  <c r="AG61" i="1"/>
  <c r="K299" i="7"/>
  <c r="K292" i="7"/>
  <c r="K237" i="7"/>
  <c r="K139" i="7"/>
  <c r="K156" i="7"/>
  <c r="K296" i="7"/>
  <c r="K249" i="7"/>
  <c r="K242" i="7"/>
  <c r="AG75" i="1"/>
  <c r="K152" i="7"/>
  <c r="K300" i="7"/>
  <c r="K245" i="7"/>
  <c r="K196" i="7"/>
  <c r="K155" i="7"/>
  <c r="AG73" i="1"/>
  <c r="AG59" i="1"/>
  <c r="AW76" i="1"/>
  <c r="AW72" i="1"/>
  <c r="AG109" i="1"/>
  <c r="AH109" i="1"/>
  <c r="AH117" i="1"/>
  <c r="AH111" i="1"/>
  <c r="AG101" i="1"/>
  <c r="P108" i="1"/>
  <c r="AG111" i="1"/>
  <c r="AW111" i="1"/>
  <c r="AW59" i="1"/>
  <c r="AW62" i="1"/>
  <c r="AW71" i="1"/>
  <c r="AX110" i="1"/>
  <c r="BF110" i="1"/>
  <c r="BN110" i="1"/>
  <c r="BV110" i="1"/>
  <c r="CD110" i="1"/>
  <c r="AY110" i="1"/>
  <c r="BG110" i="1"/>
  <c r="BO110" i="1"/>
  <c r="BW110" i="1"/>
  <c r="CE110" i="1"/>
  <c r="AZ110" i="1"/>
  <c r="BH110" i="1"/>
  <c r="BP110" i="1"/>
  <c r="BX110" i="1"/>
  <c r="CF110" i="1"/>
  <c r="BA110" i="1"/>
  <c r="BI110" i="1"/>
  <c r="BQ110" i="1"/>
  <c r="BY110" i="1"/>
  <c r="CG110" i="1"/>
  <c r="BC110" i="1"/>
  <c r="BK110" i="1"/>
  <c r="BS110" i="1"/>
  <c r="CA110" i="1"/>
  <c r="CI110" i="1"/>
  <c r="BB110" i="1"/>
  <c r="BU110" i="1"/>
  <c r="BD110" i="1"/>
  <c r="BZ110" i="1"/>
  <c r="BE110" i="1"/>
  <c r="CB110" i="1"/>
  <c r="BJ110" i="1"/>
  <c r="CC110" i="1"/>
  <c r="BL110" i="1"/>
  <c r="CH110" i="1"/>
  <c r="BM110" i="1"/>
  <c r="CJ110" i="1"/>
  <c r="BR110" i="1"/>
  <c r="BT110" i="1"/>
  <c r="AW110" i="1"/>
  <c r="AY115" i="1"/>
  <c r="BG115" i="1"/>
  <c r="BO115" i="1"/>
  <c r="BW115" i="1"/>
  <c r="CE115" i="1"/>
  <c r="AZ115" i="1"/>
  <c r="BH115" i="1"/>
  <c r="BP115" i="1"/>
  <c r="BX115" i="1"/>
  <c r="CF115" i="1"/>
  <c r="BA115" i="1"/>
  <c r="BI115" i="1"/>
  <c r="BQ115" i="1"/>
  <c r="BY115" i="1"/>
  <c r="CG115" i="1"/>
  <c r="BB115" i="1"/>
  <c r="BJ115" i="1"/>
  <c r="BR115" i="1"/>
  <c r="BZ115" i="1"/>
  <c r="CH115" i="1"/>
  <c r="BC115" i="1"/>
  <c r="BK115" i="1"/>
  <c r="BS115" i="1"/>
  <c r="CA115" i="1"/>
  <c r="CI115" i="1"/>
  <c r="BD115" i="1"/>
  <c r="BL115" i="1"/>
  <c r="BT115" i="1"/>
  <c r="CB115" i="1"/>
  <c r="CJ115" i="1"/>
  <c r="AX115" i="1"/>
  <c r="BF115" i="1"/>
  <c r="BN115" i="1"/>
  <c r="BV115" i="1"/>
  <c r="CD115" i="1"/>
  <c r="CC115" i="1"/>
  <c r="BE115" i="1"/>
  <c r="BM115" i="1"/>
  <c r="BU115" i="1"/>
  <c r="AW115" i="1"/>
  <c r="BE109" i="1"/>
  <c r="BM109" i="1"/>
  <c r="BU109" i="1"/>
  <c r="CC109" i="1"/>
  <c r="AX109" i="1"/>
  <c r="BF109" i="1"/>
  <c r="BN109" i="1"/>
  <c r="BV109" i="1"/>
  <c r="CD109" i="1"/>
  <c r="AY109" i="1"/>
  <c r="BG109" i="1"/>
  <c r="BO109" i="1"/>
  <c r="BW109" i="1"/>
  <c r="CE109" i="1"/>
  <c r="AZ109" i="1"/>
  <c r="BH109" i="1"/>
  <c r="BP109" i="1"/>
  <c r="BX109" i="1"/>
  <c r="CF109" i="1"/>
  <c r="BA109" i="1"/>
  <c r="BB109" i="1"/>
  <c r="BJ109" i="1"/>
  <c r="BR109" i="1"/>
  <c r="BZ109" i="1"/>
  <c r="CH109" i="1"/>
  <c r="BS109" i="1"/>
  <c r="BT109" i="1"/>
  <c r="BC109" i="1"/>
  <c r="BY109" i="1"/>
  <c r="BD109" i="1"/>
  <c r="CA109" i="1"/>
  <c r="BI109" i="1"/>
  <c r="CB109" i="1"/>
  <c r="BK109" i="1"/>
  <c r="CG109" i="1"/>
  <c r="BL109" i="1"/>
  <c r="CI109" i="1"/>
  <c r="BQ109" i="1"/>
  <c r="CJ109" i="1"/>
  <c r="AW109" i="1"/>
  <c r="BA117" i="1"/>
  <c r="BI117" i="1"/>
  <c r="BQ117" i="1"/>
  <c r="BY117" i="1"/>
  <c r="CG117" i="1"/>
  <c r="BB117" i="1"/>
  <c r="BJ117" i="1"/>
  <c r="BR117" i="1"/>
  <c r="BZ117" i="1"/>
  <c r="CH117" i="1"/>
  <c r="BC117" i="1"/>
  <c r="BK117" i="1"/>
  <c r="BS117" i="1"/>
  <c r="CA117" i="1"/>
  <c r="CI117" i="1"/>
  <c r="BD117" i="1"/>
  <c r="BL117" i="1"/>
  <c r="BT117" i="1"/>
  <c r="CB117" i="1"/>
  <c r="CJ117" i="1"/>
  <c r="BE117" i="1"/>
  <c r="BM117" i="1"/>
  <c r="BU117" i="1"/>
  <c r="CC117" i="1"/>
  <c r="AX117" i="1"/>
  <c r="BF117" i="1"/>
  <c r="BN117" i="1"/>
  <c r="BV117" i="1"/>
  <c r="CD117" i="1"/>
  <c r="AZ117" i="1"/>
  <c r="BH117" i="1"/>
  <c r="BP117" i="1"/>
  <c r="BX117" i="1"/>
  <c r="CF117" i="1"/>
  <c r="BO117" i="1"/>
  <c r="BW117" i="1"/>
  <c r="CE117" i="1"/>
  <c r="AY117" i="1"/>
  <c r="BG117" i="1"/>
  <c r="AW117" i="1"/>
  <c r="AW116" i="1"/>
  <c r="AZ116" i="1"/>
  <c r="BH116" i="1"/>
  <c r="BP116" i="1"/>
  <c r="BX116" i="1"/>
  <c r="CF116" i="1"/>
  <c r="BA116" i="1"/>
  <c r="BI116" i="1"/>
  <c r="BQ116" i="1"/>
  <c r="BY116" i="1"/>
  <c r="CG116" i="1"/>
  <c r="BB116" i="1"/>
  <c r="BJ116" i="1"/>
  <c r="BR116" i="1"/>
  <c r="BZ116" i="1"/>
  <c r="CH116" i="1"/>
  <c r="BC116" i="1"/>
  <c r="BK116" i="1"/>
  <c r="BS116" i="1"/>
  <c r="CA116" i="1"/>
  <c r="CI116" i="1"/>
  <c r="BD116" i="1"/>
  <c r="BL116" i="1"/>
  <c r="BT116" i="1"/>
  <c r="CB116" i="1"/>
  <c r="CJ116" i="1"/>
  <c r="BE116" i="1"/>
  <c r="BM116" i="1"/>
  <c r="BU116" i="1"/>
  <c r="CC116" i="1"/>
  <c r="AY116" i="1"/>
  <c r="BG116" i="1"/>
  <c r="BO116" i="1"/>
  <c r="BW116" i="1"/>
  <c r="CE116" i="1"/>
  <c r="AX116" i="1"/>
  <c r="BF116" i="1"/>
  <c r="BN116" i="1"/>
  <c r="BV116" i="1"/>
  <c r="CD116" i="1"/>
  <c r="BB118" i="1"/>
  <c r="BJ118" i="1"/>
  <c r="BR118" i="1"/>
  <c r="BZ118" i="1"/>
  <c r="CH118" i="1"/>
  <c r="BC118" i="1"/>
  <c r="BK118" i="1"/>
  <c r="BS118" i="1"/>
  <c r="CA118" i="1"/>
  <c r="CI118" i="1"/>
  <c r="BD118" i="1"/>
  <c r="BL118" i="1"/>
  <c r="BT118" i="1"/>
  <c r="CB118" i="1"/>
  <c r="CJ118" i="1"/>
  <c r="BE118" i="1"/>
  <c r="BM118" i="1"/>
  <c r="BU118" i="1"/>
  <c r="CC118" i="1"/>
  <c r="AX118" i="1"/>
  <c r="BF118" i="1"/>
  <c r="BN118" i="1"/>
  <c r="BV118" i="1"/>
  <c r="CD118" i="1"/>
  <c r="AY118" i="1"/>
  <c r="BG118" i="1"/>
  <c r="BO118" i="1"/>
  <c r="BW118" i="1"/>
  <c r="CE118" i="1"/>
  <c r="BA118" i="1"/>
  <c r="BI118" i="1"/>
  <c r="BQ118" i="1"/>
  <c r="BY118" i="1"/>
  <c r="CG118" i="1"/>
  <c r="AZ118" i="1"/>
  <c r="BH118" i="1"/>
  <c r="BP118" i="1"/>
  <c r="BX118" i="1"/>
  <c r="CF118" i="1"/>
  <c r="AW118" i="1"/>
  <c r="AW64" i="1"/>
  <c r="BD64" i="1"/>
  <c r="BM64" i="1"/>
  <c r="AW73" i="1"/>
  <c r="AW60" i="1"/>
  <c r="AP57" i="1"/>
  <c r="CE70" i="1"/>
  <c r="BW70" i="1"/>
  <c r="BO70" i="1"/>
  <c r="BG70" i="1"/>
  <c r="AY70" i="1"/>
  <c r="CD70" i="1"/>
  <c r="BV70" i="1"/>
  <c r="BN70" i="1"/>
  <c r="BF70" i="1"/>
  <c r="AX70" i="1"/>
  <c r="CC70" i="1"/>
  <c r="BU70" i="1"/>
  <c r="BM70" i="1"/>
  <c r="BE70" i="1"/>
  <c r="AW70" i="1"/>
  <c r="CJ70" i="1"/>
  <c r="CB70" i="1"/>
  <c r="BT70" i="1"/>
  <c r="BL70" i="1"/>
  <c r="BD70" i="1"/>
  <c r="CI70" i="1"/>
  <c r="CA70" i="1"/>
  <c r="BS70" i="1"/>
  <c r="BK70" i="1"/>
  <c r="BC70" i="1"/>
  <c r="CH70" i="1"/>
  <c r="BZ70" i="1"/>
  <c r="BR70" i="1"/>
  <c r="BJ70" i="1"/>
  <c r="BB70" i="1"/>
  <c r="CG70" i="1"/>
  <c r="BY70" i="1"/>
  <c r="BQ70" i="1"/>
  <c r="BI70" i="1"/>
  <c r="BA70" i="1"/>
  <c r="CF70" i="1"/>
  <c r="BX70" i="1"/>
  <c r="BP70" i="1"/>
  <c r="BH70" i="1"/>
  <c r="AZ70" i="1"/>
  <c r="P19" i="1"/>
  <c r="AP19" i="1"/>
  <c r="AP164" i="1"/>
  <c r="AP15" i="1"/>
  <c r="AP21" i="1"/>
  <c r="P21" i="1"/>
  <c r="AP155" i="1"/>
  <c r="AP55" i="1"/>
  <c r="AP161" i="1"/>
  <c r="AP17" i="1"/>
  <c r="AP27" i="1"/>
  <c r="P56" i="1"/>
  <c r="AP56" i="1"/>
  <c r="AW102" i="1"/>
  <c r="AN155" i="1"/>
  <c r="W155" i="1"/>
  <c r="P155" i="1"/>
  <c r="AN158" i="1"/>
  <c r="W158" i="1"/>
  <c r="AN157" i="1"/>
  <c r="W157" i="1"/>
  <c r="AN156" i="1"/>
  <c r="W156" i="1"/>
  <c r="P55" i="1"/>
  <c r="P15" i="1"/>
  <c r="Q15" i="1"/>
  <c r="AN23" i="1"/>
  <c r="P83" i="1"/>
  <c r="AG115" i="1"/>
  <c r="AG71" i="1"/>
  <c r="AT71" i="1"/>
  <c r="P17" i="1"/>
  <c r="AG107" i="1"/>
  <c r="AT107" i="1"/>
  <c r="P110" i="1"/>
  <c r="AT65" i="1"/>
  <c r="Q108" i="1"/>
  <c r="AH76" i="1"/>
  <c r="P76" i="1"/>
  <c r="AH104" i="1"/>
  <c r="P104" i="1"/>
  <c r="AH103" i="1"/>
  <c r="AG63" i="1"/>
  <c r="AG105" i="1"/>
  <c r="AT105" i="1"/>
  <c r="AG113" i="1"/>
  <c r="AT113" i="1"/>
  <c r="AT118" i="1"/>
  <c r="AT64" i="1"/>
  <c r="AT104" i="1"/>
  <c r="AT72" i="1"/>
  <c r="AT3" i="1"/>
  <c r="AT111" i="1"/>
  <c r="AT103" i="1"/>
  <c r="AT57" i="1"/>
  <c r="AT25" i="1"/>
  <c r="AT79" i="1"/>
  <c r="AT117" i="1"/>
  <c r="AT109" i="1"/>
  <c r="AT101" i="1"/>
  <c r="AT108" i="1"/>
  <c r="AT76" i="1"/>
  <c r="AT22" i="1"/>
  <c r="AT75" i="1"/>
  <c r="AT61" i="1"/>
  <c r="AT21" i="1"/>
  <c r="AT24" i="1"/>
  <c r="AT28" i="1"/>
  <c r="AT84" i="1"/>
  <c r="AT73" i="1"/>
  <c r="AT59" i="1"/>
  <c r="AH64" i="1"/>
  <c r="P57" i="1"/>
  <c r="AH118" i="1"/>
  <c r="P118" i="1"/>
  <c r="AG60" i="1"/>
  <c r="AT60" i="1"/>
  <c r="AG106" i="1"/>
  <c r="AG74" i="1"/>
  <c r="AT74" i="1"/>
  <c r="P62" i="1"/>
  <c r="P28" i="1"/>
  <c r="AW65" i="1"/>
  <c r="AG66" i="1"/>
  <c r="AT66" i="1"/>
  <c r="K213" i="7"/>
  <c r="K199" i="7"/>
  <c r="K203" i="7"/>
  <c r="AW68" i="1"/>
  <c r="AW69" i="1"/>
  <c r="K212" i="7"/>
  <c r="K200" i="7"/>
  <c r="K204" i="7"/>
  <c r="Q166" i="1"/>
  <c r="AG62" i="1"/>
  <c r="AG69" i="1"/>
  <c r="AT69" i="1"/>
  <c r="K211" i="7"/>
  <c r="P64" i="1"/>
  <c r="Q64" i="1"/>
  <c r="P154" i="1"/>
  <c r="Q154" i="1"/>
  <c r="K285" i="7"/>
  <c r="K269" i="7"/>
  <c r="K218" i="7"/>
  <c r="K217" i="7"/>
  <c r="K216" i="7"/>
  <c r="K215" i="7"/>
  <c r="K222" i="7"/>
  <c r="K221" i="7"/>
  <c r="K220" i="7"/>
  <c r="K219" i="7"/>
  <c r="K186" i="7"/>
  <c r="K182" i="7"/>
  <c r="K178" i="7"/>
  <c r="K174" i="7"/>
  <c r="K170" i="7"/>
  <c r="K166" i="7"/>
  <c r="K146" i="7"/>
  <c r="K142" i="7"/>
  <c r="K188" i="7"/>
  <c r="K184" i="7"/>
  <c r="K180" i="7"/>
  <c r="K176" i="7"/>
  <c r="K172" i="7"/>
  <c r="K168" i="7"/>
  <c r="K148" i="7"/>
  <c r="K144" i="7"/>
  <c r="K284" i="7"/>
  <c r="K283" i="7"/>
  <c r="K282" i="7"/>
  <c r="K281" i="7"/>
  <c r="K280" i="7"/>
  <c r="K279" i="7"/>
  <c r="K278" i="7"/>
  <c r="K277" i="7"/>
  <c r="K276" i="7"/>
  <c r="K275" i="7"/>
  <c r="K274" i="7"/>
  <c r="K273" i="7"/>
  <c r="K272" i="7"/>
  <c r="K271" i="7"/>
  <c r="K270" i="7"/>
  <c r="K268" i="7"/>
  <c r="K267" i="7"/>
  <c r="K266" i="7"/>
  <c r="K265" i="7"/>
  <c r="K264" i="7"/>
  <c r="K263" i="7"/>
  <c r="K262" i="7"/>
  <c r="K261" i="7"/>
  <c r="K260" i="7"/>
  <c r="K259" i="7"/>
  <c r="K258" i="7"/>
  <c r="K257" i="7"/>
  <c r="K256" i="7"/>
  <c r="K255" i="7"/>
  <c r="K254" i="7"/>
  <c r="K234" i="7"/>
  <c r="K233" i="7"/>
  <c r="K232" i="7"/>
  <c r="K231" i="7"/>
  <c r="K230" i="7"/>
  <c r="K229" i="7"/>
  <c r="K228" i="7"/>
  <c r="K227" i="7"/>
  <c r="K185" i="7"/>
  <c r="K177" i="7"/>
  <c r="K169" i="7"/>
  <c r="K145" i="7"/>
  <c r="K183" i="7"/>
  <c r="K175" i="7"/>
  <c r="K167" i="7"/>
  <c r="K143" i="7"/>
  <c r="K181" i="7"/>
  <c r="K173" i="7"/>
  <c r="K165" i="7"/>
  <c r="K141" i="7"/>
  <c r="K187" i="7"/>
  <c r="K179" i="7"/>
  <c r="K171" i="7"/>
  <c r="K147" i="7"/>
  <c r="AW66" i="1"/>
  <c r="AW67" i="1"/>
  <c r="AG70" i="1"/>
  <c r="K214" i="7"/>
  <c r="K202" i="7"/>
  <c r="AG110" i="1"/>
  <c r="AT110" i="1"/>
  <c r="P71" i="1"/>
  <c r="P22" i="1"/>
  <c r="AP29" i="1"/>
  <c r="P59" i="1"/>
  <c r="AP22" i="1"/>
  <c r="P113" i="1"/>
  <c r="P158" i="1"/>
  <c r="P72" i="1"/>
  <c r="P58" i="1"/>
  <c r="Q58" i="1"/>
  <c r="AP154" i="1"/>
  <c r="P63" i="1"/>
  <c r="Q63" i="1"/>
  <c r="P74" i="1"/>
  <c r="P60" i="1"/>
  <c r="AP23" i="1"/>
  <c r="Q23" i="1"/>
  <c r="P24" i="1"/>
  <c r="P29" i="1"/>
  <c r="P111" i="1"/>
  <c r="P156" i="1"/>
  <c r="Q21" i="1"/>
  <c r="P153" i="1"/>
  <c r="P27" i="1"/>
  <c r="P115" i="1"/>
  <c r="P161" i="1"/>
  <c r="AP153" i="1"/>
  <c r="AH114" i="1"/>
  <c r="P114" i="1"/>
  <c r="AG114" i="1"/>
  <c r="AH112" i="1"/>
  <c r="P112" i="1"/>
  <c r="AG112" i="1"/>
  <c r="AG102" i="1"/>
  <c r="AH102" i="1"/>
  <c r="AO105" i="1"/>
  <c r="P105" i="1"/>
  <c r="P117" i="1"/>
  <c r="AN117" i="1"/>
  <c r="AP116" i="1"/>
  <c r="P116" i="1"/>
  <c r="AP101" i="1"/>
  <c r="P101" i="1"/>
  <c r="Q81" i="1"/>
  <c r="P16" i="1"/>
  <c r="AP16" i="1"/>
  <c r="AP18" i="1"/>
  <c r="P18" i="1"/>
  <c r="AN61" i="1"/>
  <c r="P61" i="1"/>
  <c r="Q22" i="1"/>
  <c r="P6" i="1"/>
  <c r="AH73" i="1"/>
  <c r="AN164" i="1"/>
  <c r="P164" i="1"/>
  <c r="P163" i="1"/>
  <c r="Q163" i="1"/>
  <c r="P4" i="1"/>
  <c r="Q19" i="1"/>
  <c r="P65" i="1"/>
  <c r="AH70" i="1"/>
  <c r="P70" i="1"/>
  <c r="P75" i="1"/>
  <c r="P106" i="1"/>
  <c r="P107" i="1"/>
  <c r="AP30" i="1"/>
  <c r="P5" i="1"/>
  <c r="AG67" i="1"/>
  <c r="AT67" i="1"/>
  <c r="P77" i="1"/>
  <c r="AP4" i="1"/>
  <c r="P160" i="1"/>
  <c r="P67" i="1"/>
  <c r="Q56" i="1"/>
  <c r="P151" i="1"/>
  <c r="AP151" i="1"/>
  <c r="AP159" i="1"/>
  <c r="P157" i="1"/>
  <c r="AP157" i="1"/>
  <c r="P26" i="1"/>
  <c r="AP26" i="1"/>
  <c r="P25" i="1"/>
  <c r="AP25" i="1"/>
  <c r="AP5" i="1"/>
  <c r="AH66" i="1"/>
  <c r="AN160" i="1"/>
  <c r="AG116" i="1"/>
  <c r="AT116" i="1"/>
  <c r="P69" i="1"/>
  <c r="P80" i="1"/>
  <c r="AP163" i="1"/>
  <c r="P159" i="1"/>
  <c r="AN82" i="1"/>
  <c r="P82" i="1"/>
  <c r="AP162" i="1"/>
  <c r="P162" i="1"/>
  <c r="AP109" i="1"/>
  <c r="P109" i="1"/>
  <c r="Q62" i="1"/>
  <c r="AG68" i="1"/>
  <c r="AT68" i="1"/>
  <c r="AH68" i="1"/>
  <c r="AP83" i="1"/>
  <c r="P79" i="1"/>
  <c r="AP79" i="1"/>
  <c r="P84" i="1"/>
  <c r="AP84" i="1"/>
  <c r="P78" i="1"/>
  <c r="AP78" i="1"/>
  <c r="AP77" i="1"/>
  <c r="AN75" i="1"/>
  <c r="AN68" i="1"/>
  <c r="Q55" i="1"/>
  <c r="P103" i="1"/>
  <c r="AT115" i="1"/>
  <c r="AL15" i="1"/>
  <c r="CN15" i="1"/>
  <c r="CO15" i="1"/>
  <c r="CP15" i="1"/>
  <c r="CQ15" i="1"/>
  <c r="CR15" i="1"/>
  <c r="CS15" i="1"/>
  <c r="CT15" i="1"/>
  <c r="CU15" i="1"/>
  <c r="AL21" i="1"/>
  <c r="CN21" i="1"/>
  <c r="CO21" i="1"/>
  <c r="CP21" i="1"/>
  <c r="CQ21" i="1"/>
  <c r="CR21" i="1"/>
  <c r="CS21" i="1"/>
  <c r="CT21" i="1"/>
  <c r="CU21" i="1"/>
  <c r="CN58" i="1"/>
  <c r="CO58" i="1"/>
  <c r="CP58" i="1"/>
  <c r="CQ58" i="1"/>
  <c r="CR58" i="1"/>
  <c r="CS58" i="1"/>
  <c r="CT58" i="1"/>
  <c r="CU58" i="1"/>
  <c r="AL63" i="1"/>
  <c r="CN63" i="1"/>
  <c r="CO63" i="1"/>
  <c r="CP63" i="1"/>
  <c r="CQ63" i="1"/>
  <c r="CR63" i="1"/>
  <c r="CS63" i="1"/>
  <c r="CT63" i="1"/>
  <c r="CU63" i="1"/>
  <c r="CN56" i="1"/>
  <c r="CO56" i="1"/>
  <c r="CP56" i="1"/>
  <c r="CQ56" i="1"/>
  <c r="CR56" i="1"/>
  <c r="CS56" i="1"/>
  <c r="CT56" i="1"/>
  <c r="CU56" i="1"/>
  <c r="AL22" i="1"/>
  <c r="CN22" i="1"/>
  <c r="CO22" i="1"/>
  <c r="CP22" i="1"/>
  <c r="CQ22" i="1"/>
  <c r="CR22" i="1"/>
  <c r="CS22" i="1"/>
  <c r="CT22" i="1"/>
  <c r="CU22" i="1"/>
  <c r="AL81" i="1"/>
  <c r="CN81" i="1"/>
  <c r="CO81" i="1"/>
  <c r="CQ81" i="1"/>
  <c r="CR81" i="1"/>
  <c r="CS81" i="1"/>
  <c r="CT81" i="1"/>
  <c r="CU81" i="1"/>
  <c r="CP81" i="1"/>
  <c r="AL64" i="1"/>
  <c r="CN64" i="1"/>
  <c r="CO64" i="1"/>
  <c r="CP64" i="1"/>
  <c r="CQ64" i="1"/>
  <c r="CR64" i="1"/>
  <c r="CS64" i="1"/>
  <c r="CT64" i="1"/>
  <c r="CU64" i="1"/>
  <c r="CN55" i="1"/>
  <c r="CO55" i="1"/>
  <c r="CP55" i="1"/>
  <c r="CQ55" i="1"/>
  <c r="CR55" i="1"/>
  <c r="CS55" i="1"/>
  <c r="CT55" i="1"/>
  <c r="CU55" i="1"/>
  <c r="AL108" i="1"/>
  <c r="CR108" i="1"/>
  <c r="CS108" i="1"/>
  <c r="CT108" i="1"/>
  <c r="CU108" i="1"/>
  <c r="CN108" i="1"/>
  <c r="CO108" i="1"/>
  <c r="CP108" i="1"/>
  <c r="CQ108" i="1"/>
  <c r="AL19" i="1"/>
  <c r="CN19" i="1"/>
  <c r="CO19" i="1"/>
  <c r="CP19" i="1"/>
  <c r="CQ19" i="1"/>
  <c r="CR19" i="1"/>
  <c r="CS19" i="1"/>
  <c r="CT19" i="1"/>
  <c r="CU19" i="1"/>
  <c r="AL62" i="1"/>
  <c r="CN62" i="1"/>
  <c r="CO62" i="1"/>
  <c r="CP62" i="1"/>
  <c r="CQ62" i="1"/>
  <c r="CR62" i="1"/>
  <c r="CS62" i="1"/>
  <c r="CT62" i="1"/>
  <c r="CU62" i="1"/>
  <c r="AL23" i="1"/>
  <c r="CN23" i="1"/>
  <c r="CO23" i="1"/>
  <c r="CP23" i="1"/>
  <c r="CQ23" i="1"/>
  <c r="CR23" i="1"/>
  <c r="CS23" i="1"/>
  <c r="CT23" i="1"/>
  <c r="CU23" i="1"/>
  <c r="AL154" i="1"/>
  <c r="CR154" i="1"/>
  <c r="CO154" i="1"/>
  <c r="CP154" i="1"/>
  <c r="CN154" i="1"/>
  <c r="CQ154" i="1"/>
  <c r="CS154" i="1"/>
  <c r="CT154" i="1"/>
  <c r="CU154" i="1"/>
  <c r="AL166" i="1"/>
  <c r="CR166" i="1"/>
  <c r="CQ166" i="1"/>
  <c r="CS166" i="1"/>
  <c r="CT166" i="1"/>
  <c r="CU166" i="1"/>
  <c r="CN166" i="1"/>
  <c r="CO166" i="1"/>
  <c r="CP166" i="1"/>
  <c r="AL163" i="1"/>
  <c r="CO163" i="1"/>
  <c r="CR163" i="1"/>
  <c r="CS163" i="1"/>
  <c r="CT163" i="1"/>
  <c r="CU163" i="1"/>
  <c r="CN163" i="1"/>
  <c r="CQ163" i="1"/>
  <c r="CP163" i="1"/>
  <c r="Q17" i="1"/>
  <c r="Q83" i="1"/>
  <c r="AO156" i="1"/>
  <c r="AO157" i="1"/>
  <c r="AO158" i="1"/>
  <c r="AO155" i="1"/>
  <c r="Q110" i="1"/>
  <c r="CV19" i="1"/>
  <c r="CV81" i="1"/>
  <c r="CV55" i="1"/>
  <c r="CV21" i="1"/>
  <c r="CW15" i="1"/>
  <c r="CW23" i="1"/>
  <c r="CW21" i="1"/>
  <c r="CW55" i="1"/>
  <c r="CV15" i="1"/>
  <c r="CV108" i="1"/>
  <c r="CV56" i="1"/>
  <c r="CW56" i="1"/>
  <c r="CW19" i="1"/>
  <c r="CW81" i="1"/>
  <c r="Q115" i="1"/>
  <c r="Q161" i="1"/>
  <c r="Q70" i="1"/>
  <c r="Q103" i="1"/>
  <c r="Q105" i="1"/>
  <c r="Q27" i="1"/>
  <c r="Q77" i="1"/>
  <c r="Q65" i="1"/>
  <c r="Q60" i="1"/>
  <c r="Q113" i="1"/>
  <c r="Q116" i="1"/>
  <c r="Q111" i="1"/>
  <c r="Q118" i="1"/>
  <c r="Q67" i="1"/>
  <c r="Q57" i="1"/>
  <c r="Q78" i="1"/>
  <c r="Q69" i="1"/>
  <c r="Q4" i="1"/>
  <c r="Q59" i="1"/>
  <c r="Q79" i="1"/>
  <c r="Q72" i="1"/>
  <c r="Q80" i="1"/>
  <c r="CV22" i="1"/>
  <c r="Q76" i="1"/>
  <c r="AT63" i="1"/>
  <c r="Q104" i="1"/>
  <c r="P102" i="1"/>
  <c r="P66" i="1"/>
  <c r="Q71" i="1"/>
  <c r="Q74" i="1"/>
  <c r="AT62" i="1"/>
  <c r="AT102" i="1"/>
  <c r="AT112" i="1"/>
  <c r="AT70" i="1"/>
  <c r="AT106" i="1"/>
  <c r="AT114" i="1"/>
  <c r="Q24" i="1"/>
  <c r="Q28" i="1"/>
  <c r="Q18" i="1"/>
  <c r="Q155" i="1"/>
  <c r="Q158" i="1"/>
  <c r="P73" i="1"/>
  <c r="P30" i="1"/>
  <c r="Q117" i="1"/>
  <c r="AP3" i="1"/>
  <c r="Q153" i="1"/>
  <c r="Q29" i="1"/>
  <c r="Q5" i="1"/>
  <c r="AP156" i="1"/>
  <c r="P68" i="1"/>
  <c r="Q101" i="1"/>
  <c r="Q112" i="1"/>
  <c r="Q114" i="1"/>
  <c r="P3" i="1"/>
  <c r="Q16" i="1"/>
  <c r="Q6" i="1"/>
  <c r="Q164" i="1"/>
  <c r="Q156" i="1"/>
  <c r="Q75" i="1"/>
  <c r="Q61" i="1"/>
  <c r="Q106" i="1"/>
  <c r="P152" i="1"/>
  <c r="AP152" i="1"/>
  <c r="Q160" i="1"/>
  <c r="Q107" i="1"/>
  <c r="AP165" i="1"/>
  <c r="P165" i="1"/>
  <c r="P20" i="1"/>
  <c r="AP20" i="1"/>
  <c r="Q151" i="1"/>
  <c r="Q26" i="1"/>
  <c r="Q157" i="1"/>
  <c r="Q25" i="1"/>
  <c r="Q162" i="1"/>
  <c r="Q159" i="1"/>
  <c r="Q84" i="1"/>
  <c r="Q109" i="1"/>
  <c r="Q82" i="1"/>
  <c r="CV166" i="1"/>
  <c r="CV23" i="1"/>
  <c r="AL82" i="1"/>
  <c r="CN82" i="1"/>
  <c r="CO82" i="1"/>
  <c r="CQ82" i="1"/>
  <c r="CR82" i="1"/>
  <c r="CS82" i="1"/>
  <c r="CT82" i="1"/>
  <c r="CU82" i="1"/>
  <c r="CP82" i="1"/>
  <c r="AL157" i="1"/>
  <c r="CR157" i="1"/>
  <c r="CO157" i="1"/>
  <c r="CP157" i="1"/>
  <c r="CS157" i="1"/>
  <c r="CT157" i="1"/>
  <c r="CU157" i="1"/>
  <c r="CQ157" i="1"/>
  <c r="CN157" i="1"/>
  <c r="AL29" i="1"/>
  <c r="CN29" i="1"/>
  <c r="CO29" i="1"/>
  <c r="CP29" i="1"/>
  <c r="CQ29" i="1"/>
  <c r="CR29" i="1"/>
  <c r="CS29" i="1"/>
  <c r="CT29" i="1"/>
  <c r="CU29" i="1"/>
  <c r="AL104" i="1"/>
  <c r="CR104" i="1"/>
  <c r="CS104" i="1"/>
  <c r="CT104" i="1"/>
  <c r="CU104" i="1"/>
  <c r="CN104" i="1"/>
  <c r="CO104" i="1"/>
  <c r="CP104" i="1"/>
  <c r="CQ104" i="1"/>
  <c r="AL77" i="1"/>
  <c r="CN77" i="1"/>
  <c r="CO77" i="1"/>
  <c r="CQ77" i="1"/>
  <c r="CR77" i="1"/>
  <c r="CS77" i="1"/>
  <c r="CT77" i="1"/>
  <c r="CU77" i="1"/>
  <c r="CP77" i="1"/>
  <c r="AL103" i="1"/>
  <c r="CR103" i="1"/>
  <c r="CS103" i="1"/>
  <c r="CT103" i="1"/>
  <c r="CU103" i="1"/>
  <c r="CN103" i="1"/>
  <c r="CO103" i="1"/>
  <c r="CP103" i="1"/>
  <c r="CQ103" i="1"/>
  <c r="AL25" i="1"/>
  <c r="CN25" i="1"/>
  <c r="CO25" i="1"/>
  <c r="CP25" i="1"/>
  <c r="CQ25" i="1"/>
  <c r="CR25" i="1"/>
  <c r="CS25" i="1"/>
  <c r="CT25" i="1"/>
  <c r="CU25" i="1"/>
  <c r="AL26" i="1"/>
  <c r="CN26" i="1"/>
  <c r="CO26" i="1"/>
  <c r="CP26" i="1"/>
  <c r="CQ26" i="1"/>
  <c r="CR26" i="1"/>
  <c r="CS26" i="1"/>
  <c r="CT26" i="1"/>
  <c r="CU26" i="1"/>
  <c r="AL164" i="1"/>
  <c r="CR164" i="1"/>
  <c r="CT164" i="1"/>
  <c r="CU164" i="1"/>
  <c r="CS164" i="1"/>
  <c r="CQ164" i="1"/>
  <c r="CN164" i="1"/>
  <c r="CO164" i="1"/>
  <c r="CP164" i="1"/>
  <c r="AL159" i="1"/>
  <c r="CR159" i="1"/>
  <c r="CO159" i="1"/>
  <c r="CP159" i="1"/>
  <c r="CN159" i="1"/>
  <c r="CQ159" i="1"/>
  <c r="CS159" i="1"/>
  <c r="CT159" i="1"/>
  <c r="CU159" i="1"/>
  <c r="AL75" i="1"/>
  <c r="CN75" i="1"/>
  <c r="CO75" i="1"/>
  <c r="CQ75" i="1"/>
  <c r="CR75" i="1"/>
  <c r="CS75" i="1"/>
  <c r="CT75" i="1"/>
  <c r="CU75" i="1"/>
  <c r="CP75" i="1"/>
  <c r="AL17" i="1"/>
  <c r="CN17" i="1"/>
  <c r="CO17" i="1"/>
  <c r="CP17" i="1"/>
  <c r="CQ17" i="1"/>
  <c r="CR17" i="1"/>
  <c r="CS17" i="1"/>
  <c r="CT17" i="1"/>
  <c r="CU17" i="1"/>
  <c r="AL117" i="1"/>
  <c r="CR117" i="1"/>
  <c r="CS117" i="1"/>
  <c r="CT117" i="1"/>
  <c r="CU117" i="1"/>
  <c r="CN117" i="1"/>
  <c r="CO117" i="1"/>
  <c r="CP117" i="1"/>
  <c r="CQ117" i="1"/>
  <c r="AL28" i="1"/>
  <c r="CN28" i="1"/>
  <c r="CO28" i="1"/>
  <c r="CP28" i="1"/>
  <c r="CQ28" i="1"/>
  <c r="CR28" i="1"/>
  <c r="CS28" i="1"/>
  <c r="CT28" i="1"/>
  <c r="CU28" i="1"/>
  <c r="AL74" i="1"/>
  <c r="CN74" i="1"/>
  <c r="CO74" i="1"/>
  <c r="CQ74" i="1"/>
  <c r="CR74" i="1"/>
  <c r="CS74" i="1"/>
  <c r="CT74" i="1"/>
  <c r="CU74" i="1"/>
  <c r="CP74" i="1"/>
  <c r="AL80" i="1"/>
  <c r="CN80" i="1"/>
  <c r="CO80" i="1"/>
  <c r="CQ80" i="1"/>
  <c r="CR80" i="1"/>
  <c r="CS80" i="1"/>
  <c r="CT80" i="1"/>
  <c r="CU80" i="1"/>
  <c r="CP80" i="1"/>
  <c r="AL4" i="1"/>
  <c r="CN4" i="1"/>
  <c r="CO4" i="1"/>
  <c r="CP4" i="1"/>
  <c r="CQ4" i="1"/>
  <c r="CR4" i="1"/>
  <c r="CS4" i="1"/>
  <c r="CT4" i="1"/>
  <c r="CU4" i="1"/>
  <c r="AL111" i="1"/>
  <c r="CR111" i="1"/>
  <c r="CS111" i="1"/>
  <c r="CT111" i="1"/>
  <c r="CU111" i="1"/>
  <c r="CN111" i="1"/>
  <c r="CO111" i="1"/>
  <c r="CP111" i="1"/>
  <c r="CQ111" i="1"/>
  <c r="AL161" i="1"/>
  <c r="CR161" i="1"/>
  <c r="CO161" i="1"/>
  <c r="CN161" i="1"/>
  <c r="CP161" i="1"/>
  <c r="CQ161" i="1"/>
  <c r="CS161" i="1"/>
  <c r="CT161" i="1"/>
  <c r="CU161" i="1"/>
  <c r="AL83" i="1"/>
  <c r="CN83" i="1"/>
  <c r="CO83" i="1"/>
  <c r="CQ83" i="1"/>
  <c r="CR83" i="1"/>
  <c r="CS83" i="1"/>
  <c r="CT83" i="1"/>
  <c r="CU83" i="1"/>
  <c r="CP83" i="1"/>
  <c r="AL156" i="1"/>
  <c r="CR156" i="1"/>
  <c r="CO156" i="1"/>
  <c r="CP156" i="1"/>
  <c r="CN156" i="1"/>
  <c r="CQ156" i="1"/>
  <c r="CS156" i="1"/>
  <c r="CT156" i="1"/>
  <c r="CU156" i="1"/>
  <c r="AL84" i="1"/>
  <c r="CN84" i="1"/>
  <c r="CO84" i="1"/>
  <c r="CQ84" i="1"/>
  <c r="CR84" i="1"/>
  <c r="CS84" i="1"/>
  <c r="CT84" i="1"/>
  <c r="CU84" i="1"/>
  <c r="CP84" i="1"/>
  <c r="AL160" i="1"/>
  <c r="CR160" i="1"/>
  <c r="CO160" i="1"/>
  <c r="CT160" i="1"/>
  <c r="CU160" i="1"/>
  <c r="CS160" i="1"/>
  <c r="CN160" i="1"/>
  <c r="CP160" i="1"/>
  <c r="CQ160" i="1"/>
  <c r="AL106" i="1"/>
  <c r="CR106" i="1"/>
  <c r="CS106" i="1"/>
  <c r="CT106" i="1"/>
  <c r="CU106" i="1"/>
  <c r="CN106" i="1"/>
  <c r="CO106" i="1"/>
  <c r="CP106" i="1"/>
  <c r="CQ106" i="1"/>
  <c r="AL162" i="1"/>
  <c r="CR162" i="1"/>
  <c r="CO162" i="1"/>
  <c r="CP162" i="1"/>
  <c r="CQ162" i="1"/>
  <c r="CS162" i="1"/>
  <c r="CT162" i="1"/>
  <c r="CU162" i="1"/>
  <c r="CN162" i="1"/>
  <c r="AL151" i="1"/>
  <c r="CR151" i="1"/>
  <c r="CO151" i="1"/>
  <c r="CP151" i="1"/>
  <c r="CS151" i="1"/>
  <c r="CT151" i="1"/>
  <c r="CU151" i="1"/>
  <c r="CQ151" i="1"/>
  <c r="CN151" i="1"/>
  <c r="AL61" i="1"/>
  <c r="CN61" i="1"/>
  <c r="CO61" i="1"/>
  <c r="CP61" i="1"/>
  <c r="CQ61" i="1"/>
  <c r="CR61" i="1"/>
  <c r="CW61" i="1"/>
  <c r="CS61" i="1"/>
  <c r="CT61" i="1"/>
  <c r="CU61" i="1"/>
  <c r="AL112" i="1"/>
  <c r="CR112" i="1"/>
  <c r="CS112" i="1"/>
  <c r="CT112" i="1"/>
  <c r="CU112" i="1"/>
  <c r="CN112" i="1"/>
  <c r="CV112" i="1"/>
  <c r="CO112" i="1"/>
  <c r="CP112" i="1"/>
  <c r="CQ112" i="1"/>
  <c r="AL153" i="1"/>
  <c r="CR153" i="1"/>
  <c r="CO153" i="1"/>
  <c r="CP153" i="1"/>
  <c r="CS153" i="1"/>
  <c r="CT153" i="1"/>
  <c r="CU153" i="1"/>
  <c r="CQ153" i="1"/>
  <c r="CW153" i="1"/>
  <c r="CN153" i="1"/>
  <c r="AL158" i="1"/>
  <c r="CR158" i="1"/>
  <c r="CO158" i="1"/>
  <c r="CN158" i="1"/>
  <c r="CP158" i="1"/>
  <c r="CQ158" i="1"/>
  <c r="CS158" i="1"/>
  <c r="CT158" i="1"/>
  <c r="CU158" i="1"/>
  <c r="AL76" i="1"/>
  <c r="CN76" i="1"/>
  <c r="CO76" i="1"/>
  <c r="CQ76" i="1"/>
  <c r="CR76" i="1"/>
  <c r="CS76" i="1"/>
  <c r="CT76" i="1"/>
  <c r="CU76" i="1"/>
  <c r="CP76" i="1"/>
  <c r="AL69" i="1"/>
  <c r="CN69" i="1"/>
  <c r="CO69" i="1"/>
  <c r="CP69" i="1"/>
  <c r="CQ69" i="1"/>
  <c r="CR69" i="1"/>
  <c r="CS69" i="1"/>
  <c r="CT69" i="1"/>
  <c r="CU69" i="1"/>
  <c r="AL116" i="1"/>
  <c r="CR116" i="1"/>
  <c r="CS116" i="1"/>
  <c r="CT116" i="1"/>
  <c r="CU116" i="1"/>
  <c r="CN116" i="1"/>
  <c r="CO116" i="1"/>
  <c r="CP116" i="1"/>
  <c r="CQ116" i="1"/>
  <c r="AL27" i="1"/>
  <c r="CN27" i="1"/>
  <c r="CO27" i="1"/>
  <c r="CP27" i="1"/>
  <c r="CQ27" i="1"/>
  <c r="CR27" i="1"/>
  <c r="CS27" i="1"/>
  <c r="CT27" i="1"/>
  <c r="CU27" i="1"/>
  <c r="AL71" i="1"/>
  <c r="CN71" i="1"/>
  <c r="CO71" i="1"/>
  <c r="CP71" i="1"/>
  <c r="CQ71" i="1"/>
  <c r="CR71" i="1"/>
  <c r="CS71" i="1"/>
  <c r="CT71" i="1"/>
  <c r="CU71" i="1"/>
  <c r="AL72" i="1"/>
  <c r="CN72" i="1"/>
  <c r="CO72" i="1"/>
  <c r="CQ72" i="1"/>
  <c r="CW72" i="1"/>
  <c r="CR72" i="1"/>
  <c r="CS72" i="1"/>
  <c r="CT72" i="1"/>
  <c r="CU72" i="1"/>
  <c r="CP72" i="1"/>
  <c r="AL78" i="1"/>
  <c r="CN78" i="1"/>
  <c r="CO78" i="1"/>
  <c r="CQ78" i="1"/>
  <c r="CW78" i="1"/>
  <c r="CR78" i="1"/>
  <c r="CS78" i="1"/>
  <c r="CT78" i="1"/>
  <c r="CU78" i="1"/>
  <c r="CP78" i="1"/>
  <c r="AL105" i="1"/>
  <c r="CR105" i="1"/>
  <c r="CW105" i="1"/>
  <c r="CS105" i="1"/>
  <c r="CT105" i="1"/>
  <c r="CU105" i="1"/>
  <c r="CN105" i="1"/>
  <c r="CO105" i="1"/>
  <c r="CP105" i="1"/>
  <c r="CQ105" i="1"/>
  <c r="AL70" i="1"/>
  <c r="CN70" i="1"/>
  <c r="CV70" i="1"/>
  <c r="CO70" i="1"/>
  <c r="CP70" i="1"/>
  <c r="CQ70" i="1"/>
  <c r="CR70" i="1"/>
  <c r="CS70" i="1"/>
  <c r="CT70" i="1"/>
  <c r="CU70" i="1"/>
  <c r="AL115" i="1"/>
  <c r="CR115" i="1"/>
  <c r="CS115" i="1"/>
  <c r="CW115" i="1"/>
  <c r="CT115" i="1"/>
  <c r="CU115" i="1"/>
  <c r="CN115" i="1"/>
  <c r="CV115" i="1"/>
  <c r="CO115" i="1"/>
  <c r="CP115" i="1"/>
  <c r="CQ115" i="1"/>
  <c r="CN57" i="1"/>
  <c r="CO57" i="1"/>
  <c r="CP57" i="1"/>
  <c r="CQ57" i="1"/>
  <c r="CR57" i="1"/>
  <c r="CS57" i="1"/>
  <c r="CT57" i="1"/>
  <c r="CU57" i="1"/>
  <c r="AL113" i="1"/>
  <c r="CR113" i="1"/>
  <c r="CS113" i="1"/>
  <c r="CT113" i="1"/>
  <c r="CU113" i="1"/>
  <c r="CN113" i="1"/>
  <c r="CV113" i="1"/>
  <c r="CO113" i="1"/>
  <c r="CP113" i="1"/>
  <c r="CQ113" i="1"/>
  <c r="AL109" i="1"/>
  <c r="CR109" i="1"/>
  <c r="CS109" i="1"/>
  <c r="CT109" i="1"/>
  <c r="CU109" i="1"/>
  <c r="CN109" i="1"/>
  <c r="CO109" i="1"/>
  <c r="CP109" i="1"/>
  <c r="CQ109" i="1"/>
  <c r="AL16" i="1"/>
  <c r="CN16" i="1"/>
  <c r="CO16" i="1"/>
  <c r="CP16" i="1"/>
  <c r="CQ16" i="1"/>
  <c r="CW16" i="1"/>
  <c r="CR16" i="1"/>
  <c r="CS16" i="1"/>
  <c r="CT16" i="1"/>
  <c r="CU16" i="1"/>
  <c r="AL114" i="1"/>
  <c r="CR114" i="1"/>
  <c r="CS114" i="1"/>
  <c r="CT114" i="1"/>
  <c r="CU114" i="1"/>
  <c r="CN114" i="1"/>
  <c r="CO114" i="1"/>
  <c r="CP114" i="1"/>
  <c r="CV114" i="1"/>
  <c r="CQ114" i="1"/>
  <c r="AL101" i="1"/>
  <c r="CR101" i="1"/>
  <c r="CS101" i="1"/>
  <c r="CT101" i="1"/>
  <c r="CU101" i="1"/>
  <c r="CN101" i="1"/>
  <c r="CO101" i="1"/>
  <c r="CP101" i="1"/>
  <c r="CV101" i="1"/>
  <c r="CQ101" i="1"/>
  <c r="CW101" i="1"/>
  <c r="AL155" i="1"/>
  <c r="CR155" i="1"/>
  <c r="CO155" i="1"/>
  <c r="CP155" i="1"/>
  <c r="CS155" i="1"/>
  <c r="CT155" i="1"/>
  <c r="CU155" i="1"/>
  <c r="CN155" i="1"/>
  <c r="CV155" i="1"/>
  <c r="CQ155" i="1"/>
  <c r="AL18" i="1"/>
  <c r="CN18" i="1"/>
  <c r="CO18" i="1"/>
  <c r="CV18" i="1"/>
  <c r="CP18" i="1"/>
  <c r="CQ18" i="1"/>
  <c r="CR18" i="1"/>
  <c r="CS18" i="1"/>
  <c r="CT18" i="1"/>
  <c r="CU18" i="1"/>
  <c r="AL79" i="1"/>
  <c r="CN79" i="1"/>
  <c r="CO79" i="1"/>
  <c r="CQ79" i="1"/>
  <c r="CR79" i="1"/>
  <c r="CS79" i="1"/>
  <c r="CT79" i="1"/>
  <c r="CU79" i="1"/>
  <c r="CP79" i="1"/>
  <c r="AL67" i="1"/>
  <c r="CN67" i="1"/>
  <c r="CO67" i="1"/>
  <c r="CP67" i="1"/>
  <c r="CQ67" i="1"/>
  <c r="CR67" i="1"/>
  <c r="CS67" i="1"/>
  <c r="CT67" i="1"/>
  <c r="CU67" i="1"/>
  <c r="AL60" i="1"/>
  <c r="CN60" i="1"/>
  <c r="CO60" i="1"/>
  <c r="CP60" i="1"/>
  <c r="CQ60" i="1"/>
  <c r="CR60" i="1"/>
  <c r="CS60" i="1"/>
  <c r="CW60" i="1"/>
  <c r="CT60" i="1"/>
  <c r="CU60" i="1"/>
  <c r="AL6" i="1"/>
  <c r="CN6" i="1"/>
  <c r="CO6" i="1"/>
  <c r="CP6" i="1"/>
  <c r="CQ6" i="1"/>
  <c r="CR6" i="1"/>
  <c r="CS6" i="1"/>
  <c r="CW6" i="1"/>
  <c r="CT6" i="1"/>
  <c r="CU6" i="1"/>
  <c r="AL107" i="1"/>
  <c r="CR107" i="1"/>
  <c r="CS107" i="1"/>
  <c r="CT107" i="1"/>
  <c r="CU107" i="1"/>
  <c r="CN107" i="1"/>
  <c r="CO107" i="1"/>
  <c r="CP107" i="1"/>
  <c r="CQ107" i="1"/>
  <c r="AL5" i="1"/>
  <c r="CN5" i="1"/>
  <c r="CO5" i="1"/>
  <c r="CP5" i="1"/>
  <c r="CQ5" i="1"/>
  <c r="CR5" i="1"/>
  <c r="CS5" i="1"/>
  <c r="CT5" i="1"/>
  <c r="CU5" i="1"/>
  <c r="AL24" i="1"/>
  <c r="CN24" i="1"/>
  <c r="CO24" i="1"/>
  <c r="CP24" i="1"/>
  <c r="CQ24" i="1"/>
  <c r="CR24" i="1"/>
  <c r="CS24" i="1"/>
  <c r="CT24" i="1"/>
  <c r="CU24" i="1"/>
  <c r="AL59" i="1"/>
  <c r="CN59" i="1"/>
  <c r="CO59" i="1"/>
  <c r="CP59" i="1"/>
  <c r="CQ59" i="1"/>
  <c r="CR59" i="1"/>
  <c r="CS59" i="1"/>
  <c r="CT59" i="1"/>
  <c r="CU59" i="1"/>
  <c r="AL118" i="1"/>
  <c r="CR118" i="1"/>
  <c r="CS118" i="1"/>
  <c r="CT118" i="1"/>
  <c r="CU118" i="1"/>
  <c r="CN118" i="1"/>
  <c r="CO118" i="1"/>
  <c r="CP118" i="1"/>
  <c r="CQ118" i="1"/>
  <c r="AL65" i="1"/>
  <c r="CN65" i="1"/>
  <c r="CO65" i="1"/>
  <c r="CP65" i="1"/>
  <c r="CQ65" i="1"/>
  <c r="CR65" i="1"/>
  <c r="CS65" i="1"/>
  <c r="CT65" i="1"/>
  <c r="CU65" i="1"/>
  <c r="AL110" i="1"/>
  <c r="CR110" i="1"/>
  <c r="CS110" i="1"/>
  <c r="CT110" i="1"/>
  <c r="CU110" i="1"/>
  <c r="CN110" i="1"/>
  <c r="CO110" i="1"/>
  <c r="CP110" i="1"/>
  <c r="CQ110" i="1"/>
  <c r="Q102" i="1"/>
  <c r="CV63" i="1"/>
  <c r="CV24" i="1"/>
  <c r="CV77" i="1"/>
  <c r="CV84" i="1"/>
  <c r="CV28" i="1"/>
  <c r="CV25" i="1"/>
  <c r="CV157" i="1"/>
  <c r="CV74" i="1"/>
  <c r="CV57" i="1"/>
  <c r="CV80" i="1"/>
  <c r="CV58" i="1"/>
  <c r="CW62" i="1"/>
  <c r="CV156" i="1"/>
  <c r="CW64" i="1"/>
  <c r="CV82" i="1"/>
  <c r="CV109" i="1"/>
  <c r="CV151" i="1"/>
  <c r="CW29" i="1"/>
  <c r="CW75" i="1"/>
  <c r="CW22" i="1"/>
  <c r="CW106" i="1"/>
  <c r="CV69" i="1"/>
  <c r="CV62" i="1"/>
  <c r="CW63" i="1"/>
  <c r="CW27" i="1"/>
  <c r="CW159" i="1"/>
  <c r="CW154" i="1"/>
  <c r="CW156" i="1"/>
  <c r="CW163" i="1"/>
  <c r="CV106" i="1"/>
  <c r="CW71" i="1"/>
  <c r="CW74" i="1"/>
  <c r="CW117" i="1"/>
  <c r="CW157" i="1"/>
  <c r="CW111" i="1"/>
  <c r="CV104" i="1"/>
  <c r="CV26" i="1"/>
  <c r="CV159" i="1"/>
  <c r="CW84" i="1"/>
  <c r="CW4" i="1"/>
  <c r="CV161" i="1"/>
  <c r="CV154" i="1"/>
  <c r="CW58" i="1"/>
  <c r="CW151" i="1"/>
  <c r="CW77" i="1"/>
  <c r="CW26" i="1"/>
  <c r="CV76" i="1"/>
  <c r="CV64" i="1"/>
  <c r="CW103" i="1"/>
  <c r="CW162" i="1"/>
  <c r="Q30" i="1"/>
  <c r="Q66" i="1"/>
  <c r="Q73" i="1"/>
  <c r="Q3" i="1"/>
  <c r="Q68" i="1"/>
  <c r="Q152" i="1"/>
  <c r="Q20" i="1"/>
  <c r="Q165" i="1"/>
  <c r="CW59" i="1"/>
  <c r="CW57" i="1"/>
  <c r="CV79" i="1"/>
  <c r="CV72" i="1"/>
  <c r="CW67" i="1"/>
  <c r="CW118" i="1"/>
  <c r="CV5" i="1"/>
  <c r="CW28" i="1"/>
  <c r="CV117" i="1"/>
  <c r="CW109" i="1"/>
  <c r="CV78" i="1"/>
  <c r="CW76" i="1"/>
  <c r="CW155" i="1"/>
  <c r="CW114" i="1"/>
  <c r="CV16" i="1"/>
  <c r="CW18" i="1"/>
  <c r="CW112" i="1"/>
  <c r="CV67" i="1"/>
  <c r="CW24" i="1"/>
  <c r="CW5" i="1"/>
  <c r="CV107" i="1"/>
  <c r="CV61" i="1"/>
  <c r="CV162" i="1"/>
  <c r="CV75" i="1"/>
  <c r="CV65" i="1"/>
  <c r="CW110" i="1"/>
  <c r="CW69" i="1"/>
  <c r="CW80" i="1"/>
  <c r="CV59" i="1"/>
  <c r="CW79" i="1"/>
  <c r="CW17" i="1"/>
  <c r="CV71" i="1"/>
  <c r="CW82" i="1"/>
  <c r="CW104" i="1"/>
  <c r="CV29" i="1"/>
  <c r="CW65" i="1"/>
  <c r="CW107" i="1"/>
  <c r="CV6" i="1"/>
  <c r="CV60" i="1"/>
  <c r="CW70" i="1"/>
  <c r="CV105" i="1"/>
  <c r="CV17" i="1"/>
  <c r="CW25" i="1"/>
  <c r="CV103" i="1"/>
  <c r="AL20" i="1"/>
  <c r="CN20" i="1"/>
  <c r="CO20" i="1"/>
  <c r="CP20" i="1"/>
  <c r="CQ20" i="1"/>
  <c r="CR20" i="1"/>
  <c r="CS20" i="1"/>
  <c r="CT20" i="1"/>
  <c r="CU20" i="1"/>
  <c r="CV27" i="1"/>
  <c r="AL165" i="1"/>
  <c r="CR165" i="1"/>
  <c r="CS165" i="1"/>
  <c r="CT165" i="1"/>
  <c r="CU165" i="1"/>
  <c r="CN165" i="1"/>
  <c r="CO165" i="1"/>
  <c r="CP165" i="1"/>
  <c r="CQ165" i="1"/>
  <c r="CV4" i="1"/>
  <c r="AL68" i="1"/>
  <c r="CN68" i="1"/>
  <c r="CO68" i="1"/>
  <c r="CP68" i="1"/>
  <c r="CQ68" i="1"/>
  <c r="CR68" i="1"/>
  <c r="CS68" i="1"/>
  <c r="CT68" i="1"/>
  <c r="CU68" i="1"/>
  <c r="AL3" i="1"/>
  <c r="CO3" i="1"/>
  <c r="CT3" i="1"/>
  <c r="CU3" i="1"/>
  <c r="CN3" i="1"/>
  <c r="CS3" i="1"/>
  <c r="CR3" i="1"/>
  <c r="CP3" i="1"/>
  <c r="CQ3" i="1"/>
  <c r="AL102" i="1"/>
  <c r="CR102" i="1"/>
  <c r="CS102" i="1"/>
  <c r="CT102" i="1"/>
  <c r="CU102" i="1"/>
  <c r="CN102" i="1"/>
  <c r="CO102" i="1"/>
  <c r="CP102" i="1"/>
  <c r="CV102" i="1"/>
  <c r="CQ102" i="1"/>
  <c r="AL152" i="1"/>
  <c r="CR152" i="1"/>
  <c r="CO152" i="1"/>
  <c r="CP152" i="1"/>
  <c r="CN152" i="1"/>
  <c r="CQ152" i="1"/>
  <c r="CS152" i="1"/>
  <c r="CT152" i="1"/>
  <c r="CU152" i="1"/>
  <c r="CV110" i="1"/>
  <c r="CW83" i="1"/>
  <c r="CV111" i="1"/>
  <c r="AL73" i="1"/>
  <c r="CN73" i="1"/>
  <c r="CO73" i="1"/>
  <c r="CQ73" i="1"/>
  <c r="CR73" i="1"/>
  <c r="CS73" i="1"/>
  <c r="CT73" i="1"/>
  <c r="CU73" i="1"/>
  <c r="CP73" i="1"/>
  <c r="AL30" i="1"/>
  <c r="CN30" i="1"/>
  <c r="CO30" i="1"/>
  <c r="CP30" i="1"/>
  <c r="CQ30" i="1"/>
  <c r="CR30" i="1"/>
  <c r="CS30" i="1"/>
  <c r="CT30" i="1"/>
  <c r="CU30" i="1"/>
  <c r="AL66" i="1"/>
  <c r="CN66" i="1"/>
  <c r="CO66" i="1"/>
  <c r="CP66" i="1"/>
  <c r="CQ66" i="1"/>
  <c r="CR66" i="1"/>
  <c r="CS66" i="1"/>
  <c r="CT66" i="1"/>
  <c r="CU66" i="1"/>
  <c r="CV83" i="1"/>
  <c r="CW165" i="1"/>
  <c r="CV152" i="1"/>
  <c r="CV20" i="1"/>
  <c r="CW68" i="1"/>
  <c r="CW3" i="1"/>
  <c r="CW20" i="1"/>
  <c r="CV66" i="1"/>
  <c r="CV30" i="1"/>
  <c r="CW102" i="1"/>
  <c r="CW73" i="1"/>
  <c r="CW152" i="1"/>
  <c r="CV73" i="1"/>
  <c r="CV3" i="1"/>
  <c r="CV68" i="1"/>
  <c r="CV165" i="1"/>
  <c r="CW30" i="1"/>
  <c r="CW66" i="1"/>
  <c r="CW164" i="1" l="1"/>
  <c r="CV145" i="1"/>
  <c r="CV89" i="1"/>
  <c r="CV123" i="1"/>
  <c r="CW160" i="1"/>
  <c r="CV116" i="1"/>
  <c r="CW137" i="1"/>
  <c r="CW133" i="1"/>
  <c r="CW126" i="1"/>
  <c r="CV132" i="1"/>
  <c r="CW158" i="1"/>
  <c r="B13" i="23"/>
  <c r="B12"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AU2" authorId="0" shapeId="0" xr:uid="{00000000-0006-0000-0100-000001000000}">
      <text>
        <r>
          <rPr>
            <b/>
            <sz val="9"/>
            <color indexed="81"/>
            <rFont val="Tahoma"/>
            <family val="2"/>
          </rPr>
          <t>Sacchi Romain:</t>
        </r>
        <r>
          <rPr>
            <sz val="9"/>
            <color indexed="81"/>
            <rFont val="Tahoma"/>
            <family val="2"/>
          </rPr>
          <t xml:space="preserve">
kg/km</t>
        </r>
      </text>
    </comment>
  </commentList>
</comments>
</file>

<file path=xl/sharedStrings.xml><?xml version="1.0" encoding="utf-8"?>
<sst xmlns="http://schemas.openxmlformats.org/spreadsheetml/2006/main" count="20331" uniqueCount="970">
  <si>
    <t>Vehicle</t>
  </si>
  <si>
    <t>Size</t>
  </si>
  <si>
    <t>Year</t>
  </si>
  <si>
    <t>Powertrain</t>
  </si>
  <si>
    <t>Lifetime [km]</t>
  </si>
  <si>
    <t>Lifetime [years]</t>
  </si>
  <si>
    <t>Annual kilometers [km]</t>
  </si>
  <si>
    <t>Passengers [unit]</t>
  </si>
  <si>
    <t>Passenger mass [kg]</t>
  </si>
  <si>
    <t>Cargo mass [kg]</t>
  </si>
  <si>
    <t>Driving mass [kg]</t>
  </si>
  <si>
    <t>Curb mass [kg]</t>
  </si>
  <si>
    <t>Power [kW]</t>
  </si>
  <si>
    <t>Glider mass [kg]</t>
  </si>
  <si>
    <t>Lightweighting rate [%]</t>
  </si>
  <si>
    <t>Glider base mass [kg]</t>
  </si>
  <si>
    <t>Mechanical powertrain mass [kg]</t>
  </si>
  <si>
    <t>Electric energy stored [kWh]</t>
  </si>
  <si>
    <t>Energy battery mass [kg]</t>
  </si>
  <si>
    <t>Energy battery cell mass [kg]</t>
  </si>
  <si>
    <t>Energy battery BoP mass [kg]</t>
  </si>
  <si>
    <t>Energy battery replacement [unit]</t>
  </si>
  <si>
    <t>Fuel mass [kg]</t>
  </si>
  <si>
    <t>Oxydation energy stored [kWh]</t>
  </si>
  <si>
    <t>Fuel tank mass [kg]</t>
  </si>
  <si>
    <t>Charging station power [kW]</t>
  </si>
  <si>
    <t>Range [km]</t>
  </si>
  <si>
    <t>Gasoline consumption [MJ/km]</t>
  </si>
  <si>
    <t>Electricity consumption [MJ/km]</t>
  </si>
  <si>
    <t>Road wear [kg/km]</t>
  </si>
  <si>
    <t>Tire wear [kg/km]</t>
  </si>
  <si>
    <t>Brake wear [kg/km]</t>
  </si>
  <si>
    <t>BEV</t>
  </si>
  <si>
    <t>Bicycle, conventional, urban</t>
  </si>
  <si>
    <t>43m</t>
  </si>
  <si>
    <t>ICEV-p</t>
  </si>
  <si>
    <t>Location</t>
  </si>
  <si>
    <t>CH</t>
  </si>
  <si>
    <t>Functional unit</t>
  </si>
  <si>
    <t>vkm</t>
  </si>
  <si>
    <t>pkm</t>
  </si>
  <si>
    <t>Energy battery type</t>
  </si>
  <si>
    <t>NMC</t>
  </si>
  <si>
    <t>LFP</t>
  </si>
  <si>
    <t>NCA</t>
  </si>
  <si>
    <t>Gasoline</t>
  </si>
  <si>
    <t>Diesel</t>
  </si>
  <si>
    <t>CNG</t>
  </si>
  <si>
    <t>Fuel density [kg/l]</t>
  </si>
  <si>
    <t>Fuel volume [l]</t>
  </si>
  <si>
    <t>LHV [kWh/kg]</t>
  </si>
  <si>
    <t>Charging station per vehicle [unit]</t>
  </si>
  <si>
    <t>CO2 [kg/kg]</t>
  </si>
  <si>
    <t>SO2 [kg/kg]</t>
  </si>
  <si>
    <t>Benzene</t>
  </si>
  <si>
    <t>CH4</t>
  </si>
  <si>
    <t>CO</t>
  </si>
  <si>
    <t>N2O</t>
  </si>
  <si>
    <t>NH3</t>
  </si>
  <si>
    <t>NOx</t>
  </si>
  <si>
    <t>NMHC</t>
  </si>
  <si>
    <t>PM2.5</t>
  </si>
  <si>
    <t>Depth of discharge [%]</t>
  </si>
  <si>
    <t>Electric energy available [kWh]</t>
  </si>
  <si>
    <t>Emission standard</t>
  </si>
  <si>
    <t>CO2</t>
  </si>
  <si>
    <t>SO2</t>
  </si>
  <si>
    <t>skip</t>
  </si>
  <si>
    <t>MobiTool - other vehicles</t>
  </si>
  <si>
    <t>Database</t>
  </si>
  <si>
    <t>Activity</t>
  </si>
  <si>
    <t>location</t>
  </si>
  <si>
    <t>reference product</t>
  </si>
  <si>
    <t>type</t>
  </si>
  <si>
    <t>process</t>
  </si>
  <si>
    <t>unit</t>
  </si>
  <si>
    <t>kilogram</t>
  </si>
  <si>
    <t>source</t>
  </si>
  <si>
    <t>Exchanges</t>
  </si>
  <si>
    <t>name</t>
  </si>
  <si>
    <t>amount</t>
  </si>
  <si>
    <t>categories</t>
  </si>
  <si>
    <t>comment</t>
  </si>
  <si>
    <t>production</t>
  </si>
  <si>
    <t/>
  </si>
  <si>
    <t>vehicle</t>
  </si>
  <si>
    <t>size</t>
  </si>
  <si>
    <t>year</t>
  </si>
  <si>
    <t>technosphere</t>
  </si>
  <si>
    <t>names</t>
  </si>
  <si>
    <t>bicycle production</t>
  </si>
  <si>
    <t>RER</t>
  </si>
  <si>
    <t>bicycle</t>
  </si>
  <si>
    <t>multiplication factor</t>
  </si>
  <si>
    <t>GLO</t>
  </si>
  <si>
    <t>kilowatt hour</t>
  </si>
  <si>
    <t>market for petrol, low-sulfur</t>
  </si>
  <si>
    <t>market for electricity, low voltage</t>
  </si>
  <si>
    <t>petrol, low-sulfur</t>
  </si>
  <si>
    <t>electricity, low voltage</t>
  </si>
  <si>
    <t>tram</t>
  </si>
  <si>
    <t>tram production</t>
  </si>
  <si>
    <t>Road/track use [m*year/vkm or pkm]</t>
  </si>
  <si>
    <t>tram track construction</t>
  </si>
  <si>
    <t>meter-year</t>
  </si>
  <si>
    <t>tram track</t>
  </si>
  <si>
    <t>road construction</t>
  </si>
  <si>
    <t>road</t>
  </si>
  <si>
    <t>market for electricity, medium voltage</t>
  </si>
  <si>
    <t>Road maintenance [m*year/vkm]</t>
  </si>
  <si>
    <t>road maintenance</t>
  </si>
  <si>
    <t>motor scooter production</t>
  </si>
  <si>
    <t>motor scooter, 50 cubic cm engine</t>
  </si>
  <si>
    <t>polyethylene production, high density, granulate</t>
  </si>
  <si>
    <t>polyethylene, high density, granulate</t>
  </si>
  <si>
    <t>Servicing [unit]</t>
  </si>
  <si>
    <t>maintenance, bicycle</t>
  </si>
  <si>
    <t>maintenance, tram</t>
  </si>
  <si>
    <t>maintenance, motor scooter</t>
  </si>
  <si>
    <t>maintenance, electric scooter, without battery</t>
  </si>
  <si>
    <t>glider, for electric scooter</t>
  </si>
  <si>
    <t>electricity, medium voltage</t>
  </si>
  <si>
    <t>Full name</t>
  </si>
  <si>
    <t>full name</t>
  </si>
  <si>
    <t>lifetime</t>
  </si>
  <si>
    <t>passengers</t>
  </si>
  <si>
    <t>service</t>
  </si>
  <si>
    <t>battery replacement</t>
  </si>
  <si>
    <t>annual kilometers</t>
  </si>
  <si>
    <t>curb mass</t>
  </si>
  <si>
    <t>power</t>
  </si>
  <si>
    <t>battery mass</t>
  </si>
  <si>
    <t>range</t>
  </si>
  <si>
    <t>emission standard</t>
  </si>
  <si>
    <t>tank capacity</t>
  </si>
  <si>
    <t>fuel mass</t>
  </si>
  <si>
    <t>None</t>
  </si>
  <si>
    <t>EURO-3</t>
  </si>
  <si>
    <t>EURO-4</t>
  </si>
  <si>
    <t>EURO-5</t>
  </si>
  <si>
    <t>Discarding glider [kg]</t>
  </si>
  <si>
    <t>Discarding powertrain [kg]</t>
  </si>
  <si>
    <t>Discarding battery [kg]</t>
  </si>
  <si>
    <t>market for used Li-ion battery</t>
  </si>
  <si>
    <t>used Li-ion battery</t>
  </si>
  <si>
    <t>treatment of used electric bicycle</t>
  </si>
  <si>
    <t>used electric bicycle</t>
  </si>
  <si>
    <t>powertrain, for electric scooter</t>
  </si>
  <si>
    <t>manual dismantling of electric scooter</t>
  </si>
  <si>
    <t>manual dismantling of used electric scooter</t>
  </si>
  <si>
    <t>Carbon dioxide, fossil</t>
  </si>
  <si>
    <t>Methane, fossil</t>
  </si>
  <si>
    <t>Carbon monoxide, fossil</t>
  </si>
  <si>
    <t>Ammonia</t>
  </si>
  <si>
    <t>Nitrogen oxides</t>
  </si>
  <si>
    <t>treatment of road wear emissions, passenger car</t>
  </si>
  <si>
    <t>treatment of tyre wear emissions, passenger car</t>
  </si>
  <si>
    <t>road wear emissions, passenger car</t>
  </si>
  <si>
    <t>tyre wear emissions, passenger car</t>
  </si>
  <si>
    <t>brake wear emissions, passenger car</t>
  </si>
  <si>
    <t>category</t>
  </si>
  <si>
    <t>air</t>
  </si>
  <si>
    <t>kilometer</t>
  </si>
  <si>
    <t>biosphere</t>
  </si>
  <si>
    <t>treatment of brake wear emissions, passenger car</t>
  </si>
  <si>
    <t>person-kilometer</t>
  </si>
  <si>
    <t>Bicycle, conventional, urban - 2020 - CH</t>
  </si>
  <si>
    <t>Bicycle, conventional, urban - 2030 - CH</t>
  </si>
  <si>
    <t>Bicycle, conventional, urban - 2040 - CH</t>
  </si>
  <si>
    <t>Bicycle, conventional, urban - 2050 - CH</t>
  </si>
  <si>
    <t>transport</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</si>
  <si>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</si>
  <si>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</si>
  <si>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</si>
  <si>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</si>
  <si>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</si>
  <si>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production amount</t>
  </si>
  <si>
    <t>Car db</t>
  </si>
  <si>
    <t>database</t>
  </si>
  <si>
    <t>market for aluminium alloy, AlLi</t>
  </si>
  <si>
    <t>aluminium alloy, AlLi</t>
  </si>
  <si>
    <t>market for steel, low-alloyed, hot rolled</t>
  </si>
  <si>
    <t>ecoinvent 3.5 cutoff</t>
  </si>
  <si>
    <t>steel, low-alloyed, hot rolled</t>
  </si>
  <si>
    <t>charging station, 500W</t>
  </si>
  <si>
    <t>charging station, 3kW</t>
  </si>
  <si>
    <t>market for electric powertrain, for electric scooter</t>
  </si>
  <si>
    <t>market for glider, for electric scooter</t>
  </si>
  <si>
    <t>market for maintenance, electric scooter, without battery</t>
  </si>
  <si>
    <t>megajoule</t>
  </si>
  <si>
    <t>aluminium, wrought alloy</t>
  </si>
  <si>
    <t>ton kilometer</t>
  </si>
  <si>
    <t>market group for electricity, medium voltage</t>
  </si>
  <si>
    <t>heat, district or industrial, natural gas</t>
  </si>
  <si>
    <t>Europe without Switzerland</t>
  </si>
  <si>
    <t>market for synthetic rubber</t>
  </si>
  <si>
    <t>synthetic rubber</t>
  </si>
  <si>
    <t>injection moulding</t>
  </si>
  <si>
    <t>market for metal working factory</t>
  </si>
  <si>
    <t>metal working factory</t>
  </si>
  <si>
    <t>metal working, average for aluminium product manufacturing</t>
  </si>
  <si>
    <t>market for metal working, average for steel product manufacturing</t>
  </si>
  <si>
    <t>metal working, average for steel product manufacturing</t>
  </si>
  <si>
    <t>market for steel, low-alloyed</t>
  </si>
  <si>
    <t>steel, low-alloyed</t>
  </si>
  <si>
    <t>water</t>
  </si>
  <si>
    <t>biosphere3</t>
  </si>
  <si>
    <t>NMVOC, non-methane volatile organic compounds, unspecified origin</t>
  </si>
  <si>
    <t>cubic meter</t>
  </si>
  <si>
    <t>square meter</t>
  </si>
  <si>
    <t>Sulfur dioxide</t>
  </si>
  <si>
    <t>Dinitrogen monoxide</t>
  </si>
  <si>
    <t>Particulates, &lt; 2.5 um</t>
  </si>
  <si>
    <t>Uses an electric scooter charger from ecoinvent 3.7 as a proxy. Shipping from Guangzhou to Amsterdam (15,900 km). Lorry within Europe (1,000 km).</t>
  </si>
  <si>
    <t>transport, freight, sea, container ship</t>
  </si>
  <si>
    <t>market for polyethylene, high density, granulate</t>
  </si>
  <si>
    <t>road vehicle factory</t>
  </si>
  <si>
    <t>road vehicle factory construction</t>
  </si>
  <si>
    <t>municipal solid waste</t>
  </si>
  <si>
    <t>market group for municipal solid waste</t>
  </si>
  <si>
    <t>market group for heat, district or industrial, natural gas</t>
  </si>
  <si>
    <t>market for aluminium, wrought alloy</t>
  </si>
  <si>
    <t>wire drawing, steel</t>
  </si>
  <si>
    <t>section bar extrusion, aluminium</t>
  </si>
  <si>
    <t>electric motor, vehicle</t>
  </si>
  <si>
    <t>market for electric motor, vehicle</t>
  </si>
  <si>
    <t>heat, district or industrial, other than natural gas</t>
  </si>
  <si>
    <t>market group for heat, district or industrial, other than natural gas</t>
  </si>
  <si>
    <t>tap water</t>
  </si>
  <si>
    <t>market group for tap water</t>
  </si>
  <si>
    <t>aluminium, cast alloy</t>
  </si>
  <si>
    <t>market for aluminium, cast alloy</t>
  </si>
  <si>
    <t>polyurethane, flexible foam</t>
  </si>
  <si>
    <t>market for polyurethane, flexible foam</t>
  </si>
  <si>
    <t>steel, chromium steel 18/8, hot rolled</t>
  </si>
  <si>
    <t>market for steel, chromium steel 18/8, hot rolled</t>
  </si>
  <si>
    <t>powder coat, aluminium sheet</t>
  </si>
  <si>
    <t>powder coating, aluminium sheet</t>
  </si>
  <si>
    <t>chromium steel removed by turning, average, conventional</t>
  </si>
  <si>
    <t>chromium steel turning, average, conventional</t>
  </si>
  <si>
    <t>meter</t>
  </si>
  <si>
    <t>welding, arc, aluminium</t>
  </si>
  <si>
    <t>wastewater, average</t>
  </si>
  <si>
    <t>market for wastewater, average</t>
  </si>
  <si>
    <t>Water</t>
  </si>
  <si>
    <t>This is a copy of the ecoinvent dataset "electric bicycle production" where the battery and the electric motor have been removed.</t>
  </si>
  <si>
    <t>electric bicycle, without battery and motor</t>
  </si>
  <si>
    <t>electric bicycle production, without battery and motor</t>
  </si>
  <si>
    <t>maintenance, electric bicycle, without battery</t>
  </si>
  <si>
    <t>aluminium alloy, AlMg3</t>
  </si>
  <si>
    <t>market for aluminium alloy, AlMg3</t>
  </si>
  <si>
    <t>waste plastic, mixture</t>
  </si>
  <si>
    <t>market for waste plastic, mixture</t>
  </si>
  <si>
    <t>waste rubber, unspecified</t>
  </si>
  <si>
    <t>market for waste rubber, unspecified</t>
  </si>
  <si>
    <t>market for tap water</t>
  </si>
  <si>
    <t>ecoinvent</t>
  </si>
  <si>
    <t>This is a copy of the ecoinvent dataset "maintenance, electric bicycle" where the battery replacement and treatment has been removed.</t>
  </si>
  <si>
    <t>origin</t>
  </si>
  <si>
    <t>China</t>
  </si>
  <si>
    <t>distance by ship [km]</t>
  </si>
  <si>
    <t>distance by truck [km]</t>
  </si>
  <si>
    <t>Bicycle, electric (&lt;25 km/h)</t>
  </si>
  <si>
    <t>Bicycle, electric (&lt;45 km/h)</t>
  </si>
  <si>
    <t>Tram, electric</t>
  </si>
  <si>
    <t>Tram, electric - 2020 - CH</t>
  </si>
  <si>
    <t>Tram, electric - 2030 - CH</t>
  </si>
  <si>
    <t>Tram, electric - 2040 - CH</t>
  </si>
  <si>
    <t>Tram, electric - 2050 - CH</t>
  </si>
  <si>
    <t>Electric powertrain mass [kg]</t>
  </si>
  <si>
    <t>Europe</t>
  </si>
  <si>
    <t>Title</t>
  </si>
  <si>
    <t>Authors</t>
  </si>
  <si>
    <t>Reviewed by</t>
  </si>
  <si>
    <t>Cox B. (INFRAS)</t>
  </si>
  <si>
    <t>Vehicles' specifications and definitions are listed in "vehicles specifications".</t>
  </si>
  <si>
    <t>Any modification in "vehicles specifications" is automatically reflected in the unit processes.</t>
  </si>
  <si>
    <t>treatment of used tram</t>
  </si>
  <si>
    <t>used tram</t>
  </si>
  <si>
    <t>Road/track decommissioning [m*year/vkm or pkm]</t>
  </si>
  <si>
    <t>decommissioned tram track</t>
  </si>
  <si>
    <t>treatment of decommissioned tram track</t>
  </si>
  <si>
    <t>treatment of used bicycle</t>
  </si>
  <si>
    <t>used bicycle</t>
  </si>
  <si>
    <t>market for refrigerant R134a</t>
  </si>
  <si>
    <t>refrigerant R134a</t>
  </si>
  <si>
    <t>Air conditioning [kg/pkm]</t>
  </si>
  <si>
    <t>Ethane, 1,1,1,2-tetrafluoro-, HFC-134a</t>
  </si>
  <si>
    <t>R134a leakage</t>
  </si>
  <si>
    <t>Particulates, &gt; 10 um</t>
  </si>
  <si>
    <t>Copper</t>
  </si>
  <si>
    <t>Chromium</t>
  </si>
  <si>
    <t>Nickel</t>
  </si>
  <si>
    <t>Contact line abrasion. Source: https://iir-de-2020.wikidot.com/1-a-3-c-railways</t>
  </si>
  <si>
    <t>Wheels on rail abrasion.  Source: https://iir-de-2020.wikidot.com/1-a-3-c-railways</t>
  </si>
  <si>
    <t>Brake wear abrasion. Source: https://iir-de-2020.wikidot.com/1-a-3-c-railways</t>
  </si>
  <si>
    <t>ei 3.7</t>
  </si>
  <si>
    <t>Shipping to market included?</t>
  </si>
  <si>
    <t>End Of Life treatment included?</t>
  </si>
  <si>
    <t>electric bicycle production</t>
  </si>
  <si>
    <t>electric scooter production</t>
  </si>
  <si>
    <t>uvek</t>
  </si>
  <si>
    <t>motorbike production</t>
  </si>
  <si>
    <t>electric motorbike production</t>
  </si>
  <si>
    <t>Tabs starting with "lci-" contain unit processes to be consumed by brightway2. The inventories should link to ecoinvent 3.7, cut-off.</t>
  </si>
  <si>
    <t>Last revision</t>
  </si>
  <si>
    <r>
      <t xml:space="preserve">Unit processes consist of </t>
    </r>
    <r>
      <rPr>
        <u/>
        <sz val="11"/>
        <color indexed="8"/>
        <rFont val="Calibri"/>
        <family val="2"/>
      </rPr>
      <t>vehicles datasets</t>
    </r>
    <r>
      <rPr>
        <sz val="11"/>
        <color theme="1"/>
        <rFont val="Calibri"/>
        <family val="2"/>
        <scheme val="minor"/>
      </rPr>
      <t xml:space="preserve"> on the one hand (with the unit "unit"), and </t>
    </r>
    <r>
      <rPr>
        <u/>
        <sz val="11"/>
        <color indexed="8"/>
        <rFont val="Calibri"/>
        <family val="2"/>
      </rPr>
      <t>transport activity datasets</t>
    </r>
    <r>
      <rPr>
        <sz val="11"/>
        <color theme="1"/>
        <rFont val="Calibri"/>
        <family val="2"/>
        <scheme val="minor"/>
      </rPr>
      <t xml:space="preserve"> on the other (with the unit "kilometer" or "person-kilometer").</t>
    </r>
  </si>
  <si>
    <t>For some vehicles, the disposal treatment is included in the vehicle production dataset. For example, the dataset "bicycle production" contains the EoL treatment. In case the EoL treatment is not icnluded in the vehicle production dataset, it is added within the vehicle dataset.</t>
  </si>
  <si>
    <t>Finally, the transport to market is also added in the vehicle dataset, where most of the vehicles' components are assumed to be produced and assembled in Asia and shipped to Europe, to be distributed afterwards in Switzerland.</t>
  </si>
  <si>
    <t>Ethane</t>
  </si>
  <si>
    <t>Propane</t>
  </si>
  <si>
    <t>Butane</t>
  </si>
  <si>
    <t>Pentane</t>
  </si>
  <si>
    <t>Hexane</t>
  </si>
  <si>
    <t>Cyclohexane</t>
  </si>
  <si>
    <t>Heptane</t>
  </si>
  <si>
    <t>Ethene</t>
  </si>
  <si>
    <t>Propene</t>
  </si>
  <si>
    <t>1-Pentene</t>
  </si>
  <si>
    <t>Toluene</t>
  </si>
  <si>
    <t>m-Xylene</t>
  </si>
  <si>
    <t>o-Xylene</t>
  </si>
  <si>
    <t>Formaldehyde</t>
  </si>
  <si>
    <t>Acetaldehyde</t>
  </si>
  <si>
    <t>Benzaldehyde</t>
  </si>
  <si>
    <t>Acetone</t>
  </si>
  <si>
    <t>Acrolein</t>
  </si>
  <si>
    <t>Styrene</t>
  </si>
  <si>
    <t>Methyl ethyl ketone</t>
  </si>
  <si>
    <t>PAHs</t>
  </si>
  <si>
    <t>Arsenic</t>
  </si>
  <si>
    <t>Selenium</t>
  </si>
  <si>
    <t>Zinc</t>
  </si>
  <si>
    <t>Mercury</t>
  </si>
  <si>
    <t>Cadmium</t>
  </si>
  <si>
    <t>Chromium VI</t>
  </si>
  <si>
    <t>PAH, polycyclic aromatic hydrocarbons</t>
  </si>
  <si>
    <t>Scooter, gasoline, 4-11kW, EURO-3</t>
  </si>
  <si>
    <t>Scooter, gasoline, 4-11kW, EURO-4</t>
  </si>
  <si>
    <t>Scooter, gasoline, 4-11kW, EURO-5</t>
  </si>
  <si>
    <t>Scooter, gasoline, 4-11kW, EURO-3 - 2006 - CH</t>
  </si>
  <si>
    <t>Scooter, gasoline, 4-11kW, EURO-4 - 2016 - CH</t>
  </si>
  <si>
    <t>Scooter, gasoline, 4-11kW, EURO-5 - 2020 - CH</t>
  </si>
  <si>
    <t>Scooter, gasoline, 4-11kW, EURO-5 - 2030 - CH</t>
  </si>
  <si>
    <t>Scooter, gasoline, 4-11kW, EURO-5 - 2040 - CH</t>
  </si>
  <si>
    <t>Scooter, gasoline, 4-11kW, EURO-5 - 2050 - CH</t>
  </si>
  <si>
    <t>Moped, gasoline, &lt;4kW, EURO-3</t>
  </si>
  <si>
    <t>Moped, gasoline, &lt;4kW, EURO-4</t>
  </si>
  <si>
    <t>Moped, gasoline, &lt;4kW, EURO-5</t>
  </si>
  <si>
    <t>Moped, gasoline, &lt;4kW, EURO-3 - 2006 - CH</t>
  </si>
  <si>
    <t>Moped, gasoline, &lt;4kW, EURO-4 - 2016 - CH</t>
  </si>
  <si>
    <t>Moped, gasoline, &lt;4kW, EURO-5 - 2020 - CH</t>
  </si>
  <si>
    <t>Moped, gasoline, &lt;4kW, EURO-5 - 2030 - CH</t>
  </si>
  <si>
    <t>Moped, gasoline, &lt;4kW, EURO-5 - 2040 - CH</t>
  </si>
  <si>
    <t>Moped, gasoline, &lt;4kW, EURO-5 - 2050 - CH</t>
  </si>
  <si>
    <t>battery capacity available</t>
  </si>
  <si>
    <t>petrol blending for two-stroke engines</t>
  </si>
  <si>
    <t>petrol, two-stroke blend</t>
  </si>
  <si>
    <t>charging station, 100W</t>
  </si>
  <si>
    <t>Uses a fraction of an electric scooter charger from ecoinvent 3.7 as a proxy. Weight: approx. 0.5 kg. Power output: approx: 100W. Shipping from Guangzhou to Amsterdam (15,900 km). Lorry within Europe (1,000 km).</t>
  </si>
  <si>
    <t>NMVOC</t>
  </si>
  <si>
    <t>Methyl</t>
  </si>
  <si>
    <t>Mopeds 2-stroke &lt;50 cm³</t>
  </si>
  <si>
    <t>Mopeds 4-stroke &lt;50 cm³</t>
  </si>
  <si>
    <t>Motorcycles 2-stroke &gt;50 cm³</t>
  </si>
  <si>
    <t>Motorcycles 4-stroke &lt;250 cm³</t>
  </si>
  <si>
    <t>Motorcycles 4-stroke 250 - 750 cm³</t>
  </si>
  <si>
    <t>Motorcycles 4-stroke &gt;750 cm³</t>
  </si>
  <si>
    <t>VOC</t>
  </si>
  <si>
    <t>g/MJ</t>
  </si>
  <si>
    <t>Sacchi R. (PSI), Bauer C. (PSI), 2021</t>
  </si>
  <si>
    <t>source:</t>
  </si>
  <si>
    <t>https://www.eea.europa.eu/publications/emep-eea-guidebook-2019/part-b-sectoral-guidance-chapters/1-energy/1-a-combustion/1-a-3-b-i/view</t>
  </si>
  <si>
    <t>Vehicle datasets typically entail the manufacture of the vehicle (and the energy storage unit), its supply to the intended market and the disposal of the vehicle.</t>
  </si>
  <si>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</si>
  <si>
    <t>Scooter, gasoline, &lt;4kW, EURO-3</t>
  </si>
  <si>
    <t>Scooter, gasoline, &lt;4kW, EURO-4</t>
  </si>
  <si>
    <t>Scooter, gasoline, &lt;4kW, EURO-5</t>
  </si>
  <si>
    <t>Scooter, gasoline, &lt;4kW, EURO-3 - 2006 - CH</t>
  </si>
  <si>
    <t>Scooter, gasoline, &lt;4kW, EURO-4 - 2016 - CH</t>
  </si>
  <si>
    <t>Scooter, gasoline, &lt;4kW, EURO-5 - 2020 - CH</t>
  </si>
  <si>
    <t>Scooter, gasoline, &lt;4kW, EURO-5 - 2030 - CH</t>
  </si>
  <si>
    <t>Scooter, gasoline, &lt;4kW, EURO-5 - 2040 - CH</t>
  </si>
  <si>
    <t>Scooter, gasoline, &lt;4kW, EURO-5 - 2050 - CH</t>
  </si>
  <si>
    <t>All traffic situations</t>
  </si>
  <si>
    <t>Motorbike, gasoline, 11-35kW, EURO-3</t>
  </si>
  <si>
    <t>Motorbike, gasoline, 11-35kW, EURO-4</t>
  </si>
  <si>
    <t>Motorbike, gasoline, 11-35kW, EURO-5</t>
  </si>
  <si>
    <t>Motorbike, gasoline, 11-35kW, EURO-3 - 2006 - CH</t>
  </si>
  <si>
    <t>Motorbike, gasoline, 11-35kW, EURO-4 - 2016 - CH</t>
  </si>
  <si>
    <t>Motorbike, gasoline, 11-35kW, EURO-5 - 2020 - CH</t>
  </si>
  <si>
    <t>Motorbike, gasoline, 11-35kW, EURO-5 - 2030 - CH</t>
  </si>
  <si>
    <t>Motorbike, gasoline, 11-35kW, EURO-5 - 2040 - CH</t>
  </si>
  <si>
    <t>Motorbike, gasoline, 11-35kW, EURO-5 - 2050 - CH</t>
  </si>
  <si>
    <t>Motorbike, gasoline, &gt;35kW, EURO-3</t>
  </si>
  <si>
    <t>Motorbike, gasoline, &gt;35kW, EURO-4</t>
  </si>
  <si>
    <t>Motorbike, gasoline, &gt;35kW, EURO-5</t>
  </si>
  <si>
    <t>Motorbike, gasoline, &gt;35kW, EURO-3 - 2006 - CH</t>
  </si>
  <si>
    <t>Motorbike, gasoline, &gt;35kW, EURO-4 - 2016 - CH</t>
  </si>
  <si>
    <t>Motorbike, gasoline, &gt;35kW, EURO-5 - 2020 - CH</t>
  </si>
  <si>
    <t>Motorbike, gasoline, &gt;35kW, EURO-5 - 2030 - CH</t>
  </si>
  <si>
    <t>Motorbike, gasoline, &gt;35kW, EURO-5 - 2040 - CH</t>
  </si>
  <si>
    <t>Motorbike, gasoline, &gt;35kW, EURO-5 - 2050 - CH</t>
  </si>
  <si>
    <t>Motorbike, gasoline, 4-11kW, EURO-3</t>
  </si>
  <si>
    <t>Motorbike, gasoline, 4-11kW, EURO-4</t>
  </si>
  <si>
    <t>Motorbike, gasoline, 4-11kW, EURO-5</t>
  </si>
  <si>
    <t>Motorbike, gasoline, 4-11kW, EURO-3 - 2006 - CH</t>
  </si>
  <si>
    <t>Motorbike, gasoline, 4-11kW, EURO-4 - 2016 - CH</t>
  </si>
  <si>
    <t>Motorbike, gasoline, 4-11kW, EURO-5 - 2020 - CH</t>
  </si>
  <si>
    <t>Motorbike, gasoline, 4-11kW, EURO-5 - 2030 - CH</t>
  </si>
  <si>
    <t>Motorbike, gasoline, 4-11kW, EURO-5 - 2040 - CH</t>
  </si>
  <si>
    <t>Motorbike, gasoline, 4-11kW, EURO-5 - 2050 - CH</t>
  </si>
  <si>
    <t>Fuel tank shaping</t>
  </si>
  <si>
    <t>Tire wear emissions (kg emission/kg vehicle/km)</t>
  </si>
  <si>
    <t>Brake wear emissions (kg emission/kg vehicle/km)</t>
  </si>
  <si>
    <t>Road wear emissions (kg emission/kg vehicle/km)</t>
  </si>
  <si>
    <t>energy battery cell density [kg/kWh]</t>
  </si>
  <si>
    <t>battery type</t>
  </si>
  <si>
    <t>Bicycle, electric (&lt;25 km/h) - 2020 - NMC - CH</t>
  </si>
  <si>
    <t>Bicycle, electric (&lt;25 km/h) - 2030 - NMC - CH</t>
  </si>
  <si>
    <t>Bicycle, electric (&lt;25 km/h) - 2040 - NMC - CH</t>
  </si>
  <si>
    <t>Bicycle, electric (&lt;25 km/h) - 2050 - NMC - CH</t>
  </si>
  <si>
    <t>Bicycle, electric (&lt;45 km/h) - 2020 - NMC - CH</t>
  </si>
  <si>
    <t>Bicycle, electric (&lt;45 km/h) - 2030 - NMC - CH</t>
  </si>
  <si>
    <t>Bicycle, electric (&lt;45 km/h) - 2040 - NMC - CH</t>
  </si>
  <si>
    <t>Bicycle, electric (&lt;45 km/h) - 2050 - NMC - CH</t>
  </si>
  <si>
    <t>Bicycle, electric (&lt;25 km/h) - 2020 - LFP - CH</t>
  </si>
  <si>
    <t>Bicycle, electric (&lt;25 km/h) - 2030 - LFP - CH</t>
  </si>
  <si>
    <t>Bicycle, electric (&lt;25 km/h) - 2040 - LFP - CH</t>
  </si>
  <si>
    <t>Bicycle, electric (&lt;25 km/h) - 2050 - LFP - CH</t>
  </si>
  <si>
    <t>Bicycle, electric (&lt;45 km/h) - 2020 - LFP - CH</t>
  </si>
  <si>
    <t>Bicycle, electric (&lt;45 km/h) - 2030 - LFP - CH</t>
  </si>
  <si>
    <t>Bicycle, electric (&lt;45 km/h) - 2040 - LFP - CH</t>
  </si>
  <si>
    <t>Bicycle, electric (&lt;45 km/h) - 2050 - LFP - CH</t>
  </si>
  <si>
    <t>Bicycle, electric (&lt;25 km/h) - 2020 - NCA - CH</t>
  </si>
  <si>
    <t>Bicycle, electric (&lt;25 km/h) - 2030 - NCA - CH</t>
  </si>
  <si>
    <t>Bicycle, electric (&lt;25 km/h) - 2040 - NCA - CH</t>
  </si>
  <si>
    <t>Bicycle, electric (&lt;25 km/h) - 2050 - NCA - CH</t>
  </si>
  <si>
    <t>Bicycle, electric (&lt;45 km/h) - 2020 - NCA - CH</t>
  </si>
  <si>
    <t>Bicycle, electric (&lt;45 km/h) - 2030 - NCA - CH</t>
  </si>
  <si>
    <t>Bicycle, electric (&lt;45 km/h) - 2040 - NCA - CH</t>
  </si>
  <si>
    <t>Bicycle, electric (&lt;45 km/h) - 2050 - NCA - CH</t>
  </si>
  <si>
    <t>air::urban air close to ground</t>
  </si>
  <si>
    <t>market for transport, freight, lorry, unspecified</t>
  </si>
  <si>
    <t>transport, freight, lorry, unspecified</t>
  </si>
  <si>
    <t>Bioethanol blend [% wt]</t>
  </si>
  <si>
    <t>CO2, bio</t>
  </si>
  <si>
    <t>Life-cycle inventories for on-road vehicles</t>
  </si>
  <si>
    <t>Carbon dioxide, from soil or biomass stock</t>
  </si>
  <si>
    <t>Ethanol, from wheat straw, at fuelling station</t>
  </si>
  <si>
    <t>ethanol, without water, in 99.7% solution state, vehicle grade</t>
  </si>
  <si>
    <t>fuel supply for gasoline vehicles</t>
  </si>
  <si>
    <t>gasoline blend</t>
  </si>
  <si>
    <t>IEA’s Extended World Energy Balances database for biofuel share in blend</t>
  </si>
  <si>
    <t>direct</t>
  </si>
  <si>
    <t>maintenance</t>
  </si>
  <si>
    <t>energy chain</t>
  </si>
  <si>
    <t>Metal depletion [kg Fe-eq.]</t>
  </si>
  <si>
    <t>Global warming potential [100-year horizon, kg CO2-eq.]</t>
  </si>
  <si>
    <t>Human toxicity [kg 1,4 DB-eq.]</t>
  </si>
  <si>
    <t>Freshwater toxicity [kg 1,4 DB-eq.]</t>
  </si>
  <si>
    <t>Terrestrial toxicity [kg 1,4 DB-eq.]</t>
  </si>
  <si>
    <t>Non-renewable primary energy [MJ]</t>
  </si>
  <si>
    <t>Electricity</t>
  </si>
  <si>
    <t>label-certified electricity</t>
  </si>
  <si>
    <t>direct - non exhaust</t>
  </si>
  <si>
    <t>sum</t>
  </si>
  <si>
    <t>Impact category</t>
  </si>
  <si>
    <t>IPCC GWP 100a</t>
  </si>
  <si>
    <t>Ecological scarcity 2013</t>
  </si>
  <si>
    <t>Unit</t>
  </si>
  <si>
    <t>kg CO2 eq</t>
  </si>
  <si>
    <t>UBP Pt</t>
  </si>
  <si>
    <t>transport, Bicycle, conventional, urban, 2030/CH U</t>
  </si>
  <si>
    <t>transport, Bicycle, conventional, urban, 2040/CH U</t>
  </si>
  <si>
    <t>transport, Bicycle, conventional, urban, 2050/CH U</t>
  </si>
  <si>
    <t>transport, Bicycle, electric (&lt;25 km/h), LFP battery, 2030/CH U</t>
  </si>
  <si>
    <t>transport, Bicycle, electric (&lt;25 km/h), LFP battery, 2040/CH U</t>
  </si>
  <si>
    <t>transport, Bicycle, electric (&lt;25 km/h), LFP battery, 2050/CH U</t>
  </si>
  <si>
    <t>transport, Bicycle, electric (&lt;45 km/h), LFP battery, 2030/CH U</t>
  </si>
  <si>
    <t>transport, Bicycle, electric (&lt;45 km/h), LFP battery, 2040/CH U</t>
  </si>
  <si>
    <t>transport, Bicycle, electric (&lt;45 km/h), LFP battery, 2050/CH U</t>
  </si>
  <si>
    <t>transport, Bicycle, electric (&lt;25 km/h), NCA battery, 2030/CH U</t>
  </si>
  <si>
    <t>transport, Bicycle, electric (&lt;25 km/h), NCA battery, 2040/CH U</t>
  </si>
  <si>
    <t>transport, Bicycle, electric (&lt;25 km/h), NCA battery, 2050/CH U</t>
  </si>
  <si>
    <t>transport, Bicycle, electric (&lt;45 km/h), NCA battery, 2030/CH U</t>
  </si>
  <si>
    <t>transport, Bicycle, electric (&lt;45 km/h), NCA battery, 2040/CH U</t>
  </si>
  <si>
    <t>transport, Bicycle, electric (&lt;45 km/h), NCA battery, 2050/CH U</t>
  </si>
  <si>
    <t>transport, Bicycle, electric (&lt;25 km/h), LFP battery, 2030, label-certified electricity/CH U</t>
  </si>
  <si>
    <t>transport, Bicycle, electric (&lt;25 km/h), LFP battery, 2040, label-certified electricity/CH U</t>
  </si>
  <si>
    <t>transport, Bicycle, electric (&lt;25 km/h), LFP battery, 2050, label-certified electricity/CH U</t>
  </si>
  <si>
    <t>transport, Bicycle, electric (&lt;45 km/h), LFP battery, 2030, label-certified electricity/CH U</t>
  </si>
  <si>
    <t>transport, Bicycle, electric (&lt;45 km/h), LFP battery, 2040, label-certified electricity/CH U</t>
  </si>
  <si>
    <t>transport, Bicycle, electric (&lt;45 km/h), LFP battery, 2050, label-certified electricity/CH U</t>
  </si>
  <si>
    <t>transport, Bicycle, electric (&lt;25 km/h), NCA battery, 2030, label-certified electricity/CH U</t>
  </si>
  <si>
    <t>transport, Bicycle, electric (&lt;25 km/h), NCA battery, 2040, label-certified electricity/CH U</t>
  </si>
  <si>
    <t>transport, Bicycle, electric (&lt;25 km/h), NCA battery, 2050, label-certified electricity/CH U</t>
  </si>
  <si>
    <t>transport, Bicycle, electric (&lt;45 km/h), NCA battery, 2030, label-certified electricity/CH U</t>
  </si>
  <si>
    <t>transport, Bicycle, electric (&lt;45 km/h), NCA battery, 2040, label-certified electricity/CH U</t>
  </si>
  <si>
    <t>transport, Bicycle, electric (&lt;45 km/h), NCA battery, 2050, label-certified electricity/CH U</t>
  </si>
  <si>
    <t>transport, Moped, gasoline, &lt;4kW, EURO-5, 2030/CH U</t>
  </si>
  <si>
    <t>transport, Moped, gasoline, &lt;4kW, EURO-5, 2040/CH U</t>
  </si>
  <si>
    <t>transport, Moped, gasoline, &lt;4kW, EURO-5, 2050/CH U</t>
  </si>
  <si>
    <t>transport, Scooter, gasoline, &lt;4kW, EURO-5, 2030/CH U</t>
  </si>
  <si>
    <t>transport, Scooter, gasoline, &lt;4kW, EURO-5, 2040/CH U</t>
  </si>
  <si>
    <t>transport, Scooter, gasoline, &lt;4kW, EURO-5, 2050/CH U</t>
  </si>
  <si>
    <t>transport, Scooter, gasoline, 4-11kW, EURO-5, 2030/CH U</t>
  </si>
  <si>
    <t>transport, Scooter, gasoline, 4-11kW, EURO-5, 2040/CH U</t>
  </si>
  <si>
    <t>transport, Scooter, gasoline, 4-11kW, EURO-5, 2050/CH U</t>
  </si>
  <si>
    <t>transport, Motorbike, gasoline, 4-11kW, EURO-5, 2030/CH U</t>
  </si>
  <si>
    <t>transport, Motorbike, gasoline, 4-11kW, EURO-5, 2040/CH U</t>
  </si>
  <si>
    <t>transport, Motorbike, gasoline, 4-11kW, EURO-5, 2050/CH U</t>
  </si>
  <si>
    <t>transport, Motorbike, gasoline, 11-35kW, EURO-5, 2030/CH U</t>
  </si>
  <si>
    <t>transport, Motorbike, gasoline, 11-35kW, EURO-5, 2040/CH U</t>
  </si>
  <si>
    <t>transport, Motorbike, gasoline, 11-35kW, EURO-5, 2050/CH U</t>
  </si>
  <si>
    <t>transport, Motorbike, gasoline, &gt;35kW, EURO-5, 2030/CH U</t>
  </si>
  <si>
    <t>transport, Motorbike, gasoline, &gt;35kW, EURO-5, 2040/CH U</t>
  </si>
  <si>
    <t>transport, Motorbike, gasoline, &gt;35kW, EURO-5, 2050/CH U</t>
  </si>
  <si>
    <t>Sacchi R., Bauer C. Life cycle inventories for on-road vehicles. Paul Scherrer Institut, 2021.</t>
  </si>
  <si>
    <t>urban</t>
  </si>
  <si>
    <t>rural</t>
  </si>
  <si>
    <t>motorway</t>
  </si>
  <si>
    <t>Re-suspended road dust [kg/km]</t>
  </si>
  <si>
    <t>b</t>
  </si>
  <si>
    <t>c</t>
  </si>
  <si>
    <t>PM 2.5</t>
  </si>
  <si>
    <t>PM 10</t>
  </si>
  <si>
    <t>Tyre</t>
  </si>
  <si>
    <t>Brake</t>
  </si>
  <si>
    <t>Road</t>
  </si>
  <si>
    <t>Re-susp.</t>
  </si>
  <si>
    <t>Rural [%]</t>
  </si>
  <si>
    <t>Urban [%]</t>
  </si>
  <si>
    <t>Motorway [%]</t>
  </si>
  <si>
    <t>Urban, tire wear</t>
  </si>
  <si>
    <t>Rural, tire wear</t>
  </si>
  <si>
    <t>Motorway, tire wear</t>
  </si>
  <si>
    <t>Urban, brake wear</t>
  </si>
  <si>
    <t>Rural, brake wear</t>
  </si>
  <si>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</si>
  <si>
    <t>Glider lightweighting</t>
  </si>
  <si>
    <t>market for battery cell, Li-ion, NMC811</t>
  </si>
  <si>
    <t>battery cell, Li-ion, NMC811</t>
  </si>
  <si>
    <t>market for battery management system, for Li-ion battery</t>
  </si>
  <si>
    <t>battery management system, for Li-ion battery</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</si>
  <si>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</si>
  <si>
    <t>transport, Tram, electric</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</si>
  <si>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</si>
  <si>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</si>
  <si>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</si>
  <si>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(&lt;45 km/h)</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</si>
  <si>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</si>
  <si>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</si>
  <si>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(&lt;25 km/h)</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</si>
  <si>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</si>
  <si>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</si>
  <si>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</si>
  <si>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t>
  </si>
  <si>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</si>
  <si>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</si>
  <si>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</si>
  <si>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</si>
  <si>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Moped, gasoline, &lt;4kW, EURO-3</t>
  </si>
  <si>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</si>
  <si>
    <t>transport, Moped, gasoline, &lt;4kW, EURO-4</t>
  </si>
  <si>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</si>
  <si>
    <t>transport, Moped, gasoline, &lt;4kW, EURO-5</t>
  </si>
  <si>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</si>
  <si>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</si>
  <si>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</si>
  <si>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</si>
  <si>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</si>
  <si>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</si>
  <si>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</si>
  <si>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</si>
  <si>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4-11kW, EURO-3</t>
  </si>
  <si>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</si>
  <si>
    <t>transport, Scooter, gasoline, 4-11kW, EURO-4</t>
  </si>
  <si>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</si>
  <si>
    <t>transport, Scooter, gasoline, 4-11kW, EURO-5</t>
  </si>
  <si>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</si>
  <si>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</si>
  <si>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</si>
  <si>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</si>
  <si>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&lt;4kW, EURO-3</t>
  </si>
  <si>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</si>
  <si>
    <t>transport, Scooter, gasoline, &lt;4kW, EURO-4</t>
  </si>
  <si>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</si>
  <si>
    <t>transport, Scooter, gasoline, &lt;4kW, EURO-5</t>
  </si>
  <si>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</si>
  <si>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</si>
  <si>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</si>
  <si>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</si>
  <si>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&gt;35kW, EURO-3</t>
  </si>
  <si>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</si>
  <si>
    <t>transport, Motorbike, gasoline, &gt;35kW, EURO-4</t>
  </si>
  <si>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</si>
  <si>
    <t>transport, Motorbike, gasoline, &gt;35kW, EURO-5</t>
  </si>
  <si>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</si>
  <si>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</si>
  <si>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</si>
  <si>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</si>
  <si>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11-35kW, EURO-3</t>
  </si>
  <si>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</si>
  <si>
    <t>transport, Motorbike, gasoline, 11-35kW, EURO-4</t>
  </si>
  <si>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</si>
  <si>
    <t>transport, Motorbike, gasoline, 11-35kW, EURO-5</t>
  </si>
  <si>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</si>
  <si>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</si>
  <si>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</si>
  <si>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</si>
  <si>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4-11kW, EURO-3</t>
  </si>
  <si>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</si>
  <si>
    <t>transport, Motorbike, gasoline, 4-11kW, EURO-4</t>
  </si>
  <si>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</si>
  <si>
    <t>transport, Motorbike, gasoline, 4-11kW, EURO-5</t>
  </si>
  <si>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</si>
  <si>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</si>
  <si>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</si>
  <si>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</si>
  <si>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</si>
  <si>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</si>
  <si>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urban/CH U</t>
  </si>
  <si>
    <t>transport, Bicycle, electric (&lt;25 km/h), LFP battery/CH U</t>
  </si>
  <si>
    <t>transport, Bicycle, electric (&lt;45 km/h), LFP battery/CH U</t>
  </si>
  <si>
    <t>transport, Bicycle, electric (&lt;25 km/h), NCA battery/CH U</t>
  </si>
  <si>
    <t>transport, Bicycle, electric (&lt;45 km/h), NCA battery/CH U</t>
  </si>
  <si>
    <t>transport, Bicycle, electric (&lt;25 km/h), LFP battery, label-certified electricity/CH U</t>
  </si>
  <si>
    <t>transport, Bicycle, electric (&lt;45 km/h), LFP battery, label-certified electricity/CH U</t>
  </si>
  <si>
    <t>transport, Bicycle, electric (&lt;25 km/h), NCA battery, label-certified electricity/CH U</t>
  </si>
  <si>
    <t>transport, Bicycle, electric (&lt;45 km/h), NCA battery, label-certified electricity/CH U</t>
  </si>
  <si>
    <t>transport, Tram, electric/CH U</t>
  </si>
  <si>
    <t>transport, Moped, gasoline, &lt;4kW, EURO-5/CH U</t>
  </si>
  <si>
    <t>transport, Scooter, gasoline, &lt;4kW, EURO-5/CH U</t>
  </si>
  <si>
    <t>transport, Scooter, gasoline, 4-11kW, EURO-5/CH U</t>
  </si>
  <si>
    <t>transport, Motorbike, gasoline, 4-11kW, EURO-5/CH U</t>
  </si>
  <si>
    <t>transport, Motorbike, gasoline, 11-35kW, EURO-5/CH U</t>
  </si>
  <si>
    <t>transport, Motorbike, gasoline, &gt;35kW, EURO-5/CH U</t>
  </si>
  <si>
    <t>Motorbike, gasoline fleet average</t>
  </si>
  <si>
    <t>transport, Moped, gasoline, &lt;4kW, EURO-3/CH U</t>
  </si>
  <si>
    <t>transport, Scooter, gasoline, &lt;4kW, EURO-3/CH U</t>
  </si>
  <si>
    <t>transport, Scooter, gasoline, 4-11kW, EURO-3/CH U</t>
  </si>
  <si>
    <t>transport, Motorbike, gasoline, 4-11kW, EURO-3/CH U</t>
  </si>
  <si>
    <t>transport, Motorbike, gasoline, 11-35kW, EURO-3/CH U</t>
  </si>
  <si>
    <t>transport, Motorbike, gasoline, &gt;35kW, EURO-3/CH U</t>
  </si>
  <si>
    <t>transport, Moped, gasoline, &lt;4kW, EURO-4/CH U</t>
  </si>
  <si>
    <t>transport, Scooter, gasoline, &lt;4kW, EURO-4/CH U</t>
  </si>
  <si>
    <t>transport, Scooter, gasoline, 4-11kW, EURO-4/CH U</t>
  </si>
  <si>
    <t>transport, Motorbike, gasoline, 4-11kW, EURO-4/CH U</t>
  </si>
  <si>
    <t>transport, Motorbike, gasoline, 11-35kW, EURO-4/CH U</t>
  </si>
  <si>
    <t>transport, Motorbike, gasoline, &gt;35kW, EURO-4/CH U</t>
  </si>
  <si>
    <t>Kick Scooter, battery electric, &lt;1kW</t>
  </si>
  <si>
    <t>Bicycle, battery electric, cargo bike</t>
  </si>
  <si>
    <t>Scooter, battery electric, &lt;4kW</t>
  </si>
  <si>
    <t>Scooter, battery electric, 4-11kW</t>
  </si>
  <si>
    <t>Motorbike, battery electric, &lt;4kW</t>
  </si>
  <si>
    <t>Motorbike, battery electric, 4-11kW</t>
  </si>
  <si>
    <t>Motorbike, battery electric, 11-35kW</t>
  </si>
  <si>
    <t>Motorbike, battery electric, &gt;35kW</t>
  </si>
  <si>
    <t>transport, Kick Scooter, battery electric, &lt;1kW, LFP battery/CH U</t>
  </si>
  <si>
    <t>transport, Kick Scooter, battery electric, &lt;1kW, LFP battery, 2030/CH U</t>
  </si>
  <si>
    <t>transport, Kick Scooter, battery electric, &lt;1kW, LFP battery, 2040/CH U</t>
  </si>
  <si>
    <t>transport, Kick Scooter, battery electric, &lt;1kW, LFP battery, 2050/CH U</t>
  </si>
  <si>
    <t>transport, Kick Scooter, battery electric, &lt;1kW, NCA battery/CH U</t>
  </si>
  <si>
    <t>transport, Kick Scooter, battery electric, &lt;1kW, NCA battery, 2030/CH U</t>
  </si>
  <si>
    <t>transport, Kick Scooter, battery electric, &lt;1kW, NCA battery, 2040/CH U</t>
  </si>
  <si>
    <t>transport, Kick Scooter, battery electric, &lt;1kW, NCA battery, 2050/CH U</t>
  </si>
  <si>
    <t>transport, Bicycle, battery electric, cargo bike, LFP battery/CH U</t>
  </si>
  <si>
    <t>transport, Bicycle, battery electric, cargo bike, LFP battery, 2030/CH U</t>
  </si>
  <si>
    <t>transport, Bicycle, battery electric, cargo bike, LFP battery, 2040/CH U</t>
  </si>
  <si>
    <t>transport, Bicycle, battery electric, cargo bike, LFP battery, 2050/CH U</t>
  </si>
  <si>
    <t>transport, Bicycle, battery electric, cargo bike, NCA battery/CH U</t>
  </si>
  <si>
    <t>transport, Bicycle, battery electric, cargo bike, NCA battery, 2030/CH U</t>
  </si>
  <si>
    <t>transport, Bicycle, battery electric, cargo bike, NCA battery, 2040/CH U</t>
  </si>
  <si>
    <t>transport, Bicycle, battery electric, cargo bike, NCA battery, 2050/CH U</t>
  </si>
  <si>
    <t>transport, Bicycle, battery electric, cargo bike, LFP battery, label-certified electricity/CH U</t>
  </si>
  <si>
    <t>transport, Bicycle, battery electric, cargo bike, LFP battery, 2030, label-certified electricity/CH U</t>
  </si>
  <si>
    <t>transport, Bicycle, battery electric, cargo bike, LFP battery, 2040, label-certified electricity/CH U</t>
  </si>
  <si>
    <t>transport, Bicycle, battery electric, cargo bike, LFP battery, 2050, label-certified electricity/CH U</t>
  </si>
  <si>
    <t>transport, Bicycle, battery electric, cargo bike, NCA battery, label-certified electricity/CH U</t>
  </si>
  <si>
    <t>transport, Bicycle, battery electric, cargo bike, NCA battery, 2030, label-certified electricity/CH U</t>
  </si>
  <si>
    <t>transport, Bicycle, battery electric, cargo bike, NCA battery, 2040, label-certified electricity/CH U</t>
  </si>
  <si>
    <t>transport, Bicycle, battery electric, cargo bike, NCA battery, 2050, label-certified electricity/CH U</t>
  </si>
  <si>
    <t>transport, Tram, battery electric, 2030/CH U</t>
  </si>
  <si>
    <t>transport, Tram, battery electric, 2040/CH U</t>
  </si>
  <si>
    <t>transport, Tram, battery electric, 2050/CH U</t>
  </si>
  <si>
    <t>transport, Scooter, battery electric, &lt;4kW, LFP battery/CH U</t>
  </si>
  <si>
    <t>transport, Scooter, battery electric, &lt;4kW, LFP battery, 2030/CH U</t>
  </si>
  <si>
    <t>transport, Scooter, battery electric, &lt;4kW, LFP battery, 2040/CH U</t>
  </si>
  <si>
    <t>transport, Scooter, battery electric, &lt;4kW, LFP battery, 2050/CH U</t>
  </si>
  <si>
    <t>transport, Scooter, battery electric, 4-11kW, LFP battery/CH U</t>
  </si>
  <si>
    <t>transport, Scooter, battery electric, 4-11kW, LFP battery, 2030/CH U</t>
  </si>
  <si>
    <t>transport, Scooter, battery electric, 4-11kW, LFP battery, 2040/CH U</t>
  </si>
  <si>
    <t>transport, Scooter, battery electric, 4-11kW, LFP battery, 2050/CH U</t>
  </si>
  <si>
    <t>transport, Scooter, battery electric, &lt;4kW, NCA battery/CH U</t>
  </si>
  <si>
    <t>transport, Scooter, battery electric, &lt;4kW, NCA battery, 2030/CH U</t>
  </si>
  <si>
    <t>transport, Scooter, battery electric, &lt;4kW, NCA battery, 2040/CH U</t>
  </si>
  <si>
    <t>transport, Scooter, battery electric, &lt;4kW, NCA battery, 2050/CH U</t>
  </si>
  <si>
    <t>transport, Scooter, battery electric, 4-11kW, NCA battery/CH U</t>
  </si>
  <si>
    <t>transport, Scooter, battery electric, 4-11kW, NCA battery, 2030/CH U</t>
  </si>
  <si>
    <t>transport, Scooter, battery electric, 4-11kW, NCA battery, 2040/CH U</t>
  </si>
  <si>
    <t>transport, Scooter, battery electric, 4-11kW, NCA battery, 2050/CH U</t>
  </si>
  <si>
    <t>transport, Scooter, battery electric, &lt;4kW, LFP battery, label-certified electricity/CH U</t>
  </si>
  <si>
    <t>transport, Scooter, battery electric, &lt;4kW, LFP battery, 2030, label-certified electricity/CH U</t>
  </si>
  <si>
    <t>transport, Scooter, battery electric, &lt;4kW, LFP battery, 2040, label-certified electricity/CH U</t>
  </si>
  <si>
    <t>transport, Scooter, battery electric, &lt;4kW, LFP battery, 2050, label-certified electricity/CH U</t>
  </si>
  <si>
    <t>transport, Scooter, battery electric, 4-11kW, LFP battery, label-certified electricity/CH U</t>
  </si>
  <si>
    <t>transport, Scooter, battery electric, 4-11kW, LFP battery, 2030, label-certified electricity/CH U</t>
  </si>
  <si>
    <t>transport, Scooter, battery electric, 4-11kW, LFP battery, 2040, label-certified electricity/CH U</t>
  </si>
  <si>
    <t>transport, Scooter, battery electric, 4-11kW, LFP battery, 2050, label-certified electricity/CH U</t>
  </si>
  <si>
    <t>transport, Scooter, battery electric, &lt;4kW, NCA battery, label-certified electricity/CH U</t>
  </si>
  <si>
    <t>transport, Scooter, battery electric, &lt;4kW, NCA battery, 2030, label-certified electricity/CH U</t>
  </si>
  <si>
    <t>transport, Scooter, battery electric, &lt;4kW, NCA battery, 2040, label-certified electricity/CH U</t>
  </si>
  <si>
    <t>transport, Scooter, battery electric, &lt;4kW, NCA battery, 2050, label-certified electricity/CH U</t>
  </si>
  <si>
    <t>transport, Scooter, battery electric, 4-11kW, NCA battery, label-certified electricity/CH U</t>
  </si>
  <si>
    <t>transport, Scooter, battery electric, 4-11kW, NCA battery, 2030, label-certified electricity/CH U</t>
  </si>
  <si>
    <t>transport, Scooter, battery electric, 4-11kW, NCA battery, 2040, label-certified electricity/CH U</t>
  </si>
  <si>
    <t>transport, Scooter, battery electric, 4-11kW, NCA battery, 2050, label-certified electricity/CH U</t>
  </si>
  <si>
    <t>transport, Motorbike, battery electric, &lt;4kW, LFP battery/CH U</t>
  </si>
  <si>
    <t>transport, Motorbike, battery electric, &lt;4kW, LFP battery, 2030/CH U</t>
  </si>
  <si>
    <t>transport, Motorbike, battery electric, &lt;4kW, LFP battery, 2040/CH U</t>
  </si>
  <si>
    <t>transport, Motorbike, battery electric, &lt;4kW, LFP battery, 2050/CH U</t>
  </si>
  <si>
    <t>transport, Motorbike, battery electric, 4-11kW, LFP battery/CH U</t>
  </si>
  <si>
    <t>transport, Motorbike, battery electric, 4-11kW, LFP battery, 2030/CH U</t>
  </si>
  <si>
    <t>transport, Motorbike, battery electric, 4-11kW, LFP battery, 2040/CH U</t>
  </si>
  <si>
    <t>transport, Motorbike, battery electric, 4-11kW, LFP battery, 2050/CH U</t>
  </si>
  <si>
    <t>transport, Motorbike, battery electric, 11-35kW, LFP battery/CH U</t>
  </si>
  <si>
    <t>transport, Motorbike, battery electric, 11-35kW, LFP battery, 2030/CH U</t>
  </si>
  <si>
    <t>transport, Motorbike, battery electric, 11-35kW, LFP battery, 2040/CH U</t>
  </si>
  <si>
    <t>transport, Motorbike, battery electric, 11-35kW, LFP battery, 2050/CH U</t>
  </si>
  <si>
    <t>transport, Motorbike, battery electric, &gt;35kW, LFP battery/CH U</t>
  </si>
  <si>
    <t>transport, Motorbike, battery electric, &gt;35kW, LFP battery, 2030/CH U</t>
  </si>
  <si>
    <t>transport, Motorbike, battery electric, &gt;35kW, LFP battery, 2040/CH U</t>
  </si>
  <si>
    <t>transport, Motorbike, battery electric, &gt;35kW, LFP battery, 2050/CH U</t>
  </si>
  <si>
    <t>transport, Motorbike, battery electric, &lt;4kW, NCA battery/CH U</t>
  </si>
  <si>
    <t>transport, Motorbike, battery electric, &lt;4kW, NCA battery, 2030/CH U</t>
  </si>
  <si>
    <t>transport, Motorbike, battery electric, &lt;4kW, NCA battery, 2040/CH U</t>
  </si>
  <si>
    <t>transport, Motorbike, battery electric, &lt;4kW, NCA battery, 2050/CH U</t>
  </si>
  <si>
    <t>transport, Motorbike, battery electric, 4-11kW, NCA battery/CH U</t>
  </si>
  <si>
    <t>transport, Motorbike, battery electric, 4-11kW, NCA battery, 2030/CH U</t>
  </si>
  <si>
    <t>transport, Motorbike, battery electric, 4-11kW, NCA battery, 2040/CH U</t>
  </si>
  <si>
    <t>transport, Motorbike, battery electric, 4-11kW, NCA battery, 2050/CH U</t>
  </si>
  <si>
    <t>transport, Motorbike, battery electric, 11-35kW, NCA battery/CH U</t>
  </si>
  <si>
    <t>transport, Motorbike, battery electric, 11-35kW, NCA battery, 2030/CH U</t>
  </si>
  <si>
    <t>transport, Motorbike, battery electric, 11-35kW, NCA battery, 2040/CH U</t>
  </si>
  <si>
    <t>transport, Motorbike, battery electric, 11-35kW, NCA battery, 2050/CH U</t>
  </si>
  <si>
    <t>transport, Motorbike, battery electric, &gt;35kW, NCA battery/CH U</t>
  </si>
  <si>
    <t>transport, Motorbike, battery electric, &gt;35kW, NCA battery, 2030/CH U</t>
  </si>
  <si>
    <t>transport, Motorbike, battery electric, &gt;35kW, NCA battery, 2040/CH U</t>
  </si>
  <si>
    <t>transport, Motorbike, battery electric, &gt;35kW, NCA battery, 2050/CH U</t>
  </si>
  <si>
    <t>transport, Motorbike, battery electric, &lt;4kW, LFP battery, label-certified electricity/CH U</t>
  </si>
  <si>
    <t>transport, Motorbike, battery electric, &lt;4kW, LFP battery, 2030, label-certified electricity/CH U</t>
  </si>
  <si>
    <t>transport, Motorbike, battery electric, &lt;4kW, LFP battery, 2040, label-certified electricity/CH U</t>
  </si>
  <si>
    <t>transport, Motorbike, battery electric, &lt;4kW, LFP battery, 2050, label-certified electricity/CH U</t>
  </si>
  <si>
    <t>transport, Motorbike, battery electric, 4-11kW, LFP battery, label-certified electricity/CH U</t>
  </si>
  <si>
    <t>transport, Motorbike, battery electric, 4-11kW, LFP battery, 2030, label-certified electricity/CH U</t>
  </si>
  <si>
    <t>transport, Motorbike, battery electric, 4-11kW, LFP battery, 2040, label-certified electricity/CH U</t>
  </si>
  <si>
    <t>transport, Motorbike, battery electric, 4-11kW, LFP battery, 2050, label-certified electricity/CH U</t>
  </si>
  <si>
    <t>transport, Motorbike, battery electric, 11-35kW, LFP battery, label-certified electricity/CH U</t>
  </si>
  <si>
    <t>transport, Motorbike, battery electric, 11-35kW, LFP battery, 2030, label-certified electricity/CH U</t>
  </si>
  <si>
    <t>transport, Motorbike, battery electric, 11-35kW, LFP battery, 2040, label-certified electricity/CH U</t>
  </si>
  <si>
    <t>transport, Motorbike, battery electric, 11-35kW, LFP battery, 2050, label-certified electricity/CH U</t>
  </si>
  <si>
    <t>transport, Motorbike, battery electric, &gt;35kW, LFP battery, label-certified electricity/CH U</t>
  </si>
  <si>
    <t>transport, Motorbike, battery electric, &gt;35kW, LFP battery, 2030, label-certified electricity/CH U</t>
  </si>
  <si>
    <t>transport, Motorbike, battery electric, &gt;35kW, LFP battery, 2040, label-certified electricity/CH U</t>
  </si>
  <si>
    <t>transport, Motorbike, battery electric, &gt;35kW, LFP battery, 2050, label-certified electricity/CH U</t>
  </si>
  <si>
    <t>transport, Motorbike, battery electric, &lt;4kW, NCA battery, label-certified electricity/CH U</t>
  </si>
  <si>
    <t>transport, Motorbike, battery electric, &lt;4kW, NCA battery, 2030, label-certified electricity/CH U</t>
  </si>
  <si>
    <t>transport, Motorbike, battery electric, &lt;4kW, NCA battery, 2040, label-certified electricity/CH U</t>
  </si>
  <si>
    <t>transport, Motorbike, battery electric, &lt;4kW, NCA battery, 2050, label-certified electricity/CH U</t>
  </si>
  <si>
    <t>transport, Motorbike, battery electric, 4-11kW, NCA battery, label-certified electricity/CH U</t>
  </si>
  <si>
    <t>transport, Motorbike, battery electric, 4-11kW, NCA battery, 2030, label-certified electricity/CH U</t>
  </si>
  <si>
    <t>transport, Motorbike, battery electric, 4-11kW, NCA battery, 2040, label-certified electricity/CH U</t>
  </si>
  <si>
    <t>transport, Motorbike, battery electric, 4-11kW, NCA battery, 2050, label-certified electricity/CH U</t>
  </si>
  <si>
    <t>transport, Motorbike, battery electric, 11-35kW, NCA battery, label-certified electricity/CH U</t>
  </si>
  <si>
    <t>transport, Motorbike, battery electric, 11-35kW, NCA battery, 2030, label-certified electricity/CH U</t>
  </si>
  <si>
    <t>transport, Motorbike, battery electric, 11-35kW, NCA battery, 2040, label-certified electricity/CH U</t>
  </si>
  <si>
    <t>transport, Motorbike, battery electric, 11-35kW, NCA battery, 2050, label-certified electricity/CH U</t>
  </si>
  <si>
    <t>transport, Motorbike, battery electric, &gt;35kW, NCA battery, label-certified electricity/CH U</t>
  </si>
  <si>
    <t>transport, Motorbike, battery electric, &gt;35kW, NCA battery, 2030, label-certified electricity/CH U</t>
  </si>
  <si>
    <t>transport, Motorbike, battery electric, &gt;35kW, NCA battery, 2040, label-certified electricity/CH U</t>
  </si>
  <si>
    <t>transport, Motorbike, battery electric, &gt;35kW, NCA battery, 2050, label-certified electricity/CH U</t>
  </si>
  <si>
    <t>Kick Scooter, battery electric, &lt;1kW - 2020 - NMC - CH</t>
  </si>
  <si>
    <t>Kick Scooter, battery electric, &lt;1kW - 2030 - NMC - CH</t>
  </si>
  <si>
    <t>Kick Scooter, battery electric, &lt;1kW - 2040 - NMC - CH</t>
  </si>
  <si>
    <t>Kick Scooter, battery electric, &lt;1kW - 2050 - NMC - CH</t>
  </si>
  <si>
    <t>Kick Scooter, battery electric, &lt;1kW - 2020 - LFP - CH</t>
  </si>
  <si>
    <t>Kick Scooter, battery electric, &lt;1kW - 2030 - LFP - CH</t>
  </si>
  <si>
    <t>Kick Scooter, battery electric, &lt;1kW - 2040 - LFP - CH</t>
  </si>
  <si>
    <t>Kick Scooter, battery electric, &lt;1kW - 2050 - LFP - CH</t>
  </si>
  <si>
    <t>Kick Scooter, battery electric, &lt;1kW - 2020 - NCA - CH</t>
  </si>
  <si>
    <t>Kick Scooter, battery electric, &lt;1kW - 2030 - NCA - CH</t>
  </si>
  <si>
    <t>Kick Scooter, battery electric, &lt;1kW - 2040 - NCA - CH</t>
  </si>
  <si>
    <t>Kick Scooter, battery electric, &lt;1kW - 2050 - NCA - CH</t>
  </si>
  <si>
    <t>Bicycle, battery electric, cargo bike - 2020 - NMC - CH</t>
  </si>
  <si>
    <t>Bicycle, battery electric, cargo bike - 2030 - NMC - CH</t>
  </si>
  <si>
    <t>Bicycle, battery electric, cargo bike - 2040 - NMC - CH</t>
  </si>
  <si>
    <t>Bicycle, battery electric, cargo bike - 2050 - NMC - CH</t>
  </si>
  <si>
    <t>Bicycle, battery electric, cargo bike - 2020 - LFP - CH</t>
  </si>
  <si>
    <t>Bicycle, battery electric, cargo bike - 2030 - LFP - CH</t>
  </si>
  <si>
    <t>Bicycle, battery electric, cargo bike - 2040 - LFP - CH</t>
  </si>
  <si>
    <t>Bicycle, battery electric, cargo bike - 2050 - LFP - CH</t>
  </si>
  <si>
    <t>Bicycle, battery electric, cargo bike - 2020 - NCA - CH</t>
  </si>
  <si>
    <t>Bicycle, battery electric, cargo bike - 2030 - NCA - CH</t>
  </si>
  <si>
    <t>Bicycle, battery electric, cargo bike - 2040 - NCA - CH</t>
  </si>
  <si>
    <t>Bicycle, battery electric, cargo bike - 2050 - NCA - CH</t>
  </si>
  <si>
    <t>Scooter, battery electric, &lt;4kW - 2020 - NMC - CH</t>
  </si>
  <si>
    <t>Scooter, battery electric, &lt;4kW - 2030 - NMC - CH</t>
  </si>
  <si>
    <t>Scooter, battery electric, &lt;4kW - 2040 - NMC - CH</t>
  </si>
  <si>
    <t>Scooter, battery electric, &lt;4kW - 2050 - NMC - CH</t>
  </si>
  <si>
    <t>Scooter, battery electric, &lt;4kW - 2020 - LFP - CH</t>
  </si>
  <si>
    <t>Scooter, battery electric, &lt;4kW - 2030 - LFP - CH</t>
  </si>
  <si>
    <t>Scooter, battery electric, &lt;4kW - 2040 - LFP - CH</t>
  </si>
  <si>
    <t>Scooter, battery electric, &lt;4kW - 2050 - LFP - CH</t>
  </si>
  <si>
    <t>Scooter, battery electric, &lt;4kW - 2020 - NCA - CH</t>
  </si>
  <si>
    <t>Scooter, battery electric, &lt;4kW - 2030 - NCA - CH</t>
  </si>
  <si>
    <t>Scooter, battery electric, &lt;4kW - 2040 - NCA - CH</t>
  </si>
  <si>
    <t>Scooter, battery electric, &lt;4kW - 2050 - NCA - CH</t>
  </si>
  <si>
    <t>Scooter, battery electric, 4-11kW - 2020 - NMC - CH</t>
  </si>
  <si>
    <t>Scooter, battery electric, 4-11kW - 2030 - NMC - CH</t>
  </si>
  <si>
    <t>Scooter, battery electric, 4-11kW - 2040 - NMC - CH</t>
  </si>
  <si>
    <t>Scooter, battery electric, 4-11kW - 2050 - NMC - CH</t>
  </si>
  <si>
    <t>Scooter, battery electric, 4-11kW - 2020 - LFP - CH</t>
  </si>
  <si>
    <t>Scooter, battery electric, 4-11kW - 2030 - LFP - CH</t>
  </si>
  <si>
    <t>Scooter, battery electric, 4-11kW - 2040 - LFP - CH</t>
  </si>
  <si>
    <t>Scooter, battery electric, 4-11kW - 2050 - LFP - CH</t>
  </si>
  <si>
    <t>Scooter, battery electric, 4-11kW - 2020 - NCA - CH</t>
  </si>
  <si>
    <t>Scooter, battery electric, 4-11kW - 2030 - NCA - CH</t>
  </si>
  <si>
    <t>Scooter, battery electric, 4-11kW - 2040 - NCA - CH</t>
  </si>
  <si>
    <t>Scooter, battery electric, 4-11kW - 2050 - NCA - CH</t>
  </si>
  <si>
    <t>Motorbike, battery electric, &lt;4kW - 2020 - NMC - CH</t>
  </si>
  <si>
    <t>Motorbike, battery electric, &lt;4kW - 2030 - NMC - CH</t>
  </si>
  <si>
    <t>Motorbike, battery electric, &lt;4kW - 2040 - NMC - CH</t>
  </si>
  <si>
    <t>Motorbike, battery electric, &lt;4kW - 2050 - NMC - CH</t>
  </si>
  <si>
    <t>Motorbike, battery electric, 4-11kW - 2020 - NMC - CH</t>
  </si>
  <si>
    <t>Motorbike, battery electric, 4-11kW - 2030 - NMC - CH</t>
  </si>
  <si>
    <t>Motorbike, battery electric, 4-11kW - 2040 - NMC - CH</t>
  </si>
  <si>
    <t>Motorbike, battery electric, 4-11kW - 2050 - NMC - CH</t>
  </si>
  <si>
    <t>Motorbike, battery electric, 11-35kW - 2020 - NMC - CH</t>
  </si>
  <si>
    <t>Motorbike, battery electric, 11-35kW - 2030 - NMC - CH</t>
  </si>
  <si>
    <t>Motorbike, battery electric, 11-35kW - 2040 - NMC - CH</t>
  </si>
  <si>
    <t>Motorbike, battery electric, 11-35kW - 2050 - NMC - CH</t>
  </si>
  <si>
    <t>Motorbike, battery electric, &gt;35kW - 2020 - NMC - CH</t>
  </si>
  <si>
    <t>Motorbike, battery electric, &gt;35kW - 2030 - NMC - CH</t>
  </si>
  <si>
    <t>Motorbike, battery electric, &gt;35kW - 2040 - NMC - CH</t>
  </si>
  <si>
    <t>Motorbike, battery electric, &gt;35kW - 2050 - NMC - CH</t>
  </si>
  <si>
    <t>Motorbike, battery electric, &lt;4kW - 2020 - LFP - CH</t>
  </si>
  <si>
    <t>Motorbike, battery electric, &lt;4kW - 2030 - LFP - CH</t>
  </si>
  <si>
    <t>Motorbike, battery electric, &lt;4kW - 2040 - LFP - CH</t>
  </si>
  <si>
    <t>Motorbike, battery electric, &lt;4kW - 2050 - LFP - CH</t>
  </si>
  <si>
    <t>Motorbike, battery electric, 4-11kW - 2020 - LFP - CH</t>
  </si>
  <si>
    <t>Motorbike, battery electric, 4-11kW - 2030 - LFP - CH</t>
  </si>
  <si>
    <t>Motorbike, battery electric, 4-11kW - 2040 - LFP - CH</t>
  </si>
  <si>
    <t>Motorbike, battery electric, 4-11kW - 2050 - LFP - CH</t>
  </si>
  <si>
    <t>Motorbike, battery electric, 11-35kW - 2020 - LFP - CH</t>
  </si>
  <si>
    <t>Motorbike, battery electric, 11-35kW - 2030 - LFP - CH</t>
  </si>
  <si>
    <t>Motorbike, battery electric, 11-35kW - 2040 - LFP - CH</t>
  </si>
  <si>
    <t>Motorbike, battery electric, 11-35kW - 2050 - LFP - CH</t>
  </si>
  <si>
    <t>Motorbike, battery electric, &gt;35kW - 2020 - LFP - CH</t>
  </si>
  <si>
    <t>Motorbike, battery electric, &gt;35kW - 2030 - LFP - CH</t>
  </si>
  <si>
    <t>Motorbike, battery electric, &gt;35kW - 2040 - LFP - CH</t>
  </si>
  <si>
    <t>Motorbike, battery electric, &gt;35kW - 2050 - LFP - CH</t>
  </si>
  <si>
    <t>Motorbike, battery electric, &lt;4kW - 2020 - NCA - CH</t>
  </si>
  <si>
    <t>Motorbike, battery electric, &lt;4kW - 2030 - NCA - CH</t>
  </si>
  <si>
    <t>Motorbike, battery electric, &lt;4kW - 2040 - NCA - CH</t>
  </si>
  <si>
    <t>Motorbike, battery electric, &lt;4kW - 2050 - NCA - CH</t>
  </si>
  <si>
    <t>Motorbike, battery electric, 4-11kW - 2020 - NCA - CH</t>
  </si>
  <si>
    <t>Motorbike, battery electric, 4-11kW - 2030 - NCA - CH</t>
  </si>
  <si>
    <t>Motorbike, battery electric, 4-11kW - 2040 - NCA - CH</t>
  </si>
  <si>
    <t>Motorbike, battery electric, 4-11kW - 2050 - NCA - CH</t>
  </si>
  <si>
    <t>Motorbike, battery electric, 11-35kW - 2020 - NCA - CH</t>
  </si>
  <si>
    <t>Motorbike, battery electric, 11-35kW - 2030 - NCA - CH</t>
  </si>
  <si>
    <t>Motorbike, battery electric, 11-35kW - 2040 - NCA - CH</t>
  </si>
  <si>
    <t>Motorbike, battery electric, 11-35kW - 2050 - NCA - CH</t>
  </si>
  <si>
    <t>Motorbike, battery electric, &gt;35kW - 2020 - NCA - CH</t>
  </si>
  <si>
    <t>Motorbike, battery electric, &gt;35kW - 2030 - NCA - CH</t>
  </si>
  <si>
    <t>Motorbike, battery electric, &gt;35kW - 2040 - NCA - CH</t>
  </si>
  <si>
    <t>Motorbike, battery electric, &gt;35kW - 2050 - NCA - CH</t>
  </si>
  <si>
    <t>Bicycle, battery electric, cargo bike, label certified electricity</t>
  </si>
  <si>
    <t>transport, Kick Scooter, battery electric, &lt;1kW</t>
  </si>
  <si>
    <t>transport, Motorbike, battery electric, &lt;4kW</t>
  </si>
  <si>
    <t>transport, Motorbike, battery electric, 4-11kW</t>
  </si>
  <si>
    <t>transport, Motorbike, battery electric, 11-35kW</t>
  </si>
  <si>
    <t>transport, Motorbike, battery electric, &gt;35kW</t>
  </si>
  <si>
    <t>transport, Scooter, battery electric, &lt;4kW</t>
  </si>
  <si>
    <t>transport, Scooter, battery electric, 4-11kW</t>
  </si>
  <si>
    <t>transport, Bicycle, battery electric, cargo bike</t>
  </si>
  <si>
    <t>transport, Kick Scooter, battery electric, &lt;1kW/CH U</t>
  </si>
  <si>
    <t>transport, Kick Scooter, battery electric, &lt;1kW, 2030/CH U</t>
  </si>
  <si>
    <t>transport, Kick Scooter, battery electric, &lt;1kW, 2040/CH U</t>
  </si>
  <si>
    <t>transport, Kick Scooter, battery electric, &lt;1kW, 2050/CH U</t>
  </si>
  <si>
    <t>transport, Bicycle, electric (&lt;25 km/h)/CH U</t>
  </si>
  <si>
    <t>transport, Bicycle, electric (&lt;25 km/h), 2030/CH U</t>
  </si>
  <si>
    <t>transport, Bicycle, electric (&lt;25 km/h), 2040/CH U</t>
  </si>
  <si>
    <t>transport, Bicycle, electric (&lt;25 km/h), 2050/CH U</t>
  </si>
  <si>
    <t>transport, Bicycle, electric (&lt;45 km/h)/CH U</t>
  </si>
  <si>
    <t>transport, Bicycle, electric (&lt;45 km/h), 2030/CH U</t>
  </si>
  <si>
    <t>transport, Bicycle, electric (&lt;45 km/h), 2040/CH U</t>
  </si>
  <si>
    <t>transport, Bicycle, electric (&lt;45 km/h), 2050/CH U</t>
  </si>
  <si>
    <t>transport, Bicycle, battery electric, cargo bike/CH U</t>
  </si>
  <si>
    <t>transport, Bicycle, battery electric, cargo bike, 2030/CH U</t>
  </si>
  <si>
    <t>transport, Bicycle, battery electric, cargo bike, 2040/CH U</t>
  </si>
  <si>
    <t>transport, Bicycle, battery electric, cargo bike, 2050/CH U</t>
  </si>
  <si>
    <t>transport, Bicycle, electric (&lt;25 km/h), label-certified electricity/CH U</t>
  </si>
  <si>
    <t>transport, Bicycle, electric (&lt;25 km/h), 2030, label-certified electricity/CH U</t>
  </si>
  <si>
    <t>transport, Bicycle, electric (&lt;25 km/h), 2040, label-certified electricity/CH U</t>
  </si>
  <si>
    <t>transport, Bicycle, electric (&lt;25 km/h), 2050, label-certified electricity/CH U</t>
  </si>
  <si>
    <t>transport, Bicycle, electric (&lt;45 km/h), label-certified electricity/CH U</t>
  </si>
  <si>
    <t>transport, Bicycle, electric (&lt;45 km/h), 2030, label-certified electricity/CH U</t>
  </si>
  <si>
    <t>transport, Bicycle, electric (&lt;45 km/h), 2040, label-certified electricity/CH U</t>
  </si>
  <si>
    <t>transport, Bicycle, electric (&lt;45 km/h), 2050, label-certified electricity/CH U</t>
  </si>
  <si>
    <t>transport, Bicycle, battery electric, cargo bike, label-certified electricity/CH U</t>
  </si>
  <si>
    <t>transport, Bicycle, battery electric, cargo bike, 2030, label-certified electricity/CH U</t>
  </si>
  <si>
    <t>transport, Bicycle, battery electric, cargo bike, 2040, label-certified electricity/CH U</t>
  </si>
  <si>
    <t>transport, Bicycle, battery electric, cargo bike, 2050, label-certified electricity/CH U</t>
  </si>
  <si>
    <t>transport, Scooter, battery electric, &lt;4kW/CH U</t>
  </si>
  <si>
    <t>transport, Scooter, battery electric, &lt;4kW, 2030/CH U</t>
  </si>
  <si>
    <t>transport, Scooter, battery electric, &lt;4kW, 2040/CH U</t>
  </si>
  <si>
    <t>transport, Scooter, battery electric, &lt;4kW, 2050/CH U</t>
  </si>
  <si>
    <t>transport, Scooter, battery electric, 4-11kW/CH U</t>
  </si>
  <si>
    <t>transport, Scooter, battery electric, 4-11kW, 2030/CH U</t>
  </si>
  <si>
    <t>transport, Scooter, battery electric, 4-11kW, 2040/CH U</t>
  </si>
  <si>
    <t>transport, Scooter, battery electric, 4-11kW, 2050/CH U</t>
  </si>
  <si>
    <t>transport, Scooter, battery electric, &lt;4kW, label-certified electricity/CH U</t>
  </si>
  <si>
    <t>transport, Scooter, battery electric, &lt;4kW, 2030, label-certified electricity/CH U</t>
  </si>
  <si>
    <t>transport, Scooter, battery electric, &lt;4kW, 2040, label-certified electricity/CH U</t>
  </si>
  <si>
    <t>transport, Scooter, battery electric, &lt;4kW, 2050, label-certified electricity/CH U</t>
  </si>
  <si>
    <t>transport, Scooter, battery electric, 4-11kW, label-certified electricity/CH U</t>
  </si>
  <si>
    <t>transport, Scooter, battery electric, 4-11kW, 2030, label-certified electricity/CH U</t>
  </si>
  <si>
    <t>transport, Scooter, battery electric, 4-11kW, 2040, label-certified electricity/CH U</t>
  </si>
  <si>
    <t>transport, Scooter, battery electric, 4-11kW, 2050, label-certified electricity/CH U</t>
  </si>
  <si>
    <t>transport, Motorbike, battery electric, &lt;4kW/CH U</t>
  </si>
  <si>
    <t>transport, Motorbike, battery electric, &lt;4kW, 2030/CH U</t>
  </si>
  <si>
    <t>transport, Motorbike, battery electric, &lt;4kW, 2040/CH U</t>
  </si>
  <si>
    <t>transport, Motorbike, battery electric, &lt;4kW, 2050/CH U</t>
  </si>
  <si>
    <t>transport, Motorbike, battery electric, 4-11kW/CH U</t>
  </si>
  <si>
    <t>transport, Motorbike, battery electric, 4-11kW, 2030/CH U</t>
  </si>
  <si>
    <t>transport, Motorbike, battery electric, 4-11kW, 2040/CH U</t>
  </si>
  <si>
    <t>transport, Motorbike, battery electric, 4-11kW, 2050/CH U</t>
  </si>
  <si>
    <t>transport, Motorbike, battery electric, 11-35kW/CH U</t>
  </si>
  <si>
    <t>transport, Motorbike, battery electric, 11-35kW, 2030/CH U</t>
  </si>
  <si>
    <t>transport, Motorbike, battery electric, 11-35kW, 2040/CH U</t>
  </si>
  <si>
    <t>transport, Motorbike, battery electric, 11-35kW, 2050/CH U</t>
  </si>
  <si>
    <t>transport, Motorbike, battery electric, &gt;35kW/CH U</t>
  </si>
  <si>
    <t>transport, Motorbike, battery electric, &gt;35kW, 2030/CH U</t>
  </si>
  <si>
    <t>transport, Motorbike, battery electric, &gt;35kW, 2040/CH U</t>
  </si>
  <si>
    <t>transport, Motorbike, battery electric, &gt;35kW, 2050/CH U</t>
  </si>
  <si>
    <t>transport, Motorbike, battery electric, &lt;4kW, label-certified electricity/CH U</t>
  </si>
  <si>
    <t>transport, Motorbike, battery electric, &lt;4kW, 2030, label-certified electricity/CH U</t>
  </si>
  <si>
    <t>transport, Motorbike, battery electric, &lt;4kW, 2040, label-certified electricity/CH U</t>
  </si>
  <si>
    <t>transport, Motorbike, battery electric, &lt;4kW, 2050, label-certified electricity/CH U</t>
  </si>
  <si>
    <t>transport, Motorbike, battery electric, 4-11kW, label-certified electricity/CH U</t>
  </si>
  <si>
    <t>transport, Motorbike, battery electric, 4-11kW, 2030, label-certified electricity/CH U</t>
  </si>
  <si>
    <t>transport, Motorbike, battery electric, 4-11kW, 2040, label-certified electricity/CH U</t>
  </si>
  <si>
    <t>transport, Motorbike, battery electric, 4-11kW, 2050, label-certified electricity/CH U</t>
  </si>
  <si>
    <t>transport, Motorbike, battery electric, 11-35kW, label-certified electricity/CH U</t>
  </si>
  <si>
    <t>transport, Motorbike, battery electric, 11-35kW, 2030, label-certified electricity/CH U</t>
  </si>
  <si>
    <t>transport, Motorbike, battery electric, 11-35kW, 2040, label-certified electricity/CH U</t>
  </si>
  <si>
    <t>transport, Motorbike, battery electric, 11-35kW, 2050, label-certified electricity/CH U</t>
  </si>
  <si>
    <t>transport, Motorbike, battery electric, &gt;35kW, label-certified electricity/CH U</t>
  </si>
  <si>
    <t>transport, Motorbike, battery electric, &gt;35kW, 2030, label-certified electricity/CH U</t>
  </si>
  <si>
    <t>transport, Motorbike, battery electric, &gt;35kW, 2040, label-certified electricity/CH U</t>
  </si>
  <si>
    <t>transport, Motorbike, battery electric, &gt;35kW, 2050, label-certified electricity/CH U</t>
  </si>
  <si>
    <t>market for battery capacity (MIX scenario)</t>
  </si>
  <si>
    <t>electricity storage capacity</t>
  </si>
  <si>
    <t>electric cargo bicycle production, without battery and motor</t>
  </si>
  <si>
    <t>electric cargo bicycle, without battery and motor</t>
  </si>
  <si>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</si>
  <si>
    <t>glued laminated timber production, average glue mix</t>
  </si>
  <si>
    <t>glued laminated timber, average glue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</si>
</sst>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0"/>
    <numFmt numFmtId="166" formatCode="0.000"/>
    <numFmt numFmtId="167" formatCode="0.00000"/>
    <numFmt numFmtId="168" formatCode="0.000000000"/>
    <numFmt numFmtId="169" formatCode="0.0%"/>
  </numFmts>
  <fonts count="10" x14ac:knownFonts="1">
    <font>
      <sz val="11"/>
      <color theme="1"/>
      <name val="Calibri"/>
      <family val="2"/>
      <scheme val="minor"/>
    </font>
    <font>
      <sz val="9"/>
      <color indexed="81"/>
      <name val="Tahoma"/>
      <family val="2"/>
    </font>
    <font>
      <b/>
      <sz val="9"/>
      <color indexed="81"/>
      <name val="Tahoma"/>
      <family val="2"/>
    </font>
    <font>
      <u/>
      <sz val="11"/>
      <color indexed="8"/>
      <name val="Calibri"/>
      <family val="2"/>
    </font>
    <font>
      <sz val="11"/>
      <color theme="1"/>
      <name val="Calibri"/>
      <family val="2"/>
      <scheme val="minor"/>
    </font>
    <font>
      <b/>
      <sz val="11"/>
      <color theme="1"/>
      <name val="Calibri"/>
      <family val="2"/>
      <scheme val="minor"/>
    </font>
    <font>
      <b/>
      <sz val="12"/>
      <color theme="1"/>
      <name val="Calibri"/>
      <family val="2"/>
      <scheme val="minor"/>
    </font>
    <font>
      <sz val="10"/>
      <color rgb="FF000000"/>
      <name val="Calibri"/>
      <family val="2"/>
      <scheme val="minor"/>
    </font>
    <font>
      <sz val="12"/>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4" fillId="0" borderId="0" xfId="1" applyFont="1"/>
    <xf numFmtId="1" fontId="0" fillId="0" borderId="0" xfId="0" applyNumberFormat="1"/>
    <xf numFmtId="164" fontId="0" fillId="0" borderId="0" xfId="0" applyNumberFormat="1"/>
    <xf numFmtId="165" fontId="0" fillId="0" borderId="0" xfId="0" applyNumberFormat="1"/>
    <xf numFmtId="166" fontId="0" fillId="0" borderId="0" xfId="0" applyNumberFormat="1"/>
    <xf numFmtId="2" fontId="0" fillId="0" borderId="0" xfId="0" applyNumberFormat="1"/>
    <xf numFmtId="11" fontId="0" fillId="0" borderId="0" xfId="0" applyNumberFormat="1"/>
    <xf numFmtId="0" fontId="5" fillId="0" borderId="0" xfId="0" applyFont="1"/>
    <xf numFmtId="164" fontId="5" fillId="0" borderId="0" xfId="0" applyNumberFormat="1" applyFont="1"/>
    <xf numFmtId="0" fontId="6" fillId="0" borderId="0" xfId="0" applyFont="1"/>
    <xf numFmtId="167" fontId="0" fillId="0" borderId="0" xfId="0" applyNumberFormat="1"/>
    <xf numFmtId="168" fontId="0" fillId="0" borderId="0" xfId="0" applyNumberFormat="1"/>
    <xf numFmtId="0" fontId="7" fillId="0" borderId="0" xfId="0" applyFont="1"/>
    <xf numFmtId="14" fontId="0" fillId="0" borderId="0" xfId="0" applyNumberFormat="1"/>
    <xf numFmtId="10" fontId="0" fillId="0" borderId="0" xfId="0" applyNumberFormat="1"/>
    <xf numFmtId="11" fontId="4" fillId="0" borderId="0" xfId="1" applyNumberFormat="1" applyFont="1"/>
    <xf numFmtId="11" fontId="4" fillId="0" borderId="0" xfId="1" applyNumberFormat="1" applyFont="1" applyFill="1"/>
    <xf numFmtId="49" fontId="0" fillId="0" borderId="0" xfId="0" applyNumberFormat="1"/>
    <xf numFmtId="0" fontId="0" fillId="0" borderId="0" xfId="0" applyAlignment="1">
      <alignment horizontal="right"/>
    </xf>
    <xf numFmtId="169" fontId="0" fillId="0" borderId="0" xfId="1" applyNumberFormat="1" applyFont="1"/>
    <xf numFmtId="11" fontId="6" fillId="0" borderId="0" xfId="0" applyNumberFormat="1" applyFont="1"/>
    <xf numFmtId="11" fontId="8" fillId="0" borderId="0" xfId="0" applyNumberFormat="1" applyFont="1"/>
    <xf numFmtId="0" fontId="5" fillId="2" borderId="0" xfId="0" applyFont="1" applyFill="1"/>
    <xf numFmtId="166" fontId="0" fillId="2" borderId="0" xfId="0" applyNumberFormat="1" applyFill="1"/>
    <xf numFmtId="0" fontId="5" fillId="3" borderId="0" xfId="0" applyFont="1" applyFill="1"/>
    <xf numFmtId="166" fontId="0" fillId="3" borderId="0" xfId="0" applyNumberFormat="1" applyFill="1"/>
    <xf numFmtId="0" fontId="5" fillId="4" borderId="0" xfId="0" applyFont="1" applyFill="1"/>
    <xf numFmtId="11" fontId="0" fillId="4" borderId="0" xfId="0" applyNumberFormat="1" applyFill="1"/>
    <xf numFmtId="0" fontId="5" fillId="5" borderId="0" xfId="0" applyFont="1" applyFill="1"/>
    <xf numFmtId="11" fontId="0" fillId="5" borderId="0" xfId="0" applyNumberFormat="1" applyFill="1"/>
    <xf numFmtId="0" fontId="5" fillId="6" borderId="0" xfId="0" applyFont="1" applyFill="1"/>
    <xf numFmtId="11" fontId="0" fillId="6" borderId="0" xfId="0" applyNumberFormat="1" applyFill="1"/>
    <xf numFmtId="0" fontId="5" fillId="7" borderId="0" xfId="0" applyFont="1" applyFill="1"/>
    <xf numFmtId="2" fontId="0" fillId="7" borderId="0" xfId="0" applyNumberFormat="1" applyFill="1"/>
    <xf numFmtId="0" fontId="9" fillId="0" borderId="0" xfId="0" applyFont="1"/>
    <xf numFmtId="0" fontId="5" fillId="0" borderId="0" xfId="0" applyFont="1" applyAlignment="1">
      <alignment horizontal="left" wrapText="1"/>
    </xf>
    <xf numFmtId="0" fontId="5" fillId="0" borderId="0" xfId="0" applyFont="1" applyAlignment="1">
      <alignment horizontal="center"/>
    </xf>
    <xf numFmtId="9" fontId="0" fillId="0" borderId="0" xfId="1" applyFont="1"/>
    <xf numFmtId="0" fontId="5" fillId="6" borderId="0" xfId="0" applyFont="1" applyFill="1" applyAlignment="1">
      <alignment horizontal="center"/>
    </xf>
    <xf numFmtId="0" fontId="5" fillId="7" borderId="0" xfId="0" applyFont="1" applyFill="1" applyAlignment="1">
      <alignment horizontal="center"/>
    </xf>
    <xf numFmtId="0" fontId="5" fillId="2" borderId="0" xfId="0" applyFont="1" applyFill="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6" sqref="B6"/>
    </sheetView>
  </sheetViews>
  <sheetFormatPr baseColWidth="10" defaultColWidth="8.83203125" defaultRowHeight="15" x14ac:dyDescent="0.2"/>
  <cols>
    <col min="1" max="1" width="12.33203125" bestFit="1" customWidth="1"/>
    <col min="2" max="2" width="10.5" bestFit="1" customWidth="1"/>
  </cols>
  <sheetData>
    <row r="1" spans="1:2" x14ac:dyDescent="0.2">
      <c r="A1" t="s">
        <v>67</v>
      </c>
    </row>
    <row r="2" spans="1:2" x14ac:dyDescent="0.2">
      <c r="A2" s="8" t="s">
        <v>271</v>
      </c>
      <c r="B2" s="8" t="s">
        <v>447</v>
      </c>
    </row>
    <row r="3" spans="1:2" x14ac:dyDescent="0.2">
      <c r="A3" t="s">
        <v>272</v>
      </c>
      <c r="B3" t="s">
        <v>370</v>
      </c>
    </row>
    <row r="4" spans="1:2" x14ac:dyDescent="0.2">
      <c r="A4" t="s">
        <v>273</v>
      </c>
      <c r="B4" t="s">
        <v>274</v>
      </c>
    </row>
    <row r="5" spans="1:2" x14ac:dyDescent="0.2">
      <c r="A5" t="s">
        <v>305</v>
      </c>
      <c r="B5" s="14">
        <v>44502</v>
      </c>
    </row>
    <row r="7" spans="1:2" x14ac:dyDescent="0.2">
      <c r="A7" t="s">
        <v>275</v>
      </c>
    </row>
    <row r="8" spans="1:2" x14ac:dyDescent="0.2">
      <c r="A8" t="s">
        <v>304</v>
      </c>
    </row>
    <row r="9" spans="1:2" x14ac:dyDescent="0.2">
      <c r="A9" t="s">
        <v>276</v>
      </c>
    </row>
    <row r="10" spans="1:2" x14ac:dyDescent="0.2">
      <c r="A10" t="s">
        <v>306</v>
      </c>
    </row>
    <row r="11" spans="1:2" x14ac:dyDescent="0.2">
      <c r="A11" t="s">
        <v>373</v>
      </c>
    </row>
    <row r="12" spans="1:2" x14ac:dyDescent="0.2">
      <c r="A12" t="s">
        <v>374</v>
      </c>
    </row>
    <row r="13" spans="1:2" x14ac:dyDescent="0.2">
      <c r="A13" t="s">
        <v>307</v>
      </c>
    </row>
    <row r="14" spans="1:2" x14ac:dyDescent="0.2">
      <c r="A14" t="s">
        <v>308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167"/>
  <sheetViews>
    <sheetView workbookViewId="0">
      <pane xSplit="2" topLeftCell="CJ1" activePane="topRight" state="frozen"/>
      <selection pane="topRight" activeCell="CJ11" sqref="CJ11"/>
    </sheetView>
  </sheetViews>
  <sheetFormatPr baseColWidth="10" defaultColWidth="8.83203125" defaultRowHeight="15" x14ac:dyDescent="0.2"/>
  <cols>
    <col min="1" max="1" width="68.5" customWidth="1"/>
    <col min="2" max="2" width="33.33203125" bestFit="1" customWidth="1"/>
    <col min="3" max="3" width="4.5" customWidth="1"/>
    <col min="4" max="4" width="5" customWidth="1"/>
    <col min="5" max="5" width="8.33203125" customWidth="1"/>
    <col min="6" max="6" width="16.33203125" customWidth="1"/>
    <col min="7" max="7" width="8.33203125" customWidth="1"/>
    <col min="8" max="8" width="10" customWidth="1"/>
    <col min="9" max="9" width="16.6640625" customWidth="1"/>
    <col min="10" max="10" width="11.6640625" customWidth="1"/>
    <col min="11" max="11" width="20" customWidth="1"/>
    <col min="12" max="12" width="13.6640625" customWidth="1"/>
    <col min="13" max="13" width="14.6640625" customWidth="1"/>
    <col min="14" max="14" width="17.5" customWidth="1"/>
    <col min="15" max="15" width="14" customWidth="1"/>
    <col min="16" max="16" width="12.6640625" customWidth="1"/>
    <col min="17" max="17" width="14.6640625" customWidth="1"/>
    <col min="18" max="18" width="10.6640625" bestFit="1" customWidth="1"/>
    <col min="19" max="19" width="18.33203125" bestFit="1" customWidth="1"/>
    <col min="20" max="20" width="7.83203125" customWidth="1"/>
    <col min="21" max="22" width="7.5" customWidth="1"/>
    <col min="23" max="23" width="9.5" customWidth="1"/>
    <col min="24" max="24" width="29" bestFit="1" customWidth="1"/>
    <col min="25" max="26" width="24.33203125" customWidth="1"/>
    <col min="27" max="27" width="24.5" bestFit="1" customWidth="1"/>
    <col min="28" max="28" width="24.6640625" style="3" bestFit="1" customWidth="1"/>
    <col min="29" max="29" width="21.33203125" bestFit="1" customWidth="1"/>
    <col min="30" max="30" width="28.6640625" bestFit="1" customWidth="1"/>
    <col min="31" max="31" width="13.33203125" bestFit="1" customWidth="1"/>
    <col min="32" max="32" width="12.5" bestFit="1" customWidth="1"/>
    <col min="33" max="33" width="26.6640625" bestFit="1" customWidth="1"/>
    <col min="34" max="34" width="16.5" bestFit="1" customWidth="1"/>
    <col min="35" max="35" width="24.5" bestFit="1" customWidth="1"/>
    <col min="36" max="36" width="25.6640625" bestFit="1" customWidth="1"/>
    <col min="37" max="39" width="25.6640625" customWidth="1"/>
    <col min="40" max="40" width="18.6640625" bestFit="1" customWidth="1"/>
    <col min="41" max="41" width="23.5" bestFit="1" customWidth="1"/>
    <col min="42" max="42" width="20.33203125" bestFit="1" customWidth="1"/>
    <col min="43" max="43" width="26.6640625" bestFit="1" customWidth="1"/>
    <col min="44" max="44" width="21.6640625" bestFit="1" customWidth="1"/>
    <col min="45" max="45" width="27.6640625" bestFit="1" customWidth="1"/>
    <col min="46" max="46" width="10.33203125" bestFit="1" customWidth="1"/>
    <col min="47" max="47" width="5.5" bestFit="1" customWidth="1"/>
    <col min="48" max="48" width="8.1640625" bestFit="1" customWidth="1"/>
    <col min="49" max="49" width="8.6640625" customWidth="1"/>
    <col min="50" max="50" width="14.6640625" bestFit="1" customWidth="1"/>
    <col min="51" max="51" width="11.33203125" bestFit="1" customWidth="1"/>
    <col min="52" max="52" width="10.33203125" bestFit="1" customWidth="1"/>
    <col min="53" max="53" width="11.5" bestFit="1" customWidth="1"/>
    <col min="54" max="55" width="11.33203125" bestFit="1" customWidth="1"/>
    <col min="56" max="56" width="13.5" bestFit="1" customWidth="1"/>
    <col min="57" max="90" width="13.5" customWidth="1"/>
    <col min="91" max="91" width="16" bestFit="1" customWidth="1"/>
    <col min="92" max="92" width="17.83203125" bestFit="1" customWidth="1"/>
    <col min="93" max="93" width="17" bestFit="1" customWidth="1"/>
    <col min="94" max="94" width="21.6640625" bestFit="1" customWidth="1"/>
    <col min="95" max="95" width="19.83203125" bestFit="1" customWidth="1"/>
    <col min="96" max="96" width="18.83203125" bestFit="1" customWidth="1"/>
    <col min="97" max="97" width="21.6640625" bestFit="1" customWidth="1"/>
    <col min="98" max="98" width="32.83203125" bestFit="1" customWidth="1"/>
    <col min="99" max="99" width="16.6640625" bestFit="1" customWidth="1"/>
    <col min="100" max="100" width="15.5" bestFit="1" customWidth="1"/>
    <col min="101" max="101" width="17.33203125" bestFit="1" customWidth="1"/>
  </cols>
  <sheetData>
    <row r="1" spans="1:101" x14ac:dyDescent="0.2">
      <c r="A1" t="s">
        <v>67</v>
      </c>
    </row>
    <row r="2" spans="1:101" s="8" customFormat="1" x14ac:dyDescent="0.2">
      <c r="A2" s="8" t="s">
        <v>122</v>
      </c>
      <c r="B2" s="8" t="s">
        <v>0</v>
      </c>
      <c r="C2" s="8" t="s">
        <v>1</v>
      </c>
      <c r="D2" s="8" t="s">
        <v>2</v>
      </c>
      <c r="E2" s="8" t="s">
        <v>36</v>
      </c>
      <c r="F2" s="8" t="s">
        <v>64</v>
      </c>
      <c r="G2" s="8" t="s">
        <v>38</v>
      </c>
      <c r="H2" s="8" t="s">
        <v>3</v>
      </c>
      <c r="I2" s="8" t="s">
        <v>41</v>
      </c>
      <c r="J2" s="8" t="s">
        <v>4</v>
      </c>
      <c r="K2" s="8" t="s">
        <v>6</v>
      </c>
      <c r="L2" s="8" t="s">
        <v>5</v>
      </c>
      <c r="M2" s="8" t="s">
        <v>7</v>
      </c>
      <c r="N2" s="8" t="s">
        <v>8</v>
      </c>
      <c r="O2" s="8" t="s">
        <v>9</v>
      </c>
      <c r="P2" s="8" t="s">
        <v>11</v>
      </c>
      <c r="Q2" s="8" t="s">
        <v>10</v>
      </c>
      <c r="R2" s="8" t="s">
        <v>12</v>
      </c>
      <c r="S2" s="8" t="s">
        <v>15</v>
      </c>
      <c r="T2" s="8" t="s">
        <v>14</v>
      </c>
      <c r="U2" s="8" t="s">
        <v>13</v>
      </c>
      <c r="V2" s="8" t="s">
        <v>16</v>
      </c>
      <c r="W2" s="8" t="s">
        <v>269</v>
      </c>
      <c r="X2" s="8" t="s">
        <v>17</v>
      </c>
      <c r="Y2" s="8" t="s">
        <v>62</v>
      </c>
      <c r="Z2" s="8" t="s">
        <v>63</v>
      </c>
      <c r="AA2" s="8" t="s">
        <v>19</v>
      </c>
      <c r="AB2" s="9" t="s">
        <v>20</v>
      </c>
      <c r="AC2" s="8" t="s">
        <v>18</v>
      </c>
      <c r="AD2" s="8" t="s">
        <v>21</v>
      </c>
      <c r="AE2" s="8" t="s">
        <v>49</v>
      </c>
      <c r="AF2" s="8" t="s">
        <v>22</v>
      </c>
      <c r="AG2" s="8" t="s">
        <v>23</v>
      </c>
      <c r="AH2" s="8" t="s">
        <v>24</v>
      </c>
      <c r="AI2" s="8" t="s">
        <v>25</v>
      </c>
      <c r="AJ2" s="8" t="s">
        <v>51</v>
      </c>
      <c r="AK2" s="8" t="s">
        <v>115</v>
      </c>
      <c r="AL2" s="8" t="s">
        <v>102</v>
      </c>
      <c r="AM2" s="8" t="s">
        <v>109</v>
      </c>
      <c r="AN2" s="8" t="s">
        <v>140</v>
      </c>
      <c r="AO2" s="8" t="s">
        <v>141</v>
      </c>
      <c r="AP2" s="8" t="s">
        <v>142</v>
      </c>
      <c r="AQ2" s="8" t="s">
        <v>27</v>
      </c>
      <c r="AR2" s="8" t="s">
        <v>445</v>
      </c>
      <c r="AS2" s="8" t="s">
        <v>28</v>
      </c>
      <c r="AT2" s="8" t="s">
        <v>26</v>
      </c>
      <c r="AU2" s="8" t="s">
        <v>65</v>
      </c>
      <c r="AV2" s="8" t="s">
        <v>446</v>
      </c>
      <c r="AW2" s="8" t="s">
        <v>66</v>
      </c>
      <c r="AX2" s="8" t="s">
        <v>54</v>
      </c>
      <c r="AY2" s="8" t="s">
        <v>55</v>
      </c>
      <c r="AZ2" s="8" t="s">
        <v>56</v>
      </c>
      <c r="BA2" s="8" t="s">
        <v>57</v>
      </c>
      <c r="BB2" s="8" t="s">
        <v>58</v>
      </c>
      <c r="BC2" s="8" t="s">
        <v>59</v>
      </c>
      <c r="BD2" s="8" t="s">
        <v>61</v>
      </c>
      <c r="BE2" s="8" t="s">
        <v>360</v>
      </c>
      <c r="BF2" s="8" t="s">
        <v>309</v>
      </c>
      <c r="BG2" s="8" t="s">
        <v>310</v>
      </c>
      <c r="BH2" s="8" t="s">
        <v>311</v>
      </c>
      <c r="BI2" s="8" t="s">
        <v>312</v>
      </c>
      <c r="BJ2" s="8" t="s">
        <v>313</v>
      </c>
      <c r="BK2" s="8" t="s">
        <v>314</v>
      </c>
      <c r="BL2" s="8" t="s">
        <v>315</v>
      </c>
      <c r="BM2" s="8" t="s">
        <v>316</v>
      </c>
      <c r="BN2" s="8" t="s">
        <v>317</v>
      </c>
      <c r="BO2" s="8" t="s">
        <v>318</v>
      </c>
      <c r="BP2" s="8" t="s">
        <v>54</v>
      </c>
      <c r="BQ2" s="8" t="s">
        <v>319</v>
      </c>
      <c r="BR2" s="8" t="s">
        <v>320</v>
      </c>
      <c r="BS2" s="8" t="s">
        <v>321</v>
      </c>
      <c r="BT2" s="8" t="s">
        <v>322</v>
      </c>
      <c r="BU2" s="8" t="s">
        <v>323</v>
      </c>
      <c r="BV2" s="8" t="s">
        <v>324</v>
      </c>
      <c r="BW2" s="8" t="s">
        <v>325</v>
      </c>
      <c r="BX2" s="8" t="s">
        <v>328</v>
      </c>
      <c r="BY2" s="8" t="s">
        <v>326</v>
      </c>
      <c r="BZ2" s="8" t="s">
        <v>327</v>
      </c>
      <c r="CA2" s="8" t="s">
        <v>329</v>
      </c>
      <c r="CB2" s="8" t="s">
        <v>330</v>
      </c>
      <c r="CC2" s="8" t="s">
        <v>331</v>
      </c>
      <c r="CD2" s="8" t="s">
        <v>332</v>
      </c>
      <c r="CE2" s="8" t="s">
        <v>290</v>
      </c>
      <c r="CF2" s="8" t="s">
        <v>292</v>
      </c>
      <c r="CG2" s="8" t="s">
        <v>291</v>
      </c>
      <c r="CH2" s="8" t="s">
        <v>335</v>
      </c>
      <c r="CI2" s="8" t="s">
        <v>333</v>
      </c>
      <c r="CJ2" s="8" t="s">
        <v>334</v>
      </c>
      <c r="CK2" s="8" t="s">
        <v>532</v>
      </c>
      <c r="CL2" s="8" t="s">
        <v>531</v>
      </c>
      <c r="CM2" s="8" t="s">
        <v>533</v>
      </c>
      <c r="CN2" s="8" t="s">
        <v>534</v>
      </c>
      <c r="CO2" s="8" t="s">
        <v>535</v>
      </c>
      <c r="CP2" s="8" t="s">
        <v>536</v>
      </c>
      <c r="CQ2" s="8" t="s">
        <v>537</v>
      </c>
      <c r="CR2" s="8" t="s">
        <v>538</v>
      </c>
      <c r="CS2" s="8" t="s">
        <v>536</v>
      </c>
      <c r="CT2" s="8" t="s">
        <v>522</v>
      </c>
      <c r="CU2" s="8" t="s">
        <v>29</v>
      </c>
      <c r="CV2" s="8" t="s">
        <v>30</v>
      </c>
      <c r="CW2" s="8" t="s">
        <v>31</v>
      </c>
    </row>
    <row r="3" spans="1:101" x14ac:dyDescent="0.2">
      <c r="A3" t="str">
        <f>B3&amp;" - "&amp;D3&amp;" - "&amp;IF(I3&lt;&gt;"",I3&amp;" - "&amp;E3,E3)</f>
        <v>Kick Scooter, battery electric, &lt;1kW - 2020 - NMC - CH</v>
      </c>
      <c r="B3" t="s">
        <v>651</v>
      </c>
      <c r="D3" s="18">
        <v>2020</v>
      </c>
      <c r="E3" t="s">
        <v>37</v>
      </c>
      <c r="F3" t="s">
        <v>136</v>
      </c>
      <c r="G3" t="s">
        <v>39</v>
      </c>
      <c r="H3" t="s">
        <v>32</v>
      </c>
      <c r="I3" t="s">
        <v>42</v>
      </c>
      <c r="J3">
        <v>1785</v>
      </c>
      <c r="K3">
        <v>890</v>
      </c>
      <c r="L3" s="2">
        <f>J3/K3</f>
        <v>2.00561797752809</v>
      </c>
      <c r="M3">
        <v>1</v>
      </c>
      <c r="N3">
        <v>75</v>
      </c>
      <c r="O3">
        <v>0</v>
      </c>
      <c r="P3" s="2">
        <f t="shared" ref="P3:P58" si="0">SUM(U3,V3,W3,AC3,AF3,AH3)</f>
        <v>11.625</v>
      </c>
      <c r="Q3" s="2">
        <f>P3+(M3*N3)+O3</f>
        <v>86.625</v>
      </c>
      <c r="R3">
        <v>0.25</v>
      </c>
      <c r="S3" s="2">
        <v>7</v>
      </c>
      <c r="T3" s="1">
        <v>0</v>
      </c>
      <c r="U3" s="2">
        <f>S3*(1-T3)</f>
        <v>7</v>
      </c>
      <c r="V3">
        <v>0</v>
      </c>
      <c r="W3">
        <v>3</v>
      </c>
      <c r="X3" s="6">
        <v>0.25</v>
      </c>
      <c r="Y3" s="1">
        <v>0.8</v>
      </c>
      <c r="Z3" s="3">
        <f>Y3*X3</f>
        <v>0.2</v>
      </c>
      <c r="AA3" s="3">
        <f>IF(I3&lt;&gt;"",X3/INDEX('energy battery'!$B$3:$D$6,MATCH('vehicles specifications'!$D3,'energy battery'!$A$3:$A$6,0),MATCH('vehicles specifications'!$I3,'energy battery'!$B$2:$D$2,0)),"")</f>
        <v>1.25</v>
      </c>
      <c r="AB3" s="3">
        <f>IF(AA3&lt;&gt;"",0.3*AA3,"")</f>
        <v>0.375</v>
      </c>
      <c r="AC3" s="3">
        <f>IF(AA3&lt;&gt;"",AB3+AA3,"")</f>
        <v>1.625</v>
      </c>
      <c r="AD3">
        <v>0</v>
      </c>
      <c r="AE3">
        <v>0</v>
      </c>
      <c r="AF3">
        <v>0</v>
      </c>
      <c r="AG3">
        <v>0</v>
      </c>
      <c r="AH3">
        <v>0</v>
      </c>
      <c r="AI3">
        <v>0.5</v>
      </c>
      <c r="AJ3">
        <v>1</v>
      </c>
      <c r="AK3">
        <v>0</v>
      </c>
      <c r="AL3">
        <f>0.000537/1000*Q3</f>
        <v>4.6517624999999998E-5</v>
      </c>
      <c r="AM3">
        <v>0</v>
      </c>
      <c r="AN3" s="2">
        <f>U3</f>
        <v>7</v>
      </c>
      <c r="AO3" s="2">
        <f>SUM(V3:W3)</f>
        <v>3</v>
      </c>
      <c r="AP3" s="2">
        <f>AC3</f>
        <v>1.625</v>
      </c>
      <c r="AQ3" s="6" t="s">
        <v>84</v>
      </c>
      <c r="AR3" s="20"/>
      <c r="AS3" s="5">
        <v>8.6126327557294588E-2</v>
      </c>
      <c r="AT3" s="2">
        <f>SUM(Z3,AG3)/(SUM(AQ3,AS3)/3.6)</f>
        <v>8.3598130841121492</v>
      </c>
      <c r="AU3" s="5">
        <v>0</v>
      </c>
      <c r="AV3" s="5">
        <v>0</v>
      </c>
      <c r="AW3" s="7">
        <v>0</v>
      </c>
      <c r="AX3" s="7">
        <v>0</v>
      </c>
      <c r="AY3" s="7">
        <v>0</v>
      </c>
      <c r="AZ3" s="7">
        <v>0</v>
      </c>
      <c r="BA3" s="7">
        <v>0</v>
      </c>
      <c r="BB3" s="7">
        <v>0</v>
      </c>
      <c r="BC3" s="7">
        <v>0</v>
      </c>
      <c r="BD3" s="7">
        <v>0</v>
      </c>
      <c r="BE3" s="7">
        <v>0</v>
      </c>
      <c r="BF3" s="7">
        <v>0</v>
      </c>
      <c r="BG3" s="7">
        <v>0</v>
      </c>
      <c r="BH3" s="7">
        <v>0</v>
      </c>
      <c r="BI3" s="7">
        <v>0</v>
      </c>
      <c r="BJ3" s="7">
        <v>0</v>
      </c>
      <c r="BK3" s="7">
        <v>0</v>
      </c>
      <c r="BL3" s="7">
        <v>0</v>
      </c>
      <c r="BM3" s="7">
        <v>0</v>
      </c>
      <c r="BN3" s="7">
        <v>0</v>
      </c>
      <c r="BO3" s="7">
        <v>0</v>
      </c>
      <c r="BP3" s="7">
        <v>0</v>
      </c>
      <c r="BQ3" s="7">
        <v>0</v>
      </c>
      <c r="BR3" s="7">
        <v>0</v>
      </c>
      <c r="BS3" s="7">
        <v>0</v>
      </c>
      <c r="BT3" s="7">
        <v>0</v>
      </c>
      <c r="BU3" s="7">
        <v>0</v>
      </c>
      <c r="BV3" s="7">
        <v>0</v>
      </c>
      <c r="BW3" s="7">
        <v>0</v>
      </c>
      <c r="BX3" s="7">
        <v>0</v>
      </c>
      <c r="BY3" s="7">
        <v>0</v>
      </c>
      <c r="BZ3" s="7">
        <v>0</v>
      </c>
      <c r="CA3" s="7">
        <v>0</v>
      </c>
      <c r="CB3" s="7">
        <v>0</v>
      </c>
      <c r="CC3" s="7">
        <v>0</v>
      </c>
      <c r="CD3" s="7">
        <v>0</v>
      </c>
      <c r="CE3" s="7">
        <v>0</v>
      </c>
      <c r="CF3" s="7">
        <v>0</v>
      </c>
      <c r="CG3" s="7">
        <v>0</v>
      </c>
      <c r="CH3" s="7">
        <v>0</v>
      </c>
      <c r="CI3" s="7">
        <v>0</v>
      </c>
      <c r="CJ3" s="7">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spans="1:101" x14ac:dyDescent="0.2">
      <c r="A4" t="str">
        <f t="shared" ref="A4:A115" si="1">B4&amp;" - "&amp;D4&amp;" - "&amp;IF(I4&lt;&gt;"",I4&amp;" - "&amp;E4,E4)</f>
        <v>Kick Scooter, battery electric, &lt;1kW - 2030 - NMC - CH</v>
      </c>
      <c r="B4" t="s">
        <v>651</v>
      </c>
      <c r="D4" s="18">
        <v>2030</v>
      </c>
      <c r="E4" t="s">
        <v>37</v>
      </c>
      <c r="F4" t="s">
        <v>136</v>
      </c>
      <c r="G4" t="s">
        <v>39</v>
      </c>
      <c r="H4" t="s">
        <v>32</v>
      </c>
      <c r="I4" t="s">
        <v>42</v>
      </c>
      <c r="J4">
        <v>1785</v>
      </c>
      <c r="K4">
        <v>890</v>
      </c>
      <c r="L4" s="2">
        <f t="shared" ref="L4:L105" si="2">J4/K4</f>
        <v>2.00561797752809</v>
      </c>
      <c r="M4">
        <v>1</v>
      </c>
      <c r="N4">
        <v>75</v>
      </c>
      <c r="O4">
        <v>0</v>
      </c>
      <c r="P4" s="2">
        <f t="shared" si="0"/>
        <v>10.99</v>
      </c>
      <c r="Q4" s="2">
        <f t="shared" ref="Q4:Q105" si="3">P4+(M4*N4)+O4</f>
        <v>85.99</v>
      </c>
      <c r="R4">
        <v>0.25</v>
      </c>
      <c r="S4" s="2">
        <v>7</v>
      </c>
      <c r="T4" s="1">
        <v>0.03</v>
      </c>
      <c r="U4" s="2">
        <f t="shared" ref="U4:U84" si="4">S4*(1-T4)</f>
        <v>6.79</v>
      </c>
      <c r="V4">
        <v>0</v>
      </c>
      <c r="W4">
        <v>2.9</v>
      </c>
      <c r="X4" s="6">
        <v>0.3</v>
      </c>
      <c r="Y4" s="1">
        <v>0.8</v>
      </c>
      <c r="Z4" s="3">
        <f t="shared" ref="Z4:Z105" si="5">Y4*X4</f>
        <v>0.24</v>
      </c>
      <c r="AA4" s="3">
        <f>IF(I4&lt;&gt;"",X4/INDEX('energy battery'!$B$3:$D$6,MATCH('vehicles specifications'!$D4,'energy battery'!$A$3:$A$6,0),MATCH('vehicles specifications'!$I4,'energy battery'!$B$2:$D$2,0)),"")</f>
        <v>1</v>
      </c>
      <c r="AB4" s="3">
        <f t="shared" ref="AB4:AB115" si="6">IF(AA4&lt;&gt;"",0.3*AA4,"")</f>
        <v>0.3</v>
      </c>
      <c r="AC4" s="3">
        <f t="shared" ref="AC4:AC115" si="7">IF(AA4&lt;&gt;"",AB4+AA4,"")</f>
        <v>1.3</v>
      </c>
      <c r="AD4">
        <v>0</v>
      </c>
      <c r="AE4">
        <v>0</v>
      </c>
      <c r="AF4">
        <v>0</v>
      </c>
      <c r="AG4">
        <v>0</v>
      </c>
      <c r="AH4">
        <v>0</v>
      </c>
      <c r="AI4">
        <v>0.5</v>
      </c>
      <c r="AJ4">
        <v>1</v>
      </c>
      <c r="AK4">
        <v>0</v>
      </c>
      <c r="AL4">
        <f t="shared" ref="AL4:AL30" si="8">0.000537/1000*Q4</f>
        <v>4.6176629999999996E-5</v>
      </c>
      <c r="AM4">
        <v>0</v>
      </c>
      <c r="AN4" s="2">
        <f t="shared" ref="AN4:AN105" si="9">U4</f>
        <v>6.79</v>
      </c>
      <c r="AO4" s="2">
        <f t="shared" ref="AO4:AO105" si="10">SUM(V4:W4)</f>
        <v>2.9</v>
      </c>
      <c r="AP4" s="2">
        <f t="shared" ref="AP4:AP105" si="11">AC4</f>
        <v>1.3</v>
      </c>
      <c r="AQ4" s="6" t="s">
        <v>84</v>
      </c>
      <c r="AR4" s="20"/>
      <c r="AS4" s="5">
        <v>8.6126327557294588E-2</v>
      </c>
      <c r="AT4" s="2">
        <f t="shared" ref="AT4:AT67" si="12">SUM(Z4,AG4)/(SUM(AQ4,AS4)/3.6)</f>
        <v>10.031775700934579</v>
      </c>
      <c r="AU4" s="5">
        <v>0</v>
      </c>
      <c r="AV4" s="5">
        <v>0</v>
      </c>
      <c r="AW4" s="7">
        <v>0</v>
      </c>
      <c r="AX4" s="7">
        <v>0</v>
      </c>
      <c r="AY4" s="7">
        <v>0</v>
      </c>
      <c r="AZ4" s="7">
        <v>0</v>
      </c>
      <c r="BA4" s="7">
        <v>0</v>
      </c>
      <c r="BB4" s="7">
        <v>0</v>
      </c>
      <c r="BC4" s="7">
        <v>0</v>
      </c>
      <c r="BD4" s="7">
        <v>0</v>
      </c>
      <c r="BE4" s="7">
        <v>0</v>
      </c>
      <c r="BF4" s="7">
        <v>0</v>
      </c>
      <c r="BG4" s="7">
        <v>0</v>
      </c>
      <c r="BH4" s="7">
        <v>0</v>
      </c>
      <c r="BI4" s="7">
        <v>0</v>
      </c>
      <c r="BJ4" s="7">
        <v>0</v>
      </c>
      <c r="BK4" s="7">
        <v>0</v>
      </c>
      <c r="BL4" s="7">
        <v>0</v>
      </c>
      <c r="BM4" s="7">
        <v>0</v>
      </c>
      <c r="BN4" s="7">
        <v>0</v>
      </c>
      <c r="BO4" s="7">
        <v>0</v>
      </c>
      <c r="BP4" s="7">
        <v>0</v>
      </c>
      <c r="BQ4" s="7">
        <v>0</v>
      </c>
      <c r="BR4" s="7">
        <v>0</v>
      </c>
      <c r="BS4" s="7">
        <v>0</v>
      </c>
      <c r="BT4" s="7">
        <v>0</v>
      </c>
      <c r="BU4" s="7">
        <v>0</v>
      </c>
      <c r="BV4" s="7">
        <v>0</v>
      </c>
      <c r="BW4" s="7">
        <v>0</v>
      </c>
      <c r="BX4" s="7">
        <v>0</v>
      </c>
      <c r="BY4" s="7">
        <v>0</v>
      </c>
      <c r="BZ4" s="7">
        <v>0</v>
      </c>
      <c r="CA4" s="7">
        <v>0</v>
      </c>
      <c r="CB4" s="7">
        <v>0</v>
      </c>
      <c r="CC4" s="7">
        <v>0</v>
      </c>
      <c r="CD4" s="7">
        <v>0</v>
      </c>
      <c r="CE4" s="7">
        <v>0</v>
      </c>
      <c r="CF4" s="7">
        <v>0</v>
      </c>
      <c r="CG4" s="7">
        <v>0</v>
      </c>
      <c r="CH4" s="7">
        <v>0</v>
      </c>
      <c r="CI4" s="7">
        <v>0</v>
      </c>
      <c r="CJ4" s="7">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 t="shared" ref="CV4:CV67" si="13">(CK4*CN4)+(CL4*CO4)+(CM4*CP4)</f>
        <v>3.6378224682804953E-6</v>
      </c>
      <c r="CW4" s="7">
        <f t="shared" ref="CW4:CW67" si="14">(CK4*CQ4)+(CL4*CR4)+(CM4*CS4)</f>
        <v>3.4149752509675722E-6</v>
      </c>
    </row>
    <row r="5" spans="1:101" x14ac:dyDescent="0.2">
      <c r="A5" t="str">
        <f t="shared" si="1"/>
        <v>Kick Scooter, battery electric, &lt;1kW - 2040 - NMC - CH</v>
      </c>
      <c r="B5" t="s">
        <v>651</v>
      </c>
      <c r="D5" s="18">
        <v>2040</v>
      </c>
      <c r="E5" t="s">
        <v>37</v>
      </c>
      <c r="F5" t="s">
        <v>136</v>
      </c>
      <c r="G5" t="s">
        <v>39</v>
      </c>
      <c r="H5" t="s">
        <v>32</v>
      </c>
      <c r="I5" t="s">
        <v>42</v>
      </c>
      <c r="J5">
        <v>1785</v>
      </c>
      <c r="K5">
        <v>890</v>
      </c>
      <c r="L5" s="2">
        <f t="shared" si="2"/>
        <v>2.00561797752809</v>
      </c>
      <c r="M5">
        <v>1</v>
      </c>
      <c r="N5">
        <v>75</v>
      </c>
      <c r="O5">
        <v>0</v>
      </c>
      <c r="P5" s="2">
        <f t="shared" si="0"/>
        <v>10.75</v>
      </c>
      <c r="Q5" s="2">
        <f t="shared" si="3"/>
        <v>85.75</v>
      </c>
      <c r="R5">
        <v>0.25</v>
      </c>
      <c r="S5" s="2">
        <v>7</v>
      </c>
      <c r="T5" s="1">
        <v>0.05</v>
      </c>
      <c r="U5" s="2">
        <f t="shared" si="4"/>
        <v>6.6499999999999995</v>
      </c>
      <c r="V5">
        <v>0</v>
      </c>
      <c r="W5">
        <v>2.8</v>
      </c>
      <c r="X5" s="6">
        <v>0.4</v>
      </c>
      <c r="Y5" s="1">
        <v>0.8</v>
      </c>
      <c r="Z5" s="3">
        <f t="shared" si="5"/>
        <v>0.32000000000000006</v>
      </c>
      <c r="AA5" s="3">
        <f>IF(I5&lt;&gt;"",X5/INDEX('energy battery'!$B$3:$D$6,MATCH('vehicles specifications'!$D5,'energy battery'!$A$3:$A$6,0),MATCH('vehicles specifications'!$I5,'energy battery'!$B$2:$D$2,0)),"")</f>
        <v>1</v>
      </c>
      <c r="AB5" s="3">
        <f t="shared" si="6"/>
        <v>0.3</v>
      </c>
      <c r="AC5" s="3">
        <f t="shared" si="7"/>
        <v>1.3</v>
      </c>
      <c r="AD5">
        <v>0</v>
      </c>
      <c r="AE5">
        <v>0</v>
      </c>
      <c r="AF5">
        <v>0</v>
      </c>
      <c r="AG5">
        <v>0</v>
      </c>
      <c r="AH5">
        <v>0</v>
      </c>
      <c r="AI5">
        <v>0.5</v>
      </c>
      <c r="AJ5">
        <v>1</v>
      </c>
      <c r="AK5">
        <v>0</v>
      </c>
      <c r="AL5">
        <f t="shared" si="8"/>
        <v>4.604775E-5</v>
      </c>
      <c r="AM5">
        <v>0</v>
      </c>
      <c r="AN5" s="2">
        <f t="shared" si="9"/>
        <v>6.6499999999999995</v>
      </c>
      <c r="AO5" s="2">
        <f t="shared" si="10"/>
        <v>2.8</v>
      </c>
      <c r="AP5" s="2">
        <f t="shared" si="11"/>
        <v>1.3</v>
      </c>
      <c r="AQ5" s="6" t="s">
        <v>84</v>
      </c>
      <c r="AR5" s="20"/>
      <c r="AS5" s="5">
        <v>8.6126327557294588E-2</v>
      </c>
      <c r="AT5" s="2">
        <f t="shared" si="12"/>
        <v>13.375700934579442</v>
      </c>
      <c r="AU5" s="5">
        <v>0</v>
      </c>
      <c r="AV5" s="5">
        <v>0</v>
      </c>
      <c r="AW5" s="7">
        <v>0</v>
      </c>
      <c r="AX5" s="7">
        <v>0</v>
      </c>
      <c r="AY5" s="7">
        <v>0</v>
      </c>
      <c r="AZ5" s="7">
        <v>0</v>
      </c>
      <c r="BA5" s="7">
        <v>0</v>
      </c>
      <c r="BB5" s="7">
        <v>0</v>
      </c>
      <c r="BC5" s="7">
        <v>0</v>
      </c>
      <c r="BD5" s="7">
        <v>0</v>
      </c>
      <c r="BE5" s="7">
        <v>0</v>
      </c>
      <c r="BF5" s="7">
        <v>0</v>
      </c>
      <c r="BG5" s="7">
        <v>0</v>
      </c>
      <c r="BH5" s="7">
        <v>0</v>
      </c>
      <c r="BI5" s="7">
        <v>0</v>
      </c>
      <c r="BJ5" s="7">
        <v>0</v>
      </c>
      <c r="BK5" s="7">
        <v>0</v>
      </c>
      <c r="BL5" s="7">
        <v>0</v>
      </c>
      <c r="BM5" s="7">
        <v>0</v>
      </c>
      <c r="BN5" s="7">
        <v>0</v>
      </c>
      <c r="BO5" s="7">
        <v>0</v>
      </c>
      <c r="BP5" s="7">
        <v>0</v>
      </c>
      <c r="BQ5" s="7">
        <v>0</v>
      </c>
      <c r="BR5" s="7">
        <v>0</v>
      </c>
      <c r="BS5" s="7">
        <v>0</v>
      </c>
      <c r="BT5" s="7">
        <v>0</v>
      </c>
      <c r="BU5" s="7">
        <v>0</v>
      </c>
      <c r="BV5" s="7">
        <v>0</v>
      </c>
      <c r="BW5" s="7">
        <v>0</v>
      </c>
      <c r="BX5" s="7">
        <v>0</v>
      </c>
      <c r="BY5" s="7">
        <v>0</v>
      </c>
      <c r="BZ5" s="7">
        <v>0</v>
      </c>
      <c r="CA5" s="7">
        <v>0</v>
      </c>
      <c r="CB5" s="7">
        <v>0</v>
      </c>
      <c r="CC5" s="7">
        <v>0</v>
      </c>
      <c r="CD5" s="7">
        <v>0</v>
      </c>
      <c r="CE5" s="7">
        <v>0</v>
      </c>
      <c r="CF5" s="7">
        <v>0</v>
      </c>
      <c r="CG5" s="7">
        <v>0</v>
      </c>
      <c r="CH5" s="7">
        <v>0</v>
      </c>
      <c r="CI5" s="7">
        <v>0</v>
      </c>
      <c r="CJ5" s="7">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 t="shared" si="13"/>
        <v>3.6265994283366797E-6</v>
      </c>
      <c r="CW5" s="7">
        <f t="shared" si="14"/>
        <v>3.4060125107571902E-6</v>
      </c>
    </row>
    <row r="6" spans="1:101" x14ac:dyDescent="0.2">
      <c r="A6" t="str">
        <f t="shared" si="1"/>
        <v>Kick Scooter, battery electric, &lt;1kW - 2050 - NMC - CH</v>
      </c>
      <c r="B6" t="s">
        <v>651</v>
      </c>
      <c r="D6" s="18">
        <v>2050</v>
      </c>
      <c r="E6" t="s">
        <v>37</v>
      </c>
      <c r="F6" t="s">
        <v>136</v>
      </c>
      <c r="G6" t="s">
        <v>39</v>
      </c>
      <c r="H6" t="s">
        <v>32</v>
      </c>
      <c r="I6" t="s">
        <v>42</v>
      </c>
      <c r="J6">
        <v>1785</v>
      </c>
      <c r="K6">
        <v>890</v>
      </c>
      <c r="L6" s="2">
        <f t="shared" si="2"/>
        <v>2.00561797752809</v>
      </c>
      <c r="M6">
        <v>1</v>
      </c>
      <c r="N6">
        <v>75</v>
      </c>
      <c r="O6">
        <v>0</v>
      </c>
      <c r="P6" s="2">
        <f t="shared" si="0"/>
        <v>10.510000000000002</v>
      </c>
      <c r="Q6" s="2">
        <f t="shared" si="3"/>
        <v>85.51</v>
      </c>
      <c r="R6">
        <v>0.25</v>
      </c>
      <c r="S6" s="2">
        <v>7</v>
      </c>
      <c r="T6" s="1">
        <v>7.0000000000000007E-2</v>
      </c>
      <c r="U6" s="2">
        <f t="shared" si="4"/>
        <v>6.51</v>
      </c>
      <c r="V6">
        <v>0</v>
      </c>
      <c r="W6">
        <v>2.7</v>
      </c>
      <c r="X6" s="6">
        <v>0.5</v>
      </c>
      <c r="Y6" s="1">
        <v>0.8</v>
      </c>
      <c r="Z6" s="3">
        <f t="shared" si="5"/>
        <v>0.4</v>
      </c>
      <c r="AA6" s="3">
        <f>IF(I6&lt;&gt;"",X6/INDEX('energy battery'!$B$3:$D$6,MATCH('vehicles specifications'!$D6,'energy battery'!$A$3:$A$6,0),MATCH('vehicles specifications'!$I6,'energy battery'!$B$2:$D$2,0)),"")</f>
        <v>1</v>
      </c>
      <c r="AB6" s="3">
        <f t="shared" si="6"/>
        <v>0.3</v>
      </c>
      <c r="AC6" s="3">
        <f t="shared" si="7"/>
        <v>1.3</v>
      </c>
      <c r="AD6">
        <v>0</v>
      </c>
      <c r="AE6">
        <v>0</v>
      </c>
      <c r="AF6">
        <v>0</v>
      </c>
      <c r="AG6">
        <v>0</v>
      </c>
      <c r="AH6">
        <v>0</v>
      </c>
      <c r="AI6">
        <v>0.5</v>
      </c>
      <c r="AJ6">
        <v>1</v>
      </c>
      <c r="AK6">
        <v>0</v>
      </c>
      <c r="AL6">
        <f t="shared" si="8"/>
        <v>4.5918870000000003E-5</v>
      </c>
      <c r="AM6">
        <v>0</v>
      </c>
      <c r="AN6" s="2">
        <f t="shared" si="9"/>
        <v>6.51</v>
      </c>
      <c r="AO6" s="2">
        <f t="shared" si="10"/>
        <v>2.7</v>
      </c>
      <c r="AP6" s="2">
        <f t="shared" si="11"/>
        <v>1.3</v>
      </c>
      <c r="AQ6" s="6" t="s">
        <v>84</v>
      </c>
      <c r="AR6" s="20"/>
      <c r="AS6" s="5">
        <v>8.6126327557294588E-2</v>
      </c>
      <c r="AT6" s="2">
        <f t="shared" si="12"/>
        <v>16.719626168224298</v>
      </c>
      <c r="AU6" s="5">
        <v>0</v>
      </c>
      <c r="AV6" s="5">
        <v>0</v>
      </c>
      <c r="AW6" s="7">
        <v>0</v>
      </c>
      <c r="AX6" s="7">
        <v>0</v>
      </c>
      <c r="AY6" s="7">
        <v>0</v>
      </c>
      <c r="AZ6" s="7">
        <v>0</v>
      </c>
      <c r="BA6" s="7">
        <v>0</v>
      </c>
      <c r="BB6" s="7">
        <v>0</v>
      </c>
      <c r="BC6" s="7">
        <v>0</v>
      </c>
      <c r="BD6" s="7">
        <v>0</v>
      </c>
      <c r="BE6" s="7">
        <v>0</v>
      </c>
      <c r="BF6" s="7">
        <v>0</v>
      </c>
      <c r="BG6" s="7">
        <v>0</v>
      </c>
      <c r="BH6" s="7">
        <v>0</v>
      </c>
      <c r="BI6" s="7">
        <v>0</v>
      </c>
      <c r="BJ6" s="7">
        <v>0</v>
      </c>
      <c r="BK6" s="7">
        <v>0</v>
      </c>
      <c r="BL6" s="7">
        <v>0</v>
      </c>
      <c r="BM6" s="7">
        <v>0</v>
      </c>
      <c r="BN6" s="7">
        <v>0</v>
      </c>
      <c r="BO6" s="7">
        <v>0</v>
      </c>
      <c r="BP6" s="7">
        <v>0</v>
      </c>
      <c r="BQ6" s="7">
        <v>0</v>
      </c>
      <c r="BR6" s="7">
        <v>0</v>
      </c>
      <c r="BS6" s="7">
        <v>0</v>
      </c>
      <c r="BT6" s="7">
        <v>0</v>
      </c>
      <c r="BU6" s="7">
        <v>0</v>
      </c>
      <c r="BV6" s="7">
        <v>0</v>
      </c>
      <c r="BW6" s="7">
        <v>0</v>
      </c>
      <c r="BX6" s="7">
        <v>0</v>
      </c>
      <c r="BY6" s="7">
        <v>0</v>
      </c>
      <c r="BZ6" s="7">
        <v>0</v>
      </c>
      <c r="CA6" s="7">
        <v>0</v>
      </c>
      <c r="CB6" s="7">
        <v>0</v>
      </c>
      <c r="CC6" s="7">
        <v>0</v>
      </c>
      <c r="CD6" s="7">
        <v>0</v>
      </c>
      <c r="CE6" s="7">
        <v>0</v>
      </c>
      <c r="CF6" s="7">
        <v>0</v>
      </c>
      <c r="CG6" s="7">
        <v>0</v>
      </c>
      <c r="CH6" s="7">
        <v>0</v>
      </c>
      <c r="CI6" s="7">
        <v>0</v>
      </c>
      <c r="CJ6" s="7">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 t="shared" si="13"/>
        <v>3.6152719516232798E-6</v>
      </c>
      <c r="CW6" s="7">
        <f t="shared" si="14"/>
        <v>3.3969958388919805E-6</v>
      </c>
    </row>
    <row r="7" spans="1:101" x14ac:dyDescent="0.2">
      <c r="A7" t="str">
        <f>B7&amp;" - "&amp;D7&amp;" - "&amp;IF(I7&lt;&gt;"",I7&amp;" - "&amp;E7,E7)</f>
        <v>Kick Scooter, battery electric, &lt;1kW - 2020 - LFP - CH</v>
      </c>
      <c r="B7" t="s">
        <v>651</v>
      </c>
      <c r="D7" s="18">
        <v>2020</v>
      </c>
      <c r="E7" t="s">
        <v>37</v>
      </c>
      <c r="F7" t="s">
        <v>136</v>
      </c>
      <c r="G7" t="s">
        <v>39</v>
      </c>
      <c r="H7" t="s">
        <v>32</v>
      </c>
      <c r="I7" t="s">
        <v>43</v>
      </c>
      <c r="J7">
        <v>1785</v>
      </c>
      <c r="K7">
        <v>890</v>
      </c>
      <c r="L7" s="2">
        <f>J7/K7</f>
        <v>2.00561797752809</v>
      </c>
      <c r="M7">
        <v>1</v>
      </c>
      <c r="N7">
        <v>75</v>
      </c>
      <c r="O7">
        <v>0</v>
      </c>
      <c r="P7" s="2">
        <f t="shared" ref="P7:P10" si="15">SUM(U7,V7,W7,AC7,AF7,AH7)</f>
        <v>12</v>
      </c>
      <c r="Q7" s="2">
        <f>P7+(M7*N7)+O7</f>
        <v>87</v>
      </c>
      <c r="R7">
        <v>0.25</v>
      </c>
      <c r="S7" s="2">
        <v>7</v>
      </c>
      <c r="T7" s="1">
        <v>0</v>
      </c>
      <c r="U7" s="2">
        <f>S7*(1-T7)</f>
        <v>7</v>
      </c>
      <c r="V7">
        <v>0</v>
      </c>
      <c r="W7">
        <v>3</v>
      </c>
      <c r="X7" s="6">
        <v>0.25</v>
      </c>
      <c r="Y7" s="1">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v>0</v>
      </c>
      <c r="AE7">
        <v>0</v>
      </c>
      <c r="AF7">
        <v>0</v>
      </c>
      <c r="AG7">
        <v>0</v>
      </c>
      <c r="AH7">
        <v>0</v>
      </c>
      <c r="AI7">
        <v>0.5</v>
      </c>
      <c r="AJ7">
        <v>1</v>
      </c>
      <c r="AK7">
        <v>0</v>
      </c>
      <c r="AL7">
        <f>0.000537/1000*Q7</f>
        <v>4.6718999999999998E-5</v>
      </c>
      <c r="AM7">
        <v>0</v>
      </c>
      <c r="AN7" s="2">
        <f>U7</f>
        <v>7</v>
      </c>
      <c r="AO7" s="2">
        <f>SUM(V7:W7)</f>
        <v>3</v>
      </c>
      <c r="AP7" s="2">
        <f>AC7</f>
        <v>2</v>
      </c>
      <c r="AQ7" s="6" t="s">
        <v>84</v>
      </c>
      <c r="AR7" s="20"/>
      <c r="AS7" s="5">
        <v>8.6126327557294588E-2</v>
      </c>
      <c r="AT7" s="2">
        <f t="shared" si="12"/>
        <v>8.3598130841121492</v>
      </c>
      <c r="AU7" s="5">
        <v>0</v>
      </c>
      <c r="AV7" s="5">
        <v>0</v>
      </c>
      <c r="AW7" s="7">
        <v>0</v>
      </c>
      <c r="AX7" s="7">
        <v>0</v>
      </c>
      <c r="AY7" s="7">
        <v>0</v>
      </c>
      <c r="AZ7" s="7">
        <v>0</v>
      </c>
      <c r="BA7" s="7">
        <v>0</v>
      </c>
      <c r="BB7" s="7">
        <v>0</v>
      </c>
      <c r="BC7" s="7">
        <v>0</v>
      </c>
      <c r="BD7" s="7">
        <v>0</v>
      </c>
      <c r="BE7" s="7">
        <v>0</v>
      </c>
      <c r="BF7" s="7">
        <v>0</v>
      </c>
      <c r="BG7" s="7">
        <v>0</v>
      </c>
      <c r="BH7" s="7">
        <v>0</v>
      </c>
      <c r="BI7" s="7">
        <v>0</v>
      </c>
      <c r="BJ7" s="7">
        <v>0</v>
      </c>
      <c r="BK7" s="7">
        <v>0</v>
      </c>
      <c r="BL7" s="7">
        <v>0</v>
      </c>
      <c r="BM7" s="7">
        <v>0</v>
      </c>
      <c r="BN7" s="7">
        <v>0</v>
      </c>
      <c r="BO7" s="7">
        <v>0</v>
      </c>
      <c r="BP7" s="7">
        <v>0</v>
      </c>
      <c r="BQ7" s="7">
        <v>0</v>
      </c>
      <c r="BR7" s="7">
        <v>0</v>
      </c>
      <c r="BS7" s="7">
        <v>0</v>
      </c>
      <c r="BT7" s="7">
        <v>0</v>
      </c>
      <c r="BU7" s="7">
        <v>0</v>
      </c>
      <c r="BV7" s="7">
        <v>0</v>
      </c>
      <c r="BW7" s="7">
        <v>0</v>
      </c>
      <c r="BX7" s="7">
        <v>0</v>
      </c>
      <c r="BY7" s="7">
        <v>0</v>
      </c>
      <c r="BZ7" s="7">
        <v>0</v>
      </c>
      <c r="CA7" s="7">
        <v>0</v>
      </c>
      <c r="CB7" s="7">
        <v>0</v>
      </c>
      <c r="CC7" s="7">
        <v>0</v>
      </c>
      <c r="CD7" s="7">
        <v>0</v>
      </c>
      <c r="CE7" s="7">
        <v>0</v>
      </c>
      <c r="CF7" s="7">
        <v>0</v>
      </c>
      <c r="CG7" s="7">
        <v>0</v>
      </c>
      <c r="CH7" s="7">
        <v>0</v>
      </c>
      <c r="CI7" s="7">
        <v>0</v>
      </c>
      <c r="CJ7" s="7">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 t="shared" si="13"/>
        <v>3.6839818188838036E-6</v>
      </c>
      <c r="CW7" s="7">
        <f t="shared" si="14"/>
        <v>3.452136406679805E-6</v>
      </c>
    </row>
    <row r="8" spans="1:101" x14ac:dyDescent="0.2">
      <c r="A8" t="str">
        <f t="shared" ref="A8:A10" si="16">B8&amp;" - "&amp;D8&amp;" - "&amp;IF(I8&lt;&gt;"",I8&amp;" - "&amp;E8,E8)</f>
        <v>Kick Scooter, battery electric, &lt;1kW - 2030 - LFP - CH</v>
      </c>
      <c r="B8" t="s">
        <v>651</v>
      </c>
      <c r="D8" s="18">
        <v>2030</v>
      </c>
      <c r="E8" t="s">
        <v>37</v>
      </c>
      <c r="F8" t="s">
        <v>136</v>
      </c>
      <c r="G8" t="s">
        <v>39</v>
      </c>
      <c r="H8" t="s">
        <v>32</v>
      </c>
      <c r="I8" t="s">
        <v>43</v>
      </c>
      <c r="J8">
        <v>1785</v>
      </c>
      <c r="K8">
        <v>890</v>
      </c>
      <c r="L8" s="2">
        <f t="shared" ref="L8:L10" si="17">J8/K8</f>
        <v>2.00561797752809</v>
      </c>
      <c r="M8">
        <v>1</v>
      </c>
      <c r="N8">
        <v>75</v>
      </c>
      <c r="O8">
        <v>0</v>
      </c>
      <c r="P8" s="2">
        <f t="shared" si="15"/>
        <v>11.69</v>
      </c>
      <c r="Q8" s="2">
        <f t="shared" ref="Q8:Q10" si="18">P8+(M8*N8)+O8</f>
        <v>86.69</v>
      </c>
      <c r="R8">
        <v>0.25</v>
      </c>
      <c r="S8" s="2">
        <v>7</v>
      </c>
      <c r="T8" s="1">
        <v>0.03</v>
      </c>
      <c r="U8" s="2">
        <f t="shared" ref="U8:U10" si="19">S8*(1-T8)</f>
        <v>6.79</v>
      </c>
      <c r="V8">
        <v>0</v>
      </c>
      <c r="W8">
        <v>2.9</v>
      </c>
      <c r="X8" s="6">
        <v>0.3</v>
      </c>
      <c r="Y8" s="1">
        <v>0.8</v>
      </c>
      <c r="Z8" s="3">
        <f t="shared" ref="Z8:Z10" si="20">Y8*X8</f>
        <v>0.24</v>
      </c>
      <c r="AA8" s="3">
        <f>IF(I8&lt;&gt;"",X8/INDEX('energy battery'!$B$3:$D$6,MATCH('vehicles specifications'!$D8,'energy battery'!$A$3:$A$6,0),MATCH('vehicles specifications'!$I8,'energy battery'!$B$2:$D$2,0)),"")</f>
        <v>1.6666666666666667</v>
      </c>
      <c r="AB8" s="3">
        <f t="shared" ref="AB8:AB10" si="21">IF(AA8&lt;&gt;"",0.2*AA8,"")</f>
        <v>0.33333333333333337</v>
      </c>
      <c r="AC8" s="3">
        <f t="shared" ref="AC8:AC10" si="22">IF(AA8&lt;&gt;"",AB8+AA8,"")</f>
        <v>2</v>
      </c>
      <c r="AD8">
        <v>0</v>
      </c>
      <c r="AE8">
        <v>0</v>
      </c>
      <c r="AF8">
        <v>0</v>
      </c>
      <c r="AG8">
        <v>0</v>
      </c>
      <c r="AH8">
        <v>0</v>
      </c>
      <c r="AI8">
        <v>0.5</v>
      </c>
      <c r="AJ8">
        <v>1</v>
      </c>
      <c r="AK8">
        <v>0</v>
      </c>
      <c r="AL8">
        <f t="shared" ref="AL8:AL10" si="23">0.000537/1000*Q8</f>
        <v>4.6552530000000001E-5</v>
      </c>
      <c r="AM8">
        <v>0</v>
      </c>
      <c r="AN8" s="2">
        <f t="shared" ref="AN8:AN10" si="24">U8</f>
        <v>6.79</v>
      </c>
      <c r="AO8" s="2">
        <f t="shared" ref="AO8:AO10" si="25">SUM(V8:W8)</f>
        <v>2.9</v>
      </c>
      <c r="AP8" s="2">
        <f t="shared" ref="AP8:AP10" si="26">AC8</f>
        <v>2</v>
      </c>
      <c r="AQ8" s="6" t="s">
        <v>84</v>
      </c>
      <c r="AR8" s="20"/>
      <c r="AS8" s="5">
        <v>8.6126327557294588E-2</v>
      </c>
      <c r="AT8" s="2">
        <f t="shared" si="12"/>
        <v>10.031775700934579</v>
      </c>
      <c r="AU8" s="5">
        <v>0</v>
      </c>
      <c r="AV8" s="5">
        <v>0</v>
      </c>
      <c r="AW8" s="7">
        <v>0</v>
      </c>
      <c r="AX8" s="7">
        <v>0</v>
      </c>
      <c r="AY8" s="7">
        <v>0</v>
      </c>
      <c r="AZ8" s="7">
        <v>0</v>
      </c>
      <c r="BA8" s="7">
        <v>0</v>
      </c>
      <c r="BB8" s="7">
        <v>0</v>
      </c>
      <c r="BC8" s="7">
        <v>0</v>
      </c>
      <c r="BD8" s="7">
        <v>0</v>
      </c>
      <c r="BE8" s="7">
        <v>0</v>
      </c>
      <c r="BF8" s="7">
        <v>0</v>
      </c>
      <c r="BG8" s="7">
        <v>0</v>
      </c>
      <c r="BH8" s="7">
        <v>0</v>
      </c>
      <c r="BI8" s="7">
        <v>0</v>
      </c>
      <c r="BJ8" s="7">
        <v>0</v>
      </c>
      <c r="BK8" s="7">
        <v>0</v>
      </c>
      <c r="BL8" s="7">
        <v>0</v>
      </c>
      <c r="BM8" s="7">
        <v>0</v>
      </c>
      <c r="BN8" s="7">
        <v>0</v>
      </c>
      <c r="BO8" s="7">
        <v>0</v>
      </c>
      <c r="BP8" s="7">
        <v>0</v>
      </c>
      <c r="BQ8" s="7">
        <v>0</v>
      </c>
      <c r="BR8" s="7">
        <v>0</v>
      </c>
      <c r="BS8" s="7">
        <v>0</v>
      </c>
      <c r="BT8" s="7">
        <v>0</v>
      </c>
      <c r="BU8" s="7">
        <v>0</v>
      </c>
      <c r="BV8" s="7">
        <v>0</v>
      </c>
      <c r="BW8" s="7">
        <v>0</v>
      </c>
      <c r="BX8" s="7">
        <v>0</v>
      </c>
      <c r="BY8" s="7">
        <v>0</v>
      </c>
      <c r="BZ8" s="7">
        <v>0</v>
      </c>
      <c r="CA8" s="7">
        <v>0</v>
      </c>
      <c r="CB8" s="7">
        <v>0</v>
      </c>
      <c r="CC8" s="7">
        <v>0</v>
      </c>
      <c r="CD8" s="7">
        <v>0</v>
      </c>
      <c r="CE8" s="7">
        <v>0</v>
      </c>
      <c r="CF8" s="7">
        <v>0</v>
      </c>
      <c r="CG8" s="7">
        <v>0</v>
      </c>
      <c r="CH8" s="7">
        <v>0</v>
      </c>
      <c r="CI8" s="7">
        <v>0</v>
      </c>
      <c r="CJ8" s="7">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 t="shared" si="13"/>
        <v>3.6699907130296717E-6</v>
      </c>
      <c r="CW8" s="7">
        <f t="shared" si="14"/>
        <v>3.4408227960791771E-6</v>
      </c>
    </row>
    <row r="9" spans="1:101" x14ac:dyDescent="0.2">
      <c r="A9" t="str">
        <f t="shared" si="16"/>
        <v>Kick Scooter, battery electric, &lt;1kW - 2040 - LFP - CH</v>
      </c>
      <c r="B9" t="s">
        <v>651</v>
      </c>
      <c r="D9" s="18">
        <v>2040</v>
      </c>
      <c r="E9" t="s">
        <v>37</v>
      </c>
      <c r="F9" t="s">
        <v>136</v>
      </c>
      <c r="G9" t="s">
        <v>39</v>
      </c>
      <c r="H9" t="s">
        <v>32</v>
      </c>
      <c r="I9" t="s">
        <v>43</v>
      </c>
      <c r="J9">
        <v>1785</v>
      </c>
      <c r="K9">
        <v>890</v>
      </c>
      <c r="L9" s="2">
        <f t="shared" si="17"/>
        <v>2.00561797752809</v>
      </c>
      <c r="M9">
        <v>1</v>
      </c>
      <c r="N9">
        <v>75</v>
      </c>
      <c r="O9">
        <v>0</v>
      </c>
      <c r="P9" s="2">
        <f t="shared" si="15"/>
        <v>12.116666666666667</v>
      </c>
      <c r="Q9" s="2">
        <f t="shared" si="18"/>
        <v>87.116666666666674</v>
      </c>
      <c r="R9">
        <v>0.25</v>
      </c>
      <c r="S9" s="2">
        <v>7</v>
      </c>
      <c r="T9" s="1">
        <v>0.05</v>
      </c>
      <c r="U9" s="2">
        <f t="shared" si="19"/>
        <v>6.6499999999999995</v>
      </c>
      <c r="V9">
        <v>0</v>
      </c>
      <c r="W9">
        <v>2.8</v>
      </c>
      <c r="X9" s="6">
        <v>0.4</v>
      </c>
      <c r="Y9" s="1">
        <v>0.8</v>
      </c>
      <c r="Z9" s="3">
        <f t="shared" si="20"/>
        <v>0.32000000000000006</v>
      </c>
      <c r="AA9" s="3">
        <f>IF(I9&lt;&gt;"",X9/INDEX('energy battery'!$B$3:$D$6,MATCH('vehicles specifications'!$D9,'energy battery'!$A$3:$A$6,0),MATCH('vehicles specifications'!$I9,'energy battery'!$B$2:$D$2,0)),"")</f>
        <v>2.2222222222222223</v>
      </c>
      <c r="AB9" s="3">
        <f t="shared" si="21"/>
        <v>0.44444444444444448</v>
      </c>
      <c r="AC9" s="3">
        <f t="shared" si="22"/>
        <v>2.666666666666667</v>
      </c>
      <c r="AD9">
        <v>0</v>
      </c>
      <c r="AE9">
        <v>0</v>
      </c>
      <c r="AF9">
        <v>0</v>
      </c>
      <c r="AG9">
        <v>0</v>
      </c>
      <c r="AH9">
        <v>0</v>
      </c>
      <c r="AI9">
        <v>0.5</v>
      </c>
      <c r="AJ9">
        <v>1</v>
      </c>
      <c r="AK9">
        <v>0</v>
      </c>
      <c r="AL9">
        <f t="shared" si="23"/>
        <v>4.6781650000000003E-5</v>
      </c>
      <c r="AM9">
        <v>0</v>
      </c>
      <c r="AN9" s="2">
        <f t="shared" si="24"/>
        <v>6.6499999999999995</v>
      </c>
      <c r="AO9" s="2">
        <f t="shared" si="25"/>
        <v>2.8</v>
      </c>
      <c r="AP9" s="2">
        <f t="shared" si="26"/>
        <v>2.666666666666667</v>
      </c>
      <c r="AQ9" s="6" t="s">
        <v>84</v>
      </c>
      <c r="AR9" s="20"/>
      <c r="AS9" s="5">
        <v>8.6126327557294588E-2</v>
      </c>
      <c r="AT9" s="2">
        <f t="shared" si="12"/>
        <v>13.375700934579442</v>
      </c>
      <c r="AU9" s="5">
        <v>0</v>
      </c>
      <c r="AV9" s="5">
        <v>0</v>
      </c>
      <c r="AW9" s="7">
        <v>0</v>
      </c>
      <c r="AX9" s="7">
        <v>0</v>
      </c>
      <c r="AY9" s="7">
        <v>0</v>
      </c>
      <c r="AZ9" s="7">
        <v>0</v>
      </c>
      <c r="BA9" s="7">
        <v>0</v>
      </c>
      <c r="BB9" s="7">
        <v>0</v>
      </c>
      <c r="BC9" s="7">
        <v>0</v>
      </c>
      <c r="BD9" s="7">
        <v>0</v>
      </c>
      <c r="BE9" s="7">
        <v>0</v>
      </c>
      <c r="BF9" s="7">
        <v>0</v>
      </c>
      <c r="BG9" s="7">
        <v>0</v>
      </c>
      <c r="BH9" s="7">
        <v>0</v>
      </c>
      <c r="BI9" s="7">
        <v>0</v>
      </c>
      <c r="BJ9" s="7">
        <v>0</v>
      </c>
      <c r="BK9" s="7">
        <v>0</v>
      </c>
      <c r="BL9" s="7">
        <v>0</v>
      </c>
      <c r="BM9" s="7">
        <v>0</v>
      </c>
      <c r="BN9" s="7">
        <v>0</v>
      </c>
      <c r="BO9" s="7">
        <v>0</v>
      </c>
      <c r="BP9" s="7">
        <v>0</v>
      </c>
      <c r="BQ9" s="7">
        <v>0</v>
      </c>
      <c r="BR9" s="7">
        <v>0</v>
      </c>
      <c r="BS9" s="7">
        <v>0</v>
      </c>
      <c r="BT9" s="7">
        <v>0</v>
      </c>
      <c r="BU9" s="7">
        <v>0</v>
      </c>
      <c r="BV9" s="7">
        <v>0</v>
      </c>
      <c r="BW9" s="7">
        <v>0</v>
      </c>
      <c r="BX9" s="7">
        <v>0</v>
      </c>
      <c r="BY9" s="7">
        <v>0</v>
      </c>
      <c r="BZ9" s="7">
        <v>0</v>
      </c>
      <c r="CA9" s="7">
        <v>0</v>
      </c>
      <c r="CB9" s="7">
        <v>0</v>
      </c>
      <c r="CC9" s="7">
        <v>0</v>
      </c>
      <c r="CD9" s="7">
        <v>0</v>
      </c>
      <c r="CE9" s="7">
        <v>0</v>
      </c>
      <c r="CF9" s="7">
        <v>0</v>
      </c>
      <c r="CG9" s="7">
        <v>0</v>
      </c>
      <c r="CH9" s="7">
        <v>0</v>
      </c>
      <c r="CI9" s="7">
        <v>0</v>
      </c>
      <c r="CJ9" s="7">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 t="shared" si="13"/>
        <v>3.68920867559289E-6</v>
      </c>
      <c r="CW9" s="7">
        <f t="shared" si="14"/>
        <v>3.4563739306729263E-6</v>
      </c>
    </row>
    <row r="10" spans="1:101" x14ac:dyDescent="0.2">
      <c r="A10" t="str">
        <f t="shared" si="16"/>
        <v>Kick Scooter, battery electric, &lt;1kW - 2050 - LFP - CH</v>
      </c>
      <c r="B10" t="s">
        <v>651</v>
      </c>
      <c r="D10" s="18">
        <v>2050</v>
      </c>
      <c r="E10" t="s">
        <v>37</v>
      </c>
      <c r="F10" t="s">
        <v>136</v>
      </c>
      <c r="G10" t="s">
        <v>39</v>
      </c>
      <c r="H10" t="s">
        <v>32</v>
      </c>
      <c r="I10" t="s">
        <v>43</v>
      </c>
      <c r="J10">
        <v>1785</v>
      </c>
      <c r="K10">
        <v>890</v>
      </c>
      <c r="L10" s="2">
        <f t="shared" si="17"/>
        <v>2.00561797752809</v>
      </c>
      <c r="M10">
        <v>1</v>
      </c>
      <c r="N10">
        <v>75</v>
      </c>
      <c r="O10">
        <v>0</v>
      </c>
      <c r="P10" s="2">
        <f t="shared" si="15"/>
        <v>12.21</v>
      </c>
      <c r="Q10" s="2">
        <f t="shared" si="18"/>
        <v>87.210000000000008</v>
      </c>
      <c r="R10">
        <v>0.25</v>
      </c>
      <c r="S10" s="2">
        <v>7</v>
      </c>
      <c r="T10" s="1">
        <v>7.0000000000000007E-2</v>
      </c>
      <c r="U10" s="2">
        <f t="shared" si="19"/>
        <v>6.51</v>
      </c>
      <c r="V10">
        <v>0</v>
      </c>
      <c r="W10">
        <v>2.7</v>
      </c>
      <c r="X10" s="6">
        <v>0.5</v>
      </c>
      <c r="Y10" s="1">
        <v>0.8</v>
      </c>
      <c r="Z10" s="3">
        <f t="shared" si="20"/>
        <v>0.4</v>
      </c>
      <c r="AA10" s="3">
        <f>IF(I10&lt;&gt;"",X10/INDEX('energy battery'!$B$3:$D$6,MATCH('vehicles specifications'!$D10,'energy battery'!$A$3:$A$6,0),MATCH('vehicles specifications'!$I10,'energy battery'!$B$2:$D$2,0)),"")</f>
        <v>2.5</v>
      </c>
      <c r="AB10" s="3">
        <f t="shared" si="21"/>
        <v>0.5</v>
      </c>
      <c r="AC10" s="3">
        <f t="shared" si="22"/>
        <v>3</v>
      </c>
      <c r="AD10">
        <v>0</v>
      </c>
      <c r="AE10">
        <v>0</v>
      </c>
      <c r="AF10">
        <v>0</v>
      </c>
      <c r="AG10">
        <v>0</v>
      </c>
      <c r="AH10">
        <v>0</v>
      </c>
      <c r="AI10">
        <v>0.5</v>
      </c>
      <c r="AJ10">
        <v>1</v>
      </c>
      <c r="AK10">
        <v>0</v>
      </c>
      <c r="AL10">
        <f t="shared" si="23"/>
        <v>4.6831770000000006E-5</v>
      </c>
      <c r="AM10">
        <v>0</v>
      </c>
      <c r="AN10" s="2">
        <f t="shared" si="24"/>
        <v>6.51</v>
      </c>
      <c r="AO10" s="2">
        <f t="shared" si="25"/>
        <v>2.7</v>
      </c>
      <c r="AP10" s="2">
        <f t="shared" si="26"/>
        <v>3</v>
      </c>
      <c r="AQ10" s="6" t="s">
        <v>84</v>
      </c>
      <c r="AR10" s="20"/>
      <c r="AS10" s="5">
        <v>8.6126327557294588E-2</v>
      </c>
      <c r="AT10" s="2">
        <f t="shared" si="12"/>
        <v>16.719626168224298</v>
      </c>
      <c r="AU10" s="5">
        <v>0</v>
      </c>
      <c r="AV10" s="5">
        <v>0</v>
      </c>
      <c r="AW10" s="7">
        <v>0</v>
      </c>
      <c r="AX10" s="7">
        <v>0</v>
      </c>
      <c r="AY10" s="7">
        <v>0</v>
      </c>
      <c r="AZ10" s="7">
        <v>0</v>
      </c>
      <c r="BA10" s="7">
        <v>0</v>
      </c>
      <c r="BB10" s="7">
        <v>0</v>
      </c>
      <c r="BC10" s="7">
        <v>0</v>
      </c>
      <c r="BD10" s="7">
        <v>0</v>
      </c>
      <c r="BE10" s="7">
        <v>0</v>
      </c>
      <c r="BF10" s="7">
        <v>0</v>
      </c>
      <c r="BG10" s="7">
        <v>0</v>
      </c>
      <c r="BH10" s="7">
        <v>0</v>
      </c>
      <c r="BI10" s="7">
        <v>0</v>
      </c>
      <c r="BJ10" s="7">
        <v>0</v>
      </c>
      <c r="BK10" s="7">
        <v>0</v>
      </c>
      <c r="BL10" s="7">
        <v>0</v>
      </c>
      <c r="BM10" s="7">
        <v>0</v>
      </c>
      <c r="BN10" s="7">
        <v>0</v>
      </c>
      <c r="BO10" s="7">
        <v>0</v>
      </c>
      <c r="BP10" s="7">
        <v>0</v>
      </c>
      <c r="BQ10" s="7">
        <v>0</v>
      </c>
      <c r="BR10" s="7">
        <v>0</v>
      </c>
      <c r="BS10" s="7">
        <v>0</v>
      </c>
      <c r="BT10" s="7">
        <v>0</v>
      </c>
      <c r="BU10" s="7">
        <v>0</v>
      </c>
      <c r="BV10" s="7">
        <v>0</v>
      </c>
      <c r="BW10" s="7">
        <v>0</v>
      </c>
      <c r="BX10" s="7">
        <v>0</v>
      </c>
      <c r="BY10" s="7">
        <v>0</v>
      </c>
      <c r="BZ10" s="7">
        <v>0</v>
      </c>
      <c r="CA10" s="7">
        <v>0</v>
      </c>
      <c r="CB10" s="7">
        <v>0</v>
      </c>
      <c r="CC10" s="7">
        <v>0</v>
      </c>
      <c r="CD10" s="7">
        <v>0</v>
      </c>
      <c r="CE10" s="7">
        <v>0</v>
      </c>
      <c r="CF10" s="7">
        <v>0</v>
      </c>
      <c r="CG10" s="7">
        <v>0</v>
      </c>
      <c r="CH10" s="7">
        <v>0</v>
      </c>
      <c r="CI10" s="7">
        <v>0</v>
      </c>
      <c r="CJ10" s="7">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 t="shared" si="13"/>
        <v>3.6933752801706036E-6</v>
      </c>
      <c r="CW10" s="7">
        <f t="shared" si="14"/>
        <v>3.4597561127784601E-6</v>
      </c>
    </row>
    <row r="11" spans="1:101" x14ac:dyDescent="0.2">
      <c r="A11" t="str">
        <f>B11&amp;" - "&amp;D11&amp;" - "&amp;IF(I11&lt;&gt;"",I11&amp;" - "&amp;E11,E11)</f>
        <v>Kick Scooter, battery electric, &lt;1kW - 2020 - NCA - CH</v>
      </c>
      <c r="B11" t="s">
        <v>651</v>
      </c>
      <c r="D11" s="18">
        <v>2020</v>
      </c>
      <c r="E11" t="s">
        <v>37</v>
      </c>
      <c r="F11" t="s">
        <v>136</v>
      </c>
      <c r="G11" t="s">
        <v>39</v>
      </c>
      <c r="H11" t="s">
        <v>32</v>
      </c>
      <c r="I11" t="s">
        <v>44</v>
      </c>
      <c r="J11">
        <v>1785</v>
      </c>
      <c r="K11">
        <v>890</v>
      </c>
      <c r="L11" s="2">
        <f>J11/K11</f>
        <v>2.00561797752809</v>
      </c>
      <c r="M11">
        <v>1</v>
      </c>
      <c r="N11">
        <v>75</v>
      </c>
      <c r="O11">
        <v>0</v>
      </c>
      <c r="P11" s="2">
        <f t="shared" ref="P11:P14" si="27">SUM(U11,V11,W11,AC11,AF11,AH11)</f>
        <v>11.413043478260869</v>
      </c>
      <c r="Q11" s="2">
        <f>P11+(M11*N11)+O11</f>
        <v>86.413043478260875</v>
      </c>
      <c r="R11">
        <v>0.25</v>
      </c>
      <c r="S11" s="2">
        <v>7</v>
      </c>
      <c r="T11" s="1">
        <v>0</v>
      </c>
      <c r="U11" s="2">
        <f>S11*(1-T11)</f>
        <v>7</v>
      </c>
      <c r="V11">
        <v>0</v>
      </c>
      <c r="W11">
        <v>3</v>
      </c>
      <c r="X11" s="6">
        <v>0.25</v>
      </c>
      <c r="Y11" s="1">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v>0</v>
      </c>
      <c r="AE11">
        <v>0</v>
      </c>
      <c r="AF11">
        <v>0</v>
      </c>
      <c r="AG11">
        <v>0</v>
      </c>
      <c r="AH11">
        <v>0</v>
      </c>
      <c r="AI11">
        <v>0.5</v>
      </c>
      <c r="AJ11">
        <v>1</v>
      </c>
      <c r="AK11">
        <v>0</v>
      </c>
      <c r="AL11">
        <f>0.000537/1000*Q11</f>
        <v>4.6403804347826093E-5</v>
      </c>
      <c r="AM11">
        <v>0</v>
      </c>
      <c r="AN11" s="2">
        <f>U11</f>
        <v>7</v>
      </c>
      <c r="AO11" s="2">
        <f>SUM(V11:W11)</f>
        <v>3</v>
      </c>
      <c r="AP11" s="2">
        <f>AC11</f>
        <v>1.4130434782608694</v>
      </c>
      <c r="AQ11" s="6" t="s">
        <v>84</v>
      </c>
      <c r="AR11" s="20"/>
      <c r="AS11" s="5">
        <v>8.6126327557294588E-2</v>
      </c>
      <c r="AT11" s="2">
        <f t="shared" si="12"/>
        <v>8.3598130841121492</v>
      </c>
      <c r="AU11" s="5">
        <v>0</v>
      </c>
      <c r="AV11" s="5">
        <v>0</v>
      </c>
      <c r="AW11" s="7">
        <v>0</v>
      </c>
      <c r="AX11" s="7">
        <v>0</v>
      </c>
      <c r="AY11" s="7">
        <v>0</v>
      </c>
      <c r="AZ11" s="7">
        <v>0</v>
      </c>
      <c r="BA11" s="7">
        <v>0</v>
      </c>
      <c r="BB11" s="7">
        <v>0</v>
      </c>
      <c r="BC11" s="7">
        <v>0</v>
      </c>
      <c r="BD11" s="7">
        <v>0</v>
      </c>
      <c r="BE11" s="7">
        <v>0</v>
      </c>
      <c r="BF11" s="7">
        <v>0</v>
      </c>
      <c r="BG11" s="7">
        <v>0</v>
      </c>
      <c r="BH11" s="7">
        <v>0</v>
      </c>
      <c r="BI11" s="7">
        <v>0</v>
      </c>
      <c r="BJ11" s="7">
        <v>0</v>
      </c>
      <c r="BK11" s="7">
        <v>0</v>
      </c>
      <c r="BL11" s="7">
        <v>0</v>
      </c>
      <c r="BM11" s="7">
        <v>0</v>
      </c>
      <c r="BN11" s="7">
        <v>0</v>
      </c>
      <c r="BO11" s="7">
        <v>0</v>
      </c>
      <c r="BP11" s="7">
        <v>0</v>
      </c>
      <c r="BQ11" s="7">
        <v>0</v>
      </c>
      <c r="BR11" s="7">
        <v>0</v>
      </c>
      <c r="BS11" s="7">
        <v>0</v>
      </c>
      <c r="BT11" s="7">
        <v>0</v>
      </c>
      <c r="BU11" s="7">
        <v>0</v>
      </c>
      <c r="BV11" s="7">
        <v>0</v>
      </c>
      <c r="BW11" s="7">
        <v>0</v>
      </c>
      <c r="BX11" s="7">
        <v>0</v>
      </c>
      <c r="BY11" s="7">
        <v>0</v>
      </c>
      <c r="BZ11" s="7">
        <v>0</v>
      </c>
      <c r="CA11" s="7">
        <v>0</v>
      </c>
      <c r="CB11" s="7">
        <v>0</v>
      </c>
      <c r="CC11" s="7">
        <v>0</v>
      </c>
      <c r="CD11" s="7">
        <v>0</v>
      </c>
      <c r="CE11" s="7">
        <v>0</v>
      </c>
      <c r="CF11" s="7">
        <v>0</v>
      </c>
      <c r="CG11" s="7">
        <v>0</v>
      </c>
      <c r="CH11" s="7">
        <v>0</v>
      </c>
      <c r="CI11" s="7">
        <v>0</v>
      </c>
      <c r="CJ11" s="7">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 t="shared" si="13"/>
        <v>3.6573610586125064E-6</v>
      </c>
      <c r="CW11" s="7">
        <f t="shared" si="14"/>
        <v>3.4306471120280207E-6</v>
      </c>
    </row>
    <row r="12" spans="1:101" x14ac:dyDescent="0.2">
      <c r="A12" t="str">
        <f t="shared" ref="A12:A14" si="28">B12&amp;" - "&amp;D12&amp;" - "&amp;IF(I12&lt;&gt;"",I12&amp;" - "&amp;E12,E12)</f>
        <v>Kick Scooter, battery electric, &lt;1kW - 2030 - NCA - CH</v>
      </c>
      <c r="B12" t="s">
        <v>651</v>
      </c>
      <c r="D12" s="18">
        <v>2030</v>
      </c>
      <c r="E12" t="s">
        <v>37</v>
      </c>
      <c r="F12" t="s">
        <v>136</v>
      </c>
      <c r="G12" t="s">
        <v>39</v>
      </c>
      <c r="H12" t="s">
        <v>32</v>
      </c>
      <c r="I12" t="s">
        <v>44</v>
      </c>
      <c r="J12">
        <v>1785</v>
      </c>
      <c r="K12">
        <v>890</v>
      </c>
      <c r="L12" s="2">
        <f t="shared" ref="L12:L14" si="29">J12/K12</f>
        <v>2.00561797752809</v>
      </c>
      <c r="M12">
        <v>1</v>
      </c>
      <c r="N12">
        <v>75</v>
      </c>
      <c r="O12">
        <v>0</v>
      </c>
      <c r="P12" s="2">
        <f t="shared" si="27"/>
        <v>10.99</v>
      </c>
      <c r="Q12" s="2">
        <f t="shared" ref="Q12:Q14" si="30">P12+(M12*N12)+O12</f>
        <v>85.99</v>
      </c>
      <c r="R12">
        <v>0.25</v>
      </c>
      <c r="S12" s="2">
        <v>7</v>
      </c>
      <c r="T12" s="1">
        <v>0.03</v>
      </c>
      <c r="U12" s="2">
        <f t="shared" ref="U12:U14" si="31">S12*(1-T12)</f>
        <v>6.79</v>
      </c>
      <c r="V12">
        <v>0</v>
      </c>
      <c r="W12">
        <v>2.9</v>
      </c>
      <c r="X12" s="6">
        <v>0.3</v>
      </c>
      <c r="Y12" s="1">
        <v>0.8</v>
      </c>
      <c r="Z12" s="3">
        <f t="shared" ref="Z12:Z14" si="32">Y12*X12</f>
        <v>0.24</v>
      </c>
      <c r="AA12" s="3">
        <f>IF(I12&lt;&gt;"",X12/INDEX('energy battery'!$B$3:$D$6,MATCH('vehicles specifications'!$D12,'energy battery'!$A$3:$A$6,0),MATCH('vehicles specifications'!$I12,'energy battery'!$B$2:$D$2,0)),"")</f>
        <v>1</v>
      </c>
      <c r="AB12" s="3">
        <f t="shared" si="6"/>
        <v>0.3</v>
      </c>
      <c r="AC12" s="3">
        <f t="shared" ref="AC12:AC14" si="33">IF(AA12&lt;&gt;"",AB12+AA12,"")</f>
        <v>1.3</v>
      </c>
      <c r="AD12">
        <v>0</v>
      </c>
      <c r="AE12">
        <v>0</v>
      </c>
      <c r="AF12">
        <v>0</v>
      </c>
      <c r="AG12">
        <v>0</v>
      </c>
      <c r="AH12">
        <v>0</v>
      </c>
      <c r="AI12">
        <v>0.5</v>
      </c>
      <c r="AJ12">
        <v>1</v>
      </c>
      <c r="AK12">
        <v>0</v>
      </c>
      <c r="AL12">
        <f t="shared" ref="AL12:AL14" si="34">0.000537/1000*Q12</f>
        <v>4.6176629999999996E-5</v>
      </c>
      <c r="AM12">
        <v>0</v>
      </c>
      <c r="AN12" s="2">
        <f t="shared" ref="AN12:AN14" si="35">U12</f>
        <v>6.79</v>
      </c>
      <c r="AO12" s="2">
        <f t="shared" ref="AO12:AO14" si="36">SUM(V12:W12)</f>
        <v>2.9</v>
      </c>
      <c r="AP12" s="2">
        <f t="shared" ref="AP12:AP14" si="37">AC12</f>
        <v>1.3</v>
      </c>
      <c r="AQ12" s="6" t="s">
        <v>84</v>
      </c>
      <c r="AR12" s="20"/>
      <c r="AS12" s="5">
        <v>8.6126327557294588E-2</v>
      </c>
      <c r="AT12" s="2">
        <f t="shared" si="12"/>
        <v>10.031775700934579</v>
      </c>
      <c r="AU12" s="5">
        <v>0</v>
      </c>
      <c r="AV12" s="5">
        <v>0</v>
      </c>
      <c r="AW12" s="7">
        <v>0</v>
      </c>
      <c r="AX12" s="7">
        <v>0</v>
      </c>
      <c r="AY12" s="7">
        <v>0</v>
      </c>
      <c r="AZ12" s="7">
        <v>0</v>
      </c>
      <c r="BA12" s="7">
        <v>0</v>
      </c>
      <c r="BB12" s="7">
        <v>0</v>
      </c>
      <c r="BC12" s="7">
        <v>0</v>
      </c>
      <c r="BD12" s="7">
        <v>0</v>
      </c>
      <c r="BE12" s="7">
        <v>0</v>
      </c>
      <c r="BF12" s="7">
        <v>0</v>
      </c>
      <c r="BG12" s="7">
        <v>0</v>
      </c>
      <c r="BH12" s="7">
        <v>0</v>
      </c>
      <c r="BI12" s="7">
        <v>0</v>
      </c>
      <c r="BJ12" s="7">
        <v>0</v>
      </c>
      <c r="BK12" s="7">
        <v>0</v>
      </c>
      <c r="BL12" s="7">
        <v>0</v>
      </c>
      <c r="BM12" s="7">
        <v>0</v>
      </c>
      <c r="BN12" s="7">
        <v>0</v>
      </c>
      <c r="BO12" s="7">
        <v>0</v>
      </c>
      <c r="BP12" s="7">
        <v>0</v>
      </c>
      <c r="BQ12" s="7">
        <v>0</v>
      </c>
      <c r="BR12" s="7">
        <v>0</v>
      </c>
      <c r="BS12" s="7">
        <v>0</v>
      </c>
      <c r="BT12" s="7">
        <v>0</v>
      </c>
      <c r="BU12" s="7">
        <v>0</v>
      </c>
      <c r="BV12" s="7">
        <v>0</v>
      </c>
      <c r="BW12" s="7">
        <v>0</v>
      </c>
      <c r="BX12" s="7">
        <v>0</v>
      </c>
      <c r="BY12" s="7">
        <v>0</v>
      </c>
      <c r="BZ12" s="7">
        <v>0</v>
      </c>
      <c r="CA12" s="7">
        <v>0</v>
      </c>
      <c r="CB12" s="7">
        <v>0</v>
      </c>
      <c r="CC12" s="7">
        <v>0</v>
      </c>
      <c r="CD12" s="7">
        <v>0</v>
      </c>
      <c r="CE12" s="7">
        <v>0</v>
      </c>
      <c r="CF12" s="7">
        <v>0</v>
      </c>
      <c r="CG12" s="7">
        <v>0</v>
      </c>
      <c r="CH12" s="7">
        <v>0</v>
      </c>
      <c r="CI12" s="7">
        <v>0</v>
      </c>
      <c r="CJ12" s="7">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 t="shared" si="13"/>
        <v>3.6378224682804953E-6</v>
      </c>
      <c r="CW12" s="7">
        <f t="shared" si="14"/>
        <v>3.4149752509675722E-6</v>
      </c>
    </row>
    <row r="13" spans="1:101" x14ac:dyDescent="0.2">
      <c r="A13" t="str">
        <f t="shared" si="28"/>
        <v>Kick Scooter, battery electric, &lt;1kW - 2040 - NCA - CH</v>
      </c>
      <c r="B13" t="s">
        <v>651</v>
      </c>
      <c r="D13" s="18">
        <v>2040</v>
      </c>
      <c r="E13" t="s">
        <v>37</v>
      </c>
      <c r="F13" t="s">
        <v>136</v>
      </c>
      <c r="G13" t="s">
        <v>39</v>
      </c>
      <c r="H13" t="s">
        <v>32</v>
      </c>
      <c r="I13" t="s">
        <v>44</v>
      </c>
      <c r="J13">
        <v>1785</v>
      </c>
      <c r="K13">
        <v>890</v>
      </c>
      <c r="L13" s="2">
        <f t="shared" si="29"/>
        <v>2.00561797752809</v>
      </c>
      <c r="M13">
        <v>1</v>
      </c>
      <c r="N13">
        <v>75</v>
      </c>
      <c r="O13">
        <v>0</v>
      </c>
      <c r="P13" s="2">
        <f t="shared" si="27"/>
        <v>10.75</v>
      </c>
      <c r="Q13" s="2">
        <f t="shared" si="30"/>
        <v>85.75</v>
      </c>
      <c r="R13">
        <v>0.25</v>
      </c>
      <c r="S13" s="2">
        <v>7</v>
      </c>
      <c r="T13" s="1">
        <v>0.05</v>
      </c>
      <c r="U13" s="2">
        <f t="shared" si="31"/>
        <v>6.6499999999999995</v>
      </c>
      <c r="V13">
        <v>0</v>
      </c>
      <c r="W13">
        <v>2.8</v>
      </c>
      <c r="X13" s="6">
        <v>0.4</v>
      </c>
      <c r="Y13" s="1">
        <v>0.8</v>
      </c>
      <c r="Z13" s="3">
        <f t="shared" si="32"/>
        <v>0.32000000000000006</v>
      </c>
      <c r="AA13" s="3">
        <f>IF(I13&lt;&gt;"",X13/INDEX('energy battery'!$B$3:$D$6,MATCH('vehicles specifications'!$D13,'energy battery'!$A$3:$A$6,0),MATCH('vehicles specifications'!$I13,'energy battery'!$B$2:$D$2,0)),"")</f>
        <v>1</v>
      </c>
      <c r="AB13" s="3">
        <f t="shared" si="6"/>
        <v>0.3</v>
      </c>
      <c r="AC13" s="3">
        <f t="shared" si="33"/>
        <v>1.3</v>
      </c>
      <c r="AD13">
        <v>0</v>
      </c>
      <c r="AE13">
        <v>0</v>
      </c>
      <c r="AF13">
        <v>0</v>
      </c>
      <c r="AG13">
        <v>0</v>
      </c>
      <c r="AH13">
        <v>0</v>
      </c>
      <c r="AI13">
        <v>0.5</v>
      </c>
      <c r="AJ13">
        <v>1</v>
      </c>
      <c r="AK13">
        <v>0</v>
      </c>
      <c r="AL13">
        <f t="shared" si="34"/>
        <v>4.604775E-5</v>
      </c>
      <c r="AM13">
        <v>0</v>
      </c>
      <c r="AN13" s="2">
        <f t="shared" si="35"/>
        <v>6.6499999999999995</v>
      </c>
      <c r="AO13" s="2">
        <f t="shared" si="36"/>
        <v>2.8</v>
      </c>
      <c r="AP13" s="2">
        <f t="shared" si="37"/>
        <v>1.3</v>
      </c>
      <c r="AQ13" s="6" t="s">
        <v>84</v>
      </c>
      <c r="AR13" s="20"/>
      <c r="AS13" s="5">
        <v>8.6126327557294588E-2</v>
      </c>
      <c r="AT13" s="2">
        <f t="shared" si="12"/>
        <v>13.375700934579442</v>
      </c>
      <c r="AU13" s="5">
        <v>0</v>
      </c>
      <c r="AV13" s="5">
        <v>0</v>
      </c>
      <c r="AW13" s="7">
        <v>0</v>
      </c>
      <c r="AX13" s="7">
        <v>0</v>
      </c>
      <c r="AY13" s="7">
        <v>0</v>
      </c>
      <c r="AZ13" s="7">
        <v>0</v>
      </c>
      <c r="BA13" s="7">
        <v>0</v>
      </c>
      <c r="BB13" s="7">
        <v>0</v>
      </c>
      <c r="BC13" s="7">
        <v>0</v>
      </c>
      <c r="BD13" s="7">
        <v>0</v>
      </c>
      <c r="BE13" s="7">
        <v>0</v>
      </c>
      <c r="BF13" s="7">
        <v>0</v>
      </c>
      <c r="BG13" s="7">
        <v>0</v>
      </c>
      <c r="BH13" s="7">
        <v>0</v>
      </c>
      <c r="BI13" s="7">
        <v>0</v>
      </c>
      <c r="BJ13" s="7">
        <v>0</v>
      </c>
      <c r="BK13" s="7">
        <v>0</v>
      </c>
      <c r="BL13" s="7">
        <v>0</v>
      </c>
      <c r="BM13" s="7">
        <v>0</v>
      </c>
      <c r="BN13" s="7">
        <v>0</v>
      </c>
      <c r="BO13" s="7">
        <v>0</v>
      </c>
      <c r="BP13" s="7">
        <v>0</v>
      </c>
      <c r="BQ13" s="7">
        <v>0</v>
      </c>
      <c r="BR13" s="7">
        <v>0</v>
      </c>
      <c r="BS13" s="7">
        <v>0</v>
      </c>
      <c r="BT13" s="7">
        <v>0</v>
      </c>
      <c r="BU13" s="7">
        <v>0</v>
      </c>
      <c r="BV13" s="7">
        <v>0</v>
      </c>
      <c r="BW13" s="7">
        <v>0</v>
      </c>
      <c r="BX13" s="7">
        <v>0</v>
      </c>
      <c r="BY13" s="7">
        <v>0</v>
      </c>
      <c r="BZ13" s="7">
        <v>0</v>
      </c>
      <c r="CA13" s="7">
        <v>0</v>
      </c>
      <c r="CB13" s="7">
        <v>0</v>
      </c>
      <c r="CC13" s="7">
        <v>0</v>
      </c>
      <c r="CD13" s="7">
        <v>0</v>
      </c>
      <c r="CE13" s="7">
        <v>0</v>
      </c>
      <c r="CF13" s="7">
        <v>0</v>
      </c>
      <c r="CG13" s="7">
        <v>0</v>
      </c>
      <c r="CH13" s="7">
        <v>0</v>
      </c>
      <c r="CI13" s="7">
        <v>0</v>
      </c>
      <c r="CJ13" s="7">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 t="shared" si="13"/>
        <v>3.6265994283366797E-6</v>
      </c>
      <c r="CW13" s="7">
        <f t="shared" si="14"/>
        <v>3.4060125107571902E-6</v>
      </c>
    </row>
    <row r="14" spans="1:101" x14ac:dyDescent="0.2">
      <c r="A14" t="str">
        <f t="shared" si="28"/>
        <v>Kick Scooter, battery electric, &lt;1kW - 2050 - NCA - CH</v>
      </c>
      <c r="B14" t="s">
        <v>651</v>
      </c>
      <c r="D14" s="18">
        <v>2050</v>
      </c>
      <c r="E14" t="s">
        <v>37</v>
      </c>
      <c r="F14" t="s">
        <v>136</v>
      </c>
      <c r="G14" t="s">
        <v>39</v>
      </c>
      <c r="H14" t="s">
        <v>32</v>
      </c>
      <c r="I14" t="s">
        <v>44</v>
      </c>
      <c r="J14">
        <v>1785</v>
      </c>
      <c r="K14">
        <v>890</v>
      </c>
      <c r="L14" s="2">
        <f t="shared" si="29"/>
        <v>2.00561797752809</v>
      </c>
      <c r="M14">
        <v>1</v>
      </c>
      <c r="N14">
        <v>75</v>
      </c>
      <c r="O14">
        <v>0</v>
      </c>
      <c r="P14" s="2">
        <f t="shared" si="27"/>
        <v>10.510000000000002</v>
      </c>
      <c r="Q14" s="2">
        <f t="shared" si="30"/>
        <v>85.51</v>
      </c>
      <c r="R14">
        <v>0.25</v>
      </c>
      <c r="S14" s="2">
        <v>7</v>
      </c>
      <c r="T14" s="1">
        <v>7.0000000000000007E-2</v>
      </c>
      <c r="U14" s="2">
        <f t="shared" si="31"/>
        <v>6.51</v>
      </c>
      <c r="V14">
        <v>0</v>
      </c>
      <c r="W14">
        <v>2.7</v>
      </c>
      <c r="X14" s="6">
        <v>0.5</v>
      </c>
      <c r="Y14" s="1">
        <v>0.8</v>
      </c>
      <c r="Z14" s="3">
        <f t="shared" si="32"/>
        <v>0.4</v>
      </c>
      <c r="AA14" s="3">
        <f>IF(I14&lt;&gt;"",X14/INDEX('energy battery'!$B$3:$D$6,MATCH('vehicles specifications'!$D14,'energy battery'!$A$3:$A$6,0),MATCH('vehicles specifications'!$I14,'energy battery'!$B$2:$D$2,0)),"")</f>
        <v>1</v>
      </c>
      <c r="AB14" s="3">
        <f t="shared" si="6"/>
        <v>0.3</v>
      </c>
      <c r="AC14" s="3">
        <f t="shared" si="33"/>
        <v>1.3</v>
      </c>
      <c r="AD14">
        <v>0</v>
      </c>
      <c r="AE14">
        <v>0</v>
      </c>
      <c r="AF14">
        <v>0</v>
      </c>
      <c r="AG14">
        <v>0</v>
      </c>
      <c r="AH14">
        <v>0</v>
      </c>
      <c r="AI14">
        <v>0.5</v>
      </c>
      <c r="AJ14">
        <v>1</v>
      </c>
      <c r="AK14">
        <v>0</v>
      </c>
      <c r="AL14">
        <f t="shared" si="34"/>
        <v>4.5918870000000003E-5</v>
      </c>
      <c r="AM14">
        <v>0</v>
      </c>
      <c r="AN14" s="2">
        <f t="shared" si="35"/>
        <v>6.51</v>
      </c>
      <c r="AO14" s="2">
        <f t="shared" si="36"/>
        <v>2.7</v>
      </c>
      <c r="AP14" s="2">
        <f t="shared" si="37"/>
        <v>1.3</v>
      </c>
      <c r="AQ14" s="6" t="s">
        <v>84</v>
      </c>
      <c r="AR14" s="20"/>
      <c r="AS14" s="5">
        <v>8.6126327557294588E-2</v>
      </c>
      <c r="AT14" s="2">
        <f t="shared" si="12"/>
        <v>16.719626168224298</v>
      </c>
      <c r="AU14" s="5">
        <v>0</v>
      </c>
      <c r="AV14" s="5">
        <v>0</v>
      </c>
      <c r="AW14" s="7">
        <v>0</v>
      </c>
      <c r="AX14" s="7">
        <v>0</v>
      </c>
      <c r="AY14" s="7">
        <v>0</v>
      </c>
      <c r="AZ14" s="7">
        <v>0</v>
      </c>
      <c r="BA14" s="7">
        <v>0</v>
      </c>
      <c r="BB14" s="7">
        <v>0</v>
      </c>
      <c r="BC14" s="7">
        <v>0</v>
      </c>
      <c r="BD14" s="7">
        <v>0</v>
      </c>
      <c r="BE14" s="7">
        <v>0</v>
      </c>
      <c r="BF14" s="7">
        <v>0</v>
      </c>
      <c r="BG14" s="7">
        <v>0</v>
      </c>
      <c r="BH14" s="7">
        <v>0</v>
      </c>
      <c r="BI14" s="7">
        <v>0</v>
      </c>
      <c r="BJ14" s="7">
        <v>0</v>
      </c>
      <c r="BK14" s="7">
        <v>0</v>
      </c>
      <c r="BL14" s="7">
        <v>0</v>
      </c>
      <c r="BM14" s="7">
        <v>0</v>
      </c>
      <c r="BN14" s="7">
        <v>0</v>
      </c>
      <c r="BO14" s="7">
        <v>0</v>
      </c>
      <c r="BP14" s="7">
        <v>0</v>
      </c>
      <c r="BQ14" s="7">
        <v>0</v>
      </c>
      <c r="BR14" s="7">
        <v>0</v>
      </c>
      <c r="BS14" s="7">
        <v>0</v>
      </c>
      <c r="BT14" s="7">
        <v>0</v>
      </c>
      <c r="BU14" s="7">
        <v>0</v>
      </c>
      <c r="BV14" s="7">
        <v>0</v>
      </c>
      <c r="BW14" s="7">
        <v>0</v>
      </c>
      <c r="BX14" s="7">
        <v>0</v>
      </c>
      <c r="BY14" s="7">
        <v>0</v>
      </c>
      <c r="BZ14" s="7">
        <v>0</v>
      </c>
      <c r="CA14" s="7">
        <v>0</v>
      </c>
      <c r="CB14" s="7">
        <v>0</v>
      </c>
      <c r="CC14" s="7">
        <v>0</v>
      </c>
      <c r="CD14" s="7">
        <v>0</v>
      </c>
      <c r="CE14" s="7">
        <v>0</v>
      </c>
      <c r="CF14" s="7">
        <v>0</v>
      </c>
      <c r="CG14" s="7">
        <v>0</v>
      </c>
      <c r="CH14" s="7">
        <v>0</v>
      </c>
      <c r="CI14" s="7">
        <v>0</v>
      </c>
      <c r="CJ14" s="7">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 t="shared" si="13"/>
        <v>3.6152719516232798E-6</v>
      </c>
      <c r="CW14" s="7">
        <f t="shared" si="14"/>
        <v>3.3969958388919805E-6</v>
      </c>
    </row>
    <row r="15" spans="1:101" x14ac:dyDescent="0.2">
      <c r="A15" t="str">
        <f t="shared" si="1"/>
        <v>Bicycle, conventional, urban - 2020 - CH</v>
      </c>
      <c r="B15" t="s">
        <v>33</v>
      </c>
      <c r="D15" s="18">
        <v>2020</v>
      </c>
      <c r="E15" t="s">
        <v>37</v>
      </c>
      <c r="F15" t="s">
        <v>136</v>
      </c>
      <c r="G15" t="s">
        <v>39</v>
      </c>
      <c r="J15">
        <v>15000</v>
      </c>
      <c r="K15">
        <v>1000</v>
      </c>
      <c r="L15" s="2">
        <f t="shared" si="2"/>
        <v>15</v>
      </c>
      <c r="M15">
        <v>1</v>
      </c>
      <c r="N15">
        <v>75</v>
      </c>
      <c r="O15">
        <v>1</v>
      </c>
      <c r="P15" s="2">
        <f t="shared" si="0"/>
        <v>12</v>
      </c>
      <c r="Q15" s="2">
        <f t="shared" si="3"/>
        <v>88</v>
      </c>
      <c r="R15">
        <v>0</v>
      </c>
      <c r="S15" s="2">
        <v>12</v>
      </c>
      <c r="T15" s="1">
        <v>0</v>
      </c>
      <c r="U15" s="2">
        <f t="shared" si="4"/>
        <v>12</v>
      </c>
      <c r="V15">
        <v>0</v>
      </c>
      <c r="W15">
        <v>0</v>
      </c>
      <c r="X15" s="3">
        <v>0</v>
      </c>
      <c r="Y15" s="1">
        <v>0.8</v>
      </c>
      <c r="Z15" s="3">
        <f t="shared" si="5"/>
        <v>0</v>
      </c>
      <c r="AA15" s="3" t="str">
        <f>IF(I15&lt;&gt;"",X15/INDEX('energy battery'!$B$3:$D$6,MATCH('vehicles specifications'!$D15,'energy battery'!$A$3:$A$6,0),MATCH('vehicles specifications'!$I15,'energy battery'!$B$2:$D$2,0)),"")</f>
        <v/>
      </c>
      <c r="AB15" s="3" t="str">
        <f t="shared" si="6"/>
        <v/>
      </c>
      <c r="AC15" s="3" t="str">
        <f t="shared" si="7"/>
        <v/>
      </c>
      <c r="AD15">
        <v>0</v>
      </c>
      <c r="AE15">
        <v>0</v>
      </c>
      <c r="AF15">
        <v>0</v>
      </c>
      <c r="AG15">
        <v>0</v>
      </c>
      <c r="AH15">
        <v>0</v>
      </c>
      <c r="AI15">
        <v>0</v>
      </c>
      <c r="AJ15">
        <v>0</v>
      </c>
      <c r="AK15" s="6">
        <v>1</v>
      </c>
      <c r="AL15">
        <f t="shared" si="8"/>
        <v>4.7256000000000003E-5</v>
      </c>
      <c r="AM15">
        <v>0</v>
      </c>
      <c r="AN15" s="2">
        <f t="shared" si="9"/>
        <v>12</v>
      </c>
      <c r="AO15" s="2">
        <f t="shared" si="10"/>
        <v>0</v>
      </c>
      <c r="AP15" s="2" t="str">
        <f t="shared" si="11"/>
        <v/>
      </c>
      <c r="AQ15" s="6" t="s">
        <v>84</v>
      </c>
      <c r="AR15" s="20"/>
      <c r="AS15" s="6" t="str">
        <f>IF($H15="BEV",SUMPRODUCT(#REF!,#REF!),"")</f>
        <v/>
      </c>
      <c r="AT15" s="2">
        <v>0</v>
      </c>
      <c r="AU15" s="5">
        <v>0</v>
      </c>
      <c r="AV15" s="5">
        <v>0</v>
      </c>
      <c r="AW15" s="7">
        <v>0</v>
      </c>
      <c r="AX15" s="7">
        <v>0</v>
      </c>
      <c r="AY15" s="7">
        <v>0</v>
      </c>
      <c r="AZ15" s="7">
        <v>0</v>
      </c>
      <c r="BA15" s="7">
        <v>0</v>
      </c>
      <c r="BB15" s="7">
        <v>0</v>
      </c>
      <c r="BC15" s="7">
        <v>0</v>
      </c>
      <c r="BD15" s="7">
        <v>0</v>
      </c>
      <c r="BE15" s="7">
        <v>0</v>
      </c>
      <c r="BF15" s="7">
        <v>0</v>
      </c>
      <c r="BG15" s="7">
        <v>0</v>
      </c>
      <c r="BH15" s="7">
        <v>0</v>
      </c>
      <c r="BI15" s="7">
        <v>0</v>
      </c>
      <c r="BJ15" s="7">
        <v>0</v>
      </c>
      <c r="BK15" s="7">
        <v>0</v>
      </c>
      <c r="BL15" s="7">
        <v>0</v>
      </c>
      <c r="BM15" s="7">
        <v>0</v>
      </c>
      <c r="BN15" s="7">
        <v>0</v>
      </c>
      <c r="BO15" s="7">
        <v>0</v>
      </c>
      <c r="BP15" s="7">
        <v>0</v>
      </c>
      <c r="BQ15" s="7">
        <v>0</v>
      </c>
      <c r="BR15" s="7">
        <v>0</v>
      </c>
      <c r="BS15" s="7">
        <v>0</v>
      </c>
      <c r="BT15" s="7">
        <v>0</v>
      </c>
      <c r="BU15" s="7">
        <v>0</v>
      </c>
      <c r="BV15" s="7">
        <v>0</v>
      </c>
      <c r="BW15" s="7">
        <v>0</v>
      </c>
      <c r="BX15" s="7">
        <v>0</v>
      </c>
      <c r="BY15" s="7">
        <v>0</v>
      </c>
      <c r="BZ15" s="7">
        <v>0</v>
      </c>
      <c r="CA15" s="7">
        <v>0</v>
      </c>
      <c r="CB15" s="7">
        <v>0</v>
      </c>
      <c r="CC15" s="7">
        <v>0</v>
      </c>
      <c r="CD15" s="7">
        <v>0</v>
      </c>
      <c r="CE15" s="7">
        <v>0</v>
      </c>
      <c r="CF15" s="7">
        <v>0</v>
      </c>
      <c r="CG15" s="7">
        <v>0</v>
      </c>
      <c r="CH15" s="7">
        <v>0</v>
      </c>
      <c r="CI15" s="7">
        <v>0</v>
      </c>
      <c r="CJ15" s="7">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 t="shared" si="13"/>
        <v>3.6981099122289053E-6</v>
      </c>
      <c r="CW15" s="7">
        <f t="shared" si="14"/>
        <v>3.470493115296593E-6</v>
      </c>
    </row>
    <row r="16" spans="1:101" x14ac:dyDescent="0.2">
      <c r="A16" t="str">
        <f t="shared" si="1"/>
        <v>Bicycle, conventional, urban - 2030 - CH</v>
      </c>
      <c r="B16" t="s">
        <v>33</v>
      </c>
      <c r="D16" s="18">
        <v>2030</v>
      </c>
      <c r="E16" t="s">
        <v>37</v>
      </c>
      <c r="F16" t="s">
        <v>136</v>
      </c>
      <c r="G16" t="s">
        <v>39</v>
      </c>
      <c r="J16">
        <v>15000</v>
      </c>
      <c r="K16">
        <v>1000</v>
      </c>
      <c r="L16" s="2">
        <f t="shared" si="2"/>
        <v>15</v>
      </c>
      <c r="M16">
        <v>1</v>
      </c>
      <c r="N16">
        <v>75</v>
      </c>
      <c r="O16">
        <v>1</v>
      </c>
      <c r="P16" s="2">
        <f t="shared" si="0"/>
        <v>11.64</v>
      </c>
      <c r="Q16" s="2">
        <f t="shared" si="3"/>
        <v>87.64</v>
      </c>
      <c r="R16">
        <v>0</v>
      </c>
      <c r="S16" s="2">
        <v>12</v>
      </c>
      <c r="T16" s="1">
        <v>0.03</v>
      </c>
      <c r="U16" s="2">
        <f t="shared" si="4"/>
        <v>11.64</v>
      </c>
      <c r="V16">
        <v>0</v>
      </c>
      <c r="W16">
        <v>0</v>
      </c>
      <c r="X16" s="3">
        <v>0</v>
      </c>
      <c r="Y16" s="1">
        <v>0.8</v>
      </c>
      <c r="Z16" s="3">
        <f t="shared" si="5"/>
        <v>0</v>
      </c>
      <c r="AA16" s="3" t="str">
        <f>IF(I16&lt;&gt;"",X16/INDEX('energy battery'!$B$3:$D$6,MATCH('vehicles specifications'!$D16,'energy battery'!$A$3:$A$6,0),MATCH('vehicles specifications'!$I16,'energy battery'!$B$2:$D$2,0)),"")</f>
        <v/>
      </c>
      <c r="AB16" s="3" t="str">
        <f t="shared" si="6"/>
        <v/>
      </c>
      <c r="AC16" s="3" t="str">
        <f t="shared" si="7"/>
        <v/>
      </c>
      <c r="AD16">
        <v>0</v>
      </c>
      <c r="AE16">
        <v>0</v>
      </c>
      <c r="AF16">
        <v>0</v>
      </c>
      <c r="AG16">
        <v>0</v>
      </c>
      <c r="AH16">
        <v>0</v>
      </c>
      <c r="AI16">
        <v>0</v>
      </c>
      <c r="AJ16">
        <v>0</v>
      </c>
      <c r="AK16" s="6">
        <v>1</v>
      </c>
      <c r="AL16">
        <f t="shared" si="8"/>
        <v>4.7062679999999998E-5</v>
      </c>
      <c r="AM16">
        <v>0</v>
      </c>
      <c r="AN16" s="2">
        <f t="shared" si="9"/>
        <v>11.64</v>
      </c>
      <c r="AO16" s="2">
        <f t="shared" si="10"/>
        <v>0</v>
      </c>
      <c r="AP16" s="2" t="str">
        <f t="shared" si="11"/>
        <v/>
      </c>
      <c r="AQ16" s="6" t="s">
        <v>84</v>
      </c>
      <c r="AR16" s="20"/>
      <c r="AS16" s="6" t="str">
        <f>IF($H16="BEV",SUMPRODUCT(#REF!,#REF!),"")</f>
        <v/>
      </c>
      <c r="AT16" s="2">
        <v>0</v>
      </c>
      <c r="AU16" s="5">
        <v>0</v>
      </c>
      <c r="AV16" s="5">
        <v>0</v>
      </c>
      <c r="AW16" s="7">
        <v>0</v>
      </c>
      <c r="AX16" s="7">
        <v>0</v>
      </c>
      <c r="AY16" s="7">
        <v>0</v>
      </c>
      <c r="AZ16" s="7">
        <v>0</v>
      </c>
      <c r="BA16" s="7">
        <v>0</v>
      </c>
      <c r="BB16" s="7">
        <v>0</v>
      </c>
      <c r="BC16" s="7">
        <v>0</v>
      </c>
      <c r="BD16" s="7">
        <v>0</v>
      </c>
      <c r="BE16" s="7">
        <v>0</v>
      </c>
      <c r="BF16" s="7">
        <v>0</v>
      </c>
      <c r="BG16" s="7">
        <v>0</v>
      </c>
      <c r="BH16" s="7">
        <v>0</v>
      </c>
      <c r="BI16" s="7">
        <v>0</v>
      </c>
      <c r="BJ16" s="7">
        <v>0</v>
      </c>
      <c r="BK16" s="7">
        <v>0</v>
      </c>
      <c r="BL16" s="7">
        <v>0</v>
      </c>
      <c r="BM16" s="7">
        <v>0</v>
      </c>
      <c r="BN16" s="7">
        <v>0</v>
      </c>
      <c r="BO16" s="7">
        <v>0</v>
      </c>
      <c r="BP16" s="7">
        <v>0</v>
      </c>
      <c r="BQ16" s="7">
        <v>0</v>
      </c>
      <c r="BR16" s="7">
        <v>0</v>
      </c>
      <c r="BS16" s="7">
        <v>0</v>
      </c>
      <c r="BT16" s="7">
        <v>0</v>
      </c>
      <c r="BU16" s="7">
        <v>0</v>
      </c>
      <c r="BV16" s="7">
        <v>0</v>
      </c>
      <c r="BW16" s="7">
        <v>0</v>
      </c>
      <c r="BX16" s="7">
        <v>0</v>
      </c>
      <c r="BY16" s="7">
        <v>0</v>
      </c>
      <c r="BZ16" s="7">
        <v>0</v>
      </c>
      <c r="CA16" s="7">
        <v>0</v>
      </c>
      <c r="CB16" s="7">
        <v>0</v>
      </c>
      <c r="CC16" s="7">
        <v>0</v>
      </c>
      <c r="CD16" s="7">
        <v>0</v>
      </c>
      <c r="CE16" s="7">
        <v>0</v>
      </c>
      <c r="CF16" s="7">
        <v>0</v>
      </c>
      <c r="CG16" s="7">
        <v>0</v>
      </c>
      <c r="CH16" s="7">
        <v>0</v>
      </c>
      <c r="CI16" s="7">
        <v>0</v>
      </c>
      <c r="CJ16" s="7">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 t="shared" si="13"/>
        <v>3.6818808942371148E-6</v>
      </c>
      <c r="CW16" s="7">
        <f t="shared" si="14"/>
        <v>3.4573831467413908E-6</v>
      </c>
    </row>
    <row r="17" spans="1:101" x14ac:dyDescent="0.2">
      <c r="A17" t="str">
        <f t="shared" si="1"/>
        <v>Bicycle, conventional, urban - 2040 - CH</v>
      </c>
      <c r="B17" t="s">
        <v>33</v>
      </c>
      <c r="D17" s="18">
        <v>2040</v>
      </c>
      <c r="E17" t="s">
        <v>37</v>
      </c>
      <c r="F17" t="s">
        <v>136</v>
      </c>
      <c r="G17" t="s">
        <v>39</v>
      </c>
      <c r="J17">
        <v>15000</v>
      </c>
      <c r="K17">
        <v>1000</v>
      </c>
      <c r="L17" s="2">
        <f t="shared" si="2"/>
        <v>15</v>
      </c>
      <c r="M17">
        <v>1</v>
      </c>
      <c r="N17">
        <v>75</v>
      </c>
      <c r="O17">
        <v>1</v>
      </c>
      <c r="P17" s="2">
        <f t="shared" si="0"/>
        <v>11.399999999999999</v>
      </c>
      <c r="Q17" s="2">
        <f t="shared" si="3"/>
        <v>87.4</v>
      </c>
      <c r="R17">
        <v>0</v>
      </c>
      <c r="S17" s="2">
        <v>12</v>
      </c>
      <c r="T17" s="1">
        <v>0.05</v>
      </c>
      <c r="U17" s="2">
        <f t="shared" si="4"/>
        <v>11.399999999999999</v>
      </c>
      <c r="V17">
        <v>0</v>
      </c>
      <c r="W17">
        <v>0</v>
      </c>
      <c r="X17" s="3">
        <v>0</v>
      </c>
      <c r="Y17" s="1">
        <v>0.8</v>
      </c>
      <c r="Z17" s="3">
        <f t="shared" si="5"/>
        <v>0</v>
      </c>
      <c r="AA17" s="3" t="str">
        <f>IF(I17&lt;&gt;"",X17/INDEX('energy battery'!$B$3:$D$6,MATCH('vehicles specifications'!$D17,'energy battery'!$A$3:$A$6,0),MATCH('vehicles specifications'!$I17,'energy battery'!$B$2:$D$2,0)),"")</f>
        <v/>
      </c>
      <c r="AB17" s="3" t="str">
        <f t="shared" si="6"/>
        <v/>
      </c>
      <c r="AC17" s="3" t="str">
        <f t="shared" si="7"/>
        <v/>
      </c>
      <c r="AD17">
        <v>0</v>
      </c>
      <c r="AE17">
        <v>0</v>
      </c>
      <c r="AF17">
        <v>0</v>
      </c>
      <c r="AG17">
        <v>0</v>
      </c>
      <c r="AH17">
        <v>0</v>
      </c>
      <c r="AI17">
        <v>0</v>
      </c>
      <c r="AJ17">
        <v>0</v>
      </c>
      <c r="AK17" s="6">
        <v>1</v>
      </c>
      <c r="AL17">
        <f t="shared" si="8"/>
        <v>4.6933800000000001E-5</v>
      </c>
      <c r="AM17">
        <v>0</v>
      </c>
      <c r="AN17" s="2">
        <f t="shared" si="9"/>
        <v>11.399999999999999</v>
      </c>
      <c r="AO17" s="2">
        <f t="shared" si="10"/>
        <v>0</v>
      </c>
      <c r="AP17" s="2" t="str">
        <f t="shared" si="11"/>
        <v/>
      </c>
      <c r="AQ17" s="6" t="s">
        <v>84</v>
      </c>
      <c r="AR17" s="20"/>
      <c r="AS17" s="6" t="str">
        <f>IF($H17="BEV",SUMPRODUCT(#REF!,#REF!),"")</f>
        <v/>
      </c>
      <c r="AT17" s="2">
        <v>0</v>
      </c>
      <c r="AU17" s="5">
        <v>0</v>
      </c>
      <c r="AV17" s="5">
        <v>0</v>
      </c>
      <c r="AW17" s="7">
        <v>0</v>
      </c>
      <c r="AX17" s="7">
        <v>0</v>
      </c>
      <c r="AY17" s="7">
        <v>0</v>
      </c>
      <c r="AZ17" s="7">
        <v>0</v>
      </c>
      <c r="BA17" s="7">
        <v>0</v>
      </c>
      <c r="BB17" s="7">
        <v>0</v>
      </c>
      <c r="BC17" s="7">
        <v>0</v>
      </c>
      <c r="BD17" s="7">
        <v>0</v>
      </c>
      <c r="BE17" s="7">
        <v>0</v>
      </c>
      <c r="BF17" s="7">
        <v>0</v>
      </c>
      <c r="BG17" s="7">
        <v>0</v>
      </c>
      <c r="BH17" s="7">
        <v>0</v>
      </c>
      <c r="BI17" s="7">
        <v>0</v>
      </c>
      <c r="BJ17" s="7">
        <v>0</v>
      </c>
      <c r="BK17" s="7">
        <v>0</v>
      </c>
      <c r="BL17" s="7">
        <v>0</v>
      </c>
      <c r="BM17" s="7">
        <v>0</v>
      </c>
      <c r="BN17" s="7">
        <v>0</v>
      </c>
      <c r="BO17" s="7">
        <v>0</v>
      </c>
      <c r="BP17" s="7">
        <v>0</v>
      </c>
      <c r="BQ17" s="7">
        <v>0</v>
      </c>
      <c r="BR17" s="7">
        <v>0</v>
      </c>
      <c r="BS17" s="7">
        <v>0</v>
      </c>
      <c r="BT17" s="7">
        <v>0</v>
      </c>
      <c r="BU17" s="7">
        <v>0</v>
      </c>
      <c r="BV17" s="7">
        <v>0</v>
      </c>
      <c r="BW17" s="7">
        <v>0</v>
      </c>
      <c r="BX17" s="7">
        <v>0</v>
      </c>
      <c r="BY17" s="7">
        <v>0</v>
      </c>
      <c r="BZ17" s="7">
        <v>0</v>
      </c>
      <c r="CA17" s="7">
        <v>0</v>
      </c>
      <c r="CB17" s="7">
        <v>0</v>
      </c>
      <c r="CC17" s="7">
        <v>0</v>
      </c>
      <c r="CD17" s="7">
        <v>0</v>
      </c>
      <c r="CE17" s="7">
        <v>0</v>
      </c>
      <c r="CF17" s="7">
        <v>0</v>
      </c>
      <c r="CG17" s="7">
        <v>0</v>
      </c>
      <c r="CH17" s="7">
        <v>0</v>
      </c>
      <c r="CI17" s="7">
        <v>0</v>
      </c>
      <c r="CJ17" s="7">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 t="shared" si="13"/>
        <v>3.6709463022322847E-6</v>
      </c>
      <c r="CW17" s="7">
        <f t="shared" si="14"/>
        <v>3.4485828989510811E-6</v>
      </c>
    </row>
    <row r="18" spans="1:101" x14ac:dyDescent="0.2">
      <c r="A18" t="str">
        <f t="shared" si="1"/>
        <v>Bicycle, conventional, urban - 2050 - CH</v>
      </c>
      <c r="B18" t="s">
        <v>33</v>
      </c>
      <c r="D18" s="18">
        <v>2050</v>
      </c>
      <c r="E18" t="s">
        <v>37</v>
      </c>
      <c r="F18" t="s">
        <v>136</v>
      </c>
      <c r="G18" t="s">
        <v>39</v>
      </c>
      <c r="J18">
        <v>15000</v>
      </c>
      <c r="K18">
        <v>1000</v>
      </c>
      <c r="L18" s="2">
        <f t="shared" si="2"/>
        <v>15</v>
      </c>
      <c r="M18">
        <v>1</v>
      </c>
      <c r="N18">
        <v>75</v>
      </c>
      <c r="O18">
        <v>1</v>
      </c>
      <c r="P18" s="2">
        <f t="shared" si="0"/>
        <v>11.16</v>
      </c>
      <c r="Q18" s="2">
        <f t="shared" si="3"/>
        <v>87.16</v>
      </c>
      <c r="R18">
        <v>0</v>
      </c>
      <c r="S18" s="2">
        <v>12</v>
      </c>
      <c r="T18" s="1">
        <v>7.0000000000000007E-2</v>
      </c>
      <c r="U18" s="2">
        <f t="shared" si="4"/>
        <v>11.16</v>
      </c>
      <c r="V18">
        <v>0</v>
      </c>
      <c r="W18">
        <v>0</v>
      </c>
      <c r="X18" s="3">
        <v>0</v>
      </c>
      <c r="Y18" s="1">
        <v>0.8</v>
      </c>
      <c r="Z18" s="3">
        <f t="shared" si="5"/>
        <v>0</v>
      </c>
      <c r="AA18" s="3" t="str">
        <f>IF(I18&lt;&gt;"",X18/INDEX('energy battery'!$B$3:$D$6,MATCH('vehicles specifications'!$D18,'energy battery'!$A$3:$A$6,0),MATCH('vehicles specifications'!$I18,'energy battery'!$B$2:$D$2,0)),"")</f>
        <v/>
      </c>
      <c r="AB18" s="3" t="str">
        <f t="shared" si="6"/>
        <v/>
      </c>
      <c r="AC18" s="3" t="str">
        <f t="shared" si="7"/>
        <v/>
      </c>
      <c r="AD18">
        <v>0</v>
      </c>
      <c r="AE18">
        <v>0</v>
      </c>
      <c r="AF18">
        <v>0</v>
      </c>
      <c r="AG18">
        <v>0</v>
      </c>
      <c r="AH18">
        <v>0</v>
      </c>
      <c r="AI18">
        <v>0</v>
      </c>
      <c r="AJ18">
        <v>0</v>
      </c>
      <c r="AK18" s="6">
        <v>1</v>
      </c>
      <c r="AL18">
        <f t="shared" si="8"/>
        <v>4.6804919999999998E-5</v>
      </c>
      <c r="AM18">
        <v>0</v>
      </c>
      <c r="AN18" s="2">
        <f t="shared" si="9"/>
        <v>11.16</v>
      </c>
      <c r="AO18" s="2">
        <f t="shared" si="10"/>
        <v>0</v>
      </c>
      <c r="AP18" s="2" t="str">
        <f t="shared" si="11"/>
        <v/>
      </c>
      <c r="AQ18" s="6" t="s">
        <v>84</v>
      </c>
      <c r="AR18" s="20"/>
      <c r="AS18" s="6" t="str">
        <f>IF($H18="BEV",SUMPRODUCT(#REF!,#REF!),"")</f>
        <v/>
      </c>
      <c r="AT18" s="2">
        <v>0</v>
      </c>
      <c r="AU18" s="5">
        <v>0</v>
      </c>
      <c r="AV18" s="5">
        <v>0</v>
      </c>
      <c r="AW18" s="7">
        <v>0</v>
      </c>
      <c r="AX18" s="7">
        <v>0</v>
      </c>
      <c r="AY18" s="7">
        <v>0</v>
      </c>
      <c r="AZ18" s="7">
        <v>0</v>
      </c>
      <c r="BA18" s="7">
        <v>0</v>
      </c>
      <c r="BB18" s="7">
        <v>0</v>
      </c>
      <c r="BC18" s="7">
        <v>0</v>
      </c>
      <c r="BD18" s="7">
        <v>0</v>
      </c>
      <c r="BE18" s="7">
        <v>0</v>
      </c>
      <c r="BF18" s="7">
        <v>0</v>
      </c>
      <c r="BG18" s="7">
        <v>0</v>
      </c>
      <c r="BH18" s="7">
        <v>0</v>
      </c>
      <c r="BI18" s="7">
        <v>0</v>
      </c>
      <c r="BJ18" s="7">
        <v>0</v>
      </c>
      <c r="BK18" s="7">
        <v>0</v>
      </c>
      <c r="BL18" s="7">
        <v>0</v>
      </c>
      <c r="BM18" s="7">
        <v>0</v>
      </c>
      <c r="BN18" s="7">
        <v>0</v>
      </c>
      <c r="BO18" s="7">
        <v>0</v>
      </c>
      <c r="BP18" s="7">
        <v>0</v>
      </c>
      <c r="BQ18" s="7">
        <v>0</v>
      </c>
      <c r="BR18" s="7">
        <v>0</v>
      </c>
      <c r="BS18" s="7">
        <v>0</v>
      </c>
      <c r="BT18" s="7">
        <v>0</v>
      </c>
      <c r="BU18" s="7">
        <v>0</v>
      </c>
      <c r="BV18" s="7">
        <v>0</v>
      </c>
      <c r="BW18" s="7">
        <v>0</v>
      </c>
      <c r="BX18" s="7">
        <v>0</v>
      </c>
      <c r="BY18" s="7">
        <v>0</v>
      </c>
      <c r="BZ18" s="7">
        <v>0</v>
      </c>
      <c r="CA18" s="7">
        <v>0</v>
      </c>
      <c r="CB18" s="7">
        <v>0</v>
      </c>
      <c r="CC18" s="7">
        <v>0</v>
      </c>
      <c r="CD18" s="7">
        <v>0</v>
      </c>
      <c r="CE18" s="7">
        <v>0</v>
      </c>
      <c r="CF18" s="7">
        <v>0</v>
      </c>
      <c r="CG18" s="7">
        <v>0</v>
      </c>
      <c r="CH18" s="7">
        <v>0</v>
      </c>
      <c r="CI18" s="7">
        <v>0</v>
      </c>
      <c r="CJ18" s="7">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 t="shared" si="13"/>
        <v>3.6599161272458636E-6</v>
      </c>
      <c r="CW18" s="7">
        <f t="shared" si="14"/>
        <v>3.4397328646650205E-6</v>
      </c>
    </row>
    <row r="19" spans="1:101" x14ac:dyDescent="0.2">
      <c r="A19" t="str">
        <f t="shared" si="1"/>
        <v>Bicycle, electric (&lt;25 km/h) - 2020 - NMC - CH</v>
      </c>
      <c r="B19" t="s">
        <v>262</v>
      </c>
      <c r="D19" s="18">
        <v>2020</v>
      </c>
      <c r="E19" t="s">
        <v>37</v>
      </c>
      <c r="F19" t="s">
        <v>136</v>
      </c>
      <c r="G19" t="s">
        <v>39</v>
      </c>
      <c r="H19" t="s">
        <v>32</v>
      </c>
      <c r="I19" t="s">
        <v>42</v>
      </c>
      <c r="J19">
        <v>20000</v>
      </c>
      <c r="K19">
        <v>2000</v>
      </c>
      <c r="L19" s="2">
        <f t="shared" si="2"/>
        <v>10</v>
      </c>
      <c r="M19">
        <v>1</v>
      </c>
      <c r="N19">
        <v>75</v>
      </c>
      <c r="O19">
        <v>1</v>
      </c>
      <c r="P19" s="2">
        <f t="shared" si="0"/>
        <v>23.25</v>
      </c>
      <c r="Q19" s="2">
        <f t="shared" si="3"/>
        <v>99.25</v>
      </c>
      <c r="R19">
        <v>0.25</v>
      </c>
      <c r="S19" s="2">
        <v>16</v>
      </c>
      <c r="T19" s="1">
        <v>0</v>
      </c>
      <c r="U19" s="2">
        <f t="shared" si="4"/>
        <v>16</v>
      </c>
      <c r="V19">
        <v>0</v>
      </c>
      <c r="W19">
        <v>4</v>
      </c>
      <c r="X19" s="3">
        <v>0.5</v>
      </c>
      <c r="Y19" s="1">
        <v>0.8</v>
      </c>
      <c r="Z19" s="3">
        <f t="shared" si="5"/>
        <v>0.4</v>
      </c>
      <c r="AA19" s="3">
        <f>IF(I19&lt;&gt;"",X19/INDEX('energy battery'!$B$3:$D$6,MATCH('vehicles specifications'!$D19,'energy battery'!$A$3:$A$6,0),MATCH('vehicles specifications'!$I19,'energy battery'!$B$2:$D$2,0)),"")</f>
        <v>2.5</v>
      </c>
      <c r="AB19" s="3">
        <f t="shared" si="6"/>
        <v>0.75</v>
      </c>
      <c r="AC19" s="3">
        <f t="shared" si="7"/>
        <v>3.25</v>
      </c>
      <c r="AD19">
        <v>1</v>
      </c>
      <c r="AE19">
        <v>0</v>
      </c>
      <c r="AF19">
        <v>0</v>
      </c>
      <c r="AG19">
        <v>0</v>
      </c>
      <c r="AH19">
        <v>0</v>
      </c>
      <c r="AI19">
        <v>0.5</v>
      </c>
      <c r="AJ19">
        <v>1</v>
      </c>
      <c r="AK19" s="6">
        <f t="shared" ref="AK19:AK54" si="38">J19/15000</f>
        <v>1.3333333333333333</v>
      </c>
      <c r="AL19">
        <f t="shared" si="8"/>
        <v>5.3297249999999999E-5</v>
      </c>
      <c r="AM19">
        <v>0</v>
      </c>
      <c r="AN19" s="2">
        <f t="shared" si="9"/>
        <v>16</v>
      </c>
      <c r="AO19" s="2">
        <f t="shared" si="10"/>
        <v>4</v>
      </c>
      <c r="AP19" s="2">
        <f t="shared" si="11"/>
        <v>3.25</v>
      </c>
      <c r="AQ19" s="6" t="s">
        <v>84</v>
      </c>
      <c r="AR19" s="20"/>
      <c r="AS19" s="5">
        <v>2.4670639149862349E-2</v>
      </c>
      <c r="AT19" s="2">
        <f t="shared" si="12"/>
        <v>58.368978251949123</v>
      </c>
      <c r="AU19" s="5">
        <v>0</v>
      </c>
      <c r="AV19" s="5">
        <v>0</v>
      </c>
      <c r="AW19" s="7">
        <v>0</v>
      </c>
      <c r="AX19" s="7">
        <v>0</v>
      </c>
      <c r="AY19" s="7">
        <v>0</v>
      </c>
      <c r="AZ19" s="7">
        <v>0</v>
      </c>
      <c r="BA19" s="7">
        <v>0</v>
      </c>
      <c r="BB19" s="7">
        <v>0</v>
      </c>
      <c r="BC19" s="7">
        <v>0</v>
      </c>
      <c r="BD19" s="7">
        <v>0</v>
      </c>
      <c r="BE19" s="7">
        <v>0</v>
      </c>
      <c r="BF19" s="7">
        <v>0</v>
      </c>
      <c r="BG19" s="7">
        <v>0</v>
      </c>
      <c r="BH19" s="7">
        <v>0</v>
      </c>
      <c r="BI19" s="7">
        <v>0</v>
      </c>
      <c r="BJ19" s="7">
        <v>0</v>
      </c>
      <c r="BK19" s="7">
        <v>0</v>
      </c>
      <c r="BL19" s="7">
        <v>0</v>
      </c>
      <c r="BM19" s="7">
        <v>0</v>
      </c>
      <c r="BN19" s="7">
        <v>0</v>
      </c>
      <c r="BO19" s="7">
        <v>0</v>
      </c>
      <c r="BP19" s="7">
        <v>0</v>
      </c>
      <c r="BQ19" s="7">
        <v>0</v>
      </c>
      <c r="BR19" s="7">
        <v>0</v>
      </c>
      <c r="BS19" s="7">
        <v>0</v>
      </c>
      <c r="BT19" s="7">
        <v>0</v>
      </c>
      <c r="BU19" s="7">
        <v>0</v>
      </c>
      <c r="BV19" s="7">
        <v>0</v>
      </c>
      <c r="BW19" s="7">
        <v>0</v>
      </c>
      <c r="BX19" s="7">
        <v>0</v>
      </c>
      <c r="BY19" s="7">
        <v>0</v>
      </c>
      <c r="BZ19" s="7">
        <v>0</v>
      </c>
      <c r="CA19" s="7">
        <v>0</v>
      </c>
      <c r="CB19" s="7">
        <v>0</v>
      </c>
      <c r="CC19" s="7">
        <v>0</v>
      </c>
      <c r="CD19" s="7">
        <v>0</v>
      </c>
      <c r="CE19" s="7">
        <v>0</v>
      </c>
      <c r="CF19" s="7">
        <v>0</v>
      </c>
      <c r="CG19" s="7">
        <v>0</v>
      </c>
      <c r="CH19" s="7">
        <v>0</v>
      </c>
      <c r="CI19" s="7">
        <v>0</v>
      </c>
      <c r="CJ19" s="7">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 t="shared" si="13"/>
        <v>4.1336328964445005E-6</v>
      </c>
      <c r="CW19" s="7">
        <f t="shared" si="14"/>
        <v>3.8410985523805933E-6</v>
      </c>
    </row>
    <row r="20" spans="1:101" x14ac:dyDescent="0.2">
      <c r="A20" t="str">
        <f t="shared" si="1"/>
        <v>Bicycle, electric (&lt;25 km/h) - 2030 - NMC - CH</v>
      </c>
      <c r="B20" t="s">
        <v>262</v>
      </c>
      <c r="D20" s="18">
        <v>2030</v>
      </c>
      <c r="E20" t="s">
        <v>37</v>
      </c>
      <c r="F20" t="s">
        <v>136</v>
      </c>
      <c r="G20" t="s">
        <v>39</v>
      </c>
      <c r="H20" t="s">
        <v>32</v>
      </c>
      <c r="I20" t="s">
        <v>42</v>
      </c>
      <c r="J20">
        <v>20000</v>
      </c>
      <c r="K20">
        <v>2000</v>
      </c>
      <c r="L20" s="2">
        <f t="shared" si="2"/>
        <v>10</v>
      </c>
      <c r="M20">
        <v>1</v>
      </c>
      <c r="N20">
        <v>75</v>
      </c>
      <c r="O20">
        <v>1</v>
      </c>
      <c r="P20" s="2">
        <f t="shared" si="0"/>
        <v>22.886666666666663</v>
      </c>
      <c r="Q20" s="2">
        <f t="shared" si="3"/>
        <v>98.886666666666656</v>
      </c>
      <c r="R20">
        <v>0.25</v>
      </c>
      <c r="S20" s="2">
        <v>16</v>
      </c>
      <c r="T20" s="1">
        <v>0.03</v>
      </c>
      <c r="U20" s="2">
        <f t="shared" si="4"/>
        <v>15.52</v>
      </c>
      <c r="V20">
        <v>0</v>
      </c>
      <c r="W20">
        <v>3.9</v>
      </c>
      <c r="X20" s="3">
        <v>0.8</v>
      </c>
      <c r="Y20" s="1">
        <v>0.8</v>
      </c>
      <c r="Z20" s="3">
        <f t="shared" si="5"/>
        <v>0.64000000000000012</v>
      </c>
      <c r="AA20" s="3">
        <f>IF(I20&lt;&gt;"",X20/INDEX('energy battery'!$B$3:$D$6,MATCH('vehicles specifications'!$D20,'energy battery'!$A$3:$A$6,0),MATCH('vehicles specifications'!$I20,'energy battery'!$B$2:$D$2,0)),"")</f>
        <v>2.666666666666667</v>
      </c>
      <c r="AB20" s="3">
        <f t="shared" si="6"/>
        <v>0.8</v>
      </c>
      <c r="AC20" s="3">
        <f t="shared" si="7"/>
        <v>3.4666666666666668</v>
      </c>
      <c r="AD20">
        <v>0.5</v>
      </c>
      <c r="AE20">
        <v>0</v>
      </c>
      <c r="AF20">
        <v>0</v>
      </c>
      <c r="AG20">
        <v>0</v>
      </c>
      <c r="AH20">
        <v>0</v>
      </c>
      <c r="AI20">
        <v>0.5</v>
      </c>
      <c r="AJ20">
        <v>1</v>
      </c>
      <c r="AK20" s="6">
        <f t="shared" si="38"/>
        <v>1.3333333333333333</v>
      </c>
      <c r="AL20">
        <f t="shared" si="8"/>
        <v>5.3102139999999997E-5</v>
      </c>
      <c r="AM20">
        <v>0</v>
      </c>
      <c r="AN20" s="2">
        <f t="shared" si="9"/>
        <v>15.52</v>
      </c>
      <c r="AO20" s="2">
        <f t="shared" si="10"/>
        <v>3.9</v>
      </c>
      <c r="AP20" s="2">
        <f t="shared" si="11"/>
        <v>3.4666666666666668</v>
      </c>
      <c r="AQ20" s="6" t="s">
        <v>84</v>
      </c>
      <c r="AR20" s="20"/>
      <c r="AS20" s="5">
        <v>2.4670639149862349E-2</v>
      </c>
      <c r="AT20" s="2">
        <f t="shared" si="12"/>
        <v>93.390365203118606</v>
      </c>
      <c r="AU20" s="5">
        <v>0</v>
      </c>
      <c r="AV20" s="5">
        <v>0</v>
      </c>
      <c r="AW20" s="7">
        <v>0</v>
      </c>
      <c r="AX20" s="7">
        <v>0</v>
      </c>
      <c r="AY20" s="7">
        <v>0</v>
      </c>
      <c r="AZ20" s="7">
        <v>0</v>
      </c>
      <c r="BA20" s="7">
        <v>0</v>
      </c>
      <c r="BB20" s="7">
        <v>0</v>
      </c>
      <c r="BC20" s="7">
        <v>0</v>
      </c>
      <c r="BD20" s="7">
        <v>0</v>
      </c>
      <c r="BE20" s="7">
        <v>0</v>
      </c>
      <c r="BF20" s="7">
        <v>0</v>
      </c>
      <c r="BG20" s="7">
        <v>0</v>
      </c>
      <c r="BH20" s="7">
        <v>0</v>
      </c>
      <c r="BI20" s="7">
        <v>0</v>
      </c>
      <c r="BJ20" s="7">
        <v>0</v>
      </c>
      <c r="BK20" s="7">
        <v>0</v>
      </c>
      <c r="BL20" s="7">
        <v>0</v>
      </c>
      <c r="BM20" s="7">
        <v>0</v>
      </c>
      <c r="BN20" s="7">
        <v>0</v>
      </c>
      <c r="BO20" s="7">
        <v>0</v>
      </c>
      <c r="BP20" s="7">
        <v>0</v>
      </c>
      <c r="BQ20" s="7">
        <v>0</v>
      </c>
      <c r="BR20" s="7">
        <v>0</v>
      </c>
      <c r="BS20" s="7">
        <v>0</v>
      </c>
      <c r="BT20" s="7">
        <v>0</v>
      </c>
      <c r="BU20" s="7">
        <v>0</v>
      </c>
      <c r="BV20" s="7">
        <v>0</v>
      </c>
      <c r="BW20" s="7">
        <v>0</v>
      </c>
      <c r="BX20" s="7">
        <v>0</v>
      </c>
      <c r="BY20" s="7">
        <v>0</v>
      </c>
      <c r="BZ20" s="7">
        <v>0</v>
      </c>
      <c r="CA20" s="7">
        <v>0</v>
      </c>
      <c r="CB20" s="7">
        <v>0</v>
      </c>
      <c r="CC20" s="7">
        <v>0</v>
      </c>
      <c r="CD20" s="7">
        <v>0</v>
      </c>
      <c r="CE20" s="7">
        <v>0</v>
      </c>
      <c r="CF20" s="7">
        <v>0</v>
      </c>
      <c r="CG20" s="7">
        <v>0</v>
      </c>
      <c r="CH20" s="7">
        <v>0</v>
      </c>
      <c r="CI20" s="7">
        <v>0</v>
      </c>
      <c r="CJ20" s="7">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 t="shared" si="13"/>
        <v>4.1211339548960909E-6</v>
      </c>
      <c r="CW20" s="7">
        <f t="shared" si="14"/>
        <v>3.8300212497294276E-6</v>
      </c>
    </row>
    <row r="21" spans="1:101" x14ac:dyDescent="0.2">
      <c r="A21" t="str">
        <f t="shared" si="1"/>
        <v>Bicycle, electric (&lt;25 km/h) - 2040 - NMC - CH</v>
      </c>
      <c r="B21" t="s">
        <v>262</v>
      </c>
      <c r="D21" s="18">
        <v>2040</v>
      </c>
      <c r="E21" t="s">
        <v>37</v>
      </c>
      <c r="F21" t="s">
        <v>136</v>
      </c>
      <c r="G21" t="s">
        <v>39</v>
      </c>
      <c r="H21" t="s">
        <v>32</v>
      </c>
      <c r="I21" t="s">
        <v>42</v>
      </c>
      <c r="J21">
        <v>20000</v>
      </c>
      <c r="K21">
        <v>2000</v>
      </c>
      <c r="L21" s="2">
        <f t="shared" si="2"/>
        <v>10</v>
      </c>
      <c r="M21">
        <v>1</v>
      </c>
      <c r="N21">
        <v>75</v>
      </c>
      <c r="O21">
        <v>1</v>
      </c>
      <c r="P21" s="2">
        <f t="shared" si="0"/>
        <v>22.25</v>
      </c>
      <c r="Q21" s="2">
        <f t="shared" si="3"/>
        <v>98.25</v>
      </c>
      <c r="R21">
        <v>0.25</v>
      </c>
      <c r="S21" s="2">
        <v>16</v>
      </c>
      <c r="T21" s="1">
        <v>0.05</v>
      </c>
      <c r="U21" s="2">
        <f t="shared" si="4"/>
        <v>15.2</v>
      </c>
      <c r="V21">
        <v>0</v>
      </c>
      <c r="W21">
        <v>3.8</v>
      </c>
      <c r="X21" s="3">
        <v>1</v>
      </c>
      <c r="Y21" s="1">
        <v>0.8</v>
      </c>
      <c r="Z21" s="3">
        <f t="shared" si="5"/>
        <v>0.8</v>
      </c>
      <c r="AA21" s="3">
        <f>IF(I21&lt;&gt;"",X21/INDEX('energy battery'!$B$3:$D$6,MATCH('vehicles specifications'!$D21,'energy battery'!$A$3:$A$6,0),MATCH('vehicles specifications'!$I21,'energy battery'!$B$2:$D$2,0)),"")</f>
        <v>2.5</v>
      </c>
      <c r="AB21" s="3">
        <f t="shared" si="6"/>
        <v>0.75</v>
      </c>
      <c r="AC21" s="3">
        <f t="shared" si="7"/>
        <v>3.25</v>
      </c>
      <c r="AD21">
        <v>0.25</v>
      </c>
      <c r="AE21">
        <v>0</v>
      </c>
      <c r="AF21">
        <v>0</v>
      </c>
      <c r="AG21">
        <v>0</v>
      </c>
      <c r="AH21">
        <v>0</v>
      </c>
      <c r="AI21">
        <v>0.5</v>
      </c>
      <c r="AJ21">
        <v>1</v>
      </c>
      <c r="AK21" s="6">
        <f t="shared" si="38"/>
        <v>1.3333333333333333</v>
      </c>
      <c r="AL21">
        <f t="shared" si="8"/>
        <v>5.276025E-5</v>
      </c>
      <c r="AM21">
        <v>0</v>
      </c>
      <c r="AN21" s="2">
        <f t="shared" si="9"/>
        <v>15.2</v>
      </c>
      <c r="AO21" s="2">
        <f t="shared" si="10"/>
        <v>3.8</v>
      </c>
      <c r="AP21" s="2">
        <f t="shared" si="11"/>
        <v>3.25</v>
      </c>
      <c r="AQ21" s="6" t="s">
        <v>84</v>
      </c>
      <c r="AR21" s="20"/>
      <c r="AS21" s="5">
        <v>2.4670639149862349E-2</v>
      </c>
      <c r="AT21" s="2">
        <f t="shared" si="12"/>
        <v>116.73795650389825</v>
      </c>
      <c r="AU21" s="5">
        <v>0</v>
      </c>
      <c r="AV21" s="5">
        <v>0</v>
      </c>
      <c r="AW21" s="7">
        <v>0</v>
      </c>
      <c r="AX21" s="7">
        <v>0</v>
      </c>
      <c r="AY21" s="7">
        <v>0</v>
      </c>
      <c r="AZ21" s="7">
        <v>0</v>
      </c>
      <c r="BA21" s="7">
        <v>0</v>
      </c>
      <c r="BB21" s="7">
        <v>0</v>
      </c>
      <c r="BC21" s="7">
        <v>0</v>
      </c>
      <c r="BD21" s="7">
        <v>0</v>
      </c>
      <c r="BE21" s="7">
        <v>0</v>
      </c>
      <c r="BF21" s="7">
        <v>0</v>
      </c>
      <c r="BG21" s="7">
        <v>0</v>
      </c>
      <c r="BH21" s="7">
        <v>0</v>
      </c>
      <c r="BI21" s="7">
        <v>0</v>
      </c>
      <c r="BJ21" s="7">
        <v>0</v>
      </c>
      <c r="BK21" s="7">
        <v>0</v>
      </c>
      <c r="BL21" s="7">
        <v>0</v>
      </c>
      <c r="BM21" s="7">
        <v>0</v>
      </c>
      <c r="BN21" s="7">
        <v>0</v>
      </c>
      <c r="BO21" s="7">
        <v>0</v>
      </c>
      <c r="BP21" s="7">
        <v>0</v>
      </c>
      <c r="BQ21" s="7">
        <v>0</v>
      </c>
      <c r="BR21" s="7">
        <v>0</v>
      </c>
      <c r="BS21" s="7">
        <v>0</v>
      </c>
      <c r="BT21" s="7">
        <v>0</v>
      </c>
      <c r="BU21" s="7">
        <v>0</v>
      </c>
      <c r="BV21" s="7">
        <v>0</v>
      </c>
      <c r="BW21" s="7">
        <v>0</v>
      </c>
      <c r="BX21" s="7">
        <v>0</v>
      </c>
      <c r="BY21" s="7">
        <v>0</v>
      </c>
      <c r="BZ21" s="7">
        <v>0</v>
      </c>
      <c r="CA21" s="7">
        <v>0</v>
      </c>
      <c r="CB21" s="7">
        <v>0</v>
      </c>
      <c r="CC21" s="7">
        <v>0</v>
      </c>
      <c r="CD21" s="7">
        <v>0</v>
      </c>
      <c r="CE21" s="7">
        <v>0</v>
      </c>
      <c r="CF21" s="7">
        <v>0</v>
      </c>
      <c r="CG21" s="7">
        <v>0</v>
      </c>
      <c r="CH21" s="7">
        <v>0</v>
      </c>
      <c r="CI21" s="7">
        <v>0</v>
      </c>
      <c r="CJ21" s="7">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 t="shared" si="13"/>
        <v>4.0990393865404142E-6</v>
      </c>
      <c r="CW21" s="7">
        <f t="shared" si="14"/>
        <v>3.8104964233430331E-6</v>
      </c>
    </row>
    <row r="22" spans="1:101" x14ac:dyDescent="0.2">
      <c r="A22" t="str">
        <f t="shared" si="1"/>
        <v>Bicycle, electric (&lt;25 km/h) - 2050 - NMC - CH</v>
      </c>
      <c r="B22" t="s">
        <v>262</v>
      </c>
      <c r="D22" s="18">
        <v>2050</v>
      </c>
      <c r="E22" t="s">
        <v>37</v>
      </c>
      <c r="F22" t="s">
        <v>136</v>
      </c>
      <c r="G22" t="s">
        <v>39</v>
      </c>
      <c r="H22" t="s">
        <v>32</v>
      </c>
      <c r="I22" t="s">
        <v>42</v>
      </c>
      <c r="J22">
        <v>20000</v>
      </c>
      <c r="K22">
        <v>2000</v>
      </c>
      <c r="L22" s="2">
        <f t="shared" si="2"/>
        <v>10</v>
      </c>
      <c r="M22">
        <v>1</v>
      </c>
      <c r="N22">
        <v>75</v>
      </c>
      <c r="O22">
        <v>1</v>
      </c>
      <c r="P22" s="2">
        <f t="shared" si="0"/>
        <v>22.479999999999997</v>
      </c>
      <c r="Q22" s="2">
        <f t="shared" si="3"/>
        <v>98.47999999999999</v>
      </c>
      <c r="R22">
        <v>0.25</v>
      </c>
      <c r="S22" s="2">
        <v>16</v>
      </c>
      <c r="T22" s="1">
        <v>7.0000000000000007E-2</v>
      </c>
      <c r="U22" s="2">
        <f t="shared" si="4"/>
        <v>14.879999999999999</v>
      </c>
      <c r="V22">
        <v>0</v>
      </c>
      <c r="W22">
        <v>3.7</v>
      </c>
      <c r="X22" s="3">
        <v>1.5</v>
      </c>
      <c r="Y22" s="1">
        <v>0.8</v>
      </c>
      <c r="Z22" s="3">
        <f t="shared" si="5"/>
        <v>1.2000000000000002</v>
      </c>
      <c r="AA22" s="3">
        <f>IF(I22&lt;&gt;"",X22/INDEX('energy battery'!$B$3:$D$6,MATCH('vehicles specifications'!$D22,'energy battery'!$A$3:$A$6,0),MATCH('vehicles specifications'!$I22,'energy battery'!$B$2:$D$2,0)),"")</f>
        <v>3</v>
      </c>
      <c r="AB22" s="3">
        <f t="shared" si="6"/>
        <v>0.89999999999999991</v>
      </c>
      <c r="AC22" s="3">
        <f t="shared" si="7"/>
        <v>3.9</v>
      </c>
      <c r="AD22">
        <v>0</v>
      </c>
      <c r="AE22">
        <v>0</v>
      </c>
      <c r="AF22">
        <v>0</v>
      </c>
      <c r="AG22">
        <v>0</v>
      </c>
      <c r="AH22">
        <v>0</v>
      </c>
      <c r="AI22">
        <v>0.5</v>
      </c>
      <c r="AJ22">
        <v>1</v>
      </c>
      <c r="AK22" s="6">
        <f t="shared" si="38"/>
        <v>1.3333333333333333</v>
      </c>
      <c r="AL22">
        <f t="shared" si="8"/>
        <v>5.2883759999999994E-5</v>
      </c>
      <c r="AM22">
        <v>0</v>
      </c>
      <c r="AN22" s="2">
        <f t="shared" si="9"/>
        <v>14.879999999999999</v>
      </c>
      <c r="AO22" s="2">
        <f t="shared" si="10"/>
        <v>3.7</v>
      </c>
      <c r="AP22" s="2">
        <f t="shared" si="11"/>
        <v>3.9</v>
      </c>
      <c r="AQ22" s="6" t="s">
        <v>84</v>
      </c>
      <c r="AR22" s="20"/>
      <c r="AS22" s="5">
        <v>2.4670639149862349E-2</v>
      </c>
      <c r="AT22" s="2">
        <f t="shared" si="12"/>
        <v>175.10693475584739</v>
      </c>
      <c r="AU22" s="5">
        <v>0</v>
      </c>
      <c r="AV22" s="5">
        <v>0</v>
      </c>
      <c r="AW22" s="7">
        <v>0</v>
      </c>
      <c r="AX22" s="7">
        <v>0</v>
      </c>
      <c r="AY22" s="7">
        <v>0</v>
      </c>
      <c r="AZ22" s="7">
        <v>0</v>
      </c>
      <c r="BA22" s="7">
        <v>0</v>
      </c>
      <c r="BB22" s="7">
        <v>0</v>
      </c>
      <c r="BC22" s="7">
        <v>0</v>
      </c>
      <c r="BD22" s="7">
        <v>0</v>
      </c>
      <c r="BE22" s="7">
        <v>0</v>
      </c>
      <c r="BF22" s="7">
        <v>0</v>
      </c>
      <c r="BG22" s="7">
        <v>0</v>
      </c>
      <c r="BH22" s="7">
        <v>0</v>
      </c>
      <c r="BI22" s="7">
        <v>0</v>
      </c>
      <c r="BJ22" s="7">
        <v>0</v>
      </c>
      <c r="BK22" s="7">
        <v>0</v>
      </c>
      <c r="BL22" s="7">
        <v>0</v>
      </c>
      <c r="BM22" s="7">
        <v>0</v>
      </c>
      <c r="BN22" s="7">
        <v>0</v>
      </c>
      <c r="BO22" s="7">
        <v>0</v>
      </c>
      <c r="BP22" s="7">
        <v>0</v>
      </c>
      <c r="BQ22" s="7">
        <v>0</v>
      </c>
      <c r="BR22" s="7">
        <v>0</v>
      </c>
      <c r="BS22" s="7">
        <v>0</v>
      </c>
      <c r="BT22" s="7">
        <v>0</v>
      </c>
      <c r="BU22" s="7">
        <v>0</v>
      </c>
      <c r="BV22" s="7">
        <v>0</v>
      </c>
      <c r="BW22" s="7">
        <v>0</v>
      </c>
      <c r="BX22" s="7">
        <v>0</v>
      </c>
      <c r="BY22" s="7">
        <v>0</v>
      </c>
      <c r="BZ22" s="7">
        <v>0</v>
      </c>
      <c r="CA22" s="7">
        <v>0</v>
      </c>
      <c r="CB22" s="7">
        <v>0</v>
      </c>
      <c r="CC22" s="7">
        <v>0</v>
      </c>
      <c r="CD22" s="7">
        <v>0</v>
      </c>
      <c r="CE22" s="7">
        <v>0</v>
      </c>
      <c r="CF22" s="7">
        <v>0</v>
      </c>
      <c r="CG22" s="7">
        <v>0</v>
      </c>
      <c r="CH22" s="7">
        <v>0</v>
      </c>
      <c r="CI22" s="7">
        <v>0</v>
      </c>
      <c r="CJ22" s="7">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 t="shared" si="13"/>
        <v>4.1070499667251542E-6</v>
      </c>
      <c r="CW22" s="7">
        <f t="shared" si="14"/>
        <v>3.8175668936151024E-6</v>
      </c>
    </row>
    <row r="23" spans="1:101" x14ac:dyDescent="0.2">
      <c r="A23" t="str">
        <f t="shared" si="1"/>
        <v>Bicycle, electric (&lt;45 km/h) - 2020 - NMC - CH</v>
      </c>
      <c r="B23" t="s">
        <v>263</v>
      </c>
      <c r="D23" s="18">
        <v>2020</v>
      </c>
      <c r="E23" t="s">
        <v>37</v>
      </c>
      <c r="F23" t="s">
        <v>136</v>
      </c>
      <c r="G23" t="s">
        <v>39</v>
      </c>
      <c r="H23" t="s">
        <v>32</v>
      </c>
      <c r="I23" t="s">
        <v>42</v>
      </c>
      <c r="J23">
        <v>30000</v>
      </c>
      <c r="K23">
        <v>3000</v>
      </c>
      <c r="L23" s="2">
        <f t="shared" si="2"/>
        <v>10</v>
      </c>
      <c r="M23">
        <v>1</v>
      </c>
      <c r="N23">
        <v>75</v>
      </c>
      <c r="O23">
        <v>1</v>
      </c>
      <c r="P23" s="2">
        <f t="shared" si="0"/>
        <v>27.25</v>
      </c>
      <c r="Q23" s="2">
        <f t="shared" si="3"/>
        <v>103.25</v>
      </c>
      <c r="R23">
        <v>0.5</v>
      </c>
      <c r="S23" s="2">
        <v>19</v>
      </c>
      <c r="T23" s="1">
        <v>0</v>
      </c>
      <c r="U23" s="2">
        <f t="shared" si="4"/>
        <v>19</v>
      </c>
      <c r="V23">
        <v>0</v>
      </c>
      <c r="W23">
        <v>5</v>
      </c>
      <c r="X23" s="3">
        <v>0.5</v>
      </c>
      <c r="Y23" s="1">
        <v>0.8</v>
      </c>
      <c r="Z23" s="3">
        <f t="shared" si="5"/>
        <v>0.4</v>
      </c>
      <c r="AA23" s="3">
        <f>IF(I23&lt;&gt;"",X23/INDEX('energy battery'!$B$3:$D$6,MATCH('vehicles specifications'!$D23,'energy battery'!$A$3:$A$6,0),MATCH('vehicles specifications'!$I23,'energy battery'!$B$2:$D$2,0)),"")</f>
        <v>2.5</v>
      </c>
      <c r="AB23" s="3">
        <f t="shared" si="6"/>
        <v>0.75</v>
      </c>
      <c r="AC23" s="3">
        <f t="shared" si="7"/>
        <v>3.25</v>
      </c>
      <c r="AD23">
        <v>1</v>
      </c>
      <c r="AE23">
        <v>0</v>
      </c>
      <c r="AF23">
        <v>0</v>
      </c>
      <c r="AG23">
        <v>0</v>
      </c>
      <c r="AH23">
        <v>0</v>
      </c>
      <c r="AI23">
        <v>0.5</v>
      </c>
      <c r="AJ23">
        <v>1</v>
      </c>
      <c r="AK23" s="6">
        <f t="shared" si="38"/>
        <v>2</v>
      </c>
      <c r="AL23">
        <f t="shared" si="8"/>
        <v>5.5445249999999999E-5</v>
      </c>
      <c r="AM23">
        <v>0</v>
      </c>
      <c r="AN23" s="2">
        <f t="shared" si="9"/>
        <v>19</v>
      </c>
      <c r="AO23" s="2">
        <f t="shared" si="10"/>
        <v>5</v>
      </c>
      <c r="AP23" s="2">
        <f t="shared" si="11"/>
        <v>3.25</v>
      </c>
      <c r="AQ23" s="6" t="s">
        <v>84</v>
      </c>
      <c r="AR23" s="20"/>
      <c r="AS23" s="5">
        <v>4.5308940859381523E-2</v>
      </c>
      <c r="AT23" s="2">
        <f t="shared" si="12"/>
        <v>31.78180669614656</v>
      </c>
      <c r="AU23" s="5">
        <v>0</v>
      </c>
      <c r="AV23" s="5">
        <v>0</v>
      </c>
      <c r="AW23" s="7">
        <v>0</v>
      </c>
      <c r="AX23" s="7">
        <v>0</v>
      </c>
      <c r="AY23" s="7">
        <v>0</v>
      </c>
      <c r="AZ23" s="7">
        <v>0</v>
      </c>
      <c r="BA23" s="7">
        <v>0</v>
      </c>
      <c r="BB23" s="7">
        <v>0</v>
      </c>
      <c r="BC23" s="7">
        <v>0</v>
      </c>
      <c r="BD23" s="7">
        <v>0</v>
      </c>
      <c r="BE23" s="7">
        <v>0</v>
      </c>
      <c r="BF23" s="7">
        <v>0</v>
      </c>
      <c r="BG23" s="7">
        <v>0</v>
      </c>
      <c r="BH23" s="7">
        <v>0</v>
      </c>
      <c r="BI23" s="7">
        <v>0</v>
      </c>
      <c r="BJ23" s="7">
        <v>0</v>
      </c>
      <c r="BK23" s="7">
        <v>0</v>
      </c>
      <c r="BL23" s="7">
        <v>0</v>
      </c>
      <c r="BM23" s="7">
        <v>0</v>
      </c>
      <c r="BN23" s="7">
        <v>0</v>
      </c>
      <c r="BO23" s="7">
        <v>0</v>
      </c>
      <c r="BP23" s="7">
        <v>0</v>
      </c>
      <c r="BQ23" s="7">
        <v>0</v>
      </c>
      <c r="BR23" s="7">
        <v>0</v>
      </c>
      <c r="BS23" s="7">
        <v>0</v>
      </c>
      <c r="BT23" s="7">
        <v>0</v>
      </c>
      <c r="BU23" s="7">
        <v>0</v>
      </c>
      <c r="BV23" s="7">
        <v>0</v>
      </c>
      <c r="BW23" s="7">
        <v>0</v>
      </c>
      <c r="BX23" s="7">
        <v>0</v>
      </c>
      <c r="BY23" s="7">
        <v>0</v>
      </c>
      <c r="BZ23" s="7">
        <v>0</v>
      </c>
      <c r="CA23" s="7">
        <v>0</v>
      </c>
      <c r="CB23" s="7">
        <v>0</v>
      </c>
      <c r="CC23" s="7">
        <v>0</v>
      </c>
      <c r="CD23" s="7">
        <v>0</v>
      </c>
      <c r="CE23" s="7">
        <v>0</v>
      </c>
      <c r="CF23" s="7">
        <v>0</v>
      </c>
      <c r="CG23" s="7">
        <v>0</v>
      </c>
      <c r="CH23" s="7">
        <v>0</v>
      </c>
      <c r="CI23" s="7">
        <v>0</v>
      </c>
      <c r="CJ23" s="7">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 t="shared" si="13"/>
        <v>4.2664398392934627E-6</v>
      </c>
      <c r="CW23" s="7">
        <f t="shared" si="14"/>
        <v>3.960170488563306E-6</v>
      </c>
    </row>
    <row r="24" spans="1:101" x14ac:dyDescent="0.2">
      <c r="A24" t="str">
        <f t="shared" si="1"/>
        <v>Bicycle, electric (&lt;45 km/h) - 2030 - NMC - CH</v>
      </c>
      <c r="B24" t="s">
        <v>263</v>
      </c>
      <c r="D24" s="18">
        <v>2030</v>
      </c>
      <c r="E24" t="s">
        <v>37</v>
      </c>
      <c r="F24" t="s">
        <v>136</v>
      </c>
      <c r="G24" t="s">
        <v>39</v>
      </c>
      <c r="H24" t="s">
        <v>32</v>
      </c>
      <c r="I24" t="s">
        <v>42</v>
      </c>
      <c r="J24">
        <v>30000</v>
      </c>
      <c r="K24">
        <v>3000</v>
      </c>
      <c r="L24" s="2">
        <f t="shared" si="2"/>
        <v>10</v>
      </c>
      <c r="M24">
        <v>1</v>
      </c>
      <c r="N24">
        <v>75</v>
      </c>
      <c r="O24">
        <v>1</v>
      </c>
      <c r="P24" s="2">
        <f t="shared" si="0"/>
        <v>26.796666666666667</v>
      </c>
      <c r="Q24" s="2">
        <f t="shared" si="3"/>
        <v>102.79666666666667</v>
      </c>
      <c r="R24">
        <v>0.5</v>
      </c>
      <c r="S24" s="2">
        <v>19</v>
      </c>
      <c r="T24" s="1">
        <v>0.03</v>
      </c>
      <c r="U24" s="2">
        <f t="shared" si="4"/>
        <v>18.43</v>
      </c>
      <c r="V24">
        <v>0</v>
      </c>
      <c r="W24">
        <v>4.9000000000000004</v>
      </c>
      <c r="X24" s="3">
        <v>0.8</v>
      </c>
      <c r="Y24" s="1">
        <v>0.8</v>
      </c>
      <c r="Z24" s="3">
        <f t="shared" si="5"/>
        <v>0.64000000000000012</v>
      </c>
      <c r="AA24" s="3">
        <f>IF(I24&lt;&gt;"",X24/INDEX('energy battery'!$B$3:$D$6,MATCH('vehicles specifications'!$D24,'energy battery'!$A$3:$A$6,0),MATCH('vehicles specifications'!$I24,'energy battery'!$B$2:$D$2,0)),"")</f>
        <v>2.666666666666667</v>
      </c>
      <c r="AB24" s="3">
        <f t="shared" si="6"/>
        <v>0.8</v>
      </c>
      <c r="AC24" s="3">
        <f t="shared" si="7"/>
        <v>3.4666666666666668</v>
      </c>
      <c r="AD24">
        <v>0.5</v>
      </c>
      <c r="AE24">
        <v>0</v>
      </c>
      <c r="AF24">
        <v>0</v>
      </c>
      <c r="AG24">
        <v>0</v>
      </c>
      <c r="AH24">
        <v>0</v>
      </c>
      <c r="AI24">
        <v>0.5</v>
      </c>
      <c r="AJ24">
        <v>1</v>
      </c>
      <c r="AK24" s="6">
        <f t="shared" si="38"/>
        <v>2</v>
      </c>
      <c r="AL24">
        <f t="shared" si="8"/>
        <v>5.5201809999999998E-5</v>
      </c>
      <c r="AM24">
        <v>0</v>
      </c>
      <c r="AN24" s="2">
        <f t="shared" si="9"/>
        <v>18.43</v>
      </c>
      <c r="AO24" s="2">
        <f t="shared" si="10"/>
        <v>4.9000000000000004</v>
      </c>
      <c r="AP24" s="2">
        <f t="shared" si="11"/>
        <v>3.4666666666666668</v>
      </c>
      <c r="AQ24" s="6" t="s">
        <v>84</v>
      </c>
      <c r="AR24" s="20"/>
      <c r="AS24" s="5">
        <v>4.5308940859381523E-2</v>
      </c>
      <c r="AT24" s="2">
        <f t="shared" si="12"/>
        <v>50.850890713834502</v>
      </c>
      <c r="AU24" s="5">
        <v>0</v>
      </c>
      <c r="AV24" s="5">
        <v>0</v>
      </c>
      <c r="AW24" s="7">
        <v>0</v>
      </c>
      <c r="AX24" s="7">
        <v>0</v>
      </c>
      <c r="AY24" s="7">
        <v>0</v>
      </c>
      <c r="AZ24" s="7">
        <v>0</v>
      </c>
      <c r="BA24" s="7">
        <v>0</v>
      </c>
      <c r="BB24" s="7">
        <v>0</v>
      </c>
      <c r="BC24" s="7">
        <v>0</v>
      </c>
      <c r="BD24" s="7">
        <v>0</v>
      </c>
      <c r="BE24" s="7">
        <v>0</v>
      </c>
      <c r="BF24" s="7">
        <v>0</v>
      </c>
      <c r="BG24" s="7">
        <v>0</v>
      </c>
      <c r="BH24" s="7">
        <v>0</v>
      </c>
      <c r="BI24" s="7">
        <v>0</v>
      </c>
      <c r="BJ24" s="7">
        <v>0</v>
      </c>
      <c r="BK24" s="7">
        <v>0</v>
      </c>
      <c r="BL24" s="7">
        <v>0</v>
      </c>
      <c r="BM24" s="7">
        <v>0</v>
      </c>
      <c r="BN24" s="7">
        <v>0</v>
      </c>
      <c r="BO24" s="7">
        <v>0</v>
      </c>
      <c r="BP24" s="7">
        <v>0</v>
      </c>
      <c r="BQ24" s="7">
        <v>0</v>
      </c>
      <c r="BR24" s="7">
        <v>0</v>
      </c>
      <c r="BS24" s="7">
        <v>0</v>
      </c>
      <c r="BT24" s="7">
        <v>0</v>
      </c>
      <c r="BU24" s="7">
        <v>0</v>
      </c>
      <c r="BV24" s="7">
        <v>0</v>
      </c>
      <c r="BW24" s="7">
        <v>0</v>
      </c>
      <c r="BX24" s="7">
        <v>0</v>
      </c>
      <c r="BY24" s="7">
        <v>0</v>
      </c>
      <c r="BZ24" s="7">
        <v>0</v>
      </c>
      <c r="CA24" s="7">
        <v>0</v>
      </c>
      <c r="CB24" s="7">
        <v>0</v>
      </c>
      <c r="CC24" s="7">
        <v>0</v>
      </c>
      <c r="CD24" s="7">
        <v>0</v>
      </c>
      <c r="CE24" s="7">
        <v>0</v>
      </c>
      <c r="CF24" s="7">
        <v>0</v>
      </c>
      <c r="CG24" s="7">
        <v>0</v>
      </c>
      <c r="CH24" s="7">
        <v>0</v>
      </c>
      <c r="CI24" s="7">
        <v>0</v>
      </c>
      <c r="CJ24" s="7">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 t="shared" si="13"/>
        <v>4.2517989039701259E-6</v>
      </c>
      <c r="CW24" s="7">
        <f t="shared" si="14"/>
        <v>3.9469248908384192E-6</v>
      </c>
    </row>
    <row r="25" spans="1:101" x14ac:dyDescent="0.2">
      <c r="A25" t="str">
        <f t="shared" si="1"/>
        <v>Bicycle, electric (&lt;45 km/h) - 2040 - NMC - CH</v>
      </c>
      <c r="B25" t="s">
        <v>263</v>
      </c>
      <c r="D25" s="18">
        <v>2040</v>
      </c>
      <c r="E25" t="s">
        <v>37</v>
      </c>
      <c r="F25" t="s">
        <v>136</v>
      </c>
      <c r="G25" t="s">
        <v>39</v>
      </c>
      <c r="H25" t="s">
        <v>32</v>
      </c>
      <c r="I25" t="s">
        <v>42</v>
      </c>
      <c r="J25">
        <v>30000</v>
      </c>
      <c r="K25">
        <v>3000</v>
      </c>
      <c r="L25" s="2">
        <f t="shared" si="2"/>
        <v>10</v>
      </c>
      <c r="M25">
        <v>1</v>
      </c>
      <c r="N25">
        <v>75</v>
      </c>
      <c r="O25">
        <v>1</v>
      </c>
      <c r="P25" s="2">
        <f t="shared" si="0"/>
        <v>26</v>
      </c>
      <c r="Q25" s="2">
        <f t="shared" si="3"/>
        <v>102</v>
      </c>
      <c r="R25">
        <v>0.5</v>
      </c>
      <c r="S25" s="2">
        <v>19</v>
      </c>
      <c r="T25" s="1">
        <v>0.05</v>
      </c>
      <c r="U25" s="2">
        <f t="shared" si="4"/>
        <v>18.05</v>
      </c>
      <c r="V25">
        <v>0</v>
      </c>
      <c r="W25">
        <v>4.7</v>
      </c>
      <c r="X25" s="3">
        <v>1</v>
      </c>
      <c r="Y25" s="1">
        <v>0.8</v>
      </c>
      <c r="Z25" s="3">
        <f t="shared" si="5"/>
        <v>0.8</v>
      </c>
      <c r="AA25" s="3">
        <f>IF(I25&lt;&gt;"",X25/INDEX('energy battery'!$B$3:$D$6,MATCH('vehicles specifications'!$D25,'energy battery'!$A$3:$A$6,0),MATCH('vehicles specifications'!$I25,'energy battery'!$B$2:$D$2,0)),"")</f>
        <v>2.5</v>
      </c>
      <c r="AB25" s="3">
        <f t="shared" si="6"/>
        <v>0.75</v>
      </c>
      <c r="AC25" s="3">
        <f t="shared" si="7"/>
        <v>3.25</v>
      </c>
      <c r="AD25">
        <v>0.25</v>
      </c>
      <c r="AE25">
        <v>0</v>
      </c>
      <c r="AF25">
        <v>0</v>
      </c>
      <c r="AG25">
        <v>0</v>
      </c>
      <c r="AH25">
        <v>0</v>
      </c>
      <c r="AI25">
        <v>0.5</v>
      </c>
      <c r="AJ25">
        <v>1</v>
      </c>
      <c r="AK25" s="6">
        <f t="shared" si="38"/>
        <v>2</v>
      </c>
      <c r="AL25">
        <f t="shared" si="8"/>
        <v>5.4774000000000001E-5</v>
      </c>
      <c r="AM25">
        <v>0</v>
      </c>
      <c r="AN25" s="2">
        <f t="shared" si="9"/>
        <v>18.05</v>
      </c>
      <c r="AO25" s="2">
        <f t="shared" si="10"/>
        <v>4.7</v>
      </c>
      <c r="AP25" s="2">
        <f t="shared" si="11"/>
        <v>3.25</v>
      </c>
      <c r="AQ25" s="6" t="s">
        <v>84</v>
      </c>
      <c r="AR25" s="20"/>
      <c r="AS25" s="5">
        <v>4.5308940859381523E-2</v>
      </c>
      <c r="AT25" s="2">
        <f t="shared" si="12"/>
        <v>63.563613392293121</v>
      </c>
      <c r="AU25" s="5">
        <v>0</v>
      </c>
      <c r="AV25" s="5">
        <v>0</v>
      </c>
      <c r="AW25" s="7">
        <v>0</v>
      </c>
      <c r="AX25" s="7">
        <v>0</v>
      </c>
      <c r="AY25" s="7">
        <v>0</v>
      </c>
      <c r="AZ25" s="7">
        <v>0</v>
      </c>
      <c r="BA25" s="7">
        <v>0</v>
      </c>
      <c r="BB25" s="7">
        <v>0</v>
      </c>
      <c r="BC25" s="7">
        <v>0</v>
      </c>
      <c r="BD25" s="7">
        <v>0</v>
      </c>
      <c r="BE25" s="7">
        <v>0</v>
      </c>
      <c r="BF25" s="7">
        <v>0</v>
      </c>
      <c r="BG25" s="7">
        <v>0</v>
      </c>
      <c r="BH25" s="7">
        <v>0</v>
      </c>
      <c r="BI25" s="7">
        <v>0</v>
      </c>
      <c r="BJ25" s="7">
        <v>0</v>
      </c>
      <c r="BK25" s="7">
        <v>0</v>
      </c>
      <c r="BL25" s="7">
        <v>0</v>
      </c>
      <c r="BM25" s="7">
        <v>0</v>
      </c>
      <c r="BN25" s="7">
        <v>0</v>
      </c>
      <c r="BO25" s="7">
        <v>0</v>
      </c>
      <c r="BP25" s="7">
        <v>0</v>
      </c>
      <c r="BQ25" s="7">
        <v>0</v>
      </c>
      <c r="BR25" s="7">
        <v>0</v>
      </c>
      <c r="BS25" s="7">
        <v>0</v>
      </c>
      <c r="BT25" s="7">
        <v>0</v>
      </c>
      <c r="BU25" s="7">
        <v>0</v>
      </c>
      <c r="BV25" s="7">
        <v>0</v>
      </c>
      <c r="BW25" s="7">
        <v>0</v>
      </c>
      <c r="BX25" s="7">
        <v>0</v>
      </c>
      <c r="BY25" s="7">
        <v>0</v>
      </c>
      <c r="BZ25" s="7">
        <v>0</v>
      </c>
      <c r="CA25" s="7">
        <v>0</v>
      </c>
      <c r="CB25" s="7">
        <v>0</v>
      </c>
      <c r="CC25" s="7">
        <v>0</v>
      </c>
      <c r="CD25" s="7">
        <v>0</v>
      </c>
      <c r="CE25" s="7">
        <v>0</v>
      </c>
      <c r="CF25" s="7">
        <v>0</v>
      </c>
      <c r="CG25" s="7">
        <v>0</v>
      </c>
      <c r="CH25" s="7">
        <v>0</v>
      </c>
      <c r="CI25" s="7">
        <v>0</v>
      </c>
      <c r="CJ25" s="7">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 t="shared" si="13"/>
        <v>4.2258279579563645E-6</v>
      </c>
      <c r="CW25" s="7">
        <f t="shared" si="14"/>
        <v>3.9234998540415566E-6</v>
      </c>
    </row>
    <row r="26" spans="1:101" x14ac:dyDescent="0.2">
      <c r="A26" t="str">
        <f t="shared" si="1"/>
        <v>Bicycle, electric (&lt;45 km/h) - 2050 - NMC - CH</v>
      </c>
      <c r="B26" t="s">
        <v>263</v>
      </c>
      <c r="D26" s="18">
        <v>2050</v>
      </c>
      <c r="E26" t="s">
        <v>37</v>
      </c>
      <c r="F26" t="s">
        <v>136</v>
      </c>
      <c r="G26" t="s">
        <v>39</v>
      </c>
      <c r="H26" t="s">
        <v>32</v>
      </c>
      <c r="I26" t="s">
        <v>42</v>
      </c>
      <c r="J26">
        <v>30000</v>
      </c>
      <c r="K26">
        <v>3000</v>
      </c>
      <c r="L26" s="2">
        <f t="shared" si="2"/>
        <v>10</v>
      </c>
      <c r="M26">
        <v>1</v>
      </c>
      <c r="N26">
        <v>75</v>
      </c>
      <c r="O26">
        <v>1</v>
      </c>
      <c r="P26" s="2">
        <f t="shared" si="0"/>
        <v>26.169999999999995</v>
      </c>
      <c r="Q26" s="2">
        <f t="shared" si="3"/>
        <v>102.16999999999999</v>
      </c>
      <c r="R26">
        <v>0.5</v>
      </c>
      <c r="S26" s="2">
        <v>19</v>
      </c>
      <c r="T26" s="1">
        <v>7.0000000000000007E-2</v>
      </c>
      <c r="U26" s="2">
        <f t="shared" si="4"/>
        <v>17.669999999999998</v>
      </c>
      <c r="V26">
        <v>0</v>
      </c>
      <c r="W26">
        <v>4.5999999999999996</v>
      </c>
      <c r="X26" s="3">
        <v>1.5</v>
      </c>
      <c r="Y26" s="1">
        <v>0.8</v>
      </c>
      <c r="Z26" s="3">
        <f t="shared" si="5"/>
        <v>1.2000000000000002</v>
      </c>
      <c r="AA26" s="3">
        <f>IF(I26&lt;&gt;"",X26/INDEX('energy battery'!$B$3:$D$6,MATCH('vehicles specifications'!$D26,'energy battery'!$A$3:$A$6,0),MATCH('vehicles specifications'!$I26,'energy battery'!$B$2:$D$2,0)),"")</f>
        <v>3</v>
      </c>
      <c r="AB26" s="3">
        <f t="shared" si="6"/>
        <v>0.89999999999999991</v>
      </c>
      <c r="AC26" s="3">
        <f t="shared" si="7"/>
        <v>3.9</v>
      </c>
      <c r="AD26">
        <v>0</v>
      </c>
      <c r="AE26">
        <v>0</v>
      </c>
      <c r="AF26">
        <v>0</v>
      </c>
      <c r="AG26">
        <v>0</v>
      </c>
      <c r="AH26">
        <v>0</v>
      </c>
      <c r="AI26">
        <v>0.5</v>
      </c>
      <c r="AJ26">
        <v>1</v>
      </c>
      <c r="AK26" s="6">
        <f t="shared" si="38"/>
        <v>2</v>
      </c>
      <c r="AL26">
        <f t="shared" si="8"/>
        <v>5.4865289999999991E-5</v>
      </c>
      <c r="AM26">
        <v>0</v>
      </c>
      <c r="AN26" s="2">
        <f t="shared" si="9"/>
        <v>17.669999999999998</v>
      </c>
      <c r="AO26" s="2">
        <f t="shared" si="10"/>
        <v>4.5999999999999996</v>
      </c>
      <c r="AP26" s="2">
        <f t="shared" si="11"/>
        <v>3.9</v>
      </c>
      <c r="AQ26" s="6" t="s">
        <v>84</v>
      </c>
      <c r="AR26" s="20"/>
      <c r="AS26" s="5">
        <v>4.5308940859381523E-2</v>
      </c>
      <c r="AT26" s="2">
        <f t="shared" si="12"/>
        <v>95.345420088439695</v>
      </c>
      <c r="AU26" s="5">
        <v>0</v>
      </c>
      <c r="AV26" s="5">
        <v>0</v>
      </c>
      <c r="AW26" s="7">
        <v>0</v>
      </c>
      <c r="AX26" s="7">
        <v>0</v>
      </c>
      <c r="AY26" s="7">
        <v>0</v>
      </c>
      <c r="AZ26" s="7">
        <v>0</v>
      </c>
      <c r="BA26" s="7">
        <v>0</v>
      </c>
      <c r="BB26" s="7">
        <v>0</v>
      </c>
      <c r="BC26" s="7">
        <v>0</v>
      </c>
      <c r="BD26" s="7">
        <v>0</v>
      </c>
      <c r="BE26" s="7">
        <v>0</v>
      </c>
      <c r="BF26" s="7">
        <v>0</v>
      </c>
      <c r="BG26" s="7">
        <v>0</v>
      </c>
      <c r="BH26" s="7">
        <v>0</v>
      </c>
      <c r="BI26" s="7">
        <v>0</v>
      </c>
      <c r="BJ26" s="7">
        <v>0</v>
      </c>
      <c r="BK26" s="7">
        <v>0</v>
      </c>
      <c r="BL26" s="7">
        <v>0</v>
      </c>
      <c r="BM26" s="7">
        <v>0</v>
      </c>
      <c r="BN26" s="7">
        <v>0</v>
      </c>
      <c r="BO26" s="7">
        <v>0</v>
      </c>
      <c r="BP26" s="7">
        <v>0</v>
      </c>
      <c r="BQ26" s="7">
        <v>0</v>
      </c>
      <c r="BR26" s="7">
        <v>0</v>
      </c>
      <c r="BS26" s="7">
        <v>0</v>
      </c>
      <c r="BT26" s="7">
        <v>0</v>
      </c>
      <c r="BU26" s="7">
        <v>0</v>
      </c>
      <c r="BV26" s="7">
        <v>0</v>
      </c>
      <c r="BW26" s="7">
        <v>0</v>
      </c>
      <c r="BX26" s="7">
        <v>0</v>
      </c>
      <c r="BY26" s="7">
        <v>0</v>
      </c>
      <c r="BZ26" s="7">
        <v>0</v>
      </c>
      <c r="CA26" s="7">
        <v>0</v>
      </c>
      <c r="CB26" s="7">
        <v>0</v>
      </c>
      <c r="CC26" s="7">
        <v>0</v>
      </c>
      <c r="CD26" s="7">
        <v>0</v>
      </c>
      <c r="CE26" s="7">
        <v>0</v>
      </c>
      <c r="CF26" s="7">
        <v>0</v>
      </c>
      <c r="CG26" s="7">
        <v>0</v>
      </c>
      <c r="CH26" s="7">
        <v>0</v>
      </c>
      <c r="CI26" s="7">
        <v>0</v>
      </c>
      <c r="CJ26" s="7">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 t="shared" si="13"/>
        <v>4.2313962200767675E-6</v>
      </c>
      <c r="CW26" s="7">
        <f t="shared" si="14"/>
        <v>3.9285145743745862E-6</v>
      </c>
    </row>
    <row r="27" spans="1:101" x14ac:dyDescent="0.2">
      <c r="A27" t="str">
        <f t="shared" si="1"/>
        <v>Bicycle, battery electric, cargo bike - 2020 - NMC - CH</v>
      </c>
      <c r="B27" t="s">
        <v>652</v>
      </c>
      <c r="D27" s="18">
        <v>2020</v>
      </c>
      <c r="E27" t="s">
        <v>37</v>
      </c>
      <c r="F27" t="s">
        <v>136</v>
      </c>
      <c r="G27" t="s">
        <v>39</v>
      </c>
      <c r="H27" t="s">
        <v>32</v>
      </c>
      <c r="I27" t="s">
        <v>42</v>
      </c>
      <c r="J27">
        <v>20000</v>
      </c>
      <c r="K27">
        <v>2000</v>
      </c>
      <c r="L27" s="2">
        <f t="shared" si="2"/>
        <v>10</v>
      </c>
      <c r="M27">
        <v>1</v>
      </c>
      <c r="N27">
        <v>75</v>
      </c>
      <c r="O27">
        <v>50</v>
      </c>
      <c r="P27" s="2">
        <f t="shared" si="0"/>
        <v>45.25</v>
      </c>
      <c r="Q27" s="2">
        <f t="shared" si="3"/>
        <v>170.25</v>
      </c>
      <c r="R27">
        <v>0.25</v>
      </c>
      <c r="S27" s="2">
        <v>38</v>
      </c>
      <c r="T27" s="1">
        <v>0</v>
      </c>
      <c r="U27" s="2">
        <f t="shared" si="4"/>
        <v>38</v>
      </c>
      <c r="V27">
        <v>0</v>
      </c>
      <c r="W27">
        <v>4</v>
      </c>
      <c r="X27" s="3">
        <v>0.5</v>
      </c>
      <c r="Y27" s="1">
        <v>0.8</v>
      </c>
      <c r="Z27" s="3">
        <f t="shared" si="5"/>
        <v>0.4</v>
      </c>
      <c r="AA27" s="3">
        <f>IF(I27&lt;&gt;"",X27/INDEX('energy battery'!$B$3:$D$6,MATCH('vehicles specifications'!$D27,'energy battery'!$A$3:$A$6,0),MATCH('vehicles specifications'!$I27,'energy battery'!$B$2:$D$2,0)),"")</f>
        <v>2.5</v>
      </c>
      <c r="AB27" s="3">
        <f t="shared" si="6"/>
        <v>0.75</v>
      </c>
      <c r="AC27" s="3">
        <f t="shared" si="7"/>
        <v>3.25</v>
      </c>
      <c r="AD27">
        <v>1</v>
      </c>
      <c r="AE27">
        <v>0</v>
      </c>
      <c r="AF27">
        <v>0</v>
      </c>
      <c r="AG27">
        <v>0</v>
      </c>
      <c r="AH27">
        <v>0</v>
      </c>
      <c r="AI27">
        <v>0.5</v>
      </c>
      <c r="AJ27">
        <v>1</v>
      </c>
      <c r="AK27" s="6">
        <f t="shared" si="38"/>
        <v>1.3333333333333333</v>
      </c>
      <c r="AL27">
        <f t="shared" si="8"/>
        <v>9.1424250000000001E-5</v>
      </c>
      <c r="AM27">
        <v>0</v>
      </c>
      <c r="AN27" s="2">
        <f t="shared" si="9"/>
        <v>38</v>
      </c>
      <c r="AO27" s="2">
        <f t="shared" si="10"/>
        <v>4</v>
      </c>
      <c r="AP27" s="2">
        <f t="shared" si="11"/>
        <v>3.25</v>
      </c>
      <c r="AQ27" s="6" t="s">
        <v>84</v>
      </c>
      <c r="AR27" s="20"/>
      <c r="AS27" s="5">
        <v>3.4708323163290214E-2</v>
      </c>
      <c r="AT27" s="2">
        <f t="shared" si="12"/>
        <v>41.48860759493671</v>
      </c>
      <c r="AU27" s="5">
        <v>0</v>
      </c>
      <c r="AV27" s="5">
        <v>0</v>
      </c>
      <c r="AW27" s="7">
        <v>0</v>
      </c>
      <c r="AX27" s="7">
        <v>0</v>
      </c>
      <c r="AY27" s="7">
        <v>0</v>
      </c>
      <c r="AZ27" s="7">
        <v>0</v>
      </c>
      <c r="BA27" s="7">
        <v>0</v>
      </c>
      <c r="BB27" s="7">
        <v>0</v>
      </c>
      <c r="BC27" s="7">
        <v>0</v>
      </c>
      <c r="BD27" s="7">
        <v>0</v>
      </c>
      <c r="BE27" s="7">
        <v>0</v>
      </c>
      <c r="BF27" s="7">
        <v>0</v>
      </c>
      <c r="BG27" s="7">
        <v>0</v>
      </c>
      <c r="BH27" s="7">
        <v>0</v>
      </c>
      <c r="BI27" s="7">
        <v>0</v>
      </c>
      <c r="BJ27" s="7">
        <v>0</v>
      </c>
      <c r="BK27" s="7">
        <v>0</v>
      </c>
      <c r="BL27" s="7">
        <v>0</v>
      </c>
      <c r="BM27" s="7">
        <v>0</v>
      </c>
      <c r="BN27" s="7">
        <v>0</v>
      </c>
      <c r="BO27" s="7">
        <v>0</v>
      </c>
      <c r="BP27" s="7">
        <v>0</v>
      </c>
      <c r="BQ27" s="7">
        <v>0</v>
      </c>
      <c r="BR27" s="7">
        <v>0</v>
      </c>
      <c r="BS27" s="7">
        <v>0</v>
      </c>
      <c r="BT27" s="7">
        <v>0</v>
      </c>
      <c r="BU27" s="7">
        <v>0</v>
      </c>
      <c r="BV27" s="7">
        <v>0</v>
      </c>
      <c r="BW27" s="7">
        <v>0</v>
      </c>
      <c r="BX27" s="7">
        <v>0</v>
      </c>
      <c r="BY27" s="7">
        <v>0</v>
      </c>
      <c r="BZ27" s="7">
        <v>0</v>
      </c>
      <c r="CA27" s="7">
        <v>0</v>
      </c>
      <c r="CB27" s="7">
        <v>0</v>
      </c>
      <c r="CC27" s="7">
        <v>0</v>
      </c>
      <c r="CD27" s="7">
        <v>0</v>
      </c>
      <c r="CE27" s="7">
        <v>0</v>
      </c>
      <c r="CF27" s="7">
        <v>0</v>
      </c>
      <c r="CG27" s="7">
        <v>0</v>
      </c>
      <c r="CH27" s="7">
        <v>0</v>
      </c>
      <c r="CI27" s="7">
        <v>0</v>
      </c>
      <c r="CJ27" s="7">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 t="shared" si="13"/>
        <v>5.307335850102609E-6</v>
      </c>
      <c r="CW27" s="7">
        <f t="shared" si="14"/>
        <v>5.1556634746423041E-6</v>
      </c>
    </row>
    <row r="28" spans="1:101" x14ac:dyDescent="0.2">
      <c r="A28" t="str">
        <f t="shared" si="1"/>
        <v>Bicycle, battery electric, cargo bike - 2030 - NMC - CH</v>
      </c>
      <c r="B28" t="s">
        <v>652</v>
      </c>
      <c r="D28" s="18">
        <v>2030</v>
      </c>
      <c r="E28" t="s">
        <v>37</v>
      </c>
      <c r="F28" t="s">
        <v>136</v>
      </c>
      <c r="G28" t="s">
        <v>39</v>
      </c>
      <c r="H28" t="s">
        <v>32</v>
      </c>
      <c r="I28" t="s">
        <v>42</v>
      </c>
      <c r="J28">
        <v>20000</v>
      </c>
      <c r="K28">
        <v>2000</v>
      </c>
      <c r="L28" s="2">
        <f t="shared" si="2"/>
        <v>10</v>
      </c>
      <c r="M28">
        <v>1</v>
      </c>
      <c r="N28">
        <v>75</v>
      </c>
      <c r="O28">
        <v>50</v>
      </c>
      <c r="P28" s="2">
        <f t="shared" si="0"/>
        <v>43.793333333333329</v>
      </c>
      <c r="Q28" s="2">
        <f t="shared" si="3"/>
        <v>168.79333333333332</v>
      </c>
      <c r="R28">
        <v>0.25</v>
      </c>
      <c r="S28" s="2">
        <v>38</v>
      </c>
      <c r="T28" s="1">
        <v>0.03</v>
      </c>
      <c r="U28" s="2">
        <f t="shared" si="4"/>
        <v>36.86</v>
      </c>
      <c r="V28">
        <v>0</v>
      </c>
      <c r="W28">
        <v>3.9</v>
      </c>
      <c r="X28" s="3">
        <v>0.7</v>
      </c>
      <c r="Y28" s="1">
        <v>0.8</v>
      </c>
      <c r="Z28" s="3">
        <f t="shared" si="5"/>
        <v>0.55999999999999994</v>
      </c>
      <c r="AA28" s="3">
        <f>IF(I28&lt;&gt;"",X28/INDEX('energy battery'!$B$3:$D$6,MATCH('vehicles specifications'!$D28,'energy battery'!$A$3:$A$6,0),MATCH('vehicles specifications'!$I28,'energy battery'!$B$2:$D$2,0)),"")</f>
        <v>2.3333333333333335</v>
      </c>
      <c r="AB28" s="3">
        <f t="shared" si="6"/>
        <v>0.70000000000000007</v>
      </c>
      <c r="AC28" s="3">
        <f t="shared" si="7"/>
        <v>3.0333333333333337</v>
      </c>
      <c r="AD28">
        <v>0.5</v>
      </c>
      <c r="AE28">
        <v>0</v>
      </c>
      <c r="AF28">
        <v>0</v>
      </c>
      <c r="AG28">
        <v>0</v>
      </c>
      <c r="AH28">
        <v>0</v>
      </c>
      <c r="AI28">
        <v>0.5</v>
      </c>
      <c r="AJ28">
        <v>1</v>
      </c>
      <c r="AK28" s="6">
        <f t="shared" si="38"/>
        <v>1.3333333333333333</v>
      </c>
      <c r="AL28">
        <f t="shared" si="8"/>
        <v>9.0642019999999992E-5</v>
      </c>
      <c r="AM28">
        <v>0</v>
      </c>
      <c r="AN28" s="2">
        <f t="shared" si="9"/>
        <v>36.86</v>
      </c>
      <c r="AO28" s="2">
        <f t="shared" si="10"/>
        <v>3.9</v>
      </c>
      <c r="AP28" s="2">
        <f t="shared" si="11"/>
        <v>3.0333333333333337</v>
      </c>
      <c r="AQ28" s="6" t="s">
        <v>84</v>
      </c>
      <c r="AR28" s="20"/>
      <c r="AS28" s="5">
        <v>3.4708323163290214E-2</v>
      </c>
      <c r="AT28" s="2">
        <f t="shared" si="12"/>
        <v>58.084050632911385</v>
      </c>
      <c r="AU28" s="5">
        <v>0</v>
      </c>
      <c r="AV28" s="5">
        <v>0</v>
      </c>
      <c r="AW28" s="7">
        <v>0</v>
      </c>
      <c r="AX28" s="7">
        <v>0</v>
      </c>
      <c r="AY28" s="7">
        <v>0</v>
      </c>
      <c r="AZ28" s="7">
        <v>0</v>
      </c>
      <c r="BA28" s="7">
        <v>0</v>
      </c>
      <c r="BB28" s="7">
        <v>0</v>
      </c>
      <c r="BC28" s="7">
        <v>0</v>
      </c>
      <c r="BD28" s="7">
        <v>0</v>
      </c>
      <c r="BE28" s="7">
        <v>0</v>
      </c>
      <c r="BF28" s="7">
        <v>0</v>
      </c>
      <c r="BG28" s="7">
        <v>0</v>
      </c>
      <c r="BH28" s="7">
        <v>0</v>
      </c>
      <c r="BI28" s="7">
        <v>0</v>
      </c>
      <c r="BJ28" s="7">
        <v>0</v>
      </c>
      <c r="BK28" s="7">
        <v>0</v>
      </c>
      <c r="BL28" s="7">
        <v>0</v>
      </c>
      <c r="BM28" s="7">
        <v>0</v>
      </c>
      <c r="BN28" s="7">
        <v>0</v>
      </c>
      <c r="BO28" s="7">
        <v>0</v>
      </c>
      <c r="BP28" s="7">
        <v>0</v>
      </c>
      <c r="BQ28" s="7">
        <v>0</v>
      </c>
      <c r="BR28" s="7">
        <v>0</v>
      </c>
      <c r="BS28" s="7">
        <v>0</v>
      </c>
      <c r="BT28" s="7">
        <v>0</v>
      </c>
      <c r="BU28" s="7">
        <v>0</v>
      </c>
      <c r="BV28" s="7">
        <v>0</v>
      </c>
      <c r="BW28" s="7">
        <v>0</v>
      </c>
      <c r="BX28" s="7">
        <v>0</v>
      </c>
      <c r="BY28" s="7">
        <v>0</v>
      </c>
      <c r="BZ28" s="7">
        <v>0</v>
      </c>
      <c r="CA28" s="7">
        <v>0</v>
      </c>
      <c r="CB28" s="7">
        <v>0</v>
      </c>
      <c r="CC28" s="7">
        <v>0</v>
      </c>
      <c r="CD28" s="7">
        <v>0</v>
      </c>
      <c r="CE28" s="7">
        <v>0</v>
      </c>
      <c r="CF28" s="7">
        <v>0</v>
      </c>
      <c r="CG28" s="7">
        <v>0</v>
      </c>
      <c r="CH28" s="7">
        <v>0</v>
      </c>
      <c r="CI28" s="7">
        <v>0</v>
      </c>
      <c r="CJ28" s="7">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 t="shared" si="13"/>
        <v>5.2718476303726863E-6</v>
      </c>
      <c r="CW28" s="7">
        <f t="shared" si="14"/>
        <v>5.1220542818673449E-6</v>
      </c>
    </row>
    <row r="29" spans="1:101" x14ac:dyDescent="0.2">
      <c r="A29" t="str">
        <f t="shared" si="1"/>
        <v>Bicycle, battery electric, cargo bike - 2040 - NMC - CH</v>
      </c>
      <c r="B29" t="s">
        <v>652</v>
      </c>
      <c r="D29" s="18">
        <v>2040</v>
      </c>
      <c r="E29" t="s">
        <v>37</v>
      </c>
      <c r="F29" t="s">
        <v>136</v>
      </c>
      <c r="G29" t="s">
        <v>39</v>
      </c>
      <c r="H29" t="s">
        <v>32</v>
      </c>
      <c r="I29" t="s">
        <v>42</v>
      </c>
      <c r="J29">
        <v>20000</v>
      </c>
      <c r="K29">
        <v>2000</v>
      </c>
      <c r="L29" s="2">
        <f t="shared" si="2"/>
        <v>10</v>
      </c>
      <c r="M29">
        <v>1</v>
      </c>
      <c r="N29">
        <v>75</v>
      </c>
      <c r="O29">
        <v>50</v>
      </c>
      <c r="P29" s="2">
        <f t="shared" si="0"/>
        <v>42.5</v>
      </c>
      <c r="Q29" s="2">
        <f t="shared" si="3"/>
        <v>167.5</v>
      </c>
      <c r="R29">
        <v>0.25</v>
      </c>
      <c r="S29" s="2">
        <v>38</v>
      </c>
      <c r="T29" s="1">
        <v>0.05</v>
      </c>
      <c r="U29" s="2">
        <f t="shared" si="4"/>
        <v>36.1</v>
      </c>
      <c r="V29">
        <v>0</v>
      </c>
      <c r="W29">
        <v>3.8</v>
      </c>
      <c r="X29" s="3">
        <v>0.8</v>
      </c>
      <c r="Y29" s="1">
        <v>0.8</v>
      </c>
      <c r="Z29" s="3">
        <f t="shared" si="5"/>
        <v>0.64000000000000012</v>
      </c>
      <c r="AA29" s="3">
        <f>IF(I29&lt;&gt;"",X29/INDEX('energy battery'!$B$3:$D$6,MATCH('vehicles specifications'!$D29,'energy battery'!$A$3:$A$6,0),MATCH('vehicles specifications'!$I29,'energy battery'!$B$2:$D$2,0)),"")</f>
        <v>2</v>
      </c>
      <c r="AB29" s="3">
        <f t="shared" si="6"/>
        <v>0.6</v>
      </c>
      <c r="AC29" s="3">
        <f t="shared" si="7"/>
        <v>2.6</v>
      </c>
      <c r="AD29">
        <v>0.25</v>
      </c>
      <c r="AE29">
        <v>0</v>
      </c>
      <c r="AF29">
        <v>0</v>
      </c>
      <c r="AG29">
        <v>0</v>
      </c>
      <c r="AH29">
        <v>0</v>
      </c>
      <c r="AI29">
        <v>0.5</v>
      </c>
      <c r="AJ29">
        <v>1</v>
      </c>
      <c r="AK29" s="6">
        <f t="shared" si="38"/>
        <v>1.3333333333333333</v>
      </c>
      <c r="AL29">
        <f t="shared" si="8"/>
        <v>8.9947500000000006E-5</v>
      </c>
      <c r="AM29">
        <v>0</v>
      </c>
      <c r="AN29" s="2">
        <f t="shared" si="9"/>
        <v>36.1</v>
      </c>
      <c r="AO29" s="2">
        <f t="shared" si="10"/>
        <v>3.8</v>
      </c>
      <c r="AP29" s="2">
        <f t="shared" si="11"/>
        <v>2.6</v>
      </c>
      <c r="AQ29" s="6" t="s">
        <v>84</v>
      </c>
      <c r="AR29" s="20"/>
      <c r="AS29" s="5">
        <v>3.4708323163290214E-2</v>
      </c>
      <c r="AT29" s="2">
        <f t="shared" si="12"/>
        <v>66.381772151898744</v>
      </c>
      <c r="AU29" s="5">
        <v>0</v>
      </c>
      <c r="AV29" s="5">
        <v>0</v>
      </c>
      <c r="AW29" s="7">
        <v>0</v>
      </c>
      <c r="AX29" s="7">
        <v>0</v>
      </c>
      <c r="AY29" s="7">
        <v>0</v>
      </c>
      <c r="AZ29" s="7">
        <v>0</v>
      </c>
      <c r="BA29" s="7">
        <v>0</v>
      </c>
      <c r="BB29" s="7">
        <v>0</v>
      </c>
      <c r="BC29" s="7">
        <v>0</v>
      </c>
      <c r="BD29" s="7">
        <v>0</v>
      </c>
      <c r="BE29" s="7">
        <v>0</v>
      </c>
      <c r="BF29" s="7">
        <v>0</v>
      </c>
      <c r="BG29" s="7">
        <v>0</v>
      </c>
      <c r="BH29" s="7">
        <v>0</v>
      </c>
      <c r="BI29" s="7">
        <v>0</v>
      </c>
      <c r="BJ29" s="7">
        <v>0</v>
      </c>
      <c r="BK29" s="7">
        <v>0</v>
      </c>
      <c r="BL29" s="7">
        <v>0</v>
      </c>
      <c r="BM29" s="7">
        <v>0</v>
      </c>
      <c r="BN29" s="7">
        <v>0</v>
      </c>
      <c r="BO29" s="7">
        <v>0</v>
      </c>
      <c r="BP29" s="7">
        <v>0</v>
      </c>
      <c r="BQ29" s="7">
        <v>0</v>
      </c>
      <c r="BR29" s="7">
        <v>0</v>
      </c>
      <c r="BS29" s="7">
        <v>0</v>
      </c>
      <c r="BT29" s="7">
        <v>0</v>
      </c>
      <c r="BU29" s="7">
        <v>0</v>
      </c>
      <c r="BV29" s="7">
        <v>0</v>
      </c>
      <c r="BW29" s="7">
        <v>0</v>
      </c>
      <c r="BX29" s="7">
        <v>0</v>
      </c>
      <c r="BY29" s="7">
        <v>0</v>
      </c>
      <c r="BZ29" s="7">
        <v>0</v>
      </c>
      <c r="CA29" s="7">
        <v>0</v>
      </c>
      <c r="CB29" s="7">
        <v>0</v>
      </c>
      <c r="CC29" s="7">
        <v>0</v>
      </c>
      <c r="CD29" s="7">
        <v>0</v>
      </c>
      <c r="CE29" s="7">
        <v>0</v>
      </c>
      <c r="CF29" s="7">
        <v>0</v>
      </c>
      <c r="CG29" s="7">
        <v>0</v>
      </c>
      <c r="CH29" s="7">
        <v>0</v>
      </c>
      <c r="CI29" s="7">
        <v>0</v>
      </c>
      <c r="CJ29" s="7">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 t="shared" si="13"/>
        <v>5.2399420093405223E-6</v>
      </c>
      <c r="CW29" s="7">
        <f t="shared" si="14"/>
        <v>5.0919597087390986E-6</v>
      </c>
    </row>
    <row r="30" spans="1:101" x14ac:dyDescent="0.2">
      <c r="A30" t="str">
        <f t="shared" si="1"/>
        <v>Bicycle, battery electric, cargo bike - 2050 - NMC - CH</v>
      </c>
      <c r="B30" t="s">
        <v>652</v>
      </c>
      <c r="D30" s="18">
        <v>2050</v>
      </c>
      <c r="E30" t="s">
        <v>37</v>
      </c>
      <c r="F30" t="s">
        <v>136</v>
      </c>
      <c r="G30" t="s">
        <v>39</v>
      </c>
      <c r="H30" t="s">
        <v>32</v>
      </c>
      <c r="I30" t="s">
        <v>42</v>
      </c>
      <c r="J30">
        <v>20000</v>
      </c>
      <c r="K30">
        <v>2000</v>
      </c>
      <c r="L30" s="2">
        <f t="shared" si="2"/>
        <v>10</v>
      </c>
      <c r="M30">
        <v>1</v>
      </c>
      <c r="N30">
        <v>75</v>
      </c>
      <c r="O30">
        <v>50</v>
      </c>
      <c r="P30" s="2">
        <f t="shared" si="0"/>
        <v>41.64</v>
      </c>
      <c r="Q30" s="2">
        <f t="shared" si="3"/>
        <v>166.64</v>
      </c>
      <c r="R30">
        <v>0.25</v>
      </c>
      <c r="S30" s="2">
        <v>38</v>
      </c>
      <c r="T30" s="1">
        <v>7.0000000000000007E-2</v>
      </c>
      <c r="U30" s="2">
        <f t="shared" si="4"/>
        <v>35.339999999999996</v>
      </c>
      <c r="V30">
        <v>0</v>
      </c>
      <c r="W30">
        <v>3.7</v>
      </c>
      <c r="X30" s="3">
        <v>1</v>
      </c>
      <c r="Y30" s="1">
        <v>0.8</v>
      </c>
      <c r="Z30" s="3">
        <f t="shared" si="5"/>
        <v>0.8</v>
      </c>
      <c r="AA30" s="3">
        <f>IF(I30&lt;&gt;"",X30/INDEX('energy battery'!$B$3:$D$6,MATCH('vehicles specifications'!$D30,'energy battery'!$A$3:$A$6,0),MATCH('vehicles specifications'!$I30,'energy battery'!$B$2:$D$2,0)),"")</f>
        <v>2</v>
      </c>
      <c r="AB30" s="3">
        <f t="shared" si="6"/>
        <v>0.6</v>
      </c>
      <c r="AC30" s="3">
        <f t="shared" si="7"/>
        <v>2.6</v>
      </c>
      <c r="AD30">
        <v>0</v>
      </c>
      <c r="AE30">
        <v>0</v>
      </c>
      <c r="AF30">
        <v>0</v>
      </c>
      <c r="AG30">
        <v>0</v>
      </c>
      <c r="AH30">
        <v>0</v>
      </c>
      <c r="AI30">
        <v>0.5</v>
      </c>
      <c r="AJ30">
        <v>1</v>
      </c>
      <c r="AK30" s="6">
        <f t="shared" si="38"/>
        <v>1.3333333333333333</v>
      </c>
      <c r="AL30">
        <f t="shared" si="8"/>
        <v>8.9485679999999995E-5</v>
      </c>
      <c r="AM30">
        <v>0</v>
      </c>
      <c r="AN30" s="2">
        <f t="shared" si="9"/>
        <v>35.339999999999996</v>
      </c>
      <c r="AO30" s="2">
        <f t="shared" si="10"/>
        <v>3.7</v>
      </c>
      <c r="AP30" s="2">
        <f t="shared" si="11"/>
        <v>2.6</v>
      </c>
      <c r="AQ30" s="6" t="s">
        <v>84</v>
      </c>
      <c r="AR30" s="20"/>
      <c r="AS30" s="5">
        <v>3.4708323163290214E-2</v>
      </c>
      <c r="AT30" s="2">
        <f t="shared" si="12"/>
        <v>82.977215189873419</v>
      </c>
      <c r="AU30" s="5">
        <v>0</v>
      </c>
      <c r="AV30" s="5">
        <v>0</v>
      </c>
      <c r="AW30" s="7">
        <v>0</v>
      </c>
      <c r="AX30" s="7">
        <v>0</v>
      </c>
      <c r="AY30" s="7">
        <v>0</v>
      </c>
      <c r="AZ30" s="7">
        <v>0</v>
      </c>
      <c r="BA30" s="7">
        <v>0</v>
      </c>
      <c r="BB30" s="7">
        <v>0</v>
      </c>
      <c r="BC30" s="7">
        <v>0</v>
      </c>
      <c r="BD30" s="7">
        <v>0</v>
      </c>
      <c r="BE30" s="7">
        <v>0</v>
      </c>
      <c r="BF30" s="7">
        <v>0</v>
      </c>
      <c r="BG30" s="7">
        <v>0</v>
      </c>
      <c r="BH30" s="7">
        <v>0</v>
      </c>
      <c r="BI30" s="7">
        <v>0</v>
      </c>
      <c r="BJ30" s="7">
        <v>0</v>
      </c>
      <c r="BK30" s="7">
        <v>0</v>
      </c>
      <c r="BL30" s="7">
        <v>0</v>
      </c>
      <c r="BM30" s="7">
        <v>0</v>
      </c>
      <c r="BN30" s="7">
        <v>0</v>
      </c>
      <c r="BO30" s="7">
        <v>0</v>
      </c>
      <c r="BP30" s="7">
        <v>0</v>
      </c>
      <c r="BQ30" s="7">
        <v>0</v>
      </c>
      <c r="BR30" s="7">
        <v>0</v>
      </c>
      <c r="BS30" s="7">
        <v>0</v>
      </c>
      <c r="BT30" s="7">
        <v>0</v>
      </c>
      <c r="BU30" s="7">
        <v>0</v>
      </c>
      <c r="BV30" s="7">
        <v>0</v>
      </c>
      <c r="BW30" s="7">
        <v>0</v>
      </c>
      <c r="BX30" s="7">
        <v>0</v>
      </c>
      <c r="BY30" s="7">
        <v>0</v>
      </c>
      <c r="BZ30" s="7">
        <v>0</v>
      </c>
      <c r="CA30" s="7">
        <v>0</v>
      </c>
      <c r="CB30" s="7">
        <v>0</v>
      </c>
      <c r="CC30" s="7">
        <v>0</v>
      </c>
      <c r="CD30" s="7">
        <v>0</v>
      </c>
      <c r="CE30" s="7">
        <v>0</v>
      </c>
      <c r="CF30" s="7">
        <v>0</v>
      </c>
      <c r="CG30" s="7">
        <v>0</v>
      </c>
      <c r="CH30" s="7">
        <v>0</v>
      </c>
      <c r="CI30" s="7">
        <v>0</v>
      </c>
      <c r="CJ30" s="7">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 t="shared" si="13"/>
        <v>5.2185117330067561E-6</v>
      </c>
      <c r="CW30" s="7">
        <f t="shared" si="14"/>
        <v>5.0718117291060781E-6</v>
      </c>
    </row>
    <row r="31" spans="1:101" x14ac:dyDescent="0.2">
      <c r="A31" t="str">
        <f t="shared" ref="A31:A42" si="39">B31&amp;" - "&amp;D31&amp;" - "&amp;IF(I31&lt;&gt;"",I31&amp;" - "&amp;E31,E31)</f>
        <v>Bicycle, electric (&lt;25 km/h) - 2020 - LFP - CH</v>
      </c>
      <c r="B31" t="s">
        <v>262</v>
      </c>
      <c r="D31" s="18">
        <v>2020</v>
      </c>
      <c r="E31" t="s">
        <v>37</v>
      </c>
      <c r="F31" t="s">
        <v>136</v>
      </c>
      <c r="G31" t="s">
        <v>39</v>
      </c>
      <c r="H31" t="s">
        <v>32</v>
      </c>
      <c r="I31" t="s">
        <v>43</v>
      </c>
      <c r="J31">
        <v>20000</v>
      </c>
      <c r="K31">
        <v>2000</v>
      </c>
      <c r="L31" s="2">
        <f t="shared" ref="L31:L42" si="40">J31/K31</f>
        <v>10</v>
      </c>
      <c r="M31">
        <v>1</v>
      </c>
      <c r="N31">
        <v>75</v>
      </c>
      <c r="O31">
        <v>1</v>
      </c>
      <c r="P31" s="2">
        <f t="shared" ref="P31:P42" si="41">SUM(U31,V31,W31,AC31,AF31,AH31)</f>
        <v>24</v>
      </c>
      <c r="Q31" s="2">
        <f t="shared" ref="Q31:Q42" si="42">P31+(M31*N31)+O31</f>
        <v>100</v>
      </c>
      <c r="R31">
        <v>0.25</v>
      </c>
      <c r="S31" s="2">
        <v>16</v>
      </c>
      <c r="T31" s="1">
        <v>0</v>
      </c>
      <c r="U31" s="2">
        <f t="shared" ref="U31:U42" si="43">S31*(1-T31)</f>
        <v>16</v>
      </c>
      <c r="V31">
        <v>0</v>
      </c>
      <c r="W31">
        <v>4</v>
      </c>
      <c r="X31" s="3">
        <v>0.5</v>
      </c>
      <c r="Y31" s="1">
        <v>0.8</v>
      </c>
      <c r="Z31" s="3">
        <f t="shared" ref="Z31:Z42" si="44">Y31*X31</f>
        <v>0.4</v>
      </c>
      <c r="AA31" s="3">
        <f>IF(I31&lt;&gt;"",X31/INDEX('energy battery'!$B$3:$D$6,MATCH('vehicles specifications'!$D31,'energy battery'!$A$3:$A$6,0),MATCH('vehicles specifications'!$I31,'energy battery'!$B$2:$D$2,0)),"")</f>
        <v>3.3333333333333335</v>
      </c>
      <c r="AB31" s="3">
        <f>IF(AA31&lt;&gt;"",0.2*AA31,"")</f>
        <v>0.66666666666666674</v>
      </c>
      <c r="AC31" s="3">
        <f t="shared" ref="AC31:AC42" si="45">IF(AA31&lt;&gt;"",AB31+AA31,"")</f>
        <v>4</v>
      </c>
      <c r="AD31">
        <v>1</v>
      </c>
      <c r="AE31">
        <v>0</v>
      </c>
      <c r="AF31">
        <v>0</v>
      </c>
      <c r="AG31">
        <v>0</v>
      </c>
      <c r="AH31">
        <v>0</v>
      </c>
      <c r="AI31">
        <v>0.5</v>
      </c>
      <c r="AJ31">
        <v>1</v>
      </c>
      <c r="AK31" s="6">
        <f t="shared" si="38"/>
        <v>1.3333333333333333</v>
      </c>
      <c r="AL31">
        <f t="shared" ref="AL31:AL42" si="46">0.000537/1000*Q31</f>
        <v>5.3699999999999997E-5</v>
      </c>
      <c r="AM31">
        <v>0</v>
      </c>
      <c r="AN31" s="2">
        <f t="shared" ref="AN31:AN42" si="47">U31</f>
        <v>16</v>
      </c>
      <c r="AO31" s="2">
        <f t="shared" ref="AO31:AO42" si="48">SUM(V31:W31)</f>
        <v>4</v>
      </c>
      <c r="AP31" s="2">
        <f t="shared" ref="AP31:AP42" si="49">AC31</f>
        <v>4</v>
      </c>
      <c r="AQ31" s="6" t="s">
        <v>84</v>
      </c>
      <c r="AR31" s="20"/>
      <c r="AS31" s="5">
        <v>2.4670639149862349E-2</v>
      </c>
      <c r="AT31" s="2">
        <f t="shared" si="12"/>
        <v>58.368978251949123</v>
      </c>
      <c r="AU31" s="5">
        <v>0</v>
      </c>
      <c r="AV31" s="5">
        <v>0</v>
      </c>
      <c r="AW31" s="7">
        <v>0</v>
      </c>
      <c r="AX31" s="7">
        <v>0</v>
      </c>
      <c r="AY31" s="7">
        <v>0</v>
      </c>
      <c r="AZ31" s="7">
        <v>0</v>
      </c>
      <c r="BA31" s="7">
        <v>0</v>
      </c>
      <c r="BB31" s="7">
        <v>0</v>
      </c>
      <c r="BC31" s="7">
        <v>0</v>
      </c>
      <c r="BD31" s="7">
        <v>0</v>
      </c>
      <c r="BE31" s="7">
        <v>0</v>
      </c>
      <c r="BF31" s="7">
        <v>0</v>
      </c>
      <c r="BG31" s="7">
        <v>0</v>
      </c>
      <c r="BH31" s="7">
        <v>0</v>
      </c>
      <c r="BI31" s="7">
        <v>0</v>
      </c>
      <c r="BJ31" s="7">
        <v>0</v>
      </c>
      <c r="BK31" s="7">
        <v>0</v>
      </c>
      <c r="BL31" s="7">
        <v>0</v>
      </c>
      <c r="BM31" s="7">
        <v>0</v>
      </c>
      <c r="BN31" s="7">
        <v>0</v>
      </c>
      <c r="BO31" s="7">
        <v>0</v>
      </c>
      <c r="BP31" s="7">
        <v>0</v>
      </c>
      <c r="BQ31" s="7">
        <v>0</v>
      </c>
      <c r="BR31" s="7">
        <v>0</v>
      </c>
      <c r="BS31" s="7">
        <v>0</v>
      </c>
      <c r="BT31" s="7">
        <v>0</v>
      </c>
      <c r="BU31" s="7">
        <v>0</v>
      </c>
      <c r="BV31" s="7">
        <v>0</v>
      </c>
      <c r="BW31" s="7">
        <v>0</v>
      </c>
      <c r="BX31" s="7">
        <v>0</v>
      </c>
      <c r="BY31" s="7">
        <v>0</v>
      </c>
      <c r="BZ31" s="7">
        <v>0</v>
      </c>
      <c r="CA31" s="7">
        <v>0</v>
      </c>
      <c r="CB31" s="7">
        <v>0</v>
      </c>
      <c r="CC31" s="7">
        <v>0</v>
      </c>
      <c r="CD31" s="7">
        <v>0</v>
      </c>
      <c r="CE31" s="7">
        <v>0</v>
      </c>
      <c r="CF31" s="7">
        <v>0</v>
      </c>
      <c r="CG31" s="7">
        <v>0</v>
      </c>
      <c r="CH31" s="7">
        <v>0</v>
      </c>
      <c r="CI31" s="7">
        <v>0</v>
      </c>
      <c r="CJ31" s="7">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 t="shared" si="13"/>
        <v>4.1591895278234826E-6</v>
      </c>
      <c r="CW31" s="7">
        <f t="shared" si="14"/>
        <v>3.86381934741146E-6</v>
      </c>
    </row>
    <row r="32" spans="1:101" x14ac:dyDescent="0.2">
      <c r="A32" t="str">
        <f t="shared" si="39"/>
        <v>Bicycle, electric (&lt;25 km/h) - 2030 - LFP - CH</v>
      </c>
      <c r="B32" t="s">
        <v>262</v>
      </c>
      <c r="D32" s="18">
        <v>2030</v>
      </c>
      <c r="E32" t="s">
        <v>37</v>
      </c>
      <c r="F32" t="s">
        <v>136</v>
      </c>
      <c r="G32" t="s">
        <v>39</v>
      </c>
      <c r="H32" t="s">
        <v>32</v>
      </c>
      <c r="I32" t="s">
        <v>43</v>
      </c>
      <c r="J32">
        <v>20000</v>
      </c>
      <c r="K32">
        <v>2000</v>
      </c>
      <c r="L32" s="2">
        <f t="shared" si="40"/>
        <v>10</v>
      </c>
      <c r="M32">
        <v>1</v>
      </c>
      <c r="N32">
        <v>75</v>
      </c>
      <c r="O32">
        <v>1</v>
      </c>
      <c r="P32" s="2">
        <f t="shared" si="41"/>
        <v>24.75333333333333</v>
      </c>
      <c r="Q32" s="2">
        <f t="shared" si="42"/>
        <v>100.75333333333333</v>
      </c>
      <c r="R32">
        <v>0.25</v>
      </c>
      <c r="S32" s="2">
        <v>16</v>
      </c>
      <c r="T32" s="1">
        <v>0.03</v>
      </c>
      <c r="U32" s="2">
        <f t="shared" si="43"/>
        <v>15.52</v>
      </c>
      <c r="V32">
        <v>0</v>
      </c>
      <c r="W32">
        <v>3.9</v>
      </c>
      <c r="X32" s="3">
        <v>0.8</v>
      </c>
      <c r="Y32" s="1">
        <v>0.8</v>
      </c>
      <c r="Z32" s="3">
        <f t="shared" si="44"/>
        <v>0.64000000000000012</v>
      </c>
      <c r="AA32" s="3">
        <f>IF(I32&lt;&gt;"",X32/INDEX('energy battery'!$B$3:$D$6,MATCH('vehicles specifications'!$D32,'energy battery'!$A$3:$A$6,0),MATCH('vehicles specifications'!$I32,'energy battery'!$B$2:$D$2,0)),"")</f>
        <v>4.4444444444444446</v>
      </c>
      <c r="AB32" s="3">
        <f t="shared" ref="AB32:AB34" si="50">IF(AA32&lt;&gt;"",0.2*AA32,"")</f>
        <v>0.88888888888888895</v>
      </c>
      <c r="AC32" s="3">
        <f t="shared" si="45"/>
        <v>5.3333333333333339</v>
      </c>
      <c r="AD32">
        <v>0.5</v>
      </c>
      <c r="AE32">
        <v>0</v>
      </c>
      <c r="AF32">
        <v>0</v>
      </c>
      <c r="AG32">
        <v>0</v>
      </c>
      <c r="AH32">
        <v>0</v>
      </c>
      <c r="AI32">
        <v>0.5</v>
      </c>
      <c r="AJ32">
        <v>1</v>
      </c>
      <c r="AK32" s="6">
        <f t="shared" si="38"/>
        <v>1.3333333333333333</v>
      </c>
      <c r="AL32">
        <f t="shared" si="46"/>
        <v>5.410454E-5</v>
      </c>
      <c r="AM32">
        <v>0</v>
      </c>
      <c r="AN32" s="2">
        <f t="shared" si="47"/>
        <v>15.52</v>
      </c>
      <c r="AO32" s="2">
        <f t="shared" si="48"/>
        <v>3.9</v>
      </c>
      <c r="AP32" s="2">
        <f t="shared" si="49"/>
        <v>5.3333333333333339</v>
      </c>
      <c r="AQ32" s="6" t="s">
        <v>84</v>
      </c>
      <c r="AR32" s="20"/>
      <c r="AS32" s="5">
        <v>2.4670639149862349E-2</v>
      </c>
      <c r="AT32" s="2">
        <f t="shared" si="12"/>
        <v>93.390365203118606</v>
      </c>
      <c r="AU32" s="5">
        <v>0</v>
      </c>
      <c r="AV32" s="5">
        <v>0</v>
      </c>
      <c r="AW32" s="7">
        <v>0</v>
      </c>
      <c r="AX32" s="7">
        <v>0</v>
      </c>
      <c r="AY32" s="7">
        <v>0</v>
      </c>
      <c r="AZ32" s="7">
        <v>0</v>
      </c>
      <c r="BA32" s="7">
        <v>0</v>
      </c>
      <c r="BB32" s="7">
        <v>0</v>
      </c>
      <c r="BC32" s="7">
        <v>0</v>
      </c>
      <c r="BD32" s="7">
        <v>0</v>
      </c>
      <c r="BE32" s="7">
        <v>0</v>
      </c>
      <c r="BF32" s="7">
        <v>0</v>
      </c>
      <c r="BG32" s="7">
        <v>0</v>
      </c>
      <c r="BH32" s="7">
        <v>0</v>
      </c>
      <c r="BI32" s="7">
        <v>0</v>
      </c>
      <c r="BJ32" s="7">
        <v>0</v>
      </c>
      <c r="BK32" s="7">
        <v>0</v>
      </c>
      <c r="BL32" s="7">
        <v>0</v>
      </c>
      <c r="BM32" s="7">
        <v>0</v>
      </c>
      <c r="BN32" s="7">
        <v>0</v>
      </c>
      <c r="BO32" s="7">
        <v>0</v>
      </c>
      <c r="BP32" s="7">
        <v>0</v>
      </c>
      <c r="BQ32" s="7">
        <v>0</v>
      </c>
      <c r="BR32" s="7">
        <v>0</v>
      </c>
      <c r="BS32" s="7">
        <v>0</v>
      </c>
      <c r="BT32" s="7">
        <v>0</v>
      </c>
      <c r="BU32" s="7">
        <v>0</v>
      </c>
      <c r="BV32" s="7">
        <v>0</v>
      </c>
      <c r="BW32" s="7">
        <v>0</v>
      </c>
      <c r="BX32" s="7">
        <v>0</v>
      </c>
      <c r="BY32" s="7">
        <v>0</v>
      </c>
      <c r="BZ32" s="7">
        <v>0</v>
      </c>
      <c r="CA32" s="7">
        <v>0</v>
      </c>
      <c r="CB32" s="7">
        <v>0</v>
      </c>
      <c r="CC32" s="7">
        <v>0</v>
      </c>
      <c r="CD32" s="7">
        <v>0</v>
      </c>
      <c r="CE32" s="7">
        <v>0</v>
      </c>
      <c r="CF32" s="7">
        <v>0</v>
      </c>
      <c r="CG32" s="7">
        <v>0</v>
      </c>
      <c r="CH32" s="7">
        <v>0</v>
      </c>
      <c r="CI32" s="7">
        <v>0</v>
      </c>
      <c r="CJ32" s="7">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 t="shared" si="13"/>
        <v>4.1845408894143447E-6</v>
      </c>
      <c r="CW32" s="7">
        <f t="shared" si="14"/>
        <v>3.8864503090339279E-6</v>
      </c>
    </row>
    <row r="33" spans="1:101" x14ac:dyDescent="0.2">
      <c r="A33" t="str">
        <f t="shared" si="39"/>
        <v>Bicycle, electric (&lt;25 km/h) - 2040 - LFP - CH</v>
      </c>
      <c r="B33" t="s">
        <v>262</v>
      </c>
      <c r="D33" s="18">
        <v>2040</v>
      </c>
      <c r="E33" t="s">
        <v>37</v>
      </c>
      <c r="F33" t="s">
        <v>136</v>
      </c>
      <c r="G33" t="s">
        <v>39</v>
      </c>
      <c r="H33" t="s">
        <v>32</v>
      </c>
      <c r="I33" t="s">
        <v>43</v>
      </c>
      <c r="J33">
        <v>20000</v>
      </c>
      <c r="K33">
        <v>2000</v>
      </c>
      <c r="L33" s="2">
        <f t="shared" si="40"/>
        <v>10</v>
      </c>
      <c r="M33">
        <v>1</v>
      </c>
      <c r="N33">
        <v>75</v>
      </c>
      <c r="O33">
        <v>1</v>
      </c>
      <c r="P33" s="2">
        <f t="shared" si="41"/>
        <v>25.666666666666664</v>
      </c>
      <c r="Q33" s="2">
        <f t="shared" si="42"/>
        <v>101.66666666666666</v>
      </c>
      <c r="R33">
        <v>0.25</v>
      </c>
      <c r="S33" s="2">
        <v>16</v>
      </c>
      <c r="T33" s="1">
        <v>0.05</v>
      </c>
      <c r="U33" s="2">
        <f t="shared" si="43"/>
        <v>15.2</v>
      </c>
      <c r="V33">
        <v>0</v>
      </c>
      <c r="W33">
        <v>3.8</v>
      </c>
      <c r="X33" s="3">
        <v>1</v>
      </c>
      <c r="Y33" s="1">
        <v>0.8</v>
      </c>
      <c r="Z33" s="3">
        <f t="shared" si="44"/>
        <v>0.8</v>
      </c>
      <c r="AA33" s="3">
        <f>IF(I33&lt;&gt;"",X33/INDEX('energy battery'!$B$3:$D$6,MATCH('vehicles specifications'!$D33,'energy battery'!$A$3:$A$6,0),MATCH('vehicles specifications'!$I33,'energy battery'!$B$2:$D$2,0)),"")</f>
        <v>5.5555555555555554</v>
      </c>
      <c r="AB33" s="3">
        <f t="shared" si="50"/>
        <v>1.1111111111111112</v>
      </c>
      <c r="AC33" s="3">
        <f t="shared" si="45"/>
        <v>6.6666666666666661</v>
      </c>
      <c r="AD33">
        <v>0.25</v>
      </c>
      <c r="AE33">
        <v>0</v>
      </c>
      <c r="AF33">
        <v>0</v>
      </c>
      <c r="AG33">
        <v>0</v>
      </c>
      <c r="AH33">
        <v>0</v>
      </c>
      <c r="AI33">
        <v>0.5</v>
      </c>
      <c r="AJ33">
        <v>1</v>
      </c>
      <c r="AK33" s="6">
        <f t="shared" si="38"/>
        <v>1.3333333333333333</v>
      </c>
      <c r="AL33">
        <f t="shared" si="46"/>
        <v>5.4594999999999995E-5</v>
      </c>
      <c r="AM33">
        <v>0</v>
      </c>
      <c r="AN33" s="2">
        <f t="shared" si="47"/>
        <v>15.2</v>
      </c>
      <c r="AO33" s="2">
        <f t="shared" si="48"/>
        <v>3.8</v>
      </c>
      <c r="AP33" s="2">
        <f t="shared" si="49"/>
        <v>6.6666666666666661</v>
      </c>
      <c r="AQ33" s="6" t="s">
        <v>84</v>
      </c>
      <c r="AR33" s="20"/>
      <c r="AS33" s="5">
        <v>2.4670639149862349E-2</v>
      </c>
      <c r="AT33" s="2">
        <f t="shared" si="12"/>
        <v>116.73795650389825</v>
      </c>
      <c r="AU33" s="5">
        <v>0</v>
      </c>
      <c r="AV33" s="5">
        <v>0</v>
      </c>
      <c r="AW33" s="7">
        <v>0</v>
      </c>
      <c r="AX33" s="7">
        <v>0</v>
      </c>
      <c r="AY33" s="7">
        <v>0</v>
      </c>
      <c r="AZ33" s="7">
        <v>0</v>
      </c>
      <c r="BA33" s="7">
        <v>0</v>
      </c>
      <c r="BB33" s="7">
        <v>0</v>
      </c>
      <c r="BC33" s="7">
        <v>0</v>
      </c>
      <c r="BD33" s="7">
        <v>0</v>
      </c>
      <c r="BE33" s="7">
        <v>0</v>
      </c>
      <c r="BF33" s="7">
        <v>0</v>
      </c>
      <c r="BG33" s="7">
        <v>0</v>
      </c>
      <c r="BH33" s="7">
        <v>0</v>
      </c>
      <c r="BI33" s="7">
        <v>0</v>
      </c>
      <c r="BJ33" s="7">
        <v>0</v>
      </c>
      <c r="BK33" s="7">
        <v>0</v>
      </c>
      <c r="BL33" s="7">
        <v>0</v>
      </c>
      <c r="BM33" s="7">
        <v>0</v>
      </c>
      <c r="BN33" s="7">
        <v>0</v>
      </c>
      <c r="BO33" s="7">
        <v>0</v>
      </c>
      <c r="BP33" s="7">
        <v>0</v>
      </c>
      <c r="BQ33" s="7">
        <v>0</v>
      </c>
      <c r="BR33" s="7">
        <v>0</v>
      </c>
      <c r="BS33" s="7">
        <v>0</v>
      </c>
      <c r="BT33" s="7">
        <v>0</v>
      </c>
      <c r="BU33" s="7">
        <v>0</v>
      </c>
      <c r="BV33" s="7">
        <v>0</v>
      </c>
      <c r="BW33" s="7">
        <v>0</v>
      </c>
      <c r="BX33" s="7">
        <v>0</v>
      </c>
      <c r="BY33" s="7">
        <v>0</v>
      </c>
      <c r="BZ33" s="7">
        <v>0</v>
      </c>
      <c r="CA33" s="7">
        <v>0</v>
      </c>
      <c r="CB33" s="7">
        <v>0</v>
      </c>
      <c r="CC33" s="7">
        <v>0</v>
      </c>
      <c r="CD33" s="7">
        <v>0</v>
      </c>
      <c r="CE33" s="7">
        <v>0</v>
      </c>
      <c r="CF33" s="7">
        <v>0</v>
      </c>
      <c r="CG33" s="7">
        <v>0</v>
      </c>
      <c r="CH33" s="7">
        <v>0</v>
      </c>
      <c r="CI33" s="7">
        <v>0</v>
      </c>
      <c r="CJ33" s="7">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 t="shared" si="13"/>
        <v>4.214867464251057E-6</v>
      </c>
      <c r="CW33" s="7">
        <f t="shared" si="14"/>
        <v>3.9136413205889548E-6</v>
      </c>
    </row>
    <row r="34" spans="1:101" x14ac:dyDescent="0.2">
      <c r="A34" t="str">
        <f t="shared" si="39"/>
        <v>Bicycle, electric (&lt;25 km/h) - 2050 - LFP - CH</v>
      </c>
      <c r="B34" t="s">
        <v>262</v>
      </c>
      <c r="D34" s="18">
        <v>2050</v>
      </c>
      <c r="E34" t="s">
        <v>37</v>
      </c>
      <c r="F34" t="s">
        <v>136</v>
      </c>
      <c r="G34" t="s">
        <v>39</v>
      </c>
      <c r="H34" t="s">
        <v>32</v>
      </c>
      <c r="I34" t="s">
        <v>43</v>
      </c>
      <c r="J34">
        <v>20000</v>
      </c>
      <c r="K34">
        <v>2000</v>
      </c>
      <c r="L34" s="2">
        <f t="shared" si="40"/>
        <v>10</v>
      </c>
      <c r="M34">
        <v>1</v>
      </c>
      <c r="N34">
        <v>75</v>
      </c>
      <c r="O34">
        <v>1</v>
      </c>
      <c r="P34" s="2">
        <f t="shared" si="41"/>
        <v>27.58</v>
      </c>
      <c r="Q34" s="2">
        <f t="shared" si="42"/>
        <v>103.58</v>
      </c>
      <c r="R34">
        <v>0.25</v>
      </c>
      <c r="S34" s="2">
        <v>16</v>
      </c>
      <c r="T34" s="1">
        <v>7.0000000000000007E-2</v>
      </c>
      <c r="U34" s="2">
        <f t="shared" si="43"/>
        <v>14.879999999999999</v>
      </c>
      <c r="V34">
        <v>0</v>
      </c>
      <c r="W34">
        <v>3.7</v>
      </c>
      <c r="X34" s="3">
        <v>1.5</v>
      </c>
      <c r="Y34" s="1">
        <v>0.8</v>
      </c>
      <c r="Z34" s="3">
        <f t="shared" si="44"/>
        <v>1.2000000000000002</v>
      </c>
      <c r="AA34" s="3">
        <f>IF(I34&lt;&gt;"",X34/INDEX('energy battery'!$B$3:$D$6,MATCH('vehicles specifications'!$D34,'energy battery'!$A$3:$A$6,0),MATCH('vehicles specifications'!$I34,'energy battery'!$B$2:$D$2,0)),"")</f>
        <v>7.5</v>
      </c>
      <c r="AB34" s="3">
        <f t="shared" si="50"/>
        <v>1.5</v>
      </c>
      <c r="AC34" s="3">
        <f t="shared" si="45"/>
        <v>9</v>
      </c>
      <c r="AD34">
        <v>0</v>
      </c>
      <c r="AE34">
        <v>0</v>
      </c>
      <c r="AF34">
        <v>0</v>
      </c>
      <c r="AG34">
        <v>0</v>
      </c>
      <c r="AH34">
        <v>0</v>
      </c>
      <c r="AI34">
        <v>0.5</v>
      </c>
      <c r="AJ34">
        <v>1</v>
      </c>
      <c r="AK34" s="6">
        <f t="shared" si="38"/>
        <v>1.3333333333333333</v>
      </c>
      <c r="AL34">
        <f t="shared" si="46"/>
        <v>5.5622460000000002E-5</v>
      </c>
      <c r="AM34">
        <v>0</v>
      </c>
      <c r="AN34" s="2">
        <f t="shared" si="47"/>
        <v>14.879999999999999</v>
      </c>
      <c r="AO34" s="2">
        <f t="shared" si="48"/>
        <v>3.7</v>
      </c>
      <c r="AP34" s="2">
        <f t="shared" si="49"/>
        <v>9</v>
      </c>
      <c r="AQ34" s="6" t="s">
        <v>84</v>
      </c>
      <c r="AR34" s="20"/>
      <c r="AS34" s="5">
        <v>2.4670639149862349E-2</v>
      </c>
      <c r="AT34" s="2">
        <f t="shared" si="12"/>
        <v>175.10693475584739</v>
      </c>
      <c r="AU34" s="5">
        <v>0</v>
      </c>
      <c r="AV34" s="5">
        <v>0</v>
      </c>
      <c r="AW34" s="7">
        <v>0</v>
      </c>
      <c r="AX34" s="7">
        <v>0</v>
      </c>
      <c r="AY34" s="7">
        <v>0</v>
      </c>
      <c r="AZ34" s="7">
        <v>0</v>
      </c>
      <c r="BA34" s="7">
        <v>0</v>
      </c>
      <c r="BB34" s="7">
        <v>0</v>
      </c>
      <c r="BC34" s="7">
        <v>0</v>
      </c>
      <c r="BD34" s="7">
        <v>0</v>
      </c>
      <c r="BE34" s="7">
        <v>0</v>
      </c>
      <c r="BF34" s="7">
        <v>0</v>
      </c>
      <c r="BG34" s="7">
        <v>0</v>
      </c>
      <c r="BH34" s="7">
        <v>0</v>
      </c>
      <c r="BI34" s="7">
        <v>0</v>
      </c>
      <c r="BJ34" s="7">
        <v>0</v>
      </c>
      <c r="BK34" s="7">
        <v>0</v>
      </c>
      <c r="BL34" s="7">
        <v>0</v>
      </c>
      <c r="BM34" s="7">
        <v>0</v>
      </c>
      <c r="BN34" s="7">
        <v>0</v>
      </c>
      <c r="BO34" s="7">
        <v>0</v>
      </c>
      <c r="BP34" s="7">
        <v>0</v>
      </c>
      <c r="BQ34" s="7">
        <v>0</v>
      </c>
      <c r="BR34" s="7">
        <v>0</v>
      </c>
      <c r="BS34" s="7">
        <v>0</v>
      </c>
      <c r="BT34" s="7">
        <v>0</v>
      </c>
      <c r="BU34" s="7">
        <v>0</v>
      </c>
      <c r="BV34" s="7">
        <v>0</v>
      </c>
      <c r="BW34" s="7">
        <v>0</v>
      </c>
      <c r="BX34" s="7">
        <v>0</v>
      </c>
      <c r="BY34" s="7">
        <v>0</v>
      </c>
      <c r="BZ34" s="7">
        <v>0</v>
      </c>
      <c r="CA34" s="7">
        <v>0</v>
      </c>
      <c r="CB34" s="7">
        <v>0</v>
      </c>
      <c r="CC34" s="7">
        <v>0</v>
      </c>
      <c r="CD34" s="7">
        <v>0</v>
      </c>
      <c r="CE34" s="7">
        <v>0</v>
      </c>
      <c r="CF34" s="7">
        <v>0</v>
      </c>
      <c r="CG34" s="7">
        <v>0</v>
      </c>
      <c r="CH34" s="7">
        <v>0</v>
      </c>
      <c r="CI34" s="7">
        <v>0</v>
      </c>
      <c r="CJ34" s="7">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 t="shared" si="13"/>
        <v>4.2770365426043568E-6</v>
      </c>
      <c r="CW34" s="7">
        <f t="shared" si="14"/>
        <v>3.9697750071375261E-6</v>
      </c>
    </row>
    <row r="35" spans="1:101" x14ac:dyDescent="0.2">
      <c r="A35" t="str">
        <f t="shared" si="39"/>
        <v>Bicycle, electric (&lt;45 km/h) - 2020 - LFP - CH</v>
      </c>
      <c r="B35" t="s">
        <v>263</v>
      </c>
      <c r="D35" s="18">
        <v>2020</v>
      </c>
      <c r="E35" t="s">
        <v>37</v>
      </c>
      <c r="F35" t="s">
        <v>136</v>
      </c>
      <c r="G35" t="s">
        <v>39</v>
      </c>
      <c r="H35" t="s">
        <v>32</v>
      </c>
      <c r="I35" t="s">
        <v>43</v>
      </c>
      <c r="J35">
        <v>30000</v>
      </c>
      <c r="K35">
        <v>3000</v>
      </c>
      <c r="L35" s="2">
        <f t="shared" si="40"/>
        <v>10</v>
      </c>
      <c r="M35">
        <v>1</v>
      </c>
      <c r="N35">
        <v>75</v>
      </c>
      <c r="O35">
        <v>1</v>
      </c>
      <c r="P35" s="2">
        <f t="shared" si="41"/>
        <v>28</v>
      </c>
      <c r="Q35" s="2">
        <f t="shared" si="42"/>
        <v>104</v>
      </c>
      <c r="R35">
        <v>0.5</v>
      </c>
      <c r="S35" s="2">
        <v>19</v>
      </c>
      <c r="T35" s="1">
        <v>0</v>
      </c>
      <c r="U35" s="2">
        <f t="shared" si="43"/>
        <v>19</v>
      </c>
      <c r="V35">
        <v>0</v>
      </c>
      <c r="W35">
        <v>5</v>
      </c>
      <c r="X35" s="3">
        <v>0.5</v>
      </c>
      <c r="Y35" s="1">
        <v>0.8</v>
      </c>
      <c r="Z35" s="3">
        <f t="shared" si="44"/>
        <v>0.4</v>
      </c>
      <c r="AA35" s="3">
        <f>IF(I35&lt;&gt;"",X35/INDEX('energy battery'!$B$3:$D$6,MATCH('vehicles specifications'!$D35,'energy battery'!$A$3:$A$6,0),MATCH('vehicles specifications'!$I35,'energy battery'!$B$2:$D$2,0)),"")</f>
        <v>3.3333333333333335</v>
      </c>
      <c r="AB35" s="3">
        <f>IF(AA35&lt;&gt;"",0.2*AA35,"")</f>
        <v>0.66666666666666674</v>
      </c>
      <c r="AC35" s="3">
        <f t="shared" si="45"/>
        <v>4</v>
      </c>
      <c r="AD35">
        <v>1</v>
      </c>
      <c r="AE35">
        <v>0</v>
      </c>
      <c r="AF35">
        <v>0</v>
      </c>
      <c r="AG35">
        <v>0</v>
      </c>
      <c r="AH35">
        <v>0</v>
      </c>
      <c r="AI35">
        <v>0.5</v>
      </c>
      <c r="AJ35">
        <v>1</v>
      </c>
      <c r="AK35" s="6">
        <f t="shared" si="38"/>
        <v>2</v>
      </c>
      <c r="AL35">
        <f t="shared" si="46"/>
        <v>5.5847999999999998E-5</v>
      </c>
      <c r="AM35">
        <v>0</v>
      </c>
      <c r="AN35" s="2">
        <f t="shared" si="47"/>
        <v>19</v>
      </c>
      <c r="AO35" s="2">
        <f t="shared" si="48"/>
        <v>5</v>
      </c>
      <c r="AP35" s="2">
        <f t="shared" si="49"/>
        <v>4</v>
      </c>
      <c r="AQ35" s="6" t="s">
        <v>84</v>
      </c>
      <c r="AR35" s="20"/>
      <c r="AS35" s="5">
        <v>4.5308940859381523E-2</v>
      </c>
      <c r="AT35" s="2">
        <f t="shared" si="12"/>
        <v>31.78180669614656</v>
      </c>
      <c r="AU35" s="5">
        <v>0</v>
      </c>
      <c r="AV35" s="5">
        <v>0</v>
      </c>
      <c r="AW35" s="7">
        <v>0</v>
      </c>
      <c r="AX35" s="7">
        <v>0</v>
      </c>
      <c r="AY35" s="7">
        <v>0</v>
      </c>
      <c r="AZ35" s="7">
        <v>0</v>
      </c>
      <c r="BA35" s="7">
        <v>0</v>
      </c>
      <c r="BB35" s="7">
        <v>0</v>
      </c>
      <c r="BC35" s="7">
        <v>0</v>
      </c>
      <c r="BD35" s="7">
        <v>0</v>
      </c>
      <c r="BE35" s="7">
        <v>0</v>
      </c>
      <c r="BF35" s="7">
        <v>0</v>
      </c>
      <c r="BG35" s="7">
        <v>0</v>
      </c>
      <c r="BH35" s="7">
        <v>0</v>
      </c>
      <c r="BI35" s="7">
        <v>0</v>
      </c>
      <c r="BJ35" s="7">
        <v>0</v>
      </c>
      <c r="BK35" s="7">
        <v>0</v>
      </c>
      <c r="BL35" s="7">
        <v>0</v>
      </c>
      <c r="BM35" s="7">
        <v>0</v>
      </c>
      <c r="BN35" s="7">
        <v>0</v>
      </c>
      <c r="BO35" s="7">
        <v>0</v>
      </c>
      <c r="BP35" s="7">
        <v>0</v>
      </c>
      <c r="BQ35" s="7">
        <v>0</v>
      </c>
      <c r="BR35" s="7">
        <v>0</v>
      </c>
      <c r="BS35" s="7">
        <v>0</v>
      </c>
      <c r="BT35" s="7">
        <v>0</v>
      </c>
      <c r="BU35" s="7">
        <v>0</v>
      </c>
      <c r="BV35" s="7">
        <v>0</v>
      </c>
      <c r="BW35" s="7">
        <v>0</v>
      </c>
      <c r="BX35" s="7">
        <v>0</v>
      </c>
      <c r="BY35" s="7">
        <v>0</v>
      </c>
      <c r="BZ35" s="7">
        <v>0</v>
      </c>
      <c r="CA35" s="7">
        <v>0</v>
      </c>
      <c r="CB35" s="7">
        <v>0</v>
      </c>
      <c r="CC35" s="7">
        <v>0</v>
      </c>
      <c r="CD35" s="7">
        <v>0</v>
      </c>
      <c r="CE35" s="7">
        <v>0</v>
      </c>
      <c r="CF35" s="7">
        <v>0</v>
      </c>
      <c r="CG35" s="7">
        <v>0</v>
      </c>
      <c r="CH35" s="7">
        <v>0</v>
      </c>
      <c r="CI35" s="7">
        <v>0</v>
      </c>
      <c r="CJ35" s="7">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 t="shared" si="13"/>
        <v>4.2904503795224867E-6</v>
      </c>
      <c r="CW35" s="7">
        <f t="shared" si="14"/>
        <v>3.9819540299553051E-6</v>
      </c>
    </row>
    <row r="36" spans="1:101" x14ac:dyDescent="0.2">
      <c r="A36" t="str">
        <f t="shared" si="39"/>
        <v>Bicycle, electric (&lt;45 km/h) - 2030 - LFP - CH</v>
      </c>
      <c r="B36" t="s">
        <v>263</v>
      </c>
      <c r="D36" s="18">
        <v>2030</v>
      </c>
      <c r="E36" t="s">
        <v>37</v>
      </c>
      <c r="F36" t="s">
        <v>136</v>
      </c>
      <c r="G36" t="s">
        <v>39</v>
      </c>
      <c r="H36" t="s">
        <v>32</v>
      </c>
      <c r="I36" t="s">
        <v>43</v>
      </c>
      <c r="J36">
        <v>30000</v>
      </c>
      <c r="K36">
        <v>3000</v>
      </c>
      <c r="L36" s="2">
        <f t="shared" si="40"/>
        <v>10</v>
      </c>
      <c r="M36">
        <v>1</v>
      </c>
      <c r="N36">
        <v>75</v>
      </c>
      <c r="O36">
        <v>1</v>
      </c>
      <c r="P36" s="2">
        <f t="shared" si="41"/>
        <v>28.663333333333334</v>
      </c>
      <c r="Q36" s="2">
        <f t="shared" si="42"/>
        <v>104.66333333333333</v>
      </c>
      <c r="R36">
        <v>0.5</v>
      </c>
      <c r="S36" s="2">
        <v>19</v>
      </c>
      <c r="T36" s="1">
        <v>0.03</v>
      </c>
      <c r="U36" s="2">
        <f t="shared" si="43"/>
        <v>18.43</v>
      </c>
      <c r="V36">
        <v>0</v>
      </c>
      <c r="W36">
        <v>4.9000000000000004</v>
      </c>
      <c r="X36" s="3">
        <v>0.8</v>
      </c>
      <c r="Y36" s="1">
        <v>0.8</v>
      </c>
      <c r="Z36" s="3">
        <f t="shared" si="44"/>
        <v>0.64000000000000012</v>
      </c>
      <c r="AA36" s="3">
        <f>IF(I36&lt;&gt;"",X36/INDEX('energy battery'!$B$3:$D$6,MATCH('vehicles specifications'!$D36,'energy battery'!$A$3:$A$6,0),MATCH('vehicles specifications'!$I36,'energy battery'!$B$2:$D$2,0)),"")</f>
        <v>4.4444444444444446</v>
      </c>
      <c r="AB36" s="3">
        <f t="shared" ref="AB36:AB38" si="51">IF(AA36&lt;&gt;"",0.2*AA36,"")</f>
        <v>0.88888888888888895</v>
      </c>
      <c r="AC36" s="3">
        <f t="shared" si="45"/>
        <v>5.3333333333333339</v>
      </c>
      <c r="AD36">
        <v>0.5</v>
      </c>
      <c r="AE36">
        <v>0</v>
      </c>
      <c r="AF36">
        <v>0</v>
      </c>
      <c r="AG36">
        <v>0</v>
      </c>
      <c r="AH36">
        <v>0</v>
      </c>
      <c r="AI36">
        <v>0.5</v>
      </c>
      <c r="AJ36">
        <v>1</v>
      </c>
      <c r="AK36" s="6">
        <f t="shared" si="38"/>
        <v>2</v>
      </c>
      <c r="AL36">
        <f t="shared" si="46"/>
        <v>5.6204209999999994E-5</v>
      </c>
      <c r="AM36">
        <v>0</v>
      </c>
      <c r="AN36" s="2">
        <f t="shared" si="47"/>
        <v>18.43</v>
      </c>
      <c r="AO36" s="2">
        <f t="shared" si="48"/>
        <v>4.9000000000000004</v>
      </c>
      <c r="AP36" s="2">
        <f t="shared" si="49"/>
        <v>5.3333333333333339</v>
      </c>
      <c r="AQ36" s="6" t="s">
        <v>84</v>
      </c>
      <c r="AR36" s="20"/>
      <c r="AS36" s="5">
        <v>4.5308940859381523E-2</v>
      </c>
      <c r="AT36" s="2">
        <f t="shared" si="12"/>
        <v>50.850890713834502</v>
      </c>
      <c r="AU36" s="5">
        <v>0</v>
      </c>
      <c r="AV36" s="5">
        <v>0</v>
      </c>
      <c r="AW36" s="7">
        <v>0</v>
      </c>
      <c r="AX36" s="7">
        <v>0</v>
      </c>
      <c r="AY36" s="7">
        <v>0</v>
      </c>
      <c r="AZ36" s="7">
        <v>0</v>
      </c>
      <c r="BA36" s="7">
        <v>0</v>
      </c>
      <c r="BB36" s="7">
        <v>0</v>
      </c>
      <c r="BC36" s="7">
        <v>0</v>
      </c>
      <c r="BD36" s="7">
        <v>0</v>
      </c>
      <c r="BE36" s="7">
        <v>0</v>
      </c>
      <c r="BF36" s="7">
        <v>0</v>
      </c>
      <c r="BG36" s="7">
        <v>0</v>
      </c>
      <c r="BH36" s="7">
        <v>0</v>
      </c>
      <c r="BI36" s="7">
        <v>0</v>
      </c>
      <c r="BJ36" s="7">
        <v>0</v>
      </c>
      <c r="BK36" s="7">
        <v>0</v>
      </c>
      <c r="BL36" s="7">
        <v>0</v>
      </c>
      <c r="BM36" s="7">
        <v>0</v>
      </c>
      <c r="BN36" s="7">
        <v>0</v>
      </c>
      <c r="BO36" s="7">
        <v>0</v>
      </c>
      <c r="BP36" s="7">
        <v>0</v>
      </c>
      <c r="BQ36" s="7">
        <v>0</v>
      </c>
      <c r="BR36" s="7">
        <v>0</v>
      </c>
      <c r="BS36" s="7">
        <v>0</v>
      </c>
      <c r="BT36" s="7">
        <v>0</v>
      </c>
      <c r="BU36" s="7">
        <v>0</v>
      </c>
      <c r="BV36" s="7">
        <v>0</v>
      </c>
      <c r="BW36" s="7">
        <v>0</v>
      </c>
      <c r="BX36" s="7">
        <v>0</v>
      </c>
      <c r="BY36" s="7">
        <v>0</v>
      </c>
      <c r="BZ36" s="7">
        <v>0</v>
      </c>
      <c r="CA36" s="7">
        <v>0</v>
      </c>
      <c r="CB36" s="7">
        <v>0</v>
      </c>
      <c r="CC36" s="7">
        <v>0</v>
      </c>
      <c r="CD36" s="7">
        <v>0</v>
      </c>
      <c r="CE36" s="7">
        <v>0</v>
      </c>
      <c r="CF36" s="7">
        <v>0</v>
      </c>
      <c r="CG36" s="7">
        <v>0</v>
      </c>
      <c r="CH36" s="7">
        <v>0</v>
      </c>
      <c r="CI36" s="7">
        <v>0</v>
      </c>
      <c r="CJ36" s="7">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 t="shared" si="13"/>
        <v>4.3114733281385076E-6</v>
      </c>
      <c r="CW36" s="7">
        <f t="shared" si="14"/>
        <v>4.0010887186766688E-6</v>
      </c>
    </row>
    <row r="37" spans="1:101" x14ac:dyDescent="0.2">
      <c r="A37" t="str">
        <f t="shared" si="39"/>
        <v>Bicycle, electric (&lt;45 km/h) - 2040 - LFP - CH</v>
      </c>
      <c r="B37" t="s">
        <v>263</v>
      </c>
      <c r="D37" s="18">
        <v>2040</v>
      </c>
      <c r="E37" t="s">
        <v>37</v>
      </c>
      <c r="F37" t="s">
        <v>136</v>
      </c>
      <c r="G37" t="s">
        <v>39</v>
      </c>
      <c r="H37" t="s">
        <v>32</v>
      </c>
      <c r="I37" t="s">
        <v>43</v>
      </c>
      <c r="J37">
        <v>30000</v>
      </c>
      <c r="K37">
        <v>3000</v>
      </c>
      <c r="L37" s="2">
        <f t="shared" si="40"/>
        <v>10</v>
      </c>
      <c r="M37">
        <v>1</v>
      </c>
      <c r="N37">
        <v>75</v>
      </c>
      <c r="O37">
        <v>1</v>
      </c>
      <c r="P37" s="2">
        <f t="shared" si="41"/>
        <v>29.416666666666664</v>
      </c>
      <c r="Q37" s="2">
        <f t="shared" si="42"/>
        <v>105.41666666666666</v>
      </c>
      <c r="R37">
        <v>0.5</v>
      </c>
      <c r="S37" s="2">
        <v>19</v>
      </c>
      <c r="T37" s="1">
        <v>0.05</v>
      </c>
      <c r="U37" s="2">
        <f t="shared" si="43"/>
        <v>18.05</v>
      </c>
      <c r="V37">
        <v>0</v>
      </c>
      <c r="W37">
        <v>4.7</v>
      </c>
      <c r="X37" s="3">
        <v>1</v>
      </c>
      <c r="Y37" s="1">
        <v>0.8</v>
      </c>
      <c r="Z37" s="3">
        <f t="shared" si="44"/>
        <v>0.8</v>
      </c>
      <c r="AA37" s="3">
        <f>IF(I37&lt;&gt;"",X37/INDEX('energy battery'!$B$3:$D$6,MATCH('vehicles specifications'!$D37,'energy battery'!$A$3:$A$6,0),MATCH('vehicles specifications'!$I37,'energy battery'!$B$2:$D$2,0)),"")</f>
        <v>5.5555555555555554</v>
      </c>
      <c r="AB37" s="3">
        <f t="shared" si="51"/>
        <v>1.1111111111111112</v>
      </c>
      <c r="AC37" s="3">
        <f t="shared" si="45"/>
        <v>6.6666666666666661</v>
      </c>
      <c r="AD37">
        <v>0.25</v>
      </c>
      <c r="AE37">
        <v>0</v>
      </c>
      <c r="AF37">
        <v>0</v>
      </c>
      <c r="AG37">
        <v>0</v>
      </c>
      <c r="AH37">
        <v>0</v>
      </c>
      <c r="AI37">
        <v>0.5</v>
      </c>
      <c r="AJ37">
        <v>1</v>
      </c>
      <c r="AK37" s="6">
        <f t="shared" si="38"/>
        <v>2</v>
      </c>
      <c r="AL37">
        <f t="shared" si="46"/>
        <v>5.6608749999999996E-5</v>
      </c>
      <c r="AM37">
        <v>0</v>
      </c>
      <c r="AN37" s="2">
        <f t="shared" si="47"/>
        <v>18.05</v>
      </c>
      <c r="AO37" s="2">
        <f t="shared" si="48"/>
        <v>4.7</v>
      </c>
      <c r="AP37" s="2">
        <f t="shared" si="49"/>
        <v>6.6666666666666661</v>
      </c>
      <c r="AQ37" s="6" t="s">
        <v>84</v>
      </c>
      <c r="AR37" s="20"/>
      <c r="AS37" s="5">
        <v>4.5308940859381523E-2</v>
      </c>
      <c r="AT37" s="2">
        <f t="shared" si="12"/>
        <v>63.563613392293121</v>
      </c>
      <c r="AU37" s="5">
        <v>0</v>
      </c>
      <c r="AV37" s="5">
        <v>0</v>
      </c>
      <c r="AW37" s="7">
        <v>0</v>
      </c>
      <c r="AX37" s="7">
        <v>0</v>
      </c>
      <c r="AY37" s="7">
        <v>0</v>
      </c>
      <c r="AZ37" s="7">
        <v>0</v>
      </c>
      <c r="BA37" s="7">
        <v>0</v>
      </c>
      <c r="BB37" s="7">
        <v>0</v>
      </c>
      <c r="BC37" s="7">
        <v>0</v>
      </c>
      <c r="BD37" s="7">
        <v>0</v>
      </c>
      <c r="BE37" s="7">
        <v>0</v>
      </c>
      <c r="BF37" s="7">
        <v>0</v>
      </c>
      <c r="BG37" s="7">
        <v>0</v>
      </c>
      <c r="BH37" s="7">
        <v>0</v>
      </c>
      <c r="BI37" s="7">
        <v>0</v>
      </c>
      <c r="BJ37" s="7">
        <v>0</v>
      </c>
      <c r="BK37" s="7">
        <v>0</v>
      </c>
      <c r="BL37" s="7">
        <v>0</v>
      </c>
      <c r="BM37" s="7">
        <v>0</v>
      </c>
      <c r="BN37" s="7">
        <v>0</v>
      </c>
      <c r="BO37" s="7">
        <v>0</v>
      </c>
      <c r="BP37" s="7">
        <v>0</v>
      </c>
      <c r="BQ37" s="7">
        <v>0</v>
      </c>
      <c r="BR37" s="7">
        <v>0</v>
      </c>
      <c r="BS37" s="7">
        <v>0</v>
      </c>
      <c r="BT37" s="7">
        <v>0</v>
      </c>
      <c r="BU37" s="7">
        <v>0</v>
      </c>
      <c r="BV37" s="7">
        <v>0</v>
      </c>
      <c r="BW37" s="7">
        <v>0</v>
      </c>
      <c r="BX37" s="7">
        <v>0</v>
      </c>
      <c r="BY37" s="7">
        <v>0</v>
      </c>
      <c r="BZ37" s="7">
        <v>0</v>
      </c>
      <c r="CA37" s="7">
        <v>0</v>
      </c>
      <c r="CB37" s="7">
        <v>0</v>
      </c>
      <c r="CC37" s="7">
        <v>0</v>
      </c>
      <c r="CD37" s="7">
        <v>0</v>
      </c>
      <c r="CE37" s="7">
        <v>0</v>
      </c>
      <c r="CF37" s="7">
        <v>0</v>
      </c>
      <c r="CG37" s="7">
        <v>0</v>
      </c>
      <c r="CH37" s="7">
        <v>0</v>
      </c>
      <c r="CI37" s="7">
        <v>0</v>
      </c>
      <c r="CJ37" s="7">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 t="shared" si="13"/>
        <v>4.3351145553325093E-6</v>
      </c>
      <c r="CW37" s="7">
        <f t="shared" si="14"/>
        <v>4.0226741413672842E-6</v>
      </c>
    </row>
    <row r="38" spans="1:101" x14ac:dyDescent="0.2">
      <c r="A38" t="str">
        <f t="shared" si="39"/>
        <v>Bicycle, electric (&lt;45 km/h) - 2050 - LFP - CH</v>
      </c>
      <c r="B38" t="s">
        <v>263</v>
      </c>
      <c r="D38" s="18">
        <v>2050</v>
      </c>
      <c r="E38" t="s">
        <v>37</v>
      </c>
      <c r="F38" t="s">
        <v>136</v>
      </c>
      <c r="G38" t="s">
        <v>39</v>
      </c>
      <c r="H38" t="s">
        <v>32</v>
      </c>
      <c r="I38" t="s">
        <v>43</v>
      </c>
      <c r="J38">
        <v>30000</v>
      </c>
      <c r="K38">
        <v>3000</v>
      </c>
      <c r="L38" s="2">
        <f t="shared" si="40"/>
        <v>10</v>
      </c>
      <c r="M38">
        <v>1</v>
      </c>
      <c r="N38">
        <v>75</v>
      </c>
      <c r="O38">
        <v>1</v>
      </c>
      <c r="P38" s="2">
        <f t="shared" si="41"/>
        <v>31.269999999999996</v>
      </c>
      <c r="Q38" s="2">
        <f t="shared" si="42"/>
        <v>107.27</v>
      </c>
      <c r="R38">
        <v>0.5</v>
      </c>
      <c r="S38" s="2">
        <v>19</v>
      </c>
      <c r="T38" s="1">
        <v>7.0000000000000007E-2</v>
      </c>
      <c r="U38" s="2">
        <f t="shared" si="43"/>
        <v>17.669999999999998</v>
      </c>
      <c r="V38">
        <v>0</v>
      </c>
      <c r="W38">
        <v>4.5999999999999996</v>
      </c>
      <c r="X38" s="3">
        <v>1.5</v>
      </c>
      <c r="Y38" s="1">
        <v>0.8</v>
      </c>
      <c r="Z38" s="3">
        <f t="shared" si="44"/>
        <v>1.2000000000000002</v>
      </c>
      <c r="AA38" s="3">
        <f>IF(I38&lt;&gt;"",X38/INDEX('energy battery'!$B$3:$D$6,MATCH('vehicles specifications'!$D38,'energy battery'!$A$3:$A$6,0),MATCH('vehicles specifications'!$I38,'energy battery'!$B$2:$D$2,0)),"")</f>
        <v>7.5</v>
      </c>
      <c r="AB38" s="3">
        <f t="shared" si="51"/>
        <v>1.5</v>
      </c>
      <c r="AC38" s="3">
        <f t="shared" si="45"/>
        <v>9</v>
      </c>
      <c r="AD38">
        <v>0</v>
      </c>
      <c r="AE38">
        <v>0</v>
      </c>
      <c r="AF38">
        <v>0</v>
      </c>
      <c r="AG38">
        <v>0</v>
      </c>
      <c r="AH38">
        <v>0</v>
      </c>
      <c r="AI38">
        <v>0.5</v>
      </c>
      <c r="AJ38">
        <v>1</v>
      </c>
      <c r="AK38" s="6">
        <f t="shared" si="38"/>
        <v>2</v>
      </c>
      <c r="AL38">
        <f t="shared" si="46"/>
        <v>5.7603989999999999E-5</v>
      </c>
      <c r="AM38">
        <v>0</v>
      </c>
      <c r="AN38" s="2">
        <f t="shared" si="47"/>
        <v>17.669999999999998</v>
      </c>
      <c r="AO38" s="2">
        <f t="shared" si="48"/>
        <v>4.5999999999999996</v>
      </c>
      <c r="AP38" s="2">
        <f t="shared" si="49"/>
        <v>9</v>
      </c>
      <c r="AQ38" s="6" t="s">
        <v>84</v>
      </c>
      <c r="AR38" s="20"/>
      <c r="AS38" s="5">
        <v>4.5308940859381523E-2</v>
      </c>
      <c r="AT38" s="2">
        <f t="shared" si="12"/>
        <v>95.345420088439695</v>
      </c>
      <c r="AU38" s="5">
        <v>0</v>
      </c>
      <c r="AV38" s="5">
        <v>0</v>
      </c>
      <c r="AW38" s="7">
        <v>0</v>
      </c>
      <c r="AX38" s="7">
        <v>0</v>
      </c>
      <c r="AY38" s="7">
        <v>0</v>
      </c>
      <c r="AZ38" s="7">
        <v>0</v>
      </c>
      <c r="BA38" s="7">
        <v>0</v>
      </c>
      <c r="BB38" s="7">
        <v>0</v>
      </c>
      <c r="BC38" s="7">
        <v>0</v>
      </c>
      <c r="BD38" s="7">
        <v>0</v>
      </c>
      <c r="BE38" s="7">
        <v>0</v>
      </c>
      <c r="BF38" s="7">
        <v>0</v>
      </c>
      <c r="BG38" s="7">
        <v>0</v>
      </c>
      <c r="BH38" s="7">
        <v>0</v>
      </c>
      <c r="BI38" s="7">
        <v>0</v>
      </c>
      <c r="BJ38" s="7">
        <v>0</v>
      </c>
      <c r="BK38" s="7">
        <v>0</v>
      </c>
      <c r="BL38" s="7">
        <v>0</v>
      </c>
      <c r="BM38" s="7">
        <v>0</v>
      </c>
      <c r="BN38" s="7">
        <v>0</v>
      </c>
      <c r="BO38" s="7">
        <v>0</v>
      </c>
      <c r="BP38" s="7">
        <v>0</v>
      </c>
      <c r="BQ38" s="7">
        <v>0</v>
      </c>
      <c r="BR38" s="7">
        <v>0</v>
      </c>
      <c r="BS38" s="7">
        <v>0</v>
      </c>
      <c r="BT38" s="7">
        <v>0</v>
      </c>
      <c r="BU38" s="7">
        <v>0</v>
      </c>
      <c r="BV38" s="7">
        <v>0</v>
      </c>
      <c r="BW38" s="7">
        <v>0</v>
      </c>
      <c r="BX38" s="7">
        <v>0</v>
      </c>
      <c r="BY38" s="7">
        <v>0</v>
      </c>
      <c r="BZ38" s="7">
        <v>0</v>
      </c>
      <c r="CA38" s="7">
        <v>0</v>
      </c>
      <c r="CB38" s="7">
        <v>0</v>
      </c>
      <c r="CC38" s="7">
        <v>0</v>
      </c>
      <c r="CD38" s="7">
        <v>0</v>
      </c>
      <c r="CE38" s="7">
        <v>0</v>
      </c>
      <c r="CF38" s="7">
        <v>0</v>
      </c>
      <c r="CG38" s="7">
        <v>0</v>
      </c>
      <c r="CH38" s="7">
        <v>0</v>
      </c>
      <c r="CI38" s="7">
        <v>0</v>
      </c>
      <c r="CJ38" s="7">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 t="shared" si="13"/>
        <v>4.3922694420035416E-6</v>
      </c>
      <c r="CW38" s="7">
        <f t="shared" si="14"/>
        <v>4.0751477180321837E-6</v>
      </c>
    </row>
    <row r="39" spans="1:101" x14ac:dyDescent="0.2">
      <c r="A39" t="str">
        <f t="shared" si="39"/>
        <v>Bicycle, battery electric, cargo bike - 2020 - LFP - CH</v>
      </c>
      <c r="B39" t="s">
        <v>652</v>
      </c>
      <c r="D39" s="18">
        <v>2020</v>
      </c>
      <c r="E39" t="s">
        <v>37</v>
      </c>
      <c r="F39" t="s">
        <v>136</v>
      </c>
      <c r="G39" t="s">
        <v>39</v>
      </c>
      <c r="H39" t="s">
        <v>32</v>
      </c>
      <c r="I39" t="s">
        <v>43</v>
      </c>
      <c r="J39">
        <v>20000</v>
      </c>
      <c r="K39">
        <v>2000</v>
      </c>
      <c r="L39" s="2">
        <f t="shared" si="40"/>
        <v>10</v>
      </c>
      <c r="M39">
        <v>1</v>
      </c>
      <c r="N39">
        <v>75</v>
      </c>
      <c r="O39">
        <v>50</v>
      </c>
      <c r="P39" s="2">
        <f t="shared" si="41"/>
        <v>46</v>
      </c>
      <c r="Q39" s="2">
        <f t="shared" si="42"/>
        <v>171</v>
      </c>
      <c r="R39">
        <v>0.25</v>
      </c>
      <c r="S39" s="2">
        <v>38</v>
      </c>
      <c r="T39" s="1">
        <v>0</v>
      </c>
      <c r="U39" s="2">
        <f t="shared" si="43"/>
        <v>38</v>
      </c>
      <c r="V39">
        <v>0</v>
      </c>
      <c r="W39">
        <v>4</v>
      </c>
      <c r="X39" s="3">
        <v>0.5</v>
      </c>
      <c r="Y39" s="1">
        <v>0.8</v>
      </c>
      <c r="Z39" s="3">
        <f t="shared" si="44"/>
        <v>0.4</v>
      </c>
      <c r="AA39" s="3">
        <f>IF(I39&lt;&gt;"",X39/INDEX('energy battery'!$B$3:$D$6,MATCH('vehicles specifications'!$D39,'energy battery'!$A$3:$A$6,0),MATCH('vehicles specifications'!$I39,'energy battery'!$B$2:$D$2,0)),"")</f>
        <v>3.3333333333333335</v>
      </c>
      <c r="AB39" s="3">
        <f>IF(AA39&lt;&gt;"",0.2*AA39,"")</f>
        <v>0.66666666666666674</v>
      </c>
      <c r="AC39" s="3">
        <f t="shared" si="45"/>
        <v>4</v>
      </c>
      <c r="AD39">
        <v>1</v>
      </c>
      <c r="AE39">
        <v>0</v>
      </c>
      <c r="AF39">
        <v>0</v>
      </c>
      <c r="AG39">
        <v>0</v>
      </c>
      <c r="AH39">
        <v>0</v>
      </c>
      <c r="AI39">
        <v>0.5</v>
      </c>
      <c r="AJ39">
        <v>1</v>
      </c>
      <c r="AK39" s="6">
        <f t="shared" si="38"/>
        <v>1.3333333333333333</v>
      </c>
      <c r="AL39">
        <f t="shared" si="46"/>
        <v>9.1827E-5</v>
      </c>
      <c r="AM39">
        <v>0</v>
      </c>
      <c r="AN39" s="2">
        <f t="shared" si="47"/>
        <v>38</v>
      </c>
      <c r="AO39" s="2">
        <f t="shared" si="48"/>
        <v>4</v>
      </c>
      <c r="AP39" s="2">
        <f t="shared" si="49"/>
        <v>4</v>
      </c>
      <c r="AQ39" s="6" t="s">
        <v>84</v>
      </c>
      <c r="AR39" s="20"/>
      <c r="AS39" s="5">
        <v>3.4708323163290214E-2</v>
      </c>
      <c r="AT39" s="2">
        <f t="shared" si="12"/>
        <v>41.48860759493671</v>
      </c>
      <c r="AU39" s="5">
        <v>0</v>
      </c>
      <c r="AV39" s="5">
        <v>0</v>
      </c>
      <c r="AW39" s="7">
        <v>0</v>
      </c>
      <c r="AX39" s="7">
        <v>0</v>
      </c>
      <c r="AY39" s="7">
        <v>0</v>
      </c>
      <c r="AZ39" s="7">
        <v>0</v>
      </c>
      <c r="BA39" s="7">
        <v>0</v>
      </c>
      <c r="BB39" s="7">
        <v>0</v>
      </c>
      <c r="BC39" s="7">
        <v>0</v>
      </c>
      <c r="BD39" s="7">
        <v>0</v>
      </c>
      <c r="BE39" s="7">
        <v>0</v>
      </c>
      <c r="BF39" s="7">
        <v>0</v>
      </c>
      <c r="BG39" s="7">
        <v>0</v>
      </c>
      <c r="BH39" s="7">
        <v>0</v>
      </c>
      <c r="BI39" s="7">
        <v>0</v>
      </c>
      <c r="BJ39" s="7">
        <v>0</v>
      </c>
      <c r="BK39" s="7">
        <v>0</v>
      </c>
      <c r="BL39" s="7">
        <v>0</v>
      </c>
      <c r="BM39" s="7">
        <v>0</v>
      </c>
      <c r="BN39" s="7">
        <v>0</v>
      </c>
      <c r="BO39" s="7">
        <v>0</v>
      </c>
      <c r="BP39" s="7">
        <v>0</v>
      </c>
      <c r="BQ39" s="7">
        <v>0</v>
      </c>
      <c r="BR39" s="7">
        <v>0</v>
      </c>
      <c r="BS39" s="7">
        <v>0</v>
      </c>
      <c r="BT39" s="7">
        <v>0</v>
      </c>
      <c r="BU39" s="7">
        <v>0</v>
      </c>
      <c r="BV39" s="7">
        <v>0</v>
      </c>
      <c r="BW39" s="7">
        <v>0</v>
      </c>
      <c r="BX39" s="7">
        <v>0</v>
      </c>
      <c r="BY39" s="7">
        <v>0</v>
      </c>
      <c r="BZ39" s="7">
        <v>0</v>
      </c>
      <c r="CA39" s="7">
        <v>0</v>
      </c>
      <c r="CB39" s="7">
        <v>0</v>
      </c>
      <c r="CC39" s="7">
        <v>0</v>
      </c>
      <c r="CD39" s="7">
        <v>0</v>
      </c>
      <c r="CE39" s="7">
        <v>0</v>
      </c>
      <c r="CF39" s="7">
        <v>0</v>
      </c>
      <c r="CG39" s="7">
        <v>0</v>
      </c>
      <c r="CH39" s="7">
        <v>0</v>
      </c>
      <c r="CI39" s="7">
        <v>0</v>
      </c>
      <c r="CJ39" s="7">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 t="shared" si="13"/>
        <v>5.3254299086503285E-6</v>
      </c>
      <c r="CW39" s="7">
        <f t="shared" si="14"/>
        <v>5.1728534501662442E-6</v>
      </c>
    </row>
    <row r="40" spans="1:101" x14ac:dyDescent="0.2">
      <c r="A40" t="str">
        <f t="shared" si="39"/>
        <v>Bicycle, battery electric, cargo bike - 2030 - LFP - CH</v>
      </c>
      <c r="B40" t="s">
        <v>652</v>
      </c>
      <c r="D40" s="18">
        <v>2030</v>
      </c>
      <c r="E40" t="s">
        <v>37</v>
      </c>
      <c r="F40" t="s">
        <v>136</v>
      </c>
      <c r="G40" t="s">
        <v>39</v>
      </c>
      <c r="H40" t="s">
        <v>32</v>
      </c>
      <c r="I40" t="s">
        <v>43</v>
      </c>
      <c r="J40">
        <v>20000</v>
      </c>
      <c r="K40">
        <v>2000</v>
      </c>
      <c r="L40" s="2">
        <f t="shared" si="40"/>
        <v>10</v>
      </c>
      <c r="M40">
        <v>1</v>
      </c>
      <c r="N40">
        <v>75</v>
      </c>
      <c r="O40">
        <v>50</v>
      </c>
      <c r="P40" s="2">
        <f t="shared" si="41"/>
        <v>45.426666666666662</v>
      </c>
      <c r="Q40" s="2">
        <f t="shared" si="42"/>
        <v>170.42666666666668</v>
      </c>
      <c r="R40">
        <v>0.25</v>
      </c>
      <c r="S40" s="2">
        <v>38</v>
      </c>
      <c r="T40" s="1">
        <v>0.03</v>
      </c>
      <c r="U40" s="2">
        <f t="shared" si="43"/>
        <v>36.86</v>
      </c>
      <c r="V40">
        <v>0</v>
      </c>
      <c r="W40">
        <v>3.9</v>
      </c>
      <c r="X40" s="3">
        <v>0.7</v>
      </c>
      <c r="Y40" s="1">
        <v>0.8</v>
      </c>
      <c r="Z40" s="3">
        <f t="shared" si="44"/>
        <v>0.55999999999999994</v>
      </c>
      <c r="AA40" s="3">
        <f>IF(I40&lt;&gt;"",X40/INDEX('energy battery'!$B$3:$D$6,MATCH('vehicles specifications'!$D40,'energy battery'!$A$3:$A$6,0),MATCH('vehicles specifications'!$I40,'energy battery'!$B$2:$D$2,0)),"")</f>
        <v>3.8888888888888888</v>
      </c>
      <c r="AB40" s="3">
        <f t="shared" ref="AB40:AB42" si="52">IF(AA40&lt;&gt;"",0.2*AA40,"")</f>
        <v>0.77777777777777779</v>
      </c>
      <c r="AC40" s="3">
        <f t="shared" si="45"/>
        <v>4.666666666666667</v>
      </c>
      <c r="AD40">
        <v>0.5</v>
      </c>
      <c r="AE40">
        <v>0</v>
      </c>
      <c r="AF40">
        <v>0</v>
      </c>
      <c r="AG40">
        <v>0</v>
      </c>
      <c r="AH40">
        <v>0</v>
      </c>
      <c r="AI40">
        <v>0.5</v>
      </c>
      <c r="AJ40">
        <v>1</v>
      </c>
      <c r="AK40" s="6">
        <f t="shared" si="38"/>
        <v>1.3333333333333333</v>
      </c>
      <c r="AL40">
        <f t="shared" si="46"/>
        <v>9.1519120000000011E-5</v>
      </c>
      <c r="AM40">
        <v>0</v>
      </c>
      <c r="AN40" s="2">
        <f t="shared" si="47"/>
        <v>36.86</v>
      </c>
      <c r="AO40" s="2">
        <f t="shared" si="48"/>
        <v>3.9</v>
      </c>
      <c r="AP40" s="2">
        <f t="shared" si="49"/>
        <v>4.666666666666667</v>
      </c>
      <c r="AQ40" s="6" t="s">
        <v>84</v>
      </c>
      <c r="AR40" s="20"/>
      <c r="AS40" s="5">
        <v>3.4708323163290214E-2</v>
      </c>
      <c r="AT40" s="2">
        <f t="shared" si="12"/>
        <v>58.084050632911385</v>
      </c>
      <c r="AU40" s="5">
        <v>0</v>
      </c>
      <c r="AV40" s="5">
        <v>0</v>
      </c>
      <c r="AW40" s="7">
        <v>0</v>
      </c>
      <c r="AX40" s="7">
        <v>0</v>
      </c>
      <c r="AY40" s="7">
        <v>0</v>
      </c>
      <c r="AZ40" s="7">
        <v>0</v>
      </c>
      <c r="BA40" s="7">
        <v>0</v>
      </c>
      <c r="BB40" s="7">
        <v>0</v>
      </c>
      <c r="BC40" s="7">
        <v>0</v>
      </c>
      <c r="BD40" s="7">
        <v>0</v>
      </c>
      <c r="BE40" s="7">
        <v>0</v>
      </c>
      <c r="BF40" s="7">
        <v>0</v>
      </c>
      <c r="BG40" s="7">
        <v>0</v>
      </c>
      <c r="BH40" s="7">
        <v>0</v>
      </c>
      <c r="BI40" s="7">
        <v>0</v>
      </c>
      <c r="BJ40" s="7">
        <v>0</v>
      </c>
      <c r="BK40" s="7">
        <v>0</v>
      </c>
      <c r="BL40" s="7">
        <v>0</v>
      </c>
      <c r="BM40" s="7">
        <v>0</v>
      </c>
      <c r="BN40" s="7">
        <v>0</v>
      </c>
      <c r="BO40" s="7">
        <v>0</v>
      </c>
      <c r="BP40" s="7">
        <v>0</v>
      </c>
      <c r="BQ40" s="7">
        <v>0</v>
      </c>
      <c r="BR40" s="7">
        <v>0</v>
      </c>
      <c r="BS40" s="7">
        <v>0</v>
      </c>
      <c r="BT40" s="7">
        <v>0</v>
      </c>
      <c r="BU40" s="7">
        <v>0</v>
      </c>
      <c r="BV40" s="7">
        <v>0</v>
      </c>
      <c r="BW40" s="7">
        <v>0</v>
      </c>
      <c r="BX40" s="7">
        <v>0</v>
      </c>
      <c r="BY40" s="7">
        <v>0</v>
      </c>
      <c r="BZ40" s="7">
        <v>0</v>
      </c>
      <c r="CA40" s="7">
        <v>0</v>
      </c>
      <c r="CB40" s="7">
        <v>0</v>
      </c>
      <c r="CC40" s="7">
        <v>0</v>
      </c>
      <c r="CD40" s="7">
        <v>0</v>
      </c>
      <c r="CE40" s="7">
        <v>0</v>
      </c>
      <c r="CF40" s="7">
        <v>0</v>
      </c>
      <c r="CG40" s="7">
        <v>0</v>
      </c>
      <c r="CH40" s="7">
        <v>0</v>
      </c>
      <c r="CI40" s="7">
        <v>0</v>
      </c>
      <c r="CJ40" s="7">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 t="shared" si="13"/>
        <v>5.31160871204398E-6</v>
      </c>
      <c r="CW40" s="7">
        <f t="shared" si="14"/>
        <v>5.1597195786025576E-6</v>
      </c>
    </row>
    <row r="41" spans="1:101" x14ac:dyDescent="0.2">
      <c r="A41" t="str">
        <f t="shared" si="39"/>
        <v>Bicycle, battery electric, cargo bike - 2040 - LFP - CH</v>
      </c>
      <c r="B41" t="s">
        <v>652</v>
      </c>
      <c r="D41" s="18">
        <v>2040</v>
      </c>
      <c r="E41" t="s">
        <v>37</v>
      </c>
      <c r="F41" t="s">
        <v>136</v>
      </c>
      <c r="G41" t="s">
        <v>39</v>
      </c>
      <c r="H41" t="s">
        <v>32</v>
      </c>
      <c r="I41" t="s">
        <v>43</v>
      </c>
      <c r="J41">
        <v>20000</v>
      </c>
      <c r="K41">
        <v>2000</v>
      </c>
      <c r="L41" s="2">
        <f t="shared" si="40"/>
        <v>10</v>
      </c>
      <c r="M41">
        <v>1</v>
      </c>
      <c r="N41">
        <v>75</v>
      </c>
      <c r="O41">
        <v>50</v>
      </c>
      <c r="P41" s="2">
        <f t="shared" si="41"/>
        <v>45.233333333333334</v>
      </c>
      <c r="Q41" s="2">
        <f t="shared" si="42"/>
        <v>170.23333333333335</v>
      </c>
      <c r="R41">
        <v>0.25</v>
      </c>
      <c r="S41" s="2">
        <v>38</v>
      </c>
      <c r="T41" s="1">
        <v>0.05</v>
      </c>
      <c r="U41" s="2">
        <f t="shared" si="43"/>
        <v>36.1</v>
      </c>
      <c r="V41">
        <v>0</v>
      </c>
      <c r="W41">
        <v>3.8</v>
      </c>
      <c r="X41" s="3">
        <v>0.8</v>
      </c>
      <c r="Y41" s="1">
        <v>0.8</v>
      </c>
      <c r="Z41" s="3">
        <f t="shared" si="44"/>
        <v>0.64000000000000012</v>
      </c>
      <c r="AA41" s="3">
        <f>IF(I41&lt;&gt;"",X41/INDEX('energy battery'!$B$3:$D$6,MATCH('vehicles specifications'!$D41,'energy battery'!$A$3:$A$6,0),MATCH('vehicles specifications'!$I41,'energy battery'!$B$2:$D$2,0)),"")</f>
        <v>4.4444444444444446</v>
      </c>
      <c r="AB41" s="3">
        <f t="shared" si="52"/>
        <v>0.88888888888888895</v>
      </c>
      <c r="AC41" s="3">
        <f t="shared" si="45"/>
        <v>5.3333333333333339</v>
      </c>
      <c r="AD41">
        <v>0.25</v>
      </c>
      <c r="AE41">
        <v>0</v>
      </c>
      <c r="AF41">
        <v>0</v>
      </c>
      <c r="AG41">
        <v>0</v>
      </c>
      <c r="AH41">
        <v>0</v>
      </c>
      <c r="AI41">
        <v>0.5</v>
      </c>
      <c r="AJ41">
        <v>1</v>
      </c>
      <c r="AK41" s="6">
        <f t="shared" si="38"/>
        <v>1.3333333333333333</v>
      </c>
      <c r="AL41">
        <f t="shared" si="46"/>
        <v>9.1415300000000012E-5</v>
      </c>
      <c r="AM41">
        <v>0</v>
      </c>
      <c r="AN41" s="2">
        <f t="shared" si="47"/>
        <v>36.1</v>
      </c>
      <c r="AO41" s="2">
        <f t="shared" si="48"/>
        <v>3.8</v>
      </c>
      <c r="AP41" s="2">
        <f t="shared" si="49"/>
        <v>5.3333333333333339</v>
      </c>
      <c r="AQ41" s="6" t="s">
        <v>84</v>
      </c>
      <c r="AR41" s="20"/>
      <c r="AS41" s="5">
        <v>3.4708323163290214E-2</v>
      </c>
      <c r="AT41" s="2">
        <f t="shared" si="12"/>
        <v>66.381772151898744</v>
      </c>
      <c r="AU41" s="5">
        <v>0</v>
      </c>
      <c r="AV41" s="5">
        <v>0</v>
      </c>
      <c r="AW41" s="7">
        <v>0</v>
      </c>
      <c r="AX41" s="7">
        <v>0</v>
      </c>
      <c r="AY41" s="7">
        <v>0</v>
      </c>
      <c r="AZ41" s="7">
        <v>0</v>
      </c>
      <c r="BA41" s="7">
        <v>0</v>
      </c>
      <c r="BB41" s="7">
        <v>0</v>
      </c>
      <c r="BC41" s="7">
        <v>0</v>
      </c>
      <c r="BD41" s="7">
        <v>0</v>
      </c>
      <c r="BE41" s="7">
        <v>0</v>
      </c>
      <c r="BF41" s="7">
        <v>0</v>
      </c>
      <c r="BG41" s="7">
        <v>0</v>
      </c>
      <c r="BH41" s="7">
        <v>0</v>
      </c>
      <c r="BI41" s="7">
        <v>0</v>
      </c>
      <c r="BJ41" s="7">
        <v>0</v>
      </c>
      <c r="BK41" s="7">
        <v>0</v>
      </c>
      <c r="BL41" s="7">
        <v>0</v>
      </c>
      <c r="BM41" s="7">
        <v>0</v>
      </c>
      <c r="BN41" s="7">
        <v>0</v>
      </c>
      <c r="BO41" s="7">
        <v>0</v>
      </c>
      <c r="BP41" s="7">
        <v>0</v>
      </c>
      <c r="BQ41" s="7">
        <v>0</v>
      </c>
      <c r="BR41" s="7">
        <v>0</v>
      </c>
      <c r="BS41" s="7">
        <v>0</v>
      </c>
      <c r="BT41" s="7">
        <v>0</v>
      </c>
      <c r="BU41" s="7">
        <v>0</v>
      </c>
      <c r="BV41" s="7">
        <v>0</v>
      </c>
      <c r="BW41" s="7">
        <v>0</v>
      </c>
      <c r="BX41" s="7">
        <v>0</v>
      </c>
      <c r="BY41" s="7">
        <v>0</v>
      </c>
      <c r="BZ41" s="7">
        <v>0</v>
      </c>
      <c r="CA41" s="7">
        <v>0</v>
      </c>
      <c r="CB41" s="7">
        <v>0</v>
      </c>
      <c r="CC41" s="7">
        <v>0</v>
      </c>
      <c r="CD41" s="7">
        <v>0</v>
      </c>
      <c r="CE41" s="7">
        <v>0</v>
      </c>
      <c r="CF41" s="7">
        <v>0</v>
      </c>
      <c r="CG41" s="7">
        <v>0</v>
      </c>
      <c r="CH41" s="7">
        <v>0</v>
      </c>
      <c r="CI41" s="7">
        <v>0</v>
      </c>
      <c r="CJ41" s="7">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 t="shared" si="13"/>
        <v>5.3069324066711127E-6</v>
      </c>
      <c r="CW41" s="7">
        <f t="shared" si="14"/>
        <v>5.1552806020513532E-6</v>
      </c>
    </row>
    <row r="42" spans="1:101" x14ac:dyDescent="0.2">
      <c r="A42" t="str">
        <f t="shared" si="39"/>
        <v>Bicycle, battery electric, cargo bike - 2050 - LFP - CH</v>
      </c>
      <c r="B42" t="s">
        <v>652</v>
      </c>
      <c r="D42" s="18">
        <v>2050</v>
      </c>
      <c r="E42" t="s">
        <v>37</v>
      </c>
      <c r="F42" t="s">
        <v>136</v>
      </c>
      <c r="G42" t="s">
        <v>39</v>
      </c>
      <c r="H42" t="s">
        <v>32</v>
      </c>
      <c r="I42" t="s">
        <v>43</v>
      </c>
      <c r="J42">
        <v>20000</v>
      </c>
      <c r="K42">
        <v>2000</v>
      </c>
      <c r="L42" s="2">
        <f t="shared" si="40"/>
        <v>10</v>
      </c>
      <c r="M42">
        <v>1</v>
      </c>
      <c r="N42">
        <v>75</v>
      </c>
      <c r="O42">
        <v>50</v>
      </c>
      <c r="P42" s="2">
        <f t="shared" si="41"/>
        <v>45.04</v>
      </c>
      <c r="Q42" s="2">
        <f t="shared" si="42"/>
        <v>170.04</v>
      </c>
      <c r="R42">
        <v>0.25</v>
      </c>
      <c r="S42" s="2">
        <v>38</v>
      </c>
      <c r="T42" s="1">
        <v>7.0000000000000007E-2</v>
      </c>
      <c r="U42" s="2">
        <f t="shared" si="43"/>
        <v>35.339999999999996</v>
      </c>
      <c r="V42">
        <v>0</v>
      </c>
      <c r="W42">
        <v>3.7</v>
      </c>
      <c r="X42" s="3">
        <v>1</v>
      </c>
      <c r="Y42" s="1">
        <v>0.8</v>
      </c>
      <c r="Z42" s="3">
        <f t="shared" si="44"/>
        <v>0.8</v>
      </c>
      <c r="AA42" s="3">
        <f>IF(I42&lt;&gt;"",X42/INDEX('energy battery'!$B$3:$D$6,MATCH('vehicles specifications'!$D42,'energy battery'!$A$3:$A$6,0),MATCH('vehicles specifications'!$I42,'energy battery'!$B$2:$D$2,0)),"")</f>
        <v>5</v>
      </c>
      <c r="AB42" s="3">
        <f t="shared" si="52"/>
        <v>1</v>
      </c>
      <c r="AC42" s="3">
        <f t="shared" si="45"/>
        <v>6</v>
      </c>
      <c r="AD42">
        <v>0</v>
      </c>
      <c r="AE42">
        <v>0</v>
      </c>
      <c r="AF42">
        <v>0</v>
      </c>
      <c r="AG42">
        <v>0</v>
      </c>
      <c r="AH42">
        <v>0</v>
      </c>
      <c r="AI42">
        <v>0.5</v>
      </c>
      <c r="AJ42">
        <v>1</v>
      </c>
      <c r="AK42" s="6">
        <f t="shared" si="38"/>
        <v>1.3333333333333333</v>
      </c>
      <c r="AL42">
        <f t="shared" si="46"/>
        <v>9.131148E-5</v>
      </c>
      <c r="AM42">
        <v>0</v>
      </c>
      <c r="AN42" s="2">
        <f t="shared" si="47"/>
        <v>35.339999999999996</v>
      </c>
      <c r="AO42" s="2">
        <f t="shared" si="48"/>
        <v>3.7</v>
      </c>
      <c r="AP42" s="2">
        <f t="shared" si="49"/>
        <v>6</v>
      </c>
      <c r="AQ42" s="6" t="s">
        <v>84</v>
      </c>
      <c r="AR42" s="20"/>
      <c r="AS42" s="5">
        <v>3.4708323163290214E-2</v>
      </c>
      <c r="AT42" s="2">
        <f t="shared" si="12"/>
        <v>82.977215189873419</v>
      </c>
      <c r="AU42" s="5">
        <v>0</v>
      </c>
      <c r="AV42" s="5">
        <v>0</v>
      </c>
      <c r="AW42" s="7">
        <v>0</v>
      </c>
      <c r="AX42" s="7">
        <v>0</v>
      </c>
      <c r="AY42" s="7">
        <v>0</v>
      </c>
      <c r="AZ42" s="7">
        <v>0</v>
      </c>
      <c r="BA42" s="7">
        <v>0</v>
      </c>
      <c r="BB42" s="7">
        <v>0</v>
      </c>
      <c r="BC42" s="7">
        <v>0</v>
      </c>
      <c r="BD42" s="7">
        <v>0</v>
      </c>
      <c r="BE42" s="7">
        <v>0</v>
      </c>
      <c r="BF42" s="7">
        <v>0</v>
      </c>
      <c r="BG42" s="7">
        <v>0</v>
      </c>
      <c r="BH42" s="7">
        <v>0</v>
      </c>
      <c r="BI42" s="7">
        <v>0</v>
      </c>
      <c r="BJ42" s="7">
        <v>0</v>
      </c>
      <c r="BK42" s="7">
        <v>0</v>
      </c>
      <c r="BL42" s="7">
        <v>0</v>
      </c>
      <c r="BM42" s="7">
        <v>0</v>
      </c>
      <c r="BN42" s="7">
        <v>0</v>
      </c>
      <c r="BO42" s="7">
        <v>0</v>
      </c>
      <c r="BP42" s="7">
        <v>0</v>
      </c>
      <c r="BQ42" s="7">
        <v>0</v>
      </c>
      <c r="BR42" s="7">
        <v>0</v>
      </c>
      <c r="BS42" s="7">
        <v>0</v>
      </c>
      <c r="BT42" s="7">
        <v>0</v>
      </c>
      <c r="BU42" s="7">
        <v>0</v>
      </c>
      <c r="BV42" s="7">
        <v>0</v>
      </c>
      <c r="BW42" s="7">
        <v>0</v>
      </c>
      <c r="BX42" s="7">
        <v>0</v>
      </c>
      <c r="BY42" s="7">
        <v>0</v>
      </c>
      <c r="BZ42" s="7">
        <v>0</v>
      </c>
      <c r="CA42" s="7">
        <v>0</v>
      </c>
      <c r="CB42" s="7">
        <v>0</v>
      </c>
      <c r="CC42" s="7">
        <v>0</v>
      </c>
      <c r="CD42" s="7">
        <v>0</v>
      </c>
      <c r="CE42" s="7">
        <v>0</v>
      </c>
      <c r="CF42" s="7">
        <v>0</v>
      </c>
      <c r="CG42" s="7">
        <v>0</v>
      </c>
      <c r="CH42" s="7">
        <v>0</v>
      </c>
      <c r="CI42" s="7">
        <v>0</v>
      </c>
      <c r="CJ42" s="7">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 t="shared" si="13"/>
        <v>5.3022481207505905E-6</v>
      </c>
      <c r="CW42" s="7">
        <f t="shared" si="14"/>
        <v>5.1508364825503638E-6</v>
      </c>
    </row>
    <row r="43" spans="1:101" x14ac:dyDescent="0.2">
      <c r="A43" t="str">
        <f t="shared" ref="A43:A54" si="53">B43&amp;" - "&amp;D43&amp;" - "&amp;IF(I43&lt;&gt;"",I43&amp;" - "&amp;E43,E43)</f>
        <v>Bicycle, electric (&lt;25 km/h) - 2020 - NCA - CH</v>
      </c>
      <c r="B43" t="s">
        <v>262</v>
      </c>
      <c r="D43" s="18">
        <v>2020</v>
      </c>
      <c r="E43" t="s">
        <v>37</v>
      </c>
      <c r="F43" t="s">
        <v>136</v>
      </c>
      <c r="G43" t="s">
        <v>39</v>
      </c>
      <c r="H43" t="s">
        <v>32</v>
      </c>
      <c r="I43" t="s">
        <v>44</v>
      </c>
      <c r="J43">
        <v>20000</v>
      </c>
      <c r="K43">
        <v>2000</v>
      </c>
      <c r="L43" s="2">
        <f t="shared" ref="L43:L54" si="54">J43/K43</f>
        <v>10</v>
      </c>
      <c r="M43">
        <v>1</v>
      </c>
      <c r="N43">
        <v>75</v>
      </c>
      <c r="O43">
        <v>1</v>
      </c>
      <c r="P43" s="2">
        <f t="shared" ref="P43:P54" si="55">SUM(U43,V43,W43,AC43,AF43,AH43)</f>
        <v>22.826086956521738</v>
      </c>
      <c r="Q43" s="2">
        <f t="shared" ref="Q43:Q54" si="56">P43+(M43*N43)+O43</f>
        <v>98.826086956521735</v>
      </c>
      <c r="R43">
        <v>0.25</v>
      </c>
      <c r="S43" s="2">
        <v>16</v>
      </c>
      <c r="T43" s="1">
        <v>0</v>
      </c>
      <c r="U43" s="2">
        <f t="shared" ref="U43:U54" si="57">S43*(1-T43)</f>
        <v>16</v>
      </c>
      <c r="V43">
        <v>0</v>
      </c>
      <c r="W43">
        <v>4</v>
      </c>
      <c r="X43" s="3">
        <v>0.5</v>
      </c>
      <c r="Y43" s="1">
        <v>0.8</v>
      </c>
      <c r="Z43" s="3">
        <f t="shared" ref="Z43:Z54" si="58">Y43*X43</f>
        <v>0.4</v>
      </c>
      <c r="AA43" s="3">
        <f>IF(I43&lt;&gt;"",X43/INDEX('energy battery'!$B$3:$D$6,MATCH('vehicles specifications'!$D43,'energy battery'!$A$3:$A$6,0),MATCH('vehicles specifications'!$I43,'energy battery'!$B$2:$D$2,0)),"")</f>
        <v>2.1739130434782608</v>
      </c>
      <c r="AB43" s="3">
        <f t="shared" si="6"/>
        <v>0.65217391304347816</v>
      </c>
      <c r="AC43" s="3">
        <f t="shared" ref="AC43:AC54" si="59">IF(AA43&lt;&gt;"",AB43+AA43,"")</f>
        <v>2.8260869565217388</v>
      </c>
      <c r="AD43">
        <v>1</v>
      </c>
      <c r="AE43">
        <v>0</v>
      </c>
      <c r="AF43">
        <v>0</v>
      </c>
      <c r="AG43">
        <v>0</v>
      </c>
      <c r="AH43">
        <v>0</v>
      </c>
      <c r="AI43">
        <v>0.5</v>
      </c>
      <c r="AJ43">
        <v>1</v>
      </c>
      <c r="AK43" s="6">
        <f t="shared" si="38"/>
        <v>1.3333333333333333</v>
      </c>
      <c r="AL43">
        <f t="shared" ref="AL43:AL54" si="60">0.000537/1000*Q43</f>
        <v>5.3069608695652174E-5</v>
      </c>
      <c r="AM43">
        <v>0</v>
      </c>
      <c r="AN43" s="2">
        <f t="shared" ref="AN43:AN54" si="61">U43</f>
        <v>16</v>
      </c>
      <c r="AO43" s="2">
        <f t="shared" ref="AO43:AO54" si="62">SUM(V43:W43)</f>
        <v>4</v>
      </c>
      <c r="AP43" s="2">
        <f t="shared" ref="AP43:AP54" si="63">AC43</f>
        <v>2.8260869565217388</v>
      </c>
      <c r="AQ43" s="6" t="s">
        <v>84</v>
      </c>
      <c r="AR43" s="20"/>
      <c r="AS43" s="5">
        <v>2.4670639149862349E-2</v>
      </c>
      <c r="AT43" s="2">
        <f t="shared" si="12"/>
        <v>58.368978251949123</v>
      </c>
      <c r="AU43" s="5">
        <v>0</v>
      </c>
      <c r="AV43" s="5">
        <v>0</v>
      </c>
      <c r="AW43" s="7">
        <v>0</v>
      </c>
      <c r="AX43" s="7">
        <v>0</v>
      </c>
      <c r="AY43" s="7">
        <v>0</v>
      </c>
      <c r="AZ43" s="7">
        <v>0</v>
      </c>
      <c r="BA43" s="7">
        <v>0</v>
      </c>
      <c r="BB43" s="7">
        <v>0</v>
      </c>
      <c r="BC43" s="7">
        <v>0</v>
      </c>
      <c r="BD43" s="7">
        <v>0</v>
      </c>
      <c r="BE43" s="7">
        <v>0</v>
      </c>
      <c r="BF43" s="7">
        <v>0</v>
      </c>
      <c r="BG43" s="7">
        <v>0</v>
      </c>
      <c r="BH43" s="7">
        <v>0</v>
      </c>
      <c r="BI43" s="7">
        <v>0</v>
      </c>
      <c r="BJ43" s="7">
        <v>0</v>
      </c>
      <c r="BK43" s="7">
        <v>0</v>
      </c>
      <c r="BL43" s="7">
        <v>0</v>
      </c>
      <c r="BM43" s="7">
        <v>0</v>
      </c>
      <c r="BN43" s="7">
        <v>0</v>
      </c>
      <c r="BO43" s="7">
        <v>0</v>
      </c>
      <c r="BP43" s="7">
        <v>0</v>
      </c>
      <c r="BQ43" s="7">
        <v>0</v>
      </c>
      <c r="BR43" s="7">
        <v>0</v>
      </c>
      <c r="BS43" s="7">
        <v>0</v>
      </c>
      <c r="BT43" s="7">
        <v>0</v>
      </c>
      <c r="BU43" s="7">
        <v>0</v>
      </c>
      <c r="BV43" s="7">
        <v>0</v>
      </c>
      <c r="BW43" s="7">
        <v>0</v>
      </c>
      <c r="BX43" s="7">
        <v>0</v>
      </c>
      <c r="BY43" s="7">
        <v>0</v>
      </c>
      <c r="BZ43" s="7">
        <v>0</v>
      </c>
      <c r="CA43" s="7">
        <v>0</v>
      </c>
      <c r="CB43" s="7">
        <v>0</v>
      </c>
      <c r="CC43" s="7">
        <v>0</v>
      </c>
      <c r="CD43" s="7">
        <v>0</v>
      </c>
      <c r="CE43" s="7">
        <v>0</v>
      </c>
      <c r="CF43" s="7">
        <v>0</v>
      </c>
      <c r="CG43" s="7">
        <v>0</v>
      </c>
      <c r="CH43" s="7">
        <v>0</v>
      </c>
      <c r="CI43" s="7">
        <v>0</v>
      </c>
      <c r="CJ43" s="7">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 t="shared" si="13"/>
        <v>4.1190422847669845E-6</v>
      </c>
      <c r="CW43" s="7">
        <f t="shared" si="14"/>
        <v>3.8281697391828444E-6</v>
      </c>
    </row>
    <row r="44" spans="1:101" x14ac:dyDescent="0.2">
      <c r="A44" t="str">
        <f t="shared" si="53"/>
        <v>Bicycle, electric (&lt;25 km/h) - 2030 - NCA - CH</v>
      </c>
      <c r="B44" t="s">
        <v>262</v>
      </c>
      <c r="D44" s="18">
        <v>2030</v>
      </c>
      <c r="E44" t="s">
        <v>37</v>
      </c>
      <c r="F44" t="s">
        <v>136</v>
      </c>
      <c r="G44" t="s">
        <v>39</v>
      </c>
      <c r="H44" t="s">
        <v>32</v>
      </c>
      <c r="I44" t="s">
        <v>44</v>
      </c>
      <c r="J44">
        <v>20000</v>
      </c>
      <c r="K44">
        <v>2000</v>
      </c>
      <c r="L44" s="2">
        <f t="shared" si="54"/>
        <v>10</v>
      </c>
      <c r="M44">
        <v>1</v>
      </c>
      <c r="N44">
        <v>75</v>
      </c>
      <c r="O44">
        <v>1</v>
      </c>
      <c r="P44" s="2">
        <f t="shared" si="55"/>
        <v>22.886666666666663</v>
      </c>
      <c r="Q44" s="2">
        <f t="shared" si="56"/>
        <v>98.886666666666656</v>
      </c>
      <c r="R44">
        <v>0.25</v>
      </c>
      <c r="S44" s="2">
        <v>16</v>
      </c>
      <c r="T44" s="1">
        <v>0.03</v>
      </c>
      <c r="U44" s="2">
        <f t="shared" si="57"/>
        <v>15.52</v>
      </c>
      <c r="V44">
        <v>0</v>
      </c>
      <c r="W44">
        <v>3.9</v>
      </c>
      <c r="X44" s="3">
        <v>0.8</v>
      </c>
      <c r="Y44" s="1">
        <v>0.8</v>
      </c>
      <c r="Z44" s="3">
        <f t="shared" si="58"/>
        <v>0.64000000000000012</v>
      </c>
      <c r="AA44" s="3">
        <f>IF(I44&lt;&gt;"",X44/INDEX('energy battery'!$B$3:$D$6,MATCH('vehicles specifications'!$D44,'energy battery'!$A$3:$A$6,0),MATCH('vehicles specifications'!$I44,'energy battery'!$B$2:$D$2,0)),"")</f>
        <v>2.666666666666667</v>
      </c>
      <c r="AB44" s="3">
        <f t="shared" si="6"/>
        <v>0.8</v>
      </c>
      <c r="AC44" s="3">
        <f t="shared" si="59"/>
        <v>3.4666666666666668</v>
      </c>
      <c r="AD44">
        <v>0.5</v>
      </c>
      <c r="AE44">
        <v>0</v>
      </c>
      <c r="AF44">
        <v>0</v>
      </c>
      <c r="AG44">
        <v>0</v>
      </c>
      <c r="AH44">
        <v>0</v>
      </c>
      <c r="AI44">
        <v>0.5</v>
      </c>
      <c r="AJ44">
        <v>1</v>
      </c>
      <c r="AK44" s="6">
        <f t="shared" si="38"/>
        <v>1.3333333333333333</v>
      </c>
      <c r="AL44">
        <f t="shared" si="60"/>
        <v>5.3102139999999997E-5</v>
      </c>
      <c r="AM44">
        <v>0</v>
      </c>
      <c r="AN44" s="2">
        <f t="shared" si="61"/>
        <v>15.52</v>
      </c>
      <c r="AO44" s="2">
        <f t="shared" si="62"/>
        <v>3.9</v>
      </c>
      <c r="AP44" s="2">
        <f t="shared" si="63"/>
        <v>3.4666666666666668</v>
      </c>
      <c r="AQ44" s="6" t="s">
        <v>84</v>
      </c>
      <c r="AR44" s="20"/>
      <c r="AS44" s="5">
        <v>2.4670639149862349E-2</v>
      </c>
      <c r="AT44" s="2">
        <f t="shared" si="12"/>
        <v>93.390365203118606</v>
      </c>
      <c r="AU44" s="5">
        <v>0</v>
      </c>
      <c r="AV44" s="5">
        <v>0</v>
      </c>
      <c r="AW44" s="7">
        <v>0</v>
      </c>
      <c r="AX44" s="7">
        <v>0</v>
      </c>
      <c r="AY44" s="7">
        <v>0</v>
      </c>
      <c r="AZ44" s="7">
        <v>0</v>
      </c>
      <c r="BA44" s="7">
        <v>0</v>
      </c>
      <c r="BB44" s="7">
        <v>0</v>
      </c>
      <c r="BC44" s="7">
        <v>0</v>
      </c>
      <c r="BD44" s="7">
        <v>0</v>
      </c>
      <c r="BE44" s="7">
        <v>0</v>
      </c>
      <c r="BF44" s="7">
        <v>0</v>
      </c>
      <c r="BG44" s="7">
        <v>0</v>
      </c>
      <c r="BH44" s="7">
        <v>0</v>
      </c>
      <c r="BI44" s="7">
        <v>0</v>
      </c>
      <c r="BJ44" s="7">
        <v>0</v>
      </c>
      <c r="BK44" s="7">
        <v>0</v>
      </c>
      <c r="BL44" s="7">
        <v>0</v>
      </c>
      <c r="BM44" s="7">
        <v>0</v>
      </c>
      <c r="BN44" s="7">
        <v>0</v>
      </c>
      <c r="BO44" s="7">
        <v>0</v>
      </c>
      <c r="BP44" s="7">
        <v>0</v>
      </c>
      <c r="BQ44" s="7">
        <v>0</v>
      </c>
      <c r="BR44" s="7">
        <v>0</v>
      </c>
      <c r="BS44" s="7">
        <v>0</v>
      </c>
      <c r="BT44" s="7">
        <v>0</v>
      </c>
      <c r="BU44" s="7">
        <v>0</v>
      </c>
      <c r="BV44" s="7">
        <v>0</v>
      </c>
      <c r="BW44" s="7">
        <v>0</v>
      </c>
      <c r="BX44" s="7">
        <v>0</v>
      </c>
      <c r="BY44" s="7">
        <v>0</v>
      </c>
      <c r="BZ44" s="7">
        <v>0</v>
      </c>
      <c r="CA44" s="7">
        <v>0</v>
      </c>
      <c r="CB44" s="7">
        <v>0</v>
      </c>
      <c r="CC44" s="7">
        <v>0</v>
      </c>
      <c r="CD44" s="7">
        <v>0</v>
      </c>
      <c r="CE44" s="7">
        <v>0</v>
      </c>
      <c r="CF44" s="7">
        <v>0</v>
      </c>
      <c r="CG44" s="7">
        <v>0</v>
      </c>
      <c r="CH44" s="7">
        <v>0</v>
      </c>
      <c r="CI44" s="7">
        <v>0</v>
      </c>
      <c r="CJ44" s="7">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 t="shared" si="13"/>
        <v>4.1211339548960909E-6</v>
      </c>
      <c r="CW44" s="7">
        <f t="shared" si="14"/>
        <v>3.8300212497294276E-6</v>
      </c>
    </row>
    <row r="45" spans="1:101" x14ac:dyDescent="0.2">
      <c r="A45" t="str">
        <f t="shared" si="53"/>
        <v>Bicycle, electric (&lt;25 km/h) - 2040 - NCA - CH</v>
      </c>
      <c r="B45" t="s">
        <v>262</v>
      </c>
      <c r="D45" s="18">
        <v>2040</v>
      </c>
      <c r="E45" t="s">
        <v>37</v>
      </c>
      <c r="F45" t="s">
        <v>136</v>
      </c>
      <c r="G45" t="s">
        <v>39</v>
      </c>
      <c r="H45" t="s">
        <v>32</v>
      </c>
      <c r="I45" t="s">
        <v>44</v>
      </c>
      <c r="J45">
        <v>20000</v>
      </c>
      <c r="K45">
        <v>2000</v>
      </c>
      <c r="L45" s="2">
        <f t="shared" si="54"/>
        <v>10</v>
      </c>
      <c r="M45">
        <v>1</v>
      </c>
      <c r="N45">
        <v>75</v>
      </c>
      <c r="O45">
        <v>1</v>
      </c>
      <c r="P45" s="2">
        <f t="shared" si="55"/>
        <v>22.25</v>
      </c>
      <c r="Q45" s="2">
        <f t="shared" si="56"/>
        <v>98.25</v>
      </c>
      <c r="R45">
        <v>0.25</v>
      </c>
      <c r="S45" s="2">
        <v>16</v>
      </c>
      <c r="T45" s="1">
        <v>0.05</v>
      </c>
      <c r="U45" s="2">
        <f t="shared" si="57"/>
        <v>15.2</v>
      </c>
      <c r="V45">
        <v>0</v>
      </c>
      <c r="W45">
        <v>3.8</v>
      </c>
      <c r="X45" s="3">
        <v>1</v>
      </c>
      <c r="Y45" s="1">
        <v>0.8</v>
      </c>
      <c r="Z45" s="3">
        <f t="shared" si="58"/>
        <v>0.8</v>
      </c>
      <c r="AA45" s="3">
        <f>IF(I45&lt;&gt;"",X45/INDEX('energy battery'!$B$3:$D$6,MATCH('vehicles specifications'!$D45,'energy battery'!$A$3:$A$6,0),MATCH('vehicles specifications'!$I45,'energy battery'!$B$2:$D$2,0)),"")</f>
        <v>2.5</v>
      </c>
      <c r="AB45" s="3">
        <f t="shared" si="6"/>
        <v>0.75</v>
      </c>
      <c r="AC45" s="3">
        <f t="shared" si="59"/>
        <v>3.25</v>
      </c>
      <c r="AD45">
        <v>0.25</v>
      </c>
      <c r="AE45">
        <v>0</v>
      </c>
      <c r="AF45">
        <v>0</v>
      </c>
      <c r="AG45">
        <v>0</v>
      </c>
      <c r="AH45">
        <v>0</v>
      </c>
      <c r="AI45">
        <v>0.5</v>
      </c>
      <c r="AJ45">
        <v>1</v>
      </c>
      <c r="AK45" s="6">
        <f t="shared" si="38"/>
        <v>1.3333333333333333</v>
      </c>
      <c r="AL45">
        <f t="shared" si="60"/>
        <v>5.276025E-5</v>
      </c>
      <c r="AM45">
        <v>0</v>
      </c>
      <c r="AN45" s="2">
        <f t="shared" si="61"/>
        <v>15.2</v>
      </c>
      <c r="AO45" s="2">
        <f t="shared" si="62"/>
        <v>3.8</v>
      </c>
      <c r="AP45" s="2">
        <f t="shared" si="63"/>
        <v>3.25</v>
      </c>
      <c r="AQ45" s="6" t="s">
        <v>84</v>
      </c>
      <c r="AR45" s="20"/>
      <c r="AS45" s="5">
        <v>2.4670639149862349E-2</v>
      </c>
      <c r="AT45" s="2">
        <f t="shared" si="12"/>
        <v>116.73795650389825</v>
      </c>
      <c r="AU45" s="5">
        <v>0</v>
      </c>
      <c r="AV45" s="5">
        <v>0</v>
      </c>
      <c r="AW45" s="7">
        <v>0</v>
      </c>
      <c r="AX45" s="7">
        <v>0</v>
      </c>
      <c r="AY45" s="7">
        <v>0</v>
      </c>
      <c r="AZ45" s="7">
        <v>0</v>
      </c>
      <c r="BA45" s="7">
        <v>0</v>
      </c>
      <c r="BB45" s="7">
        <v>0</v>
      </c>
      <c r="BC45" s="7">
        <v>0</v>
      </c>
      <c r="BD45" s="7">
        <v>0</v>
      </c>
      <c r="BE45" s="7">
        <v>0</v>
      </c>
      <c r="BF45" s="7">
        <v>0</v>
      </c>
      <c r="BG45" s="7">
        <v>0</v>
      </c>
      <c r="BH45" s="7">
        <v>0</v>
      </c>
      <c r="BI45" s="7">
        <v>0</v>
      </c>
      <c r="BJ45" s="7">
        <v>0</v>
      </c>
      <c r="BK45" s="7">
        <v>0</v>
      </c>
      <c r="BL45" s="7">
        <v>0</v>
      </c>
      <c r="BM45" s="7">
        <v>0</v>
      </c>
      <c r="BN45" s="7">
        <v>0</v>
      </c>
      <c r="BO45" s="7">
        <v>0</v>
      </c>
      <c r="BP45" s="7">
        <v>0</v>
      </c>
      <c r="BQ45" s="7">
        <v>0</v>
      </c>
      <c r="BR45" s="7">
        <v>0</v>
      </c>
      <c r="BS45" s="7">
        <v>0</v>
      </c>
      <c r="BT45" s="7">
        <v>0</v>
      </c>
      <c r="BU45" s="7">
        <v>0</v>
      </c>
      <c r="BV45" s="7">
        <v>0</v>
      </c>
      <c r="BW45" s="7">
        <v>0</v>
      </c>
      <c r="BX45" s="7">
        <v>0</v>
      </c>
      <c r="BY45" s="7">
        <v>0</v>
      </c>
      <c r="BZ45" s="7">
        <v>0</v>
      </c>
      <c r="CA45" s="7">
        <v>0</v>
      </c>
      <c r="CB45" s="7">
        <v>0</v>
      </c>
      <c r="CC45" s="7">
        <v>0</v>
      </c>
      <c r="CD45" s="7">
        <v>0</v>
      </c>
      <c r="CE45" s="7">
        <v>0</v>
      </c>
      <c r="CF45" s="7">
        <v>0</v>
      </c>
      <c r="CG45" s="7">
        <v>0</v>
      </c>
      <c r="CH45" s="7">
        <v>0</v>
      </c>
      <c r="CI45" s="7">
        <v>0</v>
      </c>
      <c r="CJ45" s="7">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 t="shared" si="13"/>
        <v>4.0990393865404142E-6</v>
      </c>
      <c r="CW45" s="7">
        <f t="shared" si="14"/>
        <v>3.8104964233430331E-6</v>
      </c>
    </row>
    <row r="46" spans="1:101" x14ac:dyDescent="0.2">
      <c r="A46" t="str">
        <f t="shared" si="53"/>
        <v>Bicycle, electric (&lt;25 km/h) - 2050 - NCA - CH</v>
      </c>
      <c r="B46" t="s">
        <v>262</v>
      </c>
      <c r="D46" s="18">
        <v>2050</v>
      </c>
      <c r="E46" t="s">
        <v>37</v>
      </c>
      <c r="F46" t="s">
        <v>136</v>
      </c>
      <c r="G46" t="s">
        <v>39</v>
      </c>
      <c r="H46" t="s">
        <v>32</v>
      </c>
      <c r="I46" t="s">
        <v>44</v>
      </c>
      <c r="J46">
        <v>20000</v>
      </c>
      <c r="K46">
        <v>2000</v>
      </c>
      <c r="L46" s="2">
        <f t="shared" si="54"/>
        <v>10</v>
      </c>
      <c r="M46">
        <v>1</v>
      </c>
      <c r="N46">
        <v>75</v>
      </c>
      <c r="O46">
        <v>1</v>
      </c>
      <c r="P46" s="2">
        <f t="shared" si="55"/>
        <v>22.479999999999997</v>
      </c>
      <c r="Q46" s="2">
        <f t="shared" si="56"/>
        <v>98.47999999999999</v>
      </c>
      <c r="R46">
        <v>0.25</v>
      </c>
      <c r="S46" s="2">
        <v>16</v>
      </c>
      <c r="T46" s="1">
        <v>7.0000000000000007E-2</v>
      </c>
      <c r="U46" s="2">
        <f t="shared" si="57"/>
        <v>14.879999999999999</v>
      </c>
      <c r="V46">
        <v>0</v>
      </c>
      <c r="W46">
        <v>3.7</v>
      </c>
      <c r="X46" s="3">
        <v>1.5</v>
      </c>
      <c r="Y46" s="1">
        <v>0.8</v>
      </c>
      <c r="Z46" s="3">
        <f t="shared" si="58"/>
        <v>1.2000000000000002</v>
      </c>
      <c r="AA46" s="3">
        <f>IF(I46&lt;&gt;"",X46/INDEX('energy battery'!$B$3:$D$6,MATCH('vehicles specifications'!$D46,'energy battery'!$A$3:$A$6,0),MATCH('vehicles specifications'!$I46,'energy battery'!$B$2:$D$2,0)),"")</f>
        <v>3</v>
      </c>
      <c r="AB46" s="3">
        <f t="shared" si="6"/>
        <v>0.89999999999999991</v>
      </c>
      <c r="AC46" s="3">
        <f t="shared" si="59"/>
        <v>3.9</v>
      </c>
      <c r="AD46">
        <v>0</v>
      </c>
      <c r="AE46">
        <v>0</v>
      </c>
      <c r="AF46">
        <v>0</v>
      </c>
      <c r="AG46">
        <v>0</v>
      </c>
      <c r="AH46">
        <v>0</v>
      </c>
      <c r="AI46">
        <v>0.5</v>
      </c>
      <c r="AJ46">
        <v>1</v>
      </c>
      <c r="AK46" s="6">
        <f t="shared" si="38"/>
        <v>1.3333333333333333</v>
      </c>
      <c r="AL46">
        <f t="shared" si="60"/>
        <v>5.2883759999999994E-5</v>
      </c>
      <c r="AM46">
        <v>0</v>
      </c>
      <c r="AN46" s="2">
        <f t="shared" si="61"/>
        <v>14.879999999999999</v>
      </c>
      <c r="AO46" s="2">
        <f t="shared" si="62"/>
        <v>3.7</v>
      </c>
      <c r="AP46" s="2">
        <f t="shared" si="63"/>
        <v>3.9</v>
      </c>
      <c r="AQ46" s="6" t="s">
        <v>84</v>
      </c>
      <c r="AR46" s="20"/>
      <c r="AS46" s="5">
        <v>2.4670639149862349E-2</v>
      </c>
      <c r="AT46" s="2">
        <f t="shared" si="12"/>
        <v>175.10693475584739</v>
      </c>
      <c r="AU46" s="5">
        <v>0</v>
      </c>
      <c r="AV46" s="5">
        <v>0</v>
      </c>
      <c r="AW46" s="7">
        <v>0</v>
      </c>
      <c r="AX46" s="7">
        <v>0</v>
      </c>
      <c r="AY46" s="7">
        <v>0</v>
      </c>
      <c r="AZ46" s="7">
        <v>0</v>
      </c>
      <c r="BA46" s="7">
        <v>0</v>
      </c>
      <c r="BB46" s="7">
        <v>0</v>
      </c>
      <c r="BC46" s="7">
        <v>0</v>
      </c>
      <c r="BD46" s="7">
        <v>0</v>
      </c>
      <c r="BE46" s="7">
        <v>0</v>
      </c>
      <c r="BF46" s="7">
        <v>0</v>
      </c>
      <c r="BG46" s="7">
        <v>0</v>
      </c>
      <c r="BH46" s="7">
        <v>0</v>
      </c>
      <c r="BI46" s="7">
        <v>0</v>
      </c>
      <c r="BJ46" s="7">
        <v>0</v>
      </c>
      <c r="BK46" s="7">
        <v>0</v>
      </c>
      <c r="BL46" s="7">
        <v>0</v>
      </c>
      <c r="BM46" s="7">
        <v>0</v>
      </c>
      <c r="BN46" s="7">
        <v>0</v>
      </c>
      <c r="BO46" s="7">
        <v>0</v>
      </c>
      <c r="BP46" s="7">
        <v>0</v>
      </c>
      <c r="BQ46" s="7">
        <v>0</v>
      </c>
      <c r="BR46" s="7">
        <v>0</v>
      </c>
      <c r="BS46" s="7">
        <v>0</v>
      </c>
      <c r="BT46" s="7">
        <v>0</v>
      </c>
      <c r="BU46" s="7">
        <v>0</v>
      </c>
      <c r="BV46" s="7">
        <v>0</v>
      </c>
      <c r="BW46" s="7">
        <v>0</v>
      </c>
      <c r="BX46" s="7">
        <v>0</v>
      </c>
      <c r="BY46" s="7">
        <v>0</v>
      </c>
      <c r="BZ46" s="7">
        <v>0</v>
      </c>
      <c r="CA46" s="7">
        <v>0</v>
      </c>
      <c r="CB46" s="7">
        <v>0</v>
      </c>
      <c r="CC46" s="7">
        <v>0</v>
      </c>
      <c r="CD46" s="7">
        <v>0</v>
      </c>
      <c r="CE46" s="7">
        <v>0</v>
      </c>
      <c r="CF46" s="7">
        <v>0</v>
      </c>
      <c r="CG46" s="7">
        <v>0</v>
      </c>
      <c r="CH46" s="7">
        <v>0</v>
      </c>
      <c r="CI46" s="7">
        <v>0</v>
      </c>
      <c r="CJ46" s="7">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 t="shared" si="13"/>
        <v>4.1070499667251542E-6</v>
      </c>
      <c r="CW46" s="7">
        <f t="shared" si="14"/>
        <v>3.8175668936151024E-6</v>
      </c>
    </row>
    <row r="47" spans="1:101" x14ac:dyDescent="0.2">
      <c r="A47" t="str">
        <f t="shared" si="53"/>
        <v>Bicycle, electric (&lt;45 km/h) - 2020 - NCA - CH</v>
      </c>
      <c r="B47" t="s">
        <v>263</v>
      </c>
      <c r="D47" s="18">
        <v>2020</v>
      </c>
      <c r="E47" t="s">
        <v>37</v>
      </c>
      <c r="F47" t="s">
        <v>136</v>
      </c>
      <c r="G47" t="s">
        <v>39</v>
      </c>
      <c r="H47" t="s">
        <v>32</v>
      </c>
      <c r="I47" t="s">
        <v>44</v>
      </c>
      <c r="J47">
        <v>30000</v>
      </c>
      <c r="K47">
        <v>3000</v>
      </c>
      <c r="L47" s="2">
        <f t="shared" si="54"/>
        <v>10</v>
      </c>
      <c r="M47">
        <v>1</v>
      </c>
      <c r="N47">
        <v>75</v>
      </c>
      <c r="O47">
        <v>1</v>
      </c>
      <c r="P47" s="2">
        <f t="shared" si="55"/>
        <v>26.826086956521738</v>
      </c>
      <c r="Q47" s="2">
        <f t="shared" si="56"/>
        <v>102.82608695652173</v>
      </c>
      <c r="R47">
        <v>0.5</v>
      </c>
      <c r="S47" s="2">
        <v>19</v>
      </c>
      <c r="T47" s="1">
        <v>0</v>
      </c>
      <c r="U47" s="2">
        <f t="shared" si="57"/>
        <v>19</v>
      </c>
      <c r="V47">
        <v>0</v>
      </c>
      <c r="W47">
        <v>5</v>
      </c>
      <c r="X47" s="3">
        <v>0.5</v>
      </c>
      <c r="Y47" s="1">
        <v>0.8</v>
      </c>
      <c r="Z47" s="3">
        <f t="shared" si="58"/>
        <v>0.4</v>
      </c>
      <c r="AA47" s="3">
        <f>IF(I47&lt;&gt;"",X47/INDEX('energy battery'!$B$3:$D$6,MATCH('vehicles specifications'!$D47,'energy battery'!$A$3:$A$6,0),MATCH('vehicles specifications'!$I47,'energy battery'!$B$2:$D$2,0)),"")</f>
        <v>2.1739130434782608</v>
      </c>
      <c r="AB47" s="3">
        <f t="shared" si="6"/>
        <v>0.65217391304347816</v>
      </c>
      <c r="AC47" s="3">
        <f t="shared" si="59"/>
        <v>2.8260869565217388</v>
      </c>
      <c r="AD47">
        <v>1</v>
      </c>
      <c r="AE47">
        <v>0</v>
      </c>
      <c r="AF47">
        <v>0</v>
      </c>
      <c r="AG47">
        <v>0</v>
      </c>
      <c r="AH47">
        <v>0</v>
      </c>
      <c r="AI47">
        <v>0.5</v>
      </c>
      <c r="AJ47">
        <v>1</v>
      </c>
      <c r="AK47" s="6">
        <f t="shared" si="38"/>
        <v>2</v>
      </c>
      <c r="AL47">
        <f t="shared" si="60"/>
        <v>5.5217608695652174E-5</v>
      </c>
      <c r="AM47">
        <v>0</v>
      </c>
      <c r="AN47" s="2">
        <f t="shared" si="61"/>
        <v>19</v>
      </c>
      <c r="AO47" s="2">
        <f t="shared" si="62"/>
        <v>5</v>
      </c>
      <c r="AP47" s="2">
        <f t="shared" si="63"/>
        <v>2.8260869565217388</v>
      </c>
      <c r="AQ47" s="6" t="s">
        <v>84</v>
      </c>
      <c r="AR47" s="20"/>
      <c r="AS47" s="5">
        <v>4.5308940859381523E-2</v>
      </c>
      <c r="AT47" s="2">
        <f t="shared" si="12"/>
        <v>31.78180669614656</v>
      </c>
      <c r="AU47" s="5">
        <v>0</v>
      </c>
      <c r="AV47" s="5">
        <v>0</v>
      </c>
      <c r="AW47" s="7">
        <v>0</v>
      </c>
      <c r="AX47" s="7">
        <v>0</v>
      </c>
      <c r="AY47" s="7">
        <v>0</v>
      </c>
      <c r="AZ47" s="7">
        <v>0</v>
      </c>
      <c r="BA47" s="7">
        <v>0</v>
      </c>
      <c r="BB47" s="7">
        <v>0</v>
      </c>
      <c r="BC47" s="7">
        <v>0</v>
      </c>
      <c r="BD47" s="7">
        <v>0</v>
      </c>
      <c r="BE47" s="7">
        <v>0</v>
      </c>
      <c r="BF47" s="7">
        <v>0</v>
      </c>
      <c r="BG47" s="7">
        <v>0</v>
      </c>
      <c r="BH47" s="7">
        <v>0</v>
      </c>
      <c r="BI47" s="7">
        <v>0</v>
      </c>
      <c r="BJ47" s="7">
        <v>0</v>
      </c>
      <c r="BK47" s="7">
        <v>0</v>
      </c>
      <c r="BL47" s="7">
        <v>0</v>
      </c>
      <c r="BM47" s="7">
        <v>0</v>
      </c>
      <c r="BN47" s="7">
        <v>0</v>
      </c>
      <c r="BO47" s="7">
        <v>0</v>
      </c>
      <c r="BP47" s="7">
        <v>0</v>
      </c>
      <c r="BQ47" s="7">
        <v>0</v>
      </c>
      <c r="BR47" s="7">
        <v>0</v>
      </c>
      <c r="BS47" s="7">
        <v>0</v>
      </c>
      <c r="BT47" s="7">
        <v>0</v>
      </c>
      <c r="BU47" s="7">
        <v>0</v>
      </c>
      <c r="BV47" s="7">
        <v>0</v>
      </c>
      <c r="BW47" s="7">
        <v>0</v>
      </c>
      <c r="BX47" s="7">
        <v>0</v>
      </c>
      <c r="BY47" s="7">
        <v>0</v>
      </c>
      <c r="BZ47" s="7">
        <v>0</v>
      </c>
      <c r="CA47" s="7">
        <v>0</v>
      </c>
      <c r="CB47" s="7">
        <v>0</v>
      </c>
      <c r="CC47" s="7">
        <v>0</v>
      </c>
      <c r="CD47" s="7">
        <v>0</v>
      </c>
      <c r="CE47" s="7">
        <v>0</v>
      </c>
      <c r="CF47" s="7">
        <v>0</v>
      </c>
      <c r="CG47" s="7">
        <v>0</v>
      </c>
      <c r="CH47" s="7">
        <v>0</v>
      </c>
      <c r="CI47" s="7">
        <v>0</v>
      </c>
      <c r="CJ47" s="7">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 t="shared" si="13"/>
        <v>4.2527520499734952E-6</v>
      </c>
      <c r="CW47" s="7">
        <f t="shared" si="14"/>
        <v>3.9477863286675544E-6</v>
      </c>
    </row>
    <row r="48" spans="1:101" x14ac:dyDescent="0.2">
      <c r="A48" t="str">
        <f t="shared" si="53"/>
        <v>Bicycle, electric (&lt;45 km/h) - 2030 - NCA - CH</v>
      </c>
      <c r="B48" t="s">
        <v>263</v>
      </c>
      <c r="D48" s="18">
        <v>2030</v>
      </c>
      <c r="E48" t="s">
        <v>37</v>
      </c>
      <c r="F48" t="s">
        <v>136</v>
      </c>
      <c r="G48" t="s">
        <v>39</v>
      </c>
      <c r="H48" t="s">
        <v>32</v>
      </c>
      <c r="I48" t="s">
        <v>44</v>
      </c>
      <c r="J48">
        <v>30000</v>
      </c>
      <c r="K48">
        <v>3000</v>
      </c>
      <c r="L48" s="2">
        <f t="shared" si="54"/>
        <v>10</v>
      </c>
      <c r="M48">
        <v>1</v>
      </c>
      <c r="N48">
        <v>75</v>
      </c>
      <c r="O48">
        <v>1</v>
      </c>
      <c r="P48" s="2">
        <f t="shared" si="55"/>
        <v>26.796666666666667</v>
      </c>
      <c r="Q48" s="2">
        <f t="shared" si="56"/>
        <v>102.79666666666667</v>
      </c>
      <c r="R48">
        <v>0.5</v>
      </c>
      <c r="S48" s="2">
        <v>19</v>
      </c>
      <c r="T48" s="1">
        <v>0.03</v>
      </c>
      <c r="U48" s="2">
        <f t="shared" si="57"/>
        <v>18.43</v>
      </c>
      <c r="V48">
        <v>0</v>
      </c>
      <c r="W48">
        <v>4.9000000000000004</v>
      </c>
      <c r="X48" s="3">
        <v>0.8</v>
      </c>
      <c r="Y48" s="1">
        <v>0.8</v>
      </c>
      <c r="Z48" s="3">
        <f t="shared" si="58"/>
        <v>0.64000000000000012</v>
      </c>
      <c r="AA48" s="3">
        <f>IF(I48&lt;&gt;"",X48/INDEX('energy battery'!$B$3:$D$6,MATCH('vehicles specifications'!$D48,'energy battery'!$A$3:$A$6,0),MATCH('vehicles specifications'!$I48,'energy battery'!$B$2:$D$2,0)),"")</f>
        <v>2.666666666666667</v>
      </c>
      <c r="AB48" s="3">
        <f t="shared" si="6"/>
        <v>0.8</v>
      </c>
      <c r="AC48" s="3">
        <f t="shared" si="59"/>
        <v>3.4666666666666668</v>
      </c>
      <c r="AD48">
        <v>0.5</v>
      </c>
      <c r="AE48">
        <v>0</v>
      </c>
      <c r="AF48">
        <v>0</v>
      </c>
      <c r="AG48">
        <v>0</v>
      </c>
      <c r="AH48">
        <v>0</v>
      </c>
      <c r="AI48">
        <v>0.5</v>
      </c>
      <c r="AJ48">
        <v>1</v>
      </c>
      <c r="AK48" s="6">
        <f t="shared" si="38"/>
        <v>2</v>
      </c>
      <c r="AL48">
        <f t="shared" si="60"/>
        <v>5.5201809999999998E-5</v>
      </c>
      <c r="AM48">
        <v>0</v>
      </c>
      <c r="AN48" s="2">
        <f t="shared" si="61"/>
        <v>18.43</v>
      </c>
      <c r="AO48" s="2">
        <f t="shared" si="62"/>
        <v>4.9000000000000004</v>
      </c>
      <c r="AP48" s="2">
        <f t="shared" si="63"/>
        <v>3.4666666666666668</v>
      </c>
      <c r="AQ48" s="6" t="s">
        <v>84</v>
      </c>
      <c r="AR48" s="20"/>
      <c r="AS48" s="5">
        <v>4.5308940859381523E-2</v>
      </c>
      <c r="AT48" s="2">
        <f t="shared" si="12"/>
        <v>50.850890713834502</v>
      </c>
      <c r="AU48" s="5">
        <v>0</v>
      </c>
      <c r="AV48" s="5">
        <v>0</v>
      </c>
      <c r="AW48" s="7">
        <v>0</v>
      </c>
      <c r="AX48" s="7">
        <v>0</v>
      </c>
      <c r="AY48" s="7">
        <v>0</v>
      </c>
      <c r="AZ48" s="7">
        <v>0</v>
      </c>
      <c r="BA48" s="7">
        <v>0</v>
      </c>
      <c r="BB48" s="7">
        <v>0</v>
      </c>
      <c r="BC48" s="7">
        <v>0</v>
      </c>
      <c r="BD48" s="7">
        <v>0</v>
      </c>
      <c r="BE48" s="7">
        <v>0</v>
      </c>
      <c r="BF48" s="7">
        <v>0</v>
      </c>
      <c r="BG48" s="7">
        <v>0</v>
      </c>
      <c r="BH48" s="7">
        <v>0</v>
      </c>
      <c r="BI48" s="7">
        <v>0</v>
      </c>
      <c r="BJ48" s="7">
        <v>0</v>
      </c>
      <c r="BK48" s="7">
        <v>0</v>
      </c>
      <c r="BL48" s="7">
        <v>0</v>
      </c>
      <c r="BM48" s="7">
        <v>0</v>
      </c>
      <c r="BN48" s="7">
        <v>0</v>
      </c>
      <c r="BO48" s="7">
        <v>0</v>
      </c>
      <c r="BP48" s="7">
        <v>0</v>
      </c>
      <c r="BQ48" s="7">
        <v>0</v>
      </c>
      <c r="BR48" s="7">
        <v>0</v>
      </c>
      <c r="BS48" s="7">
        <v>0</v>
      </c>
      <c r="BT48" s="7">
        <v>0</v>
      </c>
      <c r="BU48" s="7">
        <v>0</v>
      </c>
      <c r="BV48" s="7">
        <v>0</v>
      </c>
      <c r="BW48" s="7">
        <v>0</v>
      </c>
      <c r="BX48" s="7">
        <v>0</v>
      </c>
      <c r="BY48" s="7">
        <v>0</v>
      </c>
      <c r="BZ48" s="7">
        <v>0</v>
      </c>
      <c r="CA48" s="7">
        <v>0</v>
      </c>
      <c r="CB48" s="7">
        <v>0</v>
      </c>
      <c r="CC48" s="7">
        <v>0</v>
      </c>
      <c r="CD48" s="7">
        <v>0</v>
      </c>
      <c r="CE48" s="7">
        <v>0</v>
      </c>
      <c r="CF48" s="7">
        <v>0</v>
      </c>
      <c r="CG48" s="7">
        <v>0</v>
      </c>
      <c r="CH48" s="7">
        <v>0</v>
      </c>
      <c r="CI48" s="7">
        <v>0</v>
      </c>
      <c r="CJ48" s="7">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 t="shared" si="13"/>
        <v>4.2517989039701259E-6</v>
      </c>
      <c r="CW48" s="7">
        <f t="shared" si="14"/>
        <v>3.9469248908384192E-6</v>
      </c>
    </row>
    <row r="49" spans="1:101" x14ac:dyDescent="0.2">
      <c r="A49" t="str">
        <f t="shared" si="53"/>
        <v>Bicycle, electric (&lt;45 km/h) - 2040 - NCA - CH</v>
      </c>
      <c r="B49" t="s">
        <v>263</v>
      </c>
      <c r="D49" s="18">
        <v>2040</v>
      </c>
      <c r="E49" t="s">
        <v>37</v>
      </c>
      <c r="F49" t="s">
        <v>136</v>
      </c>
      <c r="G49" t="s">
        <v>39</v>
      </c>
      <c r="H49" t="s">
        <v>32</v>
      </c>
      <c r="I49" t="s">
        <v>44</v>
      </c>
      <c r="J49">
        <v>30000</v>
      </c>
      <c r="K49">
        <v>3000</v>
      </c>
      <c r="L49" s="2">
        <f t="shared" si="54"/>
        <v>10</v>
      </c>
      <c r="M49">
        <v>1</v>
      </c>
      <c r="N49">
        <v>75</v>
      </c>
      <c r="O49">
        <v>1</v>
      </c>
      <c r="P49" s="2">
        <f t="shared" si="55"/>
        <v>26</v>
      </c>
      <c r="Q49" s="2">
        <f t="shared" si="56"/>
        <v>102</v>
      </c>
      <c r="R49">
        <v>0.5</v>
      </c>
      <c r="S49" s="2">
        <v>19</v>
      </c>
      <c r="T49" s="1">
        <v>0.05</v>
      </c>
      <c r="U49" s="2">
        <f t="shared" si="57"/>
        <v>18.05</v>
      </c>
      <c r="V49">
        <v>0</v>
      </c>
      <c r="W49">
        <v>4.7</v>
      </c>
      <c r="X49" s="3">
        <v>1</v>
      </c>
      <c r="Y49" s="1">
        <v>0.8</v>
      </c>
      <c r="Z49" s="3">
        <f t="shared" si="58"/>
        <v>0.8</v>
      </c>
      <c r="AA49" s="3">
        <f>IF(I49&lt;&gt;"",X49/INDEX('energy battery'!$B$3:$D$6,MATCH('vehicles specifications'!$D49,'energy battery'!$A$3:$A$6,0),MATCH('vehicles specifications'!$I49,'energy battery'!$B$2:$D$2,0)),"")</f>
        <v>2.5</v>
      </c>
      <c r="AB49" s="3">
        <f t="shared" si="6"/>
        <v>0.75</v>
      </c>
      <c r="AC49" s="3">
        <f t="shared" si="59"/>
        <v>3.25</v>
      </c>
      <c r="AD49">
        <v>0.25</v>
      </c>
      <c r="AE49">
        <v>0</v>
      </c>
      <c r="AF49">
        <v>0</v>
      </c>
      <c r="AG49">
        <v>0</v>
      </c>
      <c r="AH49">
        <v>0</v>
      </c>
      <c r="AI49">
        <v>0.5</v>
      </c>
      <c r="AJ49">
        <v>1</v>
      </c>
      <c r="AK49" s="6">
        <f t="shared" si="38"/>
        <v>2</v>
      </c>
      <c r="AL49">
        <f t="shared" si="60"/>
        <v>5.4774000000000001E-5</v>
      </c>
      <c r="AM49">
        <v>0</v>
      </c>
      <c r="AN49" s="2">
        <f t="shared" si="61"/>
        <v>18.05</v>
      </c>
      <c r="AO49" s="2">
        <f t="shared" si="62"/>
        <v>4.7</v>
      </c>
      <c r="AP49" s="2">
        <f t="shared" si="63"/>
        <v>3.25</v>
      </c>
      <c r="AQ49" s="6" t="s">
        <v>84</v>
      </c>
      <c r="AR49" s="20"/>
      <c r="AS49" s="5">
        <v>4.5308940859381523E-2</v>
      </c>
      <c r="AT49" s="2">
        <f t="shared" si="12"/>
        <v>63.563613392293121</v>
      </c>
      <c r="AU49" s="5">
        <v>0</v>
      </c>
      <c r="AV49" s="5">
        <v>0</v>
      </c>
      <c r="AW49" s="7">
        <v>0</v>
      </c>
      <c r="AX49" s="7">
        <v>0</v>
      </c>
      <c r="AY49" s="7">
        <v>0</v>
      </c>
      <c r="AZ49" s="7">
        <v>0</v>
      </c>
      <c r="BA49" s="7">
        <v>0</v>
      </c>
      <c r="BB49" s="7">
        <v>0</v>
      </c>
      <c r="BC49" s="7">
        <v>0</v>
      </c>
      <c r="BD49" s="7">
        <v>0</v>
      </c>
      <c r="BE49" s="7">
        <v>0</v>
      </c>
      <c r="BF49" s="7">
        <v>0</v>
      </c>
      <c r="BG49" s="7">
        <v>0</v>
      </c>
      <c r="BH49" s="7">
        <v>0</v>
      </c>
      <c r="BI49" s="7">
        <v>0</v>
      </c>
      <c r="BJ49" s="7">
        <v>0</v>
      </c>
      <c r="BK49" s="7">
        <v>0</v>
      </c>
      <c r="BL49" s="7">
        <v>0</v>
      </c>
      <c r="BM49" s="7">
        <v>0</v>
      </c>
      <c r="BN49" s="7">
        <v>0</v>
      </c>
      <c r="BO49" s="7">
        <v>0</v>
      </c>
      <c r="BP49" s="7">
        <v>0</v>
      </c>
      <c r="BQ49" s="7">
        <v>0</v>
      </c>
      <c r="BR49" s="7">
        <v>0</v>
      </c>
      <c r="BS49" s="7">
        <v>0</v>
      </c>
      <c r="BT49" s="7">
        <v>0</v>
      </c>
      <c r="BU49" s="7">
        <v>0</v>
      </c>
      <c r="BV49" s="7">
        <v>0</v>
      </c>
      <c r="BW49" s="7">
        <v>0</v>
      </c>
      <c r="BX49" s="7">
        <v>0</v>
      </c>
      <c r="BY49" s="7">
        <v>0</v>
      </c>
      <c r="BZ49" s="7">
        <v>0</v>
      </c>
      <c r="CA49" s="7">
        <v>0</v>
      </c>
      <c r="CB49" s="7">
        <v>0</v>
      </c>
      <c r="CC49" s="7">
        <v>0</v>
      </c>
      <c r="CD49" s="7">
        <v>0</v>
      </c>
      <c r="CE49" s="7">
        <v>0</v>
      </c>
      <c r="CF49" s="7">
        <v>0</v>
      </c>
      <c r="CG49" s="7">
        <v>0</v>
      </c>
      <c r="CH49" s="7">
        <v>0</v>
      </c>
      <c r="CI49" s="7">
        <v>0</v>
      </c>
      <c r="CJ49" s="7">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 t="shared" si="13"/>
        <v>4.2258279579563645E-6</v>
      </c>
      <c r="CW49" s="7">
        <f t="shared" si="14"/>
        <v>3.9234998540415566E-6</v>
      </c>
    </row>
    <row r="50" spans="1:101" x14ac:dyDescent="0.2">
      <c r="A50" t="str">
        <f t="shared" si="53"/>
        <v>Bicycle, electric (&lt;45 km/h) - 2050 - NCA - CH</v>
      </c>
      <c r="B50" t="s">
        <v>263</v>
      </c>
      <c r="D50" s="18">
        <v>2050</v>
      </c>
      <c r="E50" t="s">
        <v>37</v>
      </c>
      <c r="F50" t="s">
        <v>136</v>
      </c>
      <c r="G50" t="s">
        <v>39</v>
      </c>
      <c r="H50" t="s">
        <v>32</v>
      </c>
      <c r="I50" t="s">
        <v>44</v>
      </c>
      <c r="J50">
        <v>30000</v>
      </c>
      <c r="K50">
        <v>3000</v>
      </c>
      <c r="L50" s="2">
        <f t="shared" si="54"/>
        <v>10</v>
      </c>
      <c r="M50">
        <v>1</v>
      </c>
      <c r="N50">
        <v>75</v>
      </c>
      <c r="O50">
        <v>1</v>
      </c>
      <c r="P50" s="2">
        <f t="shared" si="55"/>
        <v>26.169999999999995</v>
      </c>
      <c r="Q50" s="2">
        <f t="shared" si="56"/>
        <v>102.16999999999999</v>
      </c>
      <c r="R50">
        <v>0.5</v>
      </c>
      <c r="S50" s="2">
        <v>19</v>
      </c>
      <c r="T50" s="1">
        <v>7.0000000000000007E-2</v>
      </c>
      <c r="U50" s="2">
        <f t="shared" si="57"/>
        <v>17.669999999999998</v>
      </c>
      <c r="V50">
        <v>0</v>
      </c>
      <c r="W50">
        <v>4.5999999999999996</v>
      </c>
      <c r="X50" s="3">
        <v>1.5</v>
      </c>
      <c r="Y50" s="1">
        <v>0.8</v>
      </c>
      <c r="Z50" s="3">
        <f t="shared" si="58"/>
        <v>1.2000000000000002</v>
      </c>
      <c r="AA50" s="3">
        <f>IF(I50&lt;&gt;"",X50/INDEX('energy battery'!$B$3:$D$6,MATCH('vehicles specifications'!$D50,'energy battery'!$A$3:$A$6,0),MATCH('vehicles specifications'!$I50,'energy battery'!$B$2:$D$2,0)),"")</f>
        <v>3</v>
      </c>
      <c r="AB50" s="3">
        <f t="shared" si="6"/>
        <v>0.89999999999999991</v>
      </c>
      <c r="AC50" s="3">
        <f t="shared" si="59"/>
        <v>3.9</v>
      </c>
      <c r="AD50">
        <v>0</v>
      </c>
      <c r="AE50">
        <v>0</v>
      </c>
      <c r="AF50">
        <v>0</v>
      </c>
      <c r="AG50">
        <v>0</v>
      </c>
      <c r="AH50">
        <v>0</v>
      </c>
      <c r="AI50">
        <v>0.5</v>
      </c>
      <c r="AJ50">
        <v>1</v>
      </c>
      <c r="AK50" s="6">
        <f t="shared" si="38"/>
        <v>2</v>
      </c>
      <c r="AL50">
        <f t="shared" si="60"/>
        <v>5.4865289999999991E-5</v>
      </c>
      <c r="AM50">
        <v>0</v>
      </c>
      <c r="AN50" s="2">
        <f t="shared" si="61"/>
        <v>17.669999999999998</v>
      </c>
      <c r="AO50" s="2">
        <f t="shared" si="62"/>
        <v>4.5999999999999996</v>
      </c>
      <c r="AP50" s="2">
        <f t="shared" si="63"/>
        <v>3.9</v>
      </c>
      <c r="AQ50" s="6" t="s">
        <v>84</v>
      </c>
      <c r="AR50" s="20"/>
      <c r="AS50" s="5">
        <v>4.5308940859381523E-2</v>
      </c>
      <c r="AT50" s="2">
        <f t="shared" si="12"/>
        <v>95.345420088439695</v>
      </c>
      <c r="AU50" s="5">
        <v>0</v>
      </c>
      <c r="AV50" s="5">
        <v>0</v>
      </c>
      <c r="AW50" s="7">
        <v>0</v>
      </c>
      <c r="AX50" s="7">
        <v>0</v>
      </c>
      <c r="AY50" s="7">
        <v>0</v>
      </c>
      <c r="AZ50" s="7">
        <v>0</v>
      </c>
      <c r="BA50" s="7">
        <v>0</v>
      </c>
      <c r="BB50" s="7">
        <v>0</v>
      </c>
      <c r="BC50" s="7">
        <v>0</v>
      </c>
      <c r="BD50" s="7">
        <v>0</v>
      </c>
      <c r="BE50" s="7">
        <v>0</v>
      </c>
      <c r="BF50" s="7">
        <v>0</v>
      </c>
      <c r="BG50" s="7">
        <v>0</v>
      </c>
      <c r="BH50" s="7">
        <v>0</v>
      </c>
      <c r="BI50" s="7">
        <v>0</v>
      </c>
      <c r="BJ50" s="7">
        <v>0</v>
      </c>
      <c r="BK50" s="7">
        <v>0</v>
      </c>
      <c r="BL50" s="7">
        <v>0</v>
      </c>
      <c r="BM50" s="7">
        <v>0</v>
      </c>
      <c r="BN50" s="7">
        <v>0</v>
      </c>
      <c r="BO50" s="7">
        <v>0</v>
      </c>
      <c r="BP50" s="7">
        <v>0</v>
      </c>
      <c r="BQ50" s="7">
        <v>0</v>
      </c>
      <c r="BR50" s="7">
        <v>0</v>
      </c>
      <c r="BS50" s="7">
        <v>0</v>
      </c>
      <c r="BT50" s="7">
        <v>0</v>
      </c>
      <c r="BU50" s="7">
        <v>0</v>
      </c>
      <c r="BV50" s="7">
        <v>0</v>
      </c>
      <c r="BW50" s="7">
        <v>0</v>
      </c>
      <c r="BX50" s="7">
        <v>0</v>
      </c>
      <c r="BY50" s="7">
        <v>0</v>
      </c>
      <c r="BZ50" s="7">
        <v>0</v>
      </c>
      <c r="CA50" s="7">
        <v>0</v>
      </c>
      <c r="CB50" s="7">
        <v>0</v>
      </c>
      <c r="CC50" s="7">
        <v>0</v>
      </c>
      <c r="CD50" s="7">
        <v>0</v>
      </c>
      <c r="CE50" s="7">
        <v>0</v>
      </c>
      <c r="CF50" s="7">
        <v>0</v>
      </c>
      <c r="CG50" s="7">
        <v>0</v>
      </c>
      <c r="CH50" s="7">
        <v>0</v>
      </c>
      <c r="CI50" s="7">
        <v>0</v>
      </c>
      <c r="CJ50" s="7">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 t="shared" si="13"/>
        <v>4.2313962200767675E-6</v>
      </c>
      <c r="CW50" s="7">
        <f t="shared" si="14"/>
        <v>3.9285145743745862E-6</v>
      </c>
    </row>
    <row r="51" spans="1:101" x14ac:dyDescent="0.2">
      <c r="A51" t="str">
        <f t="shared" si="53"/>
        <v>Bicycle, battery electric, cargo bike - 2020 - NCA - CH</v>
      </c>
      <c r="B51" t="s">
        <v>652</v>
      </c>
      <c r="D51" s="18">
        <v>2020</v>
      </c>
      <c r="E51" t="s">
        <v>37</v>
      </c>
      <c r="F51" t="s">
        <v>136</v>
      </c>
      <c r="G51" t="s">
        <v>39</v>
      </c>
      <c r="H51" t="s">
        <v>32</v>
      </c>
      <c r="I51" t="s">
        <v>44</v>
      </c>
      <c r="J51">
        <v>20000</v>
      </c>
      <c r="K51">
        <v>2000</v>
      </c>
      <c r="L51" s="2">
        <f t="shared" si="54"/>
        <v>10</v>
      </c>
      <c r="M51">
        <v>1</v>
      </c>
      <c r="N51">
        <v>75</v>
      </c>
      <c r="O51">
        <v>50</v>
      </c>
      <c r="P51" s="2">
        <f t="shared" si="55"/>
        <v>44.826086956521742</v>
      </c>
      <c r="Q51" s="2">
        <f t="shared" si="56"/>
        <v>169.82608695652175</v>
      </c>
      <c r="R51">
        <v>0.25</v>
      </c>
      <c r="S51" s="2">
        <v>38</v>
      </c>
      <c r="T51" s="1">
        <v>0</v>
      </c>
      <c r="U51" s="2">
        <f t="shared" si="57"/>
        <v>38</v>
      </c>
      <c r="V51">
        <v>0</v>
      </c>
      <c r="W51">
        <v>4</v>
      </c>
      <c r="X51" s="3">
        <v>0.5</v>
      </c>
      <c r="Y51" s="1">
        <v>0.8</v>
      </c>
      <c r="Z51" s="3">
        <f t="shared" si="58"/>
        <v>0.4</v>
      </c>
      <c r="AA51" s="3">
        <f>IF(I51&lt;&gt;"",X51/INDEX('energy battery'!$B$3:$D$6,MATCH('vehicles specifications'!$D51,'energy battery'!$A$3:$A$6,0),MATCH('vehicles specifications'!$I51,'energy battery'!$B$2:$D$2,0)),"")</f>
        <v>2.1739130434782608</v>
      </c>
      <c r="AB51" s="3">
        <f t="shared" si="6"/>
        <v>0.65217391304347816</v>
      </c>
      <c r="AC51" s="3">
        <f t="shared" si="59"/>
        <v>2.8260869565217388</v>
      </c>
      <c r="AD51">
        <v>1</v>
      </c>
      <c r="AE51">
        <v>0</v>
      </c>
      <c r="AF51">
        <v>0</v>
      </c>
      <c r="AG51">
        <v>0</v>
      </c>
      <c r="AH51">
        <v>0</v>
      </c>
      <c r="AI51">
        <v>0.5</v>
      </c>
      <c r="AJ51">
        <v>1</v>
      </c>
      <c r="AK51" s="6">
        <f t="shared" si="38"/>
        <v>1.3333333333333333</v>
      </c>
      <c r="AL51">
        <f t="shared" si="60"/>
        <v>9.1196608695652177E-5</v>
      </c>
      <c r="AM51">
        <v>0</v>
      </c>
      <c r="AN51" s="2">
        <f t="shared" si="61"/>
        <v>38</v>
      </c>
      <c r="AO51" s="2">
        <f t="shared" si="62"/>
        <v>4</v>
      </c>
      <c r="AP51" s="2">
        <f t="shared" si="63"/>
        <v>2.8260869565217388</v>
      </c>
      <c r="AQ51" s="6" t="s">
        <v>84</v>
      </c>
      <c r="AR51" s="20"/>
      <c r="AS51" s="5">
        <v>3.4708323163290214E-2</v>
      </c>
      <c r="AT51" s="2">
        <f t="shared" si="12"/>
        <v>41.48860759493671</v>
      </c>
      <c r="AU51" s="5">
        <v>0</v>
      </c>
      <c r="AV51" s="5">
        <v>0</v>
      </c>
      <c r="AW51" s="7">
        <v>0</v>
      </c>
      <c r="AX51" s="7">
        <v>0</v>
      </c>
      <c r="AY51" s="7">
        <v>0</v>
      </c>
      <c r="AZ51" s="7">
        <v>0</v>
      </c>
      <c r="BA51" s="7">
        <v>0</v>
      </c>
      <c r="BB51" s="7">
        <v>0</v>
      </c>
      <c r="BC51" s="7">
        <v>0</v>
      </c>
      <c r="BD51" s="7">
        <v>0</v>
      </c>
      <c r="BE51" s="7">
        <v>0</v>
      </c>
      <c r="BF51" s="7">
        <v>0</v>
      </c>
      <c r="BG51" s="7">
        <v>0</v>
      </c>
      <c r="BH51" s="7">
        <v>0</v>
      </c>
      <c r="BI51" s="7">
        <v>0</v>
      </c>
      <c r="BJ51" s="7">
        <v>0</v>
      </c>
      <c r="BK51" s="7">
        <v>0</v>
      </c>
      <c r="BL51" s="7">
        <v>0</v>
      </c>
      <c r="BM51" s="7">
        <v>0</v>
      </c>
      <c r="BN51" s="7">
        <v>0</v>
      </c>
      <c r="BO51" s="7">
        <v>0</v>
      </c>
      <c r="BP51" s="7">
        <v>0</v>
      </c>
      <c r="BQ51" s="7">
        <v>0</v>
      </c>
      <c r="BR51" s="7">
        <v>0</v>
      </c>
      <c r="BS51" s="7">
        <v>0</v>
      </c>
      <c r="BT51" s="7">
        <v>0</v>
      </c>
      <c r="BU51" s="7">
        <v>0</v>
      </c>
      <c r="BV51" s="7">
        <v>0</v>
      </c>
      <c r="BW51" s="7">
        <v>0</v>
      </c>
      <c r="BX51" s="7">
        <v>0</v>
      </c>
      <c r="BY51" s="7">
        <v>0</v>
      </c>
      <c r="BZ51" s="7">
        <v>0</v>
      </c>
      <c r="CA51" s="7">
        <v>0</v>
      </c>
      <c r="CB51" s="7">
        <v>0</v>
      </c>
      <c r="CC51" s="7">
        <v>0</v>
      </c>
      <c r="CD51" s="7">
        <v>0</v>
      </c>
      <c r="CE51" s="7">
        <v>0</v>
      </c>
      <c r="CF51" s="7">
        <v>0</v>
      </c>
      <c r="CG51" s="7">
        <v>0</v>
      </c>
      <c r="CH51" s="7">
        <v>0</v>
      </c>
      <c r="CI51" s="7">
        <v>0</v>
      </c>
      <c r="CJ51" s="7">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 t="shared" si="13"/>
        <v>5.2970558500651591E-6</v>
      </c>
      <c r="CW51" s="7">
        <f t="shared" si="14"/>
        <v>5.145913276111852E-6</v>
      </c>
    </row>
    <row r="52" spans="1:101" x14ac:dyDescent="0.2">
      <c r="A52" t="str">
        <f t="shared" si="53"/>
        <v>Bicycle, battery electric, cargo bike - 2030 - NCA - CH</v>
      </c>
      <c r="B52" t="s">
        <v>652</v>
      </c>
      <c r="D52" s="18">
        <v>2030</v>
      </c>
      <c r="E52" t="s">
        <v>37</v>
      </c>
      <c r="F52" t="s">
        <v>136</v>
      </c>
      <c r="G52" t="s">
        <v>39</v>
      </c>
      <c r="H52" t="s">
        <v>32</v>
      </c>
      <c r="I52" t="s">
        <v>44</v>
      </c>
      <c r="J52">
        <v>20000</v>
      </c>
      <c r="K52">
        <v>2000</v>
      </c>
      <c r="L52" s="2">
        <f t="shared" si="54"/>
        <v>10</v>
      </c>
      <c r="M52">
        <v>1</v>
      </c>
      <c r="N52">
        <v>75</v>
      </c>
      <c r="O52">
        <v>50</v>
      </c>
      <c r="P52" s="2">
        <f t="shared" si="55"/>
        <v>43.793333333333329</v>
      </c>
      <c r="Q52" s="2">
        <f t="shared" si="56"/>
        <v>168.79333333333332</v>
      </c>
      <c r="R52">
        <v>0.25</v>
      </c>
      <c r="S52" s="2">
        <v>38</v>
      </c>
      <c r="T52" s="1">
        <v>0.03</v>
      </c>
      <c r="U52" s="2">
        <f t="shared" si="57"/>
        <v>36.86</v>
      </c>
      <c r="V52">
        <v>0</v>
      </c>
      <c r="W52">
        <v>3.9</v>
      </c>
      <c r="X52" s="3">
        <v>0.7</v>
      </c>
      <c r="Y52" s="1">
        <v>0.8</v>
      </c>
      <c r="Z52" s="3">
        <f t="shared" si="58"/>
        <v>0.55999999999999994</v>
      </c>
      <c r="AA52" s="3">
        <f>IF(I52&lt;&gt;"",X52/INDEX('energy battery'!$B$3:$D$6,MATCH('vehicles specifications'!$D52,'energy battery'!$A$3:$A$6,0),MATCH('vehicles specifications'!$I52,'energy battery'!$B$2:$D$2,0)),"")</f>
        <v>2.3333333333333335</v>
      </c>
      <c r="AB52" s="3">
        <f t="shared" si="6"/>
        <v>0.70000000000000007</v>
      </c>
      <c r="AC52" s="3">
        <f t="shared" si="59"/>
        <v>3.0333333333333337</v>
      </c>
      <c r="AD52">
        <v>0.5</v>
      </c>
      <c r="AE52">
        <v>0</v>
      </c>
      <c r="AF52">
        <v>0</v>
      </c>
      <c r="AG52">
        <v>0</v>
      </c>
      <c r="AH52">
        <v>0</v>
      </c>
      <c r="AI52">
        <v>0.5</v>
      </c>
      <c r="AJ52">
        <v>1</v>
      </c>
      <c r="AK52" s="6">
        <f t="shared" si="38"/>
        <v>1.3333333333333333</v>
      </c>
      <c r="AL52">
        <f t="shared" si="60"/>
        <v>9.0642019999999992E-5</v>
      </c>
      <c r="AM52">
        <v>0</v>
      </c>
      <c r="AN52" s="2">
        <f t="shared" si="61"/>
        <v>36.86</v>
      </c>
      <c r="AO52" s="2">
        <f t="shared" si="62"/>
        <v>3.9</v>
      </c>
      <c r="AP52" s="2">
        <f t="shared" si="63"/>
        <v>3.0333333333333337</v>
      </c>
      <c r="AQ52" s="6" t="s">
        <v>84</v>
      </c>
      <c r="AR52" s="20"/>
      <c r="AS52" s="5">
        <v>3.4708323163290214E-2</v>
      </c>
      <c r="AT52" s="2">
        <f t="shared" si="12"/>
        <v>58.084050632911385</v>
      </c>
      <c r="AU52" s="5">
        <v>0</v>
      </c>
      <c r="AV52" s="5">
        <v>0</v>
      </c>
      <c r="AW52" s="7">
        <v>0</v>
      </c>
      <c r="AX52" s="7">
        <v>0</v>
      </c>
      <c r="AY52" s="7">
        <v>0</v>
      </c>
      <c r="AZ52" s="7">
        <v>0</v>
      </c>
      <c r="BA52" s="7">
        <v>0</v>
      </c>
      <c r="BB52" s="7">
        <v>0</v>
      </c>
      <c r="BC52" s="7">
        <v>0</v>
      </c>
      <c r="BD52" s="7">
        <v>0</v>
      </c>
      <c r="BE52" s="7">
        <v>0</v>
      </c>
      <c r="BF52" s="7">
        <v>0</v>
      </c>
      <c r="BG52" s="7">
        <v>0</v>
      </c>
      <c r="BH52" s="7">
        <v>0</v>
      </c>
      <c r="BI52" s="7">
        <v>0</v>
      </c>
      <c r="BJ52" s="7">
        <v>0</v>
      </c>
      <c r="BK52" s="7">
        <v>0</v>
      </c>
      <c r="BL52" s="7">
        <v>0</v>
      </c>
      <c r="BM52" s="7">
        <v>0</v>
      </c>
      <c r="BN52" s="7">
        <v>0</v>
      </c>
      <c r="BO52" s="7">
        <v>0</v>
      </c>
      <c r="BP52" s="7">
        <v>0</v>
      </c>
      <c r="BQ52" s="7">
        <v>0</v>
      </c>
      <c r="BR52" s="7">
        <v>0</v>
      </c>
      <c r="BS52" s="7">
        <v>0</v>
      </c>
      <c r="BT52" s="7">
        <v>0</v>
      </c>
      <c r="BU52" s="7">
        <v>0</v>
      </c>
      <c r="BV52" s="7">
        <v>0</v>
      </c>
      <c r="BW52" s="7">
        <v>0</v>
      </c>
      <c r="BX52" s="7">
        <v>0</v>
      </c>
      <c r="BY52" s="7">
        <v>0</v>
      </c>
      <c r="BZ52" s="7">
        <v>0</v>
      </c>
      <c r="CA52" s="7">
        <v>0</v>
      </c>
      <c r="CB52" s="7">
        <v>0</v>
      </c>
      <c r="CC52" s="7">
        <v>0</v>
      </c>
      <c r="CD52" s="7">
        <v>0</v>
      </c>
      <c r="CE52" s="7">
        <v>0</v>
      </c>
      <c r="CF52" s="7">
        <v>0</v>
      </c>
      <c r="CG52" s="7">
        <v>0</v>
      </c>
      <c r="CH52" s="7">
        <v>0</v>
      </c>
      <c r="CI52" s="7">
        <v>0</v>
      </c>
      <c r="CJ52" s="7">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 t="shared" si="13"/>
        <v>5.2718476303726863E-6</v>
      </c>
      <c r="CW52" s="7">
        <f t="shared" si="14"/>
        <v>5.1220542818673449E-6</v>
      </c>
    </row>
    <row r="53" spans="1:101" x14ac:dyDescent="0.2">
      <c r="A53" t="str">
        <f t="shared" si="53"/>
        <v>Bicycle, battery electric, cargo bike - 2040 - NCA - CH</v>
      </c>
      <c r="B53" t="s">
        <v>652</v>
      </c>
      <c r="D53" s="18">
        <v>2040</v>
      </c>
      <c r="E53" t="s">
        <v>37</v>
      </c>
      <c r="F53" t="s">
        <v>136</v>
      </c>
      <c r="G53" t="s">
        <v>39</v>
      </c>
      <c r="H53" t="s">
        <v>32</v>
      </c>
      <c r="I53" t="s">
        <v>44</v>
      </c>
      <c r="J53">
        <v>20000</v>
      </c>
      <c r="K53">
        <v>2000</v>
      </c>
      <c r="L53" s="2">
        <f t="shared" si="54"/>
        <v>10</v>
      </c>
      <c r="M53">
        <v>1</v>
      </c>
      <c r="N53">
        <v>75</v>
      </c>
      <c r="O53">
        <v>50</v>
      </c>
      <c r="P53" s="2">
        <f t="shared" si="55"/>
        <v>42.5</v>
      </c>
      <c r="Q53" s="2">
        <f t="shared" si="56"/>
        <v>167.5</v>
      </c>
      <c r="R53">
        <v>0.25</v>
      </c>
      <c r="S53" s="2">
        <v>38</v>
      </c>
      <c r="T53" s="1">
        <v>0.05</v>
      </c>
      <c r="U53" s="2">
        <f t="shared" si="57"/>
        <v>36.1</v>
      </c>
      <c r="V53">
        <v>0</v>
      </c>
      <c r="W53">
        <v>3.8</v>
      </c>
      <c r="X53" s="3">
        <v>0.8</v>
      </c>
      <c r="Y53" s="1">
        <v>0.8</v>
      </c>
      <c r="Z53" s="3">
        <f t="shared" si="58"/>
        <v>0.64000000000000012</v>
      </c>
      <c r="AA53" s="3">
        <f>IF(I53&lt;&gt;"",X53/INDEX('energy battery'!$B$3:$D$6,MATCH('vehicles specifications'!$D53,'energy battery'!$A$3:$A$6,0),MATCH('vehicles specifications'!$I53,'energy battery'!$B$2:$D$2,0)),"")</f>
        <v>2</v>
      </c>
      <c r="AB53" s="3">
        <f t="shared" si="6"/>
        <v>0.6</v>
      </c>
      <c r="AC53" s="3">
        <f t="shared" si="59"/>
        <v>2.6</v>
      </c>
      <c r="AD53">
        <v>0.25</v>
      </c>
      <c r="AE53">
        <v>0</v>
      </c>
      <c r="AF53">
        <v>0</v>
      </c>
      <c r="AG53">
        <v>0</v>
      </c>
      <c r="AH53">
        <v>0</v>
      </c>
      <c r="AI53">
        <v>0.5</v>
      </c>
      <c r="AJ53">
        <v>1</v>
      </c>
      <c r="AK53" s="6">
        <f t="shared" si="38"/>
        <v>1.3333333333333333</v>
      </c>
      <c r="AL53">
        <f t="shared" si="60"/>
        <v>8.9947500000000006E-5</v>
      </c>
      <c r="AM53">
        <v>0</v>
      </c>
      <c r="AN53" s="2">
        <f t="shared" si="61"/>
        <v>36.1</v>
      </c>
      <c r="AO53" s="2">
        <f t="shared" si="62"/>
        <v>3.8</v>
      </c>
      <c r="AP53" s="2">
        <f t="shared" si="63"/>
        <v>2.6</v>
      </c>
      <c r="AQ53" s="6" t="s">
        <v>84</v>
      </c>
      <c r="AR53" s="20"/>
      <c r="AS53" s="5">
        <v>3.4708323163290214E-2</v>
      </c>
      <c r="AT53" s="2">
        <f t="shared" si="12"/>
        <v>66.381772151898744</v>
      </c>
      <c r="AU53" s="5">
        <v>0</v>
      </c>
      <c r="AV53" s="5">
        <v>0</v>
      </c>
      <c r="AW53" s="7">
        <v>0</v>
      </c>
      <c r="AX53" s="7">
        <v>0</v>
      </c>
      <c r="AY53" s="7">
        <v>0</v>
      </c>
      <c r="AZ53" s="7">
        <v>0</v>
      </c>
      <c r="BA53" s="7">
        <v>0</v>
      </c>
      <c r="BB53" s="7">
        <v>0</v>
      </c>
      <c r="BC53" s="7">
        <v>0</v>
      </c>
      <c r="BD53" s="7">
        <v>0</v>
      </c>
      <c r="BE53" s="7">
        <v>0</v>
      </c>
      <c r="BF53" s="7">
        <v>0</v>
      </c>
      <c r="BG53" s="7">
        <v>0</v>
      </c>
      <c r="BH53" s="7">
        <v>0</v>
      </c>
      <c r="BI53" s="7">
        <v>0</v>
      </c>
      <c r="BJ53" s="7">
        <v>0</v>
      </c>
      <c r="BK53" s="7">
        <v>0</v>
      </c>
      <c r="BL53" s="7">
        <v>0</v>
      </c>
      <c r="BM53" s="7">
        <v>0</v>
      </c>
      <c r="BN53" s="7">
        <v>0</v>
      </c>
      <c r="BO53" s="7">
        <v>0</v>
      </c>
      <c r="BP53" s="7">
        <v>0</v>
      </c>
      <c r="BQ53" s="7">
        <v>0</v>
      </c>
      <c r="BR53" s="7">
        <v>0</v>
      </c>
      <c r="BS53" s="7">
        <v>0</v>
      </c>
      <c r="BT53" s="7">
        <v>0</v>
      </c>
      <c r="BU53" s="7">
        <v>0</v>
      </c>
      <c r="BV53" s="7">
        <v>0</v>
      </c>
      <c r="BW53" s="7">
        <v>0</v>
      </c>
      <c r="BX53" s="7">
        <v>0</v>
      </c>
      <c r="BY53" s="7">
        <v>0</v>
      </c>
      <c r="BZ53" s="7">
        <v>0</v>
      </c>
      <c r="CA53" s="7">
        <v>0</v>
      </c>
      <c r="CB53" s="7">
        <v>0</v>
      </c>
      <c r="CC53" s="7">
        <v>0</v>
      </c>
      <c r="CD53" s="7">
        <v>0</v>
      </c>
      <c r="CE53" s="7">
        <v>0</v>
      </c>
      <c r="CF53" s="7">
        <v>0</v>
      </c>
      <c r="CG53" s="7">
        <v>0</v>
      </c>
      <c r="CH53" s="7">
        <v>0</v>
      </c>
      <c r="CI53" s="7">
        <v>0</v>
      </c>
      <c r="CJ53" s="7">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 t="shared" si="13"/>
        <v>5.2399420093405223E-6</v>
      </c>
      <c r="CW53" s="7">
        <f t="shared" si="14"/>
        <v>5.0919597087390986E-6</v>
      </c>
    </row>
    <row r="54" spans="1:101" x14ac:dyDescent="0.2">
      <c r="A54" t="str">
        <f t="shared" si="53"/>
        <v>Bicycle, battery electric, cargo bike - 2050 - NCA - CH</v>
      </c>
      <c r="B54" t="s">
        <v>652</v>
      </c>
      <c r="D54" s="18">
        <v>2050</v>
      </c>
      <c r="E54" t="s">
        <v>37</v>
      </c>
      <c r="F54" t="s">
        <v>136</v>
      </c>
      <c r="G54" t="s">
        <v>39</v>
      </c>
      <c r="H54" t="s">
        <v>32</v>
      </c>
      <c r="I54" t="s">
        <v>44</v>
      </c>
      <c r="J54">
        <v>20000</v>
      </c>
      <c r="K54">
        <v>2000</v>
      </c>
      <c r="L54" s="2">
        <f t="shared" si="54"/>
        <v>10</v>
      </c>
      <c r="M54">
        <v>1</v>
      </c>
      <c r="N54">
        <v>75</v>
      </c>
      <c r="O54">
        <v>50</v>
      </c>
      <c r="P54" s="2">
        <f t="shared" si="55"/>
        <v>41.64</v>
      </c>
      <c r="Q54" s="2">
        <f t="shared" si="56"/>
        <v>166.64</v>
      </c>
      <c r="R54">
        <v>0.25</v>
      </c>
      <c r="S54" s="2">
        <v>38</v>
      </c>
      <c r="T54" s="1">
        <v>7.0000000000000007E-2</v>
      </c>
      <c r="U54" s="2">
        <f t="shared" si="57"/>
        <v>35.339999999999996</v>
      </c>
      <c r="V54">
        <v>0</v>
      </c>
      <c r="W54">
        <v>3.7</v>
      </c>
      <c r="X54" s="3">
        <v>1</v>
      </c>
      <c r="Y54" s="1">
        <v>0.8</v>
      </c>
      <c r="Z54" s="3">
        <f t="shared" si="58"/>
        <v>0.8</v>
      </c>
      <c r="AA54" s="3">
        <f>IF(I54&lt;&gt;"",X54/INDEX('energy battery'!$B$3:$D$6,MATCH('vehicles specifications'!$D54,'energy battery'!$A$3:$A$6,0),MATCH('vehicles specifications'!$I54,'energy battery'!$B$2:$D$2,0)),"")</f>
        <v>2</v>
      </c>
      <c r="AB54" s="3">
        <f t="shared" si="6"/>
        <v>0.6</v>
      </c>
      <c r="AC54" s="3">
        <f t="shared" si="59"/>
        <v>2.6</v>
      </c>
      <c r="AD54">
        <v>0</v>
      </c>
      <c r="AE54">
        <v>0</v>
      </c>
      <c r="AF54">
        <v>0</v>
      </c>
      <c r="AG54">
        <v>0</v>
      </c>
      <c r="AH54">
        <v>0</v>
      </c>
      <c r="AI54">
        <v>0.5</v>
      </c>
      <c r="AJ54">
        <v>1</v>
      </c>
      <c r="AK54" s="6">
        <f t="shared" si="38"/>
        <v>1.3333333333333333</v>
      </c>
      <c r="AL54">
        <f t="shared" si="60"/>
        <v>8.9485679999999995E-5</v>
      </c>
      <c r="AM54">
        <v>0</v>
      </c>
      <c r="AN54" s="2">
        <f t="shared" si="61"/>
        <v>35.339999999999996</v>
      </c>
      <c r="AO54" s="2">
        <f t="shared" si="62"/>
        <v>3.7</v>
      </c>
      <c r="AP54" s="2">
        <f t="shared" si="63"/>
        <v>2.6</v>
      </c>
      <c r="AQ54" s="6" t="s">
        <v>84</v>
      </c>
      <c r="AR54" s="20"/>
      <c r="AS54" s="5">
        <v>3.4708323163290214E-2</v>
      </c>
      <c r="AT54" s="2">
        <f t="shared" si="12"/>
        <v>82.977215189873419</v>
      </c>
      <c r="AU54" s="5">
        <v>0</v>
      </c>
      <c r="AV54" s="5">
        <v>0</v>
      </c>
      <c r="AW54" s="7">
        <v>0</v>
      </c>
      <c r="AX54" s="7">
        <v>0</v>
      </c>
      <c r="AY54" s="7">
        <v>0</v>
      </c>
      <c r="AZ54" s="7">
        <v>0</v>
      </c>
      <c r="BA54" s="7">
        <v>0</v>
      </c>
      <c r="BB54" s="7">
        <v>0</v>
      </c>
      <c r="BC54" s="7">
        <v>0</v>
      </c>
      <c r="BD54" s="7">
        <v>0</v>
      </c>
      <c r="BE54" s="7">
        <v>0</v>
      </c>
      <c r="BF54" s="7">
        <v>0</v>
      </c>
      <c r="BG54" s="7">
        <v>0</v>
      </c>
      <c r="BH54" s="7">
        <v>0</v>
      </c>
      <c r="BI54" s="7">
        <v>0</v>
      </c>
      <c r="BJ54" s="7">
        <v>0</v>
      </c>
      <c r="BK54" s="7">
        <v>0</v>
      </c>
      <c r="BL54" s="7">
        <v>0</v>
      </c>
      <c r="BM54" s="7">
        <v>0</v>
      </c>
      <c r="BN54" s="7">
        <v>0</v>
      </c>
      <c r="BO54" s="7">
        <v>0</v>
      </c>
      <c r="BP54" s="7">
        <v>0</v>
      </c>
      <c r="BQ54" s="7">
        <v>0</v>
      </c>
      <c r="BR54" s="7">
        <v>0</v>
      </c>
      <c r="BS54" s="7">
        <v>0</v>
      </c>
      <c r="BT54" s="7">
        <v>0</v>
      </c>
      <c r="BU54" s="7">
        <v>0</v>
      </c>
      <c r="BV54" s="7">
        <v>0</v>
      </c>
      <c r="BW54" s="7">
        <v>0</v>
      </c>
      <c r="BX54" s="7">
        <v>0</v>
      </c>
      <c r="BY54" s="7">
        <v>0</v>
      </c>
      <c r="BZ54" s="7">
        <v>0</v>
      </c>
      <c r="CA54" s="7">
        <v>0</v>
      </c>
      <c r="CB54" s="7">
        <v>0</v>
      </c>
      <c r="CC54" s="7">
        <v>0</v>
      </c>
      <c r="CD54" s="7">
        <v>0</v>
      </c>
      <c r="CE54" s="7">
        <v>0</v>
      </c>
      <c r="CF54" s="7">
        <v>0</v>
      </c>
      <c r="CG54" s="7">
        <v>0</v>
      </c>
      <c r="CH54" s="7">
        <v>0</v>
      </c>
      <c r="CI54" s="7">
        <v>0</v>
      </c>
      <c r="CJ54" s="7">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 t="shared" si="13"/>
        <v>5.2185117330067561E-6</v>
      </c>
      <c r="CW54" s="7">
        <f t="shared" si="14"/>
        <v>5.0718117291060781E-6</v>
      </c>
    </row>
    <row r="55" spans="1:101" x14ac:dyDescent="0.2">
      <c r="A55" t="str">
        <f t="shared" si="1"/>
        <v>Tram, electric - 2020 - CH</v>
      </c>
      <c r="B55" t="s">
        <v>264</v>
      </c>
      <c r="C55" t="s">
        <v>34</v>
      </c>
      <c r="D55" s="18">
        <v>2020</v>
      </c>
      <c r="E55" t="s">
        <v>37</v>
      </c>
      <c r="F55" t="s">
        <v>136</v>
      </c>
      <c r="G55" t="s">
        <v>40</v>
      </c>
      <c r="H55" t="s">
        <v>32</v>
      </c>
      <c r="J55">
        <v>2800000</v>
      </c>
      <c r="K55">
        <v>70000</v>
      </c>
      <c r="L55" s="2">
        <f t="shared" si="2"/>
        <v>40</v>
      </c>
      <c r="M55">
        <v>38</v>
      </c>
      <c r="N55">
        <v>75</v>
      </c>
      <c r="O55">
        <v>120</v>
      </c>
      <c r="P55" s="2">
        <f t="shared" si="0"/>
        <v>54000</v>
      </c>
      <c r="Q55">
        <f t="shared" si="3"/>
        <v>56970</v>
      </c>
      <c r="R55">
        <v>660</v>
      </c>
      <c r="S55" s="2">
        <v>43200</v>
      </c>
      <c r="T55" s="1">
        <v>0</v>
      </c>
      <c r="U55" s="2">
        <f t="shared" si="4"/>
        <v>43200</v>
      </c>
      <c r="V55">
        <v>7800</v>
      </c>
      <c r="W55">
        <v>3000</v>
      </c>
      <c r="X55" s="3">
        <v>0</v>
      </c>
      <c r="Y55" s="1">
        <v>0.8</v>
      </c>
      <c r="Z55" s="3">
        <f t="shared" si="5"/>
        <v>0</v>
      </c>
      <c r="AA55" s="3" t="str">
        <f>IF(I55&lt;&gt;"",X55/INDEX('energy battery'!$B$3:$D$6,MATCH('vehicles specifications'!$D55,'energy battery'!$A$3:$A$6,0),MATCH('vehicles specifications'!$I55,'energy battery'!$B$2:$D$2,0)),"")</f>
        <v/>
      </c>
      <c r="AB55" s="3" t="str">
        <f t="shared" si="6"/>
        <v/>
      </c>
      <c r="AC55" s="3" t="str">
        <f t="shared" si="7"/>
        <v/>
      </c>
      <c r="AD55" s="3">
        <v>0</v>
      </c>
      <c r="AE55">
        <v>0</v>
      </c>
      <c r="AF55">
        <v>0</v>
      </c>
      <c r="AG55">
        <v>0</v>
      </c>
      <c r="AH55">
        <v>0</v>
      </c>
      <c r="AI55">
        <v>0</v>
      </c>
      <c r="AJ55">
        <v>0</v>
      </c>
      <c r="AK55" s="6">
        <f>L55/30</f>
        <v>1.3333333333333333</v>
      </c>
      <c r="AL55">
        <f>0.00012*M55</f>
        <v>4.5599999999999998E-3</v>
      </c>
      <c r="AM55">
        <v>0</v>
      </c>
      <c r="AN55" s="2">
        <f t="shared" si="9"/>
        <v>43200</v>
      </c>
      <c r="AO55" s="2">
        <f t="shared" si="10"/>
        <v>10800</v>
      </c>
      <c r="AP55" s="2" t="str">
        <f t="shared" si="11"/>
        <v/>
      </c>
      <c r="AQ55" s="6" t="s">
        <v>84</v>
      </c>
      <c r="AR55" s="20"/>
      <c r="AS55" s="6">
        <v>13.3</v>
      </c>
      <c r="AT55" s="2">
        <f t="shared" si="12"/>
        <v>0</v>
      </c>
      <c r="AU55" s="5">
        <v>0</v>
      </c>
      <c r="AV55" s="5">
        <v>0</v>
      </c>
      <c r="AW55" s="7">
        <v>0</v>
      </c>
      <c r="AX55" s="7">
        <v>0</v>
      </c>
      <c r="AY55" s="7">
        <v>0</v>
      </c>
      <c r="AZ55" s="7">
        <v>0</v>
      </c>
      <c r="BA55" s="7">
        <v>0</v>
      </c>
      <c r="BB55" s="7">
        <v>0</v>
      </c>
      <c r="BC55" s="7">
        <v>0</v>
      </c>
      <c r="BD55" s="7">
        <v>0</v>
      </c>
      <c r="BE55" s="7">
        <v>0</v>
      </c>
      <c r="BF55" s="7">
        <v>0</v>
      </c>
      <c r="BG55" s="7">
        <v>0</v>
      </c>
      <c r="BH55" s="7">
        <v>0</v>
      </c>
      <c r="BI55" s="7">
        <v>0</v>
      </c>
      <c r="BJ55" s="7">
        <v>0</v>
      </c>
      <c r="BK55" s="7">
        <v>0</v>
      </c>
      <c r="BL55" s="7">
        <v>0</v>
      </c>
      <c r="BM55" s="7">
        <v>0</v>
      </c>
      <c r="BN55" s="7">
        <v>0</v>
      </c>
      <c r="BO55" s="7">
        <v>0</v>
      </c>
      <c r="BP55" s="7">
        <v>0</v>
      </c>
      <c r="BQ55" s="7">
        <v>0</v>
      </c>
      <c r="BR55" s="7">
        <v>0</v>
      </c>
      <c r="BS55" s="7">
        <v>0</v>
      </c>
      <c r="BT55" s="7">
        <v>0</v>
      </c>
      <c r="BU55" s="7">
        <v>0</v>
      </c>
      <c r="BV55" s="7">
        <v>0</v>
      </c>
      <c r="BW55" s="7">
        <v>0</v>
      </c>
      <c r="BX55" s="7">
        <v>0</v>
      </c>
      <c r="BY55" s="7">
        <v>0</v>
      </c>
      <c r="BZ55" s="7">
        <v>0</v>
      </c>
      <c r="CA55" s="7">
        <v>0</v>
      </c>
      <c r="CB55" s="7">
        <v>0</v>
      </c>
      <c r="CC55" s="7">
        <v>0</v>
      </c>
      <c r="CD55" s="7">
        <v>0</v>
      </c>
      <c r="CE55" s="7">
        <v>0</v>
      </c>
      <c r="CF55" s="7">
        <v>0</v>
      </c>
      <c r="CG55" s="7">
        <v>0</v>
      </c>
      <c r="CH55" s="7">
        <v>0</v>
      </c>
      <c r="CI55" s="7">
        <v>0</v>
      </c>
      <c r="CJ55" s="7">
        <v>0</v>
      </c>
      <c r="CK55" s="38" t="e">
        <f>VLOOKUP($B55,'abrasion emissions'!$O$7:$R$36,2,FALSE)</f>
        <v>#N/A</v>
      </c>
      <c r="CL55" s="38" t="e">
        <f>VLOOKUP($B55,'abrasion emissions'!$O$7:$R$36,3,FALSE)</f>
        <v>#N/A</v>
      </c>
      <c r="CM55" s="38" t="e">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e">
        <f t="shared" si="13"/>
        <v>#N/A</v>
      </c>
      <c r="CW55" s="7" t="e">
        <f t="shared" si="14"/>
        <v>#N/A</v>
      </c>
    </row>
    <row r="56" spans="1:101" x14ac:dyDescent="0.2">
      <c r="A56" t="str">
        <f t="shared" si="1"/>
        <v>Tram, electric - 2030 - CH</v>
      </c>
      <c r="B56" t="s">
        <v>264</v>
      </c>
      <c r="C56" t="s">
        <v>34</v>
      </c>
      <c r="D56" s="18">
        <v>2030</v>
      </c>
      <c r="E56" t="s">
        <v>37</v>
      </c>
      <c r="F56" t="s">
        <v>136</v>
      </c>
      <c r="G56" t="s">
        <v>40</v>
      </c>
      <c r="H56" t="s">
        <v>32</v>
      </c>
      <c r="J56">
        <v>2800000</v>
      </c>
      <c r="K56">
        <v>70000</v>
      </c>
      <c r="L56" s="2">
        <f t="shared" si="2"/>
        <v>40</v>
      </c>
      <c r="M56">
        <v>38</v>
      </c>
      <c r="N56">
        <v>75</v>
      </c>
      <c r="O56">
        <v>120</v>
      </c>
      <c r="P56" s="2">
        <f t="shared" si="0"/>
        <v>52380</v>
      </c>
      <c r="Q56">
        <f t="shared" si="3"/>
        <v>55350</v>
      </c>
      <c r="R56">
        <v>660</v>
      </c>
      <c r="S56" s="2">
        <v>43200</v>
      </c>
      <c r="T56" s="1">
        <v>0.03</v>
      </c>
      <c r="U56" s="2">
        <f t="shared" si="4"/>
        <v>41904</v>
      </c>
      <c r="V56">
        <v>7566</v>
      </c>
      <c r="W56">
        <v>2910</v>
      </c>
      <c r="X56" s="3">
        <v>0</v>
      </c>
      <c r="Y56" s="1">
        <v>0.8</v>
      </c>
      <c r="Z56" s="3">
        <f t="shared" si="5"/>
        <v>0</v>
      </c>
      <c r="AA56" s="3" t="str">
        <f>IF(I56&lt;&gt;"",X56/INDEX('energy battery'!$B$3:$D$6,MATCH('vehicles specifications'!$D56,'energy battery'!$A$3:$A$6,0),MATCH('vehicles specifications'!$I56,'energy battery'!$B$2:$D$2,0)),"")</f>
        <v/>
      </c>
      <c r="AB56" s="3" t="str">
        <f t="shared" si="6"/>
        <v/>
      </c>
      <c r="AC56" s="3" t="str">
        <f t="shared" si="7"/>
        <v/>
      </c>
      <c r="AD56" s="3">
        <v>0</v>
      </c>
      <c r="AE56">
        <v>0</v>
      </c>
      <c r="AF56">
        <v>0</v>
      </c>
      <c r="AG56">
        <v>0</v>
      </c>
      <c r="AH56">
        <v>0</v>
      </c>
      <c r="AI56">
        <v>0</v>
      </c>
      <c r="AJ56">
        <v>0</v>
      </c>
      <c r="AK56" s="6">
        <f>L56/30</f>
        <v>1.3333333333333333</v>
      </c>
      <c r="AL56">
        <f>0.00012*M56</f>
        <v>4.5599999999999998E-3</v>
      </c>
      <c r="AM56">
        <v>0</v>
      </c>
      <c r="AN56" s="2">
        <f t="shared" si="9"/>
        <v>41904</v>
      </c>
      <c r="AO56" s="2">
        <f t="shared" si="10"/>
        <v>10476</v>
      </c>
      <c r="AP56" s="2" t="str">
        <f t="shared" si="11"/>
        <v/>
      </c>
      <c r="AQ56" s="6" t="s">
        <v>84</v>
      </c>
      <c r="AR56" s="20"/>
      <c r="AS56" s="6">
        <v>13.3</v>
      </c>
      <c r="AT56" s="2">
        <f t="shared" si="12"/>
        <v>0</v>
      </c>
      <c r="AU56" s="5">
        <v>0</v>
      </c>
      <c r="AV56" s="5">
        <v>0</v>
      </c>
      <c r="AW56" s="7">
        <v>0</v>
      </c>
      <c r="AX56" s="7">
        <v>0</v>
      </c>
      <c r="AY56" s="7">
        <v>0</v>
      </c>
      <c r="AZ56" s="7">
        <v>0</v>
      </c>
      <c r="BA56" s="7">
        <v>0</v>
      </c>
      <c r="BB56" s="7">
        <v>0</v>
      </c>
      <c r="BC56" s="7">
        <v>0</v>
      </c>
      <c r="BD56" s="7">
        <v>0</v>
      </c>
      <c r="BE56" s="7">
        <v>0</v>
      </c>
      <c r="BF56" s="7">
        <v>0</v>
      </c>
      <c r="BG56" s="7">
        <v>0</v>
      </c>
      <c r="BH56" s="7">
        <v>0</v>
      </c>
      <c r="BI56" s="7">
        <v>0</v>
      </c>
      <c r="BJ56" s="7">
        <v>0</v>
      </c>
      <c r="BK56" s="7">
        <v>0</v>
      </c>
      <c r="BL56" s="7">
        <v>0</v>
      </c>
      <c r="BM56" s="7">
        <v>0</v>
      </c>
      <c r="BN56" s="7">
        <v>0</v>
      </c>
      <c r="BO56" s="7">
        <v>0</v>
      </c>
      <c r="BP56" s="7">
        <v>0</v>
      </c>
      <c r="BQ56" s="7">
        <v>0</v>
      </c>
      <c r="BR56" s="7">
        <v>0</v>
      </c>
      <c r="BS56" s="7">
        <v>0</v>
      </c>
      <c r="BT56" s="7">
        <v>0</v>
      </c>
      <c r="BU56" s="7">
        <v>0</v>
      </c>
      <c r="BV56" s="7">
        <v>0</v>
      </c>
      <c r="BW56" s="7">
        <v>0</v>
      </c>
      <c r="BX56" s="7">
        <v>0</v>
      </c>
      <c r="BY56" s="7">
        <v>0</v>
      </c>
      <c r="BZ56" s="7">
        <v>0</v>
      </c>
      <c r="CA56" s="7">
        <v>0</v>
      </c>
      <c r="CB56" s="7">
        <v>0</v>
      </c>
      <c r="CC56" s="7">
        <v>0</v>
      </c>
      <c r="CD56" s="7">
        <v>0</v>
      </c>
      <c r="CE56" s="7">
        <v>0</v>
      </c>
      <c r="CF56" s="7">
        <v>0</v>
      </c>
      <c r="CG56" s="7">
        <v>0</v>
      </c>
      <c r="CH56" s="7">
        <v>0</v>
      </c>
      <c r="CI56" s="7">
        <v>0</v>
      </c>
      <c r="CJ56" s="7">
        <v>0</v>
      </c>
      <c r="CK56" s="38" t="e">
        <f>VLOOKUP($B56,'abrasion emissions'!$O$7:$R$36,2,FALSE)</f>
        <v>#N/A</v>
      </c>
      <c r="CL56" s="38" t="e">
        <f>VLOOKUP($B56,'abrasion emissions'!$O$7:$R$36,3,FALSE)</f>
        <v>#N/A</v>
      </c>
      <c r="CM56" s="38" t="e">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e">
        <f t="shared" si="13"/>
        <v>#N/A</v>
      </c>
      <c r="CW56" s="7" t="e">
        <f t="shared" si="14"/>
        <v>#N/A</v>
      </c>
    </row>
    <row r="57" spans="1:101" x14ac:dyDescent="0.2">
      <c r="A57" t="str">
        <f t="shared" si="1"/>
        <v>Tram, electric - 2040 - CH</v>
      </c>
      <c r="B57" t="s">
        <v>264</v>
      </c>
      <c r="C57" t="s">
        <v>34</v>
      </c>
      <c r="D57" s="18">
        <v>2040</v>
      </c>
      <c r="E57" t="s">
        <v>37</v>
      </c>
      <c r="F57" t="s">
        <v>136</v>
      </c>
      <c r="G57" t="s">
        <v>40</v>
      </c>
      <c r="H57" t="s">
        <v>32</v>
      </c>
      <c r="J57">
        <v>2800000</v>
      </c>
      <c r="K57">
        <v>70000</v>
      </c>
      <c r="L57" s="2">
        <f t="shared" si="2"/>
        <v>40</v>
      </c>
      <c r="M57">
        <v>38</v>
      </c>
      <c r="N57">
        <v>75</v>
      </c>
      <c r="O57">
        <v>120</v>
      </c>
      <c r="P57" s="2">
        <f t="shared" si="0"/>
        <v>51202</v>
      </c>
      <c r="Q57">
        <f t="shared" si="3"/>
        <v>54172</v>
      </c>
      <c r="R57">
        <v>660</v>
      </c>
      <c r="S57" s="2">
        <v>43200</v>
      </c>
      <c r="T57" s="1">
        <v>0.05</v>
      </c>
      <c r="U57" s="2">
        <f t="shared" si="4"/>
        <v>41040</v>
      </c>
      <c r="V57">
        <v>7340</v>
      </c>
      <c r="W57">
        <v>2822</v>
      </c>
      <c r="X57" s="3">
        <v>0</v>
      </c>
      <c r="Y57" s="1">
        <v>0.8</v>
      </c>
      <c r="Z57" s="3">
        <f t="shared" si="5"/>
        <v>0</v>
      </c>
      <c r="AA57" s="3" t="str">
        <f>IF(I57&lt;&gt;"",X57/INDEX('energy battery'!$B$3:$D$6,MATCH('vehicles specifications'!$D57,'energy battery'!$A$3:$A$6,0),MATCH('vehicles specifications'!$I57,'energy battery'!$B$2:$D$2,0)),"")</f>
        <v/>
      </c>
      <c r="AB57" s="3" t="str">
        <f t="shared" si="6"/>
        <v/>
      </c>
      <c r="AC57" s="3" t="str">
        <f t="shared" si="7"/>
        <v/>
      </c>
      <c r="AD57" s="3">
        <v>0</v>
      </c>
      <c r="AE57">
        <v>0</v>
      </c>
      <c r="AF57">
        <v>0</v>
      </c>
      <c r="AG57">
        <v>0</v>
      </c>
      <c r="AH57">
        <v>0</v>
      </c>
      <c r="AI57">
        <v>0</v>
      </c>
      <c r="AJ57">
        <v>0</v>
      </c>
      <c r="AK57" s="6">
        <f>L57/30</f>
        <v>1.3333333333333333</v>
      </c>
      <c r="AL57">
        <f>0.00012*M57</f>
        <v>4.5599999999999998E-3</v>
      </c>
      <c r="AM57">
        <v>0</v>
      </c>
      <c r="AN57" s="2">
        <f t="shared" si="9"/>
        <v>41040</v>
      </c>
      <c r="AO57" s="2">
        <f t="shared" si="10"/>
        <v>10162</v>
      </c>
      <c r="AP57" s="2" t="str">
        <f t="shared" si="11"/>
        <v/>
      </c>
      <c r="AQ57" s="6" t="s">
        <v>84</v>
      </c>
      <c r="AR57" s="20"/>
      <c r="AS57" s="6">
        <v>13.3</v>
      </c>
      <c r="AT57" s="2">
        <f t="shared" si="12"/>
        <v>0</v>
      </c>
      <c r="AU57" s="5">
        <v>0</v>
      </c>
      <c r="AV57" s="5">
        <v>0</v>
      </c>
      <c r="AW57" s="7">
        <v>0</v>
      </c>
      <c r="AX57" s="7">
        <v>0</v>
      </c>
      <c r="AY57" s="7">
        <v>0</v>
      </c>
      <c r="AZ57" s="7">
        <v>0</v>
      </c>
      <c r="BA57" s="7">
        <v>0</v>
      </c>
      <c r="BB57" s="7">
        <v>0</v>
      </c>
      <c r="BC57" s="7">
        <v>0</v>
      </c>
      <c r="BD57" s="7">
        <v>0</v>
      </c>
      <c r="BE57" s="7">
        <v>0</v>
      </c>
      <c r="BF57" s="7">
        <v>0</v>
      </c>
      <c r="BG57" s="7">
        <v>0</v>
      </c>
      <c r="BH57" s="7">
        <v>0</v>
      </c>
      <c r="BI57" s="7">
        <v>0</v>
      </c>
      <c r="BJ57" s="7">
        <v>0</v>
      </c>
      <c r="BK57" s="7">
        <v>0</v>
      </c>
      <c r="BL57" s="7">
        <v>0</v>
      </c>
      <c r="BM57" s="7">
        <v>0</v>
      </c>
      <c r="BN57" s="7">
        <v>0</v>
      </c>
      <c r="BO57" s="7">
        <v>0</v>
      </c>
      <c r="BP57" s="7">
        <v>0</v>
      </c>
      <c r="BQ57" s="7">
        <v>0</v>
      </c>
      <c r="BR57" s="7">
        <v>0</v>
      </c>
      <c r="BS57" s="7">
        <v>0</v>
      </c>
      <c r="BT57" s="7">
        <v>0</v>
      </c>
      <c r="BU57" s="7">
        <v>0</v>
      </c>
      <c r="BV57" s="7">
        <v>0</v>
      </c>
      <c r="BW57" s="7">
        <v>0</v>
      </c>
      <c r="BX57" s="7">
        <v>0</v>
      </c>
      <c r="BY57" s="7">
        <v>0</v>
      </c>
      <c r="BZ57" s="7">
        <v>0</v>
      </c>
      <c r="CA57" s="7">
        <v>0</v>
      </c>
      <c r="CB57" s="7">
        <v>0</v>
      </c>
      <c r="CC57" s="7">
        <v>0</v>
      </c>
      <c r="CD57" s="7">
        <v>0</v>
      </c>
      <c r="CE57" s="7">
        <v>0</v>
      </c>
      <c r="CF57" s="7">
        <v>0</v>
      </c>
      <c r="CG57" s="7">
        <v>0</v>
      </c>
      <c r="CH57" s="7">
        <v>0</v>
      </c>
      <c r="CI57" s="7">
        <v>0</v>
      </c>
      <c r="CJ57" s="7">
        <v>0</v>
      </c>
      <c r="CK57" s="38" t="e">
        <f>VLOOKUP($B57,'abrasion emissions'!$O$7:$R$36,2,FALSE)</f>
        <v>#N/A</v>
      </c>
      <c r="CL57" s="38" t="e">
        <f>VLOOKUP($B57,'abrasion emissions'!$O$7:$R$36,3,FALSE)</f>
        <v>#N/A</v>
      </c>
      <c r="CM57" s="38" t="e">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e">
        <f t="shared" si="13"/>
        <v>#N/A</v>
      </c>
      <c r="CW57" s="7" t="e">
        <f t="shared" si="14"/>
        <v>#N/A</v>
      </c>
    </row>
    <row r="58" spans="1:101" x14ac:dyDescent="0.2">
      <c r="A58" t="str">
        <f t="shared" si="1"/>
        <v>Tram, electric - 2050 - CH</v>
      </c>
      <c r="B58" t="s">
        <v>264</v>
      </c>
      <c r="C58" t="s">
        <v>34</v>
      </c>
      <c r="D58" s="18">
        <v>2050</v>
      </c>
      <c r="E58" t="s">
        <v>37</v>
      </c>
      <c r="F58" t="s">
        <v>136</v>
      </c>
      <c r="G58" t="s">
        <v>40</v>
      </c>
      <c r="H58" t="s">
        <v>32</v>
      </c>
      <c r="J58">
        <v>2800000</v>
      </c>
      <c r="K58">
        <v>70000</v>
      </c>
      <c r="L58" s="2">
        <f t="shared" si="2"/>
        <v>40</v>
      </c>
      <c r="M58">
        <v>38</v>
      </c>
      <c r="N58">
        <v>75</v>
      </c>
      <c r="O58">
        <v>120</v>
      </c>
      <c r="P58" s="2">
        <f t="shared" si="0"/>
        <v>50033</v>
      </c>
      <c r="Q58">
        <f t="shared" si="3"/>
        <v>53003</v>
      </c>
      <c r="R58">
        <v>660</v>
      </c>
      <c r="S58" s="2">
        <v>43200</v>
      </c>
      <c r="T58" s="1">
        <v>7.0000000000000007E-2</v>
      </c>
      <c r="U58" s="2">
        <f t="shared" si="4"/>
        <v>40176</v>
      </c>
      <c r="V58">
        <v>7119</v>
      </c>
      <c r="W58">
        <v>2738</v>
      </c>
      <c r="X58" s="3">
        <v>0</v>
      </c>
      <c r="Y58" s="1">
        <v>0.8</v>
      </c>
      <c r="Z58" s="3">
        <f t="shared" si="5"/>
        <v>0</v>
      </c>
      <c r="AA58" s="3" t="str">
        <f>IF(I58&lt;&gt;"",X58/INDEX('energy battery'!$B$3:$D$6,MATCH('vehicles specifications'!$D58,'energy battery'!$A$3:$A$6,0),MATCH('vehicles specifications'!$I58,'energy battery'!$B$2:$D$2,0)),"")</f>
        <v/>
      </c>
      <c r="AB58" s="3" t="str">
        <f t="shared" si="6"/>
        <v/>
      </c>
      <c r="AC58" s="3" t="str">
        <f t="shared" si="7"/>
        <v/>
      </c>
      <c r="AD58" s="3">
        <v>0</v>
      </c>
      <c r="AE58">
        <v>0</v>
      </c>
      <c r="AF58">
        <v>0</v>
      </c>
      <c r="AG58">
        <v>0</v>
      </c>
      <c r="AH58">
        <v>0</v>
      </c>
      <c r="AI58">
        <v>0</v>
      </c>
      <c r="AJ58">
        <v>0</v>
      </c>
      <c r="AK58" s="6">
        <f>L58/30</f>
        <v>1.3333333333333333</v>
      </c>
      <c r="AL58">
        <f>0.00012*M58</f>
        <v>4.5599999999999998E-3</v>
      </c>
      <c r="AM58">
        <v>0</v>
      </c>
      <c r="AN58" s="2">
        <f t="shared" si="9"/>
        <v>40176</v>
      </c>
      <c r="AO58" s="2">
        <f t="shared" si="10"/>
        <v>9857</v>
      </c>
      <c r="AP58" s="2" t="str">
        <f t="shared" si="11"/>
        <v/>
      </c>
      <c r="AQ58" s="6" t="s">
        <v>84</v>
      </c>
      <c r="AR58" s="20"/>
      <c r="AS58" s="6">
        <v>13.3</v>
      </c>
      <c r="AT58" s="2">
        <f t="shared" si="12"/>
        <v>0</v>
      </c>
      <c r="AU58" s="5">
        <v>0</v>
      </c>
      <c r="AV58" s="5">
        <v>0</v>
      </c>
      <c r="AW58" s="7">
        <v>0</v>
      </c>
      <c r="AX58" s="7">
        <v>0</v>
      </c>
      <c r="AY58" s="7">
        <v>0</v>
      </c>
      <c r="AZ58" s="7">
        <v>0</v>
      </c>
      <c r="BA58" s="7">
        <v>0</v>
      </c>
      <c r="BB58" s="7">
        <v>0</v>
      </c>
      <c r="BC58" s="7">
        <v>0</v>
      </c>
      <c r="BD58" s="7">
        <v>0</v>
      </c>
      <c r="BE58" s="7">
        <v>0</v>
      </c>
      <c r="BF58" s="7">
        <v>0</v>
      </c>
      <c r="BG58" s="7">
        <v>0</v>
      </c>
      <c r="BH58" s="7">
        <v>0</v>
      </c>
      <c r="BI58" s="7">
        <v>0</v>
      </c>
      <c r="BJ58" s="7">
        <v>0</v>
      </c>
      <c r="BK58" s="7">
        <v>0</v>
      </c>
      <c r="BL58" s="7">
        <v>0</v>
      </c>
      <c r="BM58" s="7">
        <v>0</v>
      </c>
      <c r="BN58" s="7">
        <v>0</v>
      </c>
      <c r="BO58" s="7">
        <v>0</v>
      </c>
      <c r="BP58" s="7">
        <v>0</v>
      </c>
      <c r="BQ58" s="7">
        <v>0</v>
      </c>
      <c r="BR58" s="7">
        <v>0</v>
      </c>
      <c r="BS58" s="7">
        <v>0</v>
      </c>
      <c r="BT58" s="7">
        <v>0</v>
      </c>
      <c r="BU58" s="7">
        <v>0</v>
      </c>
      <c r="BV58" s="7">
        <v>0</v>
      </c>
      <c r="BW58" s="7">
        <v>0</v>
      </c>
      <c r="BX58" s="7">
        <v>0</v>
      </c>
      <c r="BY58" s="7">
        <v>0</v>
      </c>
      <c r="BZ58" s="7">
        <v>0</v>
      </c>
      <c r="CA58" s="7">
        <v>0</v>
      </c>
      <c r="CB58" s="7">
        <v>0</v>
      </c>
      <c r="CC58" s="7">
        <v>0</v>
      </c>
      <c r="CD58" s="7">
        <v>0</v>
      </c>
      <c r="CE58" s="7">
        <v>0</v>
      </c>
      <c r="CF58" s="7">
        <v>0</v>
      </c>
      <c r="CG58" s="7">
        <v>0</v>
      </c>
      <c r="CH58" s="7">
        <v>0</v>
      </c>
      <c r="CI58" s="7">
        <v>0</v>
      </c>
      <c r="CJ58" s="7">
        <v>0</v>
      </c>
      <c r="CK58" s="38" t="e">
        <f>VLOOKUP($B58,'abrasion emissions'!$O$7:$R$36,2,FALSE)</f>
        <v>#N/A</v>
      </c>
      <c r="CL58" s="38" t="e">
        <f>VLOOKUP($B58,'abrasion emissions'!$O$7:$R$36,3,FALSE)</f>
        <v>#N/A</v>
      </c>
      <c r="CM58" s="38" t="e">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e">
        <f t="shared" si="13"/>
        <v>#N/A</v>
      </c>
      <c r="CW58" s="7" t="e">
        <f t="shared" si="14"/>
        <v>#N/A</v>
      </c>
    </row>
    <row r="59" spans="1:101" x14ac:dyDescent="0.2">
      <c r="A59" t="str">
        <f t="shared" si="1"/>
        <v>Moped, gasoline, &lt;4kW, EURO-3 - 2006 - CH</v>
      </c>
      <c r="B59" t="s">
        <v>346</v>
      </c>
      <c r="D59" s="18">
        <v>2006</v>
      </c>
      <c r="E59" t="s">
        <v>37</v>
      </c>
      <c r="F59" t="s">
        <v>137</v>
      </c>
      <c r="G59" t="s">
        <v>39</v>
      </c>
      <c r="H59" t="s">
        <v>35</v>
      </c>
      <c r="J59">
        <v>25000</v>
      </c>
      <c r="K59">
        <v>1570</v>
      </c>
      <c r="L59" s="2">
        <f t="shared" si="2"/>
        <v>15.923566878980891</v>
      </c>
      <c r="M59">
        <v>1</v>
      </c>
      <c r="N59">
        <v>75</v>
      </c>
      <c r="O59">
        <v>2</v>
      </c>
      <c r="P59" s="2">
        <f t="shared" ref="P59:P166" si="64">SUM(U59,V59,W59,AC59,AF59,AH59)</f>
        <v>65.098124999999996</v>
      </c>
      <c r="Q59" s="2">
        <f t="shared" si="3"/>
        <v>142.09812499999998</v>
      </c>
      <c r="R59">
        <v>2.5</v>
      </c>
      <c r="S59" s="2">
        <v>41.962499999999999</v>
      </c>
      <c r="T59" s="1">
        <v>-0.05</v>
      </c>
      <c r="U59" s="2">
        <f t="shared" si="4"/>
        <v>44.060625000000002</v>
      </c>
      <c r="V59">
        <v>15</v>
      </c>
      <c r="W59">
        <v>0</v>
      </c>
      <c r="X59" s="3">
        <v>0</v>
      </c>
      <c r="Y59" s="1">
        <v>0.8</v>
      </c>
      <c r="Z59" s="3">
        <f t="shared" si="5"/>
        <v>0</v>
      </c>
      <c r="AA59" s="3" t="str">
        <f>IF(I59&lt;&gt;"",X59/INDEX('energy battery'!$B$3:$D$6,MATCH('vehicles specifications'!$D59,'energy battery'!$A$3:$A$6,0),MATCH('vehicles specifications'!$I59,'energy battery'!$B$2:$D$2,0)),"")</f>
        <v/>
      </c>
      <c r="AB59" s="3" t="str">
        <f t="shared" si="6"/>
        <v/>
      </c>
      <c r="AC59" s="3" t="str">
        <f t="shared" si="7"/>
        <v/>
      </c>
      <c r="AD59" s="3">
        <v>0</v>
      </c>
      <c r="AE59" s="3">
        <v>7</v>
      </c>
      <c r="AF59">
        <f>AE59*'fuels and tailpipe emissions'!$B$3</f>
        <v>5.25</v>
      </c>
      <c r="AG59" s="2">
        <f>AF59*'fuels and tailpipe emissions'!$C$3</f>
        <v>62.125</v>
      </c>
      <c r="AH59" s="3">
        <f>0.15*AF59</f>
        <v>0.78749999999999998</v>
      </c>
      <c r="AI59">
        <v>0</v>
      </c>
      <c r="AJ59">
        <v>0</v>
      </c>
      <c r="AK59">
        <f>J59/25000</f>
        <v>1</v>
      </c>
      <c r="AL59">
        <f t="shared" ref="AL59:AL166" si="65">0.000537/1000*Q59</f>
        <v>7.6306693124999993E-5</v>
      </c>
      <c r="AM59">
        <v>1.2899999999999999E-3</v>
      </c>
      <c r="AN59" s="2">
        <f t="shared" si="9"/>
        <v>44.060625000000002</v>
      </c>
      <c r="AO59" s="2">
        <f t="shared" si="10"/>
        <v>15</v>
      </c>
      <c r="AP59" s="2" t="str">
        <f t="shared" si="11"/>
        <v/>
      </c>
      <c r="AQ59" s="6">
        <v>0.83950213329410028</v>
      </c>
      <c r="AR59" s="20">
        <v>0</v>
      </c>
      <c r="AS59" s="6" t="str">
        <f>IF($H59="BEV",SUMPRODUCT(#REF!,#REF!),"")</f>
        <v/>
      </c>
      <c r="AT59" s="2">
        <f t="shared" si="12"/>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 t="shared" si="13"/>
        <v>4.6954824543521508E-6</v>
      </c>
      <c r="CW59" s="7">
        <f t="shared" si="14"/>
        <v>3.2264697142314886E-6</v>
      </c>
    </row>
    <row r="60" spans="1:101" x14ac:dyDescent="0.2">
      <c r="A60" t="str">
        <f t="shared" si="1"/>
        <v>Moped, gasoline, &lt;4kW, EURO-4 - 2016 - CH</v>
      </c>
      <c r="B60" t="s">
        <v>347</v>
      </c>
      <c r="D60" s="18">
        <v>2016</v>
      </c>
      <c r="E60" t="s">
        <v>37</v>
      </c>
      <c r="F60" t="s">
        <v>138</v>
      </c>
      <c r="G60" t="s">
        <v>39</v>
      </c>
      <c r="H60" t="s">
        <v>35</v>
      </c>
      <c r="J60">
        <v>25000</v>
      </c>
      <c r="K60">
        <v>1570</v>
      </c>
      <c r="L60" s="2">
        <f t="shared" si="2"/>
        <v>15.923566878980891</v>
      </c>
      <c r="M60">
        <v>1</v>
      </c>
      <c r="N60">
        <v>75</v>
      </c>
      <c r="O60">
        <v>2</v>
      </c>
      <c r="P60" s="2">
        <f t="shared" si="64"/>
        <v>63.83925</v>
      </c>
      <c r="Q60" s="2">
        <f t="shared" si="3"/>
        <v>140.83924999999999</v>
      </c>
      <c r="R60">
        <v>2.5</v>
      </c>
      <c r="S60" s="2">
        <v>41.962499999999999</v>
      </c>
      <c r="T60" s="1">
        <v>-0.02</v>
      </c>
      <c r="U60" s="2">
        <f t="shared" si="4"/>
        <v>42.801749999999998</v>
      </c>
      <c r="V60">
        <v>15</v>
      </c>
      <c r="W60">
        <v>0</v>
      </c>
      <c r="X60" s="3">
        <v>0</v>
      </c>
      <c r="Y60" s="1">
        <v>0.8</v>
      </c>
      <c r="Z60" s="3">
        <f t="shared" si="5"/>
        <v>0</v>
      </c>
      <c r="AA60" s="3" t="str">
        <f>IF(I60&lt;&gt;"",X60/INDEX('energy battery'!$B$3:$D$6,MATCH('vehicles specifications'!$D60,'energy battery'!$A$3:$A$6,0),MATCH('vehicles specifications'!$I60,'energy battery'!$B$2:$D$2,0)),"")</f>
        <v/>
      </c>
      <c r="AB60" s="3" t="str">
        <f t="shared" si="6"/>
        <v/>
      </c>
      <c r="AC60" s="3" t="str">
        <f t="shared" si="7"/>
        <v/>
      </c>
      <c r="AD60" s="3">
        <v>0</v>
      </c>
      <c r="AE60" s="3">
        <v>7</v>
      </c>
      <c r="AF60">
        <f>AE60*'fuels and tailpipe emissions'!$B$3</f>
        <v>5.25</v>
      </c>
      <c r="AG60" s="2">
        <f>AF60*'fuels and tailpipe emissions'!$C$3</f>
        <v>62.125</v>
      </c>
      <c r="AH60" s="3">
        <f t="shared" ref="AH60:AH76" si="66">0.15*AF60</f>
        <v>0.78749999999999998</v>
      </c>
      <c r="AI60">
        <v>0</v>
      </c>
      <c r="AJ60">
        <v>0</v>
      </c>
      <c r="AK60">
        <f t="shared" ref="AK60:AK123" si="67">J60/25000</f>
        <v>1</v>
      </c>
      <c r="AL60">
        <f t="shared" si="65"/>
        <v>7.5630677249999997E-5</v>
      </c>
      <c r="AM60">
        <v>1.2899999999999999E-3</v>
      </c>
      <c r="AN60" s="2">
        <f t="shared" si="9"/>
        <v>42.801749999999998</v>
      </c>
      <c r="AO60" s="2">
        <f t="shared" si="10"/>
        <v>15</v>
      </c>
      <c r="AP60" s="2" t="str">
        <f t="shared" si="11"/>
        <v/>
      </c>
      <c r="AQ60" s="6">
        <v>0.83119023098425771</v>
      </c>
      <c r="AR60" s="20">
        <v>0</v>
      </c>
      <c r="AS60" s="6" t="str">
        <f>IF($H60="BEV",SUMPRODUCT(#REF!,#REF!),"")</f>
        <v/>
      </c>
      <c r="AT60" s="2">
        <f t="shared" si="12"/>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 t="shared" si="13"/>
        <v>4.6701389954751309E-6</v>
      </c>
      <c r="CW60" s="7">
        <f t="shared" si="14"/>
        <v>3.206660819959009E-6</v>
      </c>
    </row>
    <row r="61" spans="1:101" x14ac:dyDescent="0.2">
      <c r="A61" t="str">
        <f t="shared" si="1"/>
        <v>Moped, gasoline, &lt;4kW, EURO-5 - 2020 - CH</v>
      </c>
      <c r="B61" t="s">
        <v>348</v>
      </c>
      <c r="D61" s="18">
        <v>2020</v>
      </c>
      <c r="E61" t="s">
        <v>37</v>
      </c>
      <c r="F61" t="s">
        <v>139</v>
      </c>
      <c r="G61" t="s">
        <v>39</v>
      </c>
      <c r="H61" t="s">
        <v>35</v>
      </c>
      <c r="J61">
        <v>25000</v>
      </c>
      <c r="K61">
        <v>1570</v>
      </c>
      <c r="L61" s="2">
        <f t="shared" si="2"/>
        <v>15.923566878980891</v>
      </c>
      <c r="M61">
        <v>1</v>
      </c>
      <c r="N61">
        <v>75</v>
      </c>
      <c r="O61">
        <v>2</v>
      </c>
      <c r="P61" s="2">
        <f t="shared" si="64"/>
        <v>63</v>
      </c>
      <c r="Q61" s="2">
        <f t="shared" si="3"/>
        <v>140</v>
      </c>
      <c r="R61">
        <v>2.5</v>
      </c>
      <c r="S61" s="2">
        <v>41.962499999999999</v>
      </c>
      <c r="T61" s="1">
        <v>0</v>
      </c>
      <c r="U61" s="2">
        <f t="shared" si="4"/>
        <v>41.962499999999999</v>
      </c>
      <c r="V61">
        <v>15</v>
      </c>
      <c r="W61">
        <v>0</v>
      </c>
      <c r="X61" s="3">
        <v>0</v>
      </c>
      <c r="Y61" s="1">
        <v>0.8</v>
      </c>
      <c r="Z61" s="3">
        <f t="shared" si="5"/>
        <v>0</v>
      </c>
      <c r="AA61" s="3" t="str">
        <f>IF(I61&lt;&gt;"",X61/INDEX('energy battery'!$B$3:$D$6,MATCH('vehicles specifications'!$D61,'energy battery'!$A$3:$A$6,0),MATCH('vehicles specifications'!$I61,'energy battery'!$B$2:$D$2,0)),"")</f>
        <v/>
      </c>
      <c r="AB61" s="3" t="str">
        <f t="shared" si="6"/>
        <v/>
      </c>
      <c r="AC61" s="3" t="str">
        <f t="shared" si="7"/>
        <v/>
      </c>
      <c r="AD61" s="3">
        <v>0</v>
      </c>
      <c r="AE61" s="3">
        <v>7</v>
      </c>
      <c r="AF61">
        <f>AE61*'fuels and tailpipe emissions'!$B$3</f>
        <v>5.25</v>
      </c>
      <c r="AG61" s="2">
        <f>AF61*'fuels and tailpipe emissions'!$C$3</f>
        <v>62.125</v>
      </c>
      <c r="AH61" s="3">
        <f t="shared" si="66"/>
        <v>0.78749999999999998</v>
      </c>
      <c r="AI61">
        <v>0</v>
      </c>
      <c r="AJ61">
        <v>0</v>
      </c>
      <c r="AK61">
        <f t="shared" si="67"/>
        <v>1</v>
      </c>
      <c r="AL61">
        <f t="shared" si="65"/>
        <v>7.5179999999999995E-5</v>
      </c>
      <c r="AM61">
        <v>1.2899999999999999E-3</v>
      </c>
      <c r="AN61" s="2">
        <f t="shared" si="9"/>
        <v>41.962499999999999</v>
      </c>
      <c r="AO61" s="2">
        <f t="shared" si="10"/>
        <v>15</v>
      </c>
      <c r="AP61" s="2" t="str">
        <f t="shared" si="11"/>
        <v/>
      </c>
      <c r="AQ61" s="6">
        <v>0.82287832867441513</v>
      </c>
      <c r="AR61" s="20">
        <v>0</v>
      </c>
      <c r="AS61" s="6" t="str">
        <f>IF($H61="BEV",SUMPRODUCT(#REF!,#REF!),"")</f>
        <v/>
      </c>
      <c r="AT61" s="2">
        <f t="shared" si="12"/>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 t="shared" si="13"/>
        <v>4.653127067963281E-6</v>
      </c>
      <c r="CW61" s="7">
        <f t="shared" si="14"/>
        <v>3.1933938505570598E-6</v>
      </c>
    </row>
    <row r="62" spans="1:101" x14ac:dyDescent="0.2">
      <c r="A62" t="str">
        <f t="shared" si="1"/>
        <v>Moped, gasoline, &lt;4kW, EURO-5 - 2030 - CH</v>
      </c>
      <c r="B62" t="s">
        <v>348</v>
      </c>
      <c r="D62" s="18">
        <v>2030</v>
      </c>
      <c r="E62" t="s">
        <v>37</v>
      </c>
      <c r="F62" t="s">
        <v>139</v>
      </c>
      <c r="G62" t="s">
        <v>39</v>
      </c>
      <c r="H62" t="s">
        <v>35</v>
      </c>
      <c r="J62">
        <v>25000</v>
      </c>
      <c r="K62">
        <v>1570</v>
      </c>
      <c r="L62" s="2">
        <f t="shared" si="2"/>
        <v>15.923566878980891</v>
      </c>
      <c r="M62">
        <v>1</v>
      </c>
      <c r="N62">
        <v>75</v>
      </c>
      <c r="O62">
        <v>2</v>
      </c>
      <c r="P62" s="2">
        <f t="shared" si="64"/>
        <v>61.729124999999996</v>
      </c>
      <c r="Q62" s="2">
        <f t="shared" si="3"/>
        <v>138.72912500000001</v>
      </c>
      <c r="R62">
        <v>2.5</v>
      </c>
      <c r="S62" s="2">
        <v>42.362499999999997</v>
      </c>
      <c r="T62" s="1">
        <v>0.03</v>
      </c>
      <c r="U62" s="2">
        <f t="shared" si="4"/>
        <v>41.091624999999993</v>
      </c>
      <c r="V62">
        <v>14.6</v>
      </c>
      <c r="W62">
        <v>0</v>
      </c>
      <c r="X62" s="3">
        <v>0</v>
      </c>
      <c r="Y62" s="1">
        <v>0.8</v>
      </c>
      <c r="Z62" s="3">
        <f t="shared" si="5"/>
        <v>0</v>
      </c>
      <c r="AA62" s="3" t="str">
        <f>IF(I62&lt;&gt;"",X62/INDEX('energy battery'!$B$3:$D$6,MATCH('vehicles specifications'!$D62,'energy battery'!$A$3:$A$6,0),MATCH('vehicles specifications'!$I62,'energy battery'!$B$2:$D$2,0)),"")</f>
        <v/>
      </c>
      <c r="AB62" s="3" t="str">
        <f t="shared" si="6"/>
        <v/>
      </c>
      <c r="AC62" s="3" t="str">
        <f t="shared" si="7"/>
        <v/>
      </c>
      <c r="AD62" s="3">
        <v>0</v>
      </c>
      <c r="AE62" s="3">
        <v>7</v>
      </c>
      <c r="AF62">
        <f>AE62*'fuels and tailpipe emissions'!$B$3</f>
        <v>5.25</v>
      </c>
      <c r="AG62" s="2">
        <f>AF62*'fuels and tailpipe emissions'!$C$3</f>
        <v>62.125</v>
      </c>
      <c r="AH62" s="3">
        <f t="shared" si="66"/>
        <v>0.78749999999999998</v>
      </c>
      <c r="AI62">
        <v>0</v>
      </c>
      <c r="AJ62">
        <v>0</v>
      </c>
      <c r="AK62">
        <f t="shared" si="67"/>
        <v>1</v>
      </c>
      <c r="AL62">
        <f t="shared" si="65"/>
        <v>7.4497540125000012E-5</v>
      </c>
      <c r="AM62">
        <v>1.2899999999999999E-3</v>
      </c>
      <c r="AN62" s="2">
        <f t="shared" si="9"/>
        <v>41.091624999999993</v>
      </c>
      <c r="AO62" s="2">
        <f t="shared" si="10"/>
        <v>14.6</v>
      </c>
      <c r="AP62" s="2" t="str">
        <f t="shared" si="11"/>
        <v/>
      </c>
      <c r="AQ62" s="6">
        <v>0.81464954538767098</v>
      </c>
      <c r="AR62" s="20">
        <v>0</v>
      </c>
      <c r="AS62" s="6" t="str">
        <f>IF($H62="BEV",SUMPRODUCT(#REF!,#REF!),"")</f>
        <v/>
      </c>
      <c r="AT62" s="2">
        <f t="shared" si="12"/>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 t="shared" si="13"/>
        <v>4.6271846523416297E-6</v>
      </c>
      <c r="CW62" s="7">
        <f t="shared" si="14"/>
        <v>3.1732089309906012E-6</v>
      </c>
    </row>
    <row r="63" spans="1:101" x14ac:dyDescent="0.2">
      <c r="A63" t="str">
        <f t="shared" si="1"/>
        <v>Moped, gasoline, &lt;4kW, EURO-5 - 2040 - CH</v>
      </c>
      <c r="B63" t="s">
        <v>348</v>
      </c>
      <c r="D63" s="18">
        <v>2040</v>
      </c>
      <c r="E63" t="s">
        <v>37</v>
      </c>
      <c r="F63" t="s">
        <v>139</v>
      </c>
      <c r="G63" t="s">
        <v>39</v>
      </c>
      <c r="H63" t="s">
        <v>35</v>
      </c>
      <c r="J63">
        <v>25000</v>
      </c>
      <c r="K63">
        <v>1570</v>
      </c>
      <c r="L63" s="2">
        <f t="shared" si="2"/>
        <v>15.923566878980891</v>
      </c>
      <c r="M63">
        <v>1</v>
      </c>
      <c r="N63">
        <v>75</v>
      </c>
      <c r="O63">
        <v>2</v>
      </c>
      <c r="P63" s="2">
        <f t="shared" si="64"/>
        <v>60.856874999999995</v>
      </c>
      <c r="Q63" s="2">
        <f t="shared" si="3"/>
        <v>137.856875</v>
      </c>
      <c r="R63">
        <v>2.5</v>
      </c>
      <c r="S63" s="2">
        <v>42.862499999999997</v>
      </c>
      <c r="T63" s="1">
        <v>0.05</v>
      </c>
      <c r="U63" s="2">
        <f t="shared" si="4"/>
        <v>40.719374999999992</v>
      </c>
      <c r="V63">
        <v>14.1</v>
      </c>
      <c r="W63">
        <v>0</v>
      </c>
      <c r="X63" s="3">
        <v>0</v>
      </c>
      <c r="Y63" s="1">
        <v>0.8</v>
      </c>
      <c r="Z63" s="3">
        <f t="shared" si="5"/>
        <v>0</v>
      </c>
      <c r="AA63" s="3" t="str">
        <f>IF(I63&lt;&gt;"",X63/INDEX('energy battery'!$B$3:$D$6,MATCH('vehicles specifications'!$D63,'energy battery'!$A$3:$A$6,0),MATCH('vehicles specifications'!$I63,'energy battery'!$B$2:$D$2,0)),"")</f>
        <v/>
      </c>
      <c r="AB63" s="3" t="str">
        <f t="shared" si="6"/>
        <v/>
      </c>
      <c r="AC63" s="3" t="str">
        <f t="shared" si="7"/>
        <v/>
      </c>
      <c r="AD63" s="3">
        <v>0</v>
      </c>
      <c r="AE63" s="3">
        <v>7</v>
      </c>
      <c r="AF63">
        <f>AE63*'fuels and tailpipe emissions'!$B$3</f>
        <v>5.25</v>
      </c>
      <c r="AG63" s="2">
        <f>AF63*'fuels and tailpipe emissions'!$C$3</f>
        <v>62.125</v>
      </c>
      <c r="AH63" s="3">
        <f t="shared" si="66"/>
        <v>0.78749999999999998</v>
      </c>
      <c r="AI63">
        <v>0</v>
      </c>
      <c r="AJ63">
        <v>0</v>
      </c>
      <c r="AK63">
        <f t="shared" si="67"/>
        <v>1</v>
      </c>
      <c r="AL63">
        <f t="shared" si="65"/>
        <v>7.4029141875000008E-5</v>
      </c>
      <c r="AM63">
        <v>1.2899999999999999E-3</v>
      </c>
      <c r="AN63" s="2">
        <f t="shared" si="9"/>
        <v>40.719374999999992</v>
      </c>
      <c r="AO63" s="2">
        <f t="shared" si="10"/>
        <v>14.1</v>
      </c>
      <c r="AP63" s="2" t="str">
        <f t="shared" si="11"/>
        <v/>
      </c>
      <c r="AQ63" s="6">
        <v>0.80650304993379429</v>
      </c>
      <c r="AR63" s="20">
        <v>0</v>
      </c>
      <c r="AS63" s="6" t="str">
        <f>IF($H63="BEV",SUMPRODUCT(#REF!,#REF!),"")</f>
        <v/>
      </c>
      <c r="AT63" s="2">
        <f t="shared" si="12"/>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 t="shared" si="13"/>
        <v>4.6092503360805489E-6</v>
      </c>
      <c r="CW63" s="7">
        <f t="shared" si="14"/>
        <v>3.1592880357861782E-6</v>
      </c>
    </row>
    <row r="64" spans="1:101" x14ac:dyDescent="0.2">
      <c r="A64" t="str">
        <f t="shared" si="1"/>
        <v>Moped, gasoline, &lt;4kW, EURO-5 - 2050 - CH</v>
      </c>
      <c r="B64" t="s">
        <v>348</v>
      </c>
      <c r="D64" s="18">
        <v>2050</v>
      </c>
      <c r="E64" t="s">
        <v>37</v>
      </c>
      <c r="F64" t="s">
        <v>139</v>
      </c>
      <c r="G64" t="s">
        <v>39</v>
      </c>
      <c r="H64" t="s">
        <v>35</v>
      </c>
      <c r="J64">
        <v>25000</v>
      </c>
      <c r="K64">
        <v>1570</v>
      </c>
      <c r="L64" s="2">
        <f t="shared" si="2"/>
        <v>15.923566878980891</v>
      </c>
      <c r="M64">
        <v>1</v>
      </c>
      <c r="N64">
        <v>75</v>
      </c>
      <c r="O64">
        <v>2</v>
      </c>
      <c r="P64" s="2">
        <f t="shared" si="64"/>
        <v>59.971624999999996</v>
      </c>
      <c r="Q64" s="2">
        <f t="shared" si="3"/>
        <v>136.97162499999999</v>
      </c>
      <c r="R64">
        <v>2.5</v>
      </c>
      <c r="S64" s="2">
        <v>43.262500000000003</v>
      </c>
      <c r="T64" s="1">
        <v>7.0000000000000007E-2</v>
      </c>
      <c r="U64" s="2">
        <f t="shared" si="4"/>
        <v>40.234124999999999</v>
      </c>
      <c r="V64">
        <v>13.7</v>
      </c>
      <c r="W64">
        <v>0</v>
      </c>
      <c r="X64" s="3">
        <v>0</v>
      </c>
      <c r="Y64" s="1">
        <v>0.8</v>
      </c>
      <c r="Z64" s="3">
        <f t="shared" si="5"/>
        <v>0</v>
      </c>
      <c r="AA64" s="3" t="str">
        <f>IF(I64&lt;&gt;"",X64/INDEX('energy battery'!$B$3:$D$6,MATCH('vehicles specifications'!$D64,'energy battery'!$A$3:$A$6,0),MATCH('vehicles specifications'!$I64,'energy battery'!$B$2:$D$2,0)),"")</f>
        <v/>
      </c>
      <c r="AB64" s="3" t="str">
        <f t="shared" si="6"/>
        <v/>
      </c>
      <c r="AC64" s="3" t="str">
        <f t="shared" si="7"/>
        <v/>
      </c>
      <c r="AD64" s="3">
        <v>0</v>
      </c>
      <c r="AE64" s="3">
        <v>7</v>
      </c>
      <c r="AF64">
        <f>AE64*'fuels and tailpipe emissions'!$B$3</f>
        <v>5.25</v>
      </c>
      <c r="AG64" s="2">
        <f>AF64*'fuels and tailpipe emissions'!$C$3</f>
        <v>62.125</v>
      </c>
      <c r="AH64" s="3">
        <f t="shared" si="66"/>
        <v>0.78749999999999998</v>
      </c>
      <c r="AI64">
        <v>0</v>
      </c>
      <c r="AJ64">
        <v>0</v>
      </c>
      <c r="AK64">
        <f t="shared" si="67"/>
        <v>1</v>
      </c>
      <c r="AL64">
        <f t="shared" si="65"/>
        <v>7.3553762624999994E-5</v>
      </c>
      <c r="AM64">
        <v>1.2899999999999999E-3</v>
      </c>
      <c r="AN64" s="2">
        <f t="shared" si="9"/>
        <v>40.234124999999999</v>
      </c>
      <c r="AO64" s="2">
        <f t="shared" si="10"/>
        <v>13.7</v>
      </c>
      <c r="AP64" s="2" t="str">
        <f t="shared" si="11"/>
        <v/>
      </c>
      <c r="AQ64" s="6">
        <v>0.79843801943445636</v>
      </c>
      <c r="AR64" s="20">
        <v>0</v>
      </c>
      <c r="AS64" s="6" t="str">
        <f>IF($H64="BEV",SUMPRODUCT(#REF!,#REF!),"")</f>
        <v/>
      </c>
      <c r="AT64" s="2">
        <f t="shared" si="12"/>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 t="shared" si="13"/>
        <v>4.5909389721213746E-6</v>
      </c>
      <c r="CW64" s="7">
        <f t="shared" si="14"/>
        <v>3.1451027135630022E-6</v>
      </c>
    </row>
    <row r="65" spans="1:101" x14ac:dyDescent="0.2">
      <c r="A65" t="str">
        <f t="shared" si="1"/>
        <v>Scooter, gasoline, &lt;4kW, EURO-3 - 2006 - CH</v>
      </c>
      <c r="B65" t="s">
        <v>375</v>
      </c>
      <c r="D65" s="18">
        <v>2006</v>
      </c>
      <c r="E65" t="s">
        <v>37</v>
      </c>
      <c r="F65" t="s">
        <v>139</v>
      </c>
      <c r="G65" t="s">
        <v>39</v>
      </c>
      <c r="H65" t="s">
        <v>35</v>
      </c>
      <c r="J65">
        <v>25000</v>
      </c>
      <c r="K65">
        <v>1570</v>
      </c>
      <c r="L65" s="2">
        <f t="shared" ref="L65:L70" si="68">J65/K65</f>
        <v>15.923566878980891</v>
      </c>
      <c r="M65">
        <v>1</v>
      </c>
      <c r="N65">
        <v>75</v>
      </c>
      <c r="O65">
        <v>4</v>
      </c>
      <c r="P65" s="2">
        <f t="shared" ref="P65:P70" si="69">SUM(U65,V65,W65,AC65,AF65,AH65)</f>
        <v>93.6875</v>
      </c>
      <c r="Q65" s="2">
        <f t="shared" ref="Q65:Q70" si="70">P65+(M65*N65)+O65</f>
        <v>172.6875</v>
      </c>
      <c r="R65">
        <v>2.8</v>
      </c>
      <c r="S65" s="2">
        <v>53</v>
      </c>
      <c r="T65" s="1">
        <v>-0.05</v>
      </c>
      <c r="U65" s="2">
        <f t="shared" ref="U65:U70" si="71">S65*(1-T65)</f>
        <v>55.650000000000006</v>
      </c>
      <c r="V65">
        <v>32</v>
      </c>
      <c r="W65">
        <v>0</v>
      </c>
      <c r="X65" s="3">
        <v>0</v>
      </c>
      <c r="Y65" s="1">
        <v>0.8</v>
      </c>
      <c r="Z65" s="3">
        <f t="shared" ref="Z65:Z70" si="72">Y65*X65</f>
        <v>0</v>
      </c>
      <c r="AA65" s="3" t="str">
        <f>IF(I65&lt;&gt;"",X65/INDEX('energy battery'!$B$3:$D$6,MATCH('vehicles specifications'!$D65,'energy battery'!$A$3:$A$6,0),MATCH('vehicles specifications'!$I65,'energy battery'!$B$2:$D$2,0)),"")</f>
        <v/>
      </c>
      <c r="AB65" s="3" t="str">
        <f t="shared" si="6"/>
        <v/>
      </c>
      <c r="AC65" s="3" t="str">
        <f t="shared" si="7"/>
        <v/>
      </c>
      <c r="AD65" s="3">
        <v>0</v>
      </c>
      <c r="AE65" s="3">
        <v>7</v>
      </c>
      <c r="AF65">
        <f>AE65*'fuels and tailpipe emissions'!$B$3</f>
        <v>5.25</v>
      </c>
      <c r="AG65" s="2">
        <f>AF65*'fuels and tailpipe emissions'!$C$3</f>
        <v>62.125</v>
      </c>
      <c r="AH65" s="3">
        <f t="shared" ref="AH65:AH70" si="73">0.15*AF65</f>
        <v>0.78749999999999998</v>
      </c>
      <c r="AI65">
        <v>0</v>
      </c>
      <c r="AJ65">
        <v>0</v>
      </c>
      <c r="AK65">
        <f t="shared" si="67"/>
        <v>1</v>
      </c>
      <c r="AL65">
        <f t="shared" ref="AL65:AL70" si="74">0.000537/1000*Q65</f>
        <v>9.2733187500000004E-5</v>
      </c>
      <c r="AM65">
        <v>1.2899999999999999E-3</v>
      </c>
      <c r="AN65" s="2">
        <f t="shared" ref="AN65:AN70" si="75">U65</f>
        <v>55.650000000000006</v>
      </c>
      <c r="AO65" s="2">
        <f t="shared" ref="AO65:AO70" si="76">SUM(V65:W65)</f>
        <v>32</v>
      </c>
      <c r="AP65" s="2" t="str">
        <f t="shared" ref="AP65:AP70" si="77">AC65</f>
        <v/>
      </c>
      <c r="AQ65" s="6">
        <v>1.3796363595586507</v>
      </c>
      <c r="AR65" s="20">
        <v>0</v>
      </c>
      <c r="AS65" s="6" t="str">
        <f>IF($H65="BEV",SUMPRODUCT(#REF!,#REF!),"")</f>
        <v/>
      </c>
      <c r="AT65" s="2">
        <f t="shared" si="12"/>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 t="shared" si="13"/>
        <v>5.2412620052459845E-6</v>
      </c>
      <c r="CW65" s="7">
        <f t="shared" si="14"/>
        <v>3.6696652794461515E-6</v>
      </c>
    </row>
    <row r="66" spans="1:101" x14ac:dyDescent="0.2">
      <c r="A66" t="str">
        <f t="shared" si="1"/>
        <v>Scooter, gasoline, &lt;4kW, EURO-4 - 2016 - CH</v>
      </c>
      <c r="B66" t="s">
        <v>376</v>
      </c>
      <c r="D66" s="18">
        <v>2016</v>
      </c>
      <c r="E66" t="s">
        <v>37</v>
      </c>
      <c r="F66" t="s">
        <v>138</v>
      </c>
      <c r="G66" t="s">
        <v>39</v>
      </c>
      <c r="H66" t="s">
        <v>35</v>
      </c>
      <c r="J66">
        <v>25000</v>
      </c>
      <c r="K66">
        <v>1570</v>
      </c>
      <c r="L66" s="2">
        <f t="shared" si="68"/>
        <v>15.923566878980891</v>
      </c>
      <c r="M66">
        <v>1</v>
      </c>
      <c r="N66">
        <v>75</v>
      </c>
      <c r="O66">
        <v>4</v>
      </c>
      <c r="P66" s="2">
        <f t="shared" si="69"/>
        <v>92.097499999999997</v>
      </c>
      <c r="Q66" s="2">
        <f t="shared" si="70"/>
        <v>171.0975</v>
      </c>
      <c r="R66">
        <v>2.8</v>
      </c>
      <c r="S66" s="2">
        <v>53</v>
      </c>
      <c r="T66" s="1">
        <v>-0.02</v>
      </c>
      <c r="U66" s="2">
        <f t="shared" si="71"/>
        <v>54.06</v>
      </c>
      <c r="V66">
        <v>32</v>
      </c>
      <c r="W66">
        <v>0</v>
      </c>
      <c r="X66" s="3">
        <v>0</v>
      </c>
      <c r="Y66" s="1">
        <v>0.8</v>
      </c>
      <c r="Z66" s="3">
        <f t="shared" si="72"/>
        <v>0</v>
      </c>
      <c r="AA66" s="3" t="str">
        <f>IF(I66&lt;&gt;"",X66/INDEX('energy battery'!$B$3:$D$6,MATCH('vehicles specifications'!$D66,'energy battery'!$A$3:$A$6,0),MATCH('vehicles specifications'!$I66,'energy battery'!$B$2:$D$2,0)),"")</f>
        <v/>
      </c>
      <c r="AB66" s="3" t="str">
        <f t="shared" si="6"/>
        <v/>
      </c>
      <c r="AC66" s="3" t="str">
        <f t="shared" si="7"/>
        <v/>
      </c>
      <c r="AD66" s="3">
        <v>0</v>
      </c>
      <c r="AE66" s="3">
        <v>7</v>
      </c>
      <c r="AF66">
        <f>AE66*'fuels and tailpipe emissions'!$B$3</f>
        <v>5.25</v>
      </c>
      <c r="AG66" s="2">
        <f>AF66*'fuels and tailpipe emissions'!$C$3</f>
        <v>62.125</v>
      </c>
      <c r="AH66" s="3">
        <f t="shared" si="73"/>
        <v>0.78749999999999998</v>
      </c>
      <c r="AI66">
        <v>0</v>
      </c>
      <c r="AJ66">
        <v>0</v>
      </c>
      <c r="AK66">
        <f t="shared" si="67"/>
        <v>1</v>
      </c>
      <c r="AL66">
        <f t="shared" si="74"/>
        <v>9.18793575E-5</v>
      </c>
      <c r="AM66">
        <v>1.2899999999999999E-3</v>
      </c>
      <c r="AN66" s="2">
        <f t="shared" si="75"/>
        <v>54.06</v>
      </c>
      <c r="AO66" s="2">
        <f t="shared" si="76"/>
        <v>32</v>
      </c>
      <c r="AP66" s="2" t="str">
        <f t="shared" si="77"/>
        <v/>
      </c>
      <c r="AQ66" s="6">
        <v>1.3015437354326893</v>
      </c>
      <c r="AR66" s="20">
        <v>0</v>
      </c>
      <c r="AS66" s="6" t="str">
        <f>IF($H66="BEV",SUMPRODUCT(#REF!,#REF!),"")</f>
        <v/>
      </c>
      <c r="AT66" s="2">
        <f t="shared" si="12"/>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 t="shared" si="13"/>
        <v>5.2139692048332967E-6</v>
      </c>
      <c r="CW66" s="7">
        <f t="shared" si="14"/>
        <v>3.6472541097287021E-6</v>
      </c>
    </row>
    <row r="67" spans="1:101" x14ac:dyDescent="0.2">
      <c r="A67" t="str">
        <f t="shared" si="1"/>
        <v>Scooter, gasoline, &lt;4kW, EURO-5 - 2020 - CH</v>
      </c>
      <c r="B67" t="s">
        <v>377</v>
      </c>
      <c r="D67" s="18">
        <v>2020</v>
      </c>
      <c r="E67" t="s">
        <v>37</v>
      </c>
      <c r="F67" t="s">
        <v>139</v>
      </c>
      <c r="G67" t="s">
        <v>39</v>
      </c>
      <c r="H67" t="s">
        <v>35</v>
      </c>
      <c r="J67">
        <v>25000</v>
      </c>
      <c r="K67">
        <v>1570</v>
      </c>
      <c r="L67" s="2">
        <f t="shared" si="68"/>
        <v>15.923566878980891</v>
      </c>
      <c r="M67">
        <v>1</v>
      </c>
      <c r="N67">
        <v>75</v>
      </c>
      <c r="O67">
        <v>4</v>
      </c>
      <c r="P67" s="2">
        <f t="shared" si="69"/>
        <v>91.037499999999994</v>
      </c>
      <c r="Q67" s="2">
        <f t="shared" si="70"/>
        <v>170.03749999999999</v>
      </c>
      <c r="R67">
        <v>2.8</v>
      </c>
      <c r="S67" s="2">
        <v>53</v>
      </c>
      <c r="T67" s="1">
        <v>0</v>
      </c>
      <c r="U67" s="2">
        <f t="shared" si="71"/>
        <v>53</v>
      </c>
      <c r="V67">
        <v>32</v>
      </c>
      <c r="W67">
        <v>0</v>
      </c>
      <c r="X67" s="3">
        <v>0</v>
      </c>
      <c r="Y67" s="1">
        <v>0.8</v>
      </c>
      <c r="Z67" s="3">
        <f t="shared" si="72"/>
        <v>0</v>
      </c>
      <c r="AA67" s="3" t="str">
        <f>IF(I67&lt;&gt;"",X67/INDEX('energy battery'!$B$3:$D$6,MATCH('vehicles specifications'!$D67,'energy battery'!$A$3:$A$6,0),MATCH('vehicles specifications'!$I67,'energy battery'!$B$2:$D$2,0)),"")</f>
        <v/>
      </c>
      <c r="AB67" s="3" t="str">
        <f t="shared" si="6"/>
        <v/>
      </c>
      <c r="AC67" s="3" t="str">
        <f t="shared" si="7"/>
        <v/>
      </c>
      <c r="AD67" s="3">
        <v>0</v>
      </c>
      <c r="AE67" s="3">
        <v>7</v>
      </c>
      <c r="AF67">
        <f>AE67*'fuels and tailpipe emissions'!$B$3</f>
        <v>5.25</v>
      </c>
      <c r="AG67" s="2">
        <f>AF67*'fuels and tailpipe emissions'!$C$3</f>
        <v>62.125</v>
      </c>
      <c r="AH67" s="3">
        <f t="shared" si="73"/>
        <v>0.78749999999999998</v>
      </c>
      <c r="AI67">
        <v>0</v>
      </c>
      <c r="AJ67">
        <v>0</v>
      </c>
      <c r="AK67">
        <f t="shared" si="67"/>
        <v>1</v>
      </c>
      <c r="AL67">
        <f t="shared" si="74"/>
        <v>9.1310137499999998E-5</v>
      </c>
      <c r="AM67">
        <v>1.2899999999999999E-3</v>
      </c>
      <c r="AN67" s="2">
        <f t="shared" si="75"/>
        <v>53</v>
      </c>
      <c r="AO67" s="2">
        <f t="shared" si="76"/>
        <v>32</v>
      </c>
      <c r="AP67" s="2" t="str">
        <f t="shared" si="77"/>
        <v/>
      </c>
      <c r="AQ67" s="6">
        <v>1.2885282980783623</v>
      </c>
      <c r="AR67" s="20">
        <v>0</v>
      </c>
      <c r="AS67" s="6" t="str">
        <f>IF($H67="BEV",SUMPRODUCT(#REF!,#REF!),"")</f>
        <v/>
      </c>
      <c r="AT67" s="2">
        <f t="shared" si="12"/>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 t="shared" si="13"/>
        <v>5.1956600387737995E-6</v>
      </c>
      <c r="CW67" s="7">
        <f t="shared" si="14"/>
        <v>3.632248632002054E-6</v>
      </c>
    </row>
    <row r="68" spans="1:101" x14ac:dyDescent="0.2">
      <c r="A68" t="str">
        <f t="shared" si="1"/>
        <v>Scooter, gasoline, &lt;4kW, EURO-5 - 2030 - CH</v>
      </c>
      <c r="B68" t="s">
        <v>377</v>
      </c>
      <c r="D68" s="18">
        <v>2030</v>
      </c>
      <c r="E68" t="s">
        <v>37</v>
      </c>
      <c r="F68" t="s">
        <v>139</v>
      </c>
      <c r="G68" t="s">
        <v>39</v>
      </c>
      <c r="H68" t="s">
        <v>35</v>
      </c>
      <c r="J68">
        <v>25000</v>
      </c>
      <c r="K68">
        <v>1570</v>
      </c>
      <c r="L68" s="2">
        <f t="shared" si="68"/>
        <v>15.923566878980891</v>
      </c>
      <c r="M68">
        <v>1</v>
      </c>
      <c r="N68">
        <v>75</v>
      </c>
      <c r="O68">
        <v>4</v>
      </c>
      <c r="P68" s="2">
        <f t="shared" si="69"/>
        <v>88.447499999999991</v>
      </c>
      <c r="Q68" s="2">
        <f t="shared" si="70"/>
        <v>167.44749999999999</v>
      </c>
      <c r="R68">
        <v>2.8</v>
      </c>
      <c r="S68" s="2">
        <v>53</v>
      </c>
      <c r="T68" s="1">
        <v>0.03</v>
      </c>
      <c r="U68" s="2">
        <f t="shared" si="71"/>
        <v>51.41</v>
      </c>
      <c r="V68">
        <v>31</v>
      </c>
      <c r="W68">
        <v>0</v>
      </c>
      <c r="X68" s="3">
        <v>0</v>
      </c>
      <c r="Y68" s="1">
        <v>0.8</v>
      </c>
      <c r="Z68" s="3">
        <f t="shared" si="72"/>
        <v>0</v>
      </c>
      <c r="AA68" s="3" t="str">
        <f>IF(I68&lt;&gt;"",X68/INDEX('energy battery'!$B$3:$D$6,MATCH('vehicles specifications'!$D68,'energy battery'!$A$3:$A$6,0),MATCH('vehicles specifications'!$I68,'energy battery'!$B$2:$D$2,0)),"")</f>
        <v/>
      </c>
      <c r="AB68" s="3" t="str">
        <f t="shared" si="6"/>
        <v/>
      </c>
      <c r="AC68" s="3" t="str">
        <f t="shared" si="7"/>
        <v/>
      </c>
      <c r="AD68" s="3">
        <v>0</v>
      </c>
      <c r="AE68" s="3">
        <v>7</v>
      </c>
      <c r="AF68">
        <f>AE68*'fuels and tailpipe emissions'!$B$3</f>
        <v>5.25</v>
      </c>
      <c r="AG68" s="2">
        <f>AF68*'fuels and tailpipe emissions'!$C$3</f>
        <v>62.125</v>
      </c>
      <c r="AH68" s="3">
        <f t="shared" si="73"/>
        <v>0.78749999999999998</v>
      </c>
      <c r="AI68">
        <v>0</v>
      </c>
      <c r="AJ68">
        <v>0</v>
      </c>
      <c r="AK68">
        <f t="shared" si="67"/>
        <v>1</v>
      </c>
      <c r="AL68">
        <f t="shared" si="74"/>
        <v>8.9919307499999995E-5</v>
      </c>
      <c r="AM68">
        <v>1.2899999999999999E-3</v>
      </c>
      <c r="AN68" s="2">
        <f t="shared" si="75"/>
        <v>51.41</v>
      </c>
      <c r="AO68" s="2">
        <f t="shared" si="76"/>
        <v>31</v>
      </c>
      <c r="AP68" s="2" t="str">
        <f t="shared" si="77"/>
        <v/>
      </c>
      <c r="AQ68" s="6">
        <v>1.2756430150975786</v>
      </c>
      <c r="AR68" s="20">
        <v>0</v>
      </c>
      <c r="AS68" s="6" t="str">
        <f>IF($H68="BEV",SUMPRODUCT(#REF!,#REF!),"")</f>
        <v/>
      </c>
      <c r="AT68" s="2">
        <f t="shared" ref="AT68:AT131" si="78">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 t="shared" ref="CV68:CV131" si="79">(CK68*CN68)+(CL68*CO68)+(CM68*CP68)</f>
        <v>5.1505301840429754E-6</v>
      </c>
      <c r="CW68" s="7">
        <f t="shared" ref="CW68:CW131" si="80">(CK68*CQ68)+(CL68*CR68)+(CM68*CS68)</f>
        <v>3.5953619343571558E-6</v>
      </c>
    </row>
    <row r="69" spans="1:101" x14ac:dyDescent="0.2">
      <c r="A69" t="str">
        <f t="shared" si="1"/>
        <v>Scooter, gasoline, &lt;4kW, EURO-5 - 2040 - CH</v>
      </c>
      <c r="B69" t="s">
        <v>377</v>
      </c>
      <c r="D69" s="18">
        <v>2040</v>
      </c>
      <c r="E69" t="s">
        <v>37</v>
      </c>
      <c r="F69" t="s">
        <v>139</v>
      </c>
      <c r="G69" t="s">
        <v>39</v>
      </c>
      <c r="H69" t="s">
        <v>35</v>
      </c>
      <c r="J69">
        <v>25000</v>
      </c>
      <c r="K69">
        <v>1570</v>
      </c>
      <c r="L69" s="2">
        <f t="shared" si="68"/>
        <v>15.923566878980891</v>
      </c>
      <c r="M69">
        <v>1</v>
      </c>
      <c r="N69">
        <v>75</v>
      </c>
      <c r="O69">
        <v>4</v>
      </c>
      <c r="P69" s="2">
        <f t="shared" si="69"/>
        <v>86.487499999999983</v>
      </c>
      <c r="Q69" s="2">
        <f t="shared" si="70"/>
        <v>165.48749999999998</v>
      </c>
      <c r="R69">
        <v>2.8</v>
      </c>
      <c r="S69" s="2">
        <v>53</v>
      </c>
      <c r="T69" s="1">
        <v>0.05</v>
      </c>
      <c r="U69" s="2">
        <f t="shared" si="71"/>
        <v>50.349999999999994</v>
      </c>
      <c r="V69">
        <v>30.1</v>
      </c>
      <c r="W69">
        <v>0</v>
      </c>
      <c r="X69" s="3">
        <v>0</v>
      </c>
      <c r="Y69" s="1">
        <v>0.8</v>
      </c>
      <c r="Z69" s="3">
        <f t="shared" si="72"/>
        <v>0</v>
      </c>
      <c r="AA69" s="3" t="str">
        <f>IF(I69&lt;&gt;"",X69/INDEX('energy battery'!$B$3:$D$6,MATCH('vehicles specifications'!$D69,'energy battery'!$A$3:$A$6,0),MATCH('vehicles specifications'!$I69,'energy battery'!$B$2:$D$2,0)),"")</f>
        <v/>
      </c>
      <c r="AB69" s="3" t="str">
        <f t="shared" si="6"/>
        <v/>
      </c>
      <c r="AC69" s="3" t="str">
        <f t="shared" si="7"/>
        <v/>
      </c>
      <c r="AD69" s="3">
        <v>0</v>
      </c>
      <c r="AE69" s="3">
        <v>7</v>
      </c>
      <c r="AF69">
        <f>AE69*'fuels and tailpipe emissions'!$B$3</f>
        <v>5.25</v>
      </c>
      <c r="AG69" s="2">
        <f>AF69*'fuels and tailpipe emissions'!$C$3</f>
        <v>62.125</v>
      </c>
      <c r="AH69" s="3">
        <f t="shared" si="73"/>
        <v>0.78749999999999998</v>
      </c>
      <c r="AI69">
        <v>0</v>
      </c>
      <c r="AJ69">
        <v>0</v>
      </c>
      <c r="AK69">
        <f t="shared" si="67"/>
        <v>1</v>
      </c>
      <c r="AL69">
        <f t="shared" si="74"/>
        <v>8.8866787499999997E-5</v>
      </c>
      <c r="AM69">
        <v>1.2899999999999999E-3</v>
      </c>
      <c r="AN69" s="2">
        <f t="shared" si="75"/>
        <v>50.349999999999994</v>
      </c>
      <c r="AO69" s="2">
        <f t="shared" si="76"/>
        <v>30.1</v>
      </c>
      <c r="AP69" s="2" t="str">
        <f t="shared" si="77"/>
        <v/>
      </c>
      <c r="AQ69" s="6">
        <v>1.2628865849466029</v>
      </c>
      <c r="AR69" s="20">
        <v>0</v>
      </c>
      <c r="AS69" s="6" t="str">
        <f>IF($H69="BEV",SUMPRODUCT(#REF!,#REF!),"")</f>
        <v/>
      </c>
      <c r="AT69" s="2">
        <f t="shared" si="78"/>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 t="shared" si="79"/>
        <v>5.1159965090382458E-6</v>
      </c>
      <c r="CW69" s="7">
        <f t="shared" si="80"/>
        <v>3.5672330291102775E-6</v>
      </c>
    </row>
    <row r="70" spans="1:101" x14ac:dyDescent="0.2">
      <c r="A70" t="str">
        <f t="shared" si="1"/>
        <v>Scooter, gasoline, &lt;4kW, EURO-5 - 2050 - CH</v>
      </c>
      <c r="B70" t="s">
        <v>377</v>
      </c>
      <c r="D70" s="18">
        <v>2050</v>
      </c>
      <c r="E70" t="s">
        <v>37</v>
      </c>
      <c r="F70" t="s">
        <v>139</v>
      </c>
      <c r="G70" t="s">
        <v>39</v>
      </c>
      <c r="H70" t="s">
        <v>35</v>
      </c>
      <c r="J70">
        <v>25000</v>
      </c>
      <c r="K70">
        <v>1570</v>
      </c>
      <c r="L70" s="2">
        <f t="shared" si="68"/>
        <v>15.923566878980891</v>
      </c>
      <c r="M70">
        <v>1</v>
      </c>
      <c r="N70">
        <v>75</v>
      </c>
      <c r="O70">
        <v>4</v>
      </c>
      <c r="P70" s="2">
        <f t="shared" si="69"/>
        <v>84.527499999999989</v>
      </c>
      <c r="Q70" s="2">
        <f t="shared" si="70"/>
        <v>163.52749999999997</v>
      </c>
      <c r="R70">
        <v>2.8</v>
      </c>
      <c r="S70" s="2">
        <v>53</v>
      </c>
      <c r="T70" s="1">
        <v>7.0000000000000007E-2</v>
      </c>
      <c r="U70" s="2">
        <f t="shared" si="71"/>
        <v>49.29</v>
      </c>
      <c r="V70">
        <v>29.2</v>
      </c>
      <c r="W70">
        <v>0</v>
      </c>
      <c r="X70" s="3">
        <v>0</v>
      </c>
      <c r="Y70" s="1">
        <v>0.8</v>
      </c>
      <c r="Z70" s="3">
        <f t="shared" si="72"/>
        <v>0</v>
      </c>
      <c r="AA70" s="3" t="str">
        <f>IF(I70&lt;&gt;"",X70/INDEX('energy battery'!$B$3:$D$6,MATCH('vehicles specifications'!$D70,'energy battery'!$A$3:$A$6,0),MATCH('vehicles specifications'!$I70,'energy battery'!$B$2:$D$2,0)),"")</f>
        <v/>
      </c>
      <c r="AB70" s="3" t="str">
        <f t="shared" si="6"/>
        <v/>
      </c>
      <c r="AC70" s="3" t="str">
        <f t="shared" si="7"/>
        <v/>
      </c>
      <c r="AD70" s="3">
        <v>0</v>
      </c>
      <c r="AE70" s="3">
        <v>7</v>
      </c>
      <c r="AF70">
        <f>AE70*'fuels and tailpipe emissions'!$B$3</f>
        <v>5.25</v>
      </c>
      <c r="AG70" s="2">
        <f>AF70*'fuels and tailpipe emissions'!$C$3</f>
        <v>62.125</v>
      </c>
      <c r="AH70" s="3">
        <f t="shared" si="73"/>
        <v>0.78749999999999998</v>
      </c>
      <c r="AI70">
        <v>0</v>
      </c>
      <c r="AJ70">
        <v>0</v>
      </c>
      <c r="AK70">
        <f t="shared" si="67"/>
        <v>1</v>
      </c>
      <c r="AL70">
        <f t="shared" si="74"/>
        <v>8.7814267499999985E-5</v>
      </c>
      <c r="AM70">
        <v>1.2899999999999999E-3</v>
      </c>
      <c r="AN70" s="2">
        <f t="shared" si="75"/>
        <v>49.29</v>
      </c>
      <c r="AO70" s="2">
        <f t="shared" si="76"/>
        <v>29.2</v>
      </c>
      <c r="AP70" s="2" t="str">
        <f t="shared" si="77"/>
        <v/>
      </c>
      <c r="AQ70" s="6">
        <v>1.2502577190971369</v>
      </c>
      <c r="AR70" s="20">
        <v>0</v>
      </c>
      <c r="AS70" s="6" t="str">
        <f>IF($H70="BEV",SUMPRODUCT(#REF!,#REF!),"")</f>
        <v/>
      </c>
      <c r="AT70" s="2">
        <f t="shared" si="78"/>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 t="shared" si="79"/>
        <v>5.0811234404962358E-6</v>
      </c>
      <c r="CW70" s="7">
        <f t="shared" si="80"/>
        <v>3.5389141066009498E-6</v>
      </c>
    </row>
    <row r="71" spans="1:101" x14ac:dyDescent="0.2">
      <c r="A71" t="str">
        <f t="shared" si="1"/>
        <v>Scooter, gasoline, 4-11kW, EURO-3 - 2006 - CH</v>
      </c>
      <c r="B71" t="s">
        <v>337</v>
      </c>
      <c r="D71" s="18">
        <v>2006</v>
      </c>
      <c r="E71" t="s">
        <v>37</v>
      </c>
      <c r="F71" t="s">
        <v>139</v>
      </c>
      <c r="G71" t="s">
        <v>39</v>
      </c>
      <c r="H71" t="s">
        <v>35</v>
      </c>
      <c r="J71">
        <v>30000</v>
      </c>
      <c r="K71">
        <v>1870</v>
      </c>
      <c r="L71" s="2">
        <f t="shared" si="2"/>
        <v>16.042780748663102</v>
      </c>
      <c r="M71">
        <v>1</v>
      </c>
      <c r="N71">
        <v>75</v>
      </c>
      <c r="O71">
        <v>4</v>
      </c>
      <c r="P71" s="2">
        <f t="shared" si="64"/>
        <v>133.26249999999999</v>
      </c>
      <c r="Q71" s="2">
        <f t="shared" si="3"/>
        <v>212.26249999999999</v>
      </c>
      <c r="R71">
        <v>8.8000000000000007</v>
      </c>
      <c r="S71" s="2">
        <v>70</v>
      </c>
      <c r="T71" s="1">
        <v>-0.05</v>
      </c>
      <c r="U71" s="2">
        <f t="shared" si="4"/>
        <v>73.5</v>
      </c>
      <c r="V71">
        <v>52</v>
      </c>
      <c r="W71">
        <v>0</v>
      </c>
      <c r="X71" s="3">
        <v>0</v>
      </c>
      <c r="Y71" s="1">
        <v>0.8</v>
      </c>
      <c r="Z71" s="3">
        <f t="shared" si="5"/>
        <v>0</v>
      </c>
      <c r="AA71" s="3" t="str">
        <f>IF(I71&lt;&gt;"",X71/INDEX('energy battery'!$B$3:$D$6,MATCH('vehicles specifications'!$D71,'energy battery'!$A$3:$A$6,0),MATCH('vehicles specifications'!$I71,'energy battery'!$B$2:$D$2,0)),"")</f>
        <v/>
      </c>
      <c r="AB71" s="3" t="str">
        <f t="shared" si="6"/>
        <v/>
      </c>
      <c r="AC71" s="3" t="str">
        <f t="shared" si="7"/>
        <v/>
      </c>
      <c r="AD71" s="3">
        <v>0</v>
      </c>
      <c r="AE71" s="3">
        <v>9</v>
      </c>
      <c r="AF71">
        <f>AE71*'fuels and tailpipe emissions'!$B$3</f>
        <v>6.75</v>
      </c>
      <c r="AG71" s="2">
        <f>AF71*'fuels and tailpipe emissions'!$C$3</f>
        <v>79.875</v>
      </c>
      <c r="AH71" s="3">
        <f t="shared" si="66"/>
        <v>1.0125</v>
      </c>
      <c r="AI71">
        <v>0</v>
      </c>
      <c r="AJ71">
        <v>0</v>
      </c>
      <c r="AK71">
        <f t="shared" si="67"/>
        <v>1.2</v>
      </c>
      <c r="AL71">
        <f t="shared" si="65"/>
        <v>1.139849625E-4</v>
      </c>
      <c r="AM71">
        <v>1.2899999999999999E-3</v>
      </c>
      <c r="AN71" s="2">
        <f t="shared" si="9"/>
        <v>73.5</v>
      </c>
      <c r="AO71" s="2">
        <f t="shared" si="10"/>
        <v>52</v>
      </c>
      <c r="AP71" s="2" t="str">
        <f t="shared" si="11"/>
        <v/>
      </c>
      <c r="AQ71" s="6">
        <v>1.0581604158713176</v>
      </c>
      <c r="AR71" s="20">
        <v>1.2E-2</v>
      </c>
      <c r="AS71" s="6" t="str">
        <f>IF($H71="BEV",SUMPRODUCT(#REF!,#REF!),"")</f>
        <v/>
      </c>
      <c r="AT71" s="2">
        <f t="shared" si="78"/>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 t="shared" si="79"/>
        <v>5.8650969734680398E-6</v>
      </c>
      <c r="CW71" s="7">
        <f t="shared" si="80"/>
        <v>4.1951287868901756E-6</v>
      </c>
    </row>
    <row r="72" spans="1:101" x14ac:dyDescent="0.2">
      <c r="A72" t="str">
        <f t="shared" si="1"/>
        <v>Scooter, gasoline, 4-11kW, EURO-4 - 2016 - CH</v>
      </c>
      <c r="B72" t="s">
        <v>338</v>
      </c>
      <c r="D72" s="18">
        <v>2016</v>
      </c>
      <c r="E72" t="s">
        <v>37</v>
      </c>
      <c r="F72" t="s">
        <v>138</v>
      </c>
      <c r="G72" t="s">
        <v>39</v>
      </c>
      <c r="H72" t="s">
        <v>35</v>
      </c>
      <c r="J72">
        <v>30000</v>
      </c>
      <c r="K72">
        <v>1870</v>
      </c>
      <c r="L72" s="2">
        <f t="shared" si="2"/>
        <v>16.042780748663102</v>
      </c>
      <c r="M72">
        <v>1</v>
      </c>
      <c r="N72">
        <v>75</v>
      </c>
      <c r="O72">
        <v>4</v>
      </c>
      <c r="P72" s="2">
        <f t="shared" si="64"/>
        <v>131.16249999999999</v>
      </c>
      <c r="Q72" s="2">
        <f t="shared" si="3"/>
        <v>210.16249999999999</v>
      </c>
      <c r="R72">
        <v>8.8000000000000007</v>
      </c>
      <c r="S72" s="2">
        <v>70</v>
      </c>
      <c r="T72" s="1">
        <v>-0.02</v>
      </c>
      <c r="U72" s="2">
        <f t="shared" si="4"/>
        <v>71.400000000000006</v>
      </c>
      <c r="V72">
        <v>52</v>
      </c>
      <c r="W72">
        <v>0</v>
      </c>
      <c r="X72" s="3">
        <v>0</v>
      </c>
      <c r="Y72" s="1">
        <v>0.8</v>
      </c>
      <c r="Z72" s="3">
        <f t="shared" si="5"/>
        <v>0</v>
      </c>
      <c r="AA72" s="3" t="str">
        <f>IF(I72&lt;&gt;"",X72/INDEX('energy battery'!$B$3:$D$6,MATCH('vehicles specifications'!$D72,'energy battery'!$A$3:$A$6,0),MATCH('vehicles specifications'!$I72,'energy battery'!$B$2:$D$2,0)),"")</f>
        <v/>
      </c>
      <c r="AB72" s="3" t="str">
        <f t="shared" si="6"/>
        <v/>
      </c>
      <c r="AC72" s="3" t="str">
        <f t="shared" si="7"/>
        <v/>
      </c>
      <c r="AD72" s="3">
        <v>0</v>
      </c>
      <c r="AE72" s="3">
        <v>9</v>
      </c>
      <c r="AF72">
        <f>AE72*'fuels and tailpipe emissions'!$B$3</f>
        <v>6.75</v>
      </c>
      <c r="AG72" s="2">
        <f>AF72*'fuels and tailpipe emissions'!$C$3</f>
        <v>79.875</v>
      </c>
      <c r="AH72" s="3">
        <f t="shared" si="66"/>
        <v>1.0125</v>
      </c>
      <c r="AI72">
        <v>0</v>
      </c>
      <c r="AJ72">
        <v>0</v>
      </c>
      <c r="AK72">
        <f t="shared" si="67"/>
        <v>1.2</v>
      </c>
      <c r="AL72">
        <f t="shared" si="65"/>
        <v>1.128572625E-4</v>
      </c>
      <c r="AM72">
        <v>1.2899999999999999E-3</v>
      </c>
      <c r="AN72" s="2">
        <f t="shared" si="9"/>
        <v>71.400000000000006</v>
      </c>
      <c r="AO72" s="2">
        <f t="shared" si="10"/>
        <v>52</v>
      </c>
      <c r="AP72" s="2" t="str">
        <f t="shared" si="11"/>
        <v/>
      </c>
      <c r="AQ72" s="6">
        <v>1.0476835800706115</v>
      </c>
      <c r="AR72" s="20">
        <v>1.2E-2</v>
      </c>
      <c r="AS72" s="6" t="str">
        <f>IF($H72="BEV",SUMPRODUCT(#REF!,#REF!),"")</f>
        <v/>
      </c>
      <c r="AT72" s="2">
        <f t="shared" si="78"/>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 t="shared" si="79"/>
        <v>5.8342899858966527E-6</v>
      </c>
      <c r="CW72" s="7">
        <f t="shared" si="80"/>
        <v>4.1686167334246386E-6</v>
      </c>
    </row>
    <row r="73" spans="1:101" x14ac:dyDescent="0.2">
      <c r="A73" t="str">
        <f t="shared" si="1"/>
        <v>Scooter, gasoline, 4-11kW, EURO-5 - 2020 - CH</v>
      </c>
      <c r="B73" t="s">
        <v>339</v>
      </c>
      <c r="D73" s="18">
        <v>2020</v>
      </c>
      <c r="E73" t="s">
        <v>37</v>
      </c>
      <c r="F73" t="s">
        <v>139</v>
      </c>
      <c r="G73" t="s">
        <v>39</v>
      </c>
      <c r="H73" t="s">
        <v>35</v>
      </c>
      <c r="J73">
        <v>30000</v>
      </c>
      <c r="K73">
        <v>1870</v>
      </c>
      <c r="L73" s="2">
        <f t="shared" si="2"/>
        <v>16.042780748663102</v>
      </c>
      <c r="M73">
        <v>1</v>
      </c>
      <c r="N73">
        <v>75</v>
      </c>
      <c r="O73">
        <v>4</v>
      </c>
      <c r="P73" s="2">
        <f t="shared" si="64"/>
        <v>129.76249999999999</v>
      </c>
      <c r="Q73" s="2">
        <f t="shared" si="3"/>
        <v>208.76249999999999</v>
      </c>
      <c r="R73">
        <v>8.8000000000000007</v>
      </c>
      <c r="S73" s="2">
        <v>70</v>
      </c>
      <c r="T73" s="1">
        <v>0</v>
      </c>
      <c r="U73" s="2">
        <f t="shared" si="4"/>
        <v>70</v>
      </c>
      <c r="V73">
        <v>52</v>
      </c>
      <c r="W73">
        <v>0</v>
      </c>
      <c r="X73" s="3">
        <v>0</v>
      </c>
      <c r="Y73" s="1">
        <v>0.8</v>
      </c>
      <c r="Z73" s="3">
        <f t="shared" si="5"/>
        <v>0</v>
      </c>
      <c r="AA73" s="3" t="str">
        <f>IF(I73&lt;&gt;"",X73/INDEX('energy battery'!$B$3:$D$6,MATCH('vehicles specifications'!$D73,'energy battery'!$A$3:$A$6,0),MATCH('vehicles specifications'!$I73,'energy battery'!$B$2:$D$2,0)),"")</f>
        <v/>
      </c>
      <c r="AB73" s="3" t="str">
        <f t="shared" si="6"/>
        <v/>
      </c>
      <c r="AC73" s="3" t="str">
        <f t="shared" si="7"/>
        <v/>
      </c>
      <c r="AD73" s="3">
        <v>0</v>
      </c>
      <c r="AE73" s="3">
        <v>9</v>
      </c>
      <c r="AF73">
        <f>AE73*'fuels and tailpipe emissions'!$B$3</f>
        <v>6.75</v>
      </c>
      <c r="AG73" s="2">
        <f>AF73*'fuels and tailpipe emissions'!$C$3</f>
        <v>79.875</v>
      </c>
      <c r="AH73" s="3">
        <f t="shared" si="66"/>
        <v>1.0125</v>
      </c>
      <c r="AI73">
        <v>0</v>
      </c>
      <c r="AJ73">
        <v>0</v>
      </c>
      <c r="AK73">
        <f t="shared" si="67"/>
        <v>1.2</v>
      </c>
      <c r="AL73">
        <f t="shared" si="65"/>
        <v>1.1210546249999999E-4</v>
      </c>
      <c r="AM73">
        <v>1.2899999999999999E-3</v>
      </c>
      <c r="AN73" s="2">
        <f t="shared" si="9"/>
        <v>70</v>
      </c>
      <c r="AO73" s="2">
        <f t="shared" si="10"/>
        <v>52</v>
      </c>
      <c r="AP73" s="2" t="str">
        <f t="shared" si="11"/>
        <v/>
      </c>
      <c r="AQ73" s="6">
        <v>1.0372067442699053</v>
      </c>
      <c r="AR73" s="20">
        <v>1.2E-2</v>
      </c>
      <c r="AS73" s="6" t="str">
        <f>IF($H73="BEV",SUMPRODUCT(#REF!,#REF!),"")</f>
        <v/>
      </c>
      <c r="AT73" s="2">
        <f t="shared" si="78"/>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 t="shared" si="79"/>
        <v>5.8136272579670234E-6</v>
      </c>
      <c r="CW73" s="7">
        <f t="shared" si="80"/>
        <v>4.1508659623612624E-6</v>
      </c>
    </row>
    <row r="74" spans="1:101" x14ac:dyDescent="0.2">
      <c r="A74" t="str">
        <f t="shared" si="1"/>
        <v>Scooter, gasoline, 4-11kW, EURO-5 - 2030 - CH</v>
      </c>
      <c r="B74" t="s">
        <v>339</v>
      </c>
      <c r="D74" s="18">
        <v>2030</v>
      </c>
      <c r="E74" t="s">
        <v>37</v>
      </c>
      <c r="F74" t="s">
        <v>139</v>
      </c>
      <c r="G74" t="s">
        <v>39</v>
      </c>
      <c r="H74" t="s">
        <v>35</v>
      </c>
      <c r="J74">
        <v>30000</v>
      </c>
      <c r="K74">
        <v>1870</v>
      </c>
      <c r="L74" s="2">
        <f t="shared" si="2"/>
        <v>16.042780748663102</v>
      </c>
      <c r="M74">
        <v>1</v>
      </c>
      <c r="N74">
        <v>75</v>
      </c>
      <c r="O74">
        <v>4</v>
      </c>
      <c r="P74" s="2">
        <f t="shared" si="64"/>
        <v>126.66249999999999</v>
      </c>
      <c r="Q74" s="2">
        <f t="shared" si="3"/>
        <v>205.66249999999999</v>
      </c>
      <c r="R74">
        <v>8.8000000000000007</v>
      </c>
      <c r="S74" s="2">
        <v>70</v>
      </c>
      <c r="T74" s="1">
        <v>0.03</v>
      </c>
      <c r="U74" s="2">
        <f t="shared" si="4"/>
        <v>67.899999999999991</v>
      </c>
      <c r="V74">
        <v>51</v>
      </c>
      <c r="W74">
        <v>0</v>
      </c>
      <c r="X74" s="3">
        <v>0</v>
      </c>
      <c r="Y74" s="1">
        <v>0.8</v>
      </c>
      <c r="Z74" s="3">
        <f t="shared" si="5"/>
        <v>0</v>
      </c>
      <c r="AA74" s="3" t="str">
        <f>IF(I74&lt;&gt;"",X74/INDEX('energy battery'!$B$3:$D$6,MATCH('vehicles specifications'!$D74,'energy battery'!$A$3:$A$6,0),MATCH('vehicles specifications'!$I74,'energy battery'!$B$2:$D$2,0)),"")</f>
        <v/>
      </c>
      <c r="AB74" s="3" t="str">
        <f t="shared" si="6"/>
        <v/>
      </c>
      <c r="AC74" s="3" t="str">
        <f t="shared" si="7"/>
        <v/>
      </c>
      <c r="AD74" s="3">
        <v>0</v>
      </c>
      <c r="AE74" s="3">
        <v>9</v>
      </c>
      <c r="AF74">
        <f>AE74*'fuels and tailpipe emissions'!$B$3</f>
        <v>6.75</v>
      </c>
      <c r="AG74" s="2">
        <f>AF74*'fuels and tailpipe emissions'!$C$3</f>
        <v>79.875</v>
      </c>
      <c r="AH74" s="3">
        <f t="shared" si="66"/>
        <v>1.0125</v>
      </c>
      <c r="AI74">
        <v>0</v>
      </c>
      <c r="AJ74">
        <v>0</v>
      </c>
      <c r="AK74">
        <f t="shared" si="67"/>
        <v>1.2</v>
      </c>
      <c r="AL74">
        <f t="shared" si="65"/>
        <v>1.104407625E-4</v>
      </c>
      <c r="AM74">
        <v>1.2899999999999999E-3</v>
      </c>
      <c r="AN74" s="2">
        <f t="shared" si="9"/>
        <v>67.899999999999991</v>
      </c>
      <c r="AO74" s="2">
        <f t="shared" si="10"/>
        <v>51</v>
      </c>
      <c r="AP74" s="2" t="str">
        <f t="shared" si="11"/>
        <v/>
      </c>
      <c r="AQ74" s="6">
        <v>1.0268346768272063</v>
      </c>
      <c r="AR74" s="20">
        <v>1.2E-2</v>
      </c>
      <c r="AS74" s="6" t="str">
        <f>IF($H74="BEV",SUMPRODUCT(#REF!,#REF!),"")</f>
        <v/>
      </c>
      <c r="AT74" s="2">
        <f t="shared" si="78"/>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 t="shared" si="79"/>
        <v>5.7675108981721313E-6</v>
      </c>
      <c r="CW74" s="7">
        <f t="shared" si="80"/>
        <v>4.1113399294331483E-6</v>
      </c>
    </row>
    <row r="75" spans="1:101" x14ac:dyDescent="0.2">
      <c r="A75" t="str">
        <f t="shared" si="1"/>
        <v>Scooter, gasoline, 4-11kW, EURO-5 - 2040 - CH</v>
      </c>
      <c r="B75" t="s">
        <v>339</v>
      </c>
      <c r="D75" s="18">
        <v>2040</v>
      </c>
      <c r="E75" t="s">
        <v>37</v>
      </c>
      <c r="F75" t="s">
        <v>139</v>
      </c>
      <c r="G75" t="s">
        <v>39</v>
      </c>
      <c r="H75" t="s">
        <v>35</v>
      </c>
      <c r="J75">
        <v>30000</v>
      </c>
      <c r="K75">
        <v>1870</v>
      </c>
      <c r="L75" s="2">
        <f t="shared" si="2"/>
        <v>16.042780748663102</v>
      </c>
      <c r="M75">
        <v>1</v>
      </c>
      <c r="N75">
        <v>75</v>
      </c>
      <c r="O75">
        <v>4</v>
      </c>
      <c r="P75" s="2">
        <f t="shared" si="64"/>
        <v>124.2625</v>
      </c>
      <c r="Q75" s="2">
        <f t="shared" si="3"/>
        <v>203.26249999999999</v>
      </c>
      <c r="R75">
        <v>8.8000000000000007</v>
      </c>
      <c r="S75" s="2">
        <v>70</v>
      </c>
      <c r="T75" s="1">
        <v>0.05</v>
      </c>
      <c r="U75" s="2">
        <f t="shared" si="4"/>
        <v>66.5</v>
      </c>
      <c r="V75">
        <v>50</v>
      </c>
      <c r="W75">
        <v>0</v>
      </c>
      <c r="X75" s="3">
        <v>0</v>
      </c>
      <c r="Y75" s="1">
        <v>0.8</v>
      </c>
      <c r="Z75" s="3">
        <f t="shared" si="5"/>
        <v>0</v>
      </c>
      <c r="AA75" s="3" t="str">
        <f>IF(I75&lt;&gt;"",X75/INDEX('energy battery'!$B$3:$D$6,MATCH('vehicles specifications'!$D75,'energy battery'!$A$3:$A$6,0),MATCH('vehicles specifications'!$I75,'energy battery'!$B$2:$D$2,0)),"")</f>
        <v/>
      </c>
      <c r="AB75" s="3" t="str">
        <f t="shared" si="6"/>
        <v/>
      </c>
      <c r="AC75" s="3" t="str">
        <f t="shared" si="7"/>
        <v/>
      </c>
      <c r="AD75" s="3">
        <v>0</v>
      </c>
      <c r="AE75" s="3">
        <v>9</v>
      </c>
      <c r="AF75">
        <f>AE75*'fuels and tailpipe emissions'!$B$3</f>
        <v>6.75</v>
      </c>
      <c r="AG75" s="2">
        <f>AF75*'fuels and tailpipe emissions'!$C$3</f>
        <v>79.875</v>
      </c>
      <c r="AH75" s="3">
        <f t="shared" si="66"/>
        <v>1.0125</v>
      </c>
      <c r="AI75">
        <v>0</v>
      </c>
      <c r="AJ75">
        <v>0</v>
      </c>
      <c r="AK75">
        <f t="shared" si="67"/>
        <v>1.2</v>
      </c>
      <c r="AL75">
        <f t="shared" si="65"/>
        <v>1.0915196249999999E-4</v>
      </c>
      <c r="AM75">
        <v>1.2899999999999999E-3</v>
      </c>
      <c r="AN75" s="2">
        <f t="shared" si="9"/>
        <v>66.5</v>
      </c>
      <c r="AO75" s="2">
        <f t="shared" si="10"/>
        <v>50</v>
      </c>
      <c r="AP75" s="2" t="str">
        <f t="shared" si="11"/>
        <v/>
      </c>
      <c r="AQ75" s="6">
        <v>1.0165663300589343</v>
      </c>
      <c r="AR75" s="20">
        <v>1.2E-2</v>
      </c>
      <c r="AS75" s="6" t="str">
        <f>IF($H75="BEV",SUMPRODUCT(#REF!,#REF!),"")</f>
        <v/>
      </c>
      <c r="AT75" s="2">
        <f t="shared" si="78"/>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 t="shared" si="79"/>
        <v>5.7314559618265601E-6</v>
      </c>
      <c r="CW75" s="7">
        <f t="shared" si="80"/>
        <v>4.0805259485091488E-6</v>
      </c>
    </row>
    <row r="76" spans="1:101" x14ac:dyDescent="0.2">
      <c r="A76" t="str">
        <f t="shared" si="1"/>
        <v>Scooter, gasoline, 4-11kW, EURO-5 - 2050 - CH</v>
      </c>
      <c r="B76" t="s">
        <v>339</v>
      </c>
      <c r="D76" s="18">
        <v>2050</v>
      </c>
      <c r="E76" t="s">
        <v>37</v>
      </c>
      <c r="F76" t="s">
        <v>139</v>
      </c>
      <c r="G76" t="s">
        <v>39</v>
      </c>
      <c r="H76" t="s">
        <v>35</v>
      </c>
      <c r="J76">
        <v>30000</v>
      </c>
      <c r="K76">
        <v>1870</v>
      </c>
      <c r="L76" s="2">
        <f t="shared" si="2"/>
        <v>16.042780748663102</v>
      </c>
      <c r="M76">
        <v>1</v>
      </c>
      <c r="N76">
        <v>75</v>
      </c>
      <c r="O76">
        <v>4</v>
      </c>
      <c r="P76" s="2">
        <f t="shared" si="64"/>
        <v>122.8625</v>
      </c>
      <c r="Q76" s="2">
        <f t="shared" si="3"/>
        <v>201.86250000000001</v>
      </c>
      <c r="R76">
        <v>8.8000000000000007</v>
      </c>
      <c r="S76" s="2">
        <v>70</v>
      </c>
      <c r="T76" s="1">
        <v>7.0000000000000007E-2</v>
      </c>
      <c r="U76" s="2">
        <f t="shared" si="4"/>
        <v>65.099999999999994</v>
      </c>
      <c r="V76">
        <v>50</v>
      </c>
      <c r="W76">
        <v>0</v>
      </c>
      <c r="X76" s="3">
        <v>0</v>
      </c>
      <c r="Y76" s="1">
        <v>0.8</v>
      </c>
      <c r="Z76" s="3">
        <f t="shared" si="5"/>
        <v>0</v>
      </c>
      <c r="AA76" s="3" t="str">
        <f>IF(I76&lt;&gt;"",X76/INDEX('energy battery'!$B$3:$D$6,MATCH('vehicles specifications'!$D76,'energy battery'!$A$3:$A$6,0),MATCH('vehicles specifications'!$I76,'energy battery'!$B$2:$D$2,0)),"")</f>
        <v/>
      </c>
      <c r="AB76" s="3" t="str">
        <f t="shared" si="6"/>
        <v/>
      </c>
      <c r="AC76" s="3" t="str">
        <f t="shared" si="7"/>
        <v/>
      </c>
      <c r="AD76" s="3">
        <v>0</v>
      </c>
      <c r="AE76" s="3">
        <v>9</v>
      </c>
      <c r="AF76">
        <f>AE76*'fuels and tailpipe emissions'!$B$3</f>
        <v>6.75</v>
      </c>
      <c r="AG76" s="2">
        <f>AF76*'fuels and tailpipe emissions'!$C$3</f>
        <v>79.875</v>
      </c>
      <c r="AH76" s="3">
        <f t="shared" si="66"/>
        <v>1.0125</v>
      </c>
      <c r="AI76">
        <v>0</v>
      </c>
      <c r="AJ76">
        <v>0</v>
      </c>
      <c r="AK76">
        <f t="shared" si="67"/>
        <v>1.2</v>
      </c>
      <c r="AL76">
        <f t="shared" si="65"/>
        <v>1.0840016250000001E-4</v>
      </c>
      <c r="AM76">
        <v>1.2899999999999999E-3</v>
      </c>
      <c r="AN76" s="2">
        <f t="shared" si="9"/>
        <v>65.099999999999994</v>
      </c>
      <c r="AO76" s="2">
        <f t="shared" si="10"/>
        <v>50</v>
      </c>
      <c r="AP76" s="2" t="str">
        <f t="shared" si="11"/>
        <v/>
      </c>
      <c r="AQ76" s="6">
        <v>1.0064006667583449</v>
      </c>
      <c r="AR76" s="20">
        <v>1.2E-2</v>
      </c>
      <c r="AS76" s="6" t="str">
        <f>IF($H76="BEV",SUMPRODUCT(#REF!,#REF!),"")</f>
        <v/>
      </c>
      <c r="AT76" s="2">
        <f t="shared" si="78"/>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 t="shared" si="79"/>
        <v>5.71027859890946E-6</v>
      </c>
      <c r="CW76" s="7">
        <f t="shared" si="80"/>
        <v>4.0624634181583474E-6</v>
      </c>
    </row>
    <row r="77" spans="1:101" x14ac:dyDescent="0.2">
      <c r="A77" t="str">
        <f t="shared" si="1"/>
        <v>Scooter, battery electric, &lt;4kW - 2020 - NMC - CH</v>
      </c>
      <c r="B77" t="s">
        <v>653</v>
      </c>
      <c r="D77" s="18">
        <v>2020</v>
      </c>
      <c r="E77" t="s">
        <v>37</v>
      </c>
      <c r="F77" t="s">
        <v>136</v>
      </c>
      <c r="G77" t="s">
        <v>39</v>
      </c>
      <c r="H77" t="s">
        <v>32</v>
      </c>
      <c r="I77" t="s">
        <v>42</v>
      </c>
      <c r="J77">
        <v>25000</v>
      </c>
      <c r="K77">
        <v>1570</v>
      </c>
      <c r="L77" s="2">
        <f>J77/K77</f>
        <v>15.923566878980891</v>
      </c>
      <c r="M77">
        <v>1</v>
      </c>
      <c r="N77">
        <v>75</v>
      </c>
      <c r="O77">
        <v>4</v>
      </c>
      <c r="P77" s="2">
        <f>SUM(U77,V77,W77,AC77,AF77,AH77)</f>
        <v>100.95</v>
      </c>
      <c r="Q77" s="2">
        <f>P77+(M77*N77)+O77</f>
        <v>179.95</v>
      </c>
      <c r="R77">
        <v>2.6</v>
      </c>
      <c r="S77" s="2">
        <v>73</v>
      </c>
      <c r="T77" s="1">
        <v>0</v>
      </c>
      <c r="U77" s="2">
        <f>S77*(1-T77)</f>
        <v>73</v>
      </c>
      <c r="V77">
        <v>5</v>
      </c>
      <c r="W77">
        <v>8</v>
      </c>
      <c r="X77" s="3">
        <v>2.2999999999999998</v>
      </c>
      <c r="Y77" s="1">
        <v>0.8</v>
      </c>
      <c r="Z77" s="3">
        <f>Y77*X77</f>
        <v>1.8399999999999999</v>
      </c>
      <c r="AA77" s="3">
        <f>IF(I77&lt;&gt;"",X77/INDEX('energy battery'!$B$3:$D$6,MATCH('vehicles specifications'!$D77,'energy battery'!$A$3:$A$6,0),MATCH('vehicles specifications'!$I77,'energy battery'!$B$2:$D$2,0)),"")</f>
        <v>11.499999999999998</v>
      </c>
      <c r="AB77" s="3">
        <f t="shared" si="6"/>
        <v>3.4499999999999993</v>
      </c>
      <c r="AC77" s="3">
        <f t="shared" si="7"/>
        <v>14.949999999999998</v>
      </c>
      <c r="AD77" s="3">
        <v>1</v>
      </c>
      <c r="AE77" s="3">
        <v>0</v>
      </c>
      <c r="AF77">
        <f>AE77*'fuels and tailpipe emissions'!$B$3</f>
        <v>0</v>
      </c>
      <c r="AG77">
        <v>0</v>
      </c>
      <c r="AH77" s="3">
        <v>0</v>
      </c>
      <c r="AI77" s="3">
        <v>3</v>
      </c>
      <c r="AJ77" s="3">
        <v>1</v>
      </c>
      <c r="AK77">
        <f t="shared" si="67"/>
        <v>1</v>
      </c>
      <c r="AL77">
        <f>0.000537/1000*Q77</f>
        <v>9.6633149999999991E-5</v>
      </c>
      <c r="AM77">
        <v>1.2899999999999999E-3</v>
      </c>
      <c r="AN77" s="2">
        <f>U77</f>
        <v>73</v>
      </c>
      <c r="AO77" s="2">
        <f>SUM(V77:W77)</f>
        <v>13</v>
      </c>
      <c r="AP77" s="2">
        <f>AC77</f>
        <v>14.949999999999998</v>
      </c>
      <c r="AQ77" s="6" t="s">
        <v>84</v>
      </c>
      <c r="AR77" s="20"/>
      <c r="AS77" s="5">
        <v>0.13343610710814707</v>
      </c>
      <c r="AT77" s="2">
        <f t="shared" si="78"/>
        <v>49.641735985533444</v>
      </c>
      <c r="AU77" s="5">
        <v>0</v>
      </c>
      <c r="AV77" s="5">
        <v>0</v>
      </c>
      <c r="AW77" s="7">
        <v>0</v>
      </c>
      <c r="AX77" s="7">
        <v>0</v>
      </c>
      <c r="AY77" s="7">
        <v>0</v>
      </c>
      <c r="AZ77" s="7">
        <v>0</v>
      </c>
      <c r="BA77" s="7">
        <v>0</v>
      </c>
      <c r="BB77" s="7">
        <v>0</v>
      </c>
      <c r="BC77" s="7">
        <v>0</v>
      </c>
      <c r="BD77" s="7">
        <v>0</v>
      </c>
      <c r="BE77" s="7">
        <v>0</v>
      </c>
      <c r="BF77" s="7">
        <v>0</v>
      </c>
      <c r="BG77" s="7">
        <v>0</v>
      </c>
      <c r="BH77" s="7">
        <v>0</v>
      </c>
      <c r="BI77" s="7">
        <v>0</v>
      </c>
      <c r="BJ77" s="7">
        <v>0</v>
      </c>
      <c r="BK77" s="7">
        <v>0</v>
      </c>
      <c r="BL77" s="7">
        <v>0</v>
      </c>
      <c r="BM77" s="7">
        <v>0</v>
      </c>
      <c r="BN77" s="7">
        <v>0</v>
      </c>
      <c r="BO77" s="7">
        <v>0</v>
      </c>
      <c r="BP77" s="7">
        <v>0</v>
      </c>
      <c r="BQ77" s="7">
        <v>0</v>
      </c>
      <c r="BR77" s="7">
        <v>0</v>
      </c>
      <c r="BS77" s="7">
        <v>0</v>
      </c>
      <c r="BT77" s="7">
        <v>0</v>
      </c>
      <c r="BU77" s="7">
        <v>0</v>
      </c>
      <c r="BV77" s="7">
        <v>0</v>
      </c>
      <c r="BW77" s="7">
        <v>0</v>
      </c>
      <c r="BX77" s="7">
        <v>0</v>
      </c>
      <c r="BY77" s="7">
        <v>0</v>
      </c>
      <c r="BZ77" s="7">
        <v>0</v>
      </c>
      <c r="CA77" s="7">
        <v>0</v>
      </c>
      <c r="CB77" s="7">
        <v>0</v>
      </c>
      <c r="CC77" s="7">
        <v>0</v>
      </c>
      <c r="CD77" s="7">
        <v>0</v>
      </c>
      <c r="CE77" s="7">
        <v>0</v>
      </c>
      <c r="CF77" s="7">
        <v>0</v>
      </c>
      <c r="CG77" s="7">
        <v>0</v>
      </c>
      <c r="CH77" s="7">
        <v>0</v>
      </c>
      <c r="CI77" s="7">
        <v>0</v>
      </c>
      <c r="CJ77" s="7">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 t="shared" si="79"/>
        <v>5.363432834513244E-6</v>
      </c>
      <c r="CW77" s="7">
        <f t="shared" si="80"/>
        <v>3.7706056904982231E-6</v>
      </c>
    </row>
    <row r="78" spans="1:101" x14ac:dyDescent="0.2">
      <c r="A78" t="str">
        <f t="shared" si="1"/>
        <v>Scooter, battery electric, &lt;4kW - 2030 - NMC - CH</v>
      </c>
      <c r="B78" t="s">
        <v>653</v>
      </c>
      <c r="D78" s="18">
        <v>2030</v>
      </c>
      <c r="E78" t="s">
        <v>37</v>
      </c>
      <c r="F78" t="s">
        <v>136</v>
      </c>
      <c r="G78" t="s">
        <v>39</v>
      </c>
      <c r="H78" t="s">
        <v>32</v>
      </c>
      <c r="I78" t="s">
        <v>42</v>
      </c>
      <c r="J78">
        <v>25000</v>
      </c>
      <c r="K78">
        <v>1570</v>
      </c>
      <c r="L78" s="2">
        <f>J78/K78</f>
        <v>15.923566878980891</v>
      </c>
      <c r="M78">
        <v>1</v>
      </c>
      <c r="N78">
        <v>75</v>
      </c>
      <c r="O78">
        <v>4</v>
      </c>
      <c r="P78" s="2">
        <f>SUM(U78,V78,W78,AC78,AF78,AH78)</f>
        <v>101.14333333333335</v>
      </c>
      <c r="Q78" s="2">
        <f>P78+(M78*N78)+O78</f>
        <v>180.14333333333335</v>
      </c>
      <c r="R78">
        <v>2.6</v>
      </c>
      <c r="S78" s="2">
        <v>73</v>
      </c>
      <c r="T78" s="1">
        <v>0.03</v>
      </c>
      <c r="U78" s="2">
        <f>S78*(1-T78)</f>
        <v>70.81</v>
      </c>
      <c r="V78">
        <v>5</v>
      </c>
      <c r="W78">
        <v>8</v>
      </c>
      <c r="X78" s="3">
        <v>4</v>
      </c>
      <c r="Y78" s="1">
        <v>0.8</v>
      </c>
      <c r="Z78" s="3">
        <f>Y78*X78</f>
        <v>3.2</v>
      </c>
      <c r="AA78" s="3">
        <f>IF(I78&lt;&gt;"",X78/INDEX('energy battery'!$B$3:$D$6,MATCH('vehicles specifications'!$D78,'energy battery'!$A$3:$A$6,0),MATCH('vehicles specifications'!$I78,'energy battery'!$B$2:$D$2,0)),"")</f>
        <v>13.333333333333334</v>
      </c>
      <c r="AB78" s="3">
        <f t="shared" si="6"/>
        <v>4</v>
      </c>
      <c r="AC78" s="3">
        <f t="shared" si="7"/>
        <v>17.333333333333336</v>
      </c>
      <c r="AD78" s="3">
        <v>0.5</v>
      </c>
      <c r="AE78" s="3">
        <v>0</v>
      </c>
      <c r="AF78">
        <f>AE78*'fuels and tailpipe emissions'!$B$3</f>
        <v>0</v>
      </c>
      <c r="AG78">
        <v>0</v>
      </c>
      <c r="AH78" s="3">
        <v>0</v>
      </c>
      <c r="AI78" s="3">
        <v>3</v>
      </c>
      <c r="AJ78" s="3">
        <v>1</v>
      </c>
      <c r="AK78">
        <f t="shared" si="67"/>
        <v>1</v>
      </c>
      <c r="AL78">
        <f>0.000537/1000*Q78</f>
        <v>9.6736970000000004E-5</v>
      </c>
      <c r="AM78">
        <v>1.2899999999999999E-3</v>
      </c>
      <c r="AN78" s="2">
        <f>U78</f>
        <v>70.81</v>
      </c>
      <c r="AO78" s="2">
        <f>SUM(V78:W78)</f>
        <v>13</v>
      </c>
      <c r="AP78" s="2">
        <f>AC78</f>
        <v>17.333333333333336</v>
      </c>
      <c r="AQ78" s="6" t="s">
        <v>84</v>
      </c>
      <c r="AR78" s="20"/>
      <c r="AS78" s="5">
        <v>0.13343610710814707</v>
      </c>
      <c r="AT78" s="2">
        <f t="shared" si="78"/>
        <v>86.333453887884261</v>
      </c>
      <c r="AU78" s="5">
        <v>0</v>
      </c>
      <c r="AV78" s="5">
        <v>0</v>
      </c>
      <c r="AW78" s="7">
        <v>0</v>
      </c>
      <c r="AX78" s="7">
        <v>0</v>
      </c>
      <c r="AY78" s="7">
        <v>0</v>
      </c>
      <c r="AZ78" s="7">
        <v>0</v>
      </c>
      <c r="BA78" s="7">
        <v>0</v>
      </c>
      <c r="BB78" s="7">
        <v>0</v>
      </c>
      <c r="BC78" s="7">
        <v>0</v>
      </c>
      <c r="BD78" s="7">
        <v>0</v>
      </c>
      <c r="BE78" s="7">
        <v>0</v>
      </c>
      <c r="BF78" s="7">
        <v>0</v>
      </c>
      <c r="BG78" s="7">
        <v>0</v>
      </c>
      <c r="BH78" s="7">
        <v>0</v>
      </c>
      <c r="BI78" s="7">
        <v>0</v>
      </c>
      <c r="BJ78" s="7">
        <v>0</v>
      </c>
      <c r="BK78" s="7">
        <v>0</v>
      </c>
      <c r="BL78" s="7">
        <v>0</v>
      </c>
      <c r="BM78" s="7">
        <v>0</v>
      </c>
      <c r="BN78" s="7">
        <v>0</v>
      </c>
      <c r="BO78" s="7">
        <v>0</v>
      </c>
      <c r="BP78" s="7">
        <v>0</v>
      </c>
      <c r="BQ78" s="7">
        <v>0</v>
      </c>
      <c r="BR78" s="7">
        <v>0</v>
      </c>
      <c r="BS78" s="7">
        <v>0</v>
      </c>
      <c r="BT78" s="7">
        <v>0</v>
      </c>
      <c r="BU78" s="7">
        <v>0</v>
      </c>
      <c r="BV78" s="7">
        <v>0</v>
      </c>
      <c r="BW78" s="7">
        <v>0</v>
      </c>
      <c r="BX78" s="7">
        <v>0</v>
      </c>
      <c r="BY78" s="7">
        <v>0</v>
      </c>
      <c r="BZ78" s="7">
        <v>0</v>
      </c>
      <c r="CA78" s="7">
        <v>0</v>
      </c>
      <c r="CB78" s="7">
        <v>0</v>
      </c>
      <c r="CC78" s="7">
        <v>0</v>
      </c>
      <c r="CD78" s="7">
        <v>0</v>
      </c>
      <c r="CE78" s="7">
        <v>0</v>
      </c>
      <c r="CF78" s="7">
        <v>0</v>
      </c>
      <c r="CG78" s="7">
        <v>0</v>
      </c>
      <c r="CH78" s="7">
        <v>0</v>
      </c>
      <c r="CI78" s="7">
        <v>0</v>
      </c>
      <c r="CJ78" s="7">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 t="shared" si="79"/>
        <v>5.3666314835027254E-6</v>
      </c>
      <c r="CW78" s="7">
        <f t="shared" si="80"/>
        <v>3.7732619309166969E-6</v>
      </c>
    </row>
    <row r="79" spans="1:101" x14ac:dyDescent="0.2">
      <c r="A79" t="str">
        <f t="shared" si="1"/>
        <v>Scooter, battery electric, &lt;4kW - 2040 - NMC - CH</v>
      </c>
      <c r="B79" t="s">
        <v>653</v>
      </c>
      <c r="D79" s="18">
        <v>2040</v>
      </c>
      <c r="E79" t="s">
        <v>37</v>
      </c>
      <c r="F79" t="s">
        <v>136</v>
      </c>
      <c r="G79" t="s">
        <v>39</v>
      </c>
      <c r="H79" t="s">
        <v>32</v>
      </c>
      <c r="I79" t="s">
        <v>42</v>
      </c>
      <c r="J79">
        <v>25000</v>
      </c>
      <c r="K79">
        <v>1570</v>
      </c>
      <c r="L79" s="2">
        <f>J79/K79</f>
        <v>15.923566878980891</v>
      </c>
      <c r="M79">
        <v>1</v>
      </c>
      <c r="N79">
        <v>75</v>
      </c>
      <c r="O79">
        <v>4</v>
      </c>
      <c r="P79" s="2">
        <f>SUM(U79,V79,W79,AC79,AF79,AH79)</f>
        <v>101.19999999999999</v>
      </c>
      <c r="Q79" s="2">
        <f>P79+(M79*N79)+O79</f>
        <v>180.2</v>
      </c>
      <c r="R79">
        <v>2.6</v>
      </c>
      <c r="S79" s="2">
        <v>73</v>
      </c>
      <c r="T79" s="1">
        <v>0.05</v>
      </c>
      <c r="U79" s="2">
        <f>S79*(1-T79)</f>
        <v>69.349999999999994</v>
      </c>
      <c r="V79">
        <v>5</v>
      </c>
      <c r="W79">
        <v>8</v>
      </c>
      <c r="X79" s="3">
        <v>5.8</v>
      </c>
      <c r="Y79" s="1">
        <v>0.8</v>
      </c>
      <c r="Z79" s="3">
        <f>Y79*X79</f>
        <v>4.6399999999999997</v>
      </c>
      <c r="AA79" s="3">
        <f>IF(I79&lt;&gt;"",X79/INDEX('energy battery'!$B$3:$D$6,MATCH('vehicles specifications'!$D79,'energy battery'!$A$3:$A$6,0),MATCH('vehicles specifications'!$I79,'energy battery'!$B$2:$D$2,0)),"")</f>
        <v>14.499999999999998</v>
      </c>
      <c r="AB79" s="3">
        <f t="shared" si="6"/>
        <v>4.3499999999999996</v>
      </c>
      <c r="AC79" s="3">
        <f t="shared" si="7"/>
        <v>18.849999999999998</v>
      </c>
      <c r="AD79" s="3">
        <v>0.25</v>
      </c>
      <c r="AE79" s="3">
        <v>0</v>
      </c>
      <c r="AF79">
        <f>AE79*'fuels and tailpipe emissions'!$B$3</f>
        <v>0</v>
      </c>
      <c r="AG79">
        <v>0</v>
      </c>
      <c r="AH79" s="3">
        <v>0</v>
      </c>
      <c r="AI79" s="3">
        <v>3</v>
      </c>
      <c r="AJ79" s="3">
        <v>1</v>
      </c>
      <c r="AK79">
        <f t="shared" si="67"/>
        <v>1</v>
      </c>
      <c r="AL79">
        <f>0.000537/1000*Q79</f>
        <v>9.6767399999999991E-5</v>
      </c>
      <c r="AM79">
        <v>1.2899999999999999E-3</v>
      </c>
      <c r="AN79" s="2">
        <f>U79</f>
        <v>69.349999999999994</v>
      </c>
      <c r="AO79" s="2">
        <f>SUM(V79:W79)</f>
        <v>13</v>
      </c>
      <c r="AP79" s="2">
        <f>AC79</f>
        <v>18.849999999999998</v>
      </c>
      <c r="AQ79" s="6" t="s">
        <v>84</v>
      </c>
      <c r="AR79" s="20"/>
      <c r="AS79" s="5">
        <v>0.13343610710814707</v>
      </c>
      <c r="AT79" s="2">
        <f t="shared" si="78"/>
        <v>125.18350813743217</v>
      </c>
      <c r="AU79" s="5">
        <v>0</v>
      </c>
      <c r="AV79" s="5">
        <v>0</v>
      </c>
      <c r="AW79" s="7">
        <v>0</v>
      </c>
      <c r="AX79" s="7">
        <v>0</v>
      </c>
      <c r="AY79" s="7">
        <v>0</v>
      </c>
      <c r="AZ79" s="7">
        <v>0</v>
      </c>
      <c r="BA79" s="7">
        <v>0</v>
      </c>
      <c r="BB79" s="7">
        <v>0</v>
      </c>
      <c r="BC79" s="7">
        <v>0</v>
      </c>
      <c r="BD79" s="7">
        <v>0</v>
      </c>
      <c r="BE79" s="7">
        <v>0</v>
      </c>
      <c r="BF79" s="7">
        <v>0</v>
      </c>
      <c r="BG79" s="7">
        <v>0</v>
      </c>
      <c r="BH79" s="7">
        <v>0</v>
      </c>
      <c r="BI79" s="7">
        <v>0</v>
      </c>
      <c r="BJ79" s="7">
        <v>0</v>
      </c>
      <c r="BK79" s="7">
        <v>0</v>
      </c>
      <c r="BL79" s="7">
        <v>0</v>
      </c>
      <c r="BM79" s="7">
        <v>0</v>
      </c>
      <c r="BN79" s="7">
        <v>0</v>
      </c>
      <c r="BO79" s="7">
        <v>0</v>
      </c>
      <c r="BP79" s="7">
        <v>0</v>
      </c>
      <c r="BQ79" s="7">
        <v>0</v>
      </c>
      <c r="BR79" s="7">
        <v>0</v>
      </c>
      <c r="BS79" s="7">
        <v>0</v>
      </c>
      <c r="BT79" s="7">
        <v>0</v>
      </c>
      <c r="BU79" s="7">
        <v>0</v>
      </c>
      <c r="BV79" s="7">
        <v>0</v>
      </c>
      <c r="BW79" s="7">
        <v>0</v>
      </c>
      <c r="BX79" s="7">
        <v>0</v>
      </c>
      <c r="BY79" s="7">
        <v>0</v>
      </c>
      <c r="BZ79" s="7">
        <v>0</v>
      </c>
      <c r="CA79" s="7">
        <v>0</v>
      </c>
      <c r="CB79" s="7">
        <v>0</v>
      </c>
      <c r="CC79" s="7">
        <v>0</v>
      </c>
      <c r="CD79" s="7">
        <v>0</v>
      </c>
      <c r="CE79" s="7">
        <v>0</v>
      </c>
      <c r="CF79" s="7">
        <v>0</v>
      </c>
      <c r="CG79" s="7">
        <v>0</v>
      </c>
      <c r="CH79" s="7">
        <v>0</v>
      </c>
      <c r="CI79" s="7">
        <v>0</v>
      </c>
      <c r="CJ79" s="7">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 t="shared" si="79"/>
        <v>5.3675685087870323E-6</v>
      </c>
      <c r="CW79" s="7">
        <f t="shared" si="80"/>
        <v>3.7740401891516924E-6</v>
      </c>
    </row>
    <row r="80" spans="1:101" x14ac:dyDescent="0.2">
      <c r="A80" t="str">
        <f t="shared" si="1"/>
        <v>Scooter, battery electric, &lt;4kW - 2050 - NMC - CH</v>
      </c>
      <c r="B80" t="s">
        <v>653</v>
      </c>
      <c r="D80" s="18">
        <v>2050</v>
      </c>
      <c r="E80" t="s">
        <v>37</v>
      </c>
      <c r="F80" t="s">
        <v>136</v>
      </c>
      <c r="G80" t="s">
        <v>39</v>
      </c>
      <c r="H80" t="s">
        <v>32</v>
      </c>
      <c r="I80" t="s">
        <v>42</v>
      </c>
      <c r="J80">
        <v>25000</v>
      </c>
      <c r="K80">
        <v>1570</v>
      </c>
      <c r="L80" s="2">
        <f>J80/K80</f>
        <v>15.923566878980891</v>
      </c>
      <c r="M80">
        <v>1</v>
      </c>
      <c r="N80">
        <v>75</v>
      </c>
      <c r="O80">
        <v>4</v>
      </c>
      <c r="P80" s="2">
        <f>SUM(U80,V80,W80,AC80,AF80,AH80)</f>
        <v>101.69</v>
      </c>
      <c r="Q80" s="2">
        <f>P80+(M80*N80)+O80</f>
        <v>180.69</v>
      </c>
      <c r="R80">
        <v>2.6</v>
      </c>
      <c r="S80" s="2">
        <v>73</v>
      </c>
      <c r="T80" s="1">
        <v>7.0000000000000007E-2</v>
      </c>
      <c r="U80" s="2">
        <f>S80*(1-T80)</f>
        <v>67.89</v>
      </c>
      <c r="V80">
        <v>5</v>
      </c>
      <c r="W80">
        <v>8</v>
      </c>
      <c r="X80" s="3">
        <v>8</v>
      </c>
      <c r="Y80" s="1">
        <v>0.8</v>
      </c>
      <c r="Z80" s="3">
        <f>Y80*X80</f>
        <v>6.4</v>
      </c>
      <c r="AA80" s="3">
        <f>IF(I80&lt;&gt;"",X80/INDEX('energy battery'!$B$3:$D$6,MATCH('vehicles specifications'!$D80,'energy battery'!$A$3:$A$6,0),MATCH('vehicles specifications'!$I80,'energy battery'!$B$2:$D$2,0)),"")</f>
        <v>16</v>
      </c>
      <c r="AB80" s="3">
        <f t="shared" si="6"/>
        <v>4.8</v>
      </c>
      <c r="AC80" s="3">
        <f t="shared" si="7"/>
        <v>20.8</v>
      </c>
      <c r="AD80" s="3">
        <v>0</v>
      </c>
      <c r="AE80" s="3">
        <v>0</v>
      </c>
      <c r="AF80">
        <f>AE80*'fuels and tailpipe emissions'!$B$3</f>
        <v>0</v>
      </c>
      <c r="AG80">
        <v>0</v>
      </c>
      <c r="AH80" s="3">
        <v>0</v>
      </c>
      <c r="AI80" s="3">
        <v>3</v>
      </c>
      <c r="AJ80" s="3">
        <v>1</v>
      </c>
      <c r="AK80">
        <f t="shared" si="67"/>
        <v>1</v>
      </c>
      <c r="AL80">
        <f>0.000537/1000*Q80</f>
        <v>9.7030529999999994E-5</v>
      </c>
      <c r="AM80">
        <v>1.2899999999999999E-3</v>
      </c>
      <c r="AN80" s="2">
        <f>U80</f>
        <v>67.89</v>
      </c>
      <c r="AO80" s="2">
        <f>SUM(V80:W80)</f>
        <v>13</v>
      </c>
      <c r="AP80" s="2">
        <f>AC80</f>
        <v>20.8</v>
      </c>
      <c r="AQ80" s="6" t="s">
        <v>84</v>
      </c>
      <c r="AR80" s="20"/>
      <c r="AS80" s="5">
        <v>0.13343610710814707</v>
      </c>
      <c r="AT80" s="2">
        <f t="shared" si="78"/>
        <v>172.66690777576852</v>
      </c>
      <c r="AU80" s="5">
        <v>0</v>
      </c>
      <c r="AV80" s="5">
        <v>0</v>
      </c>
      <c r="AW80" s="7">
        <v>0</v>
      </c>
      <c r="AX80" s="7">
        <v>0</v>
      </c>
      <c r="AY80" s="7">
        <v>0</v>
      </c>
      <c r="AZ80" s="7">
        <v>0</v>
      </c>
      <c r="BA80" s="7">
        <v>0</v>
      </c>
      <c r="BB80" s="7">
        <v>0</v>
      </c>
      <c r="BC80" s="7">
        <v>0</v>
      </c>
      <c r="BD80" s="7">
        <v>0</v>
      </c>
      <c r="BE80" s="7">
        <v>0</v>
      </c>
      <c r="BF80" s="7">
        <v>0</v>
      </c>
      <c r="BG80" s="7">
        <v>0</v>
      </c>
      <c r="BH80" s="7">
        <v>0</v>
      </c>
      <c r="BI80" s="7">
        <v>0</v>
      </c>
      <c r="BJ80" s="7">
        <v>0</v>
      </c>
      <c r="BK80" s="7">
        <v>0</v>
      </c>
      <c r="BL80" s="7">
        <v>0</v>
      </c>
      <c r="BM80" s="7">
        <v>0</v>
      </c>
      <c r="BN80" s="7">
        <v>0</v>
      </c>
      <c r="BO80" s="7">
        <v>0</v>
      </c>
      <c r="BP80" s="7">
        <v>0</v>
      </c>
      <c r="BQ80" s="7">
        <v>0</v>
      </c>
      <c r="BR80" s="7">
        <v>0</v>
      </c>
      <c r="BS80" s="7">
        <v>0</v>
      </c>
      <c r="BT80" s="7">
        <v>0</v>
      </c>
      <c r="BU80" s="7">
        <v>0</v>
      </c>
      <c r="BV80" s="7">
        <v>0</v>
      </c>
      <c r="BW80" s="7">
        <v>0</v>
      </c>
      <c r="BX80" s="7">
        <v>0</v>
      </c>
      <c r="BY80" s="7">
        <v>0</v>
      </c>
      <c r="BZ80" s="7">
        <v>0</v>
      </c>
      <c r="CA80" s="7">
        <v>0</v>
      </c>
      <c r="CB80" s="7">
        <v>0</v>
      </c>
      <c r="CC80" s="7">
        <v>0</v>
      </c>
      <c r="CD80" s="7">
        <v>0</v>
      </c>
      <c r="CE80" s="7">
        <v>0</v>
      </c>
      <c r="CF80" s="7">
        <v>0</v>
      </c>
      <c r="CG80" s="7">
        <v>0</v>
      </c>
      <c r="CH80" s="7">
        <v>0</v>
      </c>
      <c r="CI80" s="7">
        <v>0</v>
      </c>
      <c r="CJ80" s="7">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 t="shared" si="79"/>
        <v>5.3756614136129848E-6</v>
      </c>
      <c r="CW80" s="7">
        <f t="shared" si="80"/>
        <v>3.7807642711566629E-6</v>
      </c>
    </row>
    <row r="81" spans="1:101" x14ac:dyDescent="0.2">
      <c r="A81" t="str">
        <f t="shared" si="1"/>
        <v>Scooter, battery electric, 4-11kW - 2020 - NMC - CH</v>
      </c>
      <c r="B81" t="s">
        <v>654</v>
      </c>
      <c r="D81" s="18">
        <v>2020</v>
      </c>
      <c r="E81" t="s">
        <v>37</v>
      </c>
      <c r="F81" t="s">
        <v>136</v>
      </c>
      <c r="G81" t="s">
        <v>39</v>
      </c>
      <c r="H81" t="s">
        <v>32</v>
      </c>
      <c r="I81" t="s">
        <v>42</v>
      </c>
      <c r="J81">
        <v>25000</v>
      </c>
      <c r="K81">
        <v>1570</v>
      </c>
      <c r="L81" s="2">
        <f t="shared" si="2"/>
        <v>15.923566878980891</v>
      </c>
      <c r="M81">
        <v>1</v>
      </c>
      <c r="N81">
        <v>75</v>
      </c>
      <c r="O81">
        <v>4</v>
      </c>
      <c r="P81" s="2">
        <f t="shared" si="64"/>
        <v>131.44999999999999</v>
      </c>
      <c r="Q81" s="2">
        <f t="shared" si="3"/>
        <v>210.45</v>
      </c>
      <c r="R81">
        <v>6.1</v>
      </c>
      <c r="S81" s="2">
        <v>84</v>
      </c>
      <c r="T81" s="1">
        <v>0</v>
      </c>
      <c r="U81" s="2">
        <f t="shared" si="4"/>
        <v>84</v>
      </c>
      <c r="V81">
        <v>10</v>
      </c>
      <c r="W81">
        <v>16</v>
      </c>
      <c r="X81" s="3">
        <v>3.3</v>
      </c>
      <c r="Y81" s="1">
        <v>0.8</v>
      </c>
      <c r="Z81" s="3">
        <f t="shared" si="5"/>
        <v>2.64</v>
      </c>
      <c r="AA81" s="3">
        <f>IF(I81&lt;&gt;"",X81/INDEX('energy battery'!$B$3:$D$6,MATCH('vehicles specifications'!$D81,'energy battery'!$A$3:$A$6,0),MATCH('vehicles specifications'!$I81,'energy battery'!$B$2:$D$2,0)),"")</f>
        <v>16.499999999999996</v>
      </c>
      <c r="AB81" s="3">
        <f t="shared" si="6"/>
        <v>4.9499999999999984</v>
      </c>
      <c r="AC81" s="3">
        <f t="shared" si="7"/>
        <v>21.449999999999996</v>
      </c>
      <c r="AD81" s="3">
        <v>1</v>
      </c>
      <c r="AE81" s="3">
        <v>0</v>
      </c>
      <c r="AF81">
        <f>AE81*'fuels and tailpipe emissions'!$B$3</f>
        <v>0</v>
      </c>
      <c r="AG81">
        <v>0</v>
      </c>
      <c r="AH81" s="3">
        <v>0</v>
      </c>
      <c r="AI81" s="3">
        <v>3</v>
      </c>
      <c r="AJ81" s="3">
        <v>1</v>
      </c>
      <c r="AK81">
        <f t="shared" si="67"/>
        <v>1</v>
      </c>
      <c r="AL81">
        <f t="shared" si="65"/>
        <v>1.1301165E-4</v>
      </c>
      <c r="AM81">
        <v>1.2899999999999999E-3</v>
      </c>
      <c r="AN81" s="2">
        <f t="shared" si="9"/>
        <v>84</v>
      </c>
      <c r="AO81" s="2">
        <f t="shared" si="10"/>
        <v>26</v>
      </c>
      <c r="AP81" s="2">
        <f t="shared" si="11"/>
        <v>21.449999999999996</v>
      </c>
      <c r="AQ81" s="6" t="s">
        <v>84</v>
      </c>
      <c r="AR81" s="20"/>
      <c r="AS81" s="5">
        <v>0.18941496155676324</v>
      </c>
      <c r="AT81" s="2">
        <f t="shared" si="78"/>
        <v>50.175550663414057</v>
      </c>
      <c r="AU81" s="5">
        <v>0</v>
      </c>
      <c r="AV81" s="5">
        <v>0</v>
      </c>
      <c r="AW81" s="7">
        <v>0</v>
      </c>
      <c r="AX81" s="7">
        <v>0</v>
      </c>
      <c r="AY81" s="7">
        <v>0</v>
      </c>
      <c r="AZ81" s="7">
        <v>0</v>
      </c>
      <c r="BA81" s="7">
        <v>0</v>
      </c>
      <c r="BB81" s="7">
        <v>0</v>
      </c>
      <c r="BC81" s="7">
        <v>0</v>
      </c>
      <c r="BD81" s="7">
        <v>0</v>
      </c>
      <c r="BE81" s="7">
        <v>0</v>
      </c>
      <c r="BF81" s="7">
        <v>0</v>
      </c>
      <c r="BG81" s="7">
        <v>0</v>
      </c>
      <c r="BH81" s="7">
        <v>0</v>
      </c>
      <c r="BI81" s="7">
        <v>0</v>
      </c>
      <c r="BJ81" s="7">
        <v>0</v>
      </c>
      <c r="BK81" s="7">
        <v>0</v>
      </c>
      <c r="BL81" s="7">
        <v>0</v>
      </c>
      <c r="BM81" s="7">
        <v>0</v>
      </c>
      <c r="BN81" s="7">
        <v>0</v>
      </c>
      <c r="BO81" s="7">
        <v>0</v>
      </c>
      <c r="BP81" s="7">
        <v>0</v>
      </c>
      <c r="BQ81" s="7">
        <v>0</v>
      </c>
      <c r="BR81" s="7">
        <v>0</v>
      </c>
      <c r="BS81" s="7">
        <v>0</v>
      </c>
      <c r="BT81" s="7">
        <v>0</v>
      </c>
      <c r="BU81" s="7">
        <v>0</v>
      </c>
      <c r="BV81" s="7">
        <v>0</v>
      </c>
      <c r="BW81" s="7">
        <v>0</v>
      </c>
      <c r="BX81" s="7">
        <v>0</v>
      </c>
      <c r="BY81" s="7">
        <v>0</v>
      </c>
      <c r="BZ81" s="7">
        <v>0</v>
      </c>
      <c r="CA81" s="7">
        <v>0</v>
      </c>
      <c r="CB81" s="7">
        <v>0</v>
      </c>
      <c r="CC81" s="7">
        <v>0</v>
      </c>
      <c r="CD81" s="7">
        <v>0</v>
      </c>
      <c r="CE81" s="7">
        <v>0</v>
      </c>
      <c r="CF81" s="7">
        <v>0</v>
      </c>
      <c r="CG81" s="7">
        <v>0</v>
      </c>
      <c r="CH81" s="7">
        <v>0</v>
      </c>
      <c r="CI81" s="7">
        <v>0</v>
      </c>
      <c r="CJ81" s="7">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 t="shared" si="79"/>
        <v>5.8385207989719453E-6</v>
      </c>
      <c r="CW81" s="7">
        <f t="shared" si="80"/>
        <v>4.1722544100886321E-6</v>
      </c>
    </row>
    <row r="82" spans="1:101" x14ac:dyDescent="0.2">
      <c r="A82" t="str">
        <f t="shared" si="1"/>
        <v>Scooter, battery electric, 4-11kW - 2030 - NMC - CH</v>
      </c>
      <c r="B82" t="s">
        <v>654</v>
      </c>
      <c r="D82" s="18">
        <v>2030</v>
      </c>
      <c r="E82" t="s">
        <v>37</v>
      </c>
      <c r="F82" t="s">
        <v>136</v>
      </c>
      <c r="G82" t="s">
        <v>39</v>
      </c>
      <c r="H82" t="s">
        <v>32</v>
      </c>
      <c r="I82" t="s">
        <v>42</v>
      </c>
      <c r="J82">
        <v>25000</v>
      </c>
      <c r="K82">
        <v>1570</v>
      </c>
      <c r="L82" s="2">
        <f t="shared" si="2"/>
        <v>15.923566878980891</v>
      </c>
      <c r="M82">
        <v>1</v>
      </c>
      <c r="N82">
        <v>75</v>
      </c>
      <c r="O82">
        <v>4</v>
      </c>
      <c r="P82" s="2">
        <f t="shared" si="64"/>
        <v>132.18</v>
      </c>
      <c r="Q82" s="2">
        <f t="shared" si="3"/>
        <v>211.18</v>
      </c>
      <c r="R82">
        <v>6.1</v>
      </c>
      <c r="S82" s="2">
        <v>84</v>
      </c>
      <c r="T82" s="1">
        <v>0.03</v>
      </c>
      <c r="U82" s="2">
        <f t="shared" si="4"/>
        <v>81.48</v>
      </c>
      <c r="V82">
        <v>10</v>
      </c>
      <c r="W82">
        <v>16</v>
      </c>
      <c r="X82" s="3">
        <v>5.7</v>
      </c>
      <c r="Y82" s="1">
        <v>0.8</v>
      </c>
      <c r="Z82" s="3">
        <f t="shared" si="5"/>
        <v>4.5600000000000005</v>
      </c>
      <c r="AA82" s="3">
        <f>IF(I82&lt;&gt;"",X82/INDEX('energy battery'!$B$3:$D$6,MATCH('vehicles specifications'!$D82,'energy battery'!$A$3:$A$6,0),MATCH('vehicles specifications'!$I82,'energy battery'!$B$2:$D$2,0)),"")</f>
        <v>19</v>
      </c>
      <c r="AB82" s="3">
        <f t="shared" si="6"/>
        <v>5.7</v>
      </c>
      <c r="AC82" s="3">
        <f t="shared" si="7"/>
        <v>24.7</v>
      </c>
      <c r="AD82" s="3">
        <v>0.5</v>
      </c>
      <c r="AE82" s="3">
        <v>0</v>
      </c>
      <c r="AF82">
        <f>AE82*'fuels and tailpipe emissions'!$B$3</f>
        <v>0</v>
      </c>
      <c r="AG82">
        <v>0</v>
      </c>
      <c r="AH82" s="3">
        <v>0</v>
      </c>
      <c r="AI82" s="3">
        <v>3</v>
      </c>
      <c r="AJ82" s="3">
        <v>1</v>
      </c>
      <c r="AK82">
        <f t="shared" si="67"/>
        <v>1</v>
      </c>
      <c r="AL82">
        <f t="shared" si="65"/>
        <v>1.1340366E-4</v>
      </c>
      <c r="AM82">
        <v>1.2899999999999999E-3</v>
      </c>
      <c r="AN82" s="2">
        <f t="shared" si="9"/>
        <v>81.48</v>
      </c>
      <c r="AO82" s="2">
        <f t="shared" si="10"/>
        <v>26</v>
      </c>
      <c r="AP82" s="2">
        <f t="shared" si="11"/>
        <v>24.7</v>
      </c>
      <c r="AQ82" s="6" t="s">
        <v>84</v>
      </c>
      <c r="AR82" s="20"/>
      <c r="AS82" s="5">
        <v>0.18941496155676324</v>
      </c>
      <c r="AT82" s="2">
        <f t="shared" si="78"/>
        <v>86.666860236806102</v>
      </c>
      <c r="AU82" s="5">
        <v>0</v>
      </c>
      <c r="AV82" s="5">
        <v>0</v>
      </c>
      <c r="AW82" s="7">
        <v>0</v>
      </c>
      <c r="AX82" s="7">
        <v>0</v>
      </c>
      <c r="AY82" s="7">
        <v>0</v>
      </c>
      <c r="AZ82" s="7">
        <v>0</v>
      </c>
      <c r="BA82" s="7">
        <v>0</v>
      </c>
      <c r="BB82" s="7">
        <v>0</v>
      </c>
      <c r="BC82" s="7">
        <v>0</v>
      </c>
      <c r="BD82" s="7">
        <v>0</v>
      </c>
      <c r="BE82" s="7">
        <v>0</v>
      </c>
      <c r="BF82" s="7">
        <v>0</v>
      </c>
      <c r="BG82" s="7">
        <v>0</v>
      </c>
      <c r="BH82" s="7">
        <v>0</v>
      </c>
      <c r="BI82" s="7">
        <v>0</v>
      </c>
      <c r="BJ82" s="7">
        <v>0</v>
      </c>
      <c r="BK82" s="7">
        <v>0</v>
      </c>
      <c r="BL82" s="7">
        <v>0</v>
      </c>
      <c r="BM82" s="7">
        <v>0</v>
      </c>
      <c r="BN82" s="7">
        <v>0</v>
      </c>
      <c r="BO82" s="7">
        <v>0</v>
      </c>
      <c r="BP82" s="7">
        <v>0</v>
      </c>
      <c r="BQ82" s="7">
        <v>0</v>
      </c>
      <c r="BR82" s="7">
        <v>0</v>
      </c>
      <c r="BS82" s="7">
        <v>0</v>
      </c>
      <c r="BT82" s="7">
        <v>0</v>
      </c>
      <c r="BU82" s="7">
        <v>0</v>
      </c>
      <c r="BV82" s="7">
        <v>0</v>
      </c>
      <c r="BW82" s="7">
        <v>0</v>
      </c>
      <c r="BX82" s="7">
        <v>0</v>
      </c>
      <c r="BY82" s="7">
        <v>0</v>
      </c>
      <c r="BZ82" s="7">
        <v>0</v>
      </c>
      <c r="CA82" s="7">
        <v>0</v>
      </c>
      <c r="CB82" s="7">
        <v>0</v>
      </c>
      <c r="CC82" s="7">
        <v>0</v>
      </c>
      <c r="CD82" s="7">
        <v>0</v>
      </c>
      <c r="CE82" s="7">
        <v>0</v>
      </c>
      <c r="CF82" s="7">
        <v>0</v>
      </c>
      <c r="CG82" s="7">
        <v>0</v>
      </c>
      <c r="CH82" s="7">
        <v>0</v>
      </c>
      <c r="CI82" s="7">
        <v>0</v>
      </c>
      <c r="CJ82" s="7">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 t="shared" si="79"/>
        <v>5.8492445161006275E-6</v>
      </c>
      <c r="CW82" s="7">
        <f t="shared" si="80"/>
        <v>4.1814794350148126E-6</v>
      </c>
    </row>
    <row r="83" spans="1:101" x14ac:dyDescent="0.2">
      <c r="A83" t="str">
        <f t="shared" si="1"/>
        <v>Scooter, battery electric, 4-11kW - 2040 - NMC - CH</v>
      </c>
      <c r="B83" t="s">
        <v>654</v>
      </c>
      <c r="D83" s="18">
        <v>2040</v>
      </c>
      <c r="E83" t="s">
        <v>37</v>
      </c>
      <c r="F83" t="s">
        <v>136</v>
      </c>
      <c r="G83" t="s">
        <v>39</v>
      </c>
      <c r="H83" t="s">
        <v>32</v>
      </c>
      <c r="I83" t="s">
        <v>42</v>
      </c>
      <c r="J83">
        <v>25000</v>
      </c>
      <c r="K83">
        <v>1570</v>
      </c>
      <c r="L83" s="2">
        <f t="shared" si="2"/>
        <v>15.923566878980891</v>
      </c>
      <c r="M83">
        <v>1</v>
      </c>
      <c r="N83">
        <v>75</v>
      </c>
      <c r="O83">
        <v>4</v>
      </c>
      <c r="P83" s="2">
        <f t="shared" si="64"/>
        <v>132.44999999999999</v>
      </c>
      <c r="Q83" s="2">
        <f t="shared" si="3"/>
        <v>211.45</v>
      </c>
      <c r="R83">
        <v>6.1</v>
      </c>
      <c r="S83" s="2">
        <v>84</v>
      </c>
      <c r="T83" s="1">
        <v>0.05</v>
      </c>
      <c r="U83" s="2">
        <f t="shared" si="4"/>
        <v>79.8</v>
      </c>
      <c r="V83">
        <v>10</v>
      </c>
      <c r="W83">
        <v>16</v>
      </c>
      <c r="X83" s="3">
        <v>8.1999999999999993</v>
      </c>
      <c r="Y83" s="1">
        <v>0.8</v>
      </c>
      <c r="Z83" s="3">
        <f t="shared" si="5"/>
        <v>6.56</v>
      </c>
      <c r="AA83" s="3">
        <f>IF(I83&lt;&gt;"",X83/INDEX('energy battery'!$B$3:$D$6,MATCH('vehicles specifications'!$D83,'energy battery'!$A$3:$A$6,0),MATCH('vehicles specifications'!$I83,'energy battery'!$B$2:$D$2,0)),"")</f>
        <v>20.499999999999996</v>
      </c>
      <c r="AB83" s="3">
        <f t="shared" si="6"/>
        <v>6.1499999999999986</v>
      </c>
      <c r="AC83" s="3">
        <f t="shared" si="7"/>
        <v>26.649999999999995</v>
      </c>
      <c r="AD83" s="3">
        <v>0.25</v>
      </c>
      <c r="AE83" s="3">
        <v>0</v>
      </c>
      <c r="AF83">
        <f>AE83*'fuels and tailpipe emissions'!$B$3</f>
        <v>0</v>
      </c>
      <c r="AG83">
        <v>0</v>
      </c>
      <c r="AH83" s="3">
        <v>0</v>
      </c>
      <c r="AI83" s="3">
        <v>3</v>
      </c>
      <c r="AJ83" s="3">
        <v>1</v>
      </c>
      <c r="AK83">
        <f t="shared" si="67"/>
        <v>1</v>
      </c>
      <c r="AL83">
        <f t="shared" si="65"/>
        <v>1.1354865E-4</v>
      </c>
      <c r="AM83">
        <v>1.2899999999999999E-3</v>
      </c>
      <c r="AN83" s="2">
        <f t="shared" si="9"/>
        <v>79.8</v>
      </c>
      <c r="AO83" s="2">
        <f t="shared" si="10"/>
        <v>26</v>
      </c>
      <c r="AP83" s="2">
        <f t="shared" si="11"/>
        <v>26.649999999999995</v>
      </c>
      <c r="AQ83" s="6" t="s">
        <v>84</v>
      </c>
      <c r="AR83" s="20"/>
      <c r="AS83" s="5">
        <v>0.18941496155676324</v>
      </c>
      <c r="AT83" s="2">
        <f t="shared" si="78"/>
        <v>124.6786410424228</v>
      </c>
      <c r="AU83" s="5">
        <v>0</v>
      </c>
      <c r="AV83" s="5">
        <v>0</v>
      </c>
      <c r="AW83" s="7">
        <v>0</v>
      </c>
      <c r="AX83" s="7">
        <v>0</v>
      </c>
      <c r="AY83" s="7">
        <v>0</v>
      </c>
      <c r="AZ83" s="7">
        <v>0</v>
      </c>
      <c r="BA83" s="7">
        <v>0</v>
      </c>
      <c r="BB83" s="7">
        <v>0</v>
      </c>
      <c r="BC83" s="7">
        <v>0</v>
      </c>
      <c r="BD83" s="7">
        <v>0</v>
      </c>
      <c r="BE83" s="7">
        <v>0</v>
      </c>
      <c r="BF83" s="7">
        <v>0</v>
      </c>
      <c r="BG83" s="7">
        <v>0</v>
      </c>
      <c r="BH83" s="7">
        <v>0</v>
      </c>
      <c r="BI83" s="7">
        <v>0</v>
      </c>
      <c r="BJ83" s="7">
        <v>0</v>
      </c>
      <c r="BK83" s="7">
        <v>0</v>
      </c>
      <c r="BL83" s="7">
        <v>0</v>
      </c>
      <c r="BM83" s="7">
        <v>0</v>
      </c>
      <c r="BN83" s="7">
        <v>0</v>
      </c>
      <c r="BO83" s="7">
        <v>0</v>
      </c>
      <c r="BP83" s="7">
        <v>0</v>
      </c>
      <c r="BQ83" s="7">
        <v>0</v>
      </c>
      <c r="BR83" s="7">
        <v>0</v>
      </c>
      <c r="BS83" s="7">
        <v>0</v>
      </c>
      <c r="BT83" s="7">
        <v>0</v>
      </c>
      <c r="BU83" s="7">
        <v>0</v>
      </c>
      <c r="BV83" s="7">
        <v>0</v>
      </c>
      <c r="BW83" s="7">
        <v>0</v>
      </c>
      <c r="BX83" s="7">
        <v>0</v>
      </c>
      <c r="BY83" s="7">
        <v>0</v>
      </c>
      <c r="BZ83" s="7">
        <v>0</v>
      </c>
      <c r="CA83" s="7">
        <v>0</v>
      </c>
      <c r="CB83" s="7">
        <v>0</v>
      </c>
      <c r="CC83" s="7">
        <v>0</v>
      </c>
      <c r="CD83" s="7">
        <v>0</v>
      </c>
      <c r="CE83" s="7">
        <v>0</v>
      </c>
      <c r="CF83" s="7">
        <v>0</v>
      </c>
      <c r="CG83" s="7">
        <v>0</v>
      </c>
      <c r="CH83" s="7">
        <v>0</v>
      </c>
      <c r="CI83" s="7">
        <v>0</v>
      </c>
      <c r="CJ83" s="7">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 t="shared" si="79"/>
        <v>5.8532039930709717E-6</v>
      </c>
      <c r="CW83" s="7">
        <f t="shared" si="80"/>
        <v>4.1848872618450126E-6</v>
      </c>
    </row>
    <row r="84" spans="1:101" x14ac:dyDescent="0.2">
      <c r="A84" t="str">
        <f t="shared" si="1"/>
        <v>Scooter, battery electric, 4-11kW - 2050 - NMC - CH</v>
      </c>
      <c r="B84" t="s">
        <v>654</v>
      </c>
      <c r="D84" s="18">
        <v>2050</v>
      </c>
      <c r="E84" t="s">
        <v>37</v>
      </c>
      <c r="F84" t="s">
        <v>136</v>
      </c>
      <c r="G84" t="s">
        <v>39</v>
      </c>
      <c r="H84" t="s">
        <v>32</v>
      </c>
      <c r="I84" t="s">
        <v>42</v>
      </c>
      <c r="J84">
        <v>25000</v>
      </c>
      <c r="K84">
        <v>1570</v>
      </c>
      <c r="L84" s="2">
        <f t="shared" si="2"/>
        <v>15.923566878980891</v>
      </c>
      <c r="M84">
        <v>1</v>
      </c>
      <c r="N84">
        <v>75</v>
      </c>
      <c r="O84">
        <v>4</v>
      </c>
      <c r="P84" s="2">
        <f t="shared" si="64"/>
        <v>132.19999999999999</v>
      </c>
      <c r="Q84" s="2">
        <f t="shared" si="3"/>
        <v>211.2</v>
      </c>
      <c r="R84">
        <v>6.1</v>
      </c>
      <c r="S84" s="2">
        <v>84</v>
      </c>
      <c r="T84" s="1">
        <v>7.0000000000000007E-2</v>
      </c>
      <c r="U84" s="2">
        <f t="shared" si="4"/>
        <v>78.11999999999999</v>
      </c>
      <c r="V84">
        <v>10</v>
      </c>
      <c r="W84">
        <v>16</v>
      </c>
      <c r="X84" s="3">
        <v>10.8</v>
      </c>
      <c r="Y84" s="1">
        <v>0.8</v>
      </c>
      <c r="Z84" s="3">
        <f t="shared" si="5"/>
        <v>8.64</v>
      </c>
      <c r="AA84" s="3">
        <f>IF(I84&lt;&gt;"",X84/INDEX('energy battery'!$B$3:$D$6,MATCH('vehicles specifications'!$D84,'energy battery'!$A$3:$A$6,0),MATCH('vehicles specifications'!$I84,'energy battery'!$B$2:$D$2,0)),"")</f>
        <v>21.6</v>
      </c>
      <c r="AB84" s="3">
        <f t="shared" si="6"/>
        <v>6.48</v>
      </c>
      <c r="AC84" s="3">
        <f t="shared" si="7"/>
        <v>28.080000000000002</v>
      </c>
      <c r="AD84" s="3">
        <v>0</v>
      </c>
      <c r="AE84" s="3">
        <v>0</v>
      </c>
      <c r="AF84">
        <f>AE84*'fuels and tailpipe emissions'!$B$3</f>
        <v>0</v>
      </c>
      <c r="AG84">
        <v>0</v>
      </c>
      <c r="AH84" s="3">
        <v>0</v>
      </c>
      <c r="AI84" s="3">
        <v>3</v>
      </c>
      <c r="AJ84" s="3">
        <v>1</v>
      </c>
      <c r="AK84">
        <f t="shared" si="67"/>
        <v>1</v>
      </c>
      <c r="AL84">
        <f t="shared" si="65"/>
        <v>1.134144E-4</v>
      </c>
      <c r="AM84">
        <v>1.2899999999999999E-3</v>
      </c>
      <c r="AN84" s="2">
        <f t="shared" si="9"/>
        <v>78.11999999999999</v>
      </c>
      <c r="AO84" s="2">
        <f t="shared" si="10"/>
        <v>26</v>
      </c>
      <c r="AP84" s="2">
        <f t="shared" si="11"/>
        <v>28.080000000000002</v>
      </c>
      <c r="AQ84" s="6" t="s">
        <v>84</v>
      </c>
      <c r="AR84" s="20"/>
      <c r="AS84" s="5">
        <v>0.18941496155676324</v>
      </c>
      <c r="AT84" s="2">
        <f t="shared" si="78"/>
        <v>164.21089308026419</v>
      </c>
      <c r="AU84" s="5">
        <v>0</v>
      </c>
      <c r="AV84" s="5">
        <v>0</v>
      </c>
      <c r="AW84" s="7">
        <v>0</v>
      </c>
      <c r="AX84" s="7">
        <v>0</v>
      </c>
      <c r="AY84" s="7">
        <v>0</v>
      </c>
      <c r="AZ84" s="7">
        <v>0</v>
      </c>
      <c r="BA84" s="7">
        <v>0</v>
      </c>
      <c r="BB84" s="7">
        <v>0</v>
      </c>
      <c r="BC84" s="7">
        <v>0</v>
      </c>
      <c r="BD84" s="7">
        <v>0</v>
      </c>
      <c r="BE84" s="7">
        <v>0</v>
      </c>
      <c r="BF84" s="7">
        <v>0</v>
      </c>
      <c r="BG84" s="7">
        <v>0</v>
      </c>
      <c r="BH84" s="7">
        <v>0</v>
      </c>
      <c r="BI84" s="7">
        <v>0</v>
      </c>
      <c r="BJ84" s="7">
        <v>0</v>
      </c>
      <c r="BK84" s="7">
        <v>0</v>
      </c>
      <c r="BL84" s="7">
        <v>0</v>
      </c>
      <c r="BM84" s="7">
        <v>0</v>
      </c>
      <c r="BN84" s="7">
        <v>0</v>
      </c>
      <c r="BO84" s="7">
        <v>0</v>
      </c>
      <c r="BP84" s="7">
        <v>0</v>
      </c>
      <c r="BQ84" s="7">
        <v>0</v>
      </c>
      <c r="BR84" s="7">
        <v>0</v>
      </c>
      <c r="BS84" s="7">
        <v>0</v>
      </c>
      <c r="BT84" s="7">
        <v>0</v>
      </c>
      <c r="BU84" s="7">
        <v>0</v>
      </c>
      <c r="BV84" s="7">
        <v>0</v>
      </c>
      <c r="BW84" s="7">
        <v>0</v>
      </c>
      <c r="BX84" s="7">
        <v>0</v>
      </c>
      <c r="BY84" s="7">
        <v>0</v>
      </c>
      <c r="BZ84" s="7">
        <v>0</v>
      </c>
      <c r="CA84" s="7">
        <v>0</v>
      </c>
      <c r="CB84" s="7">
        <v>0</v>
      </c>
      <c r="CC84" s="7">
        <v>0</v>
      </c>
      <c r="CD84" s="7">
        <v>0</v>
      </c>
      <c r="CE84" s="7">
        <v>0</v>
      </c>
      <c r="CF84" s="7">
        <v>0</v>
      </c>
      <c r="CG84" s="7">
        <v>0</v>
      </c>
      <c r="CH84" s="7">
        <v>0</v>
      </c>
      <c r="CI84" s="7">
        <v>0</v>
      </c>
      <c r="CJ84" s="7">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 t="shared" si="79"/>
        <v>5.8495379368429613E-6</v>
      </c>
      <c r="CW84" s="7">
        <f t="shared" si="80"/>
        <v>4.1817319436640074E-6</v>
      </c>
    </row>
    <row r="85" spans="1:101" x14ac:dyDescent="0.2">
      <c r="A85" t="str">
        <f t="shared" ref="A85:A92" si="81">B85&amp;" - "&amp;D85&amp;" - "&amp;IF(I85&lt;&gt;"",I85&amp;" - "&amp;E85,E85)</f>
        <v>Scooter, battery electric, &lt;4kW - 2020 - LFP - CH</v>
      </c>
      <c r="B85" t="s">
        <v>653</v>
      </c>
      <c r="D85" s="18">
        <v>2020</v>
      </c>
      <c r="E85" t="s">
        <v>37</v>
      </c>
      <c r="F85" t="s">
        <v>136</v>
      </c>
      <c r="G85" t="s">
        <v>39</v>
      </c>
      <c r="H85" t="s">
        <v>32</v>
      </c>
      <c r="I85" t="s">
        <v>43</v>
      </c>
      <c r="J85">
        <v>25000</v>
      </c>
      <c r="K85">
        <v>1570</v>
      </c>
      <c r="L85" s="2">
        <f>J85/K85</f>
        <v>15.923566878980891</v>
      </c>
      <c r="M85">
        <v>1</v>
      </c>
      <c r="N85">
        <v>75</v>
      </c>
      <c r="O85">
        <v>4</v>
      </c>
      <c r="P85" s="2">
        <f>SUM(U85,V85,W85,AC85,AF85,AH85)</f>
        <v>104.4</v>
      </c>
      <c r="Q85" s="2">
        <f>P85+(M85*N85)+O85</f>
        <v>183.4</v>
      </c>
      <c r="R85">
        <v>2.6</v>
      </c>
      <c r="S85" s="2">
        <v>73</v>
      </c>
      <c r="T85" s="1">
        <v>0</v>
      </c>
      <c r="U85" s="2">
        <f>S85*(1-T85)</f>
        <v>73</v>
      </c>
      <c r="V85">
        <v>5</v>
      </c>
      <c r="W85">
        <v>8</v>
      </c>
      <c r="X85" s="3">
        <v>2.2999999999999998</v>
      </c>
      <c r="Y85" s="1">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 t="shared" ref="AC85:AC92" si="82">IF(AA85&lt;&gt;"",AB85+AA85,"")</f>
        <v>18.399999999999999</v>
      </c>
      <c r="AD85" s="3">
        <v>1</v>
      </c>
      <c r="AE85" s="3">
        <v>0</v>
      </c>
      <c r="AF85">
        <f>AE85*'fuels and tailpipe emissions'!$B$3</f>
        <v>0</v>
      </c>
      <c r="AG85">
        <v>0</v>
      </c>
      <c r="AH85" s="3">
        <v>0</v>
      </c>
      <c r="AI85" s="3">
        <v>3</v>
      </c>
      <c r="AJ85" s="3">
        <v>1</v>
      </c>
      <c r="AK85">
        <f t="shared" si="67"/>
        <v>1</v>
      </c>
      <c r="AL85">
        <f>0.000537/1000*Q85</f>
        <v>9.8485800000000005E-5</v>
      </c>
      <c r="AM85">
        <v>1.2899999999999999E-3</v>
      </c>
      <c r="AN85" s="2">
        <f>U85</f>
        <v>73</v>
      </c>
      <c r="AO85" s="2">
        <f>SUM(V85:W85)</f>
        <v>13</v>
      </c>
      <c r="AP85" s="2">
        <f>AC85</f>
        <v>18.399999999999999</v>
      </c>
      <c r="AQ85" s="6" t="s">
        <v>84</v>
      </c>
      <c r="AR85" s="20"/>
      <c r="AS85" s="5">
        <v>0.13343610710814707</v>
      </c>
      <c r="AT85" s="2">
        <f t="shared" si="78"/>
        <v>49.641735985533444</v>
      </c>
      <c r="AU85" s="5">
        <v>0</v>
      </c>
      <c r="AV85" s="5">
        <v>0</v>
      </c>
      <c r="AW85" s="7">
        <v>0</v>
      </c>
      <c r="AX85" s="7">
        <v>0</v>
      </c>
      <c r="AY85" s="7">
        <v>0</v>
      </c>
      <c r="AZ85" s="7">
        <v>0</v>
      </c>
      <c r="BA85" s="7">
        <v>0</v>
      </c>
      <c r="BB85" s="7">
        <v>0</v>
      </c>
      <c r="BC85" s="7">
        <v>0</v>
      </c>
      <c r="BD85" s="7">
        <v>0</v>
      </c>
      <c r="BE85" s="7">
        <v>0</v>
      </c>
      <c r="BF85" s="7">
        <v>0</v>
      </c>
      <c r="BG85" s="7">
        <v>0</v>
      </c>
      <c r="BH85" s="7">
        <v>0</v>
      </c>
      <c r="BI85" s="7">
        <v>0</v>
      </c>
      <c r="BJ85" s="7">
        <v>0</v>
      </c>
      <c r="BK85" s="7">
        <v>0</v>
      </c>
      <c r="BL85" s="7">
        <v>0</v>
      </c>
      <c r="BM85" s="7">
        <v>0</v>
      </c>
      <c r="BN85" s="7">
        <v>0</v>
      </c>
      <c r="BO85" s="7">
        <v>0</v>
      </c>
      <c r="BP85" s="7">
        <v>0</v>
      </c>
      <c r="BQ85" s="7">
        <v>0</v>
      </c>
      <c r="BR85" s="7">
        <v>0</v>
      </c>
      <c r="BS85" s="7">
        <v>0</v>
      </c>
      <c r="BT85" s="7">
        <v>0</v>
      </c>
      <c r="BU85" s="7">
        <v>0</v>
      </c>
      <c r="BV85" s="7">
        <v>0</v>
      </c>
      <c r="BW85" s="7">
        <v>0</v>
      </c>
      <c r="BX85" s="7">
        <v>0</v>
      </c>
      <c r="BY85" s="7">
        <v>0</v>
      </c>
      <c r="BZ85" s="7">
        <v>0</v>
      </c>
      <c r="CA85" s="7">
        <v>0</v>
      </c>
      <c r="CB85" s="7">
        <v>0</v>
      </c>
      <c r="CC85" s="7">
        <v>0</v>
      </c>
      <c r="CD85" s="7">
        <v>0</v>
      </c>
      <c r="CE85" s="7">
        <v>0</v>
      </c>
      <c r="CF85" s="7">
        <v>0</v>
      </c>
      <c r="CG85" s="7">
        <v>0</v>
      </c>
      <c r="CH85" s="7">
        <v>0</v>
      </c>
      <c r="CI85" s="7">
        <v>0</v>
      </c>
      <c r="CJ85" s="7">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 t="shared" si="79"/>
        <v>5.4201133888799773E-6</v>
      </c>
      <c r="CW85" s="7">
        <f t="shared" si="80"/>
        <v>3.817774576606569E-6</v>
      </c>
    </row>
    <row r="86" spans="1:101" x14ac:dyDescent="0.2">
      <c r="A86" t="str">
        <f t="shared" si="81"/>
        <v>Scooter, battery electric, &lt;4kW - 2030 - LFP - CH</v>
      </c>
      <c r="B86" t="s">
        <v>653</v>
      </c>
      <c r="D86" s="18">
        <v>2030</v>
      </c>
      <c r="E86" t="s">
        <v>37</v>
      </c>
      <c r="F86" t="s">
        <v>136</v>
      </c>
      <c r="G86" t="s">
        <v>39</v>
      </c>
      <c r="H86" t="s">
        <v>32</v>
      </c>
      <c r="I86" t="s">
        <v>43</v>
      </c>
      <c r="J86">
        <v>25000</v>
      </c>
      <c r="K86">
        <v>1570</v>
      </c>
      <c r="L86" s="2">
        <f>J86/K86</f>
        <v>15.923566878980891</v>
      </c>
      <c r="M86">
        <v>1</v>
      </c>
      <c r="N86">
        <v>75</v>
      </c>
      <c r="O86">
        <v>4</v>
      </c>
      <c r="P86" s="2">
        <f>SUM(U86,V86,W86,AC86,AF86,AH86)</f>
        <v>110.47666666666666</v>
      </c>
      <c r="Q86" s="2">
        <f>P86+(M86*N86)+O86</f>
        <v>189.47666666666666</v>
      </c>
      <c r="R86">
        <v>2.6</v>
      </c>
      <c r="S86" s="2">
        <v>73</v>
      </c>
      <c r="T86" s="1">
        <v>0.03</v>
      </c>
      <c r="U86" s="2">
        <f>S86*(1-T86)</f>
        <v>70.81</v>
      </c>
      <c r="V86">
        <v>5</v>
      </c>
      <c r="W86">
        <v>8</v>
      </c>
      <c r="X86" s="3">
        <v>4</v>
      </c>
      <c r="Y86" s="1">
        <v>0.8</v>
      </c>
      <c r="Z86" s="3">
        <f>Y86*X86</f>
        <v>3.2</v>
      </c>
      <c r="AA86" s="3">
        <f>IF(I86&lt;&gt;"",X86/INDEX('energy battery'!$B$3:$D$6,MATCH('vehicles specifications'!$D86,'energy battery'!$A$3:$A$6,0),MATCH('vehicles specifications'!$I86,'energy battery'!$B$2:$D$2,0)),"")</f>
        <v>22.222222222222221</v>
      </c>
      <c r="AB86" s="3">
        <f t="shared" ref="AB86:AB88" si="83">IF(AA86&lt;&gt;"",0.2*AA86,"")</f>
        <v>4.4444444444444446</v>
      </c>
      <c r="AC86" s="3">
        <f t="shared" si="82"/>
        <v>26.666666666666664</v>
      </c>
      <c r="AD86" s="3">
        <v>0.5</v>
      </c>
      <c r="AE86" s="3">
        <v>0</v>
      </c>
      <c r="AF86">
        <f>AE86*'fuels and tailpipe emissions'!$B$3</f>
        <v>0</v>
      </c>
      <c r="AG86">
        <v>0</v>
      </c>
      <c r="AH86" s="3">
        <v>0</v>
      </c>
      <c r="AI86" s="3">
        <v>3</v>
      </c>
      <c r="AJ86" s="3">
        <v>1</v>
      </c>
      <c r="AK86">
        <f t="shared" si="67"/>
        <v>1</v>
      </c>
      <c r="AL86">
        <f>0.000537/1000*Q86</f>
        <v>1.0174897E-4</v>
      </c>
      <c r="AM86">
        <v>1.2899999999999999E-3</v>
      </c>
      <c r="AN86" s="2">
        <f>U86</f>
        <v>70.81</v>
      </c>
      <c r="AO86" s="2">
        <f>SUM(V86:W86)</f>
        <v>13</v>
      </c>
      <c r="AP86" s="2">
        <f>AC86</f>
        <v>26.666666666666664</v>
      </c>
      <c r="AQ86" s="6" t="s">
        <v>84</v>
      </c>
      <c r="AR86" s="20"/>
      <c r="AS86" s="5">
        <v>0.13343610710814707</v>
      </c>
      <c r="AT86" s="2">
        <f t="shared" si="78"/>
        <v>86.333453887884261</v>
      </c>
      <c r="AU86" s="5">
        <v>0</v>
      </c>
      <c r="AV86" s="5">
        <v>0</v>
      </c>
      <c r="AW86" s="7">
        <v>0</v>
      </c>
      <c r="AX86" s="7">
        <v>0</v>
      </c>
      <c r="AY86" s="7">
        <v>0</v>
      </c>
      <c r="AZ86" s="7">
        <v>0</v>
      </c>
      <c r="BA86" s="7">
        <v>0</v>
      </c>
      <c r="BB86" s="7">
        <v>0</v>
      </c>
      <c r="BC86" s="7">
        <v>0</v>
      </c>
      <c r="BD86" s="7">
        <v>0</v>
      </c>
      <c r="BE86" s="7">
        <v>0</v>
      </c>
      <c r="BF86" s="7">
        <v>0</v>
      </c>
      <c r="BG86" s="7">
        <v>0</v>
      </c>
      <c r="BH86" s="7">
        <v>0</v>
      </c>
      <c r="BI86" s="7">
        <v>0</v>
      </c>
      <c r="BJ86" s="7">
        <v>0</v>
      </c>
      <c r="BK86" s="7">
        <v>0</v>
      </c>
      <c r="BL86" s="7">
        <v>0</v>
      </c>
      <c r="BM86" s="7">
        <v>0</v>
      </c>
      <c r="BN86" s="7">
        <v>0</v>
      </c>
      <c r="BO86" s="7">
        <v>0</v>
      </c>
      <c r="BP86" s="7">
        <v>0</v>
      </c>
      <c r="BQ86" s="7">
        <v>0</v>
      </c>
      <c r="BR86" s="7">
        <v>0</v>
      </c>
      <c r="BS86" s="7">
        <v>0</v>
      </c>
      <c r="BT86" s="7">
        <v>0</v>
      </c>
      <c r="BU86" s="7">
        <v>0</v>
      </c>
      <c r="BV86" s="7">
        <v>0</v>
      </c>
      <c r="BW86" s="7">
        <v>0</v>
      </c>
      <c r="BX86" s="7">
        <v>0</v>
      </c>
      <c r="BY86" s="7">
        <v>0</v>
      </c>
      <c r="BZ86" s="7">
        <v>0</v>
      </c>
      <c r="CA86" s="7">
        <v>0</v>
      </c>
      <c r="CB86" s="7">
        <v>0</v>
      </c>
      <c r="CC86" s="7">
        <v>0</v>
      </c>
      <c r="CD86" s="7">
        <v>0</v>
      </c>
      <c r="CE86" s="7">
        <v>0</v>
      </c>
      <c r="CF86" s="7">
        <v>0</v>
      </c>
      <c r="CG86" s="7">
        <v>0</v>
      </c>
      <c r="CH86" s="7">
        <v>0</v>
      </c>
      <c r="CI86" s="7">
        <v>0</v>
      </c>
      <c r="CJ86" s="7">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 t="shared" si="79"/>
        <v>5.5179717661303463E-6</v>
      </c>
      <c r="CW86" s="7">
        <f t="shared" si="80"/>
        <v>3.8997026733924905E-6</v>
      </c>
    </row>
    <row r="87" spans="1:101" x14ac:dyDescent="0.2">
      <c r="A87" t="str">
        <f t="shared" si="81"/>
        <v>Scooter, battery electric, &lt;4kW - 2040 - LFP - CH</v>
      </c>
      <c r="B87" t="s">
        <v>653</v>
      </c>
      <c r="D87" s="18">
        <v>2040</v>
      </c>
      <c r="E87" t="s">
        <v>37</v>
      </c>
      <c r="F87" t="s">
        <v>136</v>
      </c>
      <c r="G87" t="s">
        <v>39</v>
      </c>
      <c r="H87" t="s">
        <v>32</v>
      </c>
      <c r="I87" t="s">
        <v>43</v>
      </c>
      <c r="J87">
        <v>25000</v>
      </c>
      <c r="K87">
        <v>1570</v>
      </c>
      <c r="L87" s="2">
        <f>J87/K87</f>
        <v>15.923566878980891</v>
      </c>
      <c r="M87">
        <v>1</v>
      </c>
      <c r="N87">
        <v>75</v>
      </c>
      <c r="O87">
        <v>4</v>
      </c>
      <c r="P87" s="2">
        <f>SUM(U87,V87,W87,AC87,AF87,AH87)</f>
        <v>121.01666666666665</v>
      </c>
      <c r="Q87" s="2">
        <f>P87+(M87*N87)+O87</f>
        <v>200.01666666666665</v>
      </c>
      <c r="R87">
        <v>2.6</v>
      </c>
      <c r="S87" s="2">
        <v>73</v>
      </c>
      <c r="T87" s="1">
        <v>0.05</v>
      </c>
      <c r="U87" s="2">
        <f>S87*(1-T87)</f>
        <v>69.349999999999994</v>
      </c>
      <c r="V87">
        <v>5</v>
      </c>
      <c r="W87">
        <v>8</v>
      </c>
      <c r="X87" s="3">
        <v>5.8</v>
      </c>
      <c r="Y87" s="1">
        <v>0.8</v>
      </c>
      <c r="Z87" s="3">
        <f>Y87*X87</f>
        <v>4.6399999999999997</v>
      </c>
      <c r="AA87" s="3">
        <f>IF(I87&lt;&gt;"",X87/INDEX('energy battery'!$B$3:$D$6,MATCH('vehicles specifications'!$D87,'energy battery'!$A$3:$A$6,0),MATCH('vehicles specifications'!$I87,'energy battery'!$B$2:$D$2,0)),"")</f>
        <v>32.222222222222221</v>
      </c>
      <c r="AB87" s="3">
        <f t="shared" si="83"/>
        <v>6.4444444444444446</v>
      </c>
      <c r="AC87" s="3">
        <f t="shared" si="82"/>
        <v>38.666666666666664</v>
      </c>
      <c r="AD87" s="3">
        <v>0.25</v>
      </c>
      <c r="AE87" s="3">
        <v>0</v>
      </c>
      <c r="AF87">
        <f>AE87*'fuels and tailpipe emissions'!$B$3</f>
        <v>0</v>
      </c>
      <c r="AG87">
        <v>0</v>
      </c>
      <c r="AH87" s="3">
        <v>0</v>
      </c>
      <c r="AI87" s="3">
        <v>3</v>
      </c>
      <c r="AJ87" s="3">
        <v>1</v>
      </c>
      <c r="AK87">
        <f t="shared" si="67"/>
        <v>1</v>
      </c>
      <c r="AL87">
        <f>0.000537/1000*Q87</f>
        <v>1.0740895E-4</v>
      </c>
      <c r="AM87">
        <v>1.2899999999999999E-3</v>
      </c>
      <c r="AN87" s="2">
        <f>U87</f>
        <v>69.349999999999994</v>
      </c>
      <c r="AO87" s="2">
        <f>SUM(V87:W87)</f>
        <v>13</v>
      </c>
      <c r="AP87" s="2">
        <f>AC87</f>
        <v>38.666666666666664</v>
      </c>
      <c r="AQ87" s="6" t="s">
        <v>84</v>
      </c>
      <c r="AR87" s="20"/>
      <c r="AS87" s="5">
        <v>0.13343610710814707</v>
      </c>
      <c r="AT87" s="2">
        <f t="shared" si="78"/>
        <v>125.18350813743217</v>
      </c>
      <c r="AU87" s="5">
        <v>0</v>
      </c>
      <c r="AV87" s="5">
        <v>0</v>
      </c>
      <c r="AW87" s="7">
        <v>0</v>
      </c>
      <c r="AX87" s="7">
        <v>0</v>
      </c>
      <c r="AY87" s="7">
        <v>0</v>
      </c>
      <c r="AZ87" s="7">
        <v>0</v>
      </c>
      <c r="BA87" s="7">
        <v>0</v>
      </c>
      <c r="BB87" s="7">
        <v>0</v>
      </c>
      <c r="BC87" s="7">
        <v>0</v>
      </c>
      <c r="BD87" s="7">
        <v>0</v>
      </c>
      <c r="BE87" s="7">
        <v>0</v>
      </c>
      <c r="BF87" s="7">
        <v>0</v>
      </c>
      <c r="BG87" s="7">
        <v>0</v>
      </c>
      <c r="BH87" s="7">
        <v>0</v>
      </c>
      <c r="BI87" s="7">
        <v>0</v>
      </c>
      <c r="BJ87" s="7">
        <v>0</v>
      </c>
      <c r="BK87" s="7">
        <v>0</v>
      </c>
      <c r="BL87" s="7">
        <v>0</v>
      </c>
      <c r="BM87" s="7">
        <v>0</v>
      </c>
      <c r="BN87" s="7">
        <v>0</v>
      </c>
      <c r="BO87" s="7">
        <v>0</v>
      </c>
      <c r="BP87" s="7">
        <v>0</v>
      </c>
      <c r="BQ87" s="7">
        <v>0</v>
      </c>
      <c r="BR87" s="7">
        <v>0</v>
      </c>
      <c r="BS87" s="7">
        <v>0</v>
      </c>
      <c r="BT87" s="7">
        <v>0</v>
      </c>
      <c r="BU87" s="7">
        <v>0</v>
      </c>
      <c r="BV87" s="7">
        <v>0</v>
      </c>
      <c r="BW87" s="7">
        <v>0</v>
      </c>
      <c r="BX87" s="7">
        <v>0</v>
      </c>
      <c r="BY87" s="7">
        <v>0</v>
      </c>
      <c r="BZ87" s="7">
        <v>0</v>
      </c>
      <c r="CA87" s="7">
        <v>0</v>
      </c>
      <c r="CB87" s="7">
        <v>0</v>
      </c>
      <c r="CC87" s="7">
        <v>0</v>
      </c>
      <c r="CD87" s="7">
        <v>0</v>
      </c>
      <c r="CE87" s="7">
        <v>0</v>
      </c>
      <c r="CF87" s="7">
        <v>0</v>
      </c>
      <c r="CG87" s="7">
        <v>0</v>
      </c>
      <c r="CH87" s="7">
        <v>0</v>
      </c>
      <c r="CI87" s="7">
        <v>0</v>
      </c>
      <c r="CJ87" s="7">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 t="shared" si="79"/>
        <v>5.6821902734755812E-6</v>
      </c>
      <c r="CW87" s="7">
        <f t="shared" si="80"/>
        <v>4.0385483483822152E-6</v>
      </c>
    </row>
    <row r="88" spans="1:101" x14ac:dyDescent="0.2">
      <c r="A88" t="str">
        <f t="shared" si="81"/>
        <v>Scooter, battery electric, &lt;4kW - 2050 - LFP - CH</v>
      </c>
      <c r="B88" t="s">
        <v>653</v>
      </c>
      <c r="D88" s="18">
        <v>2050</v>
      </c>
      <c r="E88" t="s">
        <v>37</v>
      </c>
      <c r="F88" t="s">
        <v>136</v>
      </c>
      <c r="G88" t="s">
        <v>39</v>
      </c>
      <c r="H88" t="s">
        <v>32</v>
      </c>
      <c r="I88" t="s">
        <v>43</v>
      </c>
      <c r="J88">
        <v>25000</v>
      </c>
      <c r="K88">
        <v>1570</v>
      </c>
      <c r="L88" s="2">
        <f>J88/K88</f>
        <v>15.923566878980891</v>
      </c>
      <c r="M88">
        <v>1</v>
      </c>
      <c r="N88">
        <v>75</v>
      </c>
      <c r="O88">
        <v>4</v>
      </c>
      <c r="P88" s="2">
        <f>SUM(U88,V88,W88,AC88,AF88,AH88)</f>
        <v>128.88999999999999</v>
      </c>
      <c r="Q88" s="2">
        <f>P88+(M88*N88)+O88</f>
        <v>207.89</v>
      </c>
      <c r="R88">
        <v>2.6</v>
      </c>
      <c r="S88" s="2">
        <v>73</v>
      </c>
      <c r="T88" s="1">
        <v>7.0000000000000007E-2</v>
      </c>
      <c r="U88" s="2">
        <f>S88*(1-T88)</f>
        <v>67.89</v>
      </c>
      <c r="V88">
        <v>5</v>
      </c>
      <c r="W88">
        <v>8</v>
      </c>
      <c r="X88" s="3">
        <v>8</v>
      </c>
      <c r="Y88" s="1">
        <v>0.8</v>
      </c>
      <c r="Z88" s="3">
        <f>Y88*X88</f>
        <v>6.4</v>
      </c>
      <c r="AA88" s="3">
        <f>IF(I88&lt;&gt;"",X88/INDEX('energy battery'!$B$3:$D$6,MATCH('vehicles specifications'!$D88,'energy battery'!$A$3:$A$6,0),MATCH('vehicles specifications'!$I88,'energy battery'!$B$2:$D$2,0)),"")</f>
        <v>40</v>
      </c>
      <c r="AB88" s="3">
        <f t="shared" si="83"/>
        <v>8</v>
      </c>
      <c r="AC88" s="3">
        <f t="shared" si="82"/>
        <v>48</v>
      </c>
      <c r="AD88" s="3">
        <v>0</v>
      </c>
      <c r="AE88" s="3">
        <v>0</v>
      </c>
      <c r="AF88">
        <f>AE88*'fuels and tailpipe emissions'!$B$3</f>
        <v>0</v>
      </c>
      <c r="AG88">
        <v>0</v>
      </c>
      <c r="AH88" s="3">
        <v>0</v>
      </c>
      <c r="AI88" s="3">
        <v>3</v>
      </c>
      <c r="AJ88" s="3">
        <v>1</v>
      </c>
      <c r="AK88">
        <f t="shared" si="67"/>
        <v>1</v>
      </c>
      <c r="AL88">
        <f>0.000537/1000*Q88</f>
        <v>1.1163693E-4</v>
      </c>
      <c r="AM88">
        <v>1.2899999999999999E-3</v>
      </c>
      <c r="AN88" s="2">
        <f>U88</f>
        <v>67.89</v>
      </c>
      <c r="AO88" s="2">
        <f>SUM(V88:W88)</f>
        <v>13</v>
      </c>
      <c r="AP88" s="2">
        <f>AC88</f>
        <v>48</v>
      </c>
      <c r="AQ88" s="6" t="s">
        <v>84</v>
      </c>
      <c r="AR88" s="20"/>
      <c r="AS88" s="5">
        <v>0.13343610710814707</v>
      </c>
      <c r="AT88" s="2">
        <f t="shared" si="78"/>
        <v>172.66690777576852</v>
      </c>
      <c r="AU88" s="5">
        <v>0</v>
      </c>
      <c r="AV88" s="5">
        <v>0</v>
      </c>
      <c r="AW88" s="7">
        <v>0</v>
      </c>
      <c r="AX88" s="7">
        <v>0</v>
      </c>
      <c r="AY88" s="7">
        <v>0</v>
      </c>
      <c r="AZ88" s="7">
        <v>0</v>
      </c>
      <c r="BA88" s="7">
        <v>0</v>
      </c>
      <c r="BB88" s="7">
        <v>0</v>
      </c>
      <c r="BC88" s="7">
        <v>0</v>
      </c>
      <c r="BD88" s="7">
        <v>0</v>
      </c>
      <c r="BE88" s="7">
        <v>0</v>
      </c>
      <c r="BF88" s="7">
        <v>0</v>
      </c>
      <c r="BG88" s="7">
        <v>0</v>
      </c>
      <c r="BH88" s="7">
        <v>0</v>
      </c>
      <c r="BI88" s="7">
        <v>0</v>
      </c>
      <c r="BJ88" s="7">
        <v>0</v>
      </c>
      <c r="BK88" s="7">
        <v>0</v>
      </c>
      <c r="BL88" s="7">
        <v>0</v>
      </c>
      <c r="BM88" s="7">
        <v>0</v>
      </c>
      <c r="BN88" s="7">
        <v>0</v>
      </c>
      <c r="BO88" s="7">
        <v>0</v>
      </c>
      <c r="BP88" s="7">
        <v>0</v>
      </c>
      <c r="BQ88" s="7">
        <v>0</v>
      </c>
      <c r="BR88" s="7">
        <v>0</v>
      </c>
      <c r="BS88" s="7">
        <v>0</v>
      </c>
      <c r="BT88" s="7">
        <v>0</v>
      </c>
      <c r="BU88" s="7">
        <v>0</v>
      </c>
      <c r="BV88" s="7">
        <v>0</v>
      </c>
      <c r="BW88" s="7">
        <v>0</v>
      </c>
      <c r="BX88" s="7">
        <v>0</v>
      </c>
      <c r="BY88" s="7">
        <v>0</v>
      </c>
      <c r="BZ88" s="7">
        <v>0</v>
      </c>
      <c r="CA88" s="7">
        <v>0</v>
      </c>
      <c r="CB88" s="7">
        <v>0</v>
      </c>
      <c r="CC88" s="7">
        <v>0</v>
      </c>
      <c r="CD88" s="7">
        <v>0</v>
      </c>
      <c r="CE88" s="7">
        <v>0</v>
      </c>
      <c r="CF88" s="7">
        <v>0</v>
      </c>
      <c r="CG88" s="7">
        <v>0</v>
      </c>
      <c r="CH88" s="7">
        <v>0</v>
      </c>
      <c r="CI88" s="7">
        <v>0</v>
      </c>
      <c r="CJ88" s="7">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 t="shared" si="79"/>
        <v>5.8006987254388856E-6</v>
      </c>
      <c r="CW88" s="7">
        <f t="shared" si="80"/>
        <v>4.1397722562820695E-6</v>
      </c>
    </row>
    <row r="89" spans="1:101" x14ac:dyDescent="0.2">
      <c r="A89" t="str">
        <f t="shared" si="81"/>
        <v>Scooter, battery electric, 4-11kW - 2020 - LFP - CH</v>
      </c>
      <c r="B89" t="s">
        <v>654</v>
      </c>
      <c r="D89" s="18">
        <v>2020</v>
      </c>
      <c r="E89" t="s">
        <v>37</v>
      </c>
      <c r="F89" t="s">
        <v>136</v>
      </c>
      <c r="G89" t="s">
        <v>39</v>
      </c>
      <c r="H89" t="s">
        <v>32</v>
      </c>
      <c r="I89" t="s">
        <v>43</v>
      </c>
      <c r="J89">
        <v>30000</v>
      </c>
      <c r="K89">
        <v>1870</v>
      </c>
      <c r="L89" s="2">
        <f t="shared" ref="L89:L92" si="84">J89/K89</f>
        <v>16.042780748663102</v>
      </c>
      <c r="M89">
        <v>1</v>
      </c>
      <c r="N89">
        <v>75</v>
      </c>
      <c r="O89">
        <v>4</v>
      </c>
      <c r="P89" s="2">
        <f t="shared" ref="P89:P92" si="85">SUM(U89,V89,W89,AC89,AF89,AH89)</f>
        <v>136.4</v>
      </c>
      <c r="Q89" s="2">
        <f t="shared" ref="Q89:Q92" si="86">P89+(M89*N89)+O89</f>
        <v>215.4</v>
      </c>
      <c r="R89">
        <v>6.1</v>
      </c>
      <c r="S89" s="2">
        <v>84</v>
      </c>
      <c r="T89" s="1">
        <v>0</v>
      </c>
      <c r="U89" s="2">
        <f t="shared" ref="U89:U92" si="87">S89*(1-T89)</f>
        <v>84</v>
      </c>
      <c r="V89">
        <v>10</v>
      </c>
      <c r="W89">
        <v>16</v>
      </c>
      <c r="X89" s="3">
        <v>3.3</v>
      </c>
      <c r="Y89" s="1">
        <v>0.8</v>
      </c>
      <c r="Z89" s="3">
        <f t="shared" ref="Z89:Z92" si="88">Y89*X89</f>
        <v>2.64</v>
      </c>
      <c r="AA89" s="3">
        <f>IF(I89&lt;&gt;"",X89/INDEX('energy battery'!$B$3:$D$6,MATCH('vehicles specifications'!$D89,'energy battery'!$A$3:$A$6,0),MATCH('vehicles specifications'!$I89,'energy battery'!$B$2:$D$2,0)),"")</f>
        <v>22</v>
      </c>
      <c r="AB89" s="3">
        <f>IF(AA89&lt;&gt;"",0.2*AA89,"")</f>
        <v>4.4000000000000004</v>
      </c>
      <c r="AC89" s="3">
        <f t="shared" si="82"/>
        <v>26.4</v>
      </c>
      <c r="AD89" s="3">
        <v>1</v>
      </c>
      <c r="AE89" s="3">
        <v>0</v>
      </c>
      <c r="AF89">
        <f>AE89*'fuels and tailpipe emissions'!$B$3</f>
        <v>0</v>
      </c>
      <c r="AG89">
        <v>0</v>
      </c>
      <c r="AH89" s="3">
        <v>0</v>
      </c>
      <c r="AI89" s="3">
        <v>3</v>
      </c>
      <c r="AJ89" s="3">
        <v>1</v>
      </c>
      <c r="AK89">
        <f t="shared" si="67"/>
        <v>1.2</v>
      </c>
      <c r="AL89">
        <f t="shared" ref="AL89:AL92" si="89">0.000537/1000*Q89</f>
        <v>1.1566980000000001E-4</v>
      </c>
      <c r="AM89">
        <v>1.2899999999999999E-3</v>
      </c>
      <c r="AN89" s="2">
        <f t="shared" ref="AN89:AN92" si="90">U89</f>
        <v>84</v>
      </c>
      <c r="AO89" s="2">
        <f t="shared" ref="AO89:AO92" si="91">SUM(V89:W89)</f>
        <v>26</v>
      </c>
      <c r="AP89" s="2">
        <f t="shared" ref="AP89:AP92" si="92">AC89</f>
        <v>26.4</v>
      </c>
      <c r="AQ89" s="6" t="s">
        <v>84</v>
      </c>
      <c r="AR89" s="20"/>
      <c r="AS89" s="5">
        <v>0.18941496155676324</v>
      </c>
      <c r="AT89" s="2">
        <f t="shared" si="78"/>
        <v>50.175550663414057</v>
      </c>
      <c r="AU89" s="5">
        <v>0</v>
      </c>
      <c r="AV89" s="5">
        <v>0</v>
      </c>
      <c r="AW89" s="7">
        <v>0</v>
      </c>
      <c r="AX89" s="7">
        <v>0</v>
      </c>
      <c r="AY89" s="7">
        <v>0</v>
      </c>
      <c r="AZ89" s="7">
        <v>0</v>
      </c>
      <c r="BA89" s="7">
        <v>0</v>
      </c>
      <c r="BB89" s="7">
        <v>0</v>
      </c>
      <c r="BC89" s="7">
        <v>0</v>
      </c>
      <c r="BD89" s="7">
        <v>0</v>
      </c>
      <c r="BE89" s="7">
        <v>0</v>
      </c>
      <c r="BF89" s="7">
        <v>0</v>
      </c>
      <c r="BG89" s="7">
        <v>0</v>
      </c>
      <c r="BH89" s="7">
        <v>0</v>
      </c>
      <c r="BI89" s="7">
        <v>0</v>
      </c>
      <c r="BJ89" s="7">
        <v>0</v>
      </c>
      <c r="BK89" s="7">
        <v>0</v>
      </c>
      <c r="BL89" s="7">
        <v>0</v>
      </c>
      <c r="BM89" s="7">
        <v>0</v>
      </c>
      <c r="BN89" s="7">
        <v>0</v>
      </c>
      <c r="BO89" s="7">
        <v>0</v>
      </c>
      <c r="BP89" s="7">
        <v>0</v>
      </c>
      <c r="BQ89" s="7">
        <v>0</v>
      </c>
      <c r="BR89" s="7">
        <v>0</v>
      </c>
      <c r="BS89" s="7">
        <v>0</v>
      </c>
      <c r="BT89" s="7">
        <v>0</v>
      </c>
      <c r="BU89" s="7">
        <v>0</v>
      </c>
      <c r="BV89" s="7">
        <v>0</v>
      </c>
      <c r="BW89" s="7">
        <v>0</v>
      </c>
      <c r="BX89" s="7">
        <v>0</v>
      </c>
      <c r="BY89" s="7">
        <v>0</v>
      </c>
      <c r="BZ89" s="7">
        <v>0</v>
      </c>
      <c r="CA89" s="7">
        <v>0</v>
      </c>
      <c r="CB89" s="7">
        <v>0</v>
      </c>
      <c r="CC89" s="7">
        <v>0</v>
      </c>
      <c r="CD89" s="7">
        <v>0</v>
      </c>
      <c r="CE89" s="7">
        <v>0</v>
      </c>
      <c r="CF89" s="7">
        <v>0</v>
      </c>
      <c r="CG89" s="7">
        <v>0</v>
      </c>
      <c r="CH89" s="7">
        <v>0</v>
      </c>
      <c r="CI89" s="7">
        <v>0</v>
      </c>
      <c r="CJ89" s="7">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 t="shared" si="79"/>
        <v>5.9107149181405576E-6</v>
      </c>
      <c r="CW89" s="7">
        <f t="shared" si="80"/>
        <v>4.2344887345535782E-6</v>
      </c>
    </row>
    <row r="90" spans="1:101" x14ac:dyDescent="0.2">
      <c r="A90" t="str">
        <f t="shared" si="81"/>
        <v>Scooter, battery electric, 4-11kW - 2030 - LFP - CH</v>
      </c>
      <c r="B90" t="s">
        <v>654</v>
      </c>
      <c r="D90" s="18">
        <v>2030</v>
      </c>
      <c r="E90" t="s">
        <v>37</v>
      </c>
      <c r="F90" t="s">
        <v>136</v>
      </c>
      <c r="G90" t="s">
        <v>39</v>
      </c>
      <c r="H90" t="s">
        <v>32</v>
      </c>
      <c r="I90" t="s">
        <v>43</v>
      </c>
      <c r="J90">
        <v>30000</v>
      </c>
      <c r="K90">
        <v>1870</v>
      </c>
      <c r="L90" s="2">
        <f t="shared" si="84"/>
        <v>16.042780748663102</v>
      </c>
      <c r="M90">
        <v>1</v>
      </c>
      <c r="N90">
        <v>75</v>
      </c>
      <c r="O90">
        <v>4</v>
      </c>
      <c r="P90" s="2">
        <f t="shared" si="85"/>
        <v>145.48000000000002</v>
      </c>
      <c r="Q90" s="2">
        <f t="shared" si="86"/>
        <v>224.48000000000002</v>
      </c>
      <c r="R90">
        <v>6.1</v>
      </c>
      <c r="S90" s="2">
        <v>84</v>
      </c>
      <c r="T90" s="1">
        <v>0.03</v>
      </c>
      <c r="U90" s="2">
        <f t="shared" si="87"/>
        <v>81.48</v>
      </c>
      <c r="V90">
        <v>10</v>
      </c>
      <c r="W90">
        <v>16</v>
      </c>
      <c r="X90" s="3">
        <v>5.7</v>
      </c>
      <c r="Y90" s="1">
        <v>0.8</v>
      </c>
      <c r="Z90" s="3">
        <f t="shared" si="88"/>
        <v>4.5600000000000005</v>
      </c>
      <c r="AA90" s="3">
        <f>IF(I90&lt;&gt;"",X90/INDEX('energy battery'!$B$3:$D$6,MATCH('vehicles specifications'!$D90,'energy battery'!$A$3:$A$6,0),MATCH('vehicles specifications'!$I90,'energy battery'!$B$2:$D$2,0)),"")</f>
        <v>31.666666666666668</v>
      </c>
      <c r="AB90" s="3">
        <f t="shared" ref="AB90:AB92" si="93">IF(AA90&lt;&gt;"",0.2*AA90,"")</f>
        <v>6.3333333333333339</v>
      </c>
      <c r="AC90" s="3">
        <f t="shared" si="82"/>
        <v>38</v>
      </c>
      <c r="AD90" s="3">
        <v>0.5</v>
      </c>
      <c r="AE90" s="3">
        <v>0</v>
      </c>
      <c r="AF90">
        <f>AE90*'fuels and tailpipe emissions'!$B$3</f>
        <v>0</v>
      </c>
      <c r="AG90">
        <v>0</v>
      </c>
      <c r="AH90" s="3">
        <v>0</v>
      </c>
      <c r="AI90" s="3">
        <v>3</v>
      </c>
      <c r="AJ90" s="3">
        <v>1</v>
      </c>
      <c r="AK90">
        <f t="shared" si="67"/>
        <v>1.2</v>
      </c>
      <c r="AL90">
        <f t="shared" si="89"/>
        <v>1.2054576E-4</v>
      </c>
      <c r="AM90">
        <v>1.2899999999999999E-3</v>
      </c>
      <c r="AN90" s="2">
        <f t="shared" si="90"/>
        <v>81.48</v>
      </c>
      <c r="AO90" s="2">
        <f t="shared" si="91"/>
        <v>26</v>
      </c>
      <c r="AP90" s="2">
        <f t="shared" si="92"/>
        <v>38</v>
      </c>
      <c r="AQ90" s="6" t="s">
        <v>84</v>
      </c>
      <c r="AR90" s="20"/>
      <c r="AS90" s="5">
        <v>0.18941496155676324</v>
      </c>
      <c r="AT90" s="2">
        <f t="shared" si="78"/>
        <v>86.666860236806102</v>
      </c>
      <c r="AU90" s="5">
        <v>0</v>
      </c>
      <c r="AV90" s="5">
        <v>0</v>
      </c>
      <c r="AW90" s="7">
        <v>0</v>
      </c>
      <c r="AX90" s="7">
        <v>0</v>
      </c>
      <c r="AY90" s="7">
        <v>0</v>
      </c>
      <c r="AZ90" s="7">
        <v>0</v>
      </c>
      <c r="BA90" s="7">
        <v>0</v>
      </c>
      <c r="BB90" s="7">
        <v>0</v>
      </c>
      <c r="BC90" s="7">
        <v>0</v>
      </c>
      <c r="BD90" s="7">
        <v>0</v>
      </c>
      <c r="BE90" s="7">
        <v>0</v>
      </c>
      <c r="BF90" s="7">
        <v>0</v>
      </c>
      <c r="BG90" s="7">
        <v>0</v>
      </c>
      <c r="BH90" s="7">
        <v>0</v>
      </c>
      <c r="BI90" s="7">
        <v>0</v>
      </c>
      <c r="BJ90" s="7">
        <v>0</v>
      </c>
      <c r="BK90" s="7">
        <v>0</v>
      </c>
      <c r="BL90" s="7">
        <v>0</v>
      </c>
      <c r="BM90" s="7">
        <v>0</v>
      </c>
      <c r="BN90" s="7">
        <v>0</v>
      </c>
      <c r="BO90" s="7">
        <v>0</v>
      </c>
      <c r="BP90" s="7">
        <v>0</v>
      </c>
      <c r="BQ90" s="7">
        <v>0</v>
      </c>
      <c r="BR90" s="7">
        <v>0</v>
      </c>
      <c r="BS90" s="7">
        <v>0</v>
      </c>
      <c r="BT90" s="7">
        <v>0</v>
      </c>
      <c r="BU90" s="7">
        <v>0</v>
      </c>
      <c r="BV90" s="7">
        <v>0</v>
      </c>
      <c r="BW90" s="7">
        <v>0</v>
      </c>
      <c r="BX90" s="7">
        <v>0</v>
      </c>
      <c r="BY90" s="7">
        <v>0</v>
      </c>
      <c r="BZ90" s="7">
        <v>0</v>
      </c>
      <c r="CA90" s="7">
        <v>0</v>
      </c>
      <c r="CB90" s="7">
        <v>0</v>
      </c>
      <c r="CC90" s="7">
        <v>0</v>
      </c>
      <c r="CD90" s="7">
        <v>0</v>
      </c>
      <c r="CE90" s="7">
        <v>0</v>
      </c>
      <c r="CF90" s="7">
        <v>0</v>
      </c>
      <c r="CG90" s="7">
        <v>0</v>
      </c>
      <c r="CH90" s="7">
        <v>0</v>
      </c>
      <c r="CI90" s="7">
        <v>0</v>
      </c>
      <c r="CJ90" s="7">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 t="shared" si="79"/>
        <v>6.0400969769002495E-6</v>
      </c>
      <c r="CW90" s="7">
        <f t="shared" si="80"/>
        <v>4.3467731359367686E-6</v>
      </c>
    </row>
    <row r="91" spans="1:101" x14ac:dyDescent="0.2">
      <c r="A91" t="str">
        <f t="shared" si="81"/>
        <v>Scooter, battery electric, 4-11kW - 2040 - LFP - CH</v>
      </c>
      <c r="B91" t="s">
        <v>654</v>
      </c>
      <c r="D91" s="18">
        <v>2040</v>
      </c>
      <c r="E91" t="s">
        <v>37</v>
      </c>
      <c r="F91" t="s">
        <v>136</v>
      </c>
      <c r="G91" t="s">
        <v>39</v>
      </c>
      <c r="H91" t="s">
        <v>32</v>
      </c>
      <c r="I91" t="s">
        <v>43</v>
      </c>
      <c r="J91">
        <v>30000</v>
      </c>
      <c r="K91">
        <v>1870</v>
      </c>
      <c r="L91" s="2">
        <f t="shared" si="84"/>
        <v>16.042780748663102</v>
      </c>
      <c r="M91">
        <v>1</v>
      </c>
      <c r="N91">
        <v>75</v>
      </c>
      <c r="O91">
        <v>4</v>
      </c>
      <c r="P91" s="2">
        <f t="shared" si="85"/>
        <v>160.46666666666664</v>
      </c>
      <c r="Q91" s="2">
        <f t="shared" si="86"/>
        <v>239.46666666666664</v>
      </c>
      <c r="R91">
        <v>6.1</v>
      </c>
      <c r="S91" s="2">
        <v>84</v>
      </c>
      <c r="T91" s="1">
        <v>0.05</v>
      </c>
      <c r="U91" s="2">
        <f t="shared" si="87"/>
        <v>79.8</v>
      </c>
      <c r="V91">
        <v>10</v>
      </c>
      <c r="W91">
        <v>16</v>
      </c>
      <c r="X91" s="3">
        <v>8.1999999999999993</v>
      </c>
      <c r="Y91" s="1">
        <v>0.8</v>
      </c>
      <c r="Z91" s="3">
        <f t="shared" si="88"/>
        <v>6.56</v>
      </c>
      <c r="AA91" s="3">
        <f>IF(I91&lt;&gt;"",X91/INDEX('energy battery'!$B$3:$D$6,MATCH('vehicles specifications'!$D91,'energy battery'!$A$3:$A$6,0),MATCH('vehicles specifications'!$I91,'energy battery'!$B$2:$D$2,0)),"")</f>
        <v>45.55555555555555</v>
      </c>
      <c r="AB91" s="3">
        <f t="shared" si="93"/>
        <v>9.1111111111111107</v>
      </c>
      <c r="AC91" s="3">
        <f t="shared" si="82"/>
        <v>54.666666666666657</v>
      </c>
      <c r="AD91" s="3">
        <v>0.25</v>
      </c>
      <c r="AE91" s="3">
        <v>0</v>
      </c>
      <c r="AF91">
        <f>AE91*'fuels and tailpipe emissions'!$B$3</f>
        <v>0</v>
      </c>
      <c r="AG91">
        <v>0</v>
      </c>
      <c r="AH91" s="3">
        <v>0</v>
      </c>
      <c r="AI91" s="3">
        <v>3</v>
      </c>
      <c r="AJ91" s="3">
        <v>1</v>
      </c>
      <c r="AK91">
        <f t="shared" si="67"/>
        <v>1.2</v>
      </c>
      <c r="AL91">
        <f t="shared" si="89"/>
        <v>1.2859359999999999E-4</v>
      </c>
      <c r="AM91">
        <v>1.2899999999999999E-3</v>
      </c>
      <c r="AN91" s="2">
        <f t="shared" si="90"/>
        <v>79.8</v>
      </c>
      <c r="AO91" s="2">
        <f t="shared" si="91"/>
        <v>26</v>
      </c>
      <c r="AP91" s="2">
        <f t="shared" si="92"/>
        <v>54.666666666666657</v>
      </c>
      <c r="AQ91" s="6" t="s">
        <v>84</v>
      </c>
      <c r="AR91" s="20"/>
      <c r="AS91" s="5">
        <v>0.18941496155676324</v>
      </c>
      <c r="AT91" s="2">
        <f t="shared" si="78"/>
        <v>124.6786410424228</v>
      </c>
      <c r="AU91" s="5">
        <v>0</v>
      </c>
      <c r="AV91" s="5">
        <v>0</v>
      </c>
      <c r="AW91" s="7">
        <v>0</v>
      </c>
      <c r="AX91" s="7">
        <v>0</v>
      </c>
      <c r="AY91" s="7">
        <v>0</v>
      </c>
      <c r="AZ91" s="7">
        <v>0</v>
      </c>
      <c r="BA91" s="7">
        <v>0</v>
      </c>
      <c r="BB91" s="7">
        <v>0</v>
      </c>
      <c r="BC91" s="7">
        <v>0</v>
      </c>
      <c r="BD91" s="7">
        <v>0</v>
      </c>
      <c r="BE91" s="7">
        <v>0</v>
      </c>
      <c r="BF91" s="7">
        <v>0</v>
      </c>
      <c r="BG91" s="7">
        <v>0</v>
      </c>
      <c r="BH91" s="7">
        <v>0</v>
      </c>
      <c r="BI91" s="7">
        <v>0</v>
      </c>
      <c r="BJ91" s="7">
        <v>0</v>
      </c>
      <c r="BK91" s="7">
        <v>0</v>
      </c>
      <c r="BL91" s="7">
        <v>0</v>
      </c>
      <c r="BM91" s="7">
        <v>0</v>
      </c>
      <c r="BN91" s="7">
        <v>0</v>
      </c>
      <c r="BO91" s="7">
        <v>0</v>
      </c>
      <c r="BP91" s="7">
        <v>0</v>
      </c>
      <c r="BQ91" s="7">
        <v>0</v>
      </c>
      <c r="BR91" s="7">
        <v>0</v>
      </c>
      <c r="BS91" s="7">
        <v>0</v>
      </c>
      <c r="BT91" s="7">
        <v>0</v>
      </c>
      <c r="BU91" s="7">
        <v>0</v>
      </c>
      <c r="BV91" s="7">
        <v>0</v>
      </c>
      <c r="BW91" s="7">
        <v>0</v>
      </c>
      <c r="BX91" s="7">
        <v>0</v>
      </c>
      <c r="BY91" s="7">
        <v>0</v>
      </c>
      <c r="BZ91" s="7">
        <v>0</v>
      </c>
      <c r="CA91" s="7">
        <v>0</v>
      </c>
      <c r="CB91" s="7">
        <v>0</v>
      </c>
      <c r="CC91" s="7">
        <v>0</v>
      </c>
      <c r="CD91" s="7">
        <v>0</v>
      </c>
      <c r="CE91" s="7">
        <v>0</v>
      </c>
      <c r="CF91" s="7">
        <v>0</v>
      </c>
      <c r="CG91" s="7">
        <v>0</v>
      </c>
      <c r="CH91" s="7">
        <v>0</v>
      </c>
      <c r="CI91" s="7">
        <v>0</v>
      </c>
      <c r="CJ91" s="7">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 t="shared" si="79"/>
        <v>6.2457556469000968E-6</v>
      </c>
      <c r="CW91" s="7">
        <f t="shared" si="80"/>
        <v>4.5271849074802194E-6</v>
      </c>
    </row>
    <row r="92" spans="1:101" x14ac:dyDescent="0.2">
      <c r="A92" t="str">
        <f t="shared" si="81"/>
        <v>Scooter, battery electric, 4-11kW - 2050 - LFP - CH</v>
      </c>
      <c r="B92" t="s">
        <v>654</v>
      </c>
      <c r="D92" s="18">
        <v>2050</v>
      </c>
      <c r="E92" t="s">
        <v>37</v>
      </c>
      <c r="F92" t="s">
        <v>136</v>
      </c>
      <c r="G92" t="s">
        <v>39</v>
      </c>
      <c r="H92" t="s">
        <v>32</v>
      </c>
      <c r="I92" t="s">
        <v>43</v>
      </c>
      <c r="J92">
        <v>30000</v>
      </c>
      <c r="K92">
        <v>1870</v>
      </c>
      <c r="L92" s="2">
        <f t="shared" si="84"/>
        <v>16.042780748663102</v>
      </c>
      <c r="M92">
        <v>1</v>
      </c>
      <c r="N92">
        <v>75</v>
      </c>
      <c r="O92">
        <v>4</v>
      </c>
      <c r="P92" s="2">
        <f t="shared" si="85"/>
        <v>168.92</v>
      </c>
      <c r="Q92" s="2">
        <f t="shared" si="86"/>
        <v>247.92</v>
      </c>
      <c r="R92">
        <v>6.1</v>
      </c>
      <c r="S92" s="2">
        <v>84</v>
      </c>
      <c r="T92" s="1">
        <v>7.0000000000000007E-2</v>
      </c>
      <c r="U92" s="2">
        <f t="shared" si="87"/>
        <v>78.11999999999999</v>
      </c>
      <c r="V92">
        <v>10</v>
      </c>
      <c r="W92">
        <v>16</v>
      </c>
      <c r="X92" s="3">
        <v>10.8</v>
      </c>
      <c r="Y92" s="1">
        <v>0.8</v>
      </c>
      <c r="Z92" s="3">
        <f t="shared" si="88"/>
        <v>8.64</v>
      </c>
      <c r="AA92" s="3">
        <f>IF(I92&lt;&gt;"",X92/INDEX('energy battery'!$B$3:$D$6,MATCH('vehicles specifications'!$D92,'energy battery'!$A$3:$A$6,0),MATCH('vehicles specifications'!$I92,'energy battery'!$B$2:$D$2,0)),"")</f>
        <v>54</v>
      </c>
      <c r="AB92" s="3">
        <f t="shared" si="93"/>
        <v>10.8</v>
      </c>
      <c r="AC92" s="3">
        <f t="shared" si="82"/>
        <v>64.8</v>
      </c>
      <c r="AD92" s="3">
        <v>0</v>
      </c>
      <c r="AE92" s="3">
        <v>0</v>
      </c>
      <c r="AF92">
        <f>AE92*'fuels and tailpipe emissions'!$B$3</f>
        <v>0</v>
      </c>
      <c r="AG92">
        <v>0</v>
      </c>
      <c r="AH92" s="3">
        <v>0</v>
      </c>
      <c r="AI92" s="3">
        <v>3</v>
      </c>
      <c r="AJ92" s="3">
        <v>1</v>
      </c>
      <c r="AK92">
        <f t="shared" si="67"/>
        <v>1.2</v>
      </c>
      <c r="AL92">
        <f t="shared" si="89"/>
        <v>1.3313303999999999E-4</v>
      </c>
      <c r="AM92">
        <v>1.2899999999999999E-3</v>
      </c>
      <c r="AN92" s="2">
        <f t="shared" si="90"/>
        <v>78.11999999999999</v>
      </c>
      <c r="AO92" s="2">
        <f t="shared" si="91"/>
        <v>26</v>
      </c>
      <c r="AP92" s="2">
        <f t="shared" si="92"/>
        <v>64.8</v>
      </c>
      <c r="AQ92" s="6" t="s">
        <v>84</v>
      </c>
      <c r="AR92" s="20"/>
      <c r="AS92" s="5">
        <v>0.18941496155676324</v>
      </c>
      <c r="AT92" s="2">
        <f t="shared" si="78"/>
        <v>164.21089308026419</v>
      </c>
      <c r="AU92" s="5">
        <v>0</v>
      </c>
      <c r="AV92" s="5">
        <v>0</v>
      </c>
      <c r="AW92" s="7">
        <v>0</v>
      </c>
      <c r="AX92" s="7">
        <v>0</v>
      </c>
      <c r="AY92" s="7">
        <v>0</v>
      </c>
      <c r="AZ92" s="7">
        <v>0</v>
      </c>
      <c r="BA92" s="7">
        <v>0</v>
      </c>
      <c r="BB92" s="7">
        <v>0</v>
      </c>
      <c r="BC92" s="7">
        <v>0</v>
      </c>
      <c r="BD92" s="7">
        <v>0</v>
      </c>
      <c r="BE92" s="7">
        <v>0</v>
      </c>
      <c r="BF92" s="7">
        <v>0</v>
      </c>
      <c r="BG92" s="7">
        <v>0</v>
      </c>
      <c r="BH92" s="7">
        <v>0</v>
      </c>
      <c r="BI92" s="7">
        <v>0</v>
      </c>
      <c r="BJ92" s="7">
        <v>0</v>
      </c>
      <c r="BK92" s="7">
        <v>0</v>
      </c>
      <c r="BL92" s="7">
        <v>0</v>
      </c>
      <c r="BM92" s="7">
        <v>0</v>
      </c>
      <c r="BN92" s="7">
        <v>0</v>
      </c>
      <c r="BO92" s="7">
        <v>0</v>
      </c>
      <c r="BP92" s="7">
        <v>0</v>
      </c>
      <c r="BQ92" s="7">
        <v>0</v>
      </c>
      <c r="BR92" s="7">
        <v>0</v>
      </c>
      <c r="BS92" s="7">
        <v>0</v>
      </c>
      <c r="BT92" s="7">
        <v>0</v>
      </c>
      <c r="BU92" s="7">
        <v>0</v>
      </c>
      <c r="BV92" s="7">
        <v>0</v>
      </c>
      <c r="BW92" s="7">
        <v>0</v>
      </c>
      <c r="BX92" s="7">
        <v>0</v>
      </c>
      <c r="BY92" s="7">
        <v>0</v>
      </c>
      <c r="BZ92" s="7">
        <v>0</v>
      </c>
      <c r="CA92" s="7">
        <v>0</v>
      </c>
      <c r="CB92" s="7">
        <v>0</v>
      </c>
      <c r="CC92" s="7">
        <v>0</v>
      </c>
      <c r="CD92" s="7">
        <v>0</v>
      </c>
      <c r="CE92" s="7">
        <v>0</v>
      </c>
      <c r="CF92" s="7">
        <v>0</v>
      </c>
      <c r="CG92" s="7">
        <v>0</v>
      </c>
      <c r="CH92" s="7">
        <v>0</v>
      </c>
      <c r="CI92" s="7">
        <v>0</v>
      </c>
      <c r="CJ92" s="7">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 t="shared" si="79"/>
        <v>6.3578189334249771E-6</v>
      </c>
      <c r="CW92" s="7">
        <f t="shared" si="80"/>
        <v>4.6264597747033504E-6</v>
      </c>
    </row>
    <row r="93" spans="1:101" x14ac:dyDescent="0.2">
      <c r="A93" t="str">
        <f t="shared" ref="A93:A100" si="94">B93&amp;" - "&amp;D93&amp;" - "&amp;IF(I93&lt;&gt;"",I93&amp;" - "&amp;E93,E93)</f>
        <v>Scooter, battery electric, &lt;4kW - 2020 - NCA - CH</v>
      </c>
      <c r="B93" t="s">
        <v>653</v>
      </c>
      <c r="D93" s="18">
        <v>2020</v>
      </c>
      <c r="E93" t="s">
        <v>37</v>
      </c>
      <c r="F93" t="s">
        <v>136</v>
      </c>
      <c r="G93" t="s">
        <v>39</v>
      </c>
      <c r="H93" t="s">
        <v>32</v>
      </c>
      <c r="I93" t="s">
        <v>44</v>
      </c>
      <c r="J93">
        <v>25000</v>
      </c>
      <c r="K93">
        <v>1570</v>
      </c>
      <c r="L93" s="2">
        <f>J93/K93</f>
        <v>15.923566878980891</v>
      </c>
      <c r="M93">
        <v>1</v>
      </c>
      <c r="N93">
        <v>75</v>
      </c>
      <c r="O93">
        <v>4</v>
      </c>
      <c r="P93" s="2">
        <f>SUM(U93,V93,W93,AC93,AF93,AH93)</f>
        <v>99</v>
      </c>
      <c r="Q93" s="2">
        <f>P93+(M93*N93)+O93</f>
        <v>178</v>
      </c>
      <c r="R93">
        <v>2.6</v>
      </c>
      <c r="S93" s="2">
        <v>73</v>
      </c>
      <c r="T93" s="1">
        <v>0</v>
      </c>
      <c r="U93" s="2">
        <f>S93*(1-T93)</f>
        <v>73</v>
      </c>
      <c r="V93">
        <v>5</v>
      </c>
      <c r="W93">
        <v>8</v>
      </c>
      <c r="X93" s="3">
        <v>2.2999999999999998</v>
      </c>
      <c r="Y93" s="1">
        <v>0.8</v>
      </c>
      <c r="Z93" s="3">
        <f>Y93*X93</f>
        <v>1.8399999999999999</v>
      </c>
      <c r="AA93" s="3">
        <f>IF(I93&lt;&gt;"",X93/INDEX('energy battery'!$B$3:$D$6,MATCH('vehicles specifications'!$D93,'energy battery'!$A$3:$A$6,0),MATCH('vehicles specifications'!$I93,'energy battery'!$B$2:$D$2,0)),"")</f>
        <v>9.9999999999999982</v>
      </c>
      <c r="AB93" s="3">
        <f t="shared" si="6"/>
        <v>2.9999999999999996</v>
      </c>
      <c r="AC93" s="3">
        <f t="shared" ref="AC93:AC100" si="95">IF(AA93&lt;&gt;"",AB93+AA93,"")</f>
        <v>12.999999999999998</v>
      </c>
      <c r="AD93" s="3">
        <v>1</v>
      </c>
      <c r="AE93" s="3">
        <v>0</v>
      </c>
      <c r="AF93">
        <f>AE93*'fuels and tailpipe emissions'!$B$3</f>
        <v>0</v>
      </c>
      <c r="AG93">
        <v>0</v>
      </c>
      <c r="AH93" s="3">
        <v>0</v>
      </c>
      <c r="AI93" s="3">
        <v>3</v>
      </c>
      <c r="AJ93" s="3">
        <v>1</v>
      </c>
      <c r="AK93">
        <f t="shared" si="67"/>
        <v>1</v>
      </c>
      <c r="AL93">
        <f>0.000537/1000*Q93</f>
        <v>9.5586000000000003E-5</v>
      </c>
      <c r="AM93">
        <v>1.2899999999999999E-3</v>
      </c>
      <c r="AN93" s="2">
        <f>U93</f>
        <v>73</v>
      </c>
      <c r="AO93" s="2">
        <f>SUM(V93:W93)</f>
        <v>13</v>
      </c>
      <c r="AP93" s="2">
        <f>AC93</f>
        <v>12.999999999999998</v>
      </c>
      <c r="AQ93" s="6" t="s">
        <v>84</v>
      </c>
      <c r="AR93" s="20"/>
      <c r="AS93" s="5">
        <v>0.13343610710814707</v>
      </c>
      <c r="AT93" s="2">
        <f t="shared" si="78"/>
        <v>49.641735985533444</v>
      </c>
      <c r="AU93" s="5">
        <v>0</v>
      </c>
      <c r="AV93" s="5">
        <v>0</v>
      </c>
      <c r="AW93" s="7">
        <v>0</v>
      </c>
      <c r="AX93" s="7">
        <v>0</v>
      </c>
      <c r="AY93" s="7">
        <v>0</v>
      </c>
      <c r="AZ93" s="7">
        <v>0</v>
      </c>
      <c r="BA93" s="7">
        <v>0</v>
      </c>
      <c r="BB93" s="7">
        <v>0</v>
      </c>
      <c r="BC93" s="7">
        <v>0</v>
      </c>
      <c r="BD93" s="7">
        <v>0</v>
      </c>
      <c r="BE93" s="7">
        <v>0</v>
      </c>
      <c r="BF93" s="7">
        <v>0</v>
      </c>
      <c r="BG93" s="7">
        <v>0</v>
      </c>
      <c r="BH93" s="7">
        <v>0</v>
      </c>
      <c r="BI93" s="7">
        <v>0</v>
      </c>
      <c r="BJ93" s="7">
        <v>0</v>
      </c>
      <c r="BK93" s="7">
        <v>0</v>
      </c>
      <c r="BL93" s="7">
        <v>0</v>
      </c>
      <c r="BM93" s="7">
        <v>0</v>
      </c>
      <c r="BN93" s="7">
        <v>0</v>
      </c>
      <c r="BO93" s="7">
        <v>0</v>
      </c>
      <c r="BP93" s="7">
        <v>0</v>
      </c>
      <c r="BQ93" s="7">
        <v>0</v>
      </c>
      <c r="BR93" s="7">
        <v>0</v>
      </c>
      <c r="BS93" s="7">
        <v>0</v>
      </c>
      <c r="BT93" s="7">
        <v>0</v>
      </c>
      <c r="BU93" s="7">
        <v>0</v>
      </c>
      <c r="BV93" s="7">
        <v>0</v>
      </c>
      <c r="BW93" s="7">
        <v>0</v>
      </c>
      <c r="BX93" s="7">
        <v>0</v>
      </c>
      <c r="BY93" s="7">
        <v>0</v>
      </c>
      <c r="BZ93" s="7">
        <v>0</v>
      </c>
      <c r="CA93" s="7">
        <v>0</v>
      </c>
      <c r="CB93" s="7">
        <v>0</v>
      </c>
      <c r="CC93" s="7">
        <v>0</v>
      </c>
      <c r="CD93" s="7">
        <v>0</v>
      </c>
      <c r="CE93" s="7">
        <v>0</v>
      </c>
      <c r="CF93" s="7">
        <v>0</v>
      </c>
      <c r="CG93" s="7">
        <v>0</v>
      </c>
      <c r="CH93" s="7">
        <v>0</v>
      </c>
      <c r="CI93" s="7">
        <v>0</v>
      </c>
      <c r="CJ93" s="7">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 t="shared" si="79"/>
        <v>5.3310187549390202E-6</v>
      </c>
      <c r="CW93" s="7">
        <f t="shared" si="80"/>
        <v>3.7437265641026168E-6</v>
      </c>
    </row>
    <row r="94" spans="1:101" x14ac:dyDescent="0.2">
      <c r="A94" t="str">
        <f t="shared" si="94"/>
        <v>Scooter, battery electric, &lt;4kW - 2030 - NCA - CH</v>
      </c>
      <c r="B94" t="s">
        <v>653</v>
      </c>
      <c r="D94" s="18">
        <v>2030</v>
      </c>
      <c r="E94" t="s">
        <v>37</v>
      </c>
      <c r="F94" t="s">
        <v>136</v>
      </c>
      <c r="G94" t="s">
        <v>39</v>
      </c>
      <c r="H94" t="s">
        <v>32</v>
      </c>
      <c r="I94" t="s">
        <v>44</v>
      </c>
      <c r="J94">
        <v>25000</v>
      </c>
      <c r="K94">
        <v>1570</v>
      </c>
      <c r="L94" s="2">
        <f>J94/K94</f>
        <v>15.923566878980891</v>
      </c>
      <c r="M94">
        <v>1</v>
      </c>
      <c r="N94">
        <v>75</v>
      </c>
      <c r="O94">
        <v>4</v>
      </c>
      <c r="P94" s="2">
        <f>SUM(U94,V94,W94,AC94,AF94,AH94)</f>
        <v>101.14333333333335</v>
      </c>
      <c r="Q94" s="2">
        <f>P94+(M94*N94)+O94</f>
        <v>180.14333333333335</v>
      </c>
      <c r="R94">
        <v>2.6</v>
      </c>
      <c r="S94" s="2">
        <v>73</v>
      </c>
      <c r="T94" s="1">
        <v>0.03</v>
      </c>
      <c r="U94" s="2">
        <f>S94*(1-T94)</f>
        <v>70.81</v>
      </c>
      <c r="V94">
        <v>5</v>
      </c>
      <c r="W94">
        <v>8</v>
      </c>
      <c r="X94" s="3">
        <v>4</v>
      </c>
      <c r="Y94" s="1">
        <v>0.8</v>
      </c>
      <c r="Z94" s="3">
        <f>Y94*X94</f>
        <v>3.2</v>
      </c>
      <c r="AA94" s="3">
        <f>IF(I94&lt;&gt;"",X94/INDEX('energy battery'!$B$3:$D$6,MATCH('vehicles specifications'!$D94,'energy battery'!$A$3:$A$6,0),MATCH('vehicles specifications'!$I94,'energy battery'!$B$2:$D$2,0)),"")</f>
        <v>13.333333333333334</v>
      </c>
      <c r="AB94" s="3">
        <f t="shared" si="6"/>
        <v>4</v>
      </c>
      <c r="AC94" s="3">
        <f t="shared" si="95"/>
        <v>17.333333333333336</v>
      </c>
      <c r="AD94" s="3">
        <v>0.5</v>
      </c>
      <c r="AE94" s="3">
        <v>0</v>
      </c>
      <c r="AF94">
        <f>AE94*'fuels and tailpipe emissions'!$B$3</f>
        <v>0</v>
      </c>
      <c r="AG94">
        <v>0</v>
      </c>
      <c r="AH94" s="3">
        <v>0</v>
      </c>
      <c r="AI94" s="3">
        <v>3</v>
      </c>
      <c r="AJ94" s="3">
        <v>1</v>
      </c>
      <c r="AK94">
        <f t="shared" si="67"/>
        <v>1</v>
      </c>
      <c r="AL94">
        <f>0.000537/1000*Q94</f>
        <v>9.6736970000000004E-5</v>
      </c>
      <c r="AM94">
        <v>1.2899999999999999E-3</v>
      </c>
      <c r="AN94" s="2">
        <f>U94</f>
        <v>70.81</v>
      </c>
      <c r="AO94" s="2">
        <f>SUM(V94:W94)</f>
        <v>13</v>
      </c>
      <c r="AP94" s="2">
        <f>AC94</f>
        <v>17.333333333333336</v>
      </c>
      <c r="AQ94" s="6" t="s">
        <v>84</v>
      </c>
      <c r="AR94" s="20"/>
      <c r="AS94" s="5">
        <v>0.13343610710814707</v>
      </c>
      <c r="AT94" s="2">
        <f t="shared" si="78"/>
        <v>86.333453887884261</v>
      </c>
      <c r="AU94" s="5">
        <v>0</v>
      </c>
      <c r="AV94" s="5">
        <v>0</v>
      </c>
      <c r="AW94" s="7">
        <v>0</v>
      </c>
      <c r="AX94" s="7">
        <v>0</v>
      </c>
      <c r="AY94" s="7">
        <v>0</v>
      </c>
      <c r="AZ94" s="7">
        <v>0</v>
      </c>
      <c r="BA94" s="7">
        <v>0</v>
      </c>
      <c r="BB94" s="7">
        <v>0</v>
      </c>
      <c r="BC94" s="7">
        <v>0</v>
      </c>
      <c r="BD94" s="7">
        <v>0</v>
      </c>
      <c r="BE94" s="7">
        <v>0</v>
      </c>
      <c r="BF94" s="7">
        <v>0</v>
      </c>
      <c r="BG94" s="7">
        <v>0</v>
      </c>
      <c r="BH94" s="7">
        <v>0</v>
      </c>
      <c r="BI94" s="7">
        <v>0</v>
      </c>
      <c r="BJ94" s="7">
        <v>0</v>
      </c>
      <c r="BK94" s="7">
        <v>0</v>
      </c>
      <c r="BL94" s="7">
        <v>0</v>
      </c>
      <c r="BM94" s="7">
        <v>0</v>
      </c>
      <c r="BN94" s="7">
        <v>0</v>
      </c>
      <c r="BO94" s="7">
        <v>0</v>
      </c>
      <c r="BP94" s="7">
        <v>0</v>
      </c>
      <c r="BQ94" s="7">
        <v>0</v>
      </c>
      <c r="BR94" s="7">
        <v>0</v>
      </c>
      <c r="BS94" s="7">
        <v>0</v>
      </c>
      <c r="BT94" s="7">
        <v>0</v>
      </c>
      <c r="BU94" s="7">
        <v>0</v>
      </c>
      <c r="BV94" s="7">
        <v>0</v>
      </c>
      <c r="BW94" s="7">
        <v>0</v>
      </c>
      <c r="BX94" s="7">
        <v>0</v>
      </c>
      <c r="BY94" s="7">
        <v>0</v>
      </c>
      <c r="BZ94" s="7">
        <v>0</v>
      </c>
      <c r="CA94" s="7">
        <v>0</v>
      </c>
      <c r="CB94" s="7">
        <v>0</v>
      </c>
      <c r="CC94" s="7">
        <v>0</v>
      </c>
      <c r="CD94" s="7">
        <v>0</v>
      </c>
      <c r="CE94" s="7">
        <v>0</v>
      </c>
      <c r="CF94" s="7">
        <v>0</v>
      </c>
      <c r="CG94" s="7">
        <v>0</v>
      </c>
      <c r="CH94" s="7">
        <v>0</v>
      </c>
      <c r="CI94" s="7">
        <v>0</v>
      </c>
      <c r="CJ94" s="7">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 t="shared" si="79"/>
        <v>5.3666314835027254E-6</v>
      </c>
      <c r="CW94" s="7">
        <f t="shared" si="80"/>
        <v>3.7732619309166969E-6</v>
      </c>
    </row>
    <row r="95" spans="1:101" x14ac:dyDescent="0.2">
      <c r="A95" t="str">
        <f t="shared" si="94"/>
        <v>Scooter, battery electric, &lt;4kW - 2040 - NCA - CH</v>
      </c>
      <c r="B95" t="s">
        <v>653</v>
      </c>
      <c r="D95" s="18">
        <v>2040</v>
      </c>
      <c r="E95" t="s">
        <v>37</v>
      </c>
      <c r="F95" t="s">
        <v>136</v>
      </c>
      <c r="G95" t="s">
        <v>39</v>
      </c>
      <c r="H95" t="s">
        <v>32</v>
      </c>
      <c r="I95" t="s">
        <v>44</v>
      </c>
      <c r="J95">
        <v>25000</v>
      </c>
      <c r="K95">
        <v>1570</v>
      </c>
      <c r="L95" s="2">
        <f>J95/K95</f>
        <v>15.923566878980891</v>
      </c>
      <c r="M95">
        <v>1</v>
      </c>
      <c r="N95">
        <v>75</v>
      </c>
      <c r="O95">
        <v>4</v>
      </c>
      <c r="P95" s="2">
        <f>SUM(U95,V95,W95,AC95,AF95,AH95)</f>
        <v>101.19999999999999</v>
      </c>
      <c r="Q95" s="2">
        <f>P95+(M95*N95)+O95</f>
        <v>180.2</v>
      </c>
      <c r="R95">
        <v>2.6</v>
      </c>
      <c r="S95" s="2">
        <v>73</v>
      </c>
      <c r="T95" s="1">
        <v>0.05</v>
      </c>
      <c r="U95" s="2">
        <f>S95*(1-T95)</f>
        <v>69.349999999999994</v>
      </c>
      <c r="V95">
        <v>5</v>
      </c>
      <c r="W95">
        <v>8</v>
      </c>
      <c r="X95" s="3">
        <v>5.8</v>
      </c>
      <c r="Y95" s="1">
        <v>0.8</v>
      </c>
      <c r="Z95" s="3">
        <f>Y95*X95</f>
        <v>4.6399999999999997</v>
      </c>
      <c r="AA95" s="3">
        <f>IF(I95&lt;&gt;"",X95/INDEX('energy battery'!$B$3:$D$6,MATCH('vehicles specifications'!$D95,'energy battery'!$A$3:$A$6,0),MATCH('vehicles specifications'!$I95,'energy battery'!$B$2:$D$2,0)),"")</f>
        <v>14.499999999999998</v>
      </c>
      <c r="AB95" s="3">
        <f t="shared" si="6"/>
        <v>4.3499999999999996</v>
      </c>
      <c r="AC95" s="3">
        <f t="shared" si="95"/>
        <v>18.849999999999998</v>
      </c>
      <c r="AD95" s="3">
        <v>0.25</v>
      </c>
      <c r="AE95" s="3">
        <v>0</v>
      </c>
      <c r="AF95">
        <f>AE95*'fuels and tailpipe emissions'!$B$3</f>
        <v>0</v>
      </c>
      <c r="AG95">
        <v>0</v>
      </c>
      <c r="AH95" s="3">
        <v>0</v>
      </c>
      <c r="AI95" s="3">
        <v>3</v>
      </c>
      <c r="AJ95" s="3">
        <v>1</v>
      </c>
      <c r="AK95">
        <f t="shared" si="67"/>
        <v>1</v>
      </c>
      <c r="AL95">
        <f>0.000537/1000*Q95</f>
        <v>9.6767399999999991E-5</v>
      </c>
      <c r="AM95">
        <v>1.2899999999999999E-3</v>
      </c>
      <c r="AN95" s="2">
        <f>U95</f>
        <v>69.349999999999994</v>
      </c>
      <c r="AO95" s="2">
        <f>SUM(V95:W95)</f>
        <v>13</v>
      </c>
      <c r="AP95" s="2">
        <f>AC95</f>
        <v>18.849999999999998</v>
      </c>
      <c r="AQ95" s="6" t="s">
        <v>84</v>
      </c>
      <c r="AR95" s="20"/>
      <c r="AS95" s="5">
        <v>0.13343610710814707</v>
      </c>
      <c r="AT95" s="2">
        <f t="shared" si="78"/>
        <v>125.18350813743217</v>
      </c>
      <c r="AU95" s="5">
        <v>0</v>
      </c>
      <c r="AV95" s="5">
        <v>0</v>
      </c>
      <c r="AW95" s="7">
        <v>0</v>
      </c>
      <c r="AX95" s="7">
        <v>0</v>
      </c>
      <c r="AY95" s="7">
        <v>0</v>
      </c>
      <c r="AZ95" s="7">
        <v>0</v>
      </c>
      <c r="BA95" s="7">
        <v>0</v>
      </c>
      <c r="BB95" s="7">
        <v>0</v>
      </c>
      <c r="BC95" s="7">
        <v>0</v>
      </c>
      <c r="BD95" s="7">
        <v>0</v>
      </c>
      <c r="BE95" s="7">
        <v>0</v>
      </c>
      <c r="BF95" s="7">
        <v>0</v>
      </c>
      <c r="BG95" s="7">
        <v>0</v>
      </c>
      <c r="BH95" s="7">
        <v>0</v>
      </c>
      <c r="BI95" s="7">
        <v>0</v>
      </c>
      <c r="BJ95" s="7">
        <v>0</v>
      </c>
      <c r="BK95" s="7">
        <v>0</v>
      </c>
      <c r="BL95" s="7">
        <v>0</v>
      </c>
      <c r="BM95" s="7">
        <v>0</v>
      </c>
      <c r="BN95" s="7">
        <v>0</v>
      </c>
      <c r="BO95" s="7">
        <v>0</v>
      </c>
      <c r="BP95" s="7">
        <v>0</v>
      </c>
      <c r="BQ95" s="7">
        <v>0</v>
      </c>
      <c r="BR95" s="7">
        <v>0</v>
      </c>
      <c r="BS95" s="7">
        <v>0</v>
      </c>
      <c r="BT95" s="7">
        <v>0</v>
      </c>
      <c r="BU95" s="7">
        <v>0</v>
      </c>
      <c r="BV95" s="7">
        <v>0</v>
      </c>
      <c r="BW95" s="7">
        <v>0</v>
      </c>
      <c r="BX95" s="7">
        <v>0</v>
      </c>
      <c r="BY95" s="7">
        <v>0</v>
      </c>
      <c r="BZ95" s="7">
        <v>0</v>
      </c>
      <c r="CA95" s="7">
        <v>0</v>
      </c>
      <c r="CB95" s="7">
        <v>0</v>
      </c>
      <c r="CC95" s="7">
        <v>0</v>
      </c>
      <c r="CD95" s="7">
        <v>0</v>
      </c>
      <c r="CE95" s="7">
        <v>0</v>
      </c>
      <c r="CF95" s="7">
        <v>0</v>
      </c>
      <c r="CG95" s="7">
        <v>0</v>
      </c>
      <c r="CH95" s="7">
        <v>0</v>
      </c>
      <c r="CI95" s="7">
        <v>0</v>
      </c>
      <c r="CJ95" s="7">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 t="shared" si="79"/>
        <v>5.3675685087870323E-6</v>
      </c>
      <c r="CW95" s="7">
        <f t="shared" si="80"/>
        <v>3.7740401891516924E-6</v>
      </c>
    </row>
    <row r="96" spans="1:101" x14ac:dyDescent="0.2">
      <c r="A96" t="str">
        <f t="shared" si="94"/>
        <v>Scooter, battery electric, &lt;4kW - 2050 - NCA - CH</v>
      </c>
      <c r="B96" t="s">
        <v>653</v>
      </c>
      <c r="D96" s="18">
        <v>2050</v>
      </c>
      <c r="E96" t="s">
        <v>37</v>
      </c>
      <c r="F96" t="s">
        <v>136</v>
      </c>
      <c r="G96" t="s">
        <v>39</v>
      </c>
      <c r="H96" t="s">
        <v>32</v>
      </c>
      <c r="I96" t="s">
        <v>44</v>
      </c>
      <c r="J96">
        <v>25000</v>
      </c>
      <c r="K96">
        <v>1570</v>
      </c>
      <c r="L96" s="2">
        <f>J96/K96</f>
        <v>15.923566878980891</v>
      </c>
      <c r="M96">
        <v>1</v>
      </c>
      <c r="N96">
        <v>75</v>
      </c>
      <c r="O96">
        <v>4</v>
      </c>
      <c r="P96" s="2">
        <f>SUM(U96,V96,W96,AC96,AF96,AH96)</f>
        <v>101.69</v>
      </c>
      <c r="Q96" s="2">
        <f>P96+(M96*N96)+O96</f>
        <v>180.69</v>
      </c>
      <c r="R96">
        <v>2.6</v>
      </c>
      <c r="S96" s="2">
        <v>73</v>
      </c>
      <c r="T96" s="1">
        <v>7.0000000000000007E-2</v>
      </c>
      <c r="U96" s="2">
        <f>S96*(1-T96)</f>
        <v>67.89</v>
      </c>
      <c r="V96">
        <v>5</v>
      </c>
      <c r="W96">
        <v>8</v>
      </c>
      <c r="X96" s="3">
        <v>8</v>
      </c>
      <c r="Y96" s="1">
        <v>0.8</v>
      </c>
      <c r="Z96" s="3">
        <f>Y96*X96</f>
        <v>6.4</v>
      </c>
      <c r="AA96" s="3">
        <f>IF(I96&lt;&gt;"",X96/INDEX('energy battery'!$B$3:$D$6,MATCH('vehicles specifications'!$D96,'energy battery'!$A$3:$A$6,0),MATCH('vehicles specifications'!$I96,'energy battery'!$B$2:$D$2,0)),"")</f>
        <v>16</v>
      </c>
      <c r="AB96" s="3">
        <f t="shared" si="6"/>
        <v>4.8</v>
      </c>
      <c r="AC96" s="3">
        <f t="shared" si="95"/>
        <v>20.8</v>
      </c>
      <c r="AD96" s="3">
        <v>0</v>
      </c>
      <c r="AE96" s="3">
        <v>0</v>
      </c>
      <c r="AF96">
        <f>AE96*'fuels and tailpipe emissions'!$B$3</f>
        <v>0</v>
      </c>
      <c r="AG96">
        <v>0</v>
      </c>
      <c r="AH96" s="3">
        <v>0</v>
      </c>
      <c r="AI96" s="3">
        <v>3</v>
      </c>
      <c r="AJ96" s="3">
        <v>1</v>
      </c>
      <c r="AK96">
        <f t="shared" si="67"/>
        <v>1</v>
      </c>
      <c r="AL96">
        <f>0.000537/1000*Q96</f>
        <v>9.7030529999999994E-5</v>
      </c>
      <c r="AM96">
        <v>1.2899999999999999E-3</v>
      </c>
      <c r="AN96" s="2">
        <f>U96</f>
        <v>67.89</v>
      </c>
      <c r="AO96" s="2">
        <f>SUM(V96:W96)</f>
        <v>13</v>
      </c>
      <c r="AP96" s="2">
        <f>AC96</f>
        <v>20.8</v>
      </c>
      <c r="AQ96" s="6" t="s">
        <v>84</v>
      </c>
      <c r="AR96" s="20"/>
      <c r="AS96" s="5">
        <v>0.13343610710814707</v>
      </c>
      <c r="AT96" s="2">
        <f t="shared" si="78"/>
        <v>172.66690777576852</v>
      </c>
      <c r="AU96" s="5">
        <v>0</v>
      </c>
      <c r="AV96" s="5">
        <v>0</v>
      </c>
      <c r="AW96" s="7">
        <v>0</v>
      </c>
      <c r="AX96" s="7">
        <v>0</v>
      </c>
      <c r="AY96" s="7">
        <v>0</v>
      </c>
      <c r="AZ96" s="7">
        <v>0</v>
      </c>
      <c r="BA96" s="7">
        <v>0</v>
      </c>
      <c r="BB96" s="7">
        <v>0</v>
      </c>
      <c r="BC96" s="7">
        <v>0</v>
      </c>
      <c r="BD96" s="7">
        <v>0</v>
      </c>
      <c r="BE96" s="7">
        <v>0</v>
      </c>
      <c r="BF96" s="7">
        <v>0</v>
      </c>
      <c r="BG96" s="7">
        <v>0</v>
      </c>
      <c r="BH96" s="7">
        <v>0</v>
      </c>
      <c r="BI96" s="7">
        <v>0</v>
      </c>
      <c r="BJ96" s="7">
        <v>0</v>
      </c>
      <c r="BK96" s="7">
        <v>0</v>
      </c>
      <c r="BL96" s="7">
        <v>0</v>
      </c>
      <c r="BM96" s="7">
        <v>0</v>
      </c>
      <c r="BN96" s="7">
        <v>0</v>
      </c>
      <c r="BO96" s="7">
        <v>0</v>
      </c>
      <c r="BP96" s="7">
        <v>0</v>
      </c>
      <c r="BQ96" s="7">
        <v>0</v>
      </c>
      <c r="BR96" s="7">
        <v>0</v>
      </c>
      <c r="BS96" s="7">
        <v>0</v>
      </c>
      <c r="BT96" s="7">
        <v>0</v>
      </c>
      <c r="BU96" s="7">
        <v>0</v>
      </c>
      <c r="BV96" s="7">
        <v>0</v>
      </c>
      <c r="BW96" s="7">
        <v>0</v>
      </c>
      <c r="BX96" s="7">
        <v>0</v>
      </c>
      <c r="BY96" s="7">
        <v>0</v>
      </c>
      <c r="BZ96" s="7">
        <v>0</v>
      </c>
      <c r="CA96" s="7">
        <v>0</v>
      </c>
      <c r="CB96" s="7">
        <v>0</v>
      </c>
      <c r="CC96" s="7">
        <v>0</v>
      </c>
      <c r="CD96" s="7">
        <v>0</v>
      </c>
      <c r="CE96" s="7">
        <v>0</v>
      </c>
      <c r="CF96" s="7">
        <v>0</v>
      </c>
      <c r="CG96" s="7">
        <v>0</v>
      </c>
      <c r="CH96" s="7">
        <v>0</v>
      </c>
      <c r="CI96" s="7">
        <v>0</v>
      </c>
      <c r="CJ96" s="7">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 t="shared" si="79"/>
        <v>5.3756614136129848E-6</v>
      </c>
      <c r="CW96" s="7">
        <f t="shared" si="80"/>
        <v>3.7807642711566629E-6</v>
      </c>
    </row>
    <row r="97" spans="1:101" x14ac:dyDescent="0.2">
      <c r="A97" t="str">
        <f t="shared" si="94"/>
        <v>Scooter, battery electric, 4-11kW - 2020 - NCA - CH</v>
      </c>
      <c r="B97" t="s">
        <v>654</v>
      </c>
      <c r="D97" s="18">
        <v>2020</v>
      </c>
      <c r="E97" t="s">
        <v>37</v>
      </c>
      <c r="F97" t="s">
        <v>136</v>
      </c>
      <c r="G97" t="s">
        <v>39</v>
      </c>
      <c r="H97" t="s">
        <v>32</v>
      </c>
      <c r="I97" t="s">
        <v>44</v>
      </c>
      <c r="J97">
        <v>30000</v>
      </c>
      <c r="K97">
        <v>1870</v>
      </c>
      <c r="L97" s="2">
        <f t="shared" ref="L97:L100" si="96">J97/K97</f>
        <v>16.042780748663102</v>
      </c>
      <c r="M97">
        <v>1</v>
      </c>
      <c r="N97">
        <v>75</v>
      </c>
      <c r="O97">
        <v>4</v>
      </c>
      <c r="P97" s="2">
        <f t="shared" ref="P97:P100" si="97">SUM(U97,V97,W97,AC97,AF97,AH97)</f>
        <v>128.65217391304347</v>
      </c>
      <c r="Q97" s="2">
        <f t="shared" ref="Q97:Q100" si="98">P97+(M97*N97)+O97</f>
        <v>207.65217391304347</v>
      </c>
      <c r="R97">
        <v>6.1</v>
      </c>
      <c r="S97" s="2">
        <v>84</v>
      </c>
      <c r="T97" s="1">
        <v>0</v>
      </c>
      <c r="U97" s="2">
        <f t="shared" ref="U97:U100" si="99">S97*(1-T97)</f>
        <v>84</v>
      </c>
      <c r="V97">
        <v>10</v>
      </c>
      <c r="W97">
        <v>16</v>
      </c>
      <c r="X97" s="3">
        <v>3.3</v>
      </c>
      <c r="Y97" s="1">
        <v>0.8</v>
      </c>
      <c r="Z97" s="3">
        <f t="shared" ref="Z97:Z100" si="100">Y97*X97</f>
        <v>2.64</v>
      </c>
      <c r="AA97" s="3">
        <f>IF(I97&lt;&gt;"",X97/INDEX('energy battery'!$B$3:$D$6,MATCH('vehicles specifications'!$D97,'energy battery'!$A$3:$A$6,0),MATCH('vehicles specifications'!$I97,'energy battery'!$B$2:$D$2,0)),"")</f>
        <v>14.34782608695652</v>
      </c>
      <c r="AB97" s="3">
        <f t="shared" si="6"/>
        <v>4.3043478260869561</v>
      </c>
      <c r="AC97" s="3">
        <f t="shared" si="95"/>
        <v>18.652173913043477</v>
      </c>
      <c r="AD97" s="3">
        <v>1</v>
      </c>
      <c r="AE97" s="3">
        <v>0</v>
      </c>
      <c r="AF97">
        <f>AE97*'fuels and tailpipe emissions'!$B$3</f>
        <v>0</v>
      </c>
      <c r="AG97">
        <v>0</v>
      </c>
      <c r="AH97" s="3">
        <v>0</v>
      </c>
      <c r="AI97" s="3">
        <v>3</v>
      </c>
      <c r="AJ97" s="3">
        <v>1</v>
      </c>
      <c r="AK97">
        <f t="shared" si="67"/>
        <v>1.2</v>
      </c>
      <c r="AL97">
        <f t="shared" ref="AL97:AL100" si="101">0.000537/1000*Q97</f>
        <v>1.1150921739130435E-4</v>
      </c>
      <c r="AM97">
        <v>1.2899999999999999E-3</v>
      </c>
      <c r="AN97" s="2">
        <f t="shared" ref="AN97:AN100" si="102">U97</f>
        <v>84</v>
      </c>
      <c r="AO97" s="2">
        <f t="shared" ref="AO97:AO100" si="103">SUM(V97:W97)</f>
        <v>26</v>
      </c>
      <c r="AP97" s="2">
        <f t="shared" ref="AP97:AP100" si="104">AC97</f>
        <v>18.652173913043477</v>
      </c>
      <c r="AQ97" s="6" t="s">
        <v>84</v>
      </c>
      <c r="AR97" s="20"/>
      <c r="AS97" s="5">
        <v>0.18941496155676324</v>
      </c>
      <c r="AT97" s="2">
        <f t="shared" si="78"/>
        <v>50.175550663414057</v>
      </c>
      <c r="AU97" s="5">
        <v>0</v>
      </c>
      <c r="AV97" s="5">
        <v>0</v>
      </c>
      <c r="AW97" s="7">
        <v>0</v>
      </c>
      <c r="AX97" s="7">
        <v>0</v>
      </c>
      <c r="AY97" s="7">
        <v>0</v>
      </c>
      <c r="AZ97" s="7">
        <v>0</v>
      </c>
      <c r="BA97" s="7">
        <v>0</v>
      </c>
      <c r="BB97" s="7">
        <v>0</v>
      </c>
      <c r="BC97" s="7">
        <v>0</v>
      </c>
      <c r="BD97" s="7">
        <v>0</v>
      </c>
      <c r="BE97" s="7">
        <v>0</v>
      </c>
      <c r="BF97" s="7">
        <v>0</v>
      </c>
      <c r="BG97" s="7">
        <v>0</v>
      </c>
      <c r="BH97" s="7">
        <v>0</v>
      </c>
      <c r="BI97" s="7">
        <v>0</v>
      </c>
      <c r="BJ97" s="7">
        <v>0</v>
      </c>
      <c r="BK97" s="7">
        <v>0</v>
      </c>
      <c r="BL97" s="7">
        <v>0</v>
      </c>
      <c r="BM97" s="7">
        <v>0</v>
      </c>
      <c r="BN97" s="7">
        <v>0</v>
      </c>
      <c r="BO97" s="7">
        <v>0</v>
      </c>
      <c r="BP97" s="7">
        <v>0</v>
      </c>
      <c r="BQ97" s="7">
        <v>0</v>
      </c>
      <c r="BR97" s="7">
        <v>0</v>
      </c>
      <c r="BS97" s="7">
        <v>0</v>
      </c>
      <c r="BT97" s="7">
        <v>0</v>
      </c>
      <c r="BU97" s="7">
        <v>0</v>
      </c>
      <c r="BV97" s="7">
        <v>0</v>
      </c>
      <c r="BW97" s="7">
        <v>0</v>
      </c>
      <c r="BX97" s="7">
        <v>0</v>
      </c>
      <c r="BY97" s="7">
        <v>0</v>
      </c>
      <c r="BZ97" s="7">
        <v>0</v>
      </c>
      <c r="CA97" s="7">
        <v>0</v>
      </c>
      <c r="CB97" s="7">
        <v>0</v>
      </c>
      <c r="CC97" s="7">
        <v>0</v>
      </c>
      <c r="CD97" s="7">
        <v>0</v>
      </c>
      <c r="CE97" s="7">
        <v>0</v>
      </c>
      <c r="CF97" s="7">
        <v>0</v>
      </c>
      <c r="CG97" s="7">
        <v>0</v>
      </c>
      <c r="CH97" s="7">
        <v>0</v>
      </c>
      <c r="CI97" s="7">
        <v>0</v>
      </c>
      <c r="CJ97" s="7">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 t="shared" si="79"/>
        <v>5.7971677846537385E-6</v>
      </c>
      <c r="CW97" s="7">
        <f t="shared" si="80"/>
        <v>4.1367441514580274E-6</v>
      </c>
    </row>
    <row r="98" spans="1:101" x14ac:dyDescent="0.2">
      <c r="A98" t="str">
        <f t="shared" si="94"/>
        <v>Scooter, battery electric, 4-11kW - 2030 - NCA - CH</v>
      </c>
      <c r="B98" t="s">
        <v>654</v>
      </c>
      <c r="D98" s="18">
        <v>2030</v>
      </c>
      <c r="E98" t="s">
        <v>37</v>
      </c>
      <c r="F98" t="s">
        <v>136</v>
      </c>
      <c r="G98" t="s">
        <v>39</v>
      </c>
      <c r="H98" t="s">
        <v>32</v>
      </c>
      <c r="I98" t="s">
        <v>44</v>
      </c>
      <c r="J98">
        <v>30000</v>
      </c>
      <c r="K98">
        <v>1870</v>
      </c>
      <c r="L98" s="2">
        <f t="shared" si="96"/>
        <v>16.042780748663102</v>
      </c>
      <c r="M98">
        <v>1</v>
      </c>
      <c r="N98">
        <v>75</v>
      </c>
      <c r="O98">
        <v>4</v>
      </c>
      <c r="P98" s="2">
        <f t="shared" si="97"/>
        <v>132.18</v>
      </c>
      <c r="Q98" s="2">
        <f t="shared" si="98"/>
        <v>211.18</v>
      </c>
      <c r="R98">
        <v>6.1</v>
      </c>
      <c r="S98" s="2">
        <v>84</v>
      </c>
      <c r="T98" s="1">
        <v>0.03</v>
      </c>
      <c r="U98" s="2">
        <f t="shared" si="99"/>
        <v>81.48</v>
      </c>
      <c r="V98">
        <v>10</v>
      </c>
      <c r="W98">
        <v>16</v>
      </c>
      <c r="X98" s="3">
        <v>5.7</v>
      </c>
      <c r="Y98" s="1">
        <v>0.8</v>
      </c>
      <c r="Z98" s="3">
        <f t="shared" si="100"/>
        <v>4.5600000000000005</v>
      </c>
      <c r="AA98" s="3">
        <f>IF(I98&lt;&gt;"",X98/INDEX('energy battery'!$B$3:$D$6,MATCH('vehicles specifications'!$D98,'energy battery'!$A$3:$A$6,0),MATCH('vehicles specifications'!$I98,'energy battery'!$B$2:$D$2,0)),"")</f>
        <v>19</v>
      </c>
      <c r="AB98" s="3">
        <f t="shared" si="6"/>
        <v>5.7</v>
      </c>
      <c r="AC98" s="3">
        <f t="shared" si="95"/>
        <v>24.7</v>
      </c>
      <c r="AD98" s="3">
        <v>0.5</v>
      </c>
      <c r="AE98" s="3">
        <v>0</v>
      </c>
      <c r="AF98">
        <f>AE98*'fuels and tailpipe emissions'!$B$3</f>
        <v>0</v>
      </c>
      <c r="AG98">
        <v>0</v>
      </c>
      <c r="AH98" s="3">
        <v>0</v>
      </c>
      <c r="AI98" s="3">
        <v>3</v>
      </c>
      <c r="AJ98" s="3">
        <v>1</v>
      </c>
      <c r="AK98">
        <f t="shared" si="67"/>
        <v>1.2</v>
      </c>
      <c r="AL98">
        <f t="shared" si="101"/>
        <v>1.1340366E-4</v>
      </c>
      <c r="AM98">
        <v>1.2899999999999999E-3</v>
      </c>
      <c r="AN98" s="2">
        <f t="shared" si="102"/>
        <v>81.48</v>
      </c>
      <c r="AO98" s="2">
        <f t="shared" si="103"/>
        <v>26</v>
      </c>
      <c r="AP98" s="2">
        <f t="shared" si="104"/>
        <v>24.7</v>
      </c>
      <c r="AQ98" s="6" t="s">
        <v>84</v>
      </c>
      <c r="AR98" s="20"/>
      <c r="AS98" s="5">
        <v>0.18941496155676324</v>
      </c>
      <c r="AT98" s="2">
        <f t="shared" si="78"/>
        <v>86.666860236806102</v>
      </c>
      <c r="AU98" s="5">
        <v>0</v>
      </c>
      <c r="AV98" s="5">
        <v>0</v>
      </c>
      <c r="AW98" s="7">
        <v>0</v>
      </c>
      <c r="AX98" s="7">
        <v>0</v>
      </c>
      <c r="AY98" s="7">
        <v>0</v>
      </c>
      <c r="AZ98" s="7">
        <v>0</v>
      </c>
      <c r="BA98" s="7">
        <v>0</v>
      </c>
      <c r="BB98" s="7">
        <v>0</v>
      </c>
      <c r="BC98" s="7">
        <v>0</v>
      </c>
      <c r="BD98" s="7">
        <v>0</v>
      </c>
      <c r="BE98" s="7">
        <v>0</v>
      </c>
      <c r="BF98" s="7">
        <v>0</v>
      </c>
      <c r="BG98" s="7">
        <v>0</v>
      </c>
      <c r="BH98" s="7">
        <v>0</v>
      </c>
      <c r="BI98" s="7">
        <v>0</v>
      </c>
      <c r="BJ98" s="7">
        <v>0</v>
      </c>
      <c r="BK98" s="7">
        <v>0</v>
      </c>
      <c r="BL98" s="7">
        <v>0</v>
      </c>
      <c r="BM98" s="7">
        <v>0</v>
      </c>
      <c r="BN98" s="7">
        <v>0</v>
      </c>
      <c r="BO98" s="7">
        <v>0</v>
      </c>
      <c r="BP98" s="7">
        <v>0</v>
      </c>
      <c r="BQ98" s="7">
        <v>0</v>
      </c>
      <c r="BR98" s="7">
        <v>0</v>
      </c>
      <c r="BS98" s="7">
        <v>0</v>
      </c>
      <c r="BT98" s="7">
        <v>0</v>
      </c>
      <c r="BU98" s="7">
        <v>0</v>
      </c>
      <c r="BV98" s="7">
        <v>0</v>
      </c>
      <c r="BW98" s="7">
        <v>0</v>
      </c>
      <c r="BX98" s="7">
        <v>0</v>
      </c>
      <c r="BY98" s="7">
        <v>0</v>
      </c>
      <c r="BZ98" s="7">
        <v>0</v>
      </c>
      <c r="CA98" s="7">
        <v>0</v>
      </c>
      <c r="CB98" s="7">
        <v>0</v>
      </c>
      <c r="CC98" s="7">
        <v>0</v>
      </c>
      <c r="CD98" s="7">
        <v>0</v>
      </c>
      <c r="CE98" s="7">
        <v>0</v>
      </c>
      <c r="CF98" s="7">
        <v>0</v>
      </c>
      <c r="CG98" s="7">
        <v>0</v>
      </c>
      <c r="CH98" s="7">
        <v>0</v>
      </c>
      <c r="CI98" s="7">
        <v>0</v>
      </c>
      <c r="CJ98" s="7">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 t="shared" si="79"/>
        <v>5.8492445161006275E-6</v>
      </c>
      <c r="CW98" s="7">
        <f t="shared" si="80"/>
        <v>4.1814794350148126E-6</v>
      </c>
    </row>
    <row r="99" spans="1:101" x14ac:dyDescent="0.2">
      <c r="A99" t="str">
        <f t="shared" si="94"/>
        <v>Scooter, battery electric, 4-11kW - 2040 - NCA - CH</v>
      </c>
      <c r="B99" t="s">
        <v>654</v>
      </c>
      <c r="D99" s="18">
        <v>2040</v>
      </c>
      <c r="E99" t="s">
        <v>37</v>
      </c>
      <c r="F99" t="s">
        <v>136</v>
      </c>
      <c r="G99" t="s">
        <v>39</v>
      </c>
      <c r="H99" t="s">
        <v>32</v>
      </c>
      <c r="I99" t="s">
        <v>44</v>
      </c>
      <c r="J99">
        <v>30000</v>
      </c>
      <c r="K99">
        <v>1870</v>
      </c>
      <c r="L99" s="2">
        <f t="shared" si="96"/>
        <v>16.042780748663102</v>
      </c>
      <c r="M99">
        <v>1</v>
      </c>
      <c r="N99">
        <v>75</v>
      </c>
      <c r="O99">
        <v>4</v>
      </c>
      <c r="P99" s="2">
        <f t="shared" si="97"/>
        <v>132.44999999999999</v>
      </c>
      <c r="Q99" s="2">
        <f t="shared" si="98"/>
        <v>211.45</v>
      </c>
      <c r="R99">
        <v>6.1</v>
      </c>
      <c r="S99" s="2">
        <v>84</v>
      </c>
      <c r="T99" s="1">
        <v>0.05</v>
      </c>
      <c r="U99" s="2">
        <f t="shared" si="99"/>
        <v>79.8</v>
      </c>
      <c r="V99">
        <v>10</v>
      </c>
      <c r="W99">
        <v>16</v>
      </c>
      <c r="X99" s="3">
        <v>8.1999999999999993</v>
      </c>
      <c r="Y99" s="1">
        <v>0.8</v>
      </c>
      <c r="Z99" s="3">
        <f t="shared" si="100"/>
        <v>6.56</v>
      </c>
      <c r="AA99" s="3">
        <f>IF(I99&lt;&gt;"",X99/INDEX('energy battery'!$B$3:$D$6,MATCH('vehicles specifications'!$D99,'energy battery'!$A$3:$A$6,0),MATCH('vehicles specifications'!$I99,'energy battery'!$B$2:$D$2,0)),"")</f>
        <v>20.499999999999996</v>
      </c>
      <c r="AB99" s="3">
        <f t="shared" si="6"/>
        <v>6.1499999999999986</v>
      </c>
      <c r="AC99" s="3">
        <f t="shared" si="95"/>
        <v>26.649999999999995</v>
      </c>
      <c r="AD99" s="3">
        <v>0.25</v>
      </c>
      <c r="AE99" s="3">
        <v>0</v>
      </c>
      <c r="AF99">
        <f>AE99*'fuels and tailpipe emissions'!$B$3</f>
        <v>0</v>
      </c>
      <c r="AG99">
        <v>0</v>
      </c>
      <c r="AH99" s="3">
        <v>0</v>
      </c>
      <c r="AI99" s="3">
        <v>3</v>
      </c>
      <c r="AJ99" s="3">
        <v>1</v>
      </c>
      <c r="AK99">
        <f t="shared" si="67"/>
        <v>1.2</v>
      </c>
      <c r="AL99">
        <f t="shared" si="101"/>
        <v>1.1354865E-4</v>
      </c>
      <c r="AM99">
        <v>1.2899999999999999E-3</v>
      </c>
      <c r="AN99" s="2">
        <f t="shared" si="102"/>
        <v>79.8</v>
      </c>
      <c r="AO99" s="2">
        <f t="shared" si="103"/>
        <v>26</v>
      </c>
      <c r="AP99" s="2">
        <f t="shared" si="104"/>
        <v>26.649999999999995</v>
      </c>
      <c r="AQ99" s="6" t="s">
        <v>84</v>
      </c>
      <c r="AR99" s="20"/>
      <c r="AS99" s="5">
        <v>0.18941496155676324</v>
      </c>
      <c r="AT99" s="2">
        <f t="shared" si="78"/>
        <v>124.6786410424228</v>
      </c>
      <c r="AU99" s="5">
        <v>0</v>
      </c>
      <c r="AV99" s="5">
        <v>0</v>
      </c>
      <c r="AW99" s="7">
        <v>0</v>
      </c>
      <c r="AX99" s="7">
        <v>0</v>
      </c>
      <c r="AY99" s="7">
        <v>0</v>
      </c>
      <c r="AZ99" s="7">
        <v>0</v>
      </c>
      <c r="BA99" s="7">
        <v>0</v>
      </c>
      <c r="BB99" s="7">
        <v>0</v>
      </c>
      <c r="BC99" s="7">
        <v>0</v>
      </c>
      <c r="BD99" s="7">
        <v>0</v>
      </c>
      <c r="BE99" s="7">
        <v>0</v>
      </c>
      <c r="BF99" s="7">
        <v>0</v>
      </c>
      <c r="BG99" s="7">
        <v>0</v>
      </c>
      <c r="BH99" s="7">
        <v>0</v>
      </c>
      <c r="BI99" s="7">
        <v>0</v>
      </c>
      <c r="BJ99" s="7">
        <v>0</v>
      </c>
      <c r="BK99" s="7">
        <v>0</v>
      </c>
      <c r="BL99" s="7">
        <v>0</v>
      </c>
      <c r="BM99" s="7">
        <v>0</v>
      </c>
      <c r="BN99" s="7">
        <v>0</v>
      </c>
      <c r="BO99" s="7">
        <v>0</v>
      </c>
      <c r="BP99" s="7">
        <v>0</v>
      </c>
      <c r="BQ99" s="7">
        <v>0</v>
      </c>
      <c r="BR99" s="7">
        <v>0</v>
      </c>
      <c r="BS99" s="7">
        <v>0</v>
      </c>
      <c r="BT99" s="7">
        <v>0</v>
      </c>
      <c r="BU99" s="7">
        <v>0</v>
      </c>
      <c r="BV99" s="7">
        <v>0</v>
      </c>
      <c r="BW99" s="7">
        <v>0</v>
      </c>
      <c r="BX99" s="7">
        <v>0</v>
      </c>
      <c r="BY99" s="7">
        <v>0</v>
      </c>
      <c r="BZ99" s="7">
        <v>0</v>
      </c>
      <c r="CA99" s="7">
        <v>0</v>
      </c>
      <c r="CB99" s="7">
        <v>0</v>
      </c>
      <c r="CC99" s="7">
        <v>0</v>
      </c>
      <c r="CD99" s="7">
        <v>0</v>
      </c>
      <c r="CE99" s="7">
        <v>0</v>
      </c>
      <c r="CF99" s="7">
        <v>0</v>
      </c>
      <c r="CG99" s="7">
        <v>0</v>
      </c>
      <c r="CH99" s="7">
        <v>0</v>
      </c>
      <c r="CI99" s="7">
        <v>0</v>
      </c>
      <c r="CJ99" s="7">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 t="shared" si="79"/>
        <v>5.8532039930709717E-6</v>
      </c>
      <c r="CW99" s="7">
        <f t="shared" si="80"/>
        <v>4.1848872618450126E-6</v>
      </c>
    </row>
    <row r="100" spans="1:101" x14ac:dyDescent="0.2">
      <c r="A100" t="str">
        <f t="shared" si="94"/>
        <v>Scooter, battery electric, 4-11kW - 2050 - NCA - CH</v>
      </c>
      <c r="B100" t="s">
        <v>654</v>
      </c>
      <c r="D100" s="18">
        <v>2050</v>
      </c>
      <c r="E100" t="s">
        <v>37</v>
      </c>
      <c r="F100" t="s">
        <v>136</v>
      </c>
      <c r="G100" t="s">
        <v>39</v>
      </c>
      <c r="H100" t="s">
        <v>32</v>
      </c>
      <c r="I100" t="s">
        <v>44</v>
      </c>
      <c r="J100">
        <v>30000</v>
      </c>
      <c r="K100">
        <v>1870</v>
      </c>
      <c r="L100" s="2">
        <f t="shared" si="96"/>
        <v>16.042780748663102</v>
      </c>
      <c r="M100">
        <v>1</v>
      </c>
      <c r="N100">
        <v>75</v>
      </c>
      <c r="O100">
        <v>4</v>
      </c>
      <c r="P100" s="2">
        <f t="shared" si="97"/>
        <v>132.19999999999999</v>
      </c>
      <c r="Q100" s="2">
        <f t="shared" si="98"/>
        <v>211.2</v>
      </c>
      <c r="R100">
        <v>6.1</v>
      </c>
      <c r="S100" s="2">
        <v>84</v>
      </c>
      <c r="T100" s="1">
        <v>7.0000000000000007E-2</v>
      </c>
      <c r="U100" s="2">
        <f t="shared" si="99"/>
        <v>78.11999999999999</v>
      </c>
      <c r="V100">
        <v>10</v>
      </c>
      <c r="W100">
        <v>16</v>
      </c>
      <c r="X100" s="3">
        <v>10.8</v>
      </c>
      <c r="Y100" s="1">
        <v>0.8</v>
      </c>
      <c r="Z100" s="3">
        <f t="shared" si="100"/>
        <v>8.64</v>
      </c>
      <c r="AA100" s="3">
        <f>IF(I100&lt;&gt;"",X100/INDEX('energy battery'!$B$3:$D$6,MATCH('vehicles specifications'!$D100,'energy battery'!$A$3:$A$6,0),MATCH('vehicles specifications'!$I100,'energy battery'!$B$2:$D$2,0)),"")</f>
        <v>21.6</v>
      </c>
      <c r="AB100" s="3">
        <f t="shared" si="6"/>
        <v>6.48</v>
      </c>
      <c r="AC100" s="3">
        <f t="shared" si="95"/>
        <v>28.080000000000002</v>
      </c>
      <c r="AD100" s="3">
        <v>0</v>
      </c>
      <c r="AE100" s="3">
        <v>0</v>
      </c>
      <c r="AF100">
        <f>AE100*'fuels and tailpipe emissions'!$B$3</f>
        <v>0</v>
      </c>
      <c r="AG100">
        <v>0</v>
      </c>
      <c r="AH100" s="3">
        <v>0</v>
      </c>
      <c r="AI100" s="3">
        <v>3</v>
      </c>
      <c r="AJ100" s="3">
        <v>1</v>
      </c>
      <c r="AK100">
        <f t="shared" si="67"/>
        <v>1.2</v>
      </c>
      <c r="AL100">
        <f t="shared" si="101"/>
        <v>1.134144E-4</v>
      </c>
      <c r="AM100">
        <v>1.2899999999999999E-3</v>
      </c>
      <c r="AN100" s="2">
        <f t="shared" si="102"/>
        <v>78.11999999999999</v>
      </c>
      <c r="AO100" s="2">
        <f t="shared" si="103"/>
        <v>26</v>
      </c>
      <c r="AP100" s="2">
        <f t="shared" si="104"/>
        <v>28.080000000000002</v>
      </c>
      <c r="AQ100" s="6" t="s">
        <v>84</v>
      </c>
      <c r="AR100" s="20"/>
      <c r="AS100" s="5">
        <v>0.18941496155676324</v>
      </c>
      <c r="AT100" s="2">
        <f t="shared" si="78"/>
        <v>164.21089308026419</v>
      </c>
      <c r="AU100" s="5">
        <v>0</v>
      </c>
      <c r="AV100" s="5">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7">
        <v>0</v>
      </c>
      <c r="BM100" s="7">
        <v>0</v>
      </c>
      <c r="BN100" s="7">
        <v>0</v>
      </c>
      <c r="BO100" s="7">
        <v>0</v>
      </c>
      <c r="BP100" s="7">
        <v>0</v>
      </c>
      <c r="BQ100" s="7">
        <v>0</v>
      </c>
      <c r="BR100" s="7">
        <v>0</v>
      </c>
      <c r="BS100" s="7">
        <v>0</v>
      </c>
      <c r="BT100" s="7">
        <v>0</v>
      </c>
      <c r="BU100" s="7">
        <v>0</v>
      </c>
      <c r="BV100" s="7">
        <v>0</v>
      </c>
      <c r="BW100" s="7">
        <v>0</v>
      </c>
      <c r="BX100" s="7">
        <v>0</v>
      </c>
      <c r="BY100" s="7">
        <v>0</v>
      </c>
      <c r="BZ100" s="7">
        <v>0</v>
      </c>
      <c r="CA100" s="7">
        <v>0</v>
      </c>
      <c r="CB100" s="7">
        <v>0</v>
      </c>
      <c r="CC100" s="7">
        <v>0</v>
      </c>
      <c r="CD100" s="7">
        <v>0</v>
      </c>
      <c r="CE100" s="7">
        <v>0</v>
      </c>
      <c r="CF100" s="7">
        <v>0</v>
      </c>
      <c r="CG100" s="7">
        <v>0</v>
      </c>
      <c r="CH100" s="7">
        <v>0</v>
      </c>
      <c r="CI100" s="7">
        <v>0</v>
      </c>
      <c r="CJ100" s="7">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 t="shared" si="79"/>
        <v>5.8495379368429613E-6</v>
      </c>
      <c r="CW100" s="7">
        <f t="shared" si="80"/>
        <v>4.1817319436640074E-6</v>
      </c>
    </row>
    <row r="101" spans="1:101" x14ac:dyDescent="0.2">
      <c r="A101" t="str">
        <f t="shared" si="1"/>
        <v>Motorbike, gasoline, 4-11kW, EURO-3 - 2006 - CH</v>
      </c>
      <c r="B101" t="s">
        <v>403</v>
      </c>
      <c r="D101" s="18">
        <v>2006</v>
      </c>
      <c r="E101" t="s">
        <v>37</v>
      </c>
      <c r="F101" t="s">
        <v>137</v>
      </c>
      <c r="G101" t="s">
        <v>39</v>
      </c>
      <c r="H101" t="s">
        <v>35</v>
      </c>
      <c r="J101">
        <v>25000</v>
      </c>
      <c r="K101">
        <v>1776</v>
      </c>
      <c r="L101" s="2">
        <f t="shared" si="2"/>
        <v>14.076576576576576</v>
      </c>
      <c r="M101">
        <v>1.1000000000000001</v>
      </c>
      <c r="N101">
        <v>75</v>
      </c>
      <c r="O101">
        <v>6</v>
      </c>
      <c r="P101" s="2">
        <f t="shared" si="64"/>
        <v>122.27169718057486</v>
      </c>
      <c r="Q101" s="2">
        <f t="shared" si="3"/>
        <v>210.77169718057485</v>
      </c>
      <c r="R101">
        <v>9</v>
      </c>
      <c r="S101" s="2">
        <v>65.433826960328489</v>
      </c>
      <c r="T101" s="1">
        <v>-0.05</v>
      </c>
      <c r="U101" s="2">
        <f>S101*(1-T101)</f>
        <v>68.705518308344921</v>
      </c>
      <c r="V101" s="2">
        <f>0.7*S101</f>
        <v>45.803678872229938</v>
      </c>
      <c r="W101" s="2">
        <v>0</v>
      </c>
      <c r="X101" s="3">
        <v>0</v>
      </c>
      <c r="Y101" s="1">
        <v>0.8</v>
      </c>
      <c r="Z101" s="3">
        <f t="shared" si="5"/>
        <v>0</v>
      </c>
      <c r="AA101" s="3" t="str">
        <f>IF(I101&lt;&gt;"",X101/INDEX('energy battery'!$B$3:$D$6,MATCH('vehicles specifications'!$D101,'energy battery'!$A$3:$A$6,0),MATCH('vehicles specifications'!$I101,'energy battery'!$B$2:$D$2,0)),"")</f>
        <v/>
      </c>
      <c r="AB101" s="3" t="str">
        <f t="shared" si="6"/>
        <v/>
      </c>
      <c r="AC101" s="3" t="str">
        <f t="shared" si="7"/>
        <v/>
      </c>
      <c r="AD101" s="3">
        <v>0</v>
      </c>
      <c r="AE101" s="3">
        <v>9</v>
      </c>
      <c r="AF101">
        <f>AE101*'fuels and tailpipe emissions'!$B$3</f>
        <v>6.75</v>
      </c>
      <c r="AG101" s="2">
        <f>AF101*'fuels and tailpipe emissions'!$C$3</f>
        <v>79.875</v>
      </c>
      <c r="AH101" s="3">
        <f>0.15*AF101</f>
        <v>1.0125</v>
      </c>
      <c r="AI101" s="3">
        <v>0</v>
      </c>
      <c r="AJ101" s="3">
        <v>0</v>
      </c>
      <c r="AK101">
        <f t="shared" si="67"/>
        <v>1</v>
      </c>
      <c r="AL101">
        <f t="shared" si="65"/>
        <v>1.131844013859687E-4</v>
      </c>
      <c r="AM101">
        <v>1.2899999999999999E-3</v>
      </c>
      <c r="AN101" s="2">
        <f t="shared" si="9"/>
        <v>68.705518308344921</v>
      </c>
      <c r="AO101" s="2">
        <f t="shared" si="10"/>
        <v>45.803678872229938</v>
      </c>
      <c r="AP101" s="2" t="str">
        <f t="shared" si="11"/>
        <v/>
      </c>
      <c r="AQ101" s="6">
        <v>1.0260802295042515</v>
      </c>
      <c r="AR101" s="20">
        <v>1.2E-2</v>
      </c>
      <c r="AS101" s="6" t="str">
        <f>IF($H101="BEV",SUMPRODUCT(#REF!,#REF!),"")</f>
        <v/>
      </c>
      <c r="AT101" s="2">
        <f t="shared" si="78"/>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 t="shared" si="79"/>
        <v>5.7749536926761575E-6</v>
      </c>
      <c r="CW101" s="7">
        <f t="shared" si="80"/>
        <v>4.1370727127059103E-6</v>
      </c>
    </row>
    <row r="102" spans="1:101" x14ac:dyDescent="0.2">
      <c r="A102" t="str">
        <f t="shared" si="1"/>
        <v>Motorbike, gasoline, 4-11kW, EURO-4 - 2016 - CH</v>
      </c>
      <c r="B102" t="s">
        <v>404</v>
      </c>
      <c r="D102" s="18">
        <v>2016</v>
      </c>
      <c r="E102" t="s">
        <v>37</v>
      </c>
      <c r="F102" t="s">
        <v>138</v>
      </c>
      <c r="G102" t="s">
        <v>39</v>
      </c>
      <c r="H102" t="s">
        <v>35</v>
      </c>
      <c r="J102">
        <v>25000</v>
      </c>
      <c r="K102">
        <v>1776</v>
      </c>
      <c r="L102" s="2">
        <f t="shared" si="2"/>
        <v>14.076576576576576</v>
      </c>
      <c r="M102">
        <v>1.1000000000000001</v>
      </c>
      <c r="N102">
        <v>75</v>
      </c>
      <c r="O102">
        <v>6</v>
      </c>
      <c r="P102" s="2">
        <f t="shared" si="64"/>
        <v>120.308682371765</v>
      </c>
      <c r="Q102" s="2">
        <f t="shared" si="3"/>
        <v>208.808682371765</v>
      </c>
      <c r="R102">
        <v>9</v>
      </c>
      <c r="S102" s="2">
        <v>65.433826960328489</v>
      </c>
      <c r="T102" s="1">
        <v>-0.02</v>
      </c>
      <c r="U102" s="2">
        <f t="shared" ref="U102:U150" si="105">S102*(1-T102)</f>
        <v>66.742503499535061</v>
      </c>
      <c r="V102" s="2">
        <f>0.7*S102</f>
        <v>45.803678872229938</v>
      </c>
      <c r="W102" s="2">
        <v>0</v>
      </c>
      <c r="X102" s="3">
        <v>0</v>
      </c>
      <c r="Y102" s="1">
        <v>0.8</v>
      </c>
      <c r="Z102" s="3">
        <f t="shared" si="5"/>
        <v>0</v>
      </c>
      <c r="AA102" s="3" t="str">
        <f>IF(I102&lt;&gt;"",X102/INDEX('energy battery'!$B$3:$D$6,MATCH('vehicles specifications'!$D102,'energy battery'!$A$3:$A$6,0),MATCH('vehicles specifications'!$I102,'energy battery'!$B$2:$D$2,0)),"")</f>
        <v/>
      </c>
      <c r="AB102" s="3" t="str">
        <f t="shared" si="6"/>
        <v/>
      </c>
      <c r="AC102" s="3" t="str">
        <f t="shared" si="7"/>
        <v/>
      </c>
      <c r="AD102" s="3">
        <v>0</v>
      </c>
      <c r="AE102" s="3">
        <v>9</v>
      </c>
      <c r="AF102">
        <f>AE102*'fuels and tailpipe emissions'!$B$3</f>
        <v>6.75</v>
      </c>
      <c r="AG102" s="2">
        <f>AF102*'fuels and tailpipe emissions'!$C$3</f>
        <v>79.875</v>
      </c>
      <c r="AH102" s="3">
        <f t="shared" ref="AH102:AH118" si="106">0.15*AF102</f>
        <v>1.0125</v>
      </c>
      <c r="AI102" s="3">
        <v>0</v>
      </c>
      <c r="AJ102" s="3">
        <v>0</v>
      </c>
      <c r="AK102">
        <f t="shared" si="67"/>
        <v>1</v>
      </c>
      <c r="AL102">
        <f t="shared" si="65"/>
        <v>1.1213026243363781E-4</v>
      </c>
      <c r="AM102">
        <v>1.2899999999999999E-3</v>
      </c>
      <c r="AN102" s="2">
        <f t="shared" si="9"/>
        <v>66.742503499535061</v>
      </c>
      <c r="AO102" s="2">
        <f t="shared" si="10"/>
        <v>45.803678872229938</v>
      </c>
      <c r="AP102" s="2" t="str">
        <f t="shared" si="11"/>
        <v/>
      </c>
      <c r="AQ102" s="6">
        <v>1.0159210193111401</v>
      </c>
      <c r="AR102" s="20">
        <v>1.2E-2</v>
      </c>
      <c r="AS102" s="6" t="str">
        <f>IF($H102="BEV",SUMPRODUCT(#REF!,#REF!),"")</f>
        <v/>
      </c>
      <c r="AT102" s="2">
        <f t="shared" si="78"/>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 t="shared" si="79"/>
        <v>5.7454099761314755E-6</v>
      </c>
      <c r="CW102" s="7">
        <f t="shared" si="80"/>
        <v>4.1119376024139909E-6</v>
      </c>
    </row>
    <row r="103" spans="1:101" x14ac:dyDescent="0.2">
      <c r="A103" t="str">
        <f t="shared" si="1"/>
        <v>Motorbike, gasoline, 4-11kW, EURO-5 - 2020 - CH</v>
      </c>
      <c r="B103" t="s">
        <v>405</v>
      </c>
      <c r="D103" s="18">
        <v>2020</v>
      </c>
      <c r="E103" t="s">
        <v>37</v>
      </c>
      <c r="F103" t="s">
        <v>139</v>
      </c>
      <c r="G103" t="s">
        <v>39</v>
      </c>
      <c r="H103" t="s">
        <v>35</v>
      </c>
      <c r="J103">
        <v>25000</v>
      </c>
      <c r="K103">
        <v>1776</v>
      </c>
      <c r="L103" s="2">
        <f t="shared" si="2"/>
        <v>14.076576576576576</v>
      </c>
      <c r="M103">
        <v>1.1000000000000001</v>
      </c>
      <c r="N103">
        <v>75</v>
      </c>
      <c r="O103">
        <v>6</v>
      </c>
      <c r="P103" s="2">
        <f t="shared" si="64"/>
        <v>119.00000583255843</v>
      </c>
      <c r="Q103" s="2">
        <f t="shared" si="3"/>
        <v>207.50000583255843</v>
      </c>
      <c r="R103">
        <v>9</v>
      </c>
      <c r="S103" s="2">
        <v>65.433826960328489</v>
      </c>
      <c r="T103" s="1">
        <v>0</v>
      </c>
      <c r="U103" s="2">
        <f t="shared" si="105"/>
        <v>65.433826960328489</v>
      </c>
      <c r="V103" s="2">
        <f>0.7*S103</f>
        <v>45.803678872229938</v>
      </c>
      <c r="W103" s="2">
        <v>0</v>
      </c>
      <c r="X103" s="3">
        <v>0</v>
      </c>
      <c r="Y103" s="1">
        <v>0.8</v>
      </c>
      <c r="Z103" s="3">
        <f t="shared" si="5"/>
        <v>0</v>
      </c>
      <c r="AA103" s="3" t="str">
        <f>IF(I103&lt;&gt;"",X103/INDEX('energy battery'!$B$3:$D$6,MATCH('vehicles specifications'!$D103,'energy battery'!$A$3:$A$6,0),MATCH('vehicles specifications'!$I103,'energy battery'!$B$2:$D$2,0)),"")</f>
        <v/>
      </c>
      <c r="AB103" s="3" t="str">
        <f t="shared" si="6"/>
        <v/>
      </c>
      <c r="AC103" s="3" t="str">
        <f t="shared" si="7"/>
        <v/>
      </c>
      <c r="AD103" s="3">
        <v>0</v>
      </c>
      <c r="AE103" s="3">
        <v>9</v>
      </c>
      <c r="AF103">
        <f>AE103*'fuels and tailpipe emissions'!$B$3</f>
        <v>6.75</v>
      </c>
      <c r="AG103" s="2">
        <f>AF103*'fuels and tailpipe emissions'!$C$3</f>
        <v>79.875</v>
      </c>
      <c r="AH103" s="3">
        <f t="shared" si="106"/>
        <v>1.0125</v>
      </c>
      <c r="AI103" s="3">
        <v>0</v>
      </c>
      <c r="AJ103" s="3">
        <v>0</v>
      </c>
      <c r="AK103">
        <f t="shared" si="67"/>
        <v>1</v>
      </c>
      <c r="AL103">
        <f t="shared" si="65"/>
        <v>1.1142750313208388E-4</v>
      </c>
      <c r="AM103">
        <v>1.2899999999999999E-3</v>
      </c>
      <c r="AN103" s="2">
        <f t="shared" si="9"/>
        <v>65.433826960328489</v>
      </c>
      <c r="AO103" s="2">
        <f t="shared" si="10"/>
        <v>45.803678872229938</v>
      </c>
      <c r="AP103" s="2" t="str">
        <f t="shared" si="11"/>
        <v/>
      </c>
      <c r="AQ103" s="6">
        <v>1.0057618091180287</v>
      </c>
      <c r="AR103" s="20">
        <v>1.2E-2</v>
      </c>
      <c r="AS103" s="6" t="str">
        <f>IF($H103="BEV",SUMPRODUCT(#REF!,#REF!),"")</f>
        <v/>
      </c>
      <c r="AT103" s="2">
        <f t="shared" si="78"/>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 t="shared" si="79"/>
        <v>5.7255953221129413E-6</v>
      </c>
      <c r="CW103" s="7">
        <f t="shared" si="80"/>
        <v>4.0951102276429758E-6</v>
      </c>
    </row>
    <row r="104" spans="1:101" x14ac:dyDescent="0.2">
      <c r="A104" t="str">
        <f t="shared" si="1"/>
        <v>Motorbike, gasoline, 4-11kW, EURO-5 - 2030 - CH</v>
      </c>
      <c r="B104" t="s">
        <v>405</v>
      </c>
      <c r="D104" s="18">
        <v>2030</v>
      </c>
      <c r="E104" t="s">
        <v>37</v>
      </c>
      <c r="F104" t="s">
        <v>139</v>
      </c>
      <c r="G104" t="s">
        <v>39</v>
      </c>
      <c r="H104" t="s">
        <v>35</v>
      </c>
      <c r="J104">
        <v>25000</v>
      </c>
      <c r="K104">
        <v>1776</v>
      </c>
      <c r="L104" s="2">
        <f t="shared" si="2"/>
        <v>14.076576576576576</v>
      </c>
      <c r="M104">
        <v>1.1000000000000001</v>
      </c>
      <c r="N104">
        <v>75</v>
      </c>
      <c r="O104">
        <v>6</v>
      </c>
      <c r="P104" s="2">
        <f t="shared" si="64"/>
        <v>117.03699102374857</v>
      </c>
      <c r="Q104" s="2">
        <f t="shared" si="3"/>
        <v>205.53699102374856</v>
      </c>
      <c r="R104">
        <v>9</v>
      </c>
      <c r="S104" s="2">
        <v>65.433826960328489</v>
      </c>
      <c r="T104" s="1">
        <v>0.03</v>
      </c>
      <c r="U104" s="2">
        <f t="shared" si="105"/>
        <v>63.470812151518629</v>
      </c>
      <c r="V104" s="2">
        <f t="shared" ref="V104:V106" si="107">0.7*S104</f>
        <v>45.803678872229938</v>
      </c>
      <c r="W104" s="2">
        <v>0</v>
      </c>
      <c r="X104" s="3">
        <v>0</v>
      </c>
      <c r="Y104" s="1">
        <v>0.8</v>
      </c>
      <c r="Z104" s="3">
        <f t="shared" si="5"/>
        <v>0</v>
      </c>
      <c r="AA104" s="3" t="str">
        <f>IF(I104&lt;&gt;"",X104/INDEX('energy battery'!$B$3:$D$6,MATCH('vehicles specifications'!$D104,'energy battery'!$A$3:$A$6,0),MATCH('vehicles specifications'!$I104,'energy battery'!$B$2:$D$2,0)),"")</f>
        <v/>
      </c>
      <c r="AB104" s="3" t="str">
        <f t="shared" si="6"/>
        <v/>
      </c>
      <c r="AC104" s="3" t="str">
        <f t="shared" si="7"/>
        <v/>
      </c>
      <c r="AD104" s="3">
        <v>0</v>
      </c>
      <c r="AE104" s="3">
        <v>9</v>
      </c>
      <c r="AF104">
        <f>AE104*'fuels and tailpipe emissions'!$B$3</f>
        <v>6.75</v>
      </c>
      <c r="AG104" s="2">
        <f>AF104*'fuels and tailpipe emissions'!$C$3</f>
        <v>79.875</v>
      </c>
      <c r="AH104" s="3">
        <f t="shared" si="106"/>
        <v>1.0125</v>
      </c>
      <c r="AI104" s="3">
        <v>0</v>
      </c>
      <c r="AJ104" s="3">
        <v>0</v>
      </c>
      <c r="AK104">
        <f t="shared" si="67"/>
        <v>1</v>
      </c>
      <c r="AL104">
        <f t="shared" si="65"/>
        <v>1.1037336417975297E-4</v>
      </c>
      <c r="AM104">
        <v>1.2899999999999999E-3</v>
      </c>
      <c r="AN104" s="2">
        <f t="shared" si="9"/>
        <v>63.470812151518629</v>
      </c>
      <c r="AO104" s="2">
        <f t="shared" si="10"/>
        <v>45.803678872229938</v>
      </c>
      <c r="AP104" s="2" t="str">
        <f t="shared" si="11"/>
        <v/>
      </c>
      <c r="AQ104" s="6">
        <v>0.99570419102684837</v>
      </c>
      <c r="AR104" s="20">
        <v>1.2E-2</v>
      </c>
      <c r="AS104" s="6" t="str">
        <f>IF($H104="BEV",SUMPRODUCT(#REF!,#REF!),"")</f>
        <v/>
      </c>
      <c r="AT104" s="2">
        <f t="shared" si="78"/>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 t="shared" si="79"/>
        <v>5.6956916201838731E-6</v>
      </c>
      <c r="CW104" s="7">
        <f t="shared" si="80"/>
        <v>4.0697614810124742E-6</v>
      </c>
    </row>
    <row r="105" spans="1:101" x14ac:dyDescent="0.2">
      <c r="A105" t="str">
        <f t="shared" si="1"/>
        <v>Motorbike, gasoline, 4-11kW, EURO-5 - 2040 - CH</v>
      </c>
      <c r="B105" t="s">
        <v>405</v>
      </c>
      <c r="D105" s="18">
        <v>2040</v>
      </c>
      <c r="E105" t="s">
        <v>37</v>
      </c>
      <c r="F105" t="s">
        <v>139</v>
      </c>
      <c r="G105" t="s">
        <v>39</v>
      </c>
      <c r="H105" t="s">
        <v>35</v>
      </c>
      <c r="J105">
        <v>25000</v>
      </c>
      <c r="K105">
        <v>1776</v>
      </c>
      <c r="L105" s="2">
        <f t="shared" si="2"/>
        <v>14.076576576576576</v>
      </c>
      <c r="M105">
        <v>1.1000000000000001</v>
      </c>
      <c r="N105">
        <v>75</v>
      </c>
      <c r="O105">
        <v>6</v>
      </c>
      <c r="P105" s="2">
        <f t="shared" si="64"/>
        <v>115.728314484542</v>
      </c>
      <c r="Q105" s="2">
        <f t="shared" si="3"/>
        <v>204.22831448454201</v>
      </c>
      <c r="R105">
        <v>9</v>
      </c>
      <c r="S105" s="2">
        <v>65.433826960328489</v>
      </c>
      <c r="T105" s="1">
        <v>0.05</v>
      </c>
      <c r="U105" s="2">
        <f t="shared" si="105"/>
        <v>62.162135612312063</v>
      </c>
      <c r="V105" s="2">
        <f t="shared" si="107"/>
        <v>45.803678872229938</v>
      </c>
      <c r="W105" s="2">
        <v>0</v>
      </c>
      <c r="X105" s="3">
        <v>0</v>
      </c>
      <c r="Y105" s="1">
        <v>0.8</v>
      </c>
      <c r="Z105" s="3">
        <f t="shared" si="5"/>
        <v>0</v>
      </c>
      <c r="AA105" s="3" t="str">
        <f>IF(I105&lt;&gt;"",X105/INDEX('energy battery'!$B$3:$D$6,MATCH('vehicles specifications'!$D105,'energy battery'!$A$3:$A$6,0),MATCH('vehicles specifications'!$I105,'energy battery'!$B$2:$D$2,0)),"")</f>
        <v/>
      </c>
      <c r="AB105" s="3" t="str">
        <f t="shared" si="6"/>
        <v/>
      </c>
      <c r="AC105" s="3" t="str">
        <f t="shared" si="7"/>
        <v/>
      </c>
      <c r="AD105" s="3">
        <v>0</v>
      </c>
      <c r="AE105" s="3">
        <v>9</v>
      </c>
      <c r="AF105">
        <f>AE105*'fuels and tailpipe emissions'!$B$3</f>
        <v>6.75</v>
      </c>
      <c r="AG105" s="2">
        <f>AF105*'fuels and tailpipe emissions'!$C$3</f>
        <v>79.875</v>
      </c>
      <c r="AH105" s="3">
        <f t="shared" si="106"/>
        <v>1.0125</v>
      </c>
      <c r="AI105" s="3">
        <v>0</v>
      </c>
      <c r="AJ105" s="3">
        <v>0</v>
      </c>
      <c r="AK105">
        <f t="shared" si="67"/>
        <v>1</v>
      </c>
      <c r="AL105">
        <f t="shared" si="65"/>
        <v>1.0967060487819905E-4</v>
      </c>
      <c r="AM105">
        <v>1.2899999999999999E-3</v>
      </c>
      <c r="AN105" s="2">
        <f t="shared" si="9"/>
        <v>62.162135612312063</v>
      </c>
      <c r="AO105" s="2">
        <f t="shared" si="10"/>
        <v>45.803678872229938</v>
      </c>
      <c r="AP105" s="2" t="str">
        <f t="shared" si="11"/>
        <v/>
      </c>
      <c r="AQ105" s="6">
        <v>0.9857471491165799</v>
      </c>
      <c r="AR105" s="20">
        <v>1.2E-2</v>
      </c>
      <c r="AS105" s="6" t="str">
        <f>IF($H105="BEV",SUMPRODUCT(#REF!,#REF!),"")</f>
        <v/>
      </c>
      <c r="AT105" s="2">
        <f t="shared" si="78"/>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 t="shared" si="79"/>
        <v>5.6756325909377783E-6</v>
      </c>
      <c r="CW105" s="7">
        <f t="shared" si="80"/>
        <v>4.0527894876620012E-6</v>
      </c>
    </row>
    <row r="106" spans="1:101" x14ac:dyDescent="0.2">
      <c r="A106" t="str">
        <f t="shared" si="1"/>
        <v>Motorbike, gasoline, 4-11kW, EURO-5 - 2050 - CH</v>
      </c>
      <c r="B106" t="s">
        <v>405</v>
      </c>
      <c r="D106" s="18">
        <v>2050</v>
      </c>
      <c r="E106" t="s">
        <v>37</v>
      </c>
      <c r="F106" t="s">
        <v>139</v>
      </c>
      <c r="G106" t="s">
        <v>39</v>
      </c>
      <c r="H106" t="s">
        <v>35</v>
      </c>
      <c r="J106">
        <v>25000</v>
      </c>
      <c r="K106">
        <v>1776</v>
      </c>
      <c r="L106" s="2">
        <f t="shared" ref="L106:L166" si="108">J106/K106</f>
        <v>14.076576576576576</v>
      </c>
      <c r="M106">
        <v>1.1000000000000001</v>
      </c>
      <c r="N106">
        <v>75</v>
      </c>
      <c r="O106">
        <v>6</v>
      </c>
      <c r="P106" s="2">
        <f t="shared" si="64"/>
        <v>114.41963794533542</v>
      </c>
      <c r="Q106" s="2">
        <f t="shared" ref="Q106:Q166" si="109">P106+(M106*N106)+O106</f>
        <v>202.91963794533541</v>
      </c>
      <c r="R106">
        <v>9</v>
      </c>
      <c r="S106" s="2">
        <v>65.433826960328489</v>
      </c>
      <c r="T106" s="1">
        <v>7.0000000000000007E-2</v>
      </c>
      <c r="U106" s="2">
        <f t="shared" si="105"/>
        <v>60.853459073105491</v>
      </c>
      <c r="V106" s="2">
        <f t="shared" si="107"/>
        <v>45.803678872229938</v>
      </c>
      <c r="W106" s="2">
        <v>0</v>
      </c>
      <c r="X106" s="3">
        <v>0</v>
      </c>
      <c r="Y106" s="1">
        <v>0.8</v>
      </c>
      <c r="Z106" s="3">
        <f t="shared" ref="Z106:Z166" si="110">Y106*X106</f>
        <v>0</v>
      </c>
      <c r="AA106" s="3" t="str">
        <f>IF(I106&lt;&gt;"",X106/INDEX('energy battery'!$B$3:$D$6,MATCH('vehicles specifications'!$D106,'energy battery'!$A$3:$A$6,0),MATCH('vehicles specifications'!$I106,'energy battery'!$B$2:$D$2,0)),"")</f>
        <v/>
      </c>
      <c r="AB106" s="3" t="str">
        <f t="shared" si="6"/>
        <v/>
      </c>
      <c r="AC106" s="3" t="str">
        <f t="shared" si="7"/>
        <v/>
      </c>
      <c r="AD106" s="3">
        <v>0</v>
      </c>
      <c r="AE106" s="3">
        <v>9</v>
      </c>
      <c r="AF106">
        <f>AE106*'fuels and tailpipe emissions'!$B$3</f>
        <v>6.75</v>
      </c>
      <c r="AG106" s="2">
        <f>AF106*'fuels and tailpipe emissions'!$C$3</f>
        <v>79.875</v>
      </c>
      <c r="AH106" s="3">
        <f t="shared" si="106"/>
        <v>1.0125</v>
      </c>
      <c r="AI106" s="3">
        <v>0</v>
      </c>
      <c r="AJ106" s="3">
        <v>0</v>
      </c>
      <c r="AK106">
        <f t="shared" si="67"/>
        <v>1</v>
      </c>
      <c r="AL106">
        <f t="shared" si="65"/>
        <v>1.0896784557664511E-4</v>
      </c>
      <c r="AM106">
        <v>1.2899999999999999E-3</v>
      </c>
      <c r="AN106" s="2">
        <f t="shared" ref="AN106:AN166" si="111">U106</f>
        <v>60.853459073105491</v>
      </c>
      <c r="AO106" s="2">
        <f t="shared" ref="AO106:AO166" si="112">SUM(V106:W106)</f>
        <v>45.803678872229938</v>
      </c>
      <c r="AP106" s="2" t="str">
        <f t="shared" ref="AP106:AP166" si="113">AC106</f>
        <v/>
      </c>
      <c r="AQ106" s="6">
        <v>0.97588967762541412</v>
      </c>
      <c r="AR106" s="20">
        <v>1.2E-2</v>
      </c>
      <c r="AS106" s="6" t="str">
        <f>IF($H106="BEV",SUMPRODUCT(#REF!,#REF!),"")</f>
        <v/>
      </c>
      <c r="AT106" s="2">
        <f t="shared" si="78"/>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 t="shared" si="79"/>
        <v>5.6554732662758953E-6</v>
      </c>
      <c r="CW106" s="7">
        <f t="shared" si="80"/>
        <v>4.0357583783078024E-6</v>
      </c>
    </row>
    <row r="107" spans="1:101" x14ac:dyDescent="0.2">
      <c r="A107" t="str">
        <f t="shared" si="1"/>
        <v>Motorbike, gasoline, 11-35kW, EURO-3 - 2006 - CH</v>
      </c>
      <c r="B107" t="s">
        <v>385</v>
      </c>
      <c r="D107" s="18">
        <v>2006</v>
      </c>
      <c r="E107" t="s">
        <v>37</v>
      </c>
      <c r="F107" t="s">
        <v>137</v>
      </c>
      <c r="G107" t="s">
        <v>39</v>
      </c>
      <c r="H107" t="s">
        <v>35</v>
      </c>
      <c r="J107">
        <v>38500</v>
      </c>
      <c r="K107">
        <v>2405</v>
      </c>
      <c r="L107" s="2">
        <f t="shared" si="108"/>
        <v>16.008316008316008</v>
      </c>
      <c r="M107">
        <v>1.1000000000000001</v>
      </c>
      <c r="N107">
        <v>75</v>
      </c>
      <c r="O107">
        <v>6</v>
      </c>
      <c r="P107" s="2">
        <f t="shared" si="64"/>
        <v>159.98750000000001</v>
      </c>
      <c r="Q107" s="2">
        <f t="shared" si="109"/>
        <v>248.48750000000001</v>
      </c>
      <c r="R107">
        <v>20</v>
      </c>
      <c r="S107" s="2">
        <v>81</v>
      </c>
      <c r="T107" s="1">
        <v>-0.05</v>
      </c>
      <c r="U107" s="2">
        <f t="shared" si="105"/>
        <v>85.05</v>
      </c>
      <c r="V107" s="2">
        <v>62</v>
      </c>
      <c r="W107" s="2">
        <v>0</v>
      </c>
      <c r="X107" s="3">
        <v>0</v>
      </c>
      <c r="Y107" s="1">
        <v>0.8</v>
      </c>
      <c r="Z107" s="3">
        <f t="shared" si="110"/>
        <v>0</v>
      </c>
      <c r="AA107" s="3" t="str">
        <f>IF(I107&lt;&gt;"",X107/INDEX('energy battery'!$B$3:$D$6,MATCH('vehicles specifications'!$D107,'energy battery'!$A$3:$A$6,0),MATCH('vehicles specifications'!$I107,'energy battery'!$B$2:$D$2,0)),"")</f>
        <v/>
      </c>
      <c r="AB107" s="3" t="str">
        <f t="shared" si="6"/>
        <v/>
      </c>
      <c r="AC107" s="3" t="str">
        <f t="shared" si="7"/>
        <v/>
      </c>
      <c r="AD107" s="3">
        <v>0</v>
      </c>
      <c r="AE107" s="3">
        <v>15</v>
      </c>
      <c r="AF107">
        <f>AE107*'fuels and tailpipe emissions'!$B$3</f>
        <v>11.25</v>
      </c>
      <c r="AG107" s="2">
        <f>AF107*'fuels and tailpipe emissions'!$C$3</f>
        <v>133.125</v>
      </c>
      <c r="AH107" s="3">
        <f t="shared" si="106"/>
        <v>1.6875</v>
      </c>
      <c r="AI107" s="3">
        <v>0</v>
      </c>
      <c r="AJ107" s="3">
        <v>0</v>
      </c>
      <c r="AK107">
        <f t="shared" si="67"/>
        <v>1.54</v>
      </c>
      <c r="AL107">
        <f t="shared" si="65"/>
        <v>1.334377875E-4</v>
      </c>
      <c r="AM107">
        <v>1.2899999999999999E-3</v>
      </c>
      <c r="AN107" s="2">
        <f t="shared" si="111"/>
        <v>85.05</v>
      </c>
      <c r="AO107" s="2">
        <f t="shared" si="112"/>
        <v>62</v>
      </c>
      <c r="AP107" s="2" t="str">
        <f t="shared" si="113"/>
        <v/>
      </c>
      <c r="AQ107" s="6">
        <v>1.4882481487614572</v>
      </c>
      <c r="AR107" s="20">
        <v>1.2E-2</v>
      </c>
      <c r="AS107" s="6" t="str">
        <f>IF($H107="BEV",SUMPRODUCT(#REF!,#REF!),"")</f>
        <v/>
      </c>
      <c r="AT107" s="2">
        <f t="shared" si="78"/>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 t="shared" si="79"/>
        <v>5.7181641106782229E-6</v>
      </c>
      <c r="CW107" s="7">
        <f t="shared" si="80"/>
        <v>3.1799843875219737E-6</v>
      </c>
    </row>
    <row r="108" spans="1:101" x14ac:dyDescent="0.2">
      <c r="A108" t="str">
        <f t="shared" si="1"/>
        <v>Motorbike, gasoline, 11-35kW, EURO-4 - 2016 - CH</v>
      </c>
      <c r="B108" t="s">
        <v>386</v>
      </c>
      <c r="D108" s="18">
        <v>2016</v>
      </c>
      <c r="E108" t="s">
        <v>37</v>
      </c>
      <c r="F108" t="s">
        <v>138</v>
      </c>
      <c r="G108" t="s">
        <v>39</v>
      </c>
      <c r="H108" t="s">
        <v>35</v>
      </c>
      <c r="J108">
        <v>38500</v>
      </c>
      <c r="K108">
        <v>2405</v>
      </c>
      <c r="L108" s="2">
        <f t="shared" si="108"/>
        <v>16.008316008316008</v>
      </c>
      <c r="M108">
        <v>1.1000000000000001</v>
      </c>
      <c r="N108">
        <v>75</v>
      </c>
      <c r="O108">
        <v>6</v>
      </c>
      <c r="P108" s="2">
        <f t="shared" si="64"/>
        <v>157.5575</v>
      </c>
      <c r="Q108" s="2">
        <f t="shared" si="109"/>
        <v>246.0575</v>
      </c>
      <c r="R108">
        <v>20</v>
      </c>
      <c r="S108" s="2">
        <v>81</v>
      </c>
      <c r="T108" s="1">
        <v>-0.02</v>
      </c>
      <c r="U108" s="2">
        <f t="shared" si="105"/>
        <v>82.62</v>
      </c>
      <c r="V108" s="2">
        <v>62</v>
      </c>
      <c r="W108" s="2">
        <v>0</v>
      </c>
      <c r="X108" s="3">
        <v>0</v>
      </c>
      <c r="Y108" s="1">
        <v>0.8</v>
      </c>
      <c r="Z108" s="3">
        <f t="shared" si="110"/>
        <v>0</v>
      </c>
      <c r="AA108" s="3" t="str">
        <f>IF(I108&lt;&gt;"",X108/INDEX('energy battery'!$B$3:$D$6,MATCH('vehicles specifications'!$D108,'energy battery'!$A$3:$A$6,0),MATCH('vehicles specifications'!$I108,'energy battery'!$B$2:$D$2,0)),"")</f>
        <v/>
      </c>
      <c r="AB108" s="3" t="str">
        <f t="shared" si="6"/>
        <v/>
      </c>
      <c r="AC108" s="3" t="str">
        <f t="shared" si="7"/>
        <v/>
      </c>
      <c r="AD108" s="3">
        <v>0</v>
      </c>
      <c r="AE108" s="3">
        <v>15</v>
      </c>
      <c r="AF108">
        <f>AE108*'fuels and tailpipe emissions'!$B$3</f>
        <v>11.25</v>
      </c>
      <c r="AG108" s="2">
        <f>AF108*'fuels and tailpipe emissions'!$C$3</f>
        <v>133.125</v>
      </c>
      <c r="AH108" s="3">
        <f t="shared" si="106"/>
        <v>1.6875</v>
      </c>
      <c r="AI108" s="3">
        <v>0</v>
      </c>
      <c r="AJ108" s="3">
        <v>0</v>
      </c>
      <c r="AK108">
        <f t="shared" si="67"/>
        <v>1.54</v>
      </c>
      <c r="AL108">
        <f t="shared" si="65"/>
        <v>1.3213287749999999E-4</v>
      </c>
      <c r="AM108">
        <v>1.2899999999999999E-3</v>
      </c>
      <c r="AN108" s="2">
        <f t="shared" si="111"/>
        <v>82.62</v>
      </c>
      <c r="AO108" s="2">
        <f t="shared" si="112"/>
        <v>62</v>
      </c>
      <c r="AP108" s="2" t="str">
        <f t="shared" si="113"/>
        <v/>
      </c>
      <c r="AQ108" s="6">
        <v>1.4735130185757002</v>
      </c>
      <c r="AR108" s="20">
        <v>1.2E-2</v>
      </c>
      <c r="AS108" s="6" t="str">
        <f>IF($H108="BEV",SUMPRODUCT(#REF!,#REF!),"")</f>
        <v/>
      </c>
      <c r="AT108" s="2">
        <f t="shared" si="78"/>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 t="shared" si="79"/>
        <v>5.6888158267475719E-6</v>
      </c>
      <c r="CW108" s="7">
        <f t="shared" si="80"/>
        <v>3.1599080713138445E-6</v>
      </c>
    </row>
    <row r="109" spans="1:101" x14ac:dyDescent="0.2">
      <c r="A109" t="str">
        <f t="shared" si="1"/>
        <v>Motorbike, gasoline, 11-35kW, EURO-5 - 2020 - CH</v>
      </c>
      <c r="B109" t="s">
        <v>387</v>
      </c>
      <c r="D109" s="18">
        <v>2020</v>
      </c>
      <c r="E109" t="s">
        <v>37</v>
      </c>
      <c r="F109" t="s">
        <v>139</v>
      </c>
      <c r="G109" t="s">
        <v>39</v>
      </c>
      <c r="H109" t="s">
        <v>35</v>
      </c>
      <c r="J109">
        <v>38500</v>
      </c>
      <c r="K109">
        <v>2405</v>
      </c>
      <c r="L109" s="2">
        <f t="shared" si="108"/>
        <v>16.008316008316008</v>
      </c>
      <c r="M109">
        <v>1.1000000000000001</v>
      </c>
      <c r="N109">
        <v>75</v>
      </c>
      <c r="O109">
        <v>6</v>
      </c>
      <c r="P109" s="2">
        <f t="shared" si="64"/>
        <v>155.9375</v>
      </c>
      <c r="Q109" s="2">
        <f t="shared" si="109"/>
        <v>244.4375</v>
      </c>
      <c r="R109">
        <v>20</v>
      </c>
      <c r="S109" s="2">
        <v>81</v>
      </c>
      <c r="T109" s="1">
        <v>0</v>
      </c>
      <c r="U109" s="2">
        <f t="shared" si="105"/>
        <v>81</v>
      </c>
      <c r="V109" s="2">
        <v>62</v>
      </c>
      <c r="W109" s="2">
        <v>0</v>
      </c>
      <c r="X109" s="3">
        <v>0</v>
      </c>
      <c r="Y109" s="1">
        <v>0.8</v>
      </c>
      <c r="Z109" s="3">
        <f t="shared" si="110"/>
        <v>0</v>
      </c>
      <c r="AA109" s="3" t="str">
        <f>IF(I109&lt;&gt;"",X109/INDEX('energy battery'!$B$3:$D$6,MATCH('vehicles specifications'!$D109,'energy battery'!$A$3:$A$6,0),MATCH('vehicles specifications'!$I109,'energy battery'!$B$2:$D$2,0)),"")</f>
        <v/>
      </c>
      <c r="AB109" s="3" t="str">
        <f t="shared" si="6"/>
        <v/>
      </c>
      <c r="AC109" s="3" t="str">
        <f t="shared" si="7"/>
        <v/>
      </c>
      <c r="AD109" s="3">
        <v>0</v>
      </c>
      <c r="AE109" s="3">
        <v>15</v>
      </c>
      <c r="AF109">
        <f>AE109*'fuels and tailpipe emissions'!$B$3</f>
        <v>11.25</v>
      </c>
      <c r="AG109" s="2">
        <f>AF109*'fuels and tailpipe emissions'!$C$3</f>
        <v>133.125</v>
      </c>
      <c r="AH109" s="3">
        <f t="shared" si="106"/>
        <v>1.6875</v>
      </c>
      <c r="AI109" s="3">
        <v>0</v>
      </c>
      <c r="AJ109" s="3">
        <v>0</v>
      </c>
      <c r="AK109">
        <f t="shared" si="67"/>
        <v>1.54</v>
      </c>
      <c r="AL109">
        <f t="shared" si="65"/>
        <v>1.3126293750000001E-4</v>
      </c>
      <c r="AM109">
        <v>1.2899999999999999E-3</v>
      </c>
      <c r="AN109" s="2">
        <f t="shared" si="111"/>
        <v>81</v>
      </c>
      <c r="AO109" s="2">
        <f t="shared" si="112"/>
        <v>62</v>
      </c>
      <c r="AP109" s="2" t="str">
        <f t="shared" si="113"/>
        <v/>
      </c>
      <c r="AQ109" s="6">
        <v>1.4587778883899432</v>
      </c>
      <c r="AR109" s="20">
        <v>1.2E-2</v>
      </c>
      <c r="AS109" s="6" t="str">
        <f>IF($H109="BEV",SUMPRODUCT(#REF!,#REF!),"")</f>
        <v/>
      </c>
      <c r="AT109" s="2">
        <f t="shared" si="78"/>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 t="shared" si="79"/>
        <v>5.6691348947099748E-6</v>
      </c>
      <c r="CW109" s="7">
        <f t="shared" si="80"/>
        <v>3.1464693215033047E-6</v>
      </c>
    </row>
    <row r="110" spans="1:101" x14ac:dyDescent="0.2">
      <c r="A110" t="str">
        <f t="shared" si="1"/>
        <v>Motorbike, gasoline, 11-35kW, EURO-5 - 2030 - CH</v>
      </c>
      <c r="B110" t="s">
        <v>387</v>
      </c>
      <c r="D110" s="18">
        <v>2030</v>
      </c>
      <c r="E110" t="s">
        <v>37</v>
      </c>
      <c r="F110" t="s">
        <v>139</v>
      </c>
      <c r="G110" t="s">
        <v>39</v>
      </c>
      <c r="H110" t="s">
        <v>35</v>
      </c>
      <c r="J110">
        <v>38500</v>
      </c>
      <c r="K110">
        <v>2405</v>
      </c>
      <c r="L110" s="2">
        <f t="shared" si="108"/>
        <v>16.008316008316008</v>
      </c>
      <c r="M110">
        <v>1.1000000000000001</v>
      </c>
      <c r="N110">
        <v>75</v>
      </c>
      <c r="O110">
        <v>6</v>
      </c>
      <c r="P110" s="2">
        <f t="shared" si="64"/>
        <v>153.50749999999999</v>
      </c>
      <c r="Q110" s="2">
        <f t="shared" si="109"/>
        <v>242.00749999999999</v>
      </c>
      <c r="R110">
        <v>20</v>
      </c>
      <c r="S110" s="2">
        <v>81</v>
      </c>
      <c r="T110" s="1">
        <v>0.03</v>
      </c>
      <c r="U110" s="2">
        <f t="shared" si="105"/>
        <v>78.569999999999993</v>
      </c>
      <c r="V110" s="2">
        <v>62</v>
      </c>
      <c r="W110" s="2">
        <v>0</v>
      </c>
      <c r="X110" s="3">
        <v>0</v>
      </c>
      <c r="Y110" s="1">
        <v>0.8</v>
      </c>
      <c r="Z110" s="3">
        <f t="shared" si="110"/>
        <v>0</v>
      </c>
      <c r="AA110" s="3" t="str">
        <f>IF(I110&lt;&gt;"",X110/INDEX('energy battery'!$B$3:$D$6,MATCH('vehicles specifications'!$D110,'energy battery'!$A$3:$A$6,0),MATCH('vehicles specifications'!$I110,'energy battery'!$B$2:$D$2,0)),"")</f>
        <v/>
      </c>
      <c r="AB110" s="3" t="str">
        <f t="shared" si="6"/>
        <v/>
      </c>
      <c r="AC110" s="3" t="str">
        <f t="shared" si="7"/>
        <v/>
      </c>
      <c r="AD110" s="3">
        <v>0</v>
      </c>
      <c r="AE110" s="3">
        <v>15</v>
      </c>
      <c r="AF110">
        <f>AE110*'fuels and tailpipe emissions'!$B$3</f>
        <v>11.25</v>
      </c>
      <c r="AG110" s="2">
        <f>AF110*'fuels and tailpipe emissions'!$C$3</f>
        <v>133.125</v>
      </c>
      <c r="AH110" s="3">
        <f t="shared" si="106"/>
        <v>1.6875</v>
      </c>
      <c r="AI110" s="3">
        <v>0</v>
      </c>
      <c r="AJ110" s="3">
        <v>0</v>
      </c>
      <c r="AK110">
        <f t="shared" si="67"/>
        <v>1.54</v>
      </c>
      <c r="AL110">
        <f t="shared" si="65"/>
        <v>1.299580275E-4</v>
      </c>
      <c r="AM110">
        <v>1.2899999999999999E-3</v>
      </c>
      <c r="AN110" s="2">
        <f t="shared" si="111"/>
        <v>78.569999999999993</v>
      </c>
      <c r="AO110" s="2">
        <f t="shared" si="112"/>
        <v>62</v>
      </c>
      <c r="AP110" s="2" t="str">
        <f t="shared" si="113"/>
        <v/>
      </c>
      <c r="AQ110" s="6">
        <v>1.4441901095060437</v>
      </c>
      <c r="AR110" s="20">
        <v>1.2E-2</v>
      </c>
      <c r="AS110" s="6" t="str">
        <f>IF($H110="BEV",SUMPRODUCT(#REF!,#REF!),"")</f>
        <v/>
      </c>
      <c r="AT110" s="2">
        <f t="shared" si="78"/>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 t="shared" si="79"/>
        <v>5.6394371773457311E-6</v>
      </c>
      <c r="CW110" s="7">
        <f t="shared" si="80"/>
        <v>3.126228097375502E-6</v>
      </c>
    </row>
    <row r="111" spans="1:101" x14ac:dyDescent="0.2">
      <c r="A111" t="str">
        <f t="shared" si="1"/>
        <v>Motorbike, gasoline, 11-35kW, EURO-5 - 2040 - CH</v>
      </c>
      <c r="B111" t="s">
        <v>387</v>
      </c>
      <c r="D111" s="18">
        <v>2040</v>
      </c>
      <c r="E111" t="s">
        <v>37</v>
      </c>
      <c r="F111" t="s">
        <v>139</v>
      </c>
      <c r="G111" t="s">
        <v>39</v>
      </c>
      <c r="H111" t="s">
        <v>35</v>
      </c>
      <c r="J111">
        <v>38500</v>
      </c>
      <c r="K111">
        <v>2405</v>
      </c>
      <c r="L111" s="2">
        <f t="shared" si="108"/>
        <v>16.008316008316008</v>
      </c>
      <c r="M111">
        <v>1.1000000000000001</v>
      </c>
      <c r="N111">
        <v>75</v>
      </c>
      <c r="O111">
        <v>6</v>
      </c>
      <c r="P111" s="2">
        <f t="shared" si="64"/>
        <v>151.88749999999999</v>
      </c>
      <c r="Q111" s="2">
        <f t="shared" si="109"/>
        <v>240.38749999999999</v>
      </c>
      <c r="R111">
        <v>20</v>
      </c>
      <c r="S111" s="2">
        <v>81</v>
      </c>
      <c r="T111" s="1">
        <v>0.05</v>
      </c>
      <c r="U111" s="2">
        <f t="shared" si="105"/>
        <v>76.95</v>
      </c>
      <c r="V111" s="2">
        <v>62</v>
      </c>
      <c r="W111" s="2">
        <v>0</v>
      </c>
      <c r="X111" s="3">
        <v>0</v>
      </c>
      <c r="Y111" s="1">
        <v>0.8</v>
      </c>
      <c r="Z111" s="3">
        <f t="shared" si="110"/>
        <v>0</v>
      </c>
      <c r="AA111" s="3" t="str">
        <f>IF(I111&lt;&gt;"",X111/INDEX('energy battery'!$B$3:$D$6,MATCH('vehicles specifications'!$D111,'energy battery'!$A$3:$A$6,0),MATCH('vehicles specifications'!$I111,'energy battery'!$B$2:$D$2,0)),"")</f>
        <v/>
      </c>
      <c r="AB111" s="3" t="str">
        <f t="shared" si="6"/>
        <v/>
      </c>
      <c r="AC111" s="3" t="str">
        <f t="shared" si="7"/>
        <v/>
      </c>
      <c r="AD111" s="3">
        <v>0</v>
      </c>
      <c r="AE111" s="3">
        <v>15</v>
      </c>
      <c r="AF111">
        <f>AE111*'fuels and tailpipe emissions'!$B$3</f>
        <v>11.25</v>
      </c>
      <c r="AG111" s="2">
        <f>AF111*'fuels and tailpipe emissions'!$C$3</f>
        <v>133.125</v>
      </c>
      <c r="AH111" s="3">
        <f t="shared" si="106"/>
        <v>1.6875</v>
      </c>
      <c r="AI111" s="3">
        <v>0</v>
      </c>
      <c r="AJ111" s="3">
        <v>0</v>
      </c>
      <c r="AK111">
        <f t="shared" si="67"/>
        <v>1.54</v>
      </c>
      <c r="AL111">
        <f t="shared" si="65"/>
        <v>1.290880875E-4</v>
      </c>
      <c r="AM111">
        <v>1.2899999999999999E-3</v>
      </c>
      <c r="AN111" s="2">
        <f t="shared" si="111"/>
        <v>76.95</v>
      </c>
      <c r="AO111" s="2">
        <f t="shared" si="112"/>
        <v>62</v>
      </c>
      <c r="AP111" s="2" t="str">
        <f t="shared" si="113"/>
        <v/>
      </c>
      <c r="AQ111" s="6">
        <v>1.4297482084109832</v>
      </c>
      <c r="AR111" s="20">
        <v>1.2E-2</v>
      </c>
      <c r="AS111" s="6" t="str">
        <f>IF($H111="BEV",SUMPRODUCT(#REF!,#REF!),"")</f>
        <v/>
      </c>
      <c r="AT111" s="2">
        <f t="shared" si="78"/>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 t="shared" si="79"/>
        <v>5.6195192270635636E-6</v>
      </c>
      <c r="CW111" s="7">
        <f t="shared" si="80"/>
        <v>3.1126777752103363E-6</v>
      </c>
    </row>
    <row r="112" spans="1:101" x14ac:dyDescent="0.2">
      <c r="A112" t="str">
        <f t="shared" si="1"/>
        <v>Motorbike, gasoline, 11-35kW, EURO-5 - 2050 - CH</v>
      </c>
      <c r="B112" t="s">
        <v>387</v>
      </c>
      <c r="D112" s="18">
        <v>2050</v>
      </c>
      <c r="E112" t="s">
        <v>37</v>
      </c>
      <c r="F112" t="s">
        <v>139</v>
      </c>
      <c r="G112" t="s">
        <v>39</v>
      </c>
      <c r="H112" t="s">
        <v>35</v>
      </c>
      <c r="J112">
        <v>38500</v>
      </c>
      <c r="K112">
        <v>2405</v>
      </c>
      <c r="L112" s="2">
        <f t="shared" si="108"/>
        <v>16.008316008316008</v>
      </c>
      <c r="M112">
        <v>1.1000000000000001</v>
      </c>
      <c r="N112">
        <v>75</v>
      </c>
      <c r="O112">
        <v>6</v>
      </c>
      <c r="P112" s="2">
        <f t="shared" si="64"/>
        <v>150.26749999999998</v>
      </c>
      <c r="Q112" s="2">
        <f t="shared" si="109"/>
        <v>238.76749999999998</v>
      </c>
      <c r="R112">
        <v>20</v>
      </c>
      <c r="S112" s="2">
        <v>81</v>
      </c>
      <c r="T112" s="1">
        <v>7.0000000000000007E-2</v>
      </c>
      <c r="U112" s="2">
        <f t="shared" si="105"/>
        <v>75.33</v>
      </c>
      <c r="V112" s="2">
        <v>62</v>
      </c>
      <c r="W112" s="2">
        <v>0</v>
      </c>
      <c r="X112" s="3">
        <v>0</v>
      </c>
      <c r="Y112" s="1">
        <v>0.8</v>
      </c>
      <c r="Z112" s="3">
        <f t="shared" si="110"/>
        <v>0</v>
      </c>
      <c r="AA112" s="3" t="str">
        <f>IF(I112&lt;&gt;"",X112/INDEX('energy battery'!$B$3:$D$6,MATCH('vehicles specifications'!$D112,'energy battery'!$A$3:$A$6,0),MATCH('vehicles specifications'!$I112,'energy battery'!$B$2:$D$2,0)),"")</f>
        <v/>
      </c>
      <c r="AB112" s="3" t="str">
        <f t="shared" si="6"/>
        <v/>
      </c>
      <c r="AC112" s="3" t="str">
        <f t="shared" si="7"/>
        <v/>
      </c>
      <c r="AD112" s="3">
        <v>0</v>
      </c>
      <c r="AE112" s="3">
        <v>15</v>
      </c>
      <c r="AF112">
        <f>AE112*'fuels and tailpipe emissions'!$B$3</f>
        <v>11.25</v>
      </c>
      <c r="AG112" s="2">
        <f>AF112*'fuels and tailpipe emissions'!$C$3</f>
        <v>133.125</v>
      </c>
      <c r="AH112" s="3">
        <f t="shared" si="106"/>
        <v>1.6875</v>
      </c>
      <c r="AI112" s="3">
        <v>0</v>
      </c>
      <c r="AJ112" s="3">
        <v>0</v>
      </c>
      <c r="AK112">
        <f t="shared" si="67"/>
        <v>1.54</v>
      </c>
      <c r="AL112">
        <f t="shared" si="65"/>
        <v>1.2821814749999999E-4</v>
      </c>
      <c r="AM112">
        <v>1.2899999999999999E-3</v>
      </c>
      <c r="AN112" s="2">
        <f t="shared" si="111"/>
        <v>75.33</v>
      </c>
      <c r="AO112" s="2">
        <f t="shared" si="112"/>
        <v>62</v>
      </c>
      <c r="AP112" s="2" t="str">
        <f t="shared" si="113"/>
        <v/>
      </c>
      <c r="AQ112" s="6">
        <v>1.4154507263268734</v>
      </c>
      <c r="AR112" s="20">
        <v>1.2E-2</v>
      </c>
      <c r="AS112" s="6" t="str">
        <f>IF($H112="BEV",SUMPRODUCT(#REF!,#REF!),"")</f>
        <v/>
      </c>
      <c r="AT112" s="2">
        <f t="shared" si="78"/>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 t="shared" si="79"/>
        <v>5.5995041163619232E-6</v>
      </c>
      <c r="CW112" s="7">
        <f t="shared" si="80"/>
        <v>3.0990818813021925E-6</v>
      </c>
    </row>
    <row r="113" spans="1:101" x14ac:dyDescent="0.2">
      <c r="A113" t="str">
        <f t="shared" si="1"/>
        <v>Motorbike, gasoline, &gt;35kW, EURO-3 - 2006 - CH</v>
      </c>
      <c r="B113" t="s">
        <v>394</v>
      </c>
      <c r="D113" s="18">
        <v>2006</v>
      </c>
      <c r="E113" t="s">
        <v>37</v>
      </c>
      <c r="F113" t="s">
        <v>137</v>
      </c>
      <c r="G113" t="s">
        <v>39</v>
      </c>
      <c r="H113" t="s">
        <v>35</v>
      </c>
      <c r="J113">
        <v>40500</v>
      </c>
      <c r="K113">
        <v>2896</v>
      </c>
      <c r="L113" s="2">
        <f t="shared" si="108"/>
        <v>13.984806629834255</v>
      </c>
      <c r="M113">
        <v>1.1000000000000001</v>
      </c>
      <c r="N113">
        <v>75</v>
      </c>
      <c r="O113">
        <v>6</v>
      </c>
      <c r="P113" s="2">
        <f t="shared" si="64"/>
        <v>262.07499999999999</v>
      </c>
      <c r="Q113" s="2">
        <f t="shared" si="109"/>
        <v>350.57499999999999</v>
      </c>
      <c r="R113">
        <v>91</v>
      </c>
      <c r="S113" s="2">
        <v>111</v>
      </c>
      <c r="T113" s="1">
        <v>-0.05</v>
      </c>
      <c r="U113" s="2">
        <f t="shared" si="105"/>
        <v>116.55000000000001</v>
      </c>
      <c r="V113" s="2">
        <v>130</v>
      </c>
      <c r="W113" s="2">
        <v>0</v>
      </c>
      <c r="X113" s="3">
        <v>0</v>
      </c>
      <c r="Y113" s="1">
        <v>0.8</v>
      </c>
      <c r="Z113" s="3">
        <f t="shared" si="110"/>
        <v>0</v>
      </c>
      <c r="AA113" s="3" t="str">
        <f>IF(I113&lt;&gt;"",X113/INDEX('energy battery'!$B$3:$D$6,MATCH('vehicles specifications'!$D113,'energy battery'!$A$3:$A$6,0),MATCH('vehicles specifications'!$I113,'energy battery'!$B$2:$D$2,0)),"")</f>
        <v/>
      </c>
      <c r="AB113" s="3" t="str">
        <f t="shared" si="6"/>
        <v/>
      </c>
      <c r="AC113" s="3" t="str">
        <f t="shared" si="7"/>
        <v/>
      </c>
      <c r="AD113" s="3">
        <v>0</v>
      </c>
      <c r="AE113" s="3">
        <v>18</v>
      </c>
      <c r="AF113">
        <f>AE113*'fuels and tailpipe emissions'!$B$3</f>
        <v>13.5</v>
      </c>
      <c r="AG113" s="2">
        <f>AF113*'fuels and tailpipe emissions'!$C$3</f>
        <v>159.75</v>
      </c>
      <c r="AH113" s="3">
        <f t="shared" si="106"/>
        <v>2.0249999999999999</v>
      </c>
      <c r="AI113" s="3">
        <v>0</v>
      </c>
      <c r="AJ113" s="3">
        <v>0</v>
      </c>
      <c r="AK113">
        <f t="shared" si="67"/>
        <v>1.62</v>
      </c>
      <c r="AL113">
        <f t="shared" si="65"/>
        <v>1.8825877500000001E-4</v>
      </c>
      <c r="AM113">
        <v>1.2899999999999999E-3</v>
      </c>
      <c r="AN113" s="2">
        <f t="shared" si="111"/>
        <v>116.55000000000001</v>
      </c>
      <c r="AO113" s="2">
        <f t="shared" si="112"/>
        <v>130</v>
      </c>
      <c r="AP113" s="2" t="str">
        <f t="shared" si="113"/>
        <v/>
      </c>
      <c r="AQ113" s="6">
        <v>1.9734383163842311</v>
      </c>
      <c r="AR113" s="20">
        <v>1.2E-2</v>
      </c>
      <c r="AS113" s="6" t="str">
        <f>IF($H113="BEV",SUMPRODUCT(#REF!,#REF!),"")</f>
        <v/>
      </c>
      <c r="AT113" s="2">
        <f t="shared" si="78"/>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 t="shared" si="79"/>
        <v>6.8046284672740703E-6</v>
      </c>
      <c r="CW113" s="7">
        <f t="shared" si="80"/>
        <v>3.9518473198543693E-6</v>
      </c>
    </row>
    <row r="114" spans="1:101" x14ac:dyDescent="0.2">
      <c r="A114" t="str">
        <f t="shared" si="1"/>
        <v>Motorbike, gasoline, &gt;35kW, EURO-4 - 2016 - CH</v>
      </c>
      <c r="B114" t="s">
        <v>395</v>
      </c>
      <c r="D114" s="18">
        <v>2016</v>
      </c>
      <c r="E114" t="s">
        <v>37</v>
      </c>
      <c r="F114" t="s">
        <v>138</v>
      </c>
      <c r="G114" t="s">
        <v>39</v>
      </c>
      <c r="H114" t="s">
        <v>35</v>
      </c>
      <c r="J114">
        <v>40500</v>
      </c>
      <c r="K114">
        <v>2896</v>
      </c>
      <c r="L114" s="2">
        <f t="shared" si="108"/>
        <v>13.984806629834255</v>
      </c>
      <c r="M114">
        <v>1.1000000000000001</v>
      </c>
      <c r="N114">
        <v>75</v>
      </c>
      <c r="O114">
        <v>6</v>
      </c>
      <c r="P114" s="2">
        <f t="shared" si="64"/>
        <v>258.745</v>
      </c>
      <c r="Q114" s="2">
        <f t="shared" si="109"/>
        <v>347.245</v>
      </c>
      <c r="R114">
        <v>91</v>
      </c>
      <c r="S114" s="2">
        <v>111</v>
      </c>
      <c r="T114" s="1">
        <v>-0.02</v>
      </c>
      <c r="U114" s="2">
        <f t="shared" si="105"/>
        <v>113.22</v>
      </c>
      <c r="V114" s="2">
        <v>130</v>
      </c>
      <c r="W114" s="2">
        <v>0</v>
      </c>
      <c r="X114" s="3">
        <v>0</v>
      </c>
      <c r="Y114" s="1">
        <v>0.8</v>
      </c>
      <c r="Z114" s="3">
        <f t="shared" si="110"/>
        <v>0</v>
      </c>
      <c r="AA114" s="3" t="str">
        <f>IF(I114&lt;&gt;"",X114/INDEX('energy battery'!$B$3:$D$6,MATCH('vehicles specifications'!$D114,'energy battery'!$A$3:$A$6,0),MATCH('vehicles specifications'!$I114,'energy battery'!$B$2:$D$2,0)),"")</f>
        <v/>
      </c>
      <c r="AB114" s="3" t="str">
        <f t="shared" si="6"/>
        <v/>
      </c>
      <c r="AC114" s="3" t="str">
        <f t="shared" si="7"/>
        <v/>
      </c>
      <c r="AD114" s="3">
        <v>0</v>
      </c>
      <c r="AE114" s="3">
        <v>18</v>
      </c>
      <c r="AF114">
        <f>AE114*'fuels and tailpipe emissions'!$B$3</f>
        <v>13.5</v>
      </c>
      <c r="AG114" s="2">
        <f>AF114*'fuels and tailpipe emissions'!$C$3</f>
        <v>159.75</v>
      </c>
      <c r="AH114" s="3">
        <f t="shared" si="106"/>
        <v>2.0249999999999999</v>
      </c>
      <c r="AI114" s="3">
        <v>0</v>
      </c>
      <c r="AJ114" s="3">
        <v>0</v>
      </c>
      <c r="AK114">
        <f t="shared" si="67"/>
        <v>1.62</v>
      </c>
      <c r="AL114">
        <f t="shared" si="65"/>
        <v>1.8647056500000001E-4</v>
      </c>
      <c r="AM114">
        <v>1.2899999999999999E-3</v>
      </c>
      <c r="AN114" s="2">
        <f t="shared" si="111"/>
        <v>113.22</v>
      </c>
      <c r="AO114" s="2">
        <f t="shared" si="112"/>
        <v>130</v>
      </c>
      <c r="AP114" s="2" t="str">
        <f t="shared" si="113"/>
        <v/>
      </c>
      <c r="AQ114" s="6">
        <v>1.953899323152704</v>
      </c>
      <c r="AR114" s="20">
        <v>1.2E-2</v>
      </c>
      <c r="AS114" s="6" t="str">
        <f>IF($H114="BEV",SUMPRODUCT(#REF!,#REF!),"")</f>
        <v/>
      </c>
      <c r="AT114" s="2">
        <f t="shared" si="78"/>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 t="shared" si="79"/>
        <v>6.7728023675925525E-6</v>
      </c>
      <c r="CW114" s="7">
        <f t="shared" si="80"/>
        <v>3.9284895088005455E-6</v>
      </c>
    </row>
    <row r="115" spans="1:101" x14ac:dyDescent="0.2">
      <c r="A115" t="str">
        <f t="shared" si="1"/>
        <v>Motorbike, gasoline, &gt;35kW, EURO-5 - 2020 - CH</v>
      </c>
      <c r="B115" t="s">
        <v>396</v>
      </c>
      <c r="D115" s="18">
        <v>2020</v>
      </c>
      <c r="E115" t="s">
        <v>37</v>
      </c>
      <c r="F115" t="s">
        <v>139</v>
      </c>
      <c r="G115" t="s">
        <v>39</v>
      </c>
      <c r="H115" t="s">
        <v>35</v>
      </c>
      <c r="J115">
        <v>40500</v>
      </c>
      <c r="K115">
        <v>2896</v>
      </c>
      <c r="L115" s="2">
        <f t="shared" si="108"/>
        <v>13.984806629834255</v>
      </c>
      <c r="M115">
        <v>1.1000000000000001</v>
      </c>
      <c r="N115">
        <v>75</v>
      </c>
      <c r="O115">
        <v>6</v>
      </c>
      <c r="P115" s="2">
        <f t="shared" si="64"/>
        <v>256.52499999999998</v>
      </c>
      <c r="Q115" s="2">
        <f t="shared" si="109"/>
        <v>345.02499999999998</v>
      </c>
      <c r="R115">
        <v>91</v>
      </c>
      <c r="S115" s="2">
        <v>111</v>
      </c>
      <c r="T115" s="1">
        <v>0</v>
      </c>
      <c r="U115" s="2">
        <f t="shared" si="105"/>
        <v>111</v>
      </c>
      <c r="V115" s="2">
        <v>130</v>
      </c>
      <c r="W115" s="2">
        <v>0</v>
      </c>
      <c r="X115" s="3">
        <v>0</v>
      </c>
      <c r="Y115" s="1">
        <v>0.8</v>
      </c>
      <c r="Z115" s="3">
        <f t="shared" si="110"/>
        <v>0</v>
      </c>
      <c r="AA115" s="3" t="str">
        <f>IF(I115&lt;&gt;"",X115/INDEX('energy battery'!$B$3:$D$6,MATCH('vehicles specifications'!$D115,'energy battery'!$A$3:$A$6,0),MATCH('vehicles specifications'!$I115,'energy battery'!$B$2:$D$2,0)),"")</f>
        <v/>
      </c>
      <c r="AB115" s="3" t="str">
        <f t="shared" si="6"/>
        <v/>
      </c>
      <c r="AC115" s="3" t="str">
        <f t="shared" si="7"/>
        <v/>
      </c>
      <c r="AD115" s="3">
        <v>0</v>
      </c>
      <c r="AE115" s="3">
        <v>18</v>
      </c>
      <c r="AF115">
        <f>AE115*'fuels and tailpipe emissions'!$B$3</f>
        <v>13.5</v>
      </c>
      <c r="AG115" s="2">
        <f>AF115*'fuels and tailpipe emissions'!$C$3</f>
        <v>159.75</v>
      </c>
      <c r="AH115" s="3">
        <f t="shared" si="106"/>
        <v>2.0249999999999999</v>
      </c>
      <c r="AI115" s="3">
        <v>0</v>
      </c>
      <c r="AJ115" s="3">
        <v>0</v>
      </c>
      <c r="AK115">
        <f t="shared" si="67"/>
        <v>1.62</v>
      </c>
      <c r="AL115">
        <f t="shared" si="65"/>
        <v>1.8527842499999999E-4</v>
      </c>
      <c r="AM115">
        <v>1.2899999999999999E-3</v>
      </c>
      <c r="AN115" s="2">
        <f t="shared" si="111"/>
        <v>111</v>
      </c>
      <c r="AO115" s="2">
        <f t="shared" si="112"/>
        <v>130</v>
      </c>
      <c r="AP115" s="2" t="str">
        <f t="shared" si="113"/>
        <v/>
      </c>
      <c r="AQ115" s="6">
        <v>1.9343603299211769</v>
      </c>
      <c r="AR115" s="20">
        <v>1.2E-2</v>
      </c>
      <c r="AS115" s="6" t="str">
        <f>IF($H115="BEV",SUMPRODUCT(#REF!,#REF!),"")</f>
        <v/>
      </c>
      <c r="AT115" s="2">
        <f t="shared" si="78"/>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 t="shared" si="79"/>
        <v>6.7514741481301901E-6</v>
      </c>
      <c r="CW115" s="7">
        <f t="shared" si="80"/>
        <v>3.9128602753765776E-6</v>
      </c>
    </row>
    <row r="116" spans="1:101" x14ac:dyDescent="0.2">
      <c r="A116" t="str">
        <f t="shared" ref="A116:A166" si="114">B116&amp;" - "&amp;D116&amp;" - "&amp;IF(I116&lt;&gt;"",I116&amp;" - "&amp;E116,E116)</f>
        <v>Motorbike, gasoline, &gt;35kW, EURO-5 - 2030 - CH</v>
      </c>
      <c r="B116" t="s">
        <v>396</v>
      </c>
      <c r="D116" s="18">
        <v>2030</v>
      </c>
      <c r="E116" t="s">
        <v>37</v>
      </c>
      <c r="F116" t="s">
        <v>139</v>
      </c>
      <c r="G116" t="s">
        <v>39</v>
      </c>
      <c r="H116" t="s">
        <v>35</v>
      </c>
      <c r="J116">
        <v>40500</v>
      </c>
      <c r="K116">
        <v>2896</v>
      </c>
      <c r="L116" s="2">
        <f t="shared" si="108"/>
        <v>13.984806629834255</v>
      </c>
      <c r="M116">
        <v>1.1000000000000001</v>
      </c>
      <c r="N116">
        <v>75</v>
      </c>
      <c r="O116">
        <v>6</v>
      </c>
      <c r="P116" s="2">
        <f t="shared" si="64"/>
        <v>253.19500000000002</v>
      </c>
      <c r="Q116" s="2">
        <f t="shared" si="109"/>
        <v>341.69500000000005</v>
      </c>
      <c r="R116">
        <v>91</v>
      </c>
      <c r="S116" s="2">
        <v>111</v>
      </c>
      <c r="T116" s="1">
        <v>0.03</v>
      </c>
      <c r="U116" s="2">
        <f t="shared" si="105"/>
        <v>107.67</v>
      </c>
      <c r="V116" s="2">
        <v>130</v>
      </c>
      <c r="W116" s="2">
        <v>0</v>
      </c>
      <c r="X116" s="3">
        <v>0</v>
      </c>
      <c r="Y116" s="1">
        <v>0.8</v>
      </c>
      <c r="Z116" s="3">
        <f t="shared" si="110"/>
        <v>0</v>
      </c>
      <c r="AA116" s="3" t="str">
        <f>IF(I116&lt;&gt;"",X116/INDEX('energy battery'!$B$3:$D$6,MATCH('vehicles specifications'!$D116,'energy battery'!$A$3:$A$6,0),MATCH('vehicles specifications'!$I116,'energy battery'!$B$2:$D$2,0)),"")</f>
        <v/>
      </c>
      <c r="AB116" s="3" t="str">
        <f t="shared" ref="AB116:AB166" si="115">IF(AA116&lt;&gt;"",0.3*AA116,"")</f>
        <v/>
      </c>
      <c r="AC116" s="3" t="str">
        <f t="shared" ref="AC116:AC166" si="116">IF(AA116&lt;&gt;"",AB116+AA116,"")</f>
        <v/>
      </c>
      <c r="AD116" s="3">
        <v>0</v>
      </c>
      <c r="AE116" s="3">
        <v>18</v>
      </c>
      <c r="AF116">
        <f>AE116*'fuels and tailpipe emissions'!$B$3</f>
        <v>13.5</v>
      </c>
      <c r="AG116" s="2">
        <f>AF116*'fuels and tailpipe emissions'!$C$3</f>
        <v>159.75</v>
      </c>
      <c r="AH116" s="3">
        <f t="shared" si="106"/>
        <v>2.0249999999999999</v>
      </c>
      <c r="AI116" s="3">
        <v>0</v>
      </c>
      <c r="AJ116" s="3">
        <v>0</v>
      </c>
      <c r="AK116">
        <f t="shared" si="67"/>
        <v>1.62</v>
      </c>
      <c r="AL116">
        <f t="shared" si="65"/>
        <v>1.8349021500000003E-4</v>
      </c>
      <c r="AM116">
        <v>1.2899999999999999E-3</v>
      </c>
      <c r="AN116" s="2">
        <f t="shared" si="111"/>
        <v>107.67</v>
      </c>
      <c r="AO116" s="2">
        <f t="shared" si="112"/>
        <v>130</v>
      </c>
      <c r="AP116" s="2" t="str">
        <f t="shared" si="113"/>
        <v/>
      </c>
      <c r="AQ116" s="6">
        <v>1.9150167266219651</v>
      </c>
      <c r="AR116" s="20">
        <v>1.2E-2</v>
      </c>
      <c r="AS116" s="6" t="str">
        <f>IF($H116="BEV",SUMPRODUCT(#REF!,#REF!),"")</f>
        <v/>
      </c>
      <c r="AT116" s="2">
        <f t="shared" si="78"/>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 t="shared" si="79"/>
        <v>6.7193129407007649E-6</v>
      </c>
      <c r="CW116" s="7">
        <f t="shared" si="80"/>
        <v>3.8893291895117198E-6</v>
      </c>
    </row>
    <row r="117" spans="1:101" x14ac:dyDescent="0.2">
      <c r="A117" t="str">
        <f t="shared" si="114"/>
        <v>Motorbike, gasoline, &gt;35kW, EURO-5 - 2040 - CH</v>
      </c>
      <c r="B117" t="s">
        <v>396</v>
      </c>
      <c r="D117" s="18">
        <v>2040</v>
      </c>
      <c r="E117" t="s">
        <v>37</v>
      </c>
      <c r="F117" t="s">
        <v>139</v>
      </c>
      <c r="G117" t="s">
        <v>39</v>
      </c>
      <c r="H117" t="s">
        <v>35</v>
      </c>
      <c r="J117">
        <v>40500</v>
      </c>
      <c r="K117">
        <v>2896</v>
      </c>
      <c r="L117" s="2">
        <f t="shared" si="108"/>
        <v>13.984806629834255</v>
      </c>
      <c r="M117">
        <v>1.1000000000000001</v>
      </c>
      <c r="N117">
        <v>75</v>
      </c>
      <c r="O117">
        <v>6</v>
      </c>
      <c r="P117" s="2">
        <f t="shared" si="64"/>
        <v>250.97499999999999</v>
      </c>
      <c r="Q117" s="2">
        <f t="shared" si="109"/>
        <v>339.47500000000002</v>
      </c>
      <c r="R117">
        <v>91</v>
      </c>
      <c r="S117" s="2">
        <v>111</v>
      </c>
      <c r="T117" s="1">
        <v>0.05</v>
      </c>
      <c r="U117" s="2">
        <f t="shared" si="105"/>
        <v>105.44999999999999</v>
      </c>
      <c r="V117" s="2">
        <v>130</v>
      </c>
      <c r="W117" s="2">
        <v>0</v>
      </c>
      <c r="X117" s="3">
        <v>0</v>
      </c>
      <c r="Y117" s="1">
        <v>0.8</v>
      </c>
      <c r="Z117" s="3">
        <f t="shared" si="110"/>
        <v>0</v>
      </c>
      <c r="AA117" s="3" t="str">
        <f>IF(I117&lt;&gt;"",X117/INDEX('energy battery'!$B$3:$D$6,MATCH('vehicles specifications'!$D117,'energy battery'!$A$3:$A$6,0),MATCH('vehicles specifications'!$I117,'energy battery'!$B$2:$D$2,0)),"")</f>
        <v/>
      </c>
      <c r="AB117" s="3" t="str">
        <f t="shared" si="115"/>
        <v/>
      </c>
      <c r="AC117" s="3" t="str">
        <f t="shared" si="116"/>
        <v/>
      </c>
      <c r="AD117" s="3">
        <v>0</v>
      </c>
      <c r="AE117" s="3">
        <v>18</v>
      </c>
      <c r="AF117">
        <f>AE117*'fuels and tailpipe emissions'!$B$3</f>
        <v>13.5</v>
      </c>
      <c r="AG117" s="2">
        <f>AF117*'fuels and tailpipe emissions'!$C$3</f>
        <v>159.75</v>
      </c>
      <c r="AH117" s="3">
        <f t="shared" si="106"/>
        <v>2.0249999999999999</v>
      </c>
      <c r="AI117" s="3">
        <v>0</v>
      </c>
      <c r="AJ117" s="3">
        <v>0</v>
      </c>
      <c r="AK117">
        <f t="shared" si="67"/>
        <v>1.62</v>
      </c>
      <c r="AL117">
        <f t="shared" si="65"/>
        <v>1.8229807500000001E-4</v>
      </c>
      <c r="AM117">
        <v>1.2899999999999999E-3</v>
      </c>
      <c r="AN117" s="2">
        <f t="shared" si="111"/>
        <v>105.44999999999999</v>
      </c>
      <c r="AO117" s="2">
        <f t="shared" si="112"/>
        <v>130</v>
      </c>
      <c r="AP117" s="2" t="str">
        <f t="shared" si="113"/>
        <v/>
      </c>
      <c r="AQ117" s="6">
        <v>1.8958665593557453</v>
      </c>
      <c r="AR117" s="20">
        <v>1.2E-2</v>
      </c>
      <c r="AS117" s="6" t="str">
        <f>IF($H117="BEV",SUMPRODUCT(#REF!,#REF!),"")</f>
        <v/>
      </c>
      <c r="AT117" s="2">
        <f t="shared" si="78"/>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 t="shared" si="79"/>
        <v>6.6977579661906636E-6</v>
      </c>
      <c r="CW117" s="7">
        <f t="shared" si="80"/>
        <v>3.8735829277859865E-6</v>
      </c>
    </row>
    <row r="118" spans="1:101" x14ac:dyDescent="0.2">
      <c r="A118" t="str">
        <f t="shared" si="114"/>
        <v>Motorbike, gasoline, &gt;35kW, EURO-5 - 2050 - CH</v>
      </c>
      <c r="B118" t="s">
        <v>396</v>
      </c>
      <c r="D118" s="18">
        <v>2050</v>
      </c>
      <c r="E118" t="s">
        <v>37</v>
      </c>
      <c r="F118" t="s">
        <v>139</v>
      </c>
      <c r="G118" t="s">
        <v>39</v>
      </c>
      <c r="H118" t="s">
        <v>35</v>
      </c>
      <c r="J118">
        <v>40500</v>
      </c>
      <c r="K118">
        <v>2896</v>
      </c>
      <c r="L118" s="2">
        <f t="shared" si="108"/>
        <v>13.984806629834255</v>
      </c>
      <c r="M118">
        <v>1.1000000000000001</v>
      </c>
      <c r="N118">
        <v>75</v>
      </c>
      <c r="O118">
        <v>6</v>
      </c>
      <c r="P118" s="2">
        <f t="shared" si="64"/>
        <v>248.755</v>
      </c>
      <c r="Q118" s="2">
        <f t="shared" si="109"/>
        <v>337.255</v>
      </c>
      <c r="R118">
        <v>91</v>
      </c>
      <c r="S118" s="2">
        <v>111</v>
      </c>
      <c r="T118" s="1">
        <v>7.0000000000000007E-2</v>
      </c>
      <c r="U118" s="2">
        <f t="shared" si="105"/>
        <v>103.22999999999999</v>
      </c>
      <c r="V118" s="2">
        <v>130</v>
      </c>
      <c r="W118" s="2">
        <v>0</v>
      </c>
      <c r="X118" s="3">
        <v>0</v>
      </c>
      <c r="Y118" s="1">
        <v>0.8</v>
      </c>
      <c r="Z118" s="3">
        <f t="shared" si="110"/>
        <v>0</v>
      </c>
      <c r="AA118" s="3" t="str">
        <f>IF(I118&lt;&gt;"",X118/INDEX('energy battery'!$B$3:$D$6,MATCH('vehicles specifications'!$D118,'energy battery'!$A$3:$A$6,0),MATCH('vehicles specifications'!$I118,'energy battery'!$B$2:$D$2,0)),"")</f>
        <v/>
      </c>
      <c r="AB118" s="3" t="str">
        <f t="shared" si="115"/>
        <v/>
      </c>
      <c r="AC118" s="3" t="str">
        <f t="shared" si="116"/>
        <v/>
      </c>
      <c r="AD118" s="3">
        <v>0</v>
      </c>
      <c r="AE118" s="3">
        <v>18</v>
      </c>
      <c r="AF118">
        <f>AE118*'fuels and tailpipe emissions'!$B$3</f>
        <v>13.5</v>
      </c>
      <c r="AG118" s="2">
        <f>AF118*'fuels and tailpipe emissions'!$C$3</f>
        <v>159.75</v>
      </c>
      <c r="AH118" s="3">
        <f t="shared" si="106"/>
        <v>2.0249999999999999</v>
      </c>
      <c r="AI118" s="3">
        <v>0</v>
      </c>
      <c r="AJ118" s="3">
        <v>0</v>
      </c>
      <c r="AK118">
        <f t="shared" si="67"/>
        <v>1.62</v>
      </c>
      <c r="AL118">
        <f t="shared" si="65"/>
        <v>1.8110593499999999E-4</v>
      </c>
      <c r="AM118">
        <v>1.2899999999999999E-3</v>
      </c>
      <c r="AN118" s="2">
        <f t="shared" si="111"/>
        <v>103.22999999999999</v>
      </c>
      <c r="AO118" s="2">
        <f t="shared" si="112"/>
        <v>130</v>
      </c>
      <c r="AP118" s="2" t="str">
        <f t="shared" si="113"/>
        <v/>
      </c>
      <c r="AQ118" s="6">
        <v>1.8769078937621879</v>
      </c>
      <c r="AR118" s="20">
        <v>1.2E-2</v>
      </c>
      <c r="AS118" s="6" t="str">
        <f>IF($H118="BEV",SUMPRODUCT(#REF!,#REF!),"")</f>
        <v/>
      </c>
      <c r="AT118" s="2">
        <f t="shared" si="78"/>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 t="shared" si="79"/>
        <v>6.6761103597457815E-6</v>
      </c>
      <c r="CW118" s="7">
        <f t="shared" si="80"/>
        <v>3.8577889860910961E-6</v>
      </c>
    </row>
    <row r="119" spans="1:101" x14ac:dyDescent="0.2">
      <c r="A119" t="str">
        <f t="shared" ref="A119:A150" si="117">B119&amp;" - "&amp;D119&amp;" - "&amp;IF(I119&lt;&gt;"",I119&amp;" - "&amp;E119,E119)</f>
        <v>Motorbike, battery electric, &lt;4kW - 2020 - NMC - CH</v>
      </c>
      <c r="B119" t="s">
        <v>655</v>
      </c>
      <c r="D119" s="18">
        <v>2020</v>
      </c>
      <c r="E119" t="s">
        <v>37</v>
      </c>
      <c r="F119" t="s">
        <v>136</v>
      </c>
      <c r="G119" t="s">
        <v>39</v>
      </c>
      <c r="H119" t="s">
        <v>32</v>
      </c>
      <c r="I119" t="s">
        <v>42</v>
      </c>
      <c r="J119">
        <v>25000</v>
      </c>
      <c r="K119">
        <v>1776</v>
      </c>
      <c r="L119" s="2">
        <f t="shared" ref="L119:L150" si="118">J119/K119</f>
        <v>14.076576576576576</v>
      </c>
      <c r="M119">
        <v>1.1000000000000001</v>
      </c>
      <c r="N119">
        <v>75</v>
      </c>
      <c r="O119">
        <v>6</v>
      </c>
      <c r="P119" s="2">
        <f t="shared" ref="P119:P150" si="119">SUM(U119,V119,W119,AC119,AF119,AH119)</f>
        <v>76.7</v>
      </c>
      <c r="Q119" s="2">
        <f t="shared" ref="Q119:Q150" si="120">P119+(M119*N119)+O119</f>
        <v>165.2</v>
      </c>
      <c r="R119">
        <v>2.5</v>
      </c>
      <c r="S119" s="2">
        <v>53</v>
      </c>
      <c r="T119" s="1">
        <v>0</v>
      </c>
      <c r="U119" s="2">
        <f t="shared" si="105"/>
        <v>53</v>
      </c>
      <c r="V119" s="2">
        <v>4.5</v>
      </c>
      <c r="W119" s="2">
        <v>7.5</v>
      </c>
      <c r="X119" s="3">
        <v>1.8</v>
      </c>
      <c r="Y119" s="1">
        <v>0.8</v>
      </c>
      <c r="Z119" s="3">
        <f t="shared" ref="Z119:Z150" si="121">Y119*X119</f>
        <v>1.4400000000000002</v>
      </c>
      <c r="AA119" s="3">
        <f>IF(I119&lt;&gt;"",X119/INDEX('energy battery'!$B$3:$D$6,MATCH('vehicles specifications'!$D119,'energy battery'!$A$3:$A$6,0),MATCH('vehicles specifications'!$I119,'energy battery'!$B$2:$D$2,0)),"")</f>
        <v>9</v>
      </c>
      <c r="AB119" s="3">
        <f t="shared" si="115"/>
        <v>2.6999999999999997</v>
      </c>
      <c r="AC119" s="3">
        <f t="shared" ref="AC119:AC150" si="122">IF(AA119&lt;&gt;"",AB119+AA119,"")</f>
        <v>11.7</v>
      </c>
      <c r="AD119" s="3">
        <v>1</v>
      </c>
      <c r="AE119" s="3">
        <v>0</v>
      </c>
      <c r="AF119">
        <f>AE119*'fuels and tailpipe emissions'!$B$3</f>
        <v>0</v>
      </c>
      <c r="AG119">
        <v>0</v>
      </c>
      <c r="AH119" s="3">
        <v>0</v>
      </c>
      <c r="AI119" s="3">
        <v>3</v>
      </c>
      <c r="AJ119" s="3">
        <v>1</v>
      </c>
      <c r="AK119">
        <f t="shared" si="67"/>
        <v>1</v>
      </c>
      <c r="AL119">
        <f t="shared" ref="AL119:AL150" si="123">0.000537/1000*Q119</f>
        <v>8.8712400000000001E-5</v>
      </c>
      <c r="AM119">
        <v>1.2899999999999999E-3</v>
      </c>
      <c r="AN119" s="2">
        <f t="shared" ref="AN119:AN150" si="124">U119</f>
        <v>53</v>
      </c>
      <c r="AO119" s="2">
        <f t="shared" ref="AO119:AO150" si="125">SUM(V119:W119)</f>
        <v>12</v>
      </c>
      <c r="AP119" s="2">
        <f t="shared" ref="AP119:AP150" si="126">AC119</f>
        <v>11.7</v>
      </c>
      <c r="AQ119" s="6" t="s">
        <v>84</v>
      </c>
      <c r="AR119" s="20"/>
      <c r="AS119" s="6">
        <v>0.121</v>
      </c>
      <c r="AT119" s="2">
        <f t="shared" si="78"/>
        <v>42.842975206611577</v>
      </c>
      <c r="AU119" s="5">
        <v>0</v>
      </c>
      <c r="AV119" s="5">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7">
        <v>0</v>
      </c>
      <c r="BM119" s="7">
        <v>0</v>
      </c>
      <c r="BN119" s="7">
        <v>0</v>
      </c>
      <c r="BO119" s="7">
        <v>0</v>
      </c>
      <c r="BP119" s="7">
        <v>0</v>
      </c>
      <c r="BQ119" s="7">
        <v>0</v>
      </c>
      <c r="BR119" s="7">
        <v>0</v>
      </c>
      <c r="BS119" s="7">
        <v>0</v>
      </c>
      <c r="BT119" s="7">
        <v>0</v>
      </c>
      <c r="BU119" s="7">
        <v>0</v>
      </c>
      <c r="BV119" s="7">
        <v>0</v>
      </c>
      <c r="BW119" s="7">
        <v>0</v>
      </c>
      <c r="BX119" s="7">
        <v>0</v>
      </c>
      <c r="BY119" s="7">
        <v>0</v>
      </c>
      <c r="BZ119" s="7">
        <v>0</v>
      </c>
      <c r="CA119" s="7">
        <v>0</v>
      </c>
      <c r="CB119" s="7">
        <v>0</v>
      </c>
      <c r="CC119" s="7">
        <v>0</v>
      </c>
      <c r="CD119" s="7">
        <v>0</v>
      </c>
      <c r="CE119" s="7">
        <v>0</v>
      </c>
      <c r="CF119" s="7">
        <v>0</v>
      </c>
      <c r="CG119" s="7">
        <v>0</v>
      </c>
      <c r="CH119" s="7">
        <v>0</v>
      </c>
      <c r="CI119" s="7">
        <v>0</v>
      </c>
      <c r="CJ119" s="7">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 t="shared" si="79"/>
        <v>4.5554631442082041E-6</v>
      </c>
      <c r="CW119" s="7">
        <f t="shared" si="80"/>
        <v>2.4211309013042481E-6</v>
      </c>
    </row>
    <row r="120" spans="1:101" x14ac:dyDescent="0.2">
      <c r="A120" t="str">
        <f t="shared" si="117"/>
        <v>Motorbike, battery electric, &lt;4kW - 2030 - NMC - CH</v>
      </c>
      <c r="B120" t="s">
        <v>655</v>
      </c>
      <c r="D120" s="18">
        <v>2030</v>
      </c>
      <c r="E120" t="s">
        <v>37</v>
      </c>
      <c r="F120" t="s">
        <v>136</v>
      </c>
      <c r="G120" t="s">
        <v>39</v>
      </c>
      <c r="H120" t="s">
        <v>32</v>
      </c>
      <c r="I120" t="s">
        <v>42</v>
      </c>
      <c r="J120">
        <v>25000</v>
      </c>
      <c r="K120">
        <v>1776</v>
      </c>
      <c r="L120" s="2">
        <f t="shared" si="118"/>
        <v>14.076576576576576</v>
      </c>
      <c r="M120">
        <v>1.1000000000000001</v>
      </c>
      <c r="N120">
        <v>75</v>
      </c>
      <c r="O120">
        <v>6</v>
      </c>
      <c r="P120" s="2">
        <f t="shared" si="119"/>
        <v>77.276666666666671</v>
      </c>
      <c r="Q120" s="2">
        <f t="shared" si="120"/>
        <v>165.77666666666667</v>
      </c>
      <c r="R120">
        <v>2.5</v>
      </c>
      <c r="S120" s="2">
        <v>53</v>
      </c>
      <c r="T120" s="1">
        <v>0.03</v>
      </c>
      <c r="U120" s="2">
        <f t="shared" si="105"/>
        <v>51.41</v>
      </c>
      <c r="V120" s="2">
        <v>4.5</v>
      </c>
      <c r="W120" s="2">
        <v>7.5</v>
      </c>
      <c r="X120" s="3">
        <v>3.2</v>
      </c>
      <c r="Y120" s="1">
        <v>0.8</v>
      </c>
      <c r="Z120" s="3">
        <f t="shared" si="121"/>
        <v>2.5600000000000005</v>
      </c>
      <c r="AA120" s="3">
        <f>IF(I120&lt;&gt;"",X120/INDEX('energy battery'!$B$3:$D$6,MATCH('vehicles specifications'!$D120,'energy battery'!$A$3:$A$6,0),MATCH('vehicles specifications'!$I120,'energy battery'!$B$2:$D$2,0)),"")</f>
        <v>10.666666666666668</v>
      </c>
      <c r="AB120" s="3">
        <f t="shared" si="115"/>
        <v>3.2</v>
      </c>
      <c r="AC120" s="3">
        <f t="shared" si="122"/>
        <v>13.866666666666667</v>
      </c>
      <c r="AD120" s="3">
        <v>0.5</v>
      </c>
      <c r="AE120" s="3">
        <v>0</v>
      </c>
      <c r="AF120">
        <f>AE120*'fuels and tailpipe emissions'!$B$3</f>
        <v>0</v>
      </c>
      <c r="AG120">
        <v>0</v>
      </c>
      <c r="AH120" s="3">
        <v>0</v>
      </c>
      <c r="AI120" s="3">
        <v>3</v>
      </c>
      <c r="AJ120" s="3">
        <v>1</v>
      </c>
      <c r="AK120">
        <f t="shared" si="67"/>
        <v>1</v>
      </c>
      <c r="AL120">
        <f t="shared" si="123"/>
        <v>8.9022070000000007E-5</v>
      </c>
      <c r="AM120">
        <v>1.2899999999999999E-3</v>
      </c>
      <c r="AN120" s="2">
        <f t="shared" si="124"/>
        <v>51.41</v>
      </c>
      <c r="AO120" s="2">
        <f t="shared" si="125"/>
        <v>12</v>
      </c>
      <c r="AP120" s="2">
        <f t="shared" si="126"/>
        <v>13.866666666666667</v>
      </c>
      <c r="AQ120" s="6" t="s">
        <v>84</v>
      </c>
      <c r="AR120" s="20"/>
      <c r="AS120" s="6">
        <v>0.121</v>
      </c>
      <c r="AT120" s="2">
        <f t="shared" si="78"/>
        <v>76.165289256198363</v>
      </c>
      <c r="AU120" s="5">
        <v>0</v>
      </c>
      <c r="AV120" s="5">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7">
        <v>0</v>
      </c>
      <c r="BM120" s="7">
        <v>0</v>
      </c>
      <c r="BN120" s="7">
        <v>0</v>
      </c>
      <c r="BO120" s="7">
        <v>0</v>
      </c>
      <c r="BP120" s="7">
        <v>0</v>
      </c>
      <c r="BQ120" s="7">
        <v>0</v>
      </c>
      <c r="BR120" s="7">
        <v>0</v>
      </c>
      <c r="BS120" s="7">
        <v>0</v>
      </c>
      <c r="BT120" s="7">
        <v>0</v>
      </c>
      <c r="BU120" s="7">
        <v>0</v>
      </c>
      <c r="BV120" s="7">
        <v>0</v>
      </c>
      <c r="BW120" s="7">
        <v>0</v>
      </c>
      <c r="BX120" s="7">
        <v>0</v>
      </c>
      <c r="BY120" s="7">
        <v>0</v>
      </c>
      <c r="BZ120" s="7">
        <v>0</v>
      </c>
      <c r="CA120" s="7">
        <v>0</v>
      </c>
      <c r="CB120" s="7">
        <v>0</v>
      </c>
      <c r="CC120" s="7">
        <v>0</v>
      </c>
      <c r="CD120" s="7">
        <v>0</v>
      </c>
      <c r="CE120" s="7">
        <v>0</v>
      </c>
      <c r="CF120" s="7">
        <v>0</v>
      </c>
      <c r="CG120" s="7">
        <v>0</v>
      </c>
      <c r="CH120" s="7">
        <v>0</v>
      </c>
      <c r="CI120" s="7">
        <v>0</v>
      </c>
      <c r="CJ120" s="7">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 t="shared" si="79"/>
        <v>4.5650299796219703E-6</v>
      </c>
      <c r="CW120" s="7">
        <f t="shared" si="80"/>
        <v>2.4270352948224213E-6</v>
      </c>
    </row>
    <row r="121" spans="1:101" x14ac:dyDescent="0.2">
      <c r="A121" t="str">
        <f t="shared" si="117"/>
        <v>Motorbike, battery electric, &lt;4kW - 2040 - NMC - CH</v>
      </c>
      <c r="B121" t="s">
        <v>655</v>
      </c>
      <c r="D121" s="18">
        <v>2040</v>
      </c>
      <c r="E121" t="s">
        <v>37</v>
      </c>
      <c r="F121" t="s">
        <v>136</v>
      </c>
      <c r="G121" t="s">
        <v>39</v>
      </c>
      <c r="H121" t="s">
        <v>32</v>
      </c>
      <c r="I121" t="s">
        <v>42</v>
      </c>
      <c r="J121">
        <v>25000</v>
      </c>
      <c r="K121">
        <v>1776</v>
      </c>
      <c r="L121" s="2">
        <f t="shared" si="118"/>
        <v>14.076576576576576</v>
      </c>
      <c r="M121">
        <v>1.1000000000000001</v>
      </c>
      <c r="N121">
        <v>75</v>
      </c>
      <c r="O121">
        <v>6</v>
      </c>
      <c r="P121" s="2">
        <f t="shared" si="119"/>
        <v>76.974999999999994</v>
      </c>
      <c r="Q121" s="2">
        <f t="shared" si="120"/>
        <v>165.47499999999999</v>
      </c>
      <c r="R121">
        <v>2.5</v>
      </c>
      <c r="S121" s="2">
        <v>53</v>
      </c>
      <c r="T121" s="1">
        <v>0.05</v>
      </c>
      <c r="U121" s="2">
        <f t="shared" si="105"/>
        <v>50.349999999999994</v>
      </c>
      <c r="V121" s="2">
        <v>4.5</v>
      </c>
      <c r="W121" s="2">
        <v>7.5</v>
      </c>
      <c r="X121" s="3">
        <v>4.5</v>
      </c>
      <c r="Y121" s="1">
        <v>0.8</v>
      </c>
      <c r="Z121" s="3">
        <f t="shared" si="121"/>
        <v>3.6</v>
      </c>
      <c r="AA121" s="3">
        <f>IF(I121&lt;&gt;"",X121/INDEX('energy battery'!$B$3:$D$6,MATCH('vehicles specifications'!$D121,'energy battery'!$A$3:$A$6,0),MATCH('vehicles specifications'!$I121,'energy battery'!$B$2:$D$2,0)),"")</f>
        <v>11.25</v>
      </c>
      <c r="AB121" s="3">
        <f t="shared" si="115"/>
        <v>3.375</v>
      </c>
      <c r="AC121" s="3">
        <f t="shared" si="122"/>
        <v>14.625</v>
      </c>
      <c r="AD121" s="3">
        <v>0.25</v>
      </c>
      <c r="AE121" s="3">
        <v>0</v>
      </c>
      <c r="AF121">
        <f>AE121*'fuels and tailpipe emissions'!$B$3</f>
        <v>0</v>
      </c>
      <c r="AG121">
        <v>0</v>
      </c>
      <c r="AH121" s="3">
        <v>0</v>
      </c>
      <c r="AI121" s="3">
        <v>3</v>
      </c>
      <c r="AJ121" s="3">
        <v>1</v>
      </c>
      <c r="AK121">
        <f t="shared" si="67"/>
        <v>1</v>
      </c>
      <c r="AL121">
        <f t="shared" si="123"/>
        <v>8.8860074999999998E-5</v>
      </c>
      <c r="AM121">
        <v>1.2899999999999999E-3</v>
      </c>
      <c r="AN121" s="2">
        <f t="shared" si="124"/>
        <v>50.349999999999994</v>
      </c>
      <c r="AO121" s="2">
        <f t="shared" si="125"/>
        <v>12</v>
      </c>
      <c r="AP121" s="2">
        <f t="shared" si="126"/>
        <v>14.625</v>
      </c>
      <c r="AQ121" s="6" t="s">
        <v>84</v>
      </c>
      <c r="AR121" s="20"/>
      <c r="AS121" s="6">
        <v>0.121</v>
      </c>
      <c r="AT121" s="2">
        <f t="shared" si="78"/>
        <v>107.10743801652892</v>
      </c>
      <c r="AU121" s="5">
        <v>0</v>
      </c>
      <c r="AV121" s="5">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7">
        <v>0</v>
      </c>
      <c r="BM121" s="7">
        <v>0</v>
      </c>
      <c r="BN121" s="7">
        <v>0</v>
      </c>
      <c r="BO121" s="7">
        <v>0</v>
      </c>
      <c r="BP121" s="7">
        <v>0</v>
      </c>
      <c r="BQ121" s="7">
        <v>0</v>
      </c>
      <c r="BR121" s="7">
        <v>0</v>
      </c>
      <c r="BS121" s="7">
        <v>0</v>
      </c>
      <c r="BT121" s="7">
        <v>0</v>
      </c>
      <c r="BU121" s="7">
        <v>0</v>
      </c>
      <c r="BV121" s="7">
        <v>0</v>
      </c>
      <c r="BW121" s="7">
        <v>0</v>
      </c>
      <c r="BX121" s="7">
        <v>0</v>
      </c>
      <c r="BY121" s="7">
        <v>0</v>
      </c>
      <c r="BZ121" s="7">
        <v>0</v>
      </c>
      <c r="CA121" s="7">
        <v>0</v>
      </c>
      <c r="CB121" s="7">
        <v>0</v>
      </c>
      <c r="CC121" s="7">
        <v>0</v>
      </c>
      <c r="CD121" s="7">
        <v>0</v>
      </c>
      <c r="CE121" s="7">
        <v>0</v>
      </c>
      <c r="CF121" s="7">
        <v>0</v>
      </c>
      <c r="CG121" s="7">
        <v>0</v>
      </c>
      <c r="CH121" s="7">
        <v>0</v>
      </c>
      <c r="CI121" s="7">
        <v>0</v>
      </c>
      <c r="CJ121" s="7">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 t="shared" si="79"/>
        <v>4.5600291174985831E-6</v>
      </c>
      <c r="CW121" s="7">
        <f t="shared" si="80"/>
        <v>2.4239481022645517E-6</v>
      </c>
    </row>
    <row r="122" spans="1:101" x14ac:dyDescent="0.2">
      <c r="A122" t="str">
        <f t="shared" si="117"/>
        <v>Motorbike, battery electric, &lt;4kW - 2050 - NMC - CH</v>
      </c>
      <c r="B122" t="s">
        <v>655</v>
      </c>
      <c r="D122" s="18">
        <v>2050</v>
      </c>
      <c r="E122" t="s">
        <v>37</v>
      </c>
      <c r="F122" t="s">
        <v>136</v>
      </c>
      <c r="G122" t="s">
        <v>39</v>
      </c>
      <c r="H122" t="s">
        <v>32</v>
      </c>
      <c r="I122" t="s">
        <v>42</v>
      </c>
      <c r="J122">
        <v>25000</v>
      </c>
      <c r="K122">
        <v>1776</v>
      </c>
      <c r="L122" s="2">
        <f t="shared" si="118"/>
        <v>14.076576576576576</v>
      </c>
      <c r="M122">
        <v>1.1000000000000001</v>
      </c>
      <c r="N122">
        <v>75</v>
      </c>
      <c r="O122">
        <v>6</v>
      </c>
      <c r="P122" s="2">
        <f t="shared" si="119"/>
        <v>76.89</v>
      </c>
      <c r="Q122" s="2">
        <f t="shared" si="120"/>
        <v>165.39</v>
      </c>
      <c r="R122">
        <v>2.5</v>
      </c>
      <c r="S122" s="2">
        <v>53</v>
      </c>
      <c r="T122" s="1">
        <v>7.0000000000000007E-2</v>
      </c>
      <c r="U122" s="2">
        <f t="shared" si="105"/>
        <v>49.29</v>
      </c>
      <c r="V122" s="2">
        <v>4.5</v>
      </c>
      <c r="W122" s="2">
        <v>7.5</v>
      </c>
      <c r="X122" s="3">
        <v>6</v>
      </c>
      <c r="Y122" s="1">
        <v>0.8</v>
      </c>
      <c r="Z122" s="3">
        <f t="shared" si="121"/>
        <v>4.8000000000000007</v>
      </c>
      <c r="AA122" s="3">
        <f>IF(I122&lt;&gt;"",X122/INDEX('energy battery'!$B$3:$D$6,MATCH('vehicles specifications'!$D122,'energy battery'!$A$3:$A$6,0),MATCH('vehicles specifications'!$I122,'energy battery'!$B$2:$D$2,0)),"")</f>
        <v>12</v>
      </c>
      <c r="AB122" s="3">
        <f t="shared" si="115"/>
        <v>3.5999999999999996</v>
      </c>
      <c r="AC122" s="3">
        <f t="shared" si="122"/>
        <v>15.6</v>
      </c>
      <c r="AD122" s="3">
        <v>0</v>
      </c>
      <c r="AE122" s="3">
        <v>0</v>
      </c>
      <c r="AF122">
        <f>AE122*'fuels and tailpipe emissions'!$B$3</f>
        <v>0</v>
      </c>
      <c r="AG122">
        <v>0</v>
      </c>
      <c r="AH122" s="3">
        <v>0</v>
      </c>
      <c r="AI122" s="3">
        <v>3</v>
      </c>
      <c r="AJ122" s="3">
        <v>1</v>
      </c>
      <c r="AK122">
        <f t="shared" si="67"/>
        <v>1</v>
      </c>
      <c r="AL122">
        <f t="shared" si="123"/>
        <v>8.8814429999999997E-5</v>
      </c>
      <c r="AM122">
        <v>1.2899999999999999E-3</v>
      </c>
      <c r="AN122" s="2">
        <f t="shared" si="124"/>
        <v>49.29</v>
      </c>
      <c r="AO122" s="2">
        <f t="shared" si="125"/>
        <v>12</v>
      </c>
      <c r="AP122" s="2">
        <f t="shared" si="126"/>
        <v>15.6</v>
      </c>
      <c r="AQ122" s="6" t="s">
        <v>84</v>
      </c>
      <c r="AR122" s="20"/>
      <c r="AS122" s="6">
        <v>0.121</v>
      </c>
      <c r="AT122" s="2">
        <f t="shared" si="78"/>
        <v>142.80991735537191</v>
      </c>
      <c r="AU122" s="5">
        <v>0</v>
      </c>
      <c r="AV122" s="5">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7">
        <v>0</v>
      </c>
      <c r="BM122" s="7">
        <v>0</v>
      </c>
      <c r="BN122" s="7">
        <v>0</v>
      </c>
      <c r="BO122" s="7">
        <v>0</v>
      </c>
      <c r="BP122" s="7">
        <v>0</v>
      </c>
      <c r="BQ122" s="7">
        <v>0</v>
      </c>
      <c r="BR122" s="7">
        <v>0</v>
      </c>
      <c r="BS122" s="7">
        <v>0</v>
      </c>
      <c r="BT122" s="7">
        <v>0</v>
      </c>
      <c r="BU122" s="7">
        <v>0</v>
      </c>
      <c r="BV122" s="7">
        <v>0</v>
      </c>
      <c r="BW122" s="7">
        <v>0</v>
      </c>
      <c r="BX122" s="7">
        <v>0</v>
      </c>
      <c r="BY122" s="7">
        <v>0</v>
      </c>
      <c r="BZ122" s="7">
        <v>0</v>
      </c>
      <c r="CA122" s="7">
        <v>0</v>
      </c>
      <c r="CB122" s="7">
        <v>0</v>
      </c>
      <c r="CC122" s="7">
        <v>0</v>
      </c>
      <c r="CD122" s="7">
        <v>0</v>
      </c>
      <c r="CE122" s="7">
        <v>0</v>
      </c>
      <c r="CF122" s="7">
        <v>0</v>
      </c>
      <c r="CG122" s="7">
        <v>0</v>
      </c>
      <c r="CH122" s="7">
        <v>0</v>
      </c>
      <c r="CI122" s="7">
        <v>0</v>
      </c>
      <c r="CJ122" s="7">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 t="shared" si="79"/>
        <v>4.5586185491029798E-6</v>
      </c>
      <c r="CW122" s="7">
        <f t="shared" si="80"/>
        <v>2.4230776278866842E-6</v>
      </c>
    </row>
    <row r="123" spans="1:101" x14ac:dyDescent="0.2">
      <c r="A123" t="str">
        <f t="shared" si="117"/>
        <v>Motorbike, battery electric, 4-11kW - 2020 - NMC - CH</v>
      </c>
      <c r="B123" t="s">
        <v>656</v>
      </c>
      <c r="D123" s="18">
        <v>2020</v>
      </c>
      <c r="E123" t="s">
        <v>37</v>
      </c>
      <c r="F123" t="s">
        <v>136</v>
      </c>
      <c r="G123" t="s">
        <v>39</v>
      </c>
      <c r="H123" t="s">
        <v>32</v>
      </c>
      <c r="I123" t="s">
        <v>42</v>
      </c>
      <c r="J123">
        <v>25000</v>
      </c>
      <c r="K123">
        <v>1776</v>
      </c>
      <c r="L123" s="2">
        <f t="shared" si="118"/>
        <v>14.076576576576576</v>
      </c>
      <c r="M123">
        <v>1.1000000000000001</v>
      </c>
      <c r="N123">
        <v>75</v>
      </c>
      <c r="O123">
        <v>6</v>
      </c>
      <c r="P123" s="2">
        <f t="shared" si="119"/>
        <v>117.00074044049273</v>
      </c>
      <c r="Q123" s="2">
        <f t="shared" si="120"/>
        <v>205.50074044049273</v>
      </c>
      <c r="R123">
        <v>4.7</v>
      </c>
      <c r="S123" s="2">
        <v>65.433826960328489</v>
      </c>
      <c r="T123" s="1">
        <v>0</v>
      </c>
      <c r="U123" s="2">
        <f t="shared" si="105"/>
        <v>65.433826960328489</v>
      </c>
      <c r="V123" s="2">
        <f>S123*0.2</f>
        <v>13.086765392065699</v>
      </c>
      <c r="W123" s="2">
        <f>U123*0.3</f>
        <v>19.630148088098547</v>
      </c>
      <c r="X123" s="3">
        <v>2.9</v>
      </c>
      <c r="Y123" s="1">
        <v>0.8</v>
      </c>
      <c r="Z123" s="3">
        <f t="shared" si="121"/>
        <v>2.3199999999999998</v>
      </c>
      <c r="AA123" s="3">
        <f>IF(I123&lt;&gt;"",X123/INDEX('energy battery'!$B$3:$D$6,MATCH('vehicles specifications'!$D123,'energy battery'!$A$3:$A$6,0),MATCH('vehicles specifications'!$I123,'energy battery'!$B$2:$D$2,0)),"")</f>
        <v>14.499999999999998</v>
      </c>
      <c r="AB123" s="3">
        <f t="shared" si="115"/>
        <v>4.3499999999999996</v>
      </c>
      <c r="AC123" s="3">
        <f t="shared" si="122"/>
        <v>18.849999999999998</v>
      </c>
      <c r="AD123" s="3">
        <v>1</v>
      </c>
      <c r="AE123" s="3">
        <v>0</v>
      </c>
      <c r="AF123">
        <f>AE123*'fuels and tailpipe emissions'!$B$3</f>
        <v>0</v>
      </c>
      <c r="AG123">
        <v>0</v>
      </c>
      <c r="AH123" s="3">
        <v>0</v>
      </c>
      <c r="AI123" s="3">
        <v>3</v>
      </c>
      <c r="AJ123" s="3">
        <v>1</v>
      </c>
      <c r="AK123">
        <f t="shared" si="67"/>
        <v>1</v>
      </c>
      <c r="AL123">
        <f t="shared" si="123"/>
        <v>1.103538976165446E-4</v>
      </c>
      <c r="AM123">
        <v>1.2899999999999999E-3</v>
      </c>
      <c r="AN123" s="2">
        <f t="shared" si="124"/>
        <v>65.433826960328489</v>
      </c>
      <c r="AO123" s="2">
        <f t="shared" si="125"/>
        <v>32.716913480164244</v>
      </c>
      <c r="AP123" s="2">
        <f t="shared" si="126"/>
        <v>18.849999999999998</v>
      </c>
      <c r="AQ123" s="6" t="s">
        <v>84</v>
      </c>
      <c r="AR123" s="20"/>
      <c r="AS123" s="6">
        <v>0.182</v>
      </c>
      <c r="AT123" s="2">
        <f t="shared" si="78"/>
        <v>45.890109890109891</v>
      </c>
      <c r="AU123" s="5">
        <v>0</v>
      </c>
      <c r="AV123" s="5">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7">
        <v>0</v>
      </c>
      <c r="BM123" s="7">
        <v>0</v>
      </c>
      <c r="BN123" s="7">
        <v>0</v>
      </c>
      <c r="BO123" s="7">
        <v>0</v>
      </c>
      <c r="BP123" s="7">
        <v>0</v>
      </c>
      <c r="BQ123" s="7">
        <v>0</v>
      </c>
      <c r="BR123" s="7">
        <v>0</v>
      </c>
      <c r="BS123" s="7">
        <v>0</v>
      </c>
      <c r="BT123" s="7">
        <v>0</v>
      </c>
      <c r="BU123" s="7">
        <v>0</v>
      </c>
      <c r="BV123" s="7">
        <v>0</v>
      </c>
      <c r="BW123" s="7">
        <v>0</v>
      </c>
      <c r="BX123" s="7">
        <v>0</v>
      </c>
      <c r="BY123" s="7">
        <v>0</v>
      </c>
      <c r="BZ123" s="7">
        <v>0</v>
      </c>
      <c r="CA123" s="7">
        <v>0</v>
      </c>
      <c r="CB123" s="7">
        <v>0</v>
      </c>
      <c r="CC123" s="7">
        <v>0</v>
      </c>
      <c r="CD123" s="7">
        <v>0</v>
      </c>
      <c r="CE123" s="7">
        <v>0</v>
      </c>
      <c r="CF123" s="7">
        <v>0</v>
      </c>
      <c r="CG123" s="7">
        <v>0</v>
      </c>
      <c r="CH123" s="7">
        <v>0</v>
      </c>
      <c r="CI123" s="7">
        <v>0</v>
      </c>
      <c r="CJ123" s="7">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 t="shared" si="79"/>
        <v>5.1643691334943926E-6</v>
      </c>
      <c r="CW123" s="7">
        <f t="shared" si="80"/>
        <v>2.8087754071549858E-6</v>
      </c>
    </row>
    <row r="124" spans="1:101" x14ac:dyDescent="0.2">
      <c r="A124" t="str">
        <f t="shared" si="117"/>
        <v>Motorbike, battery electric, 4-11kW - 2030 - NMC - CH</v>
      </c>
      <c r="B124" t="s">
        <v>656</v>
      </c>
      <c r="D124" s="18">
        <v>2030</v>
      </c>
      <c r="E124" t="s">
        <v>37</v>
      </c>
      <c r="F124" t="s">
        <v>136</v>
      </c>
      <c r="G124" t="s">
        <v>39</v>
      </c>
      <c r="H124" t="s">
        <v>32</v>
      </c>
      <c r="I124" t="s">
        <v>42</v>
      </c>
      <c r="J124">
        <v>25000</v>
      </c>
      <c r="K124">
        <v>1776</v>
      </c>
      <c r="L124" s="2">
        <f t="shared" si="118"/>
        <v>14.076576576576576</v>
      </c>
      <c r="M124">
        <v>1.1000000000000001</v>
      </c>
      <c r="N124">
        <v>75</v>
      </c>
      <c r="O124">
        <v>6</v>
      </c>
      <c r="P124" s="2">
        <f t="shared" si="119"/>
        <v>117.26548785570658</v>
      </c>
      <c r="Q124" s="2">
        <f t="shared" si="120"/>
        <v>205.76548785570657</v>
      </c>
      <c r="R124">
        <v>4.7</v>
      </c>
      <c r="S124" s="2">
        <v>65.433826960328489</v>
      </c>
      <c r="T124" s="1">
        <v>0.03</v>
      </c>
      <c r="U124" s="2">
        <f t="shared" si="105"/>
        <v>63.470812151518629</v>
      </c>
      <c r="V124" s="2">
        <f t="shared" ref="V124:V126" si="127">S124*0.2</f>
        <v>13.086765392065699</v>
      </c>
      <c r="W124" s="2">
        <f t="shared" ref="W124:W126" si="128">U124*0.3</f>
        <v>19.041243645455587</v>
      </c>
      <c r="X124" s="3">
        <v>5</v>
      </c>
      <c r="Y124" s="1">
        <v>0.8</v>
      </c>
      <c r="Z124" s="3">
        <f t="shared" si="121"/>
        <v>4</v>
      </c>
      <c r="AA124" s="3">
        <f>IF(I124&lt;&gt;"",X124/INDEX('energy battery'!$B$3:$D$6,MATCH('vehicles specifications'!$D124,'energy battery'!$A$3:$A$6,0),MATCH('vehicles specifications'!$I124,'energy battery'!$B$2:$D$2,0)),"")</f>
        <v>16.666666666666668</v>
      </c>
      <c r="AB124" s="3">
        <f t="shared" si="115"/>
        <v>5</v>
      </c>
      <c r="AC124" s="3">
        <f t="shared" si="122"/>
        <v>21.666666666666668</v>
      </c>
      <c r="AD124" s="3">
        <v>0.5</v>
      </c>
      <c r="AE124" s="3">
        <v>0</v>
      </c>
      <c r="AF124">
        <f>AE124*'fuels and tailpipe emissions'!$B$3</f>
        <v>0</v>
      </c>
      <c r="AG124">
        <v>0</v>
      </c>
      <c r="AH124" s="3">
        <v>0</v>
      </c>
      <c r="AI124" s="3">
        <v>3</v>
      </c>
      <c r="AJ124" s="3">
        <v>1</v>
      </c>
      <c r="AK124">
        <f t="shared" ref="AK124:AK166" si="129">J124/25000</f>
        <v>1</v>
      </c>
      <c r="AL124">
        <f t="shared" si="123"/>
        <v>1.1049606697851443E-4</v>
      </c>
      <c r="AM124">
        <v>1.2899999999999999E-3</v>
      </c>
      <c r="AN124" s="2">
        <f t="shared" si="124"/>
        <v>63.470812151518629</v>
      </c>
      <c r="AO124" s="2">
        <f t="shared" si="125"/>
        <v>32.128009037521288</v>
      </c>
      <c r="AP124" s="2">
        <f t="shared" si="126"/>
        <v>21.666666666666668</v>
      </c>
      <c r="AQ124" s="6" t="s">
        <v>84</v>
      </c>
      <c r="AR124" s="20"/>
      <c r="AS124" s="6">
        <v>0.182</v>
      </c>
      <c r="AT124" s="2">
        <f t="shared" si="78"/>
        <v>79.120879120879124</v>
      </c>
      <c r="AU124" s="5">
        <v>0</v>
      </c>
      <c r="AV124" s="5">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7">
        <v>0</v>
      </c>
      <c r="BM124" s="7">
        <v>0</v>
      </c>
      <c r="BN124" s="7">
        <v>0</v>
      </c>
      <c r="BO124" s="7">
        <v>0</v>
      </c>
      <c r="BP124" s="7">
        <v>0</v>
      </c>
      <c r="BQ124" s="7">
        <v>0</v>
      </c>
      <c r="BR124" s="7">
        <v>0</v>
      </c>
      <c r="BS124" s="7">
        <v>0</v>
      </c>
      <c r="BT124" s="7">
        <v>0</v>
      </c>
      <c r="BU124" s="7">
        <v>0</v>
      </c>
      <c r="BV124" s="7">
        <v>0</v>
      </c>
      <c r="BW124" s="7">
        <v>0</v>
      </c>
      <c r="BX124" s="7">
        <v>0</v>
      </c>
      <c r="BY124" s="7">
        <v>0</v>
      </c>
      <c r="BZ124" s="7">
        <v>0</v>
      </c>
      <c r="CA124" s="7">
        <v>0</v>
      </c>
      <c r="CB124" s="7">
        <v>0</v>
      </c>
      <c r="CC124" s="7">
        <v>0</v>
      </c>
      <c r="CD124" s="7">
        <v>0</v>
      </c>
      <c r="CE124" s="7">
        <v>0</v>
      </c>
      <c r="CF124" s="7">
        <v>0</v>
      </c>
      <c r="CG124" s="7">
        <v>0</v>
      </c>
      <c r="CH124" s="7">
        <v>0</v>
      </c>
      <c r="CI124" s="7">
        <v>0</v>
      </c>
      <c r="CJ124" s="7">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 t="shared" si="79"/>
        <v>5.1680356419013357E-6</v>
      </c>
      <c r="CW124" s="7">
        <f t="shared" si="80"/>
        <v>2.8111779103993913E-6</v>
      </c>
    </row>
    <row r="125" spans="1:101" x14ac:dyDescent="0.2">
      <c r="A125" t="str">
        <f t="shared" si="117"/>
        <v>Motorbike, battery electric, 4-11kW - 2040 - NMC - CH</v>
      </c>
      <c r="B125" t="s">
        <v>656</v>
      </c>
      <c r="D125" s="18">
        <v>2040</v>
      </c>
      <c r="E125" t="s">
        <v>37</v>
      </c>
      <c r="F125" t="s">
        <v>136</v>
      </c>
      <c r="G125" t="s">
        <v>39</v>
      </c>
      <c r="H125" t="s">
        <v>32</v>
      </c>
      <c r="I125" t="s">
        <v>42</v>
      </c>
      <c r="J125">
        <v>25000</v>
      </c>
      <c r="K125">
        <v>1776</v>
      </c>
      <c r="L125" s="2">
        <f t="shared" si="118"/>
        <v>14.076576576576576</v>
      </c>
      <c r="M125">
        <v>1.1000000000000001</v>
      </c>
      <c r="N125">
        <v>75</v>
      </c>
      <c r="O125">
        <v>6</v>
      </c>
      <c r="P125" s="2">
        <f t="shared" si="119"/>
        <v>116.64754168807137</v>
      </c>
      <c r="Q125" s="2">
        <f t="shared" si="120"/>
        <v>205.14754168807139</v>
      </c>
      <c r="R125">
        <v>4.7</v>
      </c>
      <c r="S125" s="2">
        <v>65.433826960328489</v>
      </c>
      <c r="T125" s="1">
        <v>0.05</v>
      </c>
      <c r="U125" s="2">
        <f t="shared" si="105"/>
        <v>62.162135612312063</v>
      </c>
      <c r="V125" s="2">
        <f t="shared" si="127"/>
        <v>13.086765392065699</v>
      </c>
      <c r="W125" s="2">
        <f t="shared" si="128"/>
        <v>18.648640683693618</v>
      </c>
      <c r="X125" s="3">
        <v>7</v>
      </c>
      <c r="Y125" s="1">
        <v>0.8</v>
      </c>
      <c r="Z125" s="3">
        <f t="shared" si="121"/>
        <v>5.6000000000000005</v>
      </c>
      <c r="AA125" s="3">
        <f>IF(I125&lt;&gt;"",X125/INDEX('energy battery'!$B$3:$D$6,MATCH('vehicles specifications'!$D125,'energy battery'!$A$3:$A$6,0),MATCH('vehicles specifications'!$I125,'energy battery'!$B$2:$D$2,0)),"")</f>
        <v>17.5</v>
      </c>
      <c r="AB125" s="3">
        <f t="shared" si="115"/>
        <v>5.25</v>
      </c>
      <c r="AC125" s="3">
        <f t="shared" si="122"/>
        <v>22.75</v>
      </c>
      <c r="AD125" s="3">
        <v>0.25</v>
      </c>
      <c r="AE125" s="3">
        <v>0</v>
      </c>
      <c r="AF125">
        <f>AE125*'fuels and tailpipe emissions'!$B$3</f>
        <v>0</v>
      </c>
      <c r="AG125">
        <v>0</v>
      </c>
      <c r="AH125" s="3">
        <v>0</v>
      </c>
      <c r="AI125" s="3">
        <v>3</v>
      </c>
      <c r="AJ125" s="3">
        <v>1</v>
      </c>
      <c r="AK125">
        <f t="shared" si="129"/>
        <v>1</v>
      </c>
      <c r="AL125">
        <f t="shared" si="123"/>
        <v>1.1016422988649433E-4</v>
      </c>
      <c r="AM125">
        <v>1.2899999999999999E-3</v>
      </c>
      <c r="AN125" s="2">
        <f t="shared" si="124"/>
        <v>62.162135612312063</v>
      </c>
      <c r="AO125" s="2">
        <f t="shared" si="125"/>
        <v>31.735406075759315</v>
      </c>
      <c r="AP125" s="2">
        <f t="shared" si="126"/>
        <v>22.75</v>
      </c>
      <c r="AQ125" s="6" t="s">
        <v>84</v>
      </c>
      <c r="AR125" s="20"/>
      <c r="AS125" s="6">
        <v>0.182</v>
      </c>
      <c r="AT125" s="2">
        <f t="shared" si="78"/>
        <v>110.76923076923079</v>
      </c>
      <c r="AU125" s="5">
        <v>0</v>
      </c>
      <c r="AV125" s="5">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7">
        <v>0</v>
      </c>
      <c r="BM125" s="7">
        <v>0</v>
      </c>
      <c r="BN125" s="7">
        <v>0</v>
      </c>
      <c r="BO125" s="7">
        <v>0</v>
      </c>
      <c r="BP125" s="7">
        <v>0</v>
      </c>
      <c r="BQ125" s="7">
        <v>0</v>
      </c>
      <c r="BR125" s="7">
        <v>0</v>
      </c>
      <c r="BS125" s="7">
        <v>0</v>
      </c>
      <c r="BT125" s="7">
        <v>0</v>
      </c>
      <c r="BU125" s="7">
        <v>0</v>
      </c>
      <c r="BV125" s="7">
        <v>0</v>
      </c>
      <c r="BW125" s="7">
        <v>0</v>
      </c>
      <c r="BX125" s="7">
        <v>0</v>
      </c>
      <c r="BY125" s="7">
        <v>0</v>
      </c>
      <c r="BZ125" s="7">
        <v>0</v>
      </c>
      <c r="CA125" s="7">
        <v>0</v>
      </c>
      <c r="CB125" s="7">
        <v>0</v>
      </c>
      <c r="CC125" s="7">
        <v>0</v>
      </c>
      <c r="CD125" s="7">
        <v>0</v>
      </c>
      <c r="CE125" s="7">
        <v>0</v>
      </c>
      <c r="CF125" s="7">
        <v>0</v>
      </c>
      <c r="CG125" s="7">
        <v>0</v>
      </c>
      <c r="CH125" s="7">
        <v>0</v>
      </c>
      <c r="CI125" s="7">
        <v>0</v>
      </c>
      <c r="CJ125" s="7">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 t="shared" si="79"/>
        <v>5.1594719500757633E-6</v>
      </c>
      <c r="CW125" s="7">
        <f t="shared" si="80"/>
        <v>2.805567697126877E-6</v>
      </c>
    </row>
    <row r="126" spans="1:101" x14ac:dyDescent="0.2">
      <c r="A126" t="str">
        <f t="shared" si="117"/>
        <v>Motorbike, battery electric, 4-11kW - 2050 - NMC - CH</v>
      </c>
      <c r="B126" t="s">
        <v>656</v>
      </c>
      <c r="D126" s="18">
        <v>2050</v>
      </c>
      <c r="E126" t="s">
        <v>37</v>
      </c>
      <c r="F126" t="s">
        <v>136</v>
      </c>
      <c r="G126" t="s">
        <v>39</v>
      </c>
      <c r="H126" t="s">
        <v>32</v>
      </c>
      <c r="I126" t="s">
        <v>42</v>
      </c>
      <c r="J126">
        <v>25000</v>
      </c>
      <c r="K126">
        <v>1776</v>
      </c>
      <c r="L126" s="2">
        <f t="shared" si="118"/>
        <v>14.076576576576576</v>
      </c>
      <c r="M126">
        <v>1.1000000000000001</v>
      </c>
      <c r="N126">
        <v>75</v>
      </c>
      <c r="O126">
        <v>6</v>
      </c>
      <c r="P126" s="2">
        <f t="shared" si="119"/>
        <v>116.89626218710283</v>
      </c>
      <c r="Q126" s="2">
        <f t="shared" si="120"/>
        <v>205.39626218710282</v>
      </c>
      <c r="R126">
        <v>4.7</v>
      </c>
      <c r="S126" s="2">
        <v>65.433826960328489</v>
      </c>
      <c r="T126" s="1">
        <v>7.0000000000000007E-2</v>
      </c>
      <c r="U126" s="2">
        <f t="shared" si="105"/>
        <v>60.853459073105491</v>
      </c>
      <c r="V126" s="2">
        <f t="shared" si="127"/>
        <v>13.086765392065699</v>
      </c>
      <c r="W126" s="2">
        <f t="shared" si="128"/>
        <v>18.256037721931648</v>
      </c>
      <c r="X126" s="3">
        <v>9.5</v>
      </c>
      <c r="Y126" s="1">
        <v>0.8</v>
      </c>
      <c r="Z126" s="3">
        <f t="shared" si="121"/>
        <v>7.6000000000000005</v>
      </c>
      <c r="AA126" s="3">
        <f>IF(I126&lt;&gt;"",X126/INDEX('energy battery'!$B$3:$D$6,MATCH('vehicles specifications'!$D126,'energy battery'!$A$3:$A$6,0),MATCH('vehicles specifications'!$I126,'energy battery'!$B$2:$D$2,0)),"")</f>
        <v>19</v>
      </c>
      <c r="AB126" s="3">
        <f t="shared" si="115"/>
        <v>5.7</v>
      </c>
      <c r="AC126" s="3">
        <f t="shared" si="122"/>
        <v>24.7</v>
      </c>
      <c r="AD126" s="3">
        <v>0</v>
      </c>
      <c r="AE126" s="3">
        <v>0</v>
      </c>
      <c r="AF126">
        <f>AE126*'fuels and tailpipe emissions'!$B$3</f>
        <v>0</v>
      </c>
      <c r="AG126">
        <v>0</v>
      </c>
      <c r="AH126" s="3">
        <v>0</v>
      </c>
      <c r="AI126" s="3">
        <v>3</v>
      </c>
      <c r="AJ126" s="3">
        <v>1</v>
      </c>
      <c r="AK126">
        <f t="shared" si="129"/>
        <v>1</v>
      </c>
      <c r="AL126">
        <f t="shared" si="123"/>
        <v>1.1029779279447421E-4</v>
      </c>
      <c r="AM126">
        <v>1.2899999999999999E-3</v>
      </c>
      <c r="AN126" s="2">
        <f t="shared" si="124"/>
        <v>60.853459073105491</v>
      </c>
      <c r="AO126" s="2">
        <f t="shared" si="125"/>
        <v>31.342803113997348</v>
      </c>
      <c r="AP126" s="2">
        <f t="shared" si="126"/>
        <v>24.7</v>
      </c>
      <c r="AQ126" s="6" t="s">
        <v>84</v>
      </c>
      <c r="AR126" s="20"/>
      <c r="AS126" s="6">
        <v>0.182</v>
      </c>
      <c r="AT126" s="2">
        <f t="shared" si="78"/>
        <v>150.32967032967034</v>
      </c>
      <c r="AU126" s="5">
        <v>0</v>
      </c>
      <c r="AV126" s="5">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7">
        <v>0</v>
      </c>
      <c r="BM126" s="7">
        <v>0</v>
      </c>
      <c r="BN126" s="7">
        <v>0</v>
      </c>
      <c r="BO126" s="7">
        <v>0</v>
      </c>
      <c r="BP126" s="7">
        <v>0</v>
      </c>
      <c r="BQ126" s="7">
        <v>0</v>
      </c>
      <c r="BR126" s="7">
        <v>0</v>
      </c>
      <c r="BS126" s="7">
        <v>0</v>
      </c>
      <c r="BT126" s="7">
        <v>0</v>
      </c>
      <c r="BU126" s="7">
        <v>0</v>
      </c>
      <c r="BV126" s="7">
        <v>0</v>
      </c>
      <c r="BW126" s="7">
        <v>0</v>
      </c>
      <c r="BX126" s="7">
        <v>0</v>
      </c>
      <c r="BY126" s="7">
        <v>0</v>
      </c>
      <c r="BZ126" s="7">
        <v>0</v>
      </c>
      <c r="CA126" s="7">
        <v>0</v>
      </c>
      <c r="CB126" s="7">
        <v>0</v>
      </c>
      <c r="CC126" s="7">
        <v>0</v>
      </c>
      <c r="CD126" s="7">
        <v>0</v>
      </c>
      <c r="CE126" s="7">
        <v>0</v>
      </c>
      <c r="CF126" s="7">
        <v>0</v>
      </c>
      <c r="CG126" s="7">
        <v>0</v>
      </c>
      <c r="CH126" s="7">
        <v>0</v>
      </c>
      <c r="CI126" s="7">
        <v>0</v>
      </c>
      <c r="CJ126" s="7">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 t="shared" si="79"/>
        <v>5.1629211982562471E-6</v>
      </c>
      <c r="CW126" s="7">
        <f t="shared" si="80"/>
        <v>2.8078268502623069E-6</v>
      </c>
    </row>
    <row r="127" spans="1:101" x14ac:dyDescent="0.2">
      <c r="A127" t="str">
        <f t="shared" si="117"/>
        <v>Motorbike, battery electric, 11-35kW - 2020 - NMC - CH</v>
      </c>
      <c r="B127" t="s">
        <v>657</v>
      </c>
      <c r="D127" s="18">
        <v>2020</v>
      </c>
      <c r="E127" t="s">
        <v>37</v>
      </c>
      <c r="F127" t="s">
        <v>136</v>
      </c>
      <c r="G127" t="s">
        <v>39</v>
      </c>
      <c r="H127" t="s">
        <v>32</v>
      </c>
      <c r="I127" t="s">
        <v>42</v>
      </c>
      <c r="J127">
        <v>38500</v>
      </c>
      <c r="K127">
        <v>2405</v>
      </c>
      <c r="L127" s="2">
        <f t="shared" si="118"/>
        <v>16.008316008316008</v>
      </c>
      <c r="M127">
        <v>1.1000000000000001</v>
      </c>
      <c r="N127">
        <v>75</v>
      </c>
      <c r="O127">
        <v>6</v>
      </c>
      <c r="P127" s="2">
        <f t="shared" si="119"/>
        <v>165.64999999999998</v>
      </c>
      <c r="Q127" s="2">
        <f t="shared" si="120"/>
        <v>254.14999999999998</v>
      </c>
      <c r="R127">
        <v>14</v>
      </c>
      <c r="S127" s="2">
        <v>81</v>
      </c>
      <c r="T127" s="1">
        <v>0</v>
      </c>
      <c r="U127" s="2">
        <f t="shared" si="105"/>
        <v>81</v>
      </c>
      <c r="V127" s="2">
        <v>13</v>
      </c>
      <c r="W127" s="2">
        <v>19</v>
      </c>
      <c r="X127" s="3">
        <v>8.1</v>
      </c>
      <c r="Y127" s="1">
        <v>0.8</v>
      </c>
      <c r="Z127" s="3">
        <f t="shared" si="121"/>
        <v>6.48</v>
      </c>
      <c r="AA127" s="3">
        <f>IF(I127&lt;&gt;"",X127/INDEX('energy battery'!$B$3:$D$6,MATCH('vehicles specifications'!$D127,'energy battery'!$A$3:$A$6,0),MATCH('vehicles specifications'!$I127,'energy battery'!$B$2:$D$2,0)),"")</f>
        <v>40.499999999999993</v>
      </c>
      <c r="AB127" s="3">
        <f t="shared" si="115"/>
        <v>12.149999999999997</v>
      </c>
      <c r="AC127" s="3">
        <f t="shared" si="122"/>
        <v>52.649999999999991</v>
      </c>
      <c r="AD127" s="3">
        <v>1</v>
      </c>
      <c r="AE127" s="3">
        <v>0</v>
      </c>
      <c r="AF127">
        <f>AE127*'fuels and tailpipe emissions'!$B$3</f>
        <v>0</v>
      </c>
      <c r="AG127">
        <v>0</v>
      </c>
      <c r="AH127" s="3">
        <v>0</v>
      </c>
      <c r="AI127" s="3">
        <v>5</v>
      </c>
      <c r="AJ127" s="3">
        <v>1</v>
      </c>
      <c r="AK127">
        <f t="shared" si="129"/>
        <v>1.54</v>
      </c>
      <c r="AL127">
        <f t="shared" si="123"/>
        <v>1.3647854999999999E-4</v>
      </c>
      <c r="AM127">
        <v>1.2899999999999999E-3</v>
      </c>
      <c r="AN127" s="2">
        <f t="shared" si="124"/>
        <v>81</v>
      </c>
      <c r="AO127" s="2">
        <f t="shared" si="125"/>
        <v>32</v>
      </c>
      <c r="AP127" s="2">
        <f t="shared" si="126"/>
        <v>52.649999999999991</v>
      </c>
      <c r="AQ127" s="6" t="s">
        <v>84</v>
      </c>
      <c r="AR127" s="20"/>
      <c r="AS127" s="6">
        <v>0.24635579913730349</v>
      </c>
      <c r="AT127" s="2">
        <f t="shared" si="78"/>
        <v>94.692311208791224</v>
      </c>
      <c r="AU127" s="5">
        <v>0</v>
      </c>
      <c r="AV127" s="5">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7">
        <v>0</v>
      </c>
      <c r="BM127" s="7">
        <v>0</v>
      </c>
      <c r="BN127" s="7">
        <v>0</v>
      </c>
      <c r="BO127" s="7">
        <v>0</v>
      </c>
      <c r="BP127" s="7">
        <v>0</v>
      </c>
      <c r="BQ127" s="7">
        <v>0</v>
      </c>
      <c r="BR127" s="7">
        <v>0</v>
      </c>
      <c r="BS127" s="7">
        <v>0</v>
      </c>
      <c r="BT127" s="7">
        <v>0</v>
      </c>
      <c r="BU127" s="7">
        <v>0</v>
      </c>
      <c r="BV127" s="7">
        <v>0</v>
      </c>
      <c r="BW127" s="7">
        <v>0</v>
      </c>
      <c r="BX127" s="7">
        <v>0</v>
      </c>
      <c r="BY127" s="7">
        <v>0</v>
      </c>
      <c r="BZ127" s="7">
        <v>0</v>
      </c>
      <c r="CA127" s="7">
        <v>0</v>
      </c>
      <c r="CB127" s="7">
        <v>0</v>
      </c>
      <c r="CC127" s="7">
        <v>0</v>
      </c>
      <c r="CD127" s="7">
        <v>0</v>
      </c>
      <c r="CE127" s="7">
        <v>0</v>
      </c>
      <c r="CF127" s="7">
        <v>0</v>
      </c>
      <c r="CG127" s="7">
        <v>0</v>
      </c>
      <c r="CH127" s="7">
        <v>0</v>
      </c>
      <c r="CI127" s="7">
        <v>0</v>
      </c>
      <c r="CJ127" s="7">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 t="shared" si="79"/>
        <v>5.7857682258766833E-6</v>
      </c>
      <c r="CW127" s="7">
        <f t="shared" si="80"/>
        <v>3.2263949130873107E-6</v>
      </c>
    </row>
    <row r="128" spans="1:101" x14ac:dyDescent="0.2">
      <c r="A128" t="str">
        <f t="shared" si="117"/>
        <v>Motorbike, battery electric, 11-35kW - 2030 - NMC - CH</v>
      </c>
      <c r="B128" t="s">
        <v>657</v>
      </c>
      <c r="D128" s="18">
        <v>2030</v>
      </c>
      <c r="E128" t="s">
        <v>37</v>
      </c>
      <c r="F128" t="s">
        <v>136</v>
      </c>
      <c r="G128" t="s">
        <v>39</v>
      </c>
      <c r="H128" t="s">
        <v>32</v>
      </c>
      <c r="I128" t="s">
        <v>42</v>
      </c>
      <c r="J128">
        <v>38500</v>
      </c>
      <c r="K128">
        <v>2405</v>
      </c>
      <c r="L128" s="2">
        <f t="shared" si="118"/>
        <v>16.008316008316008</v>
      </c>
      <c r="M128">
        <v>1.1000000000000001</v>
      </c>
      <c r="N128">
        <v>75</v>
      </c>
      <c r="O128">
        <v>6</v>
      </c>
      <c r="P128" s="2">
        <f t="shared" si="119"/>
        <v>166.03666666666666</v>
      </c>
      <c r="Q128" s="2">
        <f t="shared" si="120"/>
        <v>254.53666666666666</v>
      </c>
      <c r="R128">
        <v>14</v>
      </c>
      <c r="S128" s="2">
        <v>81</v>
      </c>
      <c r="T128" s="1">
        <v>0.03</v>
      </c>
      <c r="U128" s="2">
        <f t="shared" si="105"/>
        <v>78.569999999999993</v>
      </c>
      <c r="V128" s="2">
        <v>13</v>
      </c>
      <c r="W128" s="2">
        <v>19</v>
      </c>
      <c r="X128" s="3">
        <v>12.8</v>
      </c>
      <c r="Y128" s="1">
        <v>0.8</v>
      </c>
      <c r="Z128" s="3">
        <f t="shared" si="121"/>
        <v>10.240000000000002</v>
      </c>
      <c r="AA128" s="3">
        <f>IF(I128&lt;&gt;"",X128/INDEX('energy battery'!$B$3:$D$6,MATCH('vehicles specifications'!$D128,'energy battery'!$A$3:$A$6,0),MATCH('vehicles specifications'!$I128,'energy battery'!$B$2:$D$2,0)),"")</f>
        <v>42.666666666666671</v>
      </c>
      <c r="AB128" s="3">
        <f t="shared" si="115"/>
        <v>12.8</v>
      </c>
      <c r="AC128" s="3">
        <f t="shared" si="122"/>
        <v>55.466666666666669</v>
      </c>
      <c r="AD128" s="3">
        <v>0.5</v>
      </c>
      <c r="AE128" s="3">
        <v>0</v>
      </c>
      <c r="AF128">
        <f>AE128*'fuels and tailpipe emissions'!$B$3</f>
        <v>0</v>
      </c>
      <c r="AG128">
        <v>0</v>
      </c>
      <c r="AH128" s="3">
        <v>0</v>
      </c>
      <c r="AI128" s="3">
        <v>5</v>
      </c>
      <c r="AJ128" s="3">
        <v>1</v>
      </c>
      <c r="AK128">
        <f t="shared" si="129"/>
        <v>1.54</v>
      </c>
      <c r="AL128">
        <f t="shared" si="123"/>
        <v>1.3668618999999998E-4</v>
      </c>
      <c r="AM128">
        <v>1.2899999999999999E-3</v>
      </c>
      <c r="AN128" s="2">
        <f t="shared" si="124"/>
        <v>78.569999999999993</v>
      </c>
      <c r="AO128" s="2">
        <f t="shared" si="125"/>
        <v>32</v>
      </c>
      <c r="AP128" s="2">
        <f t="shared" si="126"/>
        <v>55.466666666666669</v>
      </c>
      <c r="AQ128" s="6" t="s">
        <v>84</v>
      </c>
      <c r="AR128" s="20"/>
      <c r="AS128" s="6">
        <v>0.24635579913730349</v>
      </c>
      <c r="AT128" s="2">
        <f t="shared" si="78"/>
        <v>149.63723252747255</v>
      </c>
      <c r="AU128" s="5">
        <v>0</v>
      </c>
      <c r="AV128" s="5">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7">
        <v>0</v>
      </c>
      <c r="BM128" s="7">
        <v>0</v>
      </c>
      <c r="BN128" s="7">
        <v>0</v>
      </c>
      <c r="BO128" s="7">
        <v>0</v>
      </c>
      <c r="BP128" s="7">
        <v>0</v>
      </c>
      <c r="BQ128" s="7">
        <v>0</v>
      </c>
      <c r="BR128" s="7">
        <v>0</v>
      </c>
      <c r="BS128" s="7">
        <v>0</v>
      </c>
      <c r="BT128" s="7">
        <v>0</v>
      </c>
      <c r="BU128" s="7">
        <v>0</v>
      </c>
      <c r="BV128" s="7">
        <v>0</v>
      </c>
      <c r="BW128" s="7">
        <v>0</v>
      </c>
      <c r="BX128" s="7">
        <v>0</v>
      </c>
      <c r="BY128" s="7">
        <v>0</v>
      </c>
      <c r="BZ128" s="7">
        <v>0</v>
      </c>
      <c r="CA128" s="7">
        <v>0</v>
      </c>
      <c r="CB128" s="7">
        <v>0</v>
      </c>
      <c r="CC128" s="7">
        <v>0</v>
      </c>
      <c r="CD128" s="7">
        <v>0</v>
      </c>
      <c r="CE128" s="7">
        <v>0</v>
      </c>
      <c r="CF128" s="7">
        <v>0</v>
      </c>
      <c r="CG128" s="7">
        <v>0</v>
      </c>
      <c r="CH128" s="7">
        <v>0</v>
      </c>
      <c r="CI128" s="7">
        <v>0</v>
      </c>
      <c r="CJ128" s="7">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 t="shared" si="79"/>
        <v>5.7903454773815019E-6</v>
      </c>
      <c r="CW128" s="7">
        <f t="shared" si="80"/>
        <v>3.2295454524199181E-6</v>
      </c>
    </row>
    <row r="129" spans="1:101" x14ac:dyDescent="0.2">
      <c r="A129" t="str">
        <f t="shared" si="117"/>
        <v>Motorbike, battery electric, 11-35kW - 2040 - NMC - CH</v>
      </c>
      <c r="B129" t="s">
        <v>657</v>
      </c>
      <c r="D129" s="18">
        <v>2040</v>
      </c>
      <c r="E129" t="s">
        <v>37</v>
      </c>
      <c r="F129" t="s">
        <v>136</v>
      </c>
      <c r="G129" t="s">
        <v>39</v>
      </c>
      <c r="H129" t="s">
        <v>32</v>
      </c>
      <c r="I129" t="s">
        <v>42</v>
      </c>
      <c r="J129">
        <v>38500</v>
      </c>
      <c r="K129">
        <v>2405</v>
      </c>
      <c r="L129" s="2">
        <f t="shared" si="118"/>
        <v>16.008316008316008</v>
      </c>
      <c r="M129">
        <v>1.1000000000000001</v>
      </c>
      <c r="N129">
        <v>75</v>
      </c>
      <c r="O129">
        <v>6</v>
      </c>
      <c r="P129" s="2">
        <f t="shared" si="119"/>
        <v>166.8</v>
      </c>
      <c r="Q129" s="2">
        <f t="shared" si="120"/>
        <v>255.3</v>
      </c>
      <c r="R129">
        <v>14</v>
      </c>
      <c r="S129" s="2">
        <v>81</v>
      </c>
      <c r="T129" s="1">
        <v>0.05</v>
      </c>
      <c r="U129" s="2">
        <f t="shared" si="105"/>
        <v>76.95</v>
      </c>
      <c r="V129" s="2">
        <v>13</v>
      </c>
      <c r="W129" s="2">
        <v>19</v>
      </c>
      <c r="X129" s="3">
        <v>17.8</v>
      </c>
      <c r="Y129" s="1">
        <v>0.8</v>
      </c>
      <c r="Z129" s="3">
        <f t="shared" si="121"/>
        <v>14.240000000000002</v>
      </c>
      <c r="AA129" s="3">
        <f>IF(I129&lt;&gt;"",X129/INDEX('energy battery'!$B$3:$D$6,MATCH('vehicles specifications'!$D129,'energy battery'!$A$3:$A$6,0),MATCH('vehicles specifications'!$I129,'energy battery'!$B$2:$D$2,0)),"")</f>
        <v>44.5</v>
      </c>
      <c r="AB129" s="3">
        <f t="shared" si="115"/>
        <v>13.35</v>
      </c>
      <c r="AC129" s="3">
        <f t="shared" si="122"/>
        <v>57.85</v>
      </c>
      <c r="AD129" s="3">
        <v>0.25</v>
      </c>
      <c r="AE129" s="3">
        <v>0</v>
      </c>
      <c r="AF129">
        <f>AE129*'fuels and tailpipe emissions'!$B$3</f>
        <v>0</v>
      </c>
      <c r="AG129">
        <v>0</v>
      </c>
      <c r="AH129" s="3">
        <v>0</v>
      </c>
      <c r="AI129" s="3">
        <v>5</v>
      </c>
      <c r="AJ129" s="3">
        <v>1</v>
      </c>
      <c r="AK129">
        <f t="shared" si="129"/>
        <v>1.54</v>
      </c>
      <c r="AL129">
        <f t="shared" si="123"/>
        <v>1.370961E-4</v>
      </c>
      <c r="AM129">
        <v>1.2899999999999999E-3</v>
      </c>
      <c r="AN129" s="2">
        <f t="shared" si="124"/>
        <v>76.95</v>
      </c>
      <c r="AO129" s="2">
        <f t="shared" si="125"/>
        <v>32</v>
      </c>
      <c r="AP129" s="2">
        <f t="shared" si="126"/>
        <v>57.85</v>
      </c>
      <c r="AQ129" s="6" t="s">
        <v>84</v>
      </c>
      <c r="AR129" s="20"/>
      <c r="AS129" s="6">
        <v>0.24635579913730349</v>
      </c>
      <c r="AT129" s="2">
        <f t="shared" si="78"/>
        <v>208.08927648351653</v>
      </c>
      <c r="AU129" s="5">
        <v>0</v>
      </c>
      <c r="AV129" s="5">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7">
        <v>0</v>
      </c>
      <c r="BM129" s="7">
        <v>0</v>
      </c>
      <c r="BN129" s="7">
        <v>0</v>
      </c>
      <c r="BO129" s="7">
        <v>0</v>
      </c>
      <c r="BP129" s="7">
        <v>0</v>
      </c>
      <c r="BQ129" s="7">
        <v>0</v>
      </c>
      <c r="BR129" s="7">
        <v>0</v>
      </c>
      <c r="BS129" s="7">
        <v>0</v>
      </c>
      <c r="BT129" s="7">
        <v>0</v>
      </c>
      <c r="BU129" s="7">
        <v>0</v>
      </c>
      <c r="BV129" s="7">
        <v>0</v>
      </c>
      <c r="BW129" s="7">
        <v>0</v>
      </c>
      <c r="BX129" s="7">
        <v>0</v>
      </c>
      <c r="BY129" s="7">
        <v>0</v>
      </c>
      <c r="BZ129" s="7">
        <v>0</v>
      </c>
      <c r="CA129" s="7">
        <v>0</v>
      </c>
      <c r="CB129" s="7">
        <v>0</v>
      </c>
      <c r="CC129" s="7">
        <v>0</v>
      </c>
      <c r="CD129" s="7">
        <v>0</v>
      </c>
      <c r="CE129" s="7">
        <v>0</v>
      </c>
      <c r="CF129" s="7">
        <v>0</v>
      </c>
      <c r="CG129" s="7">
        <v>0</v>
      </c>
      <c r="CH129" s="7">
        <v>0</v>
      </c>
      <c r="CI129" s="7">
        <v>0</v>
      </c>
      <c r="CJ129" s="7">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 t="shared" si="79"/>
        <v>5.7993671866676433E-6</v>
      </c>
      <c r="CW129" s="7">
        <f t="shared" si="80"/>
        <v>3.2357581705559849E-6</v>
      </c>
    </row>
    <row r="130" spans="1:101" x14ac:dyDescent="0.2">
      <c r="A130" t="str">
        <f t="shared" si="117"/>
        <v>Motorbike, battery electric, 11-35kW - 2050 - NMC - CH</v>
      </c>
      <c r="B130" t="s">
        <v>657</v>
      </c>
      <c r="D130" s="18">
        <v>2050</v>
      </c>
      <c r="E130" t="s">
        <v>37</v>
      </c>
      <c r="F130" t="s">
        <v>136</v>
      </c>
      <c r="G130" t="s">
        <v>39</v>
      </c>
      <c r="H130" t="s">
        <v>32</v>
      </c>
      <c r="I130" t="s">
        <v>42</v>
      </c>
      <c r="J130">
        <v>38500</v>
      </c>
      <c r="K130">
        <v>2405</v>
      </c>
      <c r="L130" s="2">
        <f t="shared" si="118"/>
        <v>16.008316008316008</v>
      </c>
      <c r="M130">
        <v>1.1000000000000001</v>
      </c>
      <c r="N130">
        <v>75</v>
      </c>
      <c r="O130">
        <v>6</v>
      </c>
      <c r="P130" s="2">
        <f t="shared" si="119"/>
        <v>166.61</v>
      </c>
      <c r="Q130" s="2">
        <f t="shared" si="120"/>
        <v>255.11</v>
      </c>
      <c r="R130">
        <v>14</v>
      </c>
      <c r="S130" s="2">
        <v>81</v>
      </c>
      <c r="T130" s="1">
        <v>7.0000000000000007E-2</v>
      </c>
      <c r="U130" s="2">
        <f t="shared" si="105"/>
        <v>75.33</v>
      </c>
      <c r="V130" s="2">
        <v>13</v>
      </c>
      <c r="W130" s="2">
        <v>19</v>
      </c>
      <c r="X130" s="3">
        <v>22.8</v>
      </c>
      <c r="Y130" s="1">
        <v>0.8</v>
      </c>
      <c r="Z130" s="3">
        <f t="shared" si="121"/>
        <v>18.240000000000002</v>
      </c>
      <c r="AA130" s="3">
        <f>IF(I130&lt;&gt;"",X130/INDEX('energy battery'!$B$3:$D$6,MATCH('vehicles specifications'!$D130,'energy battery'!$A$3:$A$6,0),MATCH('vehicles specifications'!$I130,'energy battery'!$B$2:$D$2,0)),"")</f>
        <v>45.6</v>
      </c>
      <c r="AB130" s="3">
        <f t="shared" si="115"/>
        <v>13.68</v>
      </c>
      <c r="AC130" s="3">
        <f t="shared" si="122"/>
        <v>59.28</v>
      </c>
      <c r="AD130" s="3">
        <v>0</v>
      </c>
      <c r="AE130" s="3">
        <v>0</v>
      </c>
      <c r="AF130">
        <f>AE130*'fuels and tailpipe emissions'!$B$3</f>
        <v>0</v>
      </c>
      <c r="AG130">
        <v>0</v>
      </c>
      <c r="AH130" s="3">
        <v>0</v>
      </c>
      <c r="AI130" s="3">
        <v>5</v>
      </c>
      <c r="AJ130" s="3">
        <v>1</v>
      </c>
      <c r="AK130">
        <f t="shared" si="129"/>
        <v>1.54</v>
      </c>
      <c r="AL130">
        <f t="shared" si="123"/>
        <v>1.3699407E-4</v>
      </c>
      <c r="AM130">
        <v>1.2899999999999999E-3</v>
      </c>
      <c r="AN130" s="2">
        <f t="shared" si="124"/>
        <v>75.33</v>
      </c>
      <c r="AO130" s="2">
        <f t="shared" si="125"/>
        <v>32</v>
      </c>
      <c r="AP130" s="2">
        <f t="shared" si="126"/>
        <v>59.28</v>
      </c>
      <c r="AQ130" s="6" t="s">
        <v>84</v>
      </c>
      <c r="AR130" s="20"/>
      <c r="AS130" s="6">
        <v>0.24635579913730349</v>
      </c>
      <c r="AT130" s="2">
        <f t="shared" si="78"/>
        <v>266.54132043956048</v>
      </c>
      <c r="AU130" s="5">
        <v>0</v>
      </c>
      <c r="AV130" s="5">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7">
        <v>0</v>
      </c>
      <c r="BM130" s="7">
        <v>0</v>
      </c>
      <c r="BN130" s="7">
        <v>0</v>
      </c>
      <c r="BO130" s="7">
        <v>0</v>
      </c>
      <c r="BP130" s="7">
        <v>0</v>
      </c>
      <c r="BQ130" s="7">
        <v>0</v>
      </c>
      <c r="BR130" s="7">
        <v>0</v>
      </c>
      <c r="BS130" s="7">
        <v>0</v>
      </c>
      <c r="BT130" s="7">
        <v>0</v>
      </c>
      <c r="BU130" s="7">
        <v>0</v>
      </c>
      <c r="BV130" s="7">
        <v>0</v>
      </c>
      <c r="BW130" s="7">
        <v>0</v>
      </c>
      <c r="BX130" s="7">
        <v>0</v>
      </c>
      <c r="BY130" s="7">
        <v>0</v>
      </c>
      <c r="BZ130" s="7">
        <v>0</v>
      </c>
      <c r="CA130" s="7">
        <v>0</v>
      </c>
      <c r="CB130" s="7">
        <v>0</v>
      </c>
      <c r="CC130" s="7">
        <v>0</v>
      </c>
      <c r="CD130" s="7">
        <v>0</v>
      </c>
      <c r="CE130" s="7">
        <v>0</v>
      </c>
      <c r="CF130" s="7">
        <v>0</v>
      </c>
      <c r="CG130" s="7">
        <v>0</v>
      </c>
      <c r="CH130" s="7">
        <v>0</v>
      </c>
      <c r="CI130" s="7">
        <v>0</v>
      </c>
      <c r="CJ130" s="7">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 t="shared" si="79"/>
        <v>5.7971233927756468E-6</v>
      </c>
      <c r="CW130" s="7">
        <f t="shared" si="80"/>
        <v>3.2342126254824507E-6</v>
      </c>
    </row>
    <row r="131" spans="1:101" x14ac:dyDescent="0.2">
      <c r="A131" t="str">
        <f t="shared" si="117"/>
        <v>Motorbike, battery electric, &gt;35kW - 2020 - NMC - CH</v>
      </c>
      <c r="B131" t="s">
        <v>658</v>
      </c>
      <c r="D131" s="18">
        <v>2020</v>
      </c>
      <c r="E131" t="s">
        <v>37</v>
      </c>
      <c r="F131" t="s">
        <v>136</v>
      </c>
      <c r="G131" t="s">
        <v>39</v>
      </c>
      <c r="H131" t="s">
        <v>32</v>
      </c>
      <c r="I131" t="s">
        <v>42</v>
      </c>
      <c r="J131">
        <v>40500</v>
      </c>
      <c r="K131">
        <v>2896</v>
      </c>
      <c r="L131" s="2">
        <f t="shared" si="118"/>
        <v>13.984806629834255</v>
      </c>
      <c r="M131">
        <v>1.1000000000000001</v>
      </c>
      <c r="N131">
        <v>75</v>
      </c>
      <c r="O131">
        <v>6</v>
      </c>
      <c r="P131" s="2">
        <f t="shared" si="119"/>
        <v>254.89</v>
      </c>
      <c r="Q131" s="2">
        <f t="shared" si="120"/>
        <v>343.39</v>
      </c>
      <c r="R131">
        <v>49</v>
      </c>
      <c r="S131" s="2">
        <v>111</v>
      </c>
      <c r="T131" s="1">
        <v>0</v>
      </c>
      <c r="U131" s="2">
        <f t="shared" si="105"/>
        <v>111</v>
      </c>
      <c r="V131" s="2">
        <v>13.74</v>
      </c>
      <c r="W131" s="2">
        <v>22.900000000000002</v>
      </c>
      <c r="X131" s="3">
        <v>16.5</v>
      </c>
      <c r="Y131" s="1">
        <v>0.8</v>
      </c>
      <c r="Z131" s="3">
        <f t="shared" si="121"/>
        <v>13.200000000000001</v>
      </c>
      <c r="AA131" s="3">
        <f>IF(I131&lt;&gt;"",X131/INDEX('energy battery'!$B$3:$D$6,MATCH('vehicles specifications'!$D131,'energy battery'!$A$3:$A$6,0),MATCH('vehicles specifications'!$I131,'energy battery'!$B$2:$D$2,0)),"")</f>
        <v>82.5</v>
      </c>
      <c r="AB131" s="3">
        <f t="shared" si="115"/>
        <v>24.75</v>
      </c>
      <c r="AC131" s="3">
        <f t="shared" si="122"/>
        <v>107.25</v>
      </c>
      <c r="AD131" s="3">
        <v>1</v>
      </c>
      <c r="AE131" s="3">
        <v>0</v>
      </c>
      <c r="AF131">
        <f>AE131*'fuels and tailpipe emissions'!$B$3</f>
        <v>0</v>
      </c>
      <c r="AG131">
        <v>0</v>
      </c>
      <c r="AH131" s="3">
        <v>0</v>
      </c>
      <c r="AI131" s="3">
        <v>5</v>
      </c>
      <c r="AJ131" s="3">
        <v>1</v>
      </c>
      <c r="AK131">
        <f t="shared" si="129"/>
        <v>1.62</v>
      </c>
      <c r="AL131">
        <f t="shared" si="123"/>
        <v>1.8440043E-4</v>
      </c>
      <c r="AM131">
        <v>1.2899999999999999E-3</v>
      </c>
      <c r="AN131" s="2">
        <f t="shared" si="124"/>
        <v>111</v>
      </c>
      <c r="AO131" s="2">
        <f t="shared" si="125"/>
        <v>36.64</v>
      </c>
      <c r="AP131" s="2">
        <f t="shared" si="126"/>
        <v>107.25</v>
      </c>
      <c r="AQ131" s="6" t="s">
        <v>84</v>
      </c>
      <c r="AR131" s="20"/>
      <c r="AS131" s="6">
        <v>0.27473182101357863</v>
      </c>
      <c r="AT131" s="2">
        <f t="shared" si="78"/>
        <v>172.96867841767528</v>
      </c>
      <c r="AU131" s="5">
        <v>0</v>
      </c>
      <c r="AV131" s="5">
        <v>0</v>
      </c>
      <c r="AW131" s="7">
        <v>0</v>
      </c>
      <c r="AX131" s="7">
        <v>0</v>
      </c>
      <c r="AY131" s="7">
        <v>0</v>
      </c>
      <c r="AZ131" s="7">
        <v>0</v>
      </c>
      <c r="BA131" s="7">
        <v>0</v>
      </c>
      <c r="BB131" s="7">
        <v>0</v>
      </c>
      <c r="BC131" s="7">
        <v>0</v>
      </c>
      <c r="BD131" s="7">
        <v>0</v>
      </c>
      <c r="BE131" s="7">
        <v>0</v>
      </c>
      <c r="BF131" s="7">
        <v>0</v>
      </c>
      <c r="BG131" s="7">
        <v>0</v>
      </c>
      <c r="BH131" s="7">
        <v>0</v>
      </c>
      <c r="BI131" s="7">
        <v>0</v>
      </c>
      <c r="BJ131" s="7">
        <v>0</v>
      </c>
      <c r="BK131" s="7">
        <v>0</v>
      </c>
      <c r="BL131" s="7">
        <v>0</v>
      </c>
      <c r="BM131" s="7">
        <v>0</v>
      </c>
      <c r="BN131" s="7">
        <v>0</v>
      </c>
      <c r="BO131" s="7">
        <v>0</v>
      </c>
      <c r="BP131" s="7">
        <v>0</v>
      </c>
      <c r="BQ131" s="7">
        <v>0</v>
      </c>
      <c r="BR131" s="7">
        <v>0</v>
      </c>
      <c r="BS131" s="7">
        <v>0</v>
      </c>
      <c r="BT131" s="7">
        <v>0</v>
      </c>
      <c r="BU131" s="7">
        <v>0</v>
      </c>
      <c r="BV131" s="7">
        <v>0</v>
      </c>
      <c r="BW131" s="7">
        <v>0</v>
      </c>
      <c r="BX131" s="7">
        <v>0</v>
      </c>
      <c r="BY131" s="7">
        <v>0</v>
      </c>
      <c r="BZ131" s="7">
        <v>0</v>
      </c>
      <c r="CA131" s="7">
        <v>0</v>
      </c>
      <c r="CB131" s="7">
        <v>0</v>
      </c>
      <c r="CC131" s="7">
        <v>0</v>
      </c>
      <c r="CD131" s="7">
        <v>0</v>
      </c>
      <c r="CE131" s="7">
        <v>0</v>
      </c>
      <c r="CF131" s="7">
        <v>0</v>
      </c>
      <c r="CG131" s="7">
        <v>0</v>
      </c>
      <c r="CH131" s="7">
        <v>0</v>
      </c>
      <c r="CI131" s="7">
        <v>0</v>
      </c>
      <c r="CJ131" s="7">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 t="shared" si="79"/>
        <v>6.7357087837460445E-6</v>
      </c>
      <c r="CW131" s="7">
        <f t="shared" si="80"/>
        <v>3.9013198843598195E-6</v>
      </c>
    </row>
    <row r="132" spans="1:101" x14ac:dyDescent="0.2">
      <c r="A132" t="str">
        <f t="shared" si="117"/>
        <v>Motorbike, battery electric, &gt;35kW - 2030 - NMC - CH</v>
      </c>
      <c r="B132" t="s">
        <v>658</v>
      </c>
      <c r="D132" s="18">
        <v>2030</v>
      </c>
      <c r="E132" t="s">
        <v>37</v>
      </c>
      <c r="F132" t="s">
        <v>136</v>
      </c>
      <c r="G132" t="s">
        <v>39</v>
      </c>
      <c r="H132" t="s">
        <v>32</v>
      </c>
      <c r="I132" t="s">
        <v>42</v>
      </c>
      <c r="J132">
        <v>40500</v>
      </c>
      <c r="K132">
        <v>2896</v>
      </c>
      <c r="L132" s="2">
        <f t="shared" si="118"/>
        <v>13.984806629834255</v>
      </c>
      <c r="M132">
        <v>1.1000000000000001</v>
      </c>
      <c r="N132">
        <v>75</v>
      </c>
      <c r="O132">
        <v>6</v>
      </c>
      <c r="P132" s="2">
        <f t="shared" si="119"/>
        <v>255.24333333333334</v>
      </c>
      <c r="Q132" s="2">
        <f t="shared" si="120"/>
        <v>343.74333333333334</v>
      </c>
      <c r="R132">
        <v>49</v>
      </c>
      <c r="S132" s="2">
        <v>111</v>
      </c>
      <c r="T132" s="1">
        <v>0.03</v>
      </c>
      <c r="U132" s="2">
        <f t="shared" si="105"/>
        <v>107.67</v>
      </c>
      <c r="V132" s="2">
        <v>13.74</v>
      </c>
      <c r="W132" s="2">
        <v>22.900000000000002</v>
      </c>
      <c r="X132" s="3">
        <v>25.6</v>
      </c>
      <c r="Y132" s="1">
        <v>0.8</v>
      </c>
      <c r="Z132" s="3">
        <f t="shared" si="121"/>
        <v>20.480000000000004</v>
      </c>
      <c r="AA132" s="3">
        <f>IF(I132&lt;&gt;"",X132/INDEX('energy battery'!$B$3:$D$6,MATCH('vehicles specifications'!$D132,'energy battery'!$A$3:$A$6,0),MATCH('vehicles specifications'!$I132,'energy battery'!$B$2:$D$2,0)),"")</f>
        <v>85.333333333333343</v>
      </c>
      <c r="AB132" s="3">
        <f t="shared" si="115"/>
        <v>25.6</v>
      </c>
      <c r="AC132" s="3">
        <f t="shared" si="122"/>
        <v>110.93333333333334</v>
      </c>
      <c r="AD132" s="3">
        <v>0.5</v>
      </c>
      <c r="AE132" s="3">
        <v>0</v>
      </c>
      <c r="AF132">
        <f>AE132*'fuels and tailpipe emissions'!$B$3</f>
        <v>0</v>
      </c>
      <c r="AG132">
        <v>0</v>
      </c>
      <c r="AH132" s="3">
        <v>0</v>
      </c>
      <c r="AI132" s="3">
        <v>5</v>
      </c>
      <c r="AJ132" s="3">
        <v>1</v>
      </c>
      <c r="AK132">
        <f t="shared" si="129"/>
        <v>1.62</v>
      </c>
      <c r="AL132">
        <f t="shared" si="123"/>
        <v>1.8459017000000002E-4</v>
      </c>
      <c r="AM132">
        <v>1.2899999999999999E-3</v>
      </c>
      <c r="AN132" s="2">
        <f t="shared" si="124"/>
        <v>107.67</v>
      </c>
      <c r="AO132" s="2">
        <f t="shared" si="125"/>
        <v>36.64</v>
      </c>
      <c r="AP132" s="2">
        <f t="shared" si="126"/>
        <v>110.93333333333334</v>
      </c>
      <c r="AQ132" s="6" t="s">
        <v>84</v>
      </c>
      <c r="AR132" s="20"/>
      <c r="AS132" s="6">
        <v>0.27473182101357863</v>
      </c>
      <c r="AT132" s="2">
        <f t="shared" ref="AT132:AT166" si="130">SUM(Z132,AG132)/(SUM(AQ132,AS132)/3.6)</f>
        <v>268.363525302575</v>
      </c>
      <c r="AU132" s="5">
        <v>0</v>
      </c>
      <c r="AV132" s="5">
        <v>0</v>
      </c>
      <c r="AW132" s="7">
        <v>0</v>
      </c>
      <c r="AX132" s="7">
        <v>0</v>
      </c>
      <c r="AY132" s="7">
        <v>0</v>
      </c>
      <c r="AZ132" s="7">
        <v>0</v>
      </c>
      <c r="BA132" s="7">
        <v>0</v>
      </c>
      <c r="BB132" s="7">
        <v>0</v>
      </c>
      <c r="BC132" s="7">
        <v>0</v>
      </c>
      <c r="BD132" s="7">
        <v>0</v>
      </c>
      <c r="BE132" s="7">
        <v>0</v>
      </c>
      <c r="BF132" s="7">
        <v>0</v>
      </c>
      <c r="BG132" s="7">
        <v>0</v>
      </c>
      <c r="BH132" s="7">
        <v>0</v>
      </c>
      <c r="BI132" s="7">
        <v>0</v>
      </c>
      <c r="BJ132" s="7">
        <v>0</v>
      </c>
      <c r="BK132" s="7">
        <v>0</v>
      </c>
      <c r="BL132" s="7">
        <v>0</v>
      </c>
      <c r="BM132" s="7">
        <v>0</v>
      </c>
      <c r="BN132" s="7">
        <v>0</v>
      </c>
      <c r="BO132" s="7">
        <v>0</v>
      </c>
      <c r="BP132" s="7">
        <v>0</v>
      </c>
      <c r="BQ132" s="7">
        <v>0</v>
      </c>
      <c r="BR132" s="7">
        <v>0</v>
      </c>
      <c r="BS132" s="7">
        <v>0</v>
      </c>
      <c r="BT132" s="7">
        <v>0</v>
      </c>
      <c r="BU132" s="7">
        <v>0</v>
      </c>
      <c r="BV132" s="7">
        <v>0</v>
      </c>
      <c r="BW132" s="7">
        <v>0</v>
      </c>
      <c r="BX132" s="7">
        <v>0</v>
      </c>
      <c r="BY132" s="7">
        <v>0</v>
      </c>
      <c r="BZ132" s="7">
        <v>0</v>
      </c>
      <c r="CA132" s="7">
        <v>0</v>
      </c>
      <c r="CB132" s="7">
        <v>0</v>
      </c>
      <c r="CC132" s="7">
        <v>0</v>
      </c>
      <c r="CD132" s="7">
        <v>0</v>
      </c>
      <c r="CE132" s="7">
        <v>0</v>
      </c>
      <c r="CF132" s="7">
        <v>0</v>
      </c>
      <c r="CG132" s="7">
        <v>0</v>
      </c>
      <c r="CH132" s="7">
        <v>0</v>
      </c>
      <c r="CI132" s="7">
        <v>0</v>
      </c>
      <c r="CJ132" s="7">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 t="shared" ref="CV132:CV166" si="131">(CK132*CN132)+(CL132*CO132)+(CM132*CP132)</f>
        <v>6.7391199251587888E-6</v>
      </c>
      <c r="CW132" s="7">
        <f t="shared" ref="CW132:CW166" si="132">(CK132*CQ132)+(CL132*CR132)+(CM132*CS132)</f>
        <v>3.9038159758224493E-6</v>
      </c>
    </row>
    <row r="133" spans="1:101" x14ac:dyDescent="0.2">
      <c r="A133" t="str">
        <f t="shared" si="117"/>
        <v>Motorbike, battery electric, &gt;35kW - 2040 - NMC - CH</v>
      </c>
      <c r="B133" t="s">
        <v>658</v>
      </c>
      <c r="D133" s="18">
        <v>2040</v>
      </c>
      <c r="E133" t="s">
        <v>37</v>
      </c>
      <c r="F133" t="s">
        <v>136</v>
      </c>
      <c r="G133" t="s">
        <v>39</v>
      </c>
      <c r="H133" t="s">
        <v>32</v>
      </c>
      <c r="I133" t="s">
        <v>42</v>
      </c>
      <c r="J133">
        <v>40500</v>
      </c>
      <c r="K133">
        <v>2896</v>
      </c>
      <c r="L133" s="2">
        <f t="shared" si="118"/>
        <v>13.984806629834255</v>
      </c>
      <c r="M133">
        <v>1.1000000000000001</v>
      </c>
      <c r="N133">
        <v>75</v>
      </c>
      <c r="O133">
        <v>6</v>
      </c>
      <c r="P133" s="2">
        <f t="shared" si="119"/>
        <v>255.83999999999997</v>
      </c>
      <c r="Q133" s="2">
        <f t="shared" si="120"/>
        <v>344.34</v>
      </c>
      <c r="R133">
        <v>49</v>
      </c>
      <c r="S133" s="2">
        <v>111</v>
      </c>
      <c r="T133" s="1">
        <v>0.05</v>
      </c>
      <c r="U133" s="2">
        <f t="shared" si="105"/>
        <v>105.44999999999999</v>
      </c>
      <c r="V133" s="2">
        <v>13.74</v>
      </c>
      <c r="W133" s="2">
        <v>22.900000000000002</v>
      </c>
      <c r="X133" s="3">
        <v>35</v>
      </c>
      <c r="Y133" s="1">
        <v>0.8</v>
      </c>
      <c r="Z133" s="3">
        <f t="shared" si="121"/>
        <v>28</v>
      </c>
      <c r="AA133" s="3">
        <f>IF(I133&lt;&gt;"",X133/INDEX('energy battery'!$B$3:$D$6,MATCH('vehicles specifications'!$D133,'energy battery'!$A$3:$A$6,0),MATCH('vehicles specifications'!$I133,'energy battery'!$B$2:$D$2,0)),"")</f>
        <v>87.5</v>
      </c>
      <c r="AB133" s="3">
        <f t="shared" si="115"/>
        <v>26.25</v>
      </c>
      <c r="AC133" s="3">
        <f t="shared" si="122"/>
        <v>113.75</v>
      </c>
      <c r="AD133" s="3">
        <v>0.25</v>
      </c>
      <c r="AE133" s="3">
        <v>0</v>
      </c>
      <c r="AF133">
        <f>AE133*'fuels and tailpipe emissions'!$B$3</f>
        <v>0</v>
      </c>
      <c r="AG133">
        <v>0</v>
      </c>
      <c r="AH133" s="3">
        <v>0</v>
      </c>
      <c r="AI133" s="3">
        <v>5</v>
      </c>
      <c r="AJ133" s="3">
        <v>1</v>
      </c>
      <c r="AK133">
        <f t="shared" si="129"/>
        <v>1.62</v>
      </c>
      <c r="AL133">
        <f t="shared" si="123"/>
        <v>1.8491057999999998E-4</v>
      </c>
      <c r="AM133">
        <v>1.2899999999999999E-3</v>
      </c>
      <c r="AN133" s="2">
        <f t="shared" si="124"/>
        <v>105.44999999999999</v>
      </c>
      <c r="AO133" s="2">
        <f t="shared" si="125"/>
        <v>36.64</v>
      </c>
      <c r="AP133" s="2">
        <f t="shared" si="126"/>
        <v>113.75</v>
      </c>
      <c r="AQ133" s="6" t="s">
        <v>84</v>
      </c>
      <c r="AR133" s="20"/>
      <c r="AS133" s="6">
        <v>0.27473182101357863</v>
      </c>
      <c r="AT133" s="2">
        <f t="shared" si="130"/>
        <v>366.90325724961417</v>
      </c>
      <c r="AU133" s="5">
        <v>0</v>
      </c>
      <c r="AV133" s="5">
        <v>0</v>
      </c>
      <c r="AW133" s="7">
        <v>0</v>
      </c>
      <c r="AX133" s="7">
        <v>0</v>
      </c>
      <c r="AY133" s="7">
        <v>0</v>
      </c>
      <c r="AZ133" s="7">
        <v>0</v>
      </c>
      <c r="BA133" s="7">
        <v>0</v>
      </c>
      <c r="BB133" s="7">
        <v>0</v>
      </c>
      <c r="BC133" s="7">
        <v>0</v>
      </c>
      <c r="BD133" s="7">
        <v>0</v>
      </c>
      <c r="BE133" s="7">
        <v>0</v>
      </c>
      <c r="BF133" s="7">
        <v>0</v>
      </c>
      <c r="BG133" s="7">
        <v>0</v>
      </c>
      <c r="BH133" s="7">
        <v>0</v>
      </c>
      <c r="BI133" s="7">
        <v>0</v>
      </c>
      <c r="BJ133" s="7">
        <v>0</v>
      </c>
      <c r="BK133" s="7">
        <v>0</v>
      </c>
      <c r="BL133" s="7">
        <v>0</v>
      </c>
      <c r="BM133" s="7">
        <v>0</v>
      </c>
      <c r="BN133" s="7">
        <v>0</v>
      </c>
      <c r="BO133" s="7">
        <v>0</v>
      </c>
      <c r="BP133" s="7">
        <v>0</v>
      </c>
      <c r="BQ133" s="7">
        <v>0</v>
      </c>
      <c r="BR133" s="7">
        <v>0</v>
      </c>
      <c r="BS133" s="7">
        <v>0</v>
      </c>
      <c r="BT133" s="7">
        <v>0</v>
      </c>
      <c r="BU133" s="7">
        <v>0</v>
      </c>
      <c r="BV133" s="7">
        <v>0</v>
      </c>
      <c r="BW133" s="7">
        <v>0</v>
      </c>
      <c r="BX133" s="7">
        <v>0</v>
      </c>
      <c r="BY133" s="7">
        <v>0</v>
      </c>
      <c r="BZ133" s="7">
        <v>0</v>
      </c>
      <c r="CA133" s="7">
        <v>0</v>
      </c>
      <c r="CB133" s="7">
        <v>0</v>
      </c>
      <c r="CC133" s="7">
        <v>0</v>
      </c>
      <c r="CD133" s="7">
        <v>0</v>
      </c>
      <c r="CE133" s="7">
        <v>0</v>
      </c>
      <c r="CF133" s="7">
        <v>0</v>
      </c>
      <c r="CG133" s="7">
        <v>0</v>
      </c>
      <c r="CH133" s="7">
        <v>0</v>
      </c>
      <c r="CI133" s="7">
        <v>0</v>
      </c>
      <c r="CJ133" s="7">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 t="shared" si="131"/>
        <v>6.7448750462924897E-6</v>
      </c>
      <c r="CW133" s="7">
        <f t="shared" si="132"/>
        <v>3.908028387730268E-6</v>
      </c>
    </row>
    <row r="134" spans="1:101" x14ac:dyDescent="0.2">
      <c r="A134" t="str">
        <f t="shared" si="117"/>
        <v>Motorbike, battery electric, &gt;35kW - 2050 - NMC - CH</v>
      </c>
      <c r="B134" t="s">
        <v>658</v>
      </c>
      <c r="D134" s="18">
        <v>2050</v>
      </c>
      <c r="E134" t="s">
        <v>37</v>
      </c>
      <c r="F134" t="s">
        <v>136</v>
      </c>
      <c r="G134" t="s">
        <v>39</v>
      </c>
      <c r="H134" t="s">
        <v>32</v>
      </c>
      <c r="I134" t="s">
        <v>42</v>
      </c>
      <c r="J134">
        <v>40500</v>
      </c>
      <c r="K134">
        <v>2896</v>
      </c>
      <c r="L134" s="2">
        <f t="shared" si="118"/>
        <v>13.984806629834255</v>
      </c>
      <c r="M134">
        <v>1.1000000000000001</v>
      </c>
      <c r="N134">
        <v>75</v>
      </c>
      <c r="O134">
        <v>6</v>
      </c>
      <c r="P134" s="2">
        <f t="shared" si="119"/>
        <v>255.57</v>
      </c>
      <c r="Q134" s="2">
        <f t="shared" si="120"/>
        <v>344.07</v>
      </c>
      <c r="R134">
        <v>49</v>
      </c>
      <c r="S134" s="2">
        <v>111</v>
      </c>
      <c r="T134" s="1">
        <v>7.0000000000000007E-2</v>
      </c>
      <c r="U134" s="2">
        <f t="shared" si="105"/>
        <v>103.22999999999999</v>
      </c>
      <c r="V134" s="2">
        <v>13.74</v>
      </c>
      <c r="W134" s="2">
        <v>22.900000000000002</v>
      </c>
      <c r="X134" s="3">
        <v>44.5</v>
      </c>
      <c r="Y134" s="1">
        <v>0.8</v>
      </c>
      <c r="Z134" s="3">
        <f t="shared" si="121"/>
        <v>35.6</v>
      </c>
      <c r="AA134" s="3">
        <f>IF(I134&lt;&gt;"",X134/INDEX('energy battery'!$B$3:$D$6,MATCH('vehicles specifications'!$D134,'energy battery'!$A$3:$A$6,0),MATCH('vehicles specifications'!$I134,'energy battery'!$B$2:$D$2,0)),"")</f>
        <v>89</v>
      </c>
      <c r="AB134" s="3">
        <f t="shared" si="115"/>
        <v>26.7</v>
      </c>
      <c r="AC134" s="3">
        <f t="shared" si="122"/>
        <v>115.7</v>
      </c>
      <c r="AD134" s="3">
        <v>0</v>
      </c>
      <c r="AE134" s="3">
        <v>0</v>
      </c>
      <c r="AF134">
        <f>AE134*'fuels and tailpipe emissions'!$B$3</f>
        <v>0</v>
      </c>
      <c r="AG134">
        <v>0</v>
      </c>
      <c r="AH134" s="3">
        <v>0</v>
      </c>
      <c r="AI134" s="3">
        <v>5</v>
      </c>
      <c r="AJ134" s="3">
        <v>1</v>
      </c>
      <c r="AK134">
        <f t="shared" si="129"/>
        <v>1.62</v>
      </c>
      <c r="AL134">
        <f t="shared" si="123"/>
        <v>1.8476559000000001E-4</v>
      </c>
      <c r="AM134">
        <v>1.2899999999999999E-3</v>
      </c>
      <c r="AN134" s="2">
        <f t="shared" si="124"/>
        <v>103.22999999999999</v>
      </c>
      <c r="AO134" s="2">
        <f t="shared" si="125"/>
        <v>36.64</v>
      </c>
      <c r="AP134" s="2">
        <f t="shared" si="126"/>
        <v>115.7</v>
      </c>
      <c r="AQ134" s="6" t="s">
        <v>84</v>
      </c>
      <c r="AR134" s="20"/>
      <c r="AS134" s="6">
        <v>0.27473182101357863</v>
      </c>
      <c r="AT134" s="2">
        <f t="shared" si="130"/>
        <v>466.49128421736663</v>
      </c>
      <c r="AU134" s="5">
        <v>0</v>
      </c>
      <c r="AV134" s="5">
        <v>0</v>
      </c>
      <c r="AW134" s="7">
        <v>0</v>
      </c>
      <c r="AX134" s="7">
        <v>0</v>
      </c>
      <c r="AY134" s="7">
        <v>0</v>
      </c>
      <c r="AZ134" s="7">
        <v>0</v>
      </c>
      <c r="BA134" s="7">
        <v>0</v>
      </c>
      <c r="BB134" s="7">
        <v>0</v>
      </c>
      <c r="BC134" s="7">
        <v>0</v>
      </c>
      <c r="BD134" s="7">
        <v>0</v>
      </c>
      <c r="BE134" s="7">
        <v>0</v>
      </c>
      <c r="BF134" s="7">
        <v>0</v>
      </c>
      <c r="BG134" s="7">
        <v>0</v>
      </c>
      <c r="BH134" s="7">
        <v>0</v>
      </c>
      <c r="BI134" s="7">
        <v>0</v>
      </c>
      <c r="BJ134" s="7">
        <v>0</v>
      </c>
      <c r="BK134" s="7">
        <v>0</v>
      </c>
      <c r="BL134" s="7">
        <v>0</v>
      </c>
      <c r="BM134" s="7">
        <v>0</v>
      </c>
      <c r="BN134" s="7">
        <v>0</v>
      </c>
      <c r="BO134" s="7">
        <v>0</v>
      </c>
      <c r="BP134" s="7">
        <v>0</v>
      </c>
      <c r="BQ134" s="7">
        <v>0</v>
      </c>
      <c r="BR134" s="7">
        <v>0</v>
      </c>
      <c r="BS134" s="7">
        <v>0</v>
      </c>
      <c r="BT134" s="7">
        <v>0</v>
      </c>
      <c r="BU134" s="7">
        <v>0</v>
      </c>
      <c r="BV134" s="7">
        <v>0</v>
      </c>
      <c r="BW134" s="7">
        <v>0</v>
      </c>
      <c r="BX134" s="7">
        <v>0</v>
      </c>
      <c r="BY134" s="7">
        <v>0</v>
      </c>
      <c r="BZ134" s="7">
        <v>0</v>
      </c>
      <c r="CA134" s="7">
        <v>0</v>
      </c>
      <c r="CB134" s="7">
        <v>0</v>
      </c>
      <c r="CC134" s="7">
        <v>0</v>
      </c>
      <c r="CD134" s="7">
        <v>0</v>
      </c>
      <c r="CE134" s="7">
        <v>0</v>
      </c>
      <c r="CF134" s="7">
        <v>0</v>
      </c>
      <c r="CG134" s="7">
        <v>0</v>
      </c>
      <c r="CH134" s="7">
        <v>0</v>
      </c>
      <c r="CI134" s="7">
        <v>0</v>
      </c>
      <c r="CJ134" s="7">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 t="shared" si="131"/>
        <v>6.7422715821401537E-6</v>
      </c>
      <c r="CW134" s="7">
        <f t="shared" si="132"/>
        <v>3.9061226299997144E-6</v>
      </c>
    </row>
    <row r="135" spans="1:101" x14ac:dyDescent="0.2">
      <c r="A135" t="str">
        <f t="shared" si="117"/>
        <v>Motorbike, battery electric, &lt;4kW - 2020 - LFP - CH</v>
      </c>
      <c r="B135" t="s">
        <v>655</v>
      </c>
      <c r="D135" s="18">
        <v>2020</v>
      </c>
      <c r="E135" t="s">
        <v>37</v>
      </c>
      <c r="F135" t="s">
        <v>136</v>
      </c>
      <c r="G135" t="s">
        <v>39</v>
      </c>
      <c r="H135" t="s">
        <v>32</v>
      </c>
      <c r="I135" t="s">
        <v>43</v>
      </c>
      <c r="J135">
        <v>25000</v>
      </c>
      <c r="K135">
        <v>1776</v>
      </c>
      <c r="L135" s="2">
        <f t="shared" si="118"/>
        <v>14.076576576576576</v>
      </c>
      <c r="M135">
        <v>1.1000000000000001</v>
      </c>
      <c r="N135">
        <v>75</v>
      </c>
      <c r="O135">
        <v>6</v>
      </c>
      <c r="P135" s="2">
        <f t="shared" si="119"/>
        <v>79.400000000000006</v>
      </c>
      <c r="Q135" s="2">
        <f t="shared" si="120"/>
        <v>167.9</v>
      </c>
      <c r="R135">
        <v>2.5</v>
      </c>
      <c r="S135" s="2">
        <v>53</v>
      </c>
      <c r="T135" s="1">
        <v>0</v>
      </c>
      <c r="U135" s="2">
        <f t="shared" si="105"/>
        <v>53</v>
      </c>
      <c r="V135" s="2">
        <v>4.5</v>
      </c>
      <c r="W135" s="2">
        <v>7.5</v>
      </c>
      <c r="X135" s="3">
        <v>1.8</v>
      </c>
      <c r="Y135" s="1">
        <v>0.8</v>
      </c>
      <c r="Z135" s="3">
        <f t="shared" si="121"/>
        <v>1.4400000000000002</v>
      </c>
      <c r="AA135" s="3">
        <f>IF(I135&lt;&gt;"",X135/INDEX('energy battery'!$B$3:$D$6,MATCH('vehicles specifications'!$D135,'energy battery'!$A$3:$A$6,0),MATCH('vehicles specifications'!$I135,'energy battery'!$B$2:$D$2,0)),"")</f>
        <v>12</v>
      </c>
      <c r="AB135" s="3">
        <f>IF(AA135&lt;&gt;"",0.2*AA135,"")</f>
        <v>2.4000000000000004</v>
      </c>
      <c r="AC135" s="3">
        <f t="shared" si="122"/>
        <v>14.4</v>
      </c>
      <c r="AD135" s="3">
        <v>1</v>
      </c>
      <c r="AE135" s="3">
        <v>0</v>
      </c>
      <c r="AF135">
        <f>AE135*'fuels and tailpipe emissions'!$B$3</f>
        <v>0</v>
      </c>
      <c r="AG135">
        <v>0</v>
      </c>
      <c r="AH135" s="3">
        <v>0</v>
      </c>
      <c r="AI135" s="3">
        <v>3</v>
      </c>
      <c r="AJ135" s="3">
        <v>1</v>
      </c>
      <c r="AK135">
        <f t="shared" si="129"/>
        <v>1</v>
      </c>
      <c r="AL135">
        <f t="shared" si="123"/>
        <v>9.0162300000000002E-5</v>
      </c>
      <c r="AM135">
        <v>1.2899999999999999E-3</v>
      </c>
      <c r="AN135" s="2">
        <f t="shared" si="124"/>
        <v>53</v>
      </c>
      <c r="AO135" s="2">
        <f t="shared" si="125"/>
        <v>12</v>
      </c>
      <c r="AP135" s="2">
        <f t="shared" si="126"/>
        <v>14.4</v>
      </c>
      <c r="AQ135" s="6" t="s">
        <v>84</v>
      </c>
      <c r="AR135" s="20"/>
      <c r="AS135" s="6">
        <v>0.121</v>
      </c>
      <c r="AT135" s="2">
        <f t="shared" si="130"/>
        <v>42.842975206611577</v>
      </c>
      <c r="AU135" s="5">
        <v>0</v>
      </c>
      <c r="AV135" s="5">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7">
        <v>0</v>
      </c>
      <c r="BM135" s="7">
        <v>0</v>
      </c>
      <c r="BN135" s="7">
        <v>0</v>
      </c>
      <c r="BO135" s="7">
        <v>0</v>
      </c>
      <c r="BP135" s="7">
        <v>0</v>
      </c>
      <c r="BQ135" s="7">
        <v>0</v>
      </c>
      <c r="BR135" s="7">
        <v>0</v>
      </c>
      <c r="BS135" s="7">
        <v>0</v>
      </c>
      <c r="BT135" s="7">
        <v>0</v>
      </c>
      <c r="BU135" s="7">
        <v>0</v>
      </c>
      <c r="BV135" s="7">
        <v>0</v>
      </c>
      <c r="BW135" s="7">
        <v>0</v>
      </c>
      <c r="BX135" s="7">
        <v>0</v>
      </c>
      <c r="BY135" s="7">
        <v>0</v>
      </c>
      <c r="BZ135" s="7">
        <v>0</v>
      </c>
      <c r="CA135" s="7">
        <v>0</v>
      </c>
      <c r="CB135" s="7">
        <v>0</v>
      </c>
      <c r="CC135" s="7">
        <v>0</v>
      </c>
      <c r="CD135" s="7">
        <v>0</v>
      </c>
      <c r="CE135" s="7">
        <v>0</v>
      </c>
      <c r="CF135" s="7">
        <v>0</v>
      </c>
      <c r="CG135" s="7">
        <v>0</v>
      </c>
      <c r="CH135" s="7">
        <v>0</v>
      </c>
      <c r="CI135" s="7">
        <v>0</v>
      </c>
      <c r="CJ135" s="7">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 t="shared" si="131"/>
        <v>4.5999999215160904E-6</v>
      </c>
      <c r="CW135" s="7">
        <f t="shared" si="132"/>
        <v>2.448671746258615E-6</v>
      </c>
    </row>
    <row r="136" spans="1:101" x14ac:dyDescent="0.2">
      <c r="A136" t="str">
        <f t="shared" si="117"/>
        <v>Motorbike, battery electric, &lt;4kW - 2030 - LFP - CH</v>
      </c>
      <c r="B136" t="s">
        <v>655</v>
      </c>
      <c r="D136" s="18">
        <v>2030</v>
      </c>
      <c r="E136" t="s">
        <v>37</v>
      </c>
      <c r="F136" t="s">
        <v>136</v>
      </c>
      <c r="G136" t="s">
        <v>39</v>
      </c>
      <c r="H136" t="s">
        <v>32</v>
      </c>
      <c r="I136" t="s">
        <v>43</v>
      </c>
      <c r="J136">
        <v>25000</v>
      </c>
      <c r="K136">
        <v>1776</v>
      </c>
      <c r="L136" s="2">
        <f t="shared" si="118"/>
        <v>14.076576576576576</v>
      </c>
      <c r="M136">
        <v>1.1000000000000001</v>
      </c>
      <c r="N136">
        <v>75</v>
      </c>
      <c r="O136">
        <v>6</v>
      </c>
      <c r="P136" s="2">
        <f t="shared" si="119"/>
        <v>84.743333333333339</v>
      </c>
      <c r="Q136" s="2">
        <f t="shared" si="120"/>
        <v>173.24333333333334</v>
      </c>
      <c r="R136">
        <v>2.5</v>
      </c>
      <c r="S136" s="2">
        <v>53</v>
      </c>
      <c r="T136" s="1">
        <v>0.03</v>
      </c>
      <c r="U136" s="2">
        <f t="shared" si="105"/>
        <v>51.41</v>
      </c>
      <c r="V136" s="2">
        <v>4.5</v>
      </c>
      <c r="W136" s="2">
        <v>7.5</v>
      </c>
      <c r="X136" s="3">
        <v>3.2</v>
      </c>
      <c r="Y136" s="1">
        <v>0.8</v>
      </c>
      <c r="Z136" s="3">
        <f t="shared" si="121"/>
        <v>2.5600000000000005</v>
      </c>
      <c r="AA136" s="3">
        <f>IF(I136&lt;&gt;"",X136/INDEX('energy battery'!$B$3:$D$6,MATCH('vehicles specifications'!$D136,'energy battery'!$A$3:$A$6,0),MATCH('vehicles specifications'!$I136,'energy battery'!$B$2:$D$2,0)),"")</f>
        <v>17.777777777777779</v>
      </c>
      <c r="AB136" s="3">
        <f t="shared" ref="AB136:AB138" si="133">IF(AA136&lt;&gt;"",0.2*AA136,"")</f>
        <v>3.5555555555555558</v>
      </c>
      <c r="AC136" s="3">
        <f t="shared" si="122"/>
        <v>21.333333333333336</v>
      </c>
      <c r="AD136" s="3">
        <v>0.5</v>
      </c>
      <c r="AE136" s="3">
        <v>0</v>
      </c>
      <c r="AF136">
        <f>AE136*'fuels and tailpipe emissions'!$B$3</f>
        <v>0</v>
      </c>
      <c r="AG136">
        <v>0</v>
      </c>
      <c r="AH136" s="3">
        <v>0</v>
      </c>
      <c r="AI136" s="3">
        <v>3</v>
      </c>
      <c r="AJ136" s="3">
        <v>1</v>
      </c>
      <c r="AK136">
        <f t="shared" si="129"/>
        <v>1</v>
      </c>
      <c r="AL136">
        <f t="shared" si="123"/>
        <v>9.3031670000000004E-5</v>
      </c>
      <c r="AM136">
        <v>1.2899999999999999E-3</v>
      </c>
      <c r="AN136" s="2">
        <f t="shared" si="124"/>
        <v>51.41</v>
      </c>
      <c r="AO136" s="2">
        <f t="shared" si="125"/>
        <v>12</v>
      </c>
      <c r="AP136" s="2">
        <f t="shared" si="126"/>
        <v>21.333333333333336</v>
      </c>
      <c r="AQ136" s="6" t="s">
        <v>84</v>
      </c>
      <c r="AR136" s="20"/>
      <c r="AS136" s="6">
        <v>0.121</v>
      </c>
      <c r="AT136" s="2">
        <f t="shared" si="130"/>
        <v>76.165289256198363</v>
      </c>
      <c r="AU136" s="5">
        <v>0</v>
      </c>
      <c r="AV136" s="5">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7">
        <v>0</v>
      </c>
      <c r="BM136" s="7">
        <v>0</v>
      </c>
      <c r="BN136" s="7">
        <v>0</v>
      </c>
      <c r="BO136" s="7">
        <v>0</v>
      </c>
      <c r="BP136" s="7">
        <v>0</v>
      </c>
      <c r="BQ136" s="7">
        <v>0</v>
      </c>
      <c r="BR136" s="7">
        <v>0</v>
      </c>
      <c r="BS136" s="7">
        <v>0</v>
      </c>
      <c r="BT136" s="7">
        <v>0</v>
      </c>
      <c r="BU136" s="7">
        <v>0</v>
      </c>
      <c r="BV136" s="7">
        <v>0</v>
      </c>
      <c r="BW136" s="7">
        <v>0</v>
      </c>
      <c r="BX136" s="7">
        <v>0</v>
      </c>
      <c r="BY136" s="7">
        <v>0</v>
      </c>
      <c r="BZ136" s="7">
        <v>0</v>
      </c>
      <c r="CA136" s="7">
        <v>0</v>
      </c>
      <c r="CB136" s="7">
        <v>0</v>
      </c>
      <c r="CC136" s="7">
        <v>0</v>
      </c>
      <c r="CD136" s="7">
        <v>0</v>
      </c>
      <c r="CE136" s="7">
        <v>0</v>
      </c>
      <c r="CF136" s="7">
        <v>0</v>
      </c>
      <c r="CG136" s="7">
        <v>0</v>
      </c>
      <c r="CH136" s="7">
        <v>0</v>
      </c>
      <c r="CI136" s="7">
        <v>0</v>
      </c>
      <c r="CJ136" s="7">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 t="shared" si="131"/>
        <v>4.686296851333388E-6</v>
      </c>
      <c r="CW136" s="7">
        <f t="shared" si="132"/>
        <v>2.5024215495221934E-6</v>
      </c>
    </row>
    <row r="137" spans="1:101" x14ac:dyDescent="0.2">
      <c r="A137" t="str">
        <f t="shared" si="117"/>
        <v>Motorbike, battery electric, &lt;4kW - 2040 - LFP - CH</v>
      </c>
      <c r="B137" t="s">
        <v>655</v>
      </c>
      <c r="D137" s="18">
        <v>2040</v>
      </c>
      <c r="E137" t="s">
        <v>37</v>
      </c>
      <c r="F137" t="s">
        <v>136</v>
      </c>
      <c r="G137" t="s">
        <v>39</v>
      </c>
      <c r="H137" t="s">
        <v>32</v>
      </c>
      <c r="I137" t="s">
        <v>43</v>
      </c>
      <c r="J137">
        <v>25000</v>
      </c>
      <c r="K137">
        <v>1776</v>
      </c>
      <c r="L137" s="2">
        <f t="shared" si="118"/>
        <v>14.076576576576576</v>
      </c>
      <c r="M137">
        <v>1.1000000000000001</v>
      </c>
      <c r="N137">
        <v>75</v>
      </c>
      <c r="O137">
        <v>6</v>
      </c>
      <c r="P137" s="2">
        <f t="shared" si="119"/>
        <v>92.35</v>
      </c>
      <c r="Q137" s="2">
        <f t="shared" si="120"/>
        <v>180.85</v>
      </c>
      <c r="R137">
        <v>2.5</v>
      </c>
      <c r="S137" s="2">
        <v>53</v>
      </c>
      <c r="T137" s="1">
        <v>0.05</v>
      </c>
      <c r="U137" s="2">
        <f t="shared" si="105"/>
        <v>50.349999999999994</v>
      </c>
      <c r="V137" s="2">
        <v>4.5</v>
      </c>
      <c r="W137" s="2">
        <v>7.5</v>
      </c>
      <c r="X137" s="3">
        <v>4.5</v>
      </c>
      <c r="Y137" s="1">
        <v>0.8</v>
      </c>
      <c r="Z137" s="3">
        <f t="shared" si="121"/>
        <v>3.6</v>
      </c>
      <c r="AA137" s="3">
        <f>IF(I137&lt;&gt;"",X137/INDEX('energy battery'!$B$3:$D$6,MATCH('vehicles specifications'!$D137,'energy battery'!$A$3:$A$6,0),MATCH('vehicles specifications'!$I137,'energy battery'!$B$2:$D$2,0)),"")</f>
        <v>25</v>
      </c>
      <c r="AB137" s="3">
        <f t="shared" si="133"/>
        <v>5</v>
      </c>
      <c r="AC137" s="3">
        <f t="shared" si="122"/>
        <v>30</v>
      </c>
      <c r="AD137" s="3">
        <v>0.25</v>
      </c>
      <c r="AE137" s="3">
        <v>0</v>
      </c>
      <c r="AF137">
        <f>AE137*'fuels and tailpipe emissions'!$B$3</f>
        <v>0</v>
      </c>
      <c r="AG137">
        <v>0</v>
      </c>
      <c r="AH137" s="3">
        <v>0</v>
      </c>
      <c r="AI137" s="3">
        <v>3</v>
      </c>
      <c r="AJ137" s="3">
        <v>1</v>
      </c>
      <c r="AK137">
        <f t="shared" si="129"/>
        <v>1</v>
      </c>
      <c r="AL137">
        <f t="shared" si="123"/>
        <v>9.7116450000000001E-5</v>
      </c>
      <c r="AM137">
        <v>1.2899999999999999E-3</v>
      </c>
      <c r="AN137" s="2">
        <f t="shared" si="124"/>
        <v>50.349999999999994</v>
      </c>
      <c r="AO137" s="2">
        <f t="shared" si="125"/>
        <v>12</v>
      </c>
      <c r="AP137" s="2">
        <f t="shared" si="126"/>
        <v>30</v>
      </c>
      <c r="AQ137" s="6" t="s">
        <v>84</v>
      </c>
      <c r="AR137" s="20"/>
      <c r="AS137" s="6">
        <v>0.121</v>
      </c>
      <c r="AT137" s="2">
        <f t="shared" si="130"/>
        <v>107.10743801652892</v>
      </c>
      <c r="AU137" s="5">
        <v>0</v>
      </c>
      <c r="AV137" s="5">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7">
        <v>0</v>
      </c>
      <c r="BM137" s="7">
        <v>0</v>
      </c>
      <c r="BN137" s="7">
        <v>0</v>
      </c>
      <c r="BO137" s="7">
        <v>0</v>
      </c>
      <c r="BP137" s="7">
        <v>0</v>
      </c>
      <c r="BQ137" s="7">
        <v>0</v>
      </c>
      <c r="BR137" s="7">
        <v>0</v>
      </c>
      <c r="BS137" s="7">
        <v>0</v>
      </c>
      <c r="BT137" s="7">
        <v>0</v>
      </c>
      <c r="BU137" s="7">
        <v>0</v>
      </c>
      <c r="BV137" s="7">
        <v>0</v>
      </c>
      <c r="BW137" s="7">
        <v>0</v>
      </c>
      <c r="BX137" s="7">
        <v>0</v>
      </c>
      <c r="BY137" s="7">
        <v>0</v>
      </c>
      <c r="BZ137" s="7">
        <v>0</v>
      </c>
      <c r="CA137" s="7">
        <v>0</v>
      </c>
      <c r="CB137" s="7">
        <v>0</v>
      </c>
      <c r="CC137" s="7">
        <v>0</v>
      </c>
      <c r="CD137" s="7">
        <v>0</v>
      </c>
      <c r="CE137" s="7">
        <v>0</v>
      </c>
      <c r="CF137" s="7">
        <v>0</v>
      </c>
      <c r="CG137" s="7">
        <v>0</v>
      </c>
      <c r="CH137" s="7">
        <v>0</v>
      </c>
      <c r="CI137" s="7">
        <v>0</v>
      </c>
      <c r="CJ137" s="7">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 t="shared" si="131"/>
        <v>4.8052573201008543E-6</v>
      </c>
      <c r="CW137" s="7">
        <f t="shared" si="132"/>
        <v>2.5773238231468531E-6</v>
      </c>
    </row>
    <row r="138" spans="1:101" x14ac:dyDescent="0.2">
      <c r="A138" t="str">
        <f t="shared" si="117"/>
        <v>Motorbike, battery electric, &lt;4kW - 2050 - LFP - CH</v>
      </c>
      <c r="B138" t="s">
        <v>655</v>
      </c>
      <c r="D138" s="18">
        <v>2050</v>
      </c>
      <c r="E138" t="s">
        <v>37</v>
      </c>
      <c r="F138" t="s">
        <v>136</v>
      </c>
      <c r="G138" t="s">
        <v>39</v>
      </c>
      <c r="H138" t="s">
        <v>32</v>
      </c>
      <c r="I138" t="s">
        <v>43</v>
      </c>
      <c r="J138">
        <v>25000</v>
      </c>
      <c r="K138">
        <v>1776</v>
      </c>
      <c r="L138" s="2">
        <f t="shared" si="118"/>
        <v>14.076576576576576</v>
      </c>
      <c r="M138">
        <v>1.1000000000000001</v>
      </c>
      <c r="N138">
        <v>75</v>
      </c>
      <c r="O138">
        <v>6</v>
      </c>
      <c r="P138" s="2">
        <f t="shared" si="119"/>
        <v>97.289999999999992</v>
      </c>
      <c r="Q138" s="2">
        <f t="shared" si="120"/>
        <v>185.79</v>
      </c>
      <c r="R138">
        <v>2.5</v>
      </c>
      <c r="S138" s="2">
        <v>53</v>
      </c>
      <c r="T138" s="1">
        <v>7.0000000000000007E-2</v>
      </c>
      <c r="U138" s="2">
        <f t="shared" si="105"/>
        <v>49.29</v>
      </c>
      <c r="V138" s="2">
        <v>4.5</v>
      </c>
      <c r="W138" s="2">
        <v>7.5</v>
      </c>
      <c r="X138" s="3">
        <v>6</v>
      </c>
      <c r="Y138" s="1">
        <v>0.8</v>
      </c>
      <c r="Z138" s="3">
        <f t="shared" si="121"/>
        <v>4.8000000000000007</v>
      </c>
      <c r="AA138" s="3">
        <f>IF(I138&lt;&gt;"",X138/INDEX('energy battery'!$B$3:$D$6,MATCH('vehicles specifications'!$D138,'energy battery'!$A$3:$A$6,0),MATCH('vehicles specifications'!$I138,'energy battery'!$B$2:$D$2,0)),"")</f>
        <v>30</v>
      </c>
      <c r="AB138" s="3">
        <f t="shared" si="133"/>
        <v>6</v>
      </c>
      <c r="AC138" s="3">
        <f t="shared" si="122"/>
        <v>36</v>
      </c>
      <c r="AD138" s="3">
        <v>0</v>
      </c>
      <c r="AE138" s="3">
        <v>0</v>
      </c>
      <c r="AF138">
        <f>AE138*'fuels and tailpipe emissions'!$B$3</f>
        <v>0</v>
      </c>
      <c r="AG138">
        <v>0</v>
      </c>
      <c r="AH138" s="3">
        <v>0</v>
      </c>
      <c r="AI138" s="3">
        <v>3</v>
      </c>
      <c r="AJ138" s="3">
        <v>1</v>
      </c>
      <c r="AK138">
        <f t="shared" si="129"/>
        <v>1</v>
      </c>
      <c r="AL138">
        <f t="shared" si="123"/>
        <v>9.9769230000000002E-5</v>
      </c>
      <c r="AM138">
        <v>1.2899999999999999E-3</v>
      </c>
      <c r="AN138" s="2">
        <f t="shared" si="124"/>
        <v>49.29</v>
      </c>
      <c r="AO138" s="2">
        <f t="shared" si="125"/>
        <v>12</v>
      </c>
      <c r="AP138" s="2">
        <f t="shared" si="126"/>
        <v>36</v>
      </c>
      <c r="AQ138" s="6" t="s">
        <v>84</v>
      </c>
      <c r="AR138" s="20"/>
      <c r="AS138" s="6">
        <v>0.121</v>
      </c>
      <c r="AT138" s="2">
        <f t="shared" si="130"/>
        <v>142.80991735537191</v>
      </c>
      <c r="AU138" s="5">
        <v>0</v>
      </c>
      <c r="AV138" s="5">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7">
        <v>0</v>
      </c>
      <c r="BM138" s="7">
        <v>0</v>
      </c>
      <c r="BN138" s="7">
        <v>0</v>
      </c>
      <c r="BO138" s="7">
        <v>0</v>
      </c>
      <c r="BP138" s="7">
        <v>0</v>
      </c>
      <c r="BQ138" s="7">
        <v>0</v>
      </c>
      <c r="BR138" s="7">
        <v>0</v>
      </c>
      <c r="BS138" s="7">
        <v>0</v>
      </c>
      <c r="BT138" s="7">
        <v>0</v>
      </c>
      <c r="BU138" s="7">
        <v>0</v>
      </c>
      <c r="BV138" s="7">
        <v>0</v>
      </c>
      <c r="BW138" s="7">
        <v>0</v>
      </c>
      <c r="BX138" s="7">
        <v>0</v>
      </c>
      <c r="BY138" s="7">
        <v>0</v>
      </c>
      <c r="BZ138" s="7">
        <v>0</v>
      </c>
      <c r="CA138" s="7">
        <v>0</v>
      </c>
      <c r="CB138" s="7">
        <v>0</v>
      </c>
      <c r="CC138" s="7">
        <v>0</v>
      </c>
      <c r="CD138" s="7">
        <v>0</v>
      </c>
      <c r="CE138" s="7">
        <v>0</v>
      </c>
      <c r="CF138" s="7">
        <v>0</v>
      </c>
      <c r="CG138" s="7">
        <v>0</v>
      </c>
      <c r="CH138" s="7">
        <v>0</v>
      </c>
      <c r="CI138" s="7">
        <v>0</v>
      </c>
      <c r="CJ138" s="7">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 t="shared" si="131"/>
        <v>4.8802737401109593E-6</v>
      </c>
      <c r="CW138" s="7">
        <f t="shared" si="132"/>
        <v>2.6250234133342519E-6</v>
      </c>
    </row>
    <row r="139" spans="1:101" x14ac:dyDescent="0.2">
      <c r="A139" t="str">
        <f t="shared" si="117"/>
        <v>Motorbike, battery electric, 4-11kW - 2020 - LFP - CH</v>
      </c>
      <c r="B139" t="s">
        <v>656</v>
      </c>
      <c r="D139" s="18">
        <v>2020</v>
      </c>
      <c r="E139" t="s">
        <v>37</v>
      </c>
      <c r="F139" t="s">
        <v>136</v>
      </c>
      <c r="G139" t="s">
        <v>39</v>
      </c>
      <c r="H139" t="s">
        <v>32</v>
      </c>
      <c r="I139" t="s">
        <v>43</v>
      </c>
      <c r="J139">
        <v>25000</v>
      </c>
      <c r="K139">
        <v>1776</v>
      </c>
      <c r="L139" s="2">
        <f t="shared" si="118"/>
        <v>14.076576576576576</v>
      </c>
      <c r="M139">
        <v>1.1000000000000001</v>
      </c>
      <c r="N139">
        <v>75</v>
      </c>
      <c r="O139">
        <v>6</v>
      </c>
      <c r="P139" s="2">
        <f t="shared" si="119"/>
        <v>121.35074044049274</v>
      </c>
      <c r="Q139" s="2">
        <f t="shared" si="120"/>
        <v>209.85074044049276</v>
      </c>
      <c r="R139">
        <v>4.7</v>
      </c>
      <c r="S139" s="2">
        <v>65.433826960328489</v>
      </c>
      <c r="T139" s="1">
        <v>0</v>
      </c>
      <c r="U139" s="2">
        <f t="shared" si="105"/>
        <v>65.433826960328489</v>
      </c>
      <c r="V139" s="2">
        <f t="shared" ref="V139:V142" si="134">S139*0.2</f>
        <v>13.086765392065699</v>
      </c>
      <c r="W139" s="2">
        <f t="shared" ref="W139:W142" si="135">U139*0.3</f>
        <v>19.630148088098547</v>
      </c>
      <c r="X139" s="3">
        <v>2.9</v>
      </c>
      <c r="Y139" s="1">
        <v>0.8</v>
      </c>
      <c r="Z139" s="3">
        <f t="shared" si="121"/>
        <v>2.3199999999999998</v>
      </c>
      <c r="AA139" s="3">
        <f>IF(I139&lt;&gt;"",X139/INDEX('energy battery'!$B$3:$D$6,MATCH('vehicles specifications'!$D139,'energy battery'!$A$3:$A$6,0),MATCH('vehicles specifications'!$I139,'energy battery'!$B$2:$D$2,0)),"")</f>
        <v>19.333333333333332</v>
      </c>
      <c r="AB139" s="3">
        <f>IF(AA139&lt;&gt;"",0.2*AA139,"")</f>
        <v>3.8666666666666667</v>
      </c>
      <c r="AC139" s="3">
        <f t="shared" si="122"/>
        <v>23.2</v>
      </c>
      <c r="AD139" s="3">
        <v>1</v>
      </c>
      <c r="AE139" s="3">
        <v>0</v>
      </c>
      <c r="AF139">
        <f>AE139*'fuels and tailpipe emissions'!$B$3</f>
        <v>0</v>
      </c>
      <c r="AG139">
        <v>0</v>
      </c>
      <c r="AH139" s="3">
        <v>0</v>
      </c>
      <c r="AI139" s="3">
        <v>3</v>
      </c>
      <c r="AJ139" s="3">
        <v>1</v>
      </c>
      <c r="AK139">
        <f t="shared" si="129"/>
        <v>1</v>
      </c>
      <c r="AL139">
        <f t="shared" si="123"/>
        <v>1.1268984761654461E-4</v>
      </c>
      <c r="AM139">
        <v>1.2899999999999999E-3</v>
      </c>
      <c r="AN139" s="2">
        <f t="shared" si="124"/>
        <v>65.433826960328489</v>
      </c>
      <c r="AO139" s="2">
        <f t="shared" si="125"/>
        <v>32.716913480164244</v>
      </c>
      <c r="AP139" s="2">
        <f t="shared" si="126"/>
        <v>23.2</v>
      </c>
      <c r="AQ139" s="6" t="s">
        <v>84</v>
      </c>
      <c r="AR139" s="20"/>
      <c r="AS139" s="6">
        <v>0.182</v>
      </c>
      <c r="AT139" s="2">
        <f t="shared" si="130"/>
        <v>45.890109890109891</v>
      </c>
      <c r="AU139" s="5">
        <v>0</v>
      </c>
      <c r="AV139" s="5">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7">
        <v>0</v>
      </c>
      <c r="BM139" s="7">
        <v>0</v>
      </c>
      <c r="BN139" s="7">
        <v>0</v>
      </c>
      <c r="BO139" s="7">
        <v>0</v>
      </c>
      <c r="BP139" s="7">
        <v>0</v>
      </c>
      <c r="BQ139" s="7">
        <v>0</v>
      </c>
      <c r="BR139" s="7">
        <v>0</v>
      </c>
      <c r="BS139" s="7">
        <v>0</v>
      </c>
      <c r="BT139" s="7">
        <v>0</v>
      </c>
      <c r="BU139" s="7">
        <v>0</v>
      </c>
      <c r="BV139" s="7">
        <v>0</v>
      </c>
      <c r="BW139" s="7">
        <v>0</v>
      </c>
      <c r="BX139" s="7">
        <v>0</v>
      </c>
      <c r="BY139" s="7">
        <v>0</v>
      </c>
      <c r="BZ139" s="7">
        <v>0</v>
      </c>
      <c r="CA139" s="7">
        <v>0</v>
      </c>
      <c r="CB139" s="7">
        <v>0</v>
      </c>
      <c r="CC139" s="7">
        <v>0</v>
      </c>
      <c r="CD139" s="7">
        <v>0</v>
      </c>
      <c r="CE139" s="7">
        <v>0</v>
      </c>
      <c r="CF139" s="7">
        <v>0</v>
      </c>
      <c r="CG139" s="7">
        <v>0</v>
      </c>
      <c r="CH139" s="7">
        <v>0</v>
      </c>
      <c r="CI139" s="7">
        <v>0</v>
      </c>
      <c r="CJ139" s="7">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 t="shared" si="131"/>
        <v>5.2241561208311976E-6</v>
      </c>
      <c r="CW139" s="7">
        <f t="shared" si="132"/>
        <v>2.8480467474369508E-6</v>
      </c>
    </row>
    <row r="140" spans="1:101" x14ac:dyDescent="0.2">
      <c r="A140" t="str">
        <f t="shared" si="117"/>
        <v>Motorbike, battery electric, 4-11kW - 2030 - LFP - CH</v>
      </c>
      <c r="B140" t="s">
        <v>656</v>
      </c>
      <c r="D140" s="18">
        <v>2030</v>
      </c>
      <c r="E140" t="s">
        <v>37</v>
      </c>
      <c r="F140" t="s">
        <v>136</v>
      </c>
      <c r="G140" t="s">
        <v>39</v>
      </c>
      <c r="H140" t="s">
        <v>32</v>
      </c>
      <c r="I140" t="s">
        <v>43</v>
      </c>
      <c r="J140">
        <v>25000</v>
      </c>
      <c r="K140">
        <v>1776</v>
      </c>
      <c r="L140" s="2">
        <f t="shared" si="118"/>
        <v>14.076576576576576</v>
      </c>
      <c r="M140">
        <v>1.1000000000000001</v>
      </c>
      <c r="N140">
        <v>75</v>
      </c>
      <c r="O140">
        <v>6</v>
      </c>
      <c r="P140" s="2">
        <f t="shared" si="119"/>
        <v>128.93215452237325</v>
      </c>
      <c r="Q140" s="2">
        <f t="shared" si="120"/>
        <v>217.43215452237325</v>
      </c>
      <c r="R140">
        <v>4.7</v>
      </c>
      <c r="S140" s="2">
        <v>65.433826960328489</v>
      </c>
      <c r="T140" s="1">
        <v>0.03</v>
      </c>
      <c r="U140" s="2">
        <f t="shared" si="105"/>
        <v>63.470812151518629</v>
      </c>
      <c r="V140" s="2">
        <f t="shared" si="134"/>
        <v>13.086765392065699</v>
      </c>
      <c r="W140" s="2">
        <f t="shared" si="135"/>
        <v>19.041243645455587</v>
      </c>
      <c r="X140" s="3">
        <v>5</v>
      </c>
      <c r="Y140" s="1">
        <v>0.8</v>
      </c>
      <c r="Z140" s="3">
        <f t="shared" si="121"/>
        <v>4</v>
      </c>
      <c r="AA140" s="3">
        <f>IF(I140&lt;&gt;"",X140/INDEX('energy battery'!$B$3:$D$6,MATCH('vehicles specifications'!$D140,'energy battery'!$A$3:$A$6,0),MATCH('vehicles specifications'!$I140,'energy battery'!$B$2:$D$2,0)),"")</f>
        <v>27.777777777777779</v>
      </c>
      <c r="AB140" s="3">
        <f t="shared" ref="AB140:AB142" si="136">IF(AA140&lt;&gt;"",0.2*AA140,"")</f>
        <v>5.5555555555555562</v>
      </c>
      <c r="AC140" s="3">
        <f t="shared" si="122"/>
        <v>33.333333333333336</v>
      </c>
      <c r="AD140" s="3">
        <v>0.5</v>
      </c>
      <c r="AE140" s="3">
        <v>0</v>
      </c>
      <c r="AF140">
        <f>AE140*'fuels and tailpipe emissions'!$B$3</f>
        <v>0</v>
      </c>
      <c r="AG140">
        <v>0</v>
      </c>
      <c r="AH140" s="3">
        <v>0</v>
      </c>
      <c r="AI140" s="3">
        <v>3</v>
      </c>
      <c r="AJ140" s="3">
        <v>1</v>
      </c>
      <c r="AK140">
        <f t="shared" si="129"/>
        <v>1</v>
      </c>
      <c r="AL140">
        <f t="shared" si="123"/>
        <v>1.1676106697851444E-4</v>
      </c>
      <c r="AM140">
        <v>1.2899999999999999E-3</v>
      </c>
      <c r="AN140" s="2">
        <f t="shared" si="124"/>
        <v>63.470812151518629</v>
      </c>
      <c r="AO140" s="2">
        <f t="shared" si="125"/>
        <v>32.128009037521288</v>
      </c>
      <c r="AP140" s="2">
        <f t="shared" si="126"/>
        <v>33.333333333333336</v>
      </c>
      <c r="AQ140" s="6" t="s">
        <v>84</v>
      </c>
      <c r="AR140" s="20"/>
      <c r="AS140" s="6">
        <v>0.182</v>
      </c>
      <c r="AT140" s="2">
        <f t="shared" si="130"/>
        <v>79.120879120879124</v>
      </c>
      <c r="AU140" s="5">
        <v>0</v>
      </c>
      <c r="AV140" s="5">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7">
        <v>0</v>
      </c>
      <c r="BM140" s="7">
        <v>0</v>
      </c>
      <c r="BN140" s="7">
        <v>0</v>
      </c>
      <c r="BO140" s="7">
        <v>0</v>
      </c>
      <c r="BP140" s="7">
        <v>0</v>
      </c>
      <c r="BQ140" s="7">
        <v>0</v>
      </c>
      <c r="BR140" s="7">
        <v>0</v>
      </c>
      <c r="BS140" s="7">
        <v>0</v>
      </c>
      <c r="BT140" s="7">
        <v>0</v>
      </c>
      <c r="BU140" s="7">
        <v>0</v>
      </c>
      <c r="BV140" s="7">
        <v>0</v>
      </c>
      <c r="BW140" s="7">
        <v>0</v>
      </c>
      <c r="BX140" s="7">
        <v>0</v>
      </c>
      <c r="BY140" s="7">
        <v>0</v>
      </c>
      <c r="BZ140" s="7">
        <v>0</v>
      </c>
      <c r="CA140" s="7">
        <v>0</v>
      </c>
      <c r="CB140" s="7">
        <v>0</v>
      </c>
      <c r="CC140" s="7">
        <v>0</v>
      </c>
      <c r="CD140" s="7">
        <v>0</v>
      </c>
      <c r="CE140" s="7">
        <v>0</v>
      </c>
      <c r="CF140" s="7">
        <v>0</v>
      </c>
      <c r="CG140" s="7">
        <v>0</v>
      </c>
      <c r="CH140" s="7">
        <v>0</v>
      </c>
      <c r="CI140" s="7">
        <v>0</v>
      </c>
      <c r="CJ140" s="7">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 t="shared" si="131"/>
        <v>5.3261278910703132E-6</v>
      </c>
      <c r="CW140" s="7">
        <f t="shared" si="132"/>
        <v>2.915490592292193E-6</v>
      </c>
    </row>
    <row r="141" spans="1:101" x14ac:dyDescent="0.2">
      <c r="A141" t="str">
        <f t="shared" si="117"/>
        <v>Motorbike, battery electric, 4-11kW - 2040 - LFP - CH</v>
      </c>
      <c r="B141" t="s">
        <v>656</v>
      </c>
      <c r="D141" s="18">
        <v>2040</v>
      </c>
      <c r="E141" t="s">
        <v>37</v>
      </c>
      <c r="F141" t="s">
        <v>136</v>
      </c>
      <c r="G141" t="s">
        <v>39</v>
      </c>
      <c r="H141" t="s">
        <v>32</v>
      </c>
      <c r="I141" t="s">
        <v>43</v>
      </c>
      <c r="J141">
        <v>25000</v>
      </c>
      <c r="K141">
        <v>1776</v>
      </c>
      <c r="L141" s="2">
        <f t="shared" si="118"/>
        <v>14.076576576576576</v>
      </c>
      <c r="M141">
        <v>1.1000000000000001</v>
      </c>
      <c r="N141">
        <v>75</v>
      </c>
      <c r="O141">
        <v>6</v>
      </c>
      <c r="P141" s="2">
        <f t="shared" si="119"/>
        <v>140.56420835473804</v>
      </c>
      <c r="Q141" s="2">
        <f t="shared" si="120"/>
        <v>229.06420835473804</v>
      </c>
      <c r="R141">
        <v>4.7</v>
      </c>
      <c r="S141" s="2">
        <v>65.433826960328489</v>
      </c>
      <c r="T141" s="1">
        <v>0.05</v>
      </c>
      <c r="U141" s="2">
        <f t="shared" si="105"/>
        <v>62.162135612312063</v>
      </c>
      <c r="V141" s="2">
        <f t="shared" si="134"/>
        <v>13.086765392065699</v>
      </c>
      <c r="W141" s="2">
        <f t="shared" si="135"/>
        <v>18.648640683693618</v>
      </c>
      <c r="X141" s="3">
        <v>7</v>
      </c>
      <c r="Y141" s="1">
        <v>0.8</v>
      </c>
      <c r="Z141" s="3">
        <f t="shared" si="121"/>
        <v>5.6000000000000005</v>
      </c>
      <c r="AA141" s="3">
        <f>IF(I141&lt;&gt;"",X141/INDEX('energy battery'!$B$3:$D$6,MATCH('vehicles specifications'!$D141,'energy battery'!$A$3:$A$6,0),MATCH('vehicles specifications'!$I141,'energy battery'!$B$2:$D$2,0)),"")</f>
        <v>38.888888888888893</v>
      </c>
      <c r="AB141" s="3">
        <f t="shared" si="136"/>
        <v>7.7777777777777786</v>
      </c>
      <c r="AC141" s="3">
        <f t="shared" si="122"/>
        <v>46.666666666666671</v>
      </c>
      <c r="AD141" s="3">
        <v>0.25</v>
      </c>
      <c r="AE141" s="3">
        <v>0</v>
      </c>
      <c r="AF141">
        <f>AE141*'fuels and tailpipe emissions'!$B$3</f>
        <v>0</v>
      </c>
      <c r="AG141">
        <v>0</v>
      </c>
      <c r="AH141" s="3">
        <v>0</v>
      </c>
      <c r="AI141" s="3">
        <v>3</v>
      </c>
      <c r="AJ141" s="3">
        <v>1</v>
      </c>
      <c r="AK141">
        <f t="shared" si="129"/>
        <v>1</v>
      </c>
      <c r="AL141">
        <f t="shared" si="123"/>
        <v>1.2300747988649432E-4</v>
      </c>
      <c r="AM141">
        <v>1.2899999999999999E-3</v>
      </c>
      <c r="AN141" s="2">
        <f t="shared" si="124"/>
        <v>62.162135612312063</v>
      </c>
      <c r="AO141" s="2">
        <f t="shared" si="125"/>
        <v>31.735406075759315</v>
      </c>
      <c r="AP141" s="2">
        <f t="shared" si="126"/>
        <v>46.666666666666671</v>
      </c>
      <c r="AQ141" s="6" t="s">
        <v>84</v>
      </c>
      <c r="AR141" s="20"/>
      <c r="AS141" s="6">
        <v>0.182</v>
      </c>
      <c r="AT141" s="2">
        <f t="shared" si="130"/>
        <v>110.76923076923079</v>
      </c>
      <c r="AU141" s="5">
        <v>0</v>
      </c>
      <c r="AV141" s="5">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7">
        <v>0</v>
      </c>
      <c r="BM141" s="7">
        <v>0</v>
      </c>
      <c r="BN141" s="7">
        <v>0</v>
      </c>
      <c r="BO141" s="7">
        <v>0</v>
      </c>
      <c r="BP141" s="7">
        <v>0</v>
      </c>
      <c r="BQ141" s="7">
        <v>0</v>
      </c>
      <c r="BR141" s="7">
        <v>0</v>
      </c>
      <c r="BS141" s="7">
        <v>0</v>
      </c>
      <c r="BT141" s="7">
        <v>0</v>
      </c>
      <c r="BU141" s="7">
        <v>0</v>
      </c>
      <c r="BV141" s="7">
        <v>0</v>
      </c>
      <c r="BW141" s="7">
        <v>0</v>
      </c>
      <c r="BX141" s="7">
        <v>0</v>
      </c>
      <c r="BY141" s="7">
        <v>0</v>
      </c>
      <c r="BZ141" s="7">
        <v>0</v>
      </c>
      <c r="CA141" s="7">
        <v>0</v>
      </c>
      <c r="CB141" s="7">
        <v>0</v>
      </c>
      <c r="CC141" s="7">
        <v>0</v>
      </c>
      <c r="CD141" s="7">
        <v>0</v>
      </c>
      <c r="CE141" s="7">
        <v>0</v>
      </c>
      <c r="CF141" s="7">
        <v>0</v>
      </c>
      <c r="CG141" s="7">
        <v>0</v>
      </c>
      <c r="CH141" s="7">
        <v>0</v>
      </c>
      <c r="CI141" s="7">
        <v>0</v>
      </c>
      <c r="CJ141" s="7">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 t="shared" si="131"/>
        <v>5.4775058173496703E-6</v>
      </c>
      <c r="CW141" s="7">
        <f t="shared" si="132"/>
        <v>3.0166608935451095E-6</v>
      </c>
    </row>
    <row r="142" spans="1:101" x14ac:dyDescent="0.2">
      <c r="A142" t="str">
        <f t="shared" si="117"/>
        <v>Motorbike, battery electric, 4-11kW - 2050 - LFP - CH</v>
      </c>
      <c r="B142" t="s">
        <v>656</v>
      </c>
      <c r="D142" s="18">
        <v>2050</v>
      </c>
      <c r="E142" t="s">
        <v>37</v>
      </c>
      <c r="F142" t="s">
        <v>136</v>
      </c>
      <c r="G142" t="s">
        <v>39</v>
      </c>
      <c r="H142" t="s">
        <v>32</v>
      </c>
      <c r="I142" t="s">
        <v>43</v>
      </c>
      <c r="J142">
        <v>25000</v>
      </c>
      <c r="K142">
        <v>1776</v>
      </c>
      <c r="L142" s="2">
        <f t="shared" si="118"/>
        <v>14.076576576576576</v>
      </c>
      <c r="M142">
        <v>1.1000000000000001</v>
      </c>
      <c r="N142">
        <v>75</v>
      </c>
      <c r="O142">
        <v>6</v>
      </c>
      <c r="P142" s="2">
        <f t="shared" si="119"/>
        <v>149.19626218710283</v>
      </c>
      <c r="Q142" s="2">
        <f t="shared" si="120"/>
        <v>237.69626218710283</v>
      </c>
      <c r="R142">
        <v>4.7</v>
      </c>
      <c r="S142" s="2">
        <v>65.433826960328489</v>
      </c>
      <c r="T142" s="1">
        <v>7.0000000000000007E-2</v>
      </c>
      <c r="U142" s="2">
        <f t="shared" si="105"/>
        <v>60.853459073105491</v>
      </c>
      <c r="V142" s="2">
        <f t="shared" si="134"/>
        <v>13.086765392065699</v>
      </c>
      <c r="W142" s="2">
        <f t="shared" si="135"/>
        <v>18.256037721931648</v>
      </c>
      <c r="X142" s="3">
        <v>9.5</v>
      </c>
      <c r="Y142" s="1">
        <v>0.8</v>
      </c>
      <c r="Z142" s="3">
        <f t="shared" si="121"/>
        <v>7.6000000000000005</v>
      </c>
      <c r="AA142" s="3">
        <f>IF(I142&lt;&gt;"",X142/INDEX('energy battery'!$B$3:$D$6,MATCH('vehicles specifications'!$D142,'energy battery'!$A$3:$A$6,0),MATCH('vehicles specifications'!$I142,'energy battery'!$B$2:$D$2,0)),"")</f>
        <v>47.5</v>
      </c>
      <c r="AB142" s="3">
        <f t="shared" si="136"/>
        <v>9.5</v>
      </c>
      <c r="AC142" s="3">
        <f t="shared" si="122"/>
        <v>57</v>
      </c>
      <c r="AD142" s="3">
        <v>0</v>
      </c>
      <c r="AE142" s="3">
        <v>0</v>
      </c>
      <c r="AF142">
        <f>AE142*'fuels and tailpipe emissions'!$B$3</f>
        <v>0</v>
      </c>
      <c r="AG142">
        <v>0</v>
      </c>
      <c r="AH142" s="3">
        <v>0</v>
      </c>
      <c r="AI142" s="3">
        <v>3</v>
      </c>
      <c r="AJ142" s="3">
        <v>1</v>
      </c>
      <c r="AK142">
        <f t="shared" si="129"/>
        <v>1</v>
      </c>
      <c r="AL142">
        <f t="shared" si="123"/>
        <v>1.2764289279447422E-4</v>
      </c>
      <c r="AM142">
        <v>1.2899999999999999E-3</v>
      </c>
      <c r="AN142" s="2">
        <f t="shared" si="124"/>
        <v>60.853459073105491</v>
      </c>
      <c r="AO142" s="2">
        <f t="shared" si="125"/>
        <v>31.342803113997348</v>
      </c>
      <c r="AP142" s="2">
        <f t="shared" si="126"/>
        <v>57</v>
      </c>
      <c r="AQ142" s="6" t="s">
        <v>84</v>
      </c>
      <c r="AR142" s="20"/>
      <c r="AS142" s="6">
        <v>0.182</v>
      </c>
      <c r="AT142" s="2">
        <f t="shared" si="130"/>
        <v>150.32967032967034</v>
      </c>
      <c r="AU142" s="5">
        <v>0</v>
      </c>
      <c r="AV142" s="5">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7">
        <v>0</v>
      </c>
      <c r="BM142" s="7">
        <v>0</v>
      </c>
      <c r="BN142" s="7">
        <v>0</v>
      </c>
      <c r="BO142" s="7">
        <v>0</v>
      </c>
      <c r="BP142" s="7">
        <v>0</v>
      </c>
      <c r="BQ142" s="7">
        <v>0</v>
      </c>
      <c r="BR142" s="7">
        <v>0</v>
      </c>
      <c r="BS142" s="7">
        <v>0</v>
      </c>
      <c r="BT142" s="7">
        <v>0</v>
      </c>
      <c r="BU142" s="7">
        <v>0</v>
      </c>
      <c r="BV142" s="7">
        <v>0</v>
      </c>
      <c r="BW142" s="7">
        <v>0</v>
      </c>
      <c r="BX142" s="7">
        <v>0</v>
      </c>
      <c r="BY142" s="7">
        <v>0</v>
      </c>
      <c r="BZ142" s="7">
        <v>0</v>
      </c>
      <c r="CA142" s="7">
        <v>0</v>
      </c>
      <c r="CB142" s="7">
        <v>0</v>
      </c>
      <c r="CC142" s="7">
        <v>0</v>
      </c>
      <c r="CD142" s="7">
        <v>0</v>
      </c>
      <c r="CE142" s="7">
        <v>0</v>
      </c>
      <c r="CF142" s="7">
        <v>0</v>
      </c>
      <c r="CG142" s="7">
        <v>0</v>
      </c>
      <c r="CH142" s="7">
        <v>0</v>
      </c>
      <c r="CI142" s="7">
        <v>0</v>
      </c>
      <c r="CJ142" s="7">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 t="shared" si="131"/>
        <v>5.586214921891139E-6</v>
      </c>
      <c r="CW142" s="7">
        <f t="shared" si="132"/>
        <v>3.0900661875984907E-6</v>
      </c>
    </row>
    <row r="143" spans="1:101" x14ac:dyDescent="0.2">
      <c r="A143" t="str">
        <f t="shared" si="117"/>
        <v>Motorbike, battery electric, 11-35kW - 2020 - LFP - CH</v>
      </c>
      <c r="B143" t="s">
        <v>657</v>
      </c>
      <c r="D143" s="18">
        <v>2020</v>
      </c>
      <c r="E143" t="s">
        <v>37</v>
      </c>
      <c r="F143" t="s">
        <v>136</v>
      </c>
      <c r="G143" t="s">
        <v>39</v>
      </c>
      <c r="H143" t="s">
        <v>32</v>
      </c>
      <c r="I143" t="s">
        <v>43</v>
      </c>
      <c r="J143">
        <v>38500</v>
      </c>
      <c r="K143">
        <v>2405</v>
      </c>
      <c r="L143" s="2">
        <f t="shared" si="118"/>
        <v>16.008316008316008</v>
      </c>
      <c r="M143">
        <v>1.1000000000000001</v>
      </c>
      <c r="N143">
        <v>75</v>
      </c>
      <c r="O143">
        <v>6</v>
      </c>
      <c r="P143" s="2">
        <f t="shared" si="119"/>
        <v>177.8</v>
      </c>
      <c r="Q143" s="2">
        <f t="shared" si="120"/>
        <v>266.3</v>
      </c>
      <c r="R143">
        <v>14</v>
      </c>
      <c r="S143" s="2">
        <v>81</v>
      </c>
      <c r="T143" s="1">
        <v>0</v>
      </c>
      <c r="U143" s="2">
        <f t="shared" si="105"/>
        <v>81</v>
      </c>
      <c r="V143" s="2">
        <v>13</v>
      </c>
      <c r="W143" s="2">
        <v>19</v>
      </c>
      <c r="X143" s="3">
        <v>8.1</v>
      </c>
      <c r="Y143" s="1">
        <v>0.8</v>
      </c>
      <c r="Z143" s="3">
        <f t="shared" si="121"/>
        <v>6.48</v>
      </c>
      <c r="AA143" s="3">
        <f>IF(I143&lt;&gt;"",X143/INDEX('energy battery'!$B$3:$D$6,MATCH('vehicles specifications'!$D143,'energy battery'!$A$3:$A$6,0),MATCH('vehicles specifications'!$I143,'energy battery'!$B$2:$D$2,0)),"")</f>
        <v>54</v>
      </c>
      <c r="AB143" s="3">
        <f>IF(AA143&lt;&gt;"",0.2*AA143,"")</f>
        <v>10.8</v>
      </c>
      <c r="AC143" s="3">
        <f t="shared" si="122"/>
        <v>64.8</v>
      </c>
      <c r="AD143" s="3">
        <v>1</v>
      </c>
      <c r="AE143" s="3">
        <v>0</v>
      </c>
      <c r="AF143">
        <f>AE143*'fuels and tailpipe emissions'!$B$3</f>
        <v>0</v>
      </c>
      <c r="AG143">
        <v>0</v>
      </c>
      <c r="AH143" s="3">
        <v>0</v>
      </c>
      <c r="AI143" s="3">
        <v>5</v>
      </c>
      <c r="AJ143" s="3">
        <v>1</v>
      </c>
      <c r="AK143">
        <f t="shared" si="129"/>
        <v>1.54</v>
      </c>
      <c r="AL143">
        <f t="shared" si="123"/>
        <v>1.4300310000000001E-4</v>
      </c>
      <c r="AM143">
        <v>1.2899999999999999E-3</v>
      </c>
      <c r="AN143" s="2">
        <f t="shared" si="124"/>
        <v>81</v>
      </c>
      <c r="AO143" s="2">
        <f t="shared" si="125"/>
        <v>32</v>
      </c>
      <c r="AP143" s="2">
        <f t="shared" si="126"/>
        <v>64.8</v>
      </c>
      <c r="AQ143" s="6" t="s">
        <v>84</v>
      </c>
      <c r="AR143" s="20"/>
      <c r="AS143" s="6">
        <v>0.24635579913730349</v>
      </c>
      <c r="AT143" s="2">
        <f t="shared" si="130"/>
        <v>94.692311208791224</v>
      </c>
      <c r="AU143" s="5">
        <v>0</v>
      </c>
      <c r="AV143" s="5">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7">
        <v>0</v>
      </c>
      <c r="BM143" s="7">
        <v>0</v>
      </c>
      <c r="BN143" s="7">
        <v>0</v>
      </c>
      <c r="BO143" s="7">
        <v>0</v>
      </c>
      <c r="BP143" s="7">
        <v>0</v>
      </c>
      <c r="BQ143" s="7">
        <v>0</v>
      </c>
      <c r="BR143" s="7">
        <v>0</v>
      </c>
      <c r="BS143" s="7">
        <v>0</v>
      </c>
      <c r="BT143" s="7">
        <v>0</v>
      </c>
      <c r="BU143" s="7">
        <v>0</v>
      </c>
      <c r="BV143" s="7">
        <v>0</v>
      </c>
      <c r="BW143" s="7">
        <v>0</v>
      </c>
      <c r="BX143" s="7">
        <v>0</v>
      </c>
      <c r="BY143" s="7">
        <v>0</v>
      </c>
      <c r="BZ143" s="7">
        <v>0</v>
      </c>
      <c r="CA143" s="7">
        <v>0</v>
      </c>
      <c r="CB143" s="7">
        <v>0</v>
      </c>
      <c r="CC143" s="7">
        <v>0</v>
      </c>
      <c r="CD143" s="7">
        <v>0</v>
      </c>
      <c r="CE143" s="7">
        <v>0</v>
      </c>
      <c r="CF143" s="7">
        <v>0</v>
      </c>
      <c r="CG143" s="7">
        <v>0</v>
      </c>
      <c r="CH143" s="7">
        <v>0</v>
      </c>
      <c r="CI143" s="7">
        <v>0</v>
      </c>
      <c r="CJ143" s="7">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 t="shared" si="131"/>
        <v>5.927315827030211E-6</v>
      </c>
      <c r="CW143" s="7">
        <f t="shared" si="132"/>
        <v>3.3242994223703735E-6</v>
      </c>
    </row>
    <row r="144" spans="1:101" x14ac:dyDescent="0.2">
      <c r="A144" t="str">
        <f t="shared" si="117"/>
        <v>Motorbike, battery electric, 11-35kW - 2030 - LFP - CH</v>
      </c>
      <c r="B144" t="s">
        <v>657</v>
      </c>
      <c r="D144" s="18">
        <v>2030</v>
      </c>
      <c r="E144" t="s">
        <v>37</v>
      </c>
      <c r="F144" t="s">
        <v>136</v>
      </c>
      <c r="G144" t="s">
        <v>39</v>
      </c>
      <c r="H144" t="s">
        <v>32</v>
      </c>
      <c r="I144" t="s">
        <v>43</v>
      </c>
      <c r="J144">
        <v>38500</v>
      </c>
      <c r="K144">
        <v>2405</v>
      </c>
      <c r="L144" s="2">
        <f t="shared" si="118"/>
        <v>16.008316008316008</v>
      </c>
      <c r="M144">
        <v>1.1000000000000001</v>
      </c>
      <c r="N144">
        <v>75</v>
      </c>
      <c r="O144">
        <v>6</v>
      </c>
      <c r="P144" s="2">
        <f t="shared" si="119"/>
        <v>195.90333333333334</v>
      </c>
      <c r="Q144" s="2">
        <f t="shared" si="120"/>
        <v>284.40333333333331</v>
      </c>
      <c r="R144">
        <v>14</v>
      </c>
      <c r="S144" s="2">
        <v>81</v>
      </c>
      <c r="T144" s="1">
        <v>0.03</v>
      </c>
      <c r="U144" s="2">
        <f t="shared" si="105"/>
        <v>78.569999999999993</v>
      </c>
      <c r="V144" s="2">
        <v>13</v>
      </c>
      <c r="W144" s="2">
        <v>19</v>
      </c>
      <c r="X144" s="3">
        <v>12.8</v>
      </c>
      <c r="Y144" s="1">
        <v>0.8</v>
      </c>
      <c r="Z144" s="3">
        <f t="shared" si="121"/>
        <v>10.240000000000002</v>
      </c>
      <c r="AA144" s="3">
        <f>IF(I144&lt;&gt;"",X144/INDEX('energy battery'!$B$3:$D$6,MATCH('vehicles specifications'!$D144,'energy battery'!$A$3:$A$6,0),MATCH('vehicles specifications'!$I144,'energy battery'!$B$2:$D$2,0)),"")</f>
        <v>71.111111111111114</v>
      </c>
      <c r="AB144" s="3">
        <f t="shared" ref="AB144:AB146" si="137">IF(AA144&lt;&gt;"",0.2*AA144,"")</f>
        <v>14.222222222222223</v>
      </c>
      <c r="AC144" s="3">
        <f t="shared" si="122"/>
        <v>85.333333333333343</v>
      </c>
      <c r="AD144" s="3">
        <v>0.5</v>
      </c>
      <c r="AE144" s="3">
        <v>0</v>
      </c>
      <c r="AF144">
        <f>AE144*'fuels and tailpipe emissions'!$B$3</f>
        <v>0</v>
      </c>
      <c r="AG144">
        <v>0</v>
      </c>
      <c r="AH144" s="3">
        <v>0</v>
      </c>
      <c r="AI144" s="3">
        <v>5</v>
      </c>
      <c r="AJ144" s="3">
        <v>1</v>
      </c>
      <c r="AK144">
        <f t="shared" si="129"/>
        <v>1.54</v>
      </c>
      <c r="AL144">
        <f t="shared" si="123"/>
        <v>1.5272459E-4</v>
      </c>
      <c r="AM144">
        <v>1.2899999999999999E-3</v>
      </c>
      <c r="AN144" s="2">
        <f t="shared" si="124"/>
        <v>78.569999999999993</v>
      </c>
      <c r="AO144" s="2">
        <f t="shared" si="125"/>
        <v>32</v>
      </c>
      <c r="AP144" s="2">
        <f t="shared" si="126"/>
        <v>85.333333333333343</v>
      </c>
      <c r="AQ144" s="6" t="s">
        <v>84</v>
      </c>
      <c r="AR144" s="20"/>
      <c r="AS144" s="6">
        <v>0.24635579913730349</v>
      </c>
      <c r="AT144" s="2">
        <f t="shared" si="130"/>
        <v>149.63723252747255</v>
      </c>
      <c r="AU144" s="5">
        <v>0</v>
      </c>
      <c r="AV144" s="5">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7">
        <v>0</v>
      </c>
      <c r="BM144" s="7">
        <v>0</v>
      </c>
      <c r="BN144" s="7">
        <v>0</v>
      </c>
      <c r="BO144" s="7">
        <v>0</v>
      </c>
      <c r="BP144" s="7">
        <v>0</v>
      </c>
      <c r="BQ144" s="7">
        <v>0</v>
      </c>
      <c r="BR144" s="7">
        <v>0</v>
      </c>
      <c r="BS144" s="7">
        <v>0</v>
      </c>
      <c r="BT144" s="7">
        <v>0</v>
      </c>
      <c r="BU144" s="7">
        <v>0</v>
      </c>
      <c r="BV144" s="7">
        <v>0</v>
      </c>
      <c r="BW144" s="7">
        <v>0</v>
      </c>
      <c r="BX144" s="7">
        <v>0</v>
      </c>
      <c r="BY144" s="7">
        <v>0</v>
      </c>
      <c r="BZ144" s="7">
        <v>0</v>
      </c>
      <c r="CA144" s="7">
        <v>0</v>
      </c>
      <c r="CB144" s="7">
        <v>0</v>
      </c>
      <c r="CC144" s="7">
        <v>0</v>
      </c>
      <c r="CD144" s="7">
        <v>0</v>
      </c>
      <c r="CE144" s="7">
        <v>0</v>
      </c>
      <c r="CF144" s="7">
        <v>0</v>
      </c>
      <c r="CG144" s="7">
        <v>0</v>
      </c>
      <c r="CH144" s="7">
        <v>0</v>
      </c>
      <c r="CI144" s="7">
        <v>0</v>
      </c>
      <c r="CJ144" s="7">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 t="shared" si="131"/>
        <v>6.1301109755791838E-6</v>
      </c>
      <c r="CW144" s="7">
        <f t="shared" si="132"/>
        <v>3.4662485711111325E-6</v>
      </c>
    </row>
    <row r="145" spans="1:101" x14ac:dyDescent="0.2">
      <c r="A145" t="str">
        <f t="shared" si="117"/>
        <v>Motorbike, battery electric, 11-35kW - 2040 - LFP - CH</v>
      </c>
      <c r="B145" t="s">
        <v>657</v>
      </c>
      <c r="D145" s="18">
        <v>2040</v>
      </c>
      <c r="E145" t="s">
        <v>37</v>
      </c>
      <c r="F145" t="s">
        <v>136</v>
      </c>
      <c r="G145" t="s">
        <v>39</v>
      </c>
      <c r="H145" t="s">
        <v>32</v>
      </c>
      <c r="I145" t="s">
        <v>43</v>
      </c>
      <c r="J145">
        <v>38500</v>
      </c>
      <c r="K145">
        <v>2405</v>
      </c>
      <c r="L145" s="2">
        <f t="shared" si="118"/>
        <v>16.008316008316008</v>
      </c>
      <c r="M145">
        <v>1.1000000000000001</v>
      </c>
      <c r="N145">
        <v>75</v>
      </c>
      <c r="O145">
        <v>6</v>
      </c>
      <c r="P145" s="2">
        <f t="shared" si="119"/>
        <v>227.61666666666667</v>
      </c>
      <c r="Q145" s="2">
        <f t="shared" si="120"/>
        <v>316.11666666666667</v>
      </c>
      <c r="R145">
        <v>14</v>
      </c>
      <c r="S145" s="2">
        <v>81</v>
      </c>
      <c r="T145" s="1">
        <v>0.05</v>
      </c>
      <c r="U145" s="2">
        <f t="shared" si="105"/>
        <v>76.95</v>
      </c>
      <c r="V145" s="2">
        <v>13</v>
      </c>
      <c r="W145" s="2">
        <v>19</v>
      </c>
      <c r="X145" s="3">
        <v>17.8</v>
      </c>
      <c r="Y145" s="1">
        <v>0.8</v>
      </c>
      <c r="Z145" s="3">
        <f t="shared" si="121"/>
        <v>14.240000000000002</v>
      </c>
      <c r="AA145" s="3">
        <f>IF(I145&lt;&gt;"",X145/INDEX('energy battery'!$B$3:$D$6,MATCH('vehicles specifications'!$D145,'energy battery'!$A$3:$A$6,0),MATCH('vehicles specifications'!$I145,'energy battery'!$B$2:$D$2,0)),"")</f>
        <v>98.8888888888889</v>
      </c>
      <c r="AB145" s="3">
        <f t="shared" si="137"/>
        <v>19.777777777777782</v>
      </c>
      <c r="AC145" s="3">
        <f t="shared" si="122"/>
        <v>118.66666666666669</v>
      </c>
      <c r="AD145" s="3">
        <v>0.25</v>
      </c>
      <c r="AE145" s="3">
        <v>0</v>
      </c>
      <c r="AF145">
        <f>AE145*'fuels and tailpipe emissions'!$B$3</f>
        <v>0</v>
      </c>
      <c r="AG145">
        <v>0</v>
      </c>
      <c r="AH145" s="3">
        <v>0</v>
      </c>
      <c r="AI145" s="3">
        <v>5</v>
      </c>
      <c r="AJ145" s="3">
        <v>1</v>
      </c>
      <c r="AK145">
        <f t="shared" si="129"/>
        <v>1.54</v>
      </c>
      <c r="AL145">
        <f t="shared" si="123"/>
        <v>1.6975464999999999E-4</v>
      </c>
      <c r="AM145">
        <v>1.2899999999999999E-3</v>
      </c>
      <c r="AN145" s="2">
        <f t="shared" si="124"/>
        <v>76.95</v>
      </c>
      <c r="AO145" s="2">
        <f t="shared" si="125"/>
        <v>32</v>
      </c>
      <c r="AP145" s="2">
        <f t="shared" si="126"/>
        <v>118.66666666666669</v>
      </c>
      <c r="AQ145" s="6" t="s">
        <v>84</v>
      </c>
      <c r="AR145" s="20"/>
      <c r="AS145" s="6">
        <v>0.24635579913730349</v>
      </c>
      <c r="AT145" s="2">
        <f t="shared" si="130"/>
        <v>208.08927648351653</v>
      </c>
      <c r="AU145" s="5">
        <v>0</v>
      </c>
      <c r="AV145" s="5">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7">
        <v>0</v>
      </c>
      <c r="BM145" s="7">
        <v>0</v>
      </c>
      <c r="BN145" s="7">
        <v>0</v>
      </c>
      <c r="BO145" s="7">
        <v>0</v>
      </c>
      <c r="BP145" s="7">
        <v>0</v>
      </c>
      <c r="BQ145" s="7">
        <v>0</v>
      </c>
      <c r="BR145" s="7">
        <v>0</v>
      </c>
      <c r="BS145" s="7">
        <v>0</v>
      </c>
      <c r="BT145" s="7">
        <v>0</v>
      </c>
      <c r="BU145" s="7">
        <v>0</v>
      </c>
      <c r="BV145" s="7">
        <v>0</v>
      </c>
      <c r="BW145" s="7">
        <v>0</v>
      </c>
      <c r="BX145" s="7">
        <v>0</v>
      </c>
      <c r="BY145" s="7">
        <v>0</v>
      </c>
      <c r="BZ145" s="7">
        <v>0</v>
      </c>
      <c r="CA145" s="7">
        <v>0</v>
      </c>
      <c r="CB145" s="7">
        <v>0</v>
      </c>
      <c r="CC145" s="7">
        <v>0</v>
      </c>
      <c r="CD145" s="7">
        <v>0</v>
      </c>
      <c r="CE145" s="7">
        <v>0</v>
      </c>
      <c r="CF145" s="7">
        <v>0</v>
      </c>
      <c r="CG145" s="7">
        <v>0</v>
      </c>
      <c r="CH145" s="7">
        <v>0</v>
      </c>
      <c r="CI145" s="7">
        <v>0</v>
      </c>
      <c r="CJ145" s="7">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 t="shared" si="131"/>
        <v>6.4651177707155718E-6</v>
      </c>
      <c r="CW145" s="7">
        <f t="shared" si="132"/>
        <v>3.70491199642233E-6</v>
      </c>
    </row>
    <row r="146" spans="1:101" x14ac:dyDescent="0.2">
      <c r="A146" t="str">
        <f t="shared" si="117"/>
        <v>Motorbike, battery electric, 11-35kW - 2050 - LFP - CH</v>
      </c>
      <c r="B146" t="s">
        <v>657</v>
      </c>
      <c r="D146" s="18">
        <v>2050</v>
      </c>
      <c r="E146" t="s">
        <v>37</v>
      </c>
      <c r="F146" t="s">
        <v>136</v>
      </c>
      <c r="G146" t="s">
        <v>39</v>
      </c>
      <c r="H146" t="s">
        <v>32</v>
      </c>
      <c r="I146" t="s">
        <v>43</v>
      </c>
      <c r="J146">
        <v>38500</v>
      </c>
      <c r="K146">
        <v>2405</v>
      </c>
      <c r="L146" s="2">
        <f t="shared" si="118"/>
        <v>16.008316008316008</v>
      </c>
      <c r="M146">
        <v>1.1000000000000001</v>
      </c>
      <c r="N146">
        <v>75</v>
      </c>
      <c r="O146">
        <v>6</v>
      </c>
      <c r="P146" s="2">
        <f t="shared" si="119"/>
        <v>244.13</v>
      </c>
      <c r="Q146" s="2">
        <f t="shared" si="120"/>
        <v>332.63</v>
      </c>
      <c r="R146">
        <v>14</v>
      </c>
      <c r="S146" s="2">
        <v>81</v>
      </c>
      <c r="T146" s="1">
        <v>7.0000000000000007E-2</v>
      </c>
      <c r="U146" s="2">
        <f t="shared" si="105"/>
        <v>75.33</v>
      </c>
      <c r="V146" s="2">
        <v>13</v>
      </c>
      <c r="W146" s="2">
        <v>19</v>
      </c>
      <c r="X146" s="3">
        <v>22.8</v>
      </c>
      <c r="Y146" s="1">
        <v>0.8</v>
      </c>
      <c r="Z146" s="3">
        <f t="shared" si="121"/>
        <v>18.240000000000002</v>
      </c>
      <c r="AA146" s="3">
        <f>IF(I146&lt;&gt;"",X146/INDEX('energy battery'!$B$3:$D$6,MATCH('vehicles specifications'!$D146,'energy battery'!$A$3:$A$6,0),MATCH('vehicles specifications'!$I146,'energy battery'!$B$2:$D$2,0)),"")</f>
        <v>114</v>
      </c>
      <c r="AB146" s="3">
        <f t="shared" si="137"/>
        <v>22.8</v>
      </c>
      <c r="AC146" s="3">
        <f t="shared" si="122"/>
        <v>136.80000000000001</v>
      </c>
      <c r="AD146" s="3">
        <v>0</v>
      </c>
      <c r="AE146" s="3">
        <v>0</v>
      </c>
      <c r="AF146">
        <f>AE146*'fuels and tailpipe emissions'!$B$3</f>
        <v>0</v>
      </c>
      <c r="AG146">
        <v>0</v>
      </c>
      <c r="AH146" s="3">
        <v>0</v>
      </c>
      <c r="AI146" s="3">
        <v>5</v>
      </c>
      <c r="AJ146" s="3">
        <v>1</v>
      </c>
      <c r="AK146">
        <f t="shared" si="129"/>
        <v>1.54</v>
      </c>
      <c r="AL146">
        <f t="shared" si="123"/>
        <v>1.7862231000000001E-4</v>
      </c>
      <c r="AM146">
        <v>1.2899999999999999E-3</v>
      </c>
      <c r="AN146" s="2">
        <f t="shared" si="124"/>
        <v>75.33</v>
      </c>
      <c r="AO146" s="2">
        <f t="shared" si="125"/>
        <v>32</v>
      </c>
      <c r="AP146" s="2">
        <f t="shared" si="126"/>
        <v>136.80000000000001</v>
      </c>
      <c r="AQ146" s="6" t="s">
        <v>84</v>
      </c>
      <c r="AR146" s="20"/>
      <c r="AS146" s="6">
        <v>0.24635579913730349</v>
      </c>
      <c r="AT146" s="2">
        <f t="shared" si="130"/>
        <v>266.54132043956048</v>
      </c>
      <c r="AU146" s="5">
        <v>0</v>
      </c>
      <c r="AV146" s="5">
        <v>0</v>
      </c>
      <c r="AW146" s="7">
        <v>0</v>
      </c>
      <c r="AX146" s="7">
        <v>0</v>
      </c>
      <c r="AY146" s="7">
        <v>0</v>
      </c>
      <c r="AZ146" s="7">
        <v>0</v>
      </c>
      <c r="BA146" s="7">
        <v>0</v>
      </c>
      <c r="BB146" s="7">
        <v>0</v>
      </c>
      <c r="BC146" s="7">
        <v>0</v>
      </c>
      <c r="BD146" s="7">
        <v>0</v>
      </c>
      <c r="BE146" s="7">
        <v>0</v>
      </c>
      <c r="BF146" s="7">
        <v>0</v>
      </c>
      <c r="BG146" s="7">
        <v>0</v>
      </c>
      <c r="BH146" s="7">
        <v>0</v>
      </c>
      <c r="BI146" s="7">
        <v>0</v>
      </c>
      <c r="BJ146" s="7">
        <v>0</v>
      </c>
      <c r="BK146" s="7">
        <v>0</v>
      </c>
      <c r="BL146" s="7">
        <v>0</v>
      </c>
      <c r="BM146" s="7">
        <v>0</v>
      </c>
      <c r="BN146" s="7">
        <v>0</v>
      </c>
      <c r="BO146" s="7">
        <v>0</v>
      </c>
      <c r="BP146" s="7">
        <v>0</v>
      </c>
      <c r="BQ146" s="7">
        <v>0</v>
      </c>
      <c r="BR146" s="7">
        <v>0</v>
      </c>
      <c r="BS146" s="7">
        <v>0</v>
      </c>
      <c r="BT146" s="7">
        <v>0</v>
      </c>
      <c r="BU146" s="7">
        <v>0</v>
      </c>
      <c r="BV146" s="7">
        <v>0</v>
      </c>
      <c r="BW146" s="7">
        <v>0</v>
      </c>
      <c r="BX146" s="7">
        <v>0</v>
      </c>
      <c r="BY146" s="7">
        <v>0</v>
      </c>
      <c r="BZ146" s="7">
        <v>0</v>
      </c>
      <c r="CA146" s="7">
        <v>0</v>
      </c>
      <c r="CB146" s="7">
        <v>0</v>
      </c>
      <c r="CC146" s="7">
        <v>0</v>
      </c>
      <c r="CD146" s="7">
        <v>0</v>
      </c>
      <c r="CE146" s="7">
        <v>0</v>
      </c>
      <c r="CF146" s="7">
        <v>0</v>
      </c>
      <c r="CG146" s="7">
        <v>0</v>
      </c>
      <c r="CH146" s="7">
        <v>0</v>
      </c>
      <c r="CI146" s="7">
        <v>0</v>
      </c>
      <c r="CJ146" s="7">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 t="shared" si="131"/>
        <v>6.630708666350275E-6</v>
      </c>
      <c r="CW146" s="7">
        <f t="shared" si="132"/>
        <v>3.8247295602882941E-6</v>
      </c>
    </row>
    <row r="147" spans="1:101" x14ac:dyDescent="0.2">
      <c r="A147" t="str">
        <f t="shared" si="117"/>
        <v>Motorbike, battery electric, &gt;35kW - 2020 - LFP - CH</v>
      </c>
      <c r="B147" t="s">
        <v>658</v>
      </c>
      <c r="D147" s="18">
        <v>2020</v>
      </c>
      <c r="E147" t="s">
        <v>37</v>
      </c>
      <c r="F147" t="s">
        <v>136</v>
      </c>
      <c r="G147" t="s">
        <v>39</v>
      </c>
      <c r="H147" t="s">
        <v>32</v>
      </c>
      <c r="I147" t="s">
        <v>43</v>
      </c>
      <c r="J147">
        <v>40500</v>
      </c>
      <c r="K147">
        <v>2896</v>
      </c>
      <c r="L147" s="2">
        <f t="shared" si="118"/>
        <v>13.984806629834255</v>
      </c>
      <c r="M147">
        <v>1.1000000000000001</v>
      </c>
      <c r="N147">
        <v>75</v>
      </c>
      <c r="O147">
        <v>6</v>
      </c>
      <c r="P147" s="2">
        <f t="shared" si="119"/>
        <v>279.64</v>
      </c>
      <c r="Q147" s="2">
        <f t="shared" si="120"/>
        <v>368.14</v>
      </c>
      <c r="R147">
        <v>49</v>
      </c>
      <c r="S147" s="2">
        <v>111</v>
      </c>
      <c r="T147" s="1">
        <v>0</v>
      </c>
      <c r="U147" s="2">
        <f t="shared" si="105"/>
        <v>111</v>
      </c>
      <c r="V147" s="2">
        <v>13.74</v>
      </c>
      <c r="W147" s="2">
        <v>22.900000000000002</v>
      </c>
      <c r="X147" s="3">
        <v>16.5</v>
      </c>
      <c r="Y147" s="1">
        <v>0.8</v>
      </c>
      <c r="Z147" s="3">
        <f t="shared" si="121"/>
        <v>13.200000000000001</v>
      </c>
      <c r="AA147" s="3">
        <f>IF(I147&lt;&gt;"",X147/INDEX('energy battery'!$B$3:$D$6,MATCH('vehicles specifications'!$D147,'energy battery'!$A$3:$A$6,0),MATCH('vehicles specifications'!$I147,'energy battery'!$B$2:$D$2,0)),"")</f>
        <v>110</v>
      </c>
      <c r="AB147" s="3">
        <f>IF(AA147&lt;&gt;"",0.2*AA147,"")</f>
        <v>22</v>
      </c>
      <c r="AC147" s="3">
        <f t="shared" si="122"/>
        <v>132</v>
      </c>
      <c r="AD147" s="3">
        <v>1</v>
      </c>
      <c r="AE147" s="3">
        <v>0</v>
      </c>
      <c r="AF147">
        <f>AE147*'fuels and tailpipe emissions'!$B$3</f>
        <v>0</v>
      </c>
      <c r="AG147">
        <v>0</v>
      </c>
      <c r="AH147" s="3">
        <v>0</v>
      </c>
      <c r="AI147" s="3">
        <v>5</v>
      </c>
      <c r="AJ147" s="3">
        <v>1</v>
      </c>
      <c r="AK147">
        <f t="shared" si="129"/>
        <v>1.62</v>
      </c>
      <c r="AL147">
        <f t="shared" si="123"/>
        <v>1.9769117999999999E-4</v>
      </c>
      <c r="AM147">
        <v>1.2899999999999999E-3</v>
      </c>
      <c r="AN147" s="2">
        <f t="shared" si="124"/>
        <v>111</v>
      </c>
      <c r="AO147" s="2">
        <f t="shared" si="125"/>
        <v>36.64</v>
      </c>
      <c r="AP147" s="2">
        <f t="shared" si="126"/>
        <v>132</v>
      </c>
      <c r="AQ147" s="6" t="s">
        <v>84</v>
      </c>
      <c r="AR147" s="20"/>
      <c r="AS147" s="6">
        <v>0.27473182101357863</v>
      </c>
      <c r="AT147" s="2">
        <f t="shared" si="130"/>
        <v>172.96867841767528</v>
      </c>
      <c r="AU147" s="5">
        <v>0</v>
      </c>
      <c r="AV147" s="5">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7">
        <v>0</v>
      </c>
      <c r="BM147" s="7">
        <v>0</v>
      </c>
      <c r="BN147" s="7">
        <v>0</v>
      </c>
      <c r="BO147" s="7">
        <v>0</v>
      </c>
      <c r="BP147" s="7">
        <v>0</v>
      </c>
      <c r="BQ147" s="7">
        <v>0</v>
      </c>
      <c r="BR147" s="7">
        <v>0</v>
      </c>
      <c r="BS147" s="7">
        <v>0</v>
      </c>
      <c r="BT147" s="7">
        <v>0</v>
      </c>
      <c r="BU147" s="7">
        <v>0</v>
      </c>
      <c r="BV147" s="7">
        <v>0</v>
      </c>
      <c r="BW147" s="7">
        <v>0</v>
      </c>
      <c r="BX147" s="7">
        <v>0</v>
      </c>
      <c r="BY147" s="7">
        <v>0</v>
      </c>
      <c r="BZ147" s="7">
        <v>0</v>
      </c>
      <c r="CA147" s="7">
        <v>0</v>
      </c>
      <c r="CB147" s="7">
        <v>0</v>
      </c>
      <c r="CC147" s="7">
        <v>0</v>
      </c>
      <c r="CD147" s="7">
        <v>0</v>
      </c>
      <c r="CE147" s="7">
        <v>0</v>
      </c>
      <c r="CF147" s="7">
        <v>0</v>
      </c>
      <c r="CG147" s="7">
        <v>0</v>
      </c>
      <c r="CH147" s="7">
        <v>0</v>
      </c>
      <c r="CI147" s="7">
        <v>0</v>
      </c>
      <c r="CJ147" s="7">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 t="shared" si="131"/>
        <v>6.96933211043913E-6</v>
      </c>
      <c r="CW147" s="7">
        <f t="shared" si="132"/>
        <v>4.0734045829292491E-6</v>
      </c>
    </row>
    <row r="148" spans="1:101" x14ac:dyDescent="0.2">
      <c r="A148" t="str">
        <f t="shared" si="117"/>
        <v>Motorbike, battery electric, &gt;35kW - 2030 - LFP - CH</v>
      </c>
      <c r="B148" t="s">
        <v>658</v>
      </c>
      <c r="D148" s="18">
        <v>2030</v>
      </c>
      <c r="E148" t="s">
        <v>37</v>
      </c>
      <c r="F148" t="s">
        <v>136</v>
      </c>
      <c r="G148" t="s">
        <v>39</v>
      </c>
      <c r="H148" t="s">
        <v>32</v>
      </c>
      <c r="I148" t="s">
        <v>43</v>
      </c>
      <c r="J148">
        <v>40500</v>
      </c>
      <c r="K148">
        <v>2896</v>
      </c>
      <c r="L148" s="2">
        <f t="shared" si="118"/>
        <v>13.984806629834255</v>
      </c>
      <c r="M148">
        <v>1.1000000000000001</v>
      </c>
      <c r="N148">
        <v>75</v>
      </c>
      <c r="O148">
        <v>6</v>
      </c>
      <c r="P148" s="2">
        <f t="shared" si="119"/>
        <v>314.97666666666669</v>
      </c>
      <c r="Q148" s="2">
        <f t="shared" si="120"/>
        <v>403.47666666666669</v>
      </c>
      <c r="R148">
        <v>49</v>
      </c>
      <c r="S148" s="2">
        <v>111</v>
      </c>
      <c r="T148" s="1">
        <v>0.03</v>
      </c>
      <c r="U148" s="2">
        <f t="shared" si="105"/>
        <v>107.67</v>
      </c>
      <c r="V148" s="2">
        <v>13.74</v>
      </c>
      <c r="W148" s="2">
        <v>22.900000000000002</v>
      </c>
      <c r="X148" s="3">
        <v>25.6</v>
      </c>
      <c r="Y148" s="1">
        <v>0.8</v>
      </c>
      <c r="Z148" s="3">
        <f t="shared" si="121"/>
        <v>20.480000000000004</v>
      </c>
      <c r="AA148" s="3">
        <f>IF(I148&lt;&gt;"",X148/INDEX('energy battery'!$B$3:$D$6,MATCH('vehicles specifications'!$D148,'energy battery'!$A$3:$A$6,0),MATCH('vehicles specifications'!$I148,'energy battery'!$B$2:$D$2,0)),"")</f>
        <v>142.22222222222223</v>
      </c>
      <c r="AB148" s="3">
        <f t="shared" ref="AB148:AB150" si="138">IF(AA148&lt;&gt;"",0.2*AA148,"")</f>
        <v>28.444444444444446</v>
      </c>
      <c r="AC148" s="3">
        <f t="shared" si="122"/>
        <v>170.66666666666669</v>
      </c>
      <c r="AD148" s="3">
        <v>0.5</v>
      </c>
      <c r="AE148" s="3">
        <v>0</v>
      </c>
      <c r="AF148">
        <f>AE148*'fuels and tailpipe emissions'!$B$3</f>
        <v>0</v>
      </c>
      <c r="AG148">
        <v>0</v>
      </c>
      <c r="AH148" s="3">
        <v>0</v>
      </c>
      <c r="AI148" s="3">
        <v>5</v>
      </c>
      <c r="AJ148" s="3">
        <v>1</v>
      </c>
      <c r="AK148">
        <f t="shared" si="129"/>
        <v>1.62</v>
      </c>
      <c r="AL148">
        <f t="shared" si="123"/>
        <v>2.1666697000000002E-4</v>
      </c>
      <c r="AM148">
        <v>1.2899999999999999E-3</v>
      </c>
      <c r="AN148" s="2">
        <f t="shared" si="124"/>
        <v>107.67</v>
      </c>
      <c r="AO148" s="2">
        <f t="shared" si="125"/>
        <v>36.64</v>
      </c>
      <c r="AP148" s="2">
        <f t="shared" si="126"/>
        <v>170.66666666666669</v>
      </c>
      <c r="AQ148" s="6" t="s">
        <v>84</v>
      </c>
      <c r="AR148" s="20"/>
      <c r="AS148" s="6">
        <v>0.27473182101357863</v>
      </c>
      <c r="AT148" s="2">
        <f t="shared" si="130"/>
        <v>268.363525302575</v>
      </c>
      <c r="AU148" s="5">
        <v>0</v>
      </c>
      <c r="AV148" s="5">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7">
        <v>0</v>
      </c>
      <c r="BM148" s="7">
        <v>0</v>
      </c>
      <c r="BN148" s="7">
        <v>0</v>
      </c>
      <c r="BO148" s="7">
        <v>0</v>
      </c>
      <c r="BP148" s="7">
        <v>0</v>
      </c>
      <c r="BQ148" s="7">
        <v>0</v>
      </c>
      <c r="BR148" s="7">
        <v>0</v>
      </c>
      <c r="BS148" s="7">
        <v>0</v>
      </c>
      <c r="BT148" s="7">
        <v>0</v>
      </c>
      <c r="BU148" s="7">
        <v>0</v>
      </c>
      <c r="BV148" s="7">
        <v>0</v>
      </c>
      <c r="BW148" s="7">
        <v>0</v>
      </c>
      <c r="BX148" s="7">
        <v>0</v>
      </c>
      <c r="BY148" s="7">
        <v>0</v>
      </c>
      <c r="BZ148" s="7">
        <v>0</v>
      </c>
      <c r="CA148" s="7">
        <v>0</v>
      </c>
      <c r="CB148" s="7">
        <v>0</v>
      </c>
      <c r="CC148" s="7">
        <v>0</v>
      </c>
      <c r="CD148" s="7">
        <v>0</v>
      </c>
      <c r="CE148" s="7">
        <v>0</v>
      </c>
      <c r="CF148" s="7">
        <v>0</v>
      </c>
      <c r="CG148" s="7">
        <v>0</v>
      </c>
      <c r="CH148" s="7">
        <v>0</v>
      </c>
      <c r="CI148" s="7">
        <v>0</v>
      </c>
      <c r="CJ148" s="7">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 t="shared" si="131"/>
        <v>7.2859417533801036E-6</v>
      </c>
      <c r="CW148" s="7">
        <f t="shared" si="132"/>
        <v>4.3101974946044252E-6</v>
      </c>
    </row>
    <row r="149" spans="1:101" x14ac:dyDescent="0.2">
      <c r="A149" t="str">
        <f t="shared" si="117"/>
        <v>Motorbike, battery electric, &gt;35kW - 2040 - LFP - CH</v>
      </c>
      <c r="B149" t="s">
        <v>658</v>
      </c>
      <c r="D149" s="18">
        <v>2040</v>
      </c>
      <c r="E149" t="s">
        <v>37</v>
      </c>
      <c r="F149" t="s">
        <v>136</v>
      </c>
      <c r="G149" t="s">
        <v>39</v>
      </c>
      <c r="H149" t="s">
        <v>32</v>
      </c>
      <c r="I149" t="s">
        <v>43</v>
      </c>
      <c r="J149">
        <v>40500</v>
      </c>
      <c r="K149">
        <v>2896</v>
      </c>
      <c r="L149" s="2">
        <f t="shared" si="118"/>
        <v>13.984806629834255</v>
      </c>
      <c r="M149">
        <v>1.1000000000000001</v>
      </c>
      <c r="N149">
        <v>75</v>
      </c>
      <c r="O149">
        <v>6</v>
      </c>
      <c r="P149" s="2">
        <f t="shared" si="119"/>
        <v>375.42333333333329</v>
      </c>
      <c r="Q149" s="2">
        <f t="shared" si="120"/>
        <v>463.92333333333329</v>
      </c>
      <c r="R149">
        <v>49</v>
      </c>
      <c r="S149" s="2">
        <v>111</v>
      </c>
      <c r="T149" s="1">
        <v>0.05</v>
      </c>
      <c r="U149" s="2">
        <f t="shared" si="105"/>
        <v>105.44999999999999</v>
      </c>
      <c r="V149" s="2">
        <v>13.74</v>
      </c>
      <c r="W149" s="2">
        <v>22.900000000000002</v>
      </c>
      <c r="X149" s="3">
        <v>35</v>
      </c>
      <c r="Y149" s="1">
        <v>0.8</v>
      </c>
      <c r="Z149" s="3">
        <f t="shared" si="121"/>
        <v>28</v>
      </c>
      <c r="AA149" s="3">
        <f>IF(I149&lt;&gt;"",X149/INDEX('energy battery'!$B$3:$D$6,MATCH('vehicles specifications'!$D149,'energy battery'!$A$3:$A$6,0),MATCH('vehicles specifications'!$I149,'energy battery'!$B$2:$D$2,0)),"")</f>
        <v>194.44444444444446</v>
      </c>
      <c r="AB149" s="3">
        <f t="shared" si="138"/>
        <v>38.888888888888893</v>
      </c>
      <c r="AC149" s="3">
        <f t="shared" si="122"/>
        <v>233.33333333333334</v>
      </c>
      <c r="AD149" s="3">
        <v>0.25</v>
      </c>
      <c r="AE149" s="3">
        <v>0</v>
      </c>
      <c r="AF149">
        <f>AE149*'fuels and tailpipe emissions'!$B$3</f>
        <v>0</v>
      </c>
      <c r="AG149">
        <v>0</v>
      </c>
      <c r="AH149" s="3">
        <v>0</v>
      </c>
      <c r="AI149" s="3">
        <v>5</v>
      </c>
      <c r="AJ149" s="3">
        <v>1</v>
      </c>
      <c r="AK149">
        <f t="shared" si="129"/>
        <v>1.62</v>
      </c>
      <c r="AL149">
        <f t="shared" si="123"/>
        <v>2.4912683E-4</v>
      </c>
      <c r="AM149">
        <v>1.2899999999999999E-3</v>
      </c>
      <c r="AN149" s="2">
        <f t="shared" si="124"/>
        <v>105.44999999999999</v>
      </c>
      <c r="AO149" s="2">
        <f t="shared" si="125"/>
        <v>36.64</v>
      </c>
      <c r="AP149" s="2">
        <f t="shared" si="126"/>
        <v>233.33333333333334</v>
      </c>
      <c r="AQ149" s="6" t="s">
        <v>84</v>
      </c>
      <c r="AR149" s="20"/>
      <c r="AS149" s="6">
        <v>0.27473182101357863</v>
      </c>
      <c r="AT149" s="2">
        <f t="shared" si="130"/>
        <v>366.90325724961417</v>
      </c>
      <c r="AU149" s="5">
        <v>0</v>
      </c>
      <c r="AV149" s="5">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7">
        <v>0</v>
      </c>
      <c r="BM149" s="7">
        <v>0</v>
      </c>
      <c r="BN149" s="7">
        <v>0</v>
      </c>
      <c r="BO149" s="7">
        <v>0</v>
      </c>
      <c r="BP149" s="7">
        <v>0</v>
      </c>
      <c r="BQ149" s="7">
        <v>0</v>
      </c>
      <c r="BR149" s="7">
        <v>0</v>
      </c>
      <c r="BS149" s="7">
        <v>0</v>
      </c>
      <c r="BT149" s="7">
        <v>0</v>
      </c>
      <c r="BU149" s="7">
        <v>0</v>
      </c>
      <c r="BV149" s="7">
        <v>0</v>
      </c>
      <c r="BW149" s="7">
        <v>0</v>
      </c>
      <c r="BX149" s="7">
        <v>0</v>
      </c>
      <c r="BY149" s="7">
        <v>0</v>
      </c>
      <c r="BZ149" s="7">
        <v>0</v>
      </c>
      <c r="CA149" s="7">
        <v>0</v>
      </c>
      <c r="CB149" s="7">
        <v>0</v>
      </c>
      <c r="CC149" s="7">
        <v>0</v>
      </c>
      <c r="CD149" s="7">
        <v>0</v>
      </c>
      <c r="CE149" s="7">
        <v>0</v>
      </c>
      <c r="CF149" s="7">
        <v>0</v>
      </c>
      <c r="CG149" s="7">
        <v>0</v>
      </c>
      <c r="CH149" s="7">
        <v>0</v>
      </c>
      <c r="CI149" s="7">
        <v>0</v>
      </c>
      <c r="CJ149" s="7">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 t="shared" si="131"/>
        <v>7.7890046255676709E-6</v>
      </c>
      <c r="CW149" s="7">
        <f t="shared" si="132"/>
        <v>4.6945720226011785E-6</v>
      </c>
    </row>
    <row r="150" spans="1:101" x14ac:dyDescent="0.2">
      <c r="A150" t="str">
        <f t="shared" si="117"/>
        <v>Motorbike, battery electric, &gt;35kW - 2050 - LFP - CH</v>
      </c>
      <c r="B150" t="s">
        <v>658</v>
      </c>
      <c r="D150" s="18">
        <v>2050</v>
      </c>
      <c r="E150" t="s">
        <v>37</v>
      </c>
      <c r="F150" t="s">
        <v>136</v>
      </c>
      <c r="G150" t="s">
        <v>39</v>
      </c>
      <c r="H150" t="s">
        <v>32</v>
      </c>
      <c r="I150" t="s">
        <v>43</v>
      </c>
      <c r="J150">
        <v>40500</v>
      </c>
      <c r="K150">
        <v>2896</v>
      </c>
      <c r="L150" s="2">
        <f t="shared" si="118"/>
        <v>13.984806629834255</v>
      </c>
      <c r="M150">
        <v>1.1000000000000001</v>
      </c>
      <c r="N150">
        <v>75</v>
      </c>
      <c r="O150">
        <v>6</v>
      </c>
      <c r="P150" s="2">
        <f t="shared" si="119"/>
        <v>406.87</v>
      </c>
      <c r="Q150" s="2">
        <f t="shared" si="120"/>
        <v>495.37</v>
      </c>
      <c r="R150">
        <v>49</v>
      </c>
      <c r="S150" s="2">
        <v>111</v>
      </c>
      <c r="T150" s="1">
        <v>7.0000000000000007E-2</v>
      </c>
      <c r="U150" s="2">
        <f t="shared" si="105"/>
        <v>103.22999999999999</v>
      </c>
      <c r="V150" s="2">
        <v>13.74</v>
      </c>
      <c r="W150" s="2">
        <v>22.900000000000002</v>
      </c>
      <c r="X150" s="3">
        <v>44.5</v>
      </c>
      <c r="Y150" s="1">
        <v>0.8</v>
      </c>
      <c r="Z150" s="3">
        <f t="shared" si="121"/>
        <v>35.6</v>
      </c>
      <c r="AA150" s="3">
        <f>IF(I150&lt;&gt;"",X150/INDEX('energy battery'!$B$3:$D$6,MATCH('vehicles specifications'!$D150,'energy battery'!$A$3:$A$6,0),MATCH('vehicles specifications'!$I150,'energy battery'!$B$2:$D$2,0)),"")</f>
        <v>222.5</v>
      </c>
      <c r="AB150" s="3">
        <f t="shared" si="138"/>
        <v>44.5</v>
      </c>
      <c r="AC150" s="3">
        <f t="shared" si="122"/>
        <v>267</v>
      </c>
      <c r="AD150" s="3">
        <v>0</v>
      </c>
      <c r="AE150" s="3">
        <v>0</v>
      </c>
      <c r="AF150">
        <f>AE150*'fuels and tailpipe emissions'!$B$3</f>
        <v>0</v>
      </c>
      <c r="AG150">
        <v>0</v>
      </c>
      <c r="AH150" s="3">
        <v>0</v>
      </c>
      <c r="AI150" s="3">
        <v>5</v>
      </c>
      <c r="AJ150" s="3">
        <v>1</v>
      </c>
      <c r="AK150">
        <f t="shared" si="129"/>
        <v>1.62</v>
      </c>
      <c r="AL150">
        <f t="shared" si="123"/>
        <v>2.6601369000000001E-4</v>
      </c>
      <c r="AM150">
        <v>1.2899999999999999E-3</v>
      </c>
      <c r="AN150" s="2">
        <f t="shared" si="124"/>
        <v>103.22999999999999</v>
      </c>
      <c r="AO150" s="2">
        <f t="shared" si="125"/>
        <v>36.64</v>
      </c>
      <c r="AP150" s="2">
        <f t="shared" si="126"/>
        <v>267</v>
      </c>
      <c r="AQ150" s="6" t="s">
        <v>84</v>
      </c>
      <c r="AR150" s="20"/>
      <c r="AS150" s="6">
        <v>0.27473182101357863</v>
      </c>
      <c r="AT150" s="2">
        <f t="shared" si="130"/>
        <v>466.49128421736663</v>
      </c>
      <c r="AU150" s="5">
        <v>0</v>
      </c>
      <c r="AV150" s="5">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7">
        <v>0</v>
      </c>
      <c r="BM150" s="7">
        <v>0</v>
      </c>
      <c r="BN150" s="7">
        <v>0</v>
      </c>
      <c r="BO150" s="7">
        <v>0</v>
      </c>
      <c r="BP150" s="7">
        <v>0</v>
      </c>
      <c r="BQ150" s="7">
        <v>0</v>
      </c>
      <c r="BR150" s="7">
        <v>0</v>
      </c>
      <c r="BS150" s="7">
        <v>0</v>
      </c>
      <c r="BT150" s="7">
        <v>0</v>
      </c>
      <c r="BU150" s="7">
        <v>0</v>
      </c>
      <c r="BV150" s="7">
        <v>0</v>
      </c>
      <c r="BW150" s="7">
        <v>0</v>
      </c>
      <c r="BX150" s="7">
        <v>0</v>
      </c>
      <c r="BY150" s="7">
        <v>0</v>
      </c>
      <c r="BZ150" s="7">
        <v>0</v>
      </c>
      <c r="CA150" s="7">
        <v>0</v>
      </c>
      <c r="CB150" s="7">
        <v>0</v>
      </c>
      <c r="CC150" s="7">
        <v>0</v>
      </c>
      <c r="CD150" s="7">
        <v>0</v>
      </c>
      <c r="CE150" s="7">
        <v>0</v>
      </c>
      <c r="CF150" s="7">
        <v>0</v>
      </c>
      <c r="CG150" s="7">
        <v>0</v>
      </c>
      <c r="CH150" s="7">
        <v>0</v>
      </c>
      <c r="CI150" s="7">
        <v>0</v>
      </c>
      <c r="CJ150" s="7">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 t="shared" si="131"/>
        <v>8.0345690405014372E-6</v>
      </c>
      <c r="CW150" s="7">
        <f t="shared" si="132"/>
        <v>4.8856894240576595E-6</v>
      </c>
    </row>
    <row r="151" spans="1:101" x14ac:dyDescent="0.2">
      <c r="A151" t="str">
        <f t="shared" si="114"/>
        <v>Motorbike, battery electric, &lt;4kW - 2020 - NCA - CH</v>
      </c>
      <c r="B151" t="s">
        <v>655</v>
      </c>
      <c r="D151" s="18">
        <v>2020</v>
      </c>
      <c r="E151" t="s">
        <v>37</v>
      </c>
      <c r="F151" t="s">
        <v>136</v>
      </c>
      <c r="G151" t="s">
        <v>39</v>
      </c>
      <c r="H151" t="s">
        <v>32</v>
      </c>
      <c r="I151" t="s">
        <v>44</v>
      </c>
      <c r="J151">
        <v>25000</v>
      </c>
      <c r="K151">
        <v>1776</v>
      </c>
      <c r="L151" s="2">
        <f t="shared" si="108"/>
        <v>14.076576576576576</v>
      </c>
      <c r="M151">
        <v>1.1000000000000001</v>
      </c>
      <c r="N151">
        <v>75</v>
      </c>
      <c r="O151">
        <v>6</v>
      </c>
      <c r="P151" s="2">
        <f t="shared" si="64"/>
        <v>75.173913043478265</v>
      </c>
      <c r="Q151" s="2">
        <f t="shared" si="109"/>
        <v>163.67391304347825</v>
      </c>
      <c r="R151">
        <v>2.5</v>
      </c>
      <c r="S151" s="2">
        <v>53</v>
      </c>
      <c r="T151" s="1">
        <v>0</v>
      </c>
      <c r="U151" s="2">
        <f t="shared" ref="U151:U166" si="139">S151*(1-T151)</f>
        <v>53</v>
      </c>
      <c r="V151" s="2">
        <v>4.5</v>
      </c>
      <c r="W151" s="2">
        <v>7.5</v>
      </c>
      <c r="X151" s="3">
        <v>1.8</v>
      </c>
      <c r="Y151" s="1">
        <v>0.8</v>
      </c>
      <c r="Z151" s="3">
        <f t="shared" si="110"/>
        <v>1.4400000000000002</v>
      </c>
      <c r="AA151" s="3">
        <f>IF(I151&lt;&gt;"",X151/INDEX('energy battery'!$B$3:$D$6,MATCH('vehicles specifications'!$D151,'energy battery'!$A$3:$A$6,0),MATCH('vehicles specifications'!$I151,'energy battery'!$B$2:$D$2,0)),"")</f>
        <v>7.8260869565217392</v>
      </c>
      <c r="AB151" s="3">
        <f t="shared" si="115"/>
        <v>2.3478260869565215</v>
      </c>
      <c r="AC151" s="3">
        <f t="shared" si="116"/>
        <v>10.173913043478262</v>
      </c>
      <c r="AD151" s="3">
        <v>1</v>
      </c>
      <c r="AE151" s="3">
        <v>0</v>
      </c>
      <c r="AF151">
        <f>AE151*'fuels and tailpipe emissions'!$B$3</f>
        <v>0</v>
      </c>
      <c r="AG151">
        <v>0</v>
      </c>
      <c r="AH151" s="3">
        <v>0</v>
      </c>
      <c r="AI151" s="3">
        <v>3</v>
      </c>
      <c r="AJ151" s="3">
        <v>1</v>
      </c>
      <c r="AK151">
        <f t="shared" si="129"/>
        <v>1</v>
      </c>
      <c r="AL151">
        <f t="shared" si="65"/>
        <v>8.7892891304347824E-5</v>
      </c>
      <c r="AM151">
        <v>1.2899999999999999E-3</v>
      </c>
      <c r="AN151" s="2">
        <f t="shared" si="111"/>
        <v>53</v>
      </c>
      <c r="AO151" s="2">
        <f t="shared" si="112"/>
        <v>12</v>
      </c>
      <c r="AP151" s="2">
        <f t="shared" si="113"/>
        <v>10.173913043478262</v>
      </c>
      <c r="AQ151" s="6" t="s">
        <v>84</v>
      </c>
      <c r="AR151" s="20"/>
      <c r="AS151" s="6">
        <v>0.121</v>
      </c>
      <c r="AT151" s="2">
        <f t="shared" si="130"/>
        <v>42.842975206611577</v>
      </c>
      <c r="AU151" s="5">
        <v>0</v>
      </c>
      <c r="AV151" s="5">
        <v>0</v>
      </c>
      <c r="AW151" s="7">
        <v>0</v>
      </c>
      <c r="AX151" s="7">
        <v>0</v>
      </c>
      <c r="AY151" s="7">
        <v>0</v>
      </c>
      <c r="AZ151" s="7">
        <v>0</v>
      </c>
      <c r="BA151" s="7">
        <v>0</v>
      </c>
      <c r="BB151" s="7">
        <v>0</v>
      </c>
      <c r="BC151" s="7">
        <v>0</v>
      </c>
      <c r="BD151" s="7">
        <v>0</v>
      </c>
      <c r="BE151" s="7">
        <v>0</v>
      </c>
      <c r="BF151" s="7">
        <v>0</v>
      </c>
      <c r="BG151" s="7">
        <v>0</v>
      </c>
      <c r="BH151" s="7">
        <v>0</v>
      </c>
      <c r="BI151" s="7">
        <v>0</v>
      </c>
      <c r="BJ151" s="7">
        <v>0</v>
      </c>
      <c r="BK151" s="7">
        <v>0</v>
      </c>
      <c r="BL151" s="7">
        <v>0</v>
      </c>
      <c r="BM151" s="7">
        <v>0</v>
      </c>
      <c r="BN151" s="7">
        <v>0</v>
      </c>
      <c r="BO151" s="7">
        <v>0</v>
      </c>
      <c r="BP151" s="7">
        <v>0</v>
      </c>
      <c r="BQ151" s="7">
        <v>0</v>
      </c>
      <c r="BR151" s="7">
        <v>0</v>
      </c>
      <c r="BS151" s="7">
        <v>0</v>
      </c>
      <c r="BT151" s="7">
        <v>0</v>
      </c>
      <c r="BU151" s="7">
        <v>0</v>
      </c>
      <c r="BV151" s="7">
        <v>0</v>
      </c>
      <c r="BW151" s="7">
        <v>0</v>
      </c>
      <c r="BX151" s="7">
        <v>0</v>
      </c>
      <c r="BY151" s="7">
        <v>0</v>
      </c>
      <c r="BZ151" s="7">
        <v>0</v>
      </c>
      <c r="CA151" s="7">
        <v>0</v>
      </c>
      <c r="CB151" s="7">
        <v>0</v>
      </c>
      <c r="CC151" s="7">
        <v>0</v>
      </c>
      <c r="CD151" s="7">
        <v>0</v>
      </c>
      <c r="CE151" s="7">
        <v>0</v>
      </c>
      <c r="CF151" s="7">
        <v>0</v>
      </c>
      <c r="CG151" s="7">
        <v>0</v>
      </c>
      <c r="CH151" s="7">
        <v>0</v>
      </c>
      <c r="CI151" s="7">
        <v>0</v>
      </c>
      <c r="CJ151" s="7">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 t="shared" si="131"/>
        <v>4.5299988090951134E-6</v>
      </c>
      <c r="CW151" s="7">
        <f t="shared" si="132"/>
        <v>2.4054461768958204E-6</v>
      </c>
    </row>
    <row r="152" spans="1:101" x14ac:dyDescent="0.2">
      <c r="A152" t="str">
        <f t="shared" si="114"/>
        <v>Motorbike, battery electric, &lt;4kW - 2030 - NCA - CH</v>
      </c>
      <c r="B152" t="s">
        <v>655</v>
      </c>
      <c r="D152" s="18">
        <v>2030</v>
      </c>
      <c r="E152" t="s">
        <v>37</v>
      </c>
      <c r="F152" t="s">
        <v>136</v>
      </c>
      <c r="G152" t="s">
        <v>39</v>
      </c>
      <c r="H152" t="s">
        <v>32</v>
      </c>
      <c r="I152" t="s">
        <v>44</v>
      </c>
      <c r="J152">
        <v>25000</v>
      </c>
      <c r="K152">
        <v>1776</v>
      </c>
      <c r="L152" s="2">
        <f t="shared" si="108"/>
        <v>14.076576576576576</v>
      </c>
      <c r="M152">
        <v>1.1000000000000001</v>
      </c>
      <c r="N152">
        <v>75</v>
      </c>
      <c r="O152">
        <v>6</v>
      </c>
      <c r="P152" s="2">
        <f t="shared" si="64"/>
        <v>77.276666666666671</v>
      </c>
      <c r="Q152" s="2">
        <f t="shared" si="109"/>
        <v>165.77666666666667</v>
      </c>
      <c r="R152">
        <v>2.5</v>
      </c>
      <c r="S152" s="2">
        <v>53</v>
      </c>
      <c r="T152" s="1">
        <v>0.03</v>
      </c>
      <c r="U152" s="2">
        <f t="shared" si="139"/>
        <v>51.41</v>
      </c>
      <c r="V152" s="2">
        <v>4.5</v>
      </c>
      <c r="W152" s="2">
        <v>7.5</v>
      </c>
      <c r="X152" s="3">
        <v>3.2</v>
      </c>
      <c r="Y152" s="1">
        <v>0.8</v>
      </c>
      <c r="Z152" s="3">
        <f t="shared" si="110"/>
        <v>2.5600000000000005</v>
      </c>
      <c r="AA152" s="3">
        <f>IF(I152&lt;&gt;"",X152/INDEX('energy battery'!$B$3:$D$6,MATCH('vehicles specifications'!$D152,'energy battery'!$A$3:$A$6,0),MATCH('vehicles specifications'!$I152,'energy battery'!$B$2:$D$2,0)),"")</f>
        <v>10.666666666666668</v>
      </c>
      <c r="AB152" s="3">
        <f t="shared" si="115"/>
        <v>3.2</v>
      </c>
      <c r="AC152" s="3">
        <f t="shared" si="116"/>
        <v>13.866666666666667</v>
      </c>
      <c r="AD152" s="3">
        <v>0.5</v>
      </c>
      <c r="AE152" s="3">
        <v>0</v>
      </c>
      <c r="AF152">
        <f>AE152*'fuels and tailpipe emissions'!$B$3</f>
        <v>0</v>
      </c>
      <c r="AG152">
        <v>0</v>
      </c>
      <c r="AH152" s="3">
        <v>0</v>
      </c>
      <c r="AI152" s="3">
        <v>3</v>
      </c>
      <c r="AJ152" s="3">
        <v>1</v>
      </c>
      <c r="AK152">
        <f t="shared" si="129"/>
        <v>1</v>
      </c>
      <c r="AL152">
        <f t="shared" si="65"/>
        <v>8.9022070000000007E-5</v>
      </c>
      <c r="AM152">
        <v>1.2899999999999999E-3</v>
      </c>
      <c r="AN152" s="2">
        <f t="shared" si="111"/>
        <v>51.41</v>
      </c>
      <c r="AO152" s="2">
        <f t="shared" si="112"/>
        <v>12</v>
      </c>
      <c r="AP152" s="2">
        <f t="shared" si="113"/>
        <v>13.866666666666667</v>
      </c>
      <c r="AQ152" s="6" t="s">
        <v>84</v>
      </c>
      <c r="AR152" s="20"/>
      <c r="AS152" s="6">
        <v>0.121</v>
      </c>
      <c r="AT152" s="2">
        <f t="shared" si="130"/>
        <v>76.165289256198363</v>
      </c>
      <c r="AU152" s="5">
        <v>0</v>
      </c>
      <c r="AV152" s="5">
        <v>0</v>
      </c>
      <c r="AW152" s="7">
        <v>0</v>
      </c>
      <c r="AX152" s="7">
        <v>0</v>
      </c>
      <c r="AY152" s="7">
        <v>0</v>
      </c>
      <c r="AZ152" s="7">
        <v>0</v>
      </c>
      <c r="BA152" s="7">
        <v>0</v>
      </c>
      <c r="BB152" s="7">
        <v>0</v>
      </c>
      <c r="BC152" s="7">
        <v>0</v>
      </c>
      <c r="BD152" s="7">
        <v>0</v>
      </c>
      <c r="BE152" s="7">
        <v>0</v>
      </c>
      <c r="BF152" s="7">
        <v>0</v>
      </c>
      <c r="BG152" s="7">
        <v>0</v>
      </c>
      <c r="BH152" s="7">
        <v>0</v>
      </c>
      <c r="BI152" s="7">
        <v>0</v>
      </c>
      <c r="BJ152" s="7">
        <v>0</v>
      </c>
      <c r="BK152" s="7">
        <v>0</v>
      </c>
      <c r="BL152" s="7">
        <v>0</v>
      </c>
      <c r="BM152" s="7">
        <v>0</v>
      </c>
      <c r="BN152" s="7">
        <v>0</v>
      </c>
      <c r="BO152" s="7">
        <v>0</v>
      </c>
      <c r="BP152" s="7">
        <v>0</v>
      </c>
      <c r="BQ152" s="7">
        <v>0</v>
      </c>
      <c r="BR152" s="7">
        <v>0</v>
      </c>
      <c r="BS152" s="7">
        <v>0</v>
      </c>
      <c r="BT152" s="7">
        <v>0</v>
      </c>
      <c r="BU152" s="7">
        <v>0</v>
      </c>
      <c r="BV152" s="7">
        <v>0</v>
      </c>
      <c r="BW152" s="7">
        <v>0</v>
      </c>
      <c r="BX152" s="7">
        <v>0</v>
      </c>
      <c r="BY152" s="7">
        <v>0</v>
      </c>
      <c r="BZ152" s="7">
        <v>0</v>
      </c>
      <c r="CA152" s="7">
        <v>0</v>
      </c>
      <c r="CB152" s="7">
        <v>0</v>
      </c>
      <c r="CC152" s="7">
        <v>0</v>
      </c>
      <c r="CD152" s="7">
        <v>0</v>
      </c>
      <c r="CE152" s="7">
        <v>0</v>
      </c>
      <c r="CF152" s="7">
        <v>0</v>
      </c>
      <c r="CG152" s="7">
        <v>0</v>
      </c>
      <c r="CH152" s="7">
        <v>0</v>
      </c>
      <c r="CI152" s="7">
        <v>0</v>
      </c>
      <c r="CJ152" s="7">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 t="shared" si="131"/>
        <v>4.5650299796219703E-6</v>
      </c>
      <c r="CW152" s="7">
        <f t="shared" si="132"/>
        <v>2.4270352948224213E-6</v>
      </c>
    </row>
    <row r="153" spans="1:101" x14ac:dyDescent="0.2">
      <c r="A153" t="str">
        <f t="shared" si="114"/>
        <v>Motorbike, battery electric, &lt;4kW - 2040 - NCA - CH</v>
      </c>
      <c r="B153" t="s">
        <v>655</v>
      </c>
      <c r="D153" s="18">
        <v>2040</v>
      </c>
      <c r="E153" t="s">
        <v>37</v>
      </c>
      <c r="F153" t="s">
        <v>136</v>
      </c>
      <c r="G153" t="s">
        <v>39</v>
      </c>
      <c r="H153" t="s">
        <v>32</v>
      </c>
      <c r="I153" t="s">
        <v>44</v>
      </c>
      <c r="J153">
        <v>25000</v>
      </c>
      <c r="K153">
        <v>1776</v>
      </c>
      <c r="L153" s="2">
        <f t="shared" si="108"/>
        <v>14.076576576576576</v>
      </c>
      <c r="M153">
        <v>1.1000000000000001</v>
      </c>
      <c r="N153">
        <v>75</v>
      </c>
      <c r="O153">
        <v>6</v>
      </c>
      <c r="P153" s="2">
        <f t="shared" si="64"/>
        <v>76.974999999999994</v>
      </c>
      <c r="Q153" s="2">
        <f t="shared" si="109"/>
        <v>165.47499999999999</v>
      </c>
      <c r="R153">
        <v>2.5</v>
      </c>
      <c r="S153" s="2">
        <v>53</v>
      </c>
      <c r="T153" s="1">
        <v>0.05</v>
      </c>
      <c r="U153" s="2">
        <f t="shared" si="139"/>
        <v>50.349999999999994</v>
      </c>
      <c r="V153" s="2">
        <v>4.5</v>
      </c>
      <c r="W153" s="2">
        <v>7.5</v>
      </c>
      <c r="X153" s="3">
        <v>4.5</v>
      </c>
      <c r="Y153" s="1">
        <v>0.8</v>
      </c>
      <c r="Z153" s="3">
        <f t="shared" si="110"/>
        <v>3.6</v>
      </c>
      <c r="AA153" s="3">
        <f>IF(I153&lt;&gt;"",X153/INDEX('energy battery'!$B$3:$D$6,MATCH('vehicles specifications'!$D153,'energy battery'!$A$3:$A$6,0),MATCH('vehicles specifications'!$I153,'energy battery'!$B$2:$D$2,0)),"")</f>
        <v>11.25</v>
      </c>
      <c r="AB153" s="3">
        <f t="shared" si="115"/>
        <v>3.375</v>
      </c>
      <c r="AC153" s="3">
        <f t="shared" si="116"/>
        <v>14.625</v>
      </c>
      <c r="AD153" s="3">
        <v>0.25</v>
      </c>
      <c r="AE153" s="3">
        <v>0</v>
      </c>
      <c r="AF153">
        <f>AE153*'fuels and tailpipe emissions'!$B$3</f>
        <v>0</v>
      </c>
      <c r="AG153">
        <v>0</v>
      </c>
      <c r="AH153" s="3">
        <v>0</v>
      </c>
      <c r="AI153" s="3">
        <v>3</v>
      </c>
      <c r="AJ153" s="3">
        <v>1</v>
      </c>
      <c r="AK153">
        <f t="shared" si="129"/>
        <v>1</v>
      </c>
      <c r="AL153">
        <f t="shared" si="65"/>
        <v>8.8860074999999998E-5</v>
      </c>
      <c r="AM153">
        <v>1.2899999999999999E-3</v>
      </c>
      <c r="AN153" s="2">
        <f t="shared" si="111"/>
        <v>50.349999999999994</v>
      </c>
      <c r="AO153" s="2">
        <f t="shared" si="112"/>
        <v>12</v>
      </c>
      <c r="AP153" s="2">
        <f t="shared" si="113"/>
        <v>14.625</v>
      </c>
      <c r="AQ153" s="6" t="s">
        <v>84</v>
      </c>
      <c r="AR153" s="20"/>
      <c r="AS153" s="6">
        <v>0.121</v>
      </c>
      <c r="AT153" s="2">
        <f t="shared" si="130"/>
        <v>107.10743801652892</v>
      </c>
      <c r="AU153" s="5">
        <v>0</v>
      </c>
      <c r="AV153" s="5">
        <v>0</v>
      </c>
      <c r="AW153" s="7">
        <v>0</v>
      </c>
      <c r="AX153" s="7">
        <v>0</v>
      </c>
      <c r="AY153" s="7">
        <v>0</v>
      </c>
      <c r="AZ153" s="7">
        <v>0</v>
      </c>
      <c r="BA153" s="7">
        <v>0</v>
      </c>
      <c r="BB153" s="7">
        <v>0</v>
      </c>
      <c r="BC153" s="7">
        <v>0</v>
      </c>
      <c r="BD153" s="7">
        <v>0</v>
      </c>
      <c r="BE153" s="7">
        <v>0</v>
      </c>
      <c r="BF153" s="7">
        <v>0</v>
      </c>
      <c r="BG153" s="7">
        <v>0</v>
      </c>
      <c r="BH153" s="7">
        <v>0</v>
      </c>
      <c r="BI153" s="7">
        <v>0</v>
      </c>
      <c r="BJ153" s="7">
        <v>0</v>
      </c>
      <c r="BK153" s="7">
        <v>0</v>
      </c>
      <c r="BL153" s="7">
        <v>0</v>
      </c>
      <c r="BM153" s="7">
        <v>0</v>
      </c>
      <c r="BN153" s="7">
        <v>0</v>
      </c>
      <c r="BO153" s="7">
        <v>0</v>
      </c>
      <c r="BP153" s="7">
        <v>0</v>
      </c>
      <c r="BQ153" s="7">
        <v>0</v>
      </c>
      <c r="BR153" s="7">
        <v>0</v>
      </c>
      <c r="BS153" s="7">
        <v>0</v>
      </c>
      <c r="BT153" s="7">
        <v>0</v>
      </c>
      <c r="BU153" s="7">
        <v>0</v>
      </c>
      <c r="BV153" s="7">
        <v>0</v>
      </c>
      <c r="BW153" s="7">
        <v>0</v>
      </c>
      <c r="BX153" s="7">
        <v>0</v>
      </c>
      <c r="BY153" s="7">
        <v>0</v>
      </c>
      <c r="BZ153" s="7">
        <v>0</v>
      </c>
      <c r="CA153" s="7">
        <v>0</v>
      </c>
      <c r="CB153" s="7">
        <v>0</v>
      </c>
      <c r="CC153" s="7">
        <v>0</v>
      </c>
      <c r="CD153" s="7">
        <v>0</v>
      </c>
      <c r="CE153" s="7">
        <v>0</v>
      </c>
      <c r="CF153" s="7">
        <v>0</v>
      </c>
      <c r="CG153" s="7">
        <v>0</v>
      </c>
      <c r="CH153" s="7">
        <v>0</v>
      </c>
      <c r="CI153" s="7">
        <v>0</v>
      </c>
      <c r="CJ153" s="7">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 t="shared" si="131"/>
        <v>4.5600291174985831E-6</v>
      </c>
      <c r="CW153" s="7">
        <f t="shared" si="132"/>
        <v>2.4239481022645517E-6</v>
      </c>
    </row>
    <row r="154" spans="1:101" x14ac:dyDescent="0.2">
      <c r="A154" t="str">
        <f t="shared" si="114"/>
        <v>Motorbike, battery electric, &lt;4kW - 2050 - NCA - CH</v>
      </c>
      <c r="B154" t="s">
        <v>655</v>
      </c>
      <c r="D154" s="18">
        <v>2050</v>
      </c>
      <c r="E154" t="s">
        <v>37</v>
      </c>
      <c r="F154" t="s">
        <v>136</v>
      </c>
      <c r="G154" t="s">
        <v>39</v>
      </c>
      <c r="H154" t="s">
        <v>32</v>
      </c>
      <c r="I154" t="s">
        <v>44</v>
      </c>
      <c r="J154">
        <v>25000</v>
      </c>
      <c r="K154">
        <v>1776</v>
      </c>
      <c r="L154" s="2">
        <f t="shared" si="108"/>
        <v>14.076576576576576</v>
      </c>
      <c r="M154">
        <v>1.1000000000000001</v>
      </c>
      <c r="N154">
        <v>75</v>
      </c>
      <c r="O154">
        <v>6</v>
      </c>
      <c r="P154" s="2">
        <f t="shared" si="64"/>
        <v>76.89</v>
      </c>
      <c r="Q154" s="2">
        <f t="shared" si="109"/>
        <v>165.39</v>
      </c>
      <c r="R154">
        <v>2.5</v>
      </c>
      <c r="S154" s="2">
        <v>53</v>
      </c>
      <c r="T154" s="1">
        <v>7.0000000000000007E-2</v>
      </c>
      <c r="U154" s="2">
        <f t="shared" si="139"/>
        <v>49.29</v>
      </c>
      <c r="V154" s="2">
        <v>4.5</v>
      </c>
      <c r="W154" s="2">
        <v>7.5</v>
      </c>
      <c r="X154" s="3">
        <v>6</v>
      </c>
      <c r="Y154" s="1">
        <v>0.8</v>
      </c>
      <c r="Z154" s="3">
        <f t="shared" si="110"/>
        <v>4.8000000000000007</v>
      </c>
      <c r="AA154" s="3">
        <f>IF(I154&lt;&gt;"",X154/INDEX('energy battery'!$B$3:$D$6,MATCH('vehicles specifications'!$D154,'energy battery'!$A$3:$A$6,0),MATCH('vehicles specifications'!$I154,'energy battery'!$B$2:$D$2,0)),"")</f>
        <v>12</v>
      </c>
      <c r="AB154" s="3">
        <f t="shared" si="115"/>
        <v>3.5999999999999996</v>
      </c>
      <c r="AC154" s="3">
        <f t="shared" si="116"/>
        <v>15.6</v>
      </c>
      <c r="AD154" s="3">
        <v>0</v>
      </c>
      <c r="AE154" s="3">
        <v>0</v>
      </c>
      <c r="AF154">
        <f>AE154*'fuels and tailpipe emissions'!$B$3</f>
        <v>0</v>
      </c>
      <c r="AG154">
        <v>0</v>
      </c>
      <c r="AH154" s="3">
        <v>0</v>
      </c>
      <c r="AI154" s="3">
        <v>3</v>
      </c>
      <c r="AJ154" s="3">
        <v>1</v>
      </c>
      <c r="AK154">
        <f t="shared" si="129"/>
        <v>1</v>
      </c>
      <c r="AL154">
        <f t="shared" si="65"/>
        <v>8.8814429999999997E-5</v>
      </c>
      <c r="AM154">
        <v>1.2899999999999999E-3</v>
      </c>
      <c r="AN154" s="2">
        <f t="shared" si="111"/>
        <v>49.29</v>
      </c>
      <c r="AO154" s="2">
        <f t="shared" si="112"/>
        <v>12</v>
      </c>
      <c r="AP154" s="2">
        <f t="shared" si="113"/>
        <v>15.6</v>
      </c>
      <c r="AQ154" s="6" t="s">
        <v>84</v>
      </c>
      <c r="AR154" s="20"/>
      <c r="AS154" s="6">
        <v>0.121</v>
      </c>
      <c r="AT154" s="2">
        <f t="shared" si="130"/>
        <v>142.80991735537191</v>
      </c>
      <c r="AU154" s="5">
        <v>0</v>
      </c>
      <c r="AV154" s="5">
        <v>0</v>
      </c>
      <c r="AW154" s="7">
        <v>0</v>
      </c>
      <c r="AX154" s="7">
        <v>0</v>
      </c>
      <c r="AY154" s="7">
        <v>0</v>
      </c>
      <c r="AZ154" s="7">
        <v>0</v>
      </c>
      <c r="BA154" s="7">
        <v>0</v>
      </c>
      <c r="BB154" s="7">
        <v>0</v>
      </c>
      <c r="BC154" s="7">
        <v>0</v>
      </c>
      <c r="BD154" s="7">
        <v>0</v>
      </c>
      <c r="BE154" s="7">
        <v>0</v>
      </c>
      <c r="BF154" s="7">
        <v>0</v>
      </c>
      <c r="BG154" s="7">
        <v>0</v>
      </c>
      <c r="BH154" s="7">
        <v>0</v>
      </c>
      <c r="BI154" s="7">
        <v>0</v>
      </c>
      <c r="BJ154" s="7">
        <v>0</v>
      </c>
      <c r="BK154" s="7">
        <v>0</v>
      </c>
      <c r="BL154" s="7">
        <v>0</v>
      </c>
      <c r="BM154" s="7">
        <v>0</v>
      </c>
      <c r="BN154" s="7">
        <v>0</v>
      </c>
      <c r="BO154" s="7">
        <v>0</v>
      </c>
      <c r="BP154" s="7">
        <v>0</v>
      </c>
      <c r="BQ154" s="7">
        <v>0</v>
      </c>
      <c r="BR154" s="7">
        <v>0</v>
      </c>
      <c r="BS154" s="7">
        <v>0</v>
      </c>
      <c r="BT154" s="7">
        <v>0</v>
      </c>
      <c r="BU154" s="7">
        <v>0</v>
      </c>
      <c r="BV154" s="7">
        <v>0</v>
      </c>
      <c r="BW154" s="7">
        <v>0</v>
      </c>
      <c r="BX154" s="7">
        <v>0</v>
      </c>
      <c r="BY154" s="7">
        <v>0</v>
      </c>
      <c r="BZ154" s="7">
        <v>0</v>
      </c>
      <c r="CA154" s="7">
        <v>0</v>
      </c>
      <c r="CB154" s="7">
        <v>0</v>
      </c>
      <c r="CC154" s="7">
        <v>0</v>
      </c>
      <c r="CD154" s="7">
        <v>0</v>
      </c>
      <c r="CE154" s="7">
        <v>0</v>
      </c>
      <c r="CF154" s="7">
        <v>0</v>
      </c>
      <c r="CG154" s="7">
        <v>0</v>
      </c>
      <c r="CH154" s="7">
        <v>0</v>
      </c>
      <c r="CI154" s="7">
        <v>0</v>
      </c>
      <c r="CJ154" s="7">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 t="shared" si="131"/>
        <v>4.5586185491029798E-6</v>
      </c>
      <c r="CW154" s="7">
        <f t="shared" si="132"/>
        <v>2.4230776278866842E-6</v>
      </c>
    </row>
    <row r="155" spans="1:101" x14ac:dyDescent="0.2">
      <c r="A155" t="str">
        <f t="shared" si="114"/>
        <v>Motorbike, battery electric, 4-11kW - 2020 - NCA - CH</v>
      </c>
      <c r="B155" t="s">
        <v>656</v>
      </c>
      <c r="D155" s="18">
        <v>2020</v>
      </c>
      <c r="E155" t="s">
        <v>37</v>
      </c>
      <c r="F155" t="s">
        <v>136</v>
      </c>
      <c r="G155" t="s">
        <v>39</v>
      </c>
      <c r="H155" t="s">
        <v>32</v>
      </c>
      <c r="I155" t="s">
        <v>44</v>
      </c>
      <c r="J155">
        <v>25000</v>
      </c>
      <c r="K155">
        <v>1776</v>
      </c>
      <c r="L155" s="2">
        <f t="shared" si="108"/>
        <v>14.076576576576576</v>
      </c>
      <c r="M155">
        <v>1.1000000000000001</v>
      </c>
      <c r="N155">
        <v>75</v>
      </c>
      <c r="O155">
        <v>6</v>
      </c>
      <c r="P155" s="2">
        <f t="shared" si="64"/>
        <v>114.54204478831883</v>
      </c>
      <c r="Q155" s="2">
        <f t="shared" si="109"/>
        <v>203.04204478831883</v>
      </c>
      <c r="R155">
        <v>4.7</v>
      </c>
      <c r="S155" s="2">
        <v>65.433826960328489</v>
      </c>
      <c r="T155" s="1">
        <v>0</v>
      </c>
      <c r="U155" s="2">
        <f t="shared" si="139"/>
        <v>65.433826960328489</v>
      </c>
      <c r="V155" s="2">
        <f>S155*0.2</f>
        <v>13.086765392065699</v>
      </c>
      <c r="W155" s="2">
        <f>U155*0.3</f>
        <v>19.630148088098547</v>
      </c>
      <c r="X155" s="3">
        <v>2.9</v>
      </c>
      <c r="Y155" s="1">
        <v>0.8</v>
      </c>
      <c r="Z155" s="3">
        <f t="shared" si="110"/>
        <v>2.3199999999999998</v>
      </c>
      <c r="AA155" s="3">
        <f>IF(I155&lt;&gt;"",X155/INDEX('energy battery'!$B$3:$D$6,MATCH('vehicles specifications'!$D155,'energy battery'!$A$3:$A$6,0),MATCH('vehicles specifications'!$I155,'energy battery'!$B$2:$D$2,0)),"")</f>
        <v>12.608695652173912</v>
      </c>
      <c r="AB155" s="3">
        <f t="shared" si="115"/>
        <v>3.7826086956521734</v>
      </c>
      <c r="AC155" s="3">
        <f t="shared" si="116"/>
        <v>16.391304347826086</v>
      </c>
      <c r="AD155" s="3">
        <v>1</v>
      </c>
      <c r="AE155" s="3">
        <v>0</v>
      </c>
      <c r="AF155">
        <f>AE155*'fuels and tailpipe emissions'!$B$3</f>
        <v>0</v>
      </c>
      <c r="AG155">
        <v>0</v>
      </c>
      <c r="AH155" s="3">
        <v>0</v>
      </c>
      <c r="AI155" s="3">
        <v>3</v>
      </c>
      <c r="AJ155" s="3">
        <v>1</v>
      </c>
      <c r="AK155">
        <f t="shared" si="129"/>
        <v>1</v>
      </c>
      <c r="AL155">
        <f t="shared" si="65"/>
        <v>1.0903357805132722E-4</v>
      </c>
      <c r="AM155">
        <v>1.2899999999999999E-3</v>
      </c>
      <c r="AN155" s="2">
        <f t="shared" si="111"/>
        <v>65.433826960328489</v>
      </c>
      <c r="AO155" s="2">
        <f t="shared" si="112"/>
        <v>32.716913480164244</v>
      </c>
      <c r="AP155" s="2">
        <f t="shared" si="113"/>
        <v>16.391304347826086</v>
      </c>
      <c r="AQ155" s="6" t="s">
        <v>84</v>
      </c>
      <c r="AR155" s="20"/>
      <c r="AS155" s="6">
        <v>0.182</v>
      </c>
      <c r="AT155" s="2">
        <f t="shared" si="130"/>
        <v>45.890109890109891</v>
      </c>
      <c r="AU155" s="5">
        <v>0</v>
      </c>
      <c r="AV155" s="5">
        <v>0</v>
      </c>
      <c r="AW155" s="7">
        <v>0</v>
      </c>
      <c r="AX155" s="7">
        <v>0</v>
      </c>
      <c r="AY155" s="7">
        <v>0</v>
      </c>
      <c r="AZ155" s="7">
        <v>0</v>
      </c>
      <c r="BA155" s="7">
        <v>0</v>
      </c>
      <c r="BB155" s="7">
        <v>0</v>
      </c>
      <c r="BC155" s="7">
        <v>0</v>
      </c>
      <c r="BD155" s="7">
        <v>0</v>
      </c>
      <c r="BE155" s="7">
        <v>0</v>
      </c>
      <c r="BF155" s="7">
        <v>0</v>
      </c>
      <c r="BG155" s="7">
        <v>0</v>
      </c>
      <c r="BH155" s="7">
        <v>0</v>
      </c>
      <c r="BI155" s="7">
        <v>0</v>
      </c>
      <c r="BJ155" s="7">
        <v>0</v>
      </c>
      <c r="BK155" s="7">
        <v>0</v>
      </c>
      <c r="BL155" s="7">
        <v>0</v>
      </c>
      <c r="BM155" s="7">
        <v>0</v>
      </c>
      <c r="BN155" s="7">
        <v>0</v>
      </c>
      <c r="BO155" s="7">
        <v>0</v>
      </c>
      <c r="BP155" s="7">
        <v>0</v>
      </c>
      <c r="BQ155" s="7">
        <v>0</v>
      </c>
      <c r="BR155" s="7">
        <v>0</v>
      </c>
      <c r="BS155" s="7">
        <v>0</v>
      </c>
      <c r="BT155" s="7">
        <v>0</v>
      </c>
      <c r="BU155" s="7">
        <v>0</v>
      </c>
      <c r="BV155" s="7">
        <v>0</v>
      </c>
      <c r="BW155" s="7">
        <v>0</v>
      </c>
      <c r="BX155" s="7">
        <v>0</v>
      </c>
      <c r="BY155" s="7">
        <v>0</v>
      </c>
      <c r="BZ155" s="7">
        <v>0</v>
      </c>
      <c r="CA155" s="7">
        <v>0</v>
      </c>
      <c r="CB155" s="7">
        <v>0</v>
      </c>
      <c r="CC155" s="7">
        <v>0</v>
      </c>
      <c r="CD155" s="7">
        <v>0</v>
      </c>
      <c r="CE155" s="7">
        <v>0</v>
      </c>
      <c r="CF155" s="7">
        <v>0</v>
      </c>
      <c r="CG155" s="7">
        <v>0</v>
      </c>
      <c r="CH155" s="7">
        <v>0</v>
      </c>
      <c r="CI155" s="7">
        <v>0</v>
      </c>
      <c r="CJ155" s="7">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 t="shared" si="131"/>
        <v>5.1301420234888844E-6</v>
      </c>
      <c r="CW155" s="7">
        <f t="shared" si="132"/>
        <v>2.786385112059529E-6</v>
      </c>
    </row>
    <row r="156" spans="1:101" x14ac:dyDescent="0.2">
      <c r="A156" t="str">
        <f t="shared" si="114"/>
        <v>Motorbike, battery electric, 4-11kW - 2030 - NCA - CH</v>
      </c>
      <c r="B156" t="s">
        <v>656</v>
      </c>
      <c r="D156" s="18">
        <v>2030</v>
      </c>
      <c r="E156" t="s">
        <v>37</v>
      </c>
      <c r="F156" t="s">
        <v>136</v>
      </c>
      <c r="G156" t="s">
        <v>39</v>
      </c>
      <c r="H156" t="s">
        <v>32</v>
      </c>
      <c r="I156" t="s">
        <v>44</v>
      </c>
      <c r="J156">
        <v>25000</v>
      </c>
      <c r="K156">
        <v>1776</v>
      </c>
      <c r="L156" s="2">
        <f t="shared" si="108"/>
        <v>14.076576576576576</v>
      </c>
      <c r="M156">
        <v>1.1000000000000001</v>
      </c>
      <c r="N156">
        <v>75</v>
      </c>
      <c r="O156">
        <v>6</v>
      </c>
      <c r="P156" s="2">
        <f t="shared" si="64"/>
        <v>117.26548785570658</v>
      </c>
      <c r="Q156" s="2">
        <f t="shared" si="109"/>
        <v>205.76548785570657</v>
      </c>
      <c r="R156">
        <v>4.7</v>
      </c>
      <c r="S156" s="2">
        <v>65.433826960328489</v>
      </c>
      <c r="T156" s="1">
        <v>0.03</v>
      </c>
      <c r="U156" s="2">
        <f t="shared" si="139"/>
        <v>63.470812151518629</v>
      </c>
      <c r="V156" s="2">
        <f t="shared" ref="V156:V158" si="140">S156*0.2</f>
        <v>13.086765392065699</v>
      </c>
      <c r="W156" s="2">
        <f t="shared" ref="W156:W158" si="141">U156*0.3</f>
        <v>19.041243645455587</v>
      </c>
      <c r="X156" s="3">
        <v>5</v>
      </c>
      <c r="Y156" s="1">
        <v>0.8</v>
      </c>
      <c r="Z156" s="3">
        <f t="shared" si="110"/>
        <v>4</v>
      </c>
      <c r="AA156" s="3">
        <f>IF(I156&lt;&gt;"",X156/INDEX('energy battery'!$B$3:$D$6,MATCH('vehicles specifications'!$D156,'energy battery'!$A$3:$A$6,0),MATCH('vehicles specifications'!$I156,'energy battery'!$B$2:$D$2,0)),"")</f>
        <v>16.666666666666668</v>
      </c>
      <c r="AB156" s="3">
        <f t="shared" si="115"/>
        <v>5</v>
      </c>
      <c r="AC156" s="3">
        <f t="shared" si="116"/>
        <v>21.666666666666668</v>
      </c>
      <c r="AD156" s="3">
        <v>0.5</v>
      </c>
      <c r="AE156" s="3">
        <v>0</v>
      </c>
      <c r="AF156">
        <f>AE156*'fuels and tailpipe emissions'!$B$3</f>
        <v>0</v>
      </c>
      <c r="AG156">
        <v>0</v>
      </c>
      <c r="AH156" s="3">
        <v>0</v>
      </c>
      <c r="AI156" s="3">
        <v>3</v>
      </c>
      <c r="AJ156" s="3">
        <v>1</v>
      </c>
      <c r="AK156">
        <f t="shared" si="129"/>
        <v>1</v>
      </c>
      <c r="AL156">
        <f t="shared" si="65"/>
        <v>1.1049606697851443E-4</v>
      </c>
      <c r="AM156">
        <v>1.2899999999999999E-3</v>
      </c>
      <c r="AN156" s="2">
        <f t="shared" si="111"/>
        <v>63.470812151518629</v>
      </c>
      <c r="AO156" s="2">
        <f t="shared" si="112"/>
        <v>32.128009037521288</v>
      </c>
      <c r="AP156" s="2">
        <f t="shared" si="113"/>
        <v>21.666666666666668</v>
      </c>
      <c r="AQ156" s="6" t="s">
        <v>84</v>
      </c>
      <c r="AR156" s="20"/>
      <c r="AS156" s="6">
        <v>0.182</v>
      </c>
      <c r="AT156" s="2">
        <f t="shared" si="130"/>
        <v>79.120879120879124</v>
      </c>
      <c r="AU156" s="5">
        <v>0</v>
      </c>
      <c r="AV156" s="5">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7">
        <v>0</v>
      </c>
      <c r="BM156" s="7">
        <v>0</v>
      </c>
      <c r="BN156" s="7">
        <v>0</v>
      </c>
      <c r="BO156" s="7">
        <v>0</v>
      </c>
      <c r="BP156" s="7">
        <v>0</v>
      </c>
      <c r="BQ156" s="7">
        <v>0</v>
      </c>
      <c r="BR156" s="7">
        <v>0</v>
      </c>
      <c r="BS156" s="7">
        <v>0</v>
      </c>
      <c r="BT156" s="7">
        <v>0</v>
      </c>
      <c r="BU156" s="7">
        <v>0</v>
      </c>
      <c r="BV156" s="7">
        <v>0</v>
      </c>
      <c r="BW156" s="7">
        <v>0</v>
      </c>
      <c r="BX156" s="7">
        <v>0</v>
      </c>
      <c r="BY156" s="7">
        <v>0</v>
      </c>
      <c r="BZ156" s="7">
        <v>0</v>
      </c>
      <c r="CA156" s="7">
        <v>0</v>
      </c>
      <c r="CB156" s="7">
        <v>0</v>
      </c>
      <c r="CC156" s="7">
        <v>0</v>
      </c>
      <c r="CD156" s="7">
        <v>0</v>
      </c>
      <c r="CE156" s="7">
        <v>0</v>
      </c>
      <c r="CF156" s="7">
        <v>0</v>
      </c>
      <c r="CG156" s="7">
        <v>0</v>
      </c>
      <c r="CH156" s="7">
        <v>0</v>
      </c>
      <c r="CI156" s="7">
        <v>0</v>
      </c>
      <c r="CJ156" s="7">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 t="shared" si="131"/>
        <v>5.1680356419013357E-6</v>
      </c>
      <c r="CW156" s="7">
        <f t="shared" si="132"/>
        <v>2.8111779103993913E-6</v>
      </c>
    </row>
    <row r="157" spans="1:101" x14ac:dyDescent="0.2">
      <c r="A157" t="str">
        <f t="shared" si="114"/>
        <v>Motorbike, battery electric, 4-11kW - 2040 - NCA - CH</v>
      </c>
      <c r="B157" t="s">
        <v>656</v>
      </c>
      <c r="D157" s="18">
        <v>2040</v>
      </c>
      <c r="E157" t="s">
        <v>37</v>
      </c>
      <c r="F157" t="s">
        <v>136</v>
      </c>
      <c r="G157" t="s">
        <v>39</v>
      </c>
      <c r="H157" t="s">
        <v>32</v>
      </c>
      <c r="I157" t="s">
        <v>44</v>
      </c>
      <c r="J157">
        <v>25000</v>
      </c>
      <c r="K157">
        <v>1776</v>
      </c>
      <c r="L157" s="2">
        <f t="shared" si="108"/>
        <v>14.076576576576576</v>
      </c>
      <c r="M157">
        <v>1.1000000000000001</v>
      </c>
      <c r="N157">
        <v>75</v>
      </c>
      <c r="O157">
        <v>6</v>
      </c>
      <c r="P157" s="2">
        <f t="shared" si="64"/>
        <v>116.64754168807137</v>
      </c>
      <c r="Q157" s="2">
        <f t="shared" si="109"/>
        <v>205.14754168807139</v>
      </c>
      <c r="R157">
        <v>4.7</v>
      </c>
      <c r="S157" s="2">
        <v>65.433826960328489</v>
      </c>
      <c r="T157" s="1">
        <v>0.05</v>
      </c>
      <c r="U157" s="2">
        <f t="shared" si="139"/>
        <v>62.162135612312063</v>
      </c>
      <c r="V157" s="2">
        <f t="shared" si="140"/>
        <v>13.086765392065699</v>
      </c>
      <c r="W157" s="2">
        <f t="shared" si="141"/>
        <v>18.648640683693618</v>
      </c>
      <c r="X157" s="3">
        <v>7</v>
      </c>
      <c r="Y157" s="1">
        <v>0.8</v>
      </c>
      <c r="Z157" s="3">
        <f t="shared" si="110"/>
        <v>5.6000000000000005</v>
      </c>
      <c r="AA157" s="3">
        <f>IF(I157&lt;&gt;"",X157/INDEX('energy battery'!$B$3:$D$6,MATCH('vehicles specifications'!$D157,'energy battery'!$A$3:$A$6,0),MATCH('vehicles specifications'!$I157,'energy battery'!$B$2:$D$2,0)),"")</f>
        <v>17.5</v>
      </c>
      <c r="AB157" s="3">
        <f t="shared" si="115"/>
        <v>5.25</v>
      </c>
      <c r="AC157" s="3">
        <f t="shared" si="116"/>
        <v>22.75</v>
      </c>
      <c r="AD157" s="3">
        <v>0.25</v>
      </c>
      <c r="AE157" s="3">
        <v>0</v>
      </c>
      <c r="AF157">
        <f>AE157*'fuels and tailpipe emissions'!$B$3</f>
        <v>0</v>
      </c>
      <c r="AG157">
        <v>0</v>
      </c>
      <c r="AH157" s="3">
        <v>0</v>
      </c>
      <c r="AI157" s="3">
        <v>3</v>
      </c>
      <c r="AJ157" s="3">
        <v>1</v>
      </c>
      <c r="AK157">
        <f t="shared" si="129"/>
        <v>1</v>
      </c>
      <c r="AL157">
        <f t="shared" si="65"/>
        <v>1.1016422988649433E-4</v>
      </c>
      <c r="AM157">
        <v>1.2899999999999999E-3</v>
      </c>
      <c r="AN157" s="2">
        <f t="shared" si="111"/>
        <v>62.162135612312063</v>
      </c>
      <c r="AO157" s="2">
        <f t="shared" si="112"/>
        <v>31.735406075759315</v>
      </c>
      <c r="AP157" s="2">
        <f t="shared" si="113"/>
        <v>22.75</v>
      </c>
      <c r="AQ157" s="6" t="s">
        <v>84</v>
      </c>
      <c r="AR157" s="20"/>
      <c r="AS157" s="6">
        <v>0.182</v>
      </c>
      <c r="AT157" s="2">
        <f t="shared" si="130"/>
        <v>110.76923076923079</v>
      </c>
      <c r="AU157" s="5">
        <v>0</v>
      </c>
      <c r="AV157" s="5">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7">
        <v>0</v>
      </c>
      <c r="BM157" s="7">
        <v>0</v>
      </c>
      <c r="BN157" s="7">
        <v>0</v>
      </c>
      <c r="BO157" s="7">
        <v>0</v>
      </c>
      <c r="BP157" s="7">
        <v>0</v>
      </c>
      <c r="BQ157" s="7">
        <v>0</v>
      </c>
      <c r="BR157" s="7">
        <v>0</v>
      </c>
      <c r="BS157" s="7">
        <v>0</v>
      </c>
      <c r="BT157" s="7">
        <v>0</v>
      </c>
      <c r="BU157" s="7">
        <v>0</v>
      </c>
      <c r="BV157" s="7">
        <v>0</v>
      </c>
      <c r="BW157" s="7">
        <v>0</v>
      </c>
      <c r="BX157" s="7">
        <v>0</v>
      </c>
      <c r="BY157" s="7">
        <v>0</v>
      </c>
      <c r="BZ157" s="7">
        <v>0</v>
      </c>
      <c r="CA157" s="7">
        <v>0</v>
      </c>
      <c r="CB157" s="7">
        <v>0</v>
      </c>
      <c r="CC157" s="7">
        <v>0</v>
      </c>
      <c r="CD157" s="7">
        <v>0</v>
      </c>
      <c r="CE157" s="7">
        <v>0</v>
      </c>
      <c r="CF157" s="7">
        <v>0</v>
      </c>
      <c r="CG157" s="7">
        <v>0</v>
      </c>
      <c r="CH157" s="7">
        <v>0</v>
      </c>
      <c r="CI157" s="7">
        <v>0</v>
      </c>
      <c r="CJ157" s="7">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 t="shared" si="131"/>
        <v>5.1594719500757633E-6</v>
      </c>
      <c r="CW157" s="7">
        <f t="shared" si="132"/>
        <v>2.805567697126877E-6</v>
      </c>
    </row>
    <row r="158" spans="1:101" x14ac:dyDescent="0.2">
      <c r="A158" t="str">
        <f t="shared" si="114"/>
        <v>Motorbike, battery electric, 4-11kW - 2050 - NCA - CH</v>
      </c>
      <c r="B158" t="s">
        <v>656</v>
      </c>
      <c r="D158" s="18">
        <v>2050</v>
      </c>
      <c r="E158" t="s">
        <v>37</v>
      </c>
      <c r="F158" t="s">
        <v>136</v>
      </c>
      <c r="G158" t="s">
        <v>39</v>
      </c>
      <c r="H158" t="s">
        <v>32</v>
      </c>
      <c r="I158" t="s">
        <v>44</v>
      </c>
      <c r="J158">
        <v>25000</v>
      </c>
      <c r="K158">
        <v>1776</v>
      </c>
      <c r="L158" s="2">
        <f t="shared" si="108"/>
        <v>14.076576576576576</v>
      </c>
      <c r="M158">
        <v>1.1000000000000001</v>
      </c>
      <c r="N158">
        <v>75</v>
      </c>
      <c r="O158">
        <v>6</v>
      </c>
      <c r="P158" s="2">
        <f t="shared" si="64"/>
        <v>116.89626218710283</v>
      </c>
      <c r="Q158" s="2">
        <f t="shared" si="109"/>
        <v>205.39626218710282</v>
      </c>
      <c r="R158">
        <v>4.7</v>
      </c>
      <c r="S158" s="2">
        <v>65.433826960328489</v>
      </c>
      <c r="T158" s="1">
        <v>7.0000000000000007E-2</v>
      </c>
      <c r="U158" s="2">
        <f t="shared" si="139"/>
        <v>60.853459073105491</v>
      </c>
      <c r="V158" s="2">
        <f t="shared" si="140"/>
        <v>13.086765392065699</v>
      </c>
      <c r="W158" s="2">
        <f t="shared" si="141"/>
        <v>18.256037721931648</v>
      </c>
      <c r="X158" s="3">
        <v>9.5</v>
      </c>
      <c r="Y158" s="1">
        <v>0.8</v>
      </c>
      <c r="Z158" s="3">
        <f t="shared" si="110"/>
        <v>7.6000000000000005</v>
      </c>
      <c r="AA158" s="3">
        <f>IF(I158&lt;&gt;"",X158/INDEX('energy battery'!$B$3:$D$6,MATCH('vehicles specifications'!$D158,'energy battery'!$A$3:$A$6,0),MATCH('vehicles specifications'!$I158,'energy battery'!$B$2:$D$2,0)),"")</f>
        <v>19</v>
      </c>
      <c r="AB158" s="3">
        <f t="shared" si="115"/>
        <v>5.7</v>
      </c>
      <c r="AC158" s="3">
        <f t="shared" si="116"/>
        <v>24.7</v>
      </c>
      <c r="AD158" s="3">
        <v>0</v>
      </c>
      <c r="AE158" s="3">
        <v>0</v>
      </c>
      <c r="AF158">
        <f>AE158*'fuels and tailpipe emissions'!$B$3</f>
        <v>0</v>
      </c>
      <c r="AG158">
        <v>0</v>
      </c>
      <c r="AH158" s="3">
        <v>0</v>
      </c>
      <c r="AI158" s="3">
        <v>3</v>
      </c>
      <c r="AJ158" s="3">
        <v>1</v>
      </c>
      <c r="AK158">
        <f t="shared" si="129"/>
        <v>1</v>
      </c>
      <c r="AL158">
        <f t="shared" si="65"/>
        <v>1.1029779279447421E-4</v>
      </c>
      <c r="AM158">
        <v>1.2899999999999999E-3</v>
      </c>
      <c r="AN158" s="2">
        <f t="shared" si="111"/>
        <v>60.853459073105491</v>
      </c>
      <c r="AO158" s="2">
        <f t="shared" si="112"/>
        <v>31.342803113997348</v>
      </c>
      <c r="AP158" s="2">
        <f t="shared" si="113"/>
        <v>24.7</v>
      </c>
      <c r="AQ158" s="6" t="s">
        <v>84</v>
      </c>
      <c r="AR158" s="20"/>
      <c r="AS158" s="6">
        <v>0.182</v>
      </c>
      <c r="AT158" s="2">
        <f t="shared" si="130"/>
        <v>150.32967032967034</v>
      </c>
      <c r="AU158" s="5">
        <v>0</v>
      </c>
      <c r="AV158" s="5">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7">
        <v>0</v>
      </c>
      <c r="BM158" s="7">
        <v>0</v>
      </c>
      <c r="BN158" s="7">
        <v>0</v>
      </c>
      <c r="BO158" s="7">
        <v>0</v>
      </c>
      <c r="BP158" s="7">
        <v>0</v>
      </c>
      <c r="BQ158" s="7">
        <v>0</v>
      </c>
      <c r="BR158" s="7">
        <v>0</v>
      </c>
      <c r="BS158" s="7">
        <v>0</v>
      </c>
      <c r="BT158" s="7">
        <v>0</v>
      </c>
      <c r="BU158" s="7">
        <v>0</v>
      </c>
      <c r="BV158" s="7">
        <v>0</v>
      </c>
      <c r="BW158" s="7">
        <v>0</v>
      </c>
      <c r="BX158" s="7">
        <v>0</v>
      </c>
      <c r="BY158" s="7">
        <v>0</v>
      </c>
      <c r="BZ158" s="7">
        <v>0</v>
      </c>
      <c r="CA158" s="7">
        <v>0</v>
      </c>
      <c r="CB158" s="7">
        <v>0</v>
      </c>
      <c r="CC158" s="7">
        <v>0</v>
      </c>
      <c r="CD158" s="7">
        <v>0</v>
      </c>
      <c r="CE158" s="7">
        <v>0</v>
      </c>
      <c r="CF158" s="7">
        <v>0</v>
      </c>
      <c r="CG158" s="7">
        <v>0</v>
      </c>
      <c r="CH158" s="7">
        <v>0</v>
      </c>
      <c r="CI158" s="7">
        <v>0</v>
      </c>
      <c r="CJ158" s="7">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 t="shared" si="131"/>
        <v>5.1629211982562471E-6</v>
      </c>
      <c r="CW158" s="7">
        <f t="shared" si="132"/>
        <v>2.8078268502623069E-6</v>
      </c>
    </row>
    <row r="159" spans="1:101" x14ac:dyDescent="0.2">
      <c r="A159" t="str">
        <f t="shared" si="114"/>
        <v>Motorbike, battery electric, 11-35kW - 2020 - NCA - CH</v>
      </c>
      <c r="B159" t="s">
        <v>657</v>
      </c>
      <c r="D159" s="18">
        <v>2020</v>
      </c>
      <c r="E159" t="s">
        <v>37</v>
      </c>
      <c r="F159" t="s">
        <v>136</v>
      </c>
      <c r="G159" t="s">
        <v>39</v>
      </c>
      <c r="H159" t="s">
        <v>32</v>
      </c>
      <c r="I159" t="s">
        <v>44</v>
      </c>
      <c r="J159">
        <v>38500</v>
      </c>
      <c r="K159">
        <v>2405</v>
      </c>
      <c r="L159" s="2">
        <f t="shared" si="108"/>
        <v>16.008316008316008</v>
      </c>
      <c r="M159">
        <v>1.1000000000000001</v>
      </c>
      <c r="N159">
        <v>75</v>
      </c>
      <c r="O159">
        <v>6</v>
      </c>
      <c r="P159" s="2">
        <f t="shared" si="64"/>
        <v>158.78260869565216</v>
      </c>
      <c r="Q159" s="2">
        <f t="shared" si="109"/>
        <v>247.28260869565216</v>
      </c>
      <c r="R159">
        <v>14</v>
      </c>
      <c r="S159" s="2">
        <v>81</v>
      </c>
      <c r="T159" s="1">
        <v>0</v>
      </c>
      <c r="U159" s="2">
        <f t="shared" si="139"/>
        <v>81</v>
      </c>
      <c r="V159" s="2">
        <v>13</v>
      </c>
      <c r="W159" s="2">
        <v>19</v>
      </c>
      <c r="X159" s="3">
        <v>8.1</v>
      </c>
      <c r="Y159" s="1">
        <v>0.8</v>
      </c>
      <c r="Z159" s="3">
        <f t="shared" si="110"/>
        <v>6.48</v>
      </c>
      <c r="AA159" s="3">
        <f>IF(I159&lt;&gt;"",X159/INDEX('energy battery'!$B$3:$D$6,MATCH('vehicles specifications'!$D159,'energy battery'!$A$3:$A$6,0),MATCH('vehicles specifications'!$I159,'energy battery'!$B$2:$D$2,0)),"")</f>
        <v>35.217391304347821</v>
      </c>
      <c r="AB159" s="3">
        <f t="shared" si="115"/>
        <v>10.565217391304346</v>
      </c>
      <c r="AC159" s="3">
        <f t="shared" si="116"/>
        <v>45.782608695652165</v>
      </c>
      <c r="AD159" s="3">
        <v>1</v>
      </c>
      <c r="AE159" s="3">
        <v>0</v>
      </c>
      <c r="AF159">
        <f>AE159*'fuels and tailpipe emissions'!$B$3</f>
        <v>0</v>
      </c>
      <c r="AG159">
        <v>0</v>
      </c>
      <c r="AH159" s="3">
        <v>0</v>
      </c>
      <c r="AI159" s="3">
        <v>5</v>
      </c>
      <c r="AJ159" s="3">
        <v>1</v>
      </c>
      <c r="AK159">
        <f t="shared" si="129"/>
        <v>1.54</v>
      </c>
      <c r="AL159">
        <f t="shared" si="65"/>
        <v>1.3279076086956522E-4</v>
      </c>
      <c r="AM159">
        <v>1.2899999999999999E-3</v>
      </c>
      <c r="AN159" s="2">
        <f t="shared" si="111"/>
        <v>81</v>
      </c>
      <c r="AO159" s="2">
        <f t="shared" si="112"/>
        <v>32</v>
      </c>
      <c r="AP159" s="2">
        <f t="shared" si="113"/>
        <v>45.782608695652165</v>
      </c>
      <c r="AQ159" s="6" t="s">
        <v>84</v>
      </c>
      <c r="AR159" s="20"/>
      <c r="AS159" s="6">
        <v>0.24635579913730349</v>
      </c>
      <c r="AT159" s="2">
        <f t="shared" si="130"/>
        <v>94.692311208791224</v>
      </c>
      <c r="AU159" s="5">
        <v>0</v>
      </c>
      <c r="AV159" s="5">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7">
        <v>0</v>
      </c>
      <c r="BM159" s="7">
        <v>0</v>
      </c>
      <c r="BN159" s="7">
        <v>0</v>
      </c>
      <c r="BO159" s="7">
        <v>0</v>
      </c>
      <c r="BP159" s="7">
        <v>0</v>
      </c>
      <c r="BQ159" s="7">
        <v>0</v>
      </c>
      <c r="BR159" s="7">
        <v>0</v>
      </c>
      <c r="BS159" s="7">
        <v>0</v>
      </c>
      <c r="BT159" s="7">
        <v>0</v>
      </c>
      <c r="BU159" s="7">
        <v>0</v>
      </c>
      <c r="BV159" s="7">
        <v>0</v>
      </c>
      <c r="BW159" s="7">
        <v>0</v>
      </c>
      <c r="BX159" s="7">
        <v>0</v>
      </c>
      <c r="BY159" s="7">
        <v>0</v>
      </c>
      <c r="BZ159" s="7">
        <v>0</v>
      </c>
      <c r="CA159" s="7">
        <v>0</v>
      </c>
      <c r="CB159" s="7">
        <v>0</v>
      </c>
      <c r="CC159" s="7">
        <v>0</v>
      </c>
      <c r="CD159" s="7">
        <v>0</v>
      </c>
      <c r="CE159" s="7">
        <v>0</v>
      </c>
      <c r="CF159" s="7">
        <v>0</v>
      </c>
      <c r="CG159" s="7">
        <v>0</v>
      </c>
      <c r="CH159" s="7">
        <v>0</v>
      </c>
      <c r="CI159" s="7">
        <v>0</v>
      </c>
      <c r="CJ159" s="7">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 t="shared" si="131"/>
        <v>5.7036378145694137E-6</v>
      </c>
      <c r="CW159" s="7">
        <f t="shared" si="132"/>
        <v>3.1700419328860428E-6</v>
      </c>
    </row>
    <row r="160" spans="1:101" x14ac:dyDescent="0.2">
      <c r="A160" t="str">
        <f t="shared" si="114"/>
        <v>Motorbike, battery electric, 11-35kW - 2030 - NCA - CH</v>
      </c>
      <c r="B160" t="s">
        <v>657</v>
      </c>
      <c r="D160" s="18">
        <v>2030</v>
      </c>
      <c r="E160" t="s">
        <v>37</v>
      </c>
      <c r="F160" t="s">
        <v>136</v>
      </c>
      <c r="G160" t="s">
        <v>39</v>
      </c>
      <c r="H160" t="s">
        <v>32</v>
      </c>
      <c r="I160" t="s">
        <v>44</v>
      </c>
      <c r="J160">
        <v>38500</v>
      </c>
      <c r="K160">
        <v>2405</v>
      </c>
      <c r="L160" s="2">
        <f t="shared" si="108"/>
        <v>16.008316008316008</v>
      </c>
      <c r="M160">
        <v>1.1000000000000001</v>
      </c>
      <c r="N160">
        <v>75</v>
      </c>
      <c r="O160">
        <v>6</v>
      </c>
      <c r="P160" s="2">
        <f t="shared" si="64"/>
        <v>166.03666666666666</v>
      </c>
      <c r="Q160" s="2">
        <f t="shared" si="109"/>
        <v>254.53666666666666</v>
      </c>
      <c r="R160">
        <v>14</v>
      </c>
      <c r="S160" s="2">
        <v>81</v>
      </c>
      <c r="T160" s="1">
        <v>0.03</v>
      </c>
      <c r="U160" s="2">
        <f t="shared" si="139"/>
        <v>78.569999999999993</v>
      </c>
      <c r="V160" s="2">
        <v>13</v>
      </c>
      <c r="W160" s="2">
        <v>19</v>
      </c>
      <c r="X160" s="3">
        <v>12.8</v>
      </c>
      <c r="Y160" s="1">
        <v>0.8</v>
      </c>
      <c r="Z160" s="3">
        <f t="shared" si="110"/>
        <v>10.240000000000002</v>
      </c>
      <c r="AA160" s="3">
        <f>IF(I160&lt;&gt;"",X160/INDEX('energy battery'!$B$3:$D$6,MATCH('vehicles specifications'!$D160,'energy battery'!$A$3:$A$6,0),MATCH('vehicles specifications'!$I160,'energy battery'!$B$2:$D$2,0)),"")</f>
        <v>42.666666666666671</v>
      </c>
      <c r="AB160" s="3">
        <f t="shared" si="115"/>
        <v>12.8</v>
      </c>
      <c r="AC160" s="3">
        <f t="shared" si="116"/>
        <v>55.466666666666669</v>
      </c>
      <c r="AD160" s="3">
        <v>0.5</v>
      </c>
      <c r="AE160" s="3">
        <v>0</v>
      </c>
      <c r="AF160">
        <f>AE160*'fuels and tailpipe emissions'!$B$3</f>
        <v>0</v>
      </c>
      <c r="AG160">
        <v>0</v>
      </c>
      <c r="AH160" s="3">
        <v>0</v>
      </c>
      <c r="AI160" s="3">
        <v>5</v>
      </c>
      <c r="AJ160" s="3">
        <v>1</v>
      </c>
      <c r="AK160">
        <f t="shared" si="129"/>
        <v>1.54</v>
      </c>
      <c r="AL160">
        <f t="shared" si="65"/>
        <v>1.3668618999999998E-4</v>
      </c>
      <c r="AM160">
        <v>1.2899999999999999E-3</v>
      </c>
      <c r="AN160" s="2">
        <f t="shared" si="111"/>
        <v>78.569999999999993</v>
      </c>
      <c r="AO160" s="2">
        <f t="shared" si="112"/>
        <v>32</v>
      </c>
      <c r="AP160" s="2">
        <f t="shared" si="113"/>
        <v>55.466666666666669</v>
      </c>
      <c r="AQ160" s="6" t="s">
        <v>84</v>
      </c>
      <c r="AR160" s="20"/>
      <c r="AS160" s="6">
        <v>0.24635579913730349</v>
      </c>
      <c r="AT160" s="2">
        <f t="shared" si="130"/>
        <v>149.63723252747255</v>
      </c>
      <c r="AU160" s="5">
        <v>0</v>
      </c>
      <c r="AV160" s="5">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7">
        <v>0</v>
      </c>
      <c r="BM160" s="7">
        <v>0</v>
      </c>
      <c r="BN160" s="7">
        <v>0</v>
      </c>
      <c r="BO160" s="7">
        <v>0</v>
      </c>
      <c r="BP160" s="7">
        <v>0</v>
      </c>
      <c r="BQ160" s="7">
        <v>0</v>
      </c>
      <c r="BR160" s="7">
        <v>0</v>
      </c>
      <c r="BS160" s="7">
        <v>0</v>
      </c>
      <c r="BT160" s="7">
        <v>0</v>
      </c>
      <c r="BU160" s="7">
        <v>0</v>
      </c>
      <c r="BV160" s="7">
        <v>0</v>
      </c>
      <c r="BW160" s="7">
        <v>0</v>
      </c>
      <c r="BX160" s="7">
        <v>0</v>
      </c>
      <c r="BY160" s="7">
        <v>0</v>
      </c>
      <c r="BZ160" s="7">
        <v>0</v>
      </c>
      <c r="CA160" s="7">
        <v>0</v>
      </c>
      <c r="CB160" s="7">
        <v>0</v>
      </c>
      <c r="CC160" s="7">
        <v>0</v>
      </c>
      <c r="CD160" s="7">
        <v>0</v>
      </c>
      <c r="CE160" s="7">
        <v>0</v>
      </c>
      <c r="CF160" s="7">
        <v>0</v>
      </c>
      <c r="CG160" s="7">
        <v>0</v>
      </c>
      <c r="CH160" s="7">
        <v>0</v>
      </c>
      <c r="CI160" s="7">
        <v>0</v>
      </c>
      <c r="CJ160" s="7">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 t="shared" si="131"/>
        <v>5.7903454773815019E-6</v>
      </c>
      <c r="CW160" s="7">
        <f t="shared" si="132"/>
        <v>3.2295454524199181E-6</v>
      </c>
    </row>
    <row r="161" spans="1:101" x14ac:dyDescent="0.2">
      <c r="A161" t="str">
        <f t="shared" si="114"/>
        <v>Motorbike, battery electric, 11-35kW - 2040 - NCA - CH</v>
      </c>
      <c r="B161" t="s">
        <v>657</v>
      </c>
      <c r="D161" s="18">
        <v>2040</v>
      </c>
      <c r="E161" t="s">
        <v>37</v>
      </c>
      <c r="F161" t="s">
        <v>136</v>
      </c>
      <c r="G161" t="s">
        <v>39</v>
      </c>
      <c r="H161" t="s">
        <v>32</v>
      </c>
      <c r="I161" t="s">
        <v>44</v>
      </c>
      <c r="J161">
        <v>38500</v>
      </c>
      <c r="K161">
        <v>2405</v>
      </c>
      <c r="L161" s="2">
        <f t="shared" si="108"/>
        <v>16.008316008316008</v>
      </c>
      <c r="M161">
        <v>1.1000000000000001</v>
      </c>
      <c r="N161">
        <v>75</v>
      </c>
      <c r="O161">
        <v>6</v>
      </c>
      <c r="P161" s="2">
        <f t="shared" si="64"/>
        <v>166.8</v>
      </c>
      <c r="Q161" s="2">
        <f t="shared" si="109"/>
        <v>255.3</v>
      </c>
      <c r="R161">
        <v>14</v>
      </c>
      <c r="S161" s="2">
        <v>81</v>
      </c>
      <c r="T161" s="1">
        <v>0.05</v>
      </c>
      <c r="U161" s="2">
        <f t="shared" si="139"/>
        <v>76.95</v>
      </c>
      <c r="V161" s="2">
        <v>13</v>
      </c>
      <c r="W161" s="2">
        <v>19</v>
      </c>
      <c r="X161" s="3">
        <v>17.8</v>
      </c>
      <c r="Y161" s="1">
        <v>0.8</v>
      </c>
      <c r="Z161" s="3">
        <f t="shared" si="110"/>
        <v>14.240000000000002</v>
      </c>
      <c r="AA161" s="3">
        <f>IF(I161&lt;&gt;"",X161/INDEX('energy battery'!$B$3:$D$6,MATCH('vehicles specifications'!$D161,'energy battery'!$A$3:$A$6,0),MATCH('vehicles specifications'!$I161,'energy battery'!$B$2:$D$2,0)),"")</f>
        <v>44.5</v>
      </c>
      <c r="AB161" s="3">
        <f t="shared" si="115"/>
        <v>13.35</v>
      </c>
      <c r="AC161" s="3">
        <f t="shared" si="116"/>
        <v>57.85</v>
      </c>
      <c r="AD161" s="3">
        <v>0.25</v>
      </c>
      <c r="AE161" s="3">
        <v>0</v>
      </c>
      <c r="AF161">
        <f>AE161*'fuels and tailpipe emissions'!$B$3</f>
        <v>0</v>
      </c>
      <c r="AG161">
        <v>0</v>
      </c>
      <c r="AH161" s="3">
        <v>0</v>
      </c>
      <c r="AI161" s="3">
        <v>5</v>
      </c>
      <c r="AJ161" s="3">
        <v>1</v>
      </c>
      <c r="AK161">
        <f t="shared" si="129"/>
        <v>1.54</v>
      </c>
      <c r="AL161">
        <f t="shared" si="65"/>
        <v>1.370961E-4</v>
      </c>
      <c r="AM161">
        <v>1.2899999999999999E-3</v>
      </c>
      <c r="AN161" s="2">
        <f t="shared" si="111"/>
        <v>76.95</v>
      </c>
      <c r="AO161" s="2">
        <f t="shared" si="112"/>
        <v>32</v>
      </c>
      <c r="AP161" s="2">
        <f t="shared" si="113"/>
        <v>57.85</v>
      </c>
      <c r="AQ161" s="6" t="s">
        <v>84</v>
      </c>
      <c r="AR161" s="20"/>
      <c r="AS161" s="6">
        <v>0.24635579913730349</v>
      </c>
      <c r="AT161" s="2">
        <f t="shared" si="130"/>
        <v>208.08927648351653</v>
      </c>
      <c r="AU161" s="5">
        <v>0</v>
      </c>
      <c r="AV161" s="5">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7">
        <v>0</v>
      </c>
      <c r="BM161" s="7">
        <v>0</v>
      </c>
      <c r="BN161" s="7">
        <v>0</v>
      </c>
      <c r="BO161" s="7">
        <v>0</v>
      </c>
      <c r="BP161" s="7">
        <v>0</v>
      </c>
      <c r="BQ161" s="7">
        <v>0</v>
      </c>
      <c r="BR161" s="7">
        <v>0</v>
      </c>
      <c r="BS161" s="7">
        <v>0</v>
      </c>
      <c r="BT161" s="7">
        <v>0</v>
      </c>
      <c r="BU161" s="7">
        <v>0</v>
      </c>
      <c r="BV161" s="7">
        <v>0</v>
      </c>
      <c r="BW161" s="7">
        <v>0</v>
      </c>
      <c r="BX161" s="7">
        <v>0</v>
      </c>
      <c r="BY161" s="7">
        <v>0</v>
      </c>
      <c r="BZ161" s="7">
        <v>0</v>
      </c>
      <c r="CA161" s="7">
        <v>0</v>
      </c>
      <c r="CB161" s="7">
        <v>0</v>
      </c>
      <c r="CC161" s="7">
        <v>0</v>
      </c>
      <c r="CD161" s="7">
        <v>0</v>
      </c>
      <c r="CE161" s="7">
        <v>0</v>
      </c>
      <c r="CF161" s="7">
        <v>0</v>
      </c>
      <c r="CG161" s="7">
        <v>0</v>
      </c>
      <c r="CH161" s="7">
        <v>0</v>
      </c>
      <c r="CI161" s="7">
        <v>0</v>
      </c>
      <c r="CJ161" s="7">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 t="shared" si="131"/>
        <v>5.7993671866676433E-6</v>
      </c>
      <c r="CW161" s="7">
        <f t="shared" si="132"/>
        <v>3.2357581705559849E-6</v>
      </c>
    </row>
    <row r="162" spans="1:101" x14ac:dyDescent="0.2">
      <c r="A162" t="str">
        <f t="shared" si="114"/>
        <v>Motorbike, battery electric, 11-35kW - 2050 - NCA - CH</v>
      </c>
      <c r="B162" t="s">
        <v>657</v>
      </c>
      <c r="D162" s="18">
        <v>2050</v>
      </c>
      <c r="E162" t="s">
        <v>37</v>
      </c>
      <c r="F162" t="s">
        <v>136</v>
      </c>
      <c r="G162" t="s">
        <v>39</v>
      </c>
      <c r="H162" t="s">
        <v>32</v>
      </c>
      <c r="I162" t="s">
        <v>44</v>
      </c>
      <c r="J162">
        <v>38500</v>
      </c>
      <c r="K162">
        <v>2405</v>
      </c>
      <c r="L162" s="2">
        <f t="shared" si="108"/>
        <v>16.008316008316008</v>
      </c>
      <c r="M162">
        <v>1.1000000000000001</v>
      </c>
      <c r="N162">
        <v>75</v>
      </c>
      <c r="O162">
        <v>6</v>
      </c>
      <c r="P162" s="2">
        <f t="shared" si="64"/>
        <v>166.61</v>
      </c>
      <c r="Q162" s="2">
        <f t="shared" si="109"/>
        <v>255.11</v>
      </c>
      <c r="R162">
        <v>14</v>
      </c>
      <c r="S162" s="2">
        <v>81</v>
      </c>
      <c r="T162" s="1">
        <v>7.0000000000000007E-2</v>
      </c>
      <c r="U162" s="2">
        <f t="shared" si="139"/>
        <v>75.33</v>
      </c>
      <c r="V162" s="2">
        <v>13</v>
      </c>
      <c r="W162" s="2">
        <v>19</v>
      </c>
      <c r="X162" s="3">
        <v>22.8</v>
      </c>
      <c r="Y162" s="1">
        <v>0.8</v>
      </c>
      <c r="Z162" s="3">
        <f t="shared" si="110"/>
        <v>18.240000000000002</v>
      </c>
      <c r="AA162" s="3">
        <f>IF(I162&lt;&gt;"",X162/INDEX('energy battery'!$B$3:$D$6,MATCH('vehicles specifications'!$D162,'energy battery'!$A$3:$A$6,0),MATCH('vehicles specifications'!$I162,'energy battery'!$B$2:$D$2,0)),"")</f>
        <v>45.6</v>
      </c>
      <c r="AB162" s="3">
        <f t="shared" si="115"/>
        <v>13.68</v>
      </c>
      <c r="AC162" s="3">
        <f t="shared" si="116"/>
        <v>59.28</v>
      </c>
      <c r="AD162" s="3">
        <v>0</v>
      </c>
      <c r="AE162" s="3">
        <v>0</v>
      </c>
      <c r="AF162">
        <f>AE162*'fuels and tailpipe emissions'!$B$3</f>
        <v>0</v>
      </c>
      <c r="AG162">
        <v>0</v>
      </c>
      <c r="AH162" s="3">
        <v>0</v>
      </c>
      <c r="AI162" s="3">
        <v>5</v>
      </c>
      <c r="AJ162" s="3">
        <v>1</v>
      </c>
      <c r="AK162">
        <f t="shared" si="129"/>
        <v>1.54</v>
      </c>
      <c r="AL162">
        <f t="shared" si="65"/>
        <v>1.3699407E-4</v>
      </c>
      <c r="AM162">
        <v>1.2899999999999999E-3</v>
      </c>
      <c r="AN162" s="2">
        <f t="shared" si="111"/>
        <v>75.33</v>
      </c>
      <c r="AO162" s="2">
        <f t="shared" si="112"/>
        <v>32</v>
      </c>
      <c r="AP162" s="2">
        <f t="shared" si="113"/>
        <v>59.28</v>
      </c>
      <c r="AQ162" s="6" t="s">
        <v>84</v>
      </c>
      <c r="AR162" s="20"/>
      <c r="AS162" s="6">
        <v>0.24635579913730349</v>
      </c>
      <c r="AT162" s="2">
        <f t="shared" si="130"/>
        <v>266.54132043956048</v>
      </c>
      <c r="AU162" s="5">
        <v>0</v>
      </c>
      <c r="AV162" s="5">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7">
        <v>0</v>
      </c>
      <c r="BM162" s="7">
        <v>0</v>
      </c>
      <c r="BN162" s="7">
        <v>0</v>
      </c>
      <c r="BO162" s="7">
        <v>0</v>
      </c>
      <c r="BP162" s="7">
        <v>0</v>
      </c>
      <c r="BQ162" s="7">
        <v>0</v>
      </c>
      <c r="BR162" s="7">
        <v>0</v>
      </c>
      <c r="BS162" s="7">
        <v>0</v>
      </c>
      <c r="BT162" s="7">
        <v>0</v>
      </c>
      <c r="BU162" s="7">
        <v>0</v>
      </c>
      <c r="BV162" s="7">
        <v>0</v>
      </c>
      <c r="BW162" s="7">
        <v>0</v>
      </c>
      <c r="BX162" s="7">
        <v>0</v>
      </c>
      <c r="BY162" s="7">
        <v>0</v>
      </c>
      <c r="BZ162" s="7">
        <v>0</v>
      </c>
      <c r="CA162" s="7">
        <v>0</v>
      </c>
      <c r="CB162" s="7">
        <v>0</v>
      </c>
      <c r="CC162" s="7">
        <v>0</v>
      </c>
      <c r="CD162" s="7">
        <v>0</v>
      </c>
      <c r="CE162" s="7">
        <v>0</v>
      </c>
      <c r="CF162" s="7">
        <v>0</v>
      </c>
      <c r="CG162" s="7">
        <v>0</v>
      </c>
      <c r="CH162" s="7">
        <v>0</v>
      </c>
      <c r="CI162" s="7">
        <v>0</v>
      </c>
      <c r="CJ162" s="7">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 t="shared" si="131"/>
        <v>5.7971233927756468E-6</v>
      </c>
      <c r="CW162" s="7">
        <f t="shared" si="132"/>
        <v>3.2342126254824507E-6</v>
      </c>
    </row>
    <row r="163" spans="1:101" x14ac:dyDescent="0.2">
      <c r="A163" t="str">
        <f t="shared" si="114"/>
        <v>Motorbike, battery electric, &gt;35kW - 2020 - NCA - CH</v>
      </c>
      <c r="B163" t="s">
        <v>658</v>
      </c>
      <c r="D163" s="18">
        <v>2020</v>
      </c>
      <c r="E163" t="s">
        <v>37</v>
      </c>
      <c r="F163" t="s">
        <v>136</v>
      </c>
      <c r="G163" t="s">
        <v>39</v>
      </c>
      <c r="H163" t="s">
        <v>32</v>
      </c>
      <c r="I163" t="s">
        <v>44</v>
      </c>
      <c r="J163">
        <v>40500</v>
      </c>
      <c r="K163">
        <v>2896</v>
      </c>
      <c r="L163" s="2">
        <f t="shared" si="108"/>
        <v>13.984806629834255</v>
      </c>
      <c r="M163">
        <v>1.1000000000000001</v>
      </c>
      <c r="N163">
        <v>75</v>
      </c>
      <c r="O163">
        <v>6</v>
      </c>
      <c r="P163" s="2">
        <f t="shared" si="64"/>
        <v>240.90086956521736</v>
      </c>
      <c r="Q163" s="2">
        <f t="shared" si="109"/>
        <v>329.40086956521736</v>
      </c>
      <c r="R163">
        <v>49</v>
      </c>
      <c r="S163" s="2">
        <v>111</v>
      </c>
      <c r="T163" s="1">
        <v>0</v>
      </c>
      <c r="U163" s="2">
        <f t="shared" si="139"/>
        <v>111</v>
      </c>
      <c r="V163" s="2">
        <v>13.74</v>
      </c>
      <c r="W163" s="2">
        <v>22.900000000000002</v>
      </c>
      <c r="X163" s="3">
        <v>16.5</v>
      </c>
      <c r="Y163" s="1">
        <v>0.8</v>
      </c>
      <c r="Z163" s="3">
        <f t="shared" si="110"/>
        <v>13.200000000000001</v>
      </c>
      <c r="AA163" s="3">
        <f>IF(I163&lt;&gt;"",X163/INDEX('energy battery'!$B$3:$D$6,MATCH('vehicles specifications'!$D163,'energy battery'!$A$3:$A$6,0),MATCH('vehicles specifications'!$I163,'energy battery'!$B$2:$D$2,0)),"")</f>
        <v>71.739130434782609</v>
      </c>
      <c r="AB163" s="3">
        <f t="shared" si="115"/>
        <v>21.521739130434781</v>
      </c>
      <c r="AC163" s="3">
        <f t="shared" si="116"/>
        <v>93.260869565217391</v>
      </c>
      <c r="AD163" s="3">
        <v>1</v>
      </c>
      <c r="AE163" s="3">
        <v>0</v>
      </c>
      <c r="AF163">
        <f>AE163*'fuels and tailpipe emissions'!$B$3</f>
        <v>0</v>
      </c>
      <c r="AG163">
        <v>0</v>
      </c>
      <c r="AH163" s="3">
        <v>0</v>
      </c>
      <c r="AI163" s="3">
        <v>5</v>
      </c>
      <c r="AJ163" s="3">
        <v>1</v>
      </c>
      <c r="AK163">
        <f t="shared" si="129"/>
        <v>1.62</v>
      </c>
      <c r="AL163">
        <f t="shared" si="65"/>
        <v>1.7688826695652171E-4</v>
      </c>
      <c r="AM163">
        <v>1.2899999999999999E-3</v>
      </c>
      <c r="AN163" s="2">
        <f t="shared" si="111"/>
        <v>111</v>
      </c>
      <c r="AO163" s="2">
        <f t="shared" si="112"/>
        <v>36.64</v>
      </c>
      <c r="AP163" s="2">
        <f t="shared" si="113"/>
        <v>93.260869565217391</v>
      </c>
      <c r="AQ163" s="6" t="s">
        <v>84</v>
      </c>
      <c r="AR163" s="20"/>
      <c r="AS163" s="6">
        <v>0.27473182101357863</v>
      </c>
      <c r="AT163" s="2">
        <f t="shared" si="130"/>
        <v>172.96867841767528</v>
      </c>
      <c r="AU163" s="5">
        <v>0</v>
      </c>
      <c r="AV163" s="5">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7">
        <v>0</v>
      </c>
      <c r="BM163" s="7">
        <v>0</v>
      </c>
      <c r="BN163" s="7">
        <v>0</v>
      </c>
      <c r="BO163" s="7">
        <v>0</v>
      </c>
      <c r="BP163" s="7">
        <v>0</v>
      </c>
      <c r="BQ163" s="7">
        <v>0</v>
      </c>
      <c r="BR163" s="7">
        <v>0</v>
      </c>
      <c r="BS163" s="7">
        <v>0</v>
      </c>
      <c r="BT163" s="7">
        <v>0</v>
      </c>
      <c r="BU163" s="7">
        <v>0</v>
      </c>
      <c r="BV163" s="7">
        <v>0</v>
      </c>
      <c r="BW163" s="7">
        <v>0</v>
      </c>
      <c r="BX163" s="7">
        <v>0</v>
      </c>
      <c r="BY163" s="7">
        <v>0</v>
      </c>
      <c r="BZ163" s="7">
        <v>0</v>
      </c>
      <c r="CA163" s="7">
        <v>0</v>
      </c>
      <c r="CB163" s="7">
        <v>0</v>
      </c>
      <c r="CC163" s="7">
        <v>0</v>
      </c>
      <c r="CD163" s="7">
        <v>0</v>
      </c>
      <c r="CE163" s="7">
        <v>0</v>
      </c>
      <c r="CF163" s="7">
        <v>0</v>
      </c>
      <c r="CG163" s="7">
        <v>0</v>
      </c>
      <c r="CH163" s="7">
        <v>0</v>
      </c>
      <c r="CI163" s="7">
        <v>0</v>
      </c>
      <c r="CJ163" s="7">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 t="shared" si="131"/>
        <v>6.5987627132065337E-6</v>
      </c>
      <c r="CW163" s="7">
        <f t="shared" si="132"/>
        <v>3.8015212607368517E-6</v>
      </c>
    </row>
    <row r="164" spans="1:101" x14ac:dyDescent="0.2">
      <c r="A164" t="str">
        <f t="shared" si="114"/>
        <v>Motorbike, battery electric, &gt;35kW - 2030 - NCA - CH</v>
      </c>
      <c r="B164" t="s">
        <v>658</v>
      </c>
      <c r="D164" s="18">
        <v>2030</v>
      </c>
      <c r="E164" t="s">
        <v>37</v>
      </c>
      <c r="F164" t="s">
        <v>136</v>
      </c>
      <c r="G164" t="s">
        <v>39</v>
      </c>
      <c r="H164" t="s">
        <v>32</v>
      </c>
      <c r="I164" t="s">
        <v>44</v>
      </c>
      <c r="J164">
        <v>40500</v>
      </c>
      <c r="K164">
        <v>2896</v>
      </c>
      <c r="L164" s="2">
        <f t="shared" si="108"/>
        <v>13.984806629834255</v>
      </c>
      <c r="M164">
        <v>1.1000000000000001</v>
      </c>
      <c r="N164">
        <v>75</v>
      </c>
      <c r="O164">
        <v>6</v>
      </c>
      <c r="P164" s="2">
        <f t="shared" si="64"/>
        <v>255.24333333333334</v>
      </c>
      <c r="Q164" s="2">
        <f t="shared" si="109"/>
        <v>343.74333333333334</v>
      </c>
      <c r="R164">
        <v>49</v>
      </c>
      <c r="S164" s="2">
        <v>111</v>
      </c>
      <c r="T164" s="1">
        <v>0.03</v>
      </c>
      <c r="U164" s="2">
        <f t="shared" si="139"/>
        <v>107.67</v>
      </c>
      <c r="V164" s="2">
        <v>13.74</v>
      </c>
      <c r="W164" s="2">
        <v>22.900000000000002</v>
      </c>
      <c r="X164" s="3">
        <v>25.6</v>
      </c>
      <c r="Y164" s="1">
        <v>0.8</v>
      </c>
      <c r="Z164" s="3">
        <f t="shared" si="110"/>
        <v>20.480000000000004</v>
      </c>
      <c r="AA164" s="3">
        <f>IF(I164&lt;&gt;"",X164/INDEX('energy battery'!$B$3:$D$6,MATCH('vehicles specifications'!$D164,'energy battery'!$A$3:$A$6,0),MATCH('vehicles specifications'!$I164,'energy battery'!$B$2:$D$2,0)),"")</f>
        <v>85.333333333333343</v>
      </c>
      <c r="AB164" s="3">
        <f t="shared" si="115"/>
        <v>25.6</v>
      </c>
      <c r="AC164" s="3">
        <f t="shared" si="116"/>
        <v>110.93333333333334</v>
      </c>
      <c r="AD164" s="3">
        <v>0.5</v>
      </c>
      <c r="AE164" s="3">
        <v>0</v>
      </c>
      <c r="AF164">
        <f>AE164*'fuels and tailpipe emissions'!$B$3</f>
        <v>0</v>
      </c>
      <c r="AG164">
        <v>0</v>
      </c>
      <c r="AH164" s="3">
        <v>0</v>
      </c>
      <c r="AI164" s="3">
        <v>5</v>
      </c>
      <c r="AJ164" s="3">
        <v>1</v>
      </c>
      <c r="AK164">
        <f t="shared" si="129"/>
        <v>1.62</v>
      </c>
      <c r="AL164">
        <f t="shared" si="65"/>
        <v>1.8459017000000002E-4</v>
      </c>
      <c r="AM164">
        <v>1.2899999999999999E-3</v>
      </c>
      <c r="AN164" s="2">
        <f t="shared" si="111"/>
        <v>107.67</v>
      </c>
      <c r="AO164" s="2">
        <f t="shared" si="112"/>
        <v>36.64</v>
      </c>
      <c r="AP164" s="2">
        <f t="shared" si="113"/>
        <v>110.93333333333334</v>
      </c>
      <c r="AQ164" s="6" t="s">
        <v>84</v>
      </c>
      <c r="AR164" s="20"/>
      <c r="AS164" s="6">
        <v>0.27473182101357863</v>
      </c>
      <c r="AT164" s="2">
        <f t="shared" si="130"/>
        <v>268.363525302575</v>
      </c>
      <c r="AU164" s="5">
        <v>0</v>
      </c>
      <c r="AV164" s="5">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7">
        <v>0</v>
      </c>
      <c r="BM164" s="7">
        <v>0</v>
      </c>
      <c r="BN164" s="7">
        <v>0</v>
      </c>
      <c r="BO164" s="7">
        <v>0</v>
      </c>
      <c r="BP164" s="7">
        <v>0</v>
      </c>
      <c r="BQ164" s="7">
        <v>0</v>
      </c>
      <c r="BR164" s="7">
        <v>0</v>
      </c>
      <c r="BS164" s="7">
        <v>0</v>
      </c>
      <c r="BT164" s="7">
        <v>0</v>
      </c>
      <c r="BU164" s="7">
        <v>0</v>
      </c>
      <c r="BV164" s="7">
        <v>0</v>
      </c>
      <c r="BW164" s="7">
        <v>0</v>
      </c>
      <c r="BX164" s="7">
        <v>0</v>
      </c>
      <c r="BY164" s="7">
        <v>0</v>
      </c>
      <c r="BZ164" s="7">
        <v>0</v>
      </c>
      <c r="CA164" s="7">
        <v>0</v>
      </c>
      <c r="CB164" s="7">
        <v>0</v>
      </c>
      <c r="CC164" s="7">
        <v>0</v>
      </c>
      <c r="CD164" s="7">
        <v>0</v>
      </c>
      <c r="CE164" s="7">
        <v>0</v>
      </c>
      <c r="CF164" s="7">
        <v>0</v>
      </c>
      <c r="CG164" s="7">
        <v>0</v>
      </c>
      <c r="CH164" s="7">
        <v>0</v>
      </c>
      <c r="CI164" s="7">
        <v>0</v>
      </c>
      <c r="CJ164" s="7">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 t="shared" si="131"/>
        <v>6.7391199251587888E-6</v>
      </c>
      <c r="CW164" s="7">
        <f t="shared" si="132"/>
        <v>3.9038159758224493E-6</v>
      </c>
    </row>
    <row r="165" spans="1:101" x14ac:dyDescent="0.2">
      <c r="A165" t="str">
        <f t="shared" si="114"/>
        <v>Motorbike, battery electric, &gt;35kW - 2040 - NCA - CH</v>
      </c>
      <c r="B165" t="s">
        <v>658</v>
      </c>
      <c r="D165" s="18">
        <v>2040</v>
      </c>
      <c r="E165" t="s">
        <v>37</v>
      </c>
      <c r="F165" t="s">
        <v>136</v>
      </c>
      <c r="G165" t="s">
        <v>39</v>
      </c>
      <c r="H165" t="s">
        <v>32</v>
      </c>
      <c r="I165" t="s">
        <v>44</v>
      </c>
      <c r="J165">
        <v>40500</v>
      </c>
      <c r="K165">
        <v>2896</v>
      </c>
      <c r="L165" s="2">
        <f t="shared" si="108"/>
        <v>13.984806629834255</v>
      </c>
      <c r="M165">
        <v>1.1000000000000001</v>
      </c>
      <c r="N165">
        <v>75</v>
      </c>
      <c r="O165">
        <v>6</v>
      </c>
      <c r="P165" s="2">
        <f t="shared" si="64"/>
        <v>255.83999999999997</v>
      </c>
      <c r="Q165" s="2">
        <f t="shared" si="109"/>
        <v>344.34</v>
      </c>
      <c r="R165">
        <v>49</v>
      </c>
      <c r="S165" s="2">
        <v>111</v>
      </c>
      <c r="T165" s="1">
        <v>0.05</v>
      </c>
      <c r="U165" s="2">
        <f t="shared" si="139"/>
        <v>105.44999999999999</v>
      </c>
      <c r="V165" s="2">
        <v>13.74</v>
      </c>
      <c r="W165" s="2">
        <v>22.900000000000002</v>
      </c>
      <c r="X165" s="3">
        <v>35</v>
      </c>
      <c r="Y165" s="1">
        <v>0.8</v>
      </c>
      <c r="Z165" s="3">
        <f t="shared" si="110"/>
        <v>28</v>
      </c>
      <c r="AA165" s="3">
        <f>IF(I165&lt;&gt;"",X165/INDEX('energy battery'!$B$3:$D$6,MATCH('vehicles specifications'!$D165,'energy battery'!$A$3:$A$6,0),MATCH('vehicles specifications'!$I165,'energy battery'!$B$2:$D$2,0)),"")</f>
        <v>87.5</v>
      </c>
      <c r="AB165" s="3">
        <f t="shared" si="115"/>
        <v>26.25</v>
      </c>
      <c r="AC165" s="3">
        <f t="shared" si="116"/>
        <v>113.75</v>
      </c>
      <c r="AD165" s="3">
        <v>0.25</v>
      </c>
      <c r="AE165" s="3">
        <v>0</v>
      </c>
      <c r="AF165">
        <f>AE165*'fuels and tailpipe emissions'!$B$3</f>
        <v>0</v>
      </c>
      <c r="AG165">
        <v>0</v>
      </c>
      <c r="AH165" s="3">
        <v>0</v>
      </c>
      <c r="AI165" s="3">
        <v>5</v>
      </c>
      <c r="AJ165" s="3">
        <v>1</v>
      </c>
      <c r="AK165">
        <f t="shared" si="129"/>
        <v>1.62</v>
      </c>
      <c r="AL165">
        <f t="shared" si="65"/>
        <v>1.8491057999999998E-4</v>
      </c>
      <c r="AM165">
        <v>1.2899999999999999E-3</v>
      </c>
      <c r="AN165" s="2">
        <f t="shared" si="111"/>
        <v>105.44999999999999</v>
      </c>
      <c r="AO165" s="2">
        <f t="shared" si="112"/>
        <v>36.64</v>
      </c>
      <c r="AP165" s="2">
        <f t="shared" si="113"/>
        <v>113.75</v>
      </c>
      <c r="AQ165" s="6" t="s">
        <v>84</v>
      </c>
      <c r="AR165" s="20"/>
      <c r="AS165" s="6">
        <v>0.27473182101357863</v>
      </c>
      <c r="AT165" s="2">
        <f t="shared" si="130"/>
        <v>366.90325724961417</v>
      </c>
      <c r="AU165" s="5">
        <v>0</v>
      </c>
      <c r="AV165" s="5">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7">
        <v>0</v>
      </c>
      <c r="BM165" s="7">
        <v>0</v>
      </c>
      <c r="BN165" s="7">
        <v>0</v>
      </c>
      <c r="BO165" s="7">
        <v>0</v>
      </c>
      <c r="BP165" s="7">
        <v>0</v>
      </c>
      <c r="BQ165" s="7">
        <v>0</v>
      </c>
      <c r="BR165" s="7">
        <v>0</v>
      </c>
      <c r="BS165" s="7">
        <v>0</v>
      </c>
      <c r="BT165" s="7">
        <v>0</v>
      </c>
      <c r="BU165" s="7">
        <v>0</v>
      </c>
      <c r="BV165" s="7">
        <v>0</v>
      </c>
      <c r="BW165" s="7">
        <v>0</v>
      </c>
      <c r="BX165" s="7">
        <v>0</v>
      </c>
      <c r="BY165" s="7">
        <v>0</v>
      </c>
      <c r="BZ165" s="7">
        <v>0</v>
      </c>
      <c r="CA165" s="7">
        <v>0</v>
      </c>
      <c r="CB165" s="7">
        <v>0</v>
      </c>
      <c r="CC165" s="7">
        <v>0</v>
      </c>
      <c r="CD165" s="7">
        <v>0</v>
      </c>
      <c r="CE165" s="7">
        <v>0</v>
      </c>
      <c r="CF165" s="7">
        <v>0</v>
      </c>
      <c r="CG165" s="7">
        <v>0</v>
      </c>
      <c r="CH165" s="7">
        <v>0</v>
      </c>
      <c r="CI165" s="7">
        <v>0</v>
      </c>
      <c r="CJ165" s="7">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 t="shared" si="131"/>
        <v>6.7448750462924897E-6</v>
      </c>
      <c r="CW165" s="7">
        <f t="shared" si="132"/>
        <v>3.908028387730268E-6</v>
      </c>
    </row>
    <row r="166" spans="1:101" x14ac:dyDescent="0.2">
      <c r="A166" t="str">
        <f t="shared" si="114"/>
        <v>Motorbike, battery electric, &gt;35kW - 2050 - NCA - CH</v>
      </c>
      <c r="B166" t="s">
        <v>658</v>
      </c>
      <c r="D166" s="18">
        <v>2050</v>
      </c>
      <c r="E166" t="s">
        <v>37</v>
      </c>
      <c r="F166" t="s">
        <v>136</v>
      </c>
      <c r="G166" t="s">
        <v>39</v>
      </c>
      <c r="H166" t="s">
        <v>32</v>
      </c>
      <c r="I166" t="s">
        <v>44</v>
      </c>
      <c r="J166">
        <v>40500</v>
      </c>
      <c r="K166">
        <v>2896</v>
      </c>
      <c r="L166" s="2">
        <f t="shared" si="108"/>
        <v>13.984806629834255</v>
      </c>
      <c r="M166">
        <v>1.1000000000000001</v>
      </c>
      <c r="N166">
        <v>75</v>
      </c>
      <c r="O166">
        <v>6</v>
      </c>
      <c r="P166" s="2">
        <f t="shared" si="64"/>
        <v>255.57</v>
      </c>
      <c r="Q166" s="2">
        <f t="shared" si="109"/>
        <v>344.07</v>
      </c>
      <c r="R166">
        <v>49</v>
      </c>
      <c r="S166" s="2">
        <v>111</v>
      </c>
      <c r="T166" s="1">
        <v>7.0000000000000007E-2</v>
      </c>
      <c r="U166" s="2">
        <f t="shared" si="139"/>
        <v>103.22999999999999</v>
      </c>
      <c r="V166" s="2">
        <v>13.74</v>
      </c>
      <c r="W166" s="2">
        <v>22.900000000000002</v>
      </c>
      <c r="X166" s="3">
        <v>44.5</v>
      </c>
      <c r="Y166" s="1">
        <v>0.8</v>
      </c>
      <c r="Z166" s="3">
        <f t="shared" si="110"/>
        <v>35.6</v>
      </c>
      <c r="AA166" s="3">
        <f>IF(I166&lt;&gt;"",X166/INDEX('energy battery'!$B$3:$D$6,MATCH('vehicles specifications'!$D166,'energy battery'!$A$3:$A$6,0),MATCH('vehicles specifications'!$I166,'energy battery'!$B$2:$D$2,0)),"")</f>
        <v>89</v>
      </c>
      <c r="AB166" s="3">
        <f t="shared" si="115"/>
        <v>26.7</v>
      </c>
      <c r="AC166" s="3">
        <f t="shared" si="116"/>
        <v>115.7</v>
      </c>
      <c r="AD166" s="3">
        <v>0</v>
      </c>
      <c r="AE166" s="3">
        <v>0</v>
      </c>
      <c r="AF166">
        <f>AE166*'fuels and tailpipe emissions'!$B$3</f>
        <v>0</v>
      </c>
      <c r="AG166">
        <v>0</v>
      </c>
      <c r="AH166" s="3">
        <v>0</v>
      </c>
      <c r="AI166" s="3">
        <v>5</v>
      </c>
      <c r="AJ166" s="3">
        <v>1</v>
      </c>
      <c r="AK166">
        <f t="shared" si="129"/>
        <v>1.62</v>
      </c>
      <c r="AL166">
        <f t="shared" si="65"/>
        <v>1.8476559000000001E-4</v>
      </c>
      <c r="AM166">
        <v>1.2899999999999999E-3</v>
      </c>
      <c r="AN166" s="2">
        <f t="shared" si="111"/>
        <v>103.22999999999999</v>
      </c>
      <c r="AO166" s="2">
        <f t="shared" si="112"/>
        <v>36.64</v>
      </c>
      <c r="AP166" s="2">
        <f t="shared" si="113"/>
        <v>115.7</v>
      </c>
      <c r="AQ166" s="6" t="s">
        <v>84</v>
      </c>
      <c r="AR166" s="20"/>
      <c r="AS166" s="6">
        <v>0.27473182101357863</v>
      </c>
      <c r="AT166" s="2">
        <f t="shared" si="130"/>
        <v>466.49128421736663</v>
      </c>
      <c r="AU166" s="5">
        <v>0</v>
      </c>
      <c r="AV166" s="5">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7">
        <v>0</v>
      </c>
      <c r="BM166" s="7">
        <v>0</v>
      </c>
      <c r="BN166" s="7">
        <v>0</v>
      </c>
      <c r="BO166" s="7">
        <v>0</v>
      </c>
      <c r="BP166" s="7">
        <v>0</v>
      </c>
      <c r="BQ166" s="7">
        <v>0</v>
      </c>
      <c r="BR166" s="7">
        <v>0</v>
      </c>
      <c r="BS166" s="7">
        <v>0</v>
      </c>
      <c r="BT166" s="7">
        <v>0</v>
      </c>
      <c r="BU166" s="7">
        <v>0</v>
      </c>
      <c r="BV166" s="7">
        <v>0</v>
      </c>
      <c r="BW166" s="7">
        <v>0</v>
      </c>
      <c r="BX166" s="7">
        <v>0</v>
      </c>
      <c r="BY166" s="7">
        <v>0</v>
      </c>
      <c r="BZ166" s="7">
        <v>0</v>
      </c>
      <c r="CA166" s="7">
        <v>0</v>
      </c>
      <c r="CB166" s="7">
        <v>0</v>
      </c>
      <c r="CC166" s="7">
        <v>0</v>
      </c>
      <c r="CD166" s="7">
        <v>0</v>
      </c>
      <c r="CE166" s="7">
        <v>0</v>
      </c>
      <c r="CF166" s="7">
        <v>0</v>
      </c>
      <c r="CG166" s="7">
        <v>0</v>
      </c>
      <c r="CH166" s="7">
        <v>0</v>
      </c>
      <c r="CI166" s="7">
        <v>0</v>
      </c>
      <c r="CJ166" s="7">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 t="shared" si="131"/>
        <v>6.7422715821401537E-6</v>
      </c>
      <c r="CW166" s="7">
        <f t="shared" si="132"/>
        <v>3.9061226299997144E-6</v>
      </c>
    </row>
    <row r="167" spans="1:101" x14ac:dyDescent="0.2">
      <c r="T167" s="1"/>
    </row>
  </sheetData>
  <autoFilter ref="A2:CW166" xr:uid="{00000000-0009-0000-0000-000001000000}"/>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275"/>
  <sheetViews>
    <sheetView topLeftCell="A259" workbookViewId="0">
      <selection activeCell="H273" sqref="H273"/>
    </sheetView>
  </sheetViews>
  <sheetFormatPr baseColWidth="10" defaultColWidth="8.83203125" defaultRowHeight="15" x14ac:dyDescent="0.2"/>
  <cols>
    <col min="1" max="1" width="43.5" bestFit="1" customWidth="1"/>
    <col min="2" max="2" width="34.1640625" bestFit="1" customWidth="1"/>
    <col min="3" max="3" width="4.5" bestFit="1" customWidth="1"/>
    <col min="4" max="4" width="4.6640625" bestFit="1" customWidth="1"/>
    <col min="5" max="5" width="8" bestFit="1" customWidth="1"/>
    <col min="6" max="6" width="8.33203125" customWidth="1"/>
    <col min="7" max="7" width="8.1640625" customWidth="1"/>
    <col min="8" max="8" width="10.33203125" bestFit="1" customWidth="1"/>
    <col min="9" max="9" width="11.33203125" customWidth="1"/>
    <col min="10" max="10" width="14.33203125" customWidth="1"/>
    <col min="11" max="11" width="8.83203125" customWidth="1"/>
    <col min="12" max="12" width="5.6640625" customWidth="1"/>
    <col min="13" max="13" width="18.33203125" customWidth="1"/>
    <col min="14" max="14" width="11.33203125" customWidth="1"/>
    <col min="15" max="15" width="12" customWidth="1"/>
    <col min="16" max="16" width="11.6640625" customWidth="1"/>
    <col min="17" max="18" width="6.5" customWidth="1"/>
    <col min="19" max="53" width="8.83203125" customWidth="1"/>
    <col min="54" max="54" width="48" customWidth="1"/>
    <col min="57" max="57" width="58.1640625" customWidth="1"/>
    <col min="58" max="59" width="29.5" customWidth="1"/>
    <col min="60" max="60" width="27.33203125" customWidth="1"/>
  </cols>
  <sheetData>
    <row r="1" spans="1:60" ht="42.5" customHeight="1" x14ac:dyDescent="0.2">
      <c r="A1" t="s">
        <v>67</v>
      </c>
      <c r="L1" s="41" t="s">
        <v>458</v>
      </c>
      <c r="M1" s="41"/>
      <c r="N1" s="41"/>
      <c r="O1" s="41"/>
      <c r="P1" s="41"/>
      <c r="Q1" s="41"/>
      <c r="R1" s="41"/>
      <c r="S1" s="42" t="s">
        <v>457</v>
      </c>
      <c r="T1" s="42"/>
      <c r="U1" s="42"/>
      <c r="V1" s="42"/>
      <c r="W1" s="42"/>
      <c r="X1" s="42"/>
      <c r="Y1" s="42"/>
      <c r="Z1" s="43" t="s">
        <v>459</v>
      </c>
      <c r="AA1" s="43"/>
      <c r="AB1" s="43"/>
      <c r="AC1" s="43"/>
      <c r="AD1" s="43"/>
      <c r="AE1" s="43"/>
      <c r="AF1" s="43"/>
      <c r="AG1" s="44" t="s">
        <v>460</v>
      </c>
      <c r="AH1" s="44"/>
      <c r="AI1" s="44"/>
      <c r="AJ1" s="44"/>
      <c r="AK1" s="44"/>
      <c r="AL1" s="44"/>
      <c r="AM1" s="44"/>
      <c r="AN1" s="39" t="s">
        <v>461</v>
      </c>
      <c r="AO1" s="39"/>
      <c r="AP1" s="39"/>
      <c r="AQ1" s="39"/>
      <c r="AR1" s="39"/>
      <c r="AS1" s="39"/>
      <c r="AT1" s="39"/>
      <c r="AU1" s="40" t="s">
        <v>462</v>
      </c>
      <c r="AV1" s="40"/>
      <c r="AW1" s="40"/>
      <c r="AX1" s="40"/>
      <c r="AY1" s="40"/>
      <c r="AZ1" s="40"/>
      <c r="BA1" s="40"/>
      <c r="BB1" s="37"/>
      <c r="BC1" s="37"/>
      <c r="BD1" s="37"/>
      <c r="BE1" s="36" t="s">
        <v>467</v>
      </c>
      <c r="BF1" s="36" t="s">
        <v>468</v>
      </c>
      <c r="BG1" s="36"/>
      <c r="BH1" s="36" t="s">
        <v>469</v>
      </c>
    </row>
    <row r="2" spans="1:60" x14ac:dyDescent="0.2">
      <c r="A2" s="8" t="s">
        <v>122</v>
      </c>
      <c r="B2" s="8" t="s">
        <v>0</v>
      </c>
      <c r="C2" s="8" t="s">
        <v>1</v>
      </c>
      <c r="D2" s="8" t="s">
        <v>2</v>
      </c>
      <c r="E2" s="8" t="s">
        <v>36</v>
      </c>
      <c r="F2" s="8" t="s">
        <v>64</v>
      </c>
      <c r="G2" s="8" t="s">
        <v>38</v>
      </c>
      <c r="H2" s="8" t="s">
        <v>3</v>
      </c>
      <c r="I2" s="8" t="s">
        <v>41</v>
      </c>
      <c r="J2" s="8" t="s">
        <v>463</v>
      </c>
      <c r="L2" s="23" t="s">
        <v>454</v>
      </c>
      <c r="M2" s="23" t="s">
        <v>465</v>
      </c>
      <c r="N2" s="23" t="s">
        <v>456</v>
      </c>
      <c r="O2" s="23" t="s">
        <v>455</v>
      </c>
      <c r="P2" s="23" t="s">
        <v>107</v>
      </c>
      <c r="Q2" s="23" t="s">
        <v>85</v>
      </c>
      <c r="R2" s="23" t="s">
        <v>466</v>
      </c>
      <c r="S2" s="25" t="s">
        <v>454</v>
      </c>
      <c r="T2" s="25" t="s">
        <v>465</v>
      </c>
      <c r="U2" s="25" t="s">
        <v>456</v>
      </c>
      <c r="V2" s="25" t="s">
        <v>455</v>
      </c>
      <c r="W2" s="25" t="s">
        <v>107</v>
      </c>
      <c r="X2" s="25" t="s">
        <v>85</v>
      </c>
      <c r="Y2" s="25" t="s">
        <v>466</v>
      </c>
      <c r="Z2" s="27" t="s">
        <v>454</v>
      </c>
      <c r="AA2" s="27" t="s">
        <v>465</v>
      </c>
      <c r="AB2" s="27" t="s">
        <v>456</v>
      </c>
      <c r="AC2" s="27" t="s">
        <v>455</v>
      </c>
      <c r="AD2" s="27" t="s">
        <v>107</v>
      </c>
      <c r="AE2" s="27" t="s">
        <v>85</v>
      </c>
      <c r="AF2" s="27" t="s">
        <v>466</v>
      </c>
      <c r="AG2" s="29" t="s">
        <v>454</v>
      </c>
      <c r="AH2" s="29" t="s">
        <v>465</v>
      </c>
      <c r="AI2" s="29" t="s">
        <v>456</v>
      </c>
      <c r="AJ2" s="29" t="s">
        <v>455</v>
      </c>
      <c r="AK2" s="29" t="s">
        <v>107</v>
      </c>
      <c r="AL2" s="29" t="s">
        <v>85</v>
      </c>
      <c r="AM2" s="29" t="s">
        <v>466</v>
      </c>
      <c r="AN2" s="31" t="s">
        <v>454</v>
      </c>
      <c r="AO2" s="31" t="s">
        <v>465</v>
      </c>
      <c r="AP2" s="31" t="s">
        <v>456</v>
      </c>
      <c r="AQ2" s="31" t="s">
        <v>455</v>
      </c>
      <c r="AR2" s="31" t="s">
        <v>107</v>
      </c>
      <c r="AS2" s="31" t="s">
        <v>85</v>
      </c>
      <c r="AT2" s="31" t="s">
        <v>466</v>
      </c>
      <c r="AU2" s="33" t="s">
        <v>454</v>
      </c>
      <c r="AV2" s="33" t="s">
        <v>465</v>
      </c>
      <c r="AW2" s="33" t="s">
        <v>456</v>
      </c>
      <c r="AX2" s="33" t="s">
        <v>455</v>
      </c>
      <c r="AY2" s="33" t="s">
        <v>107</v>
      </c>
      <c r="AZ2" s="33" t="s">
        <v>85</v>
      </c>
      <c r="BA2" s="33" t="s">
        <v>466</v>
      </c>
      <c r="BB2" s="8"/>
      <c r="BC2" s="8"/>
      <c r="BD2" s="8"/>
      <c r="BE2" t="s">
        <v>470</v>
      </c>
      <c r="BF2" t="s">
        <v>471</v>
      </c>
      <c r="BH2" t="s">
        <v>472</v>
      </c>
    </row>
    <row r="3" spans="1:60" x14ac:dyDescent="0.2">
      <c r="A3" t="str">
        <f>B3&amp;" - "&amp;D3&amp;" - "&amp;IF(I3&lt;&gt;"",I3&amp;" - "&amp;E3,E3)</f>
        <v>Kick Scooter, battery electric, &lt;1kW - 2020 - NMC - CH</v>
      </c>
      <c r="B3" t="s">
        <v>651</v>
      </c>
      <c r="D3" s="18">
        <v>2020</v>
      </c>
      <c r="E3" t="s">
        <v>37</v>
      </c>
      <c r="F3" t="s">
        <v>136</v>
      </c>
      <c r="G3" t="s">
        <v>39</v>
      </c>
      <c r="H3" t="s">
        <v>32</v>
      </c>
      <c r="I3" t="s">
        <v>42</v>
      </c>
      <c r="J3" t="s">
        <v>136</v>
      </c>
      <c r="L3" s="24">
        <v>0</v>
      </c>
      <c r="M3" s="24">
        <v>0</v>
      </c>
      <c r="N3" s="24">
        <v>2.7305966317886432E-3</v>
      </c>
      <c r="O3" s="24">
        <v>0</v>
      </c>
      <c r="P3" s="24">
        <v>3.9432759253126069E-4</v>
      </c>
      <c r="Q3" s="24">
        <v>6.0442465125233262E-2</v>
      </c>
      <c r="R3" s="24">
        <v>6.3567389349553166E-2</v>
      </c>
      <c r="S3" s="26">
        <v>0</v>
      </c>
      <c r="T3" s="26">
        <v>0</v>
      </c>
      <c r="U3" s="26">
        <v>2.8901572147613101E-4</v>
      </c>
      <c r="V3" s="26">
        <v>0</v>
      </c>
      <c r="W3" s="26">
        <v>2.4916630170601268E-5</v>
      </c>
      <c r="X3" s="26">
        <v>4.2333243249561892E-2</v>
      </c>
      <c r="Y3" s="26">
        <v>4.2647175601208627E-2</v>
      </c>
      <c r="Z3" s="28">
        <v>0</v>
      </c>
      <c r="AA3" s="28">
        <v>1.3758060237990489E-3</v>
      </c>
      <c r="AB3" s="28">
        <v>8.4699063757735321E-5</v>
      </c>
      <c r="AC3" s="28">
        <v>0</v>
      </c>
      <c r="AD3" s="28">
        <v>1.132624888950353E-5</v>
      </c>
      <c r="AE3" s="28">
        <v>4.5171151229257307E-3</v>
      </c>
      <c r="AF3" s="28">
        <v>5.9889464593720181E-3</v>
      </c>
      <c r="AG3" s="30">
        <v>0</v>
      </c>
      <c r="AH3" s="30">
        <v>7.228237882960114E-6</v>
      </c>
      <c r="AI3" s="30">
        <v>1.9352850365053441E-4</v>
      </c>
      <c r="AJ3" s="30">
        <v>0</v>
      </c>
      <c r="AK3" s="30">
        <v>1.057049880912046E-5</v>
      </c>
      <c r="AL3" s="30">
        <v>1.2578173591714779E-2</v>
      </c>
      <c r="AM3" s="30">
        <v>1.2789500832057394E-2</v>
      </c>
      <c r="AN3" s="32">
        <v>0</v>
      </c>
      <c r="AO3" s="32">
        <v>5.1842725945187069E-6</v>
      </c>
      <c r="AP3" s="32">
        <v>2.4402048008400939E-7</v>
      </c>
      <c r="AQ3" s="32">
        <v>0</v>
      </c>
      <c r="AR3" s="32">
        <v>4.1737758779288002E-8</v>
      </c>
      <c r="AS3" s="32">
        <v>9.4428911206493886E-6</v>
      </c>
      <c r="AT3" s="32">
        <v>1.4912921954031393E-5</v>
      </c>
      <c r="AU3" s="34">
        <v>0</v>
      </c>
      <c r="AV3" s="34">
        <v>0</v>
      </c>
      <c r="AW3" s="34">
        <v>0.12769446264574236</v>
      </c>
      <c r="AX3" s="34">
        <v>0</v>
      </c>
      <c r="AY3" s="34">
        <v>1.2917914948549365E-2</v>
      </c>
      <c r="AZ3" s="34">
        <v>0.75018944046854441</v>
      </c>
      <c r="BA3" s="34">
        <v>0.89080181806283609</v>
      </c>
      <c r="BB3" s="6"/>
      <c r="BC3" s="6"/>
      <c r="BD3" t="s">
        <v>887</v>
      </c>
      <c r="BF3" s="5">
        <v>4.2757277000000003E-2</v>
      </c>
      <c r="BG3" s="5">
        <f>BF3-R3</f>
        <v>-2.0810112349553163E-2</v>
      </c>
      <c r="BH3" s="2">
        <v>111.64413</v>
      </c>
    </row>
    <row r="4" spans="1:60" x14ac:dyDescent="0.2">
      <c r="A4" t="str">
        <f t="shared" ref="A4:A175" si="0">B4&amp;" - "&amp;D4&amp;" - "&amp;IF(I4&lt;&gt;"",I4&amp;" - "&amp;E4,E4)</f>
        <v>Kick Scooter, battery electric, &lt;1kW - 2030 - NMC - CH</v>
      </c>
      <c r="B4" t="s">
        <v>651</v>
      </c>
      <c r="D4" s="18">
        <v>2030</v>
      </c>
      <c r="E4" t="s">
        <v>37</v>
      </c>
      <c r="F4" t="s">
        <v>136</v>
      </c>
      <c r="G4" t="s">
        <v>39</v>
      </c>
      <c r="H4" t="s">
        <v>32</v>
      </c>
      <c r="I4" t="s">
        <v>42</v>
      </c>
      <c r="J4" t="s">
        <v>136</v>
      </c>
      <c r="L4" s="24">
        <v>0</v>
      </c>
      <c r="M4" s="24">
        <v>0</v>
      </c>
      <c r="N4" s="24">
        <v>2.7305966317886432E-3</v>
      </c>
      <c r="O4" s="24">
        <v>0</v>
      </c>
      <c r="P4" s="24">
        <v>3.9143699488326821E-4</v>
      </c>
      <c r="Q4" s="24">
        <v>6.1217155721092972E-2</v>
      </c>
      <c r="R4" s="24">
        <v>6.4339189347764877E-2</v>
      </c>
      <c r="S4" s="26">
        <v>0</v>
      </c>
      <c r="T4" s="26">
        <v>0</v>
      </c>
      <c r="U4" s="26">
        <v>2.8901572147613101E-4</v>
      </c>
      <c r="V4" s="26">
        <v>0</v>
      </c>
      <c r="W4" s="26">
        <v>2.4733980125483441E-5</v>
      </c>
      <c r="X4" s="26">
        <v>3.7266996001377978E-2</v>
      </c>
      <c r="Y4" s="26">
        <v>3.758074570297959E-2</v>
      </c>
      <c r="Z4" s="28">
        <v>0</v>
      </c>
      <c r="AA4" s="28">
        <v>1.3758060237990489E-3</v>
      </c>
      <c r="AB4" s="28">
        <v>8.4699063757735321E-5</v>
      </c>
      <c r="AC4" s="28">
        <v>0</v>
      </c>
      <c r="AD4" s="28">
        <v>1.124322241856749E-5</v>
      </c>
      <c r="AE4" s="28">
        <v>4.264618052457844E-3</v>
      </c>
      <c r="AF4" s="28">
        <v>5.736366362433196E-3</v>
      </c>
      <c r="AG4" s="30">
        <v>0</v>
      </c>
      <c r="AH4" s="30">
        <v>7.228237882960114E-6</v>
      </c>
      <c r="AI4" s="30">
        <v>1.9352850365053441E-4</v>
      </c>
      <c r="AJ4" s="30">
        <v>0</v>
      </c>
      <c r="AK4" s="30">
        <v>1.0493012324343649E-5</v>
      </c>
      <c r="AL4" s="30">
        <v>1.2060778238026371E-2</v>
      </c>
      <c r="AM4" s="30">
        <v>1.2272027991884208E-2</v>
      </c>
      <c r="AN4" s="32">
        <v>0</v>
      </c>
      <c r="AO4" s="32">
        <v>5.1842725945187069E-6</v>
      </c>
      <c r="AP4" s="32">
        <v>2.4402048008400939E-7</v>
      </c>
      <c r="AQ4" s="32">
        <v>0</v>
      </c>
      <c r="AR4" s="32">
        <v>4.1431802336865512E-8</v>
      </c>
      <c r="AS4" s="32">
        <v>8.5700055031524205E-6</v>
      </c>
      <c r="AT4" s="32">
        <v>1.4039730380092001E-5</v>
      </c>
      <c r="AU4" s="34">
        <v>0</v>
      </c>
      <c r="AV4" s="34">
        <v>0</v>
      </c>
      <c r="AW4" s="34">
        <v>0.12769446264574236</v>
      </c>
      <c r="AX4" s="34">
        <v>0</v>
      </c>
      <c r="AY4" s="34">
        <v>1.2823220853399825E-2</v>
      </c>
      <c r="AZ4" s="34">
        <v>0.74472552483209364</v>
      </c>
      <c r="BA4" s="34">
        <v>0.88524320833123582</v>
      </c>
      <c r="BB4" s="6"/>
      <c r="BC4" s="6"/>
      <c r="BD4" t="s">
        <v>888</v>
      </c>
      <c r="BF4" s="5">
        <v>4.2392623000000004E-2</v>
      </c>
      <c r="BG4" s="5">
        <f t="shared" ref="BG4:BG67" si="1">BF4-R4</f>
        <v>-2.1946566347764873E-2</v>
      </c>
      <c r="BH4" s="2">
        <v>101.67288000000001</v>
      </c>
    </row>
    <row r="5" spans="1:60" x14ac:dyDescent="0.2">
      <c r="A5" t="str">
        <f t="shared" si="0"/>
        <v>Kick Scooter, battery electric, &lt;1kW - 2040 - NMC - CH</v>
      </c>
      <c r="B5" t="s">
        <v>651</v>
      </c>
      <c r="D5" s="18">
        <v>2040</v>
      </c>
      <c r="E5" t="s">
        <v>37</v>
      </c>
      <c r="F5" t="s">
        <v>136</v>
      </c>
      <c r="G5" t="s">
        <v>39</v>
      </c>
      <c r="H5" t="s">
        <v>32</v>
      </c>
      <c r="I5" t="s">
        <v>42</v>
      </c>
      <c r="J5" t="s">
        <v>136</v>
      </c>
      <c r="L5" s="24">
        <v>0</v>
      </c>
      <c r="M5" s="24">
        <v>0</v>
      </c>
      <c r="N5" s="24">
        <v>2.7305966317886432E-3</v>
      </c>
      <c r="O5" s="24">
        <v>0</v>
      </c>
      <c r="P5" s="24">
        <v>3.9034448553599551E-4</v>
      </c>
      <c r="Q5" s="24">
        <v>6.3544195985543631E-2</v>
      </c>
      <c r="R5" s="24">
        <v>6.6665137102868269E-2</v>
      </c>
      <c r="S5" s="26">
        <v>0</v>
      </c>
      <c r="T5" s="26">
        <v>0</v>
      </c>
      <c r="U5" s="26">
        <v>2.8901572147613101E-4</v>
      </c>
      <c r="V5" s="26">
        <v>0</v>
      </c>
      <c r="W5" s="26">
        <v>2.4664947037564892E-5</v>
      </c>
      <c r="X5" s="26">
        <v>3.748451818144883E-2</v>
      </c>
      <c r="Y5" s="26">
        <v>3.7798198849962522E-2</v>
      </c>
      <c r="Z5" s="28">
        <v>0</v>
      </c>
      <c r="AA5" s="28">
        <v>1.3758060237990489E-3</v>
      </c>
      <c r="AB5" s="28">
        <v>8.4699063757735321E-5</v>
      </c>
      <c r="AC5" s="28">
        <v>0</v>
      </c>
      <c r="AD5" s="28">
        <v>1.1211842335064101E-5</v>
      </c>
      <c r="AE5" s="28">
        <v>4.3841796745984173E-3</v>
      </c>
      <c r="AF5" s="28">
        <v>5.8558966044902653E-3</v>
      </c>
      <c r="AG5" s="30">
        <v>0</v>
      </c>
      <c r="AH5" s="30">
        <v>7.228237882960114E-6</v>
      </c>
      <c r="AI5" s="30">
        <v>1.9352850365053441E-4</v>
      </c>
      <c r="AJ5" s="30">
        <v>0</v>
      </c>
      <c r="AK5" s="30">
        <v>1.046372609387682E-5</v>
      </c>
      <c r="AL5" s="30">
        <v>1.2421005229130439E-2</v>
      </c>
      <c r="AM5" s="30">
        <v>1.263222569675781E-2</v>
      </c>
      <c r="AN5" s="32">
        <v>0</v>
      </c>
      <c r="AO5" s="32">
        <v>5.1842725945187069E-6</v>
      </c>
      <c r="AP5" s="32">
        <v>2.4402048008400939E-7</v>
      </c>
      <c r="AQ5" s="32">
        <v>0</v>
      </c>
      <c r="AR5" s="32">
        <v>4.1316165256264889E-8</v>
      </c>
      <c r="AS5" s="32">
        <v>8.651096288226977E-6</v>
      </c>
      <c r="AT5" s="32">
        <v>1.4120705528085958E-5</v>
      </c>
      <c r="AU5" s="34">
        <v>0</v>
      </c>
      <c r="AV5" s="34">
        <v>0</v>
      </c>
      <c r="AW5" s="34">
        <v>0.12769446264574236</v>
      </c>
      <c r="AX5" s="34">
        <v>0</v>
      </c>
      <c r="AY5" s="34">
        <v>1.2787430959170081E-2</v>
      </c>
      <c r="AZ5" s="34">
        <v>0.76962222733176378</v>
      </c>
      <c r="BA5" s="34">
        <v>0.91010412093667625</v>
      </c>
      <c r="BB5" s="6"/>
      <c r="BC5" s="6"/>
      <c r="BD5" t="s">
        <v>889</v>
      </c>
      <c r="BF5" s="5">
        <v>4.3270989000000003E-2</v>
      </c>
      <c r="BG5" s="5">
        <f t="shared" si="1"/>
        <v>-2.3394148102868266E-2</v>
      </c>
      <c r="BH5" s="2">
        <v>101.68076000000001</v>
      </c>
    </row>
    <row r="6" spans="1:60" x14ac:dyDescent="0.2">
      <c r="A6" t="str">
        <f t="shared" si="0"/>
        <v>Kick Scooter, battery electric, &lt;1kW - 2050 - NMC - CH</v>
      </c>
      <c r="B6" t="s">
        <v>651</v>
      </c>
      <c r="D6" s="18">
        <v>2050</v>
      </c>
      <c r="E6" t="s">
        <v>37</v>
      </c>
      <c r="F6" t="s">
        <v>136</v>
      </c>
      <c r="G6" t="s">
        <v>39</v>
      </c>
      <c r="H6" t="s">
        <v>32</v>
      </c>
      <c r="I6" t="s">
        <v>42</v>
      </c>
      <c r="J6" t="s">
        <v>136</v>
      </c>
      <c r="L6" s="24">
        <v>0</v>
      </c>
      <c r="M6" s="24">
        <v>0</v>
      </c>
      <c r="N6" s="24">
        <v>2.7305966317886432E-3</v>
      </c>
      <c r="O6" s="24">
        <v>0</v>
      </c>
      <c r="P6" s="24">
        <v>3.892519761887227E-4</v>
      </c>
      <c r="Q6" s="24">
        <v>6.5871237024834356E-2</v>
      </c>
      <c r="R6" s="24">
        <v>6.8991085632811727E-2</v>
      </c>
      <c r="S6" s="26">
        <v>0</v>
      </c>
      <c r="T6" s="26">
        <v>0</v>
      </c>
      <c r="U6" s="26">
        <v>2.8901572147613101E-4</v>
      </c>
      <c r="V6" s="26">
        <v>0</v>
      </c>
      <c r="W6" s="26">
        <v>2.4595913949646339E-5</v>
      </c>
      <c r="X6" s="26">
        <v>3.7702041013114661E-2</v>
      </c>
      <c r="Y6" s="26">
        <v>3.8015652648540441E-2</v>
      </c>
      <c r="Z6" s="28">
        <v>0</v>
      </c>
      <c r="AA6" s="28">
        <v>1.3758060237990489E-3</v>
      </c>
      <c r="AB6" s="28">
        <v>8.4699063757735321E-5</v>
      </c>
      <c r="AC6" s="28">
        <v>0</v>
      </c>
      <c r="AD6" s="28">
        <v>1.118046225156072E-5</v>
      </c>
      <c r="AE6" s="28">
        <v>4.5037413748950129E-3</v>
      </c>
      <c r="AF6" s="28">
        <v>5.975426924703358E-3</v>
      </c>
      <c r="AG6" s="30">
        <v>0</v>
      </c>
      <c r="AH6" s="30">
        <v>7.228237882960114E-6</v>
      </c>
      <c r="AI6" s="30">
        <v>1.9352850365053441E-4</v>
      </c>
      <c r="AJ6" s="30">
        <v>0</v>
      </c>
      <c r="AK6" s="30">
        <v>1.043443986340999E-5</v>
      </c>
      <c r="AL6" s="30">
        <v>1.278123259879028E-2</v>
      </c>
      <c r="AM6" s="30">
        <v>1.2992423780187183E-2</v>
      </c>
      <c r="AN6" s="32">
        <v>0</v>
      </c>
      <c r="AO6" s="32">
        <v>5.1842725945187069E-6</v>
      </c>
      <c r="AP6" s="32">
        <v>2.4402048008400939E-7</v>
      </c>
      <c r="AQ6" s="32">
        <v>0</v>
      </c>
      <c r="AR6" s="32">
        <v>4.1200528175664258E-8</v>
      </c>
      <c r="AS6" s="32">
        <v>8.732187134617715E-6</v>
      </c>
      <c r="AT6" s="32">
        <v>1.4201680737396094E-5</v>
      </c>
      <c r="AU6" s="34">
        <v>0</v>
      </c>
      <c r="AV6" s="34">
        <v>0</v>
      </c>
      <c r="AW6" s="34">
        <v>0.12769446264574236</v>
      </c>
      <c r="AX6" s="34">
        <v>0</v>
      </c>
      <c r="AY6" s="34">
        <v>1.2751641064940332E-2</v>
      </c>
      <c r="AZ6" s="34">
        <v>0.79451893756601544</v>
      </c>
      <c r="BA6" s="34">
        <v>0.93496504127669811</v>
      </c>
      <c r="BB6" s="6"/>
      <c r="BC6" s="6"/>
      <c r="BD6" t="s">
        <v>890</v>
      </c>
      <c r="BF6" s="5">
        <v>4.4148325000000002E-2</v>
      </c>
      <c r="BG6" s="5">
        <f t="shared" si="1"/>
        <v>-2.4842760632811725E-2</v>
      </c>
      <c r="BH6" s="2">
        <v>101.68783000000001</v>
      </c>
    </row>
    <row r="7" spans="1:60" x14ac:dyDescent="0.2">
      <c r="A7" t="str">
        <f>B7&amp;" - "&amp;D7&amp;" - "&amp;IF(I7&lt;&gt;"",I7&amp;" - "&amp;E7,E7)</f>
        <v>Kick Scooter, battery electric, &lt;1kW - 2020 - LFP - CH</v>
      </c>
      <c r="B7" t="s">
        <v>651</v>
      </c>
      <c r="D7" s="18">
        <v>2020</v>
      </c>
      <c r="E7" t="s">
        <v>37</v>
      </c>
      <c r="F7" t="s">
        <v>136</v>
      </c>
      <c r="G7" t="s">
        <v>39</v>
      </c>
      <c r="H7" t="s">
        <v>32</v>
      </c>
      <c r="I7" t="s">
        <v>43</v>
      </c>
      <c r="J7" t="s">
        <v>136</v>
      </c>
      <c r="L7" s="24">
        <v>0</v>
      </c>
      <c r="M7" s="24">
        <v>0</v>
      </c>
      <c r="N7" s="24">
        <v>2.7305966317886432E-3</v>
      </c>
      <c r="O7" s="24">
        <v>0</v>
      </c>
      <c r="P7" s="24">
        <v>4.0172479123675342E-4</v>
      </c>
      <c r="Q7" s="24">
        <v>6.9580018247470912E-2</v>
      </c>
      <c r="R7" s="24">
        <v>7.2712339670496312E-2</v>
      </c>
      <c r="S7" s="26">
        <v>0</v>
      </c>
      <c r="T7" s="26">
        <v>0</v>
      </c>
      <c r="U7" s="26">
        <v>2.8901572147613101E-4</v>
      </c>
      <c r="V7" s="26">
        <v>0</v>
      </c>
      <c r="W7" s="26">
        <v>2.538404170338311E-5</v>
      </c>
      <c r="X7" s="26">
        <v>3.0222831373616581E-2</v>
      </c>
      <c r="Y7" s="26">
        <v>3.0537231136796093E-2</v>
      </c>
      <c r="Z7" s="28">
        <v>0</v>
      </c>
      <c r="AA7" s="28">
        <v>1.3758060237990489E-3</v>
      </c>
      <c r="AB7" s="28">
        <v>8.4699063757735321E-5</v>
      </c>
      <c r="AC7" s="28">
        <v>0</v>
      </c>
      <c r="AD7" s="28">
        <v>1.153871820489105E-5</v>
      </c>
      <c r="AE7" s="28">
        <v>4.5592045087369621E-3</v>
      </c>
      <c r="AF7" s="28">
        <v>6.0312483144986375E-3</v>
      </c>
      <c r="AG7" s="30">
        <v>0</v>
      </c>
      <c r="AH7" s="30">
        <v>7.228237882960114E-6</v>
      </c>
      <c r="AI7" s="30">
        <v>1.9352850365053441E-4</v>
      </c>
      <c r="AJ7" s="30">
        <v>0</v>
      </c>
      <c r="AK7" s="30">
        <v>1.0768790994572939E-5</v>
      </c>
      <c r="AL7" s="30">
        <v>1.412614338775362E-2</v>
      </c>
      <c r="AM7" s="30">
        <v>1.4337668920281687E-2</v>
      </c>
      <c r="AN7" s="32">
        <v>0</v>
      </c>
      <c r="AO7" s="32">
        <v>5.1842725945187069E-6</v>
      </c>
      <c r="AP7" s="32">
        <v>2.4402048008400939E-7</v>
      </c>
      <c r="AQ7" s="32">
        <v>0</v>
      </c>
      <c r="AR7" s="32">
        <v>4.2520718179188063E-8</v>
      </c>
      <c r="AS7" s="32">
        <v>8.2109735283876001E-6</v>
      </c>
      <c r="AT7" s="32">
        <v>1.3681787321169504E-5</v>
      </c>
      <c r="AU7" s="34">
        <v>0</v>
      </c>
      <c r="AV7" s="34">
        <v>0</v>
      </c>
      <c r="AW7" s="34">
        <v>0.12769446264574236</v>
      </c>
      <c r="AX7" s="34">
        <v>0</v>
      </c>
      <c r="AY7" s="34">
        <v>1.316024235739661E-2</v>
      </c>
      <c r="AZ7" s="34">
        <v>0.84498513582149248</v>
      </c>
      <c r="BA7" s="34">
        <v>0.98583984082463139</v>
      </c>
      <c r="BB7" s="6"/>
      <c r="BC7" s="6"/>
      <c r="BD7" t="s">
        <v>659</v>
      </c>
      <c r="BF7" s="5">
        <v>5.141751E-2</v>
      </c>
      <c r="BG7" s="5">
        <f t="shared" si="1"/>
        <v>-2.1294829670496312E-2</v>
      </c>
      <c r="BH7" s="2">
        <v>136.42158000000001</v>
      </c>
    </row>
    <row r="8" spans="1:60" x14ac:dyDescent="0.2">
      <c r="A8" t="str">
        <f t="shared" ref="A8:A10" si="2">B8&amp;" - "&amp;D8&amp;" - "&amp;IF(I8&lt;&gt;"",I8&amp;" - "&amp;E8,E8)</f>
        <v>Kick Scooter, battery electric, &lt;1kW - 2030 - LFP - CH</v>
      </c>
      <c r="B8" t="s">
        <v>651</v>
      </c>
      <c r="D8" s="18">
        <v>2030</v>
      </c>
      <c r="E8" t="s">
        <v>37</v>
      </c>
      <c r="F8" t="s">
        <v>136</v>
      </c>
      <c r="G8" t="s">
        <v>39</v>
      </c>
      <c r="H8" t="s">
        <v>32</v>
      </c>
      <c r="I8" t="s">
        <v>43</v>
      </c>
      <c r="J8" t="s">
        <v>136</v>
      </c>
      <c r="L8" s="24">
        <v>0</v>
      </c>
      <c r="M8" s="24">
        <v>0</v>
      </c>
      <c r="N8" s="24">
        <v>2.7305966317886432E-3</v>
      </c>
      <c r="O8" s="24">
        <v>0</v>
      </c>
      <c r="P8" s="24">
        <v>4.0031363332985927E-4</v>
      </c>
      <c r="Q8" s="24">
        <v>7.3207844707499609E-2</v>
      </c>
      <c r="R8" s="24">
        <v>7.6338754972618106E-2</v>
      </c>
      <c r="S8" s="26">
        <v>0</v>
      </c>
      <c r="T8" s="26">
        <v>0</v>
      </c>
      <c r="U8" s="26">
        <v>2.8901572147613101E-4</v>
      </c>
      <c r="V8" s="26">
        <v>0</v>
      </c>
      <c r="W8" s="26">
        <v>2.5294873964821651E-5</v>
      </c>
      <c r="X8" s="26">
        <v>3.0676555335729629E-2</v>
      </c>
      <c r="Y8" s="26">
        <v>3.0990865931170581E-2</v>
      </c>
      <c r="Z8" s="28">
        <v>0</v>
      </c>
      <c r="AA8" s="28">
        <v>1.3758060237990489E-3</v>
      </c>
      <c r="AB8" s="28">
        <v>8.4699063757735321E-5</v>
      </c>
      <c r="AC8" s="28">
        <v>0</v>
      </c>
      <c r="AD8" s="28">
        <v>1.1498185597032499E-5</v>
      </c>
      <c r="AE8" s="28">
        <v>4.7533115568695076E-3</v>
      </c>
      <c r="AF8" s="28">
        <v>6.2253148300233244E-3</v>
      </c>
      <c r="AG8" s="30">
        <v>0</v>
      </c>
      <c r="AH8" s="30">
        <v>7.228237882960114E-6</v>
      </c>
      <c r="AI8" s="30">
        <v>1.9352850365053441E-4</v>
      </c>
      <c r="AJ8" s="30">
        <v>0</v>
      </c>
      <c r="AK8" s="30">
        <v>1.0730962946886619E-5</v>
      </c>
      <c r="AL8" s="30">
        <v>1.473502641962713E-2</v>
      </c>
      <c r="AM8" s="30">
        <v>1.4946514124107512E-2</v>
      </c>
      <c r="AN8" s="32">
        <v>0</v>
      </c>
      <c r="AO8" s="32">
        <v>5.1842725945187069E-6</v>
      </c>
      <c r="AP8" s="32">
        <v>2.4402048008400939E-7</v>
      </c>
      <c r="AQ8" s="32">
        <v>0</v>
      </c>
      <c r="AR8" s="32">
        <v>4.2371353616745593E-8</v>
      </c>
      <c r="AS8" s="32">
        <v>8.3503145534200556E-6</v>
      </c>
      <c r="AT8" s="32">
        <v>1.3820978981639517E-5</v>
      </c>
      <c r="AU8" s="34">
        <v>0</v>
      </c>
      <c r="AV8" s="34">
        <v>0</v>
      </c>
      <c r="AW8" s="34">
        <v>0.12769446264574236</v>
      </c>
      <c r="AX8" s="34">
        <v>0</v>
      </c>
      <c r="AY8" s="34">
        <v>1.3114013744016526E-2</v>
      </c>
      <c r="AZ8" s="34">
        <v>0.88387435929298963</v>
      </c>
      <c r="BA8" s="34">
        <v>1.0246828356827484</v>
      </c>
      <c r="BB8" s="6"/>
      <c r="BC8" s="6"/>
      <c r="BD8" t="s">
        <v>660</v>
      </c>
      <c r="BF8" s="5">
        <v>5.2830629999999996E-2</v>
      </c>
      <c r="BG8" s="5">
        <f t="shared" si="1"/>
        <v>-2.3508124972618109E-2</v>
      </c>
      <c r="BH8" s="2">
        <v>136.71681000000001</v>
      </c>
    </row>
    <row r="9" spans="1:60" x14ac:dyDescent="0.2">
      <c r="A9" t="str">
        <f t="shared" si="2"/>
        <v>Kick Scooter, battery electric, &lt;1kW - 2040 - LFP - CH</v>
      </c>
      <c r="B9" t="s">
        <v>651</v>
      </c>
      <c r="D9" s="18">
        <v>2040</v>
      </c>
      <c r="E9" t="s">
        <v>37</v>
      </c>
      <c r="F9" t="s">
        <v>136</v>
      </c>
      <c r="G9" t="s">
        <v>39</v>
      </c>
      <c r="H9" t="s">
        <v>32</v>
      </c>
      <c r="I9" t="s">
        <v>43</v>
      </c>
      <c r="J9" t="s">
        <v>136</v>
      </c>
      <c r="L9" s="24">
        <v>0</v>
      </c>
      <c r="M9" s="24">
        <v>0</v>
      </c>
      <c r="N9" s="24">
        <v>2.7305966317886432E-3</v>
      </c>
      <c r="O9" s="24">
        <v>0</v>
      </c>
      <c r="P9" s="24">
        <v>4.0020741714331899E-4</v>
      </c>
      <c r="Q9" s="24">
        <v>7.7095101085898496E-2</v>
      </c>
      <c r="R9" s="24">
        <v>8.0225905134830452E-2</v>
      </c>
      <c r="S9" s="26">
        <v>0</v>
      </c>
      <c r="T9" s="26">
        <v>0</v>
      </c>
      <c r="U9" s="26">
        <v>2.8901572147613101E-4</v>
      </c>
      <c r="V9" s="26">
        <v>0</v>
      </c>
      <c r="W9" s="26">
        <v>2.528816241460735E-5</v>
      </c>
      <c r="X9" s="26">
        <v>3.1926707586981462E-2</v>
      </c>
      <c r="Y9" s="26">
        <v>3.2241011470872202E-2</v>
      </c>
      <c r="Z9" s="28">
        <v>0</v>
      </c>
      <c r="AA9" s="28">
        <v>1.3758060237990489E-3</v>
      </c>
      <c r="AB9" s="28">
        <v>8.4699063757735321E-5</v>
      </c>
      <c r="AC9" s="28">
        <v>0</v>
      </c>
      <c r="AD9" s="28">
        <v>1.149513475558079E-5</v>
      </c>
      <c r="AE9" s="28">
        <v>5.0245472474234288E-3</v>
      </c>
      <c r="AF9" s="28">
        <v>6.4965474697357938E-3</v>
      </c>
      <c r="AG9" s="30">
        <v>0</v>
      </c>
      <c r="AH9" s="30">
        <v>7.228237882960114E-6</v>
      </c>
      <c r="AI9" s="30">
        <v>1.9352850365053441E-4</v>
      </c>
      <c r="AJ9" s="30">
        <v>0</v>
      </c>
      <c r="AK9" s="30">
        <v>1.0728115674480119E-5</v>
      </c>
      <c r="AL9" s="30">
        <v>1.557387774406593E-2</v>
      </c>
      <c r="AM9" s="30">
        <v>1.5785362601273906E-2</v>
      </c>
      <c r="AN9" s="32">
        <v>0</v>
      </c>
      <c r="AO9" s="32">
        <v>5.1842725945187069E-6</v>
      </c>
      <c r="AP9" s="32">
        <v>2.4402048008400939E-7</v>
      </c>
      <c r="AQ9" s="32">
        <v>0</v>
      </c>
      <c r="AR9" s="32">
        <v>4.2360111122798313E-8</v>
      </c>
      <c r="AS9" s="32">
        <v>8.6866864943204297E-6</v>
      </c>
      <c r="AT9" s="32">
        <v>1.4157339680045944E-5</v>
      </c>
      <c r="AU9" s="34">
        <v>0</v>
      </c>
      <c r="AV9" s="34">
        <v>0</v>
      </c>
      <c r="AW9" s="34">
        <v>0.12769446264574236</v>
      </c>
      <c r="AX9" s="34">
        <v>0</v>
      </c>
      <c r="AY9" s="34">
        <v>1.3110534170966406E-2</v>
      </c>
      <c r="AZ9" s="34">
        <v>0.92987516313264695</v>
      </c>
      <c r="BA9" s="34">
        <v>1.0706801599493558</v>
      </c>
      <c r="BB9" s="6"/>
      <c r="BC9" s="6"/>
      <c r="BD9" t="s">
        <v>661</v>
      </c>
      <c r="BF9" s="5">
        <v>5.4881872999999998E-2</v>
      </c>
      <c r="BG9" s="5">
        <f t="shared" si="1"/>
        <v>-2.5344032134830455E-2</v>
      </c>
      <c r="BH9" s="2">
        <v>141.80978999999999</v>
      </c>
    </row>
    <row r="10" spans="1:60" x14ac:dyDescent="0.2">
      <c r="A10" t="str">
        <f t="shared" si="2"/>
        <v>Kick Scooter, battery electric, &lt;1kW - 2050 - LFP - CH</v>
      </c>
      <c r="B10" t="s">
        <v>651</v>
      </c>
      <c r="D10" s="18">
        <v>2050</v>
      </c>
      <c r="E10" t="s">
        <v>37</v>
      </c>
      <c r="F10" t="s">
        <v>136</v>
      </c>
      <c r="G10" t="s">
        <v>39</v>
      </c>
      <c r="H10" t="s">
        <v>32</v>
      </c>
      <c r="I10" t="s">
        <v>43</v>
      </c>
      <c r="J10" t="s">
        <v>136</v>
      </c>
      <c r="L10" s="24">
        <v>0</v>
      </c>
      <c r="M10" s="24">
        <v>0</v>
      </c>
      <c r="N10" s="24">
        <v>2.7305966317886432E-3</v>
      </c>
      <c r="O10" s="24">
        <v>0</v>
      </c>
      <c r="P10" s="24">
        <v>3.9812861463531392E-4</v>
      </c>
      <c r="Q10" s="24">
        <v>7.7861926011240978E-2</v>
      </c>
      <c r="R10" s="24">
        <v>8.0990651257664942E-2</v>
      </c>
      <c r="S10" s="26">
        <v>0</v>
      </c>
      <c r="T10" s="26">
        <v>0</v>
      </c>
      <c r="U10" s="26">
        <v>2.8901572147613101E-4</v>
      </c>
      <c r="V10" s="26">
        <v>0</v>
      </c>
      <c r="W10" s="26">
        <v>2.5156807788984551E-5</v>
      </c>
      <c r="X10" s="26">
        <v>3.1111600347466309E-2</v>
      </c>
      <c r="Y10" s="26">
        <v>3.1425772876731421E-2</v>
      </c>
      <c r="Z10" s="28">
        <v>0</v>
      </c>
      <c r="AA10" s="28">
        <v>1.3758060237990489E-3</v>
      </c>
      <c r="AB10" s="28">
        <v>8.4699063757735321E-5</v>
      </c>
      <c r="AC10" s="28">
        <v>0</v>
      </c>
      <c r="AD10" s="28">
        <v>1.1435425430025729E-5</v>
      </c>
      <c r="AE10" s="28">
        <v>4.9924348793066731E-3</v>
      </c>
      <c r="AF10" s="28">
        <v>6.4643753922934829E-3</v>
      </c>
      <c r="AG10" s="30">
        <v>0</v>
      </c>
      <c r="AH10" s="30">
        <v>7.228237882960114E-6</v>
      </c>
      <c r="AI10" s="30">
        <v>1.9352850365053441E-4</v>
      </c>
      <c r="AJ10" s="30">
        <v>0</v>
      </c>
      <c r="AK10" s="30">
        <v>1.067239048595297E-5</v>
      </c>
      <c r="AL10" s="30">
        <v>1.545548078039102E-2</v>
      </c>
      <c r="AM10" s="30">
        <v>1.5666909912410466E-2</v>
      </c>
      <c r="AN10" s="32">
        <v>0</v>
      </c>
      <c r="AO10" s="32">
        <v>5.1842725945187069E-6</v>
      </c>
      <c r="AP10" s="32">
        <v>2.4402048008400939E-7</v>
      </c>
      <c r="AQ10" s="32">
        <v>0</v>
      </c>
      <c r="AR10" s="32">
        <v>4.2140079455544352E-8</v>
      </c>
      <c r="AS10" s="32">
        <v>8.5124961848837509E-6</v>
      </c>
      <c r="AT10" s="32">
        <v>1.3982929338942011E-5</v>
      </c>
      <c r="AU10" s="34">
        <v>0</v>
      </c>
      <c r="AV10" s="34">
        <v>0</v>
      </c>
      <c r="AW10" s="34">
        <v>0.12769446264574236</v>
      </c>
      <c r="AX10" s="34">
        <v>0</v>
      </c>
      <c r="AY10" s="34">
        <v>1.3042433955557023E-2</v>
      </c>
      <c r="AZ10" s="34">
        <v>0.93366777202691098</v>
      </c>
      <c r="BA10" s="34">
        <v>1.0744046686282103</v>
      </c>
      <c r="BB10" s="6"/>
      <c r="BC10" s="6"/>
      <c r="BD10" t="s">
        <v>662</v>
      </c>
      <c r="BF10" s="5">
        <v>5.4586436999999995E-2</v>
      </c>
      <c r="BG10" s="5">
        <f t="shared" si="1"/>
        <v>-2.6404214257664947E-2</v>
      </c>
      <c r="BH10" s="2">
        <v>136.73195000000001</v>
      </c>
    </row>
    <row r="11" spans="1:60" x14ac:dyDescent="0.2">
      <c r="A11" t="str">
        <f>B11&amp;" - "&amp;D11&amp;" - "&amp;IF(I11&lt;&gt;"",I11&amp;" - "&amp;E11,E11)</f>
        <v>Kick Scooter, battery electric, &lt;1kW - 2020 - NCA - CH</v>
      </c>
      <c r="B11" t="s">
        <v>651</v>
      </c>
      <c r="D11" s="18">
        <v>2020</v>
      </c>
      <c r="E11" t="s">
        <v>37</v>
      </c>
      <c r="F11" t="s">
        <v>136</v>
      </c>
      <c r="G11" t="s">
        <v>39</v>
      </c>
      <c r="H11" t="s">
        <v>32</v>
      </c>
      <c r="I11" t="s">
        <v>44</v>
      </c>
      <c r="J11" t="s">
        <v>136</v>
      </c>
      <c r="L11" s="24">
        <v>0</v>
      </c>
      <c r="M11" s="24">
        <v>0</v>
      </c>
      <c r="N11" s="24">
        <v>2.7305966317886432E-3</v>
      </c>
      <c r="O11" s="24">
        <v>0</v>
      </c>
      <c r="P11" s="24">
        <v>3.9336274052619648E-4</v>
      </c>
      <c r="Q11" s="24">
        <v>5.6701555000814807E-2</v>
      </c>
      <c r="R11" s="24">
        <v>5.9825514373129648E-2</v>
      </c>
      <c r="S11" s="26">
        <v>0</v>
      </c>
      <c r="T11" s="26">
        <v>0</v>
      </c>
      <c r="U11" s="26">
        <v>2.8901572147613101E-4</v>
      </c>
      <c r="V11" s="26">
        <v>0</v>
      </c>
      <c r="W11" s="26">
        <v>2.4855663448934071E-5</v>
      </c>
      <c r="X11" s="26">
        <v>2.4503305468957931E-2</v>
      </c>
      <c r="Y11" s="26">
        <v>2.4817176853882995E-2</v>
      </c>
      <c r="Z11" s="28">
        <v>0</v>
      </c>
      <c r="AA11" s="28">
        <v>1.3758060237990489E-3</v>
      </c>
      <c r="AB11" s="28">
        <v>8.4699063757735321E-5</v>
      </c>
      <c r="AC11" s="28">
        <v>0</v>
      </c>
      <c r="AD11" s="28">
        <v>1.129853550053995E-5</v>
      </c>
      <c r="AE11" s="28">
        <v>3.506567301055728E-3</v>
      </c>
      <c r="AF11" s="28">
        <v>4.9783709241130528E-3</v>
      </c>
      <c r="AG11" s="30">
        <v>0</v>
      </c>
      <c r="AH11" s="30">
        <v>7.228237882960114E-6</v>
      </c>
      <c r="AI11" s="30">
        <v>1.9352850365053441E-4</v>
      </c>
      <c r="AJ11" s="30">
        <v>0</v>
      </c>
      <c r="AK11" s="30">
        <v>1.0544634611017971E-5</v>
      </c>
      <c r="AL11" s="30">
        <v>1.060568824245043E-2</v>
      </c>
      <c r="AM11" s="30">
        <v>1.0816989618594942E-2</v>
      </c>
      <c r="AN11" s="32">
        <v>0</v>
      </c>
      <c r="AO11" s="32">
        <v>5.1842725945187069E-6</v>
      </c>
      <c r="AP11" s="32">
        <v>2.4402048008400939E-7</v>
      </c>
      <c r="AQ11" s="32">
        <v>0</v>
      </c>
      <c r="AR11" s="32">
        <v>4.1635633640170602E-8</v>
      </c>
      <c r="AS11" s="32">
        <v>6.8864675315944368E-6</v>
      </c>
      <c r="AT11" s="32">
        <v>1.2356396239837323E-5</v>
      </c>
      <c r="AU11" s="34">
        <v>0</v>
      </c>
      <c r="AV11" s="34">
        <v>0</v>
      </c>
      <c r="AW11" s="34">
        <v>0.12769446264574236</v>
      </c>
      <c r="AX11" s="34">
        <v>0</v>
      </c>
      <c r="AY11" s="34">
        <v>1.2886307025656248E-2</v>
      </c>
      <c r="AZ11" s="34">
        <v>0.67883660481052754</v>
      </c>
      <c r="BA11" s="34">
        <v>0.8194173744819262</v>
      </c>
      <c r="BB11" s="6"/>
      <c r="BC11" s="6"/>
      <c r="BD11" t="s">
        <v>663</v>
      </c>
      <c r="BF11" s="5">
        <v>4.2527005E-2</v>
      </c>
      <c r="BG11" s="5">
        <f t="shared" si="1"/>
        <v>-1.7298509373129649E-2</v>
      </c>
      <c r="BH11" s="2">
        <v>104.41923</v>
      </c>
    </row>
    <row r="12" spans="1:60" x14ac:dyDescent="0.2">
      <c r="A12" t="str">
        <f t="shared" ref="A12:A14" si="3">B12&amp;" - "&amp;D12&amp;" - "&amp;IF(I12&lt;&gt;"",I12&amp;" - "&amp;E12,E12)</f>
        <v>Kick Scooter, battery electric, &lt;1kW - 2030 - NCA - CH</v>
      </c>
      <c r="B12" t="s">
        <v>651</v>
      </c>
      <c r="D12" s="18">
        <v>2030</v>
      </c>
      <c r="E12" t="s">
        <v>37</v>
      </c>
      <c r="F12" t="s">
        <v>136</v>
      </c>
      <c r="G12" t="s">
        <v>39</v>
      </c>
      <c r="H12" t="s">
        <v>32</v>
      </c>
      <c r="I12" t="s">
        <v>44</v>
      </c>
      <c r="J12" t="s">
        <v>136</v>
      </c>
      <c r="L12" s="24">
        <v>0</v>
      </c>
      <c r="M12" s="24">
        <v>0</v>
      </c>
      <c r="N12" s="24">
        <v>2.7305966317886432E-3</v>
      </c>
      <c r="O12" s="24">
        <v>0</v>
      </c>
      <c r="P12" s="24">
        <v>3.9143699488326821E-4</v>
      </c>
      <c r="Q12" s="24">
        <v>5.9487400011632857E-2</v>
      </c>
      <c r="R12" s="24">
        <v>6.2609433638304762E-2</v>
      </c>
      <c r="S12" s="26">
        <v>0</v>
      </c>
      <c r="T12" s="26">
        <v>0</v>
      </c>
      <c r="U12" s="26">
        <v>2.8901572147613101E-4</v>
      </c>
      <c r="V12" s="26">
        <v>0</v>
      </c>
      <c r="W12" s="26">
        <v>2.4733980125483441E-5</v>
      </c>
      <c r="X12" s="26">
        <v>2.4175436103919881E-2</v>
      </c>
      <c r="Y12" s="26">
        <v>2.4489185805521497E-2</v>
      </c>
      <c r="Z12" s="28">
        <v>0</v>
      </c>
      <c r="AA12" s="28">
        <v>1.3758060237990489E-3</v>
      </c>
      <c r="AB12" s="28">
        <v>8.4699063757735321E-5</v>
      </c>
      <c r="AC12" s="28">
        <v>0</v>
      </c>
      <c r="AD12" s="28">
        <v>1.124322241856749E-5</v>
      </c>
      <c r="AE12" s="28">
        <v>3.6028765472681979E-3</v>
      </c>
      <c r="AF12" s="28">
        <v>5.0746248572435494E-3</v>
      </c>
      <c r="AG12" s="30">
        <v>0</v>
      </c>
      <c r="AH12" s="30">
        <v>7.228237882960114E-6</v>
      </c>
      <c r="AI12" s="30">
        <v>1.9352850365053441E-4</v>
      </c>
      <c r="AJ12" s="30">
        <v>0</v>
      </c>
      <c r="AK12" s="30">
        <v>1.0493012324343649E-5</v>
      </c>
      <c r="AL12" s="30">
        <v>1.092185880165587E-2</v>
      </c>
      <c r="AM12" s="30">
        <v>1.1133108555513707E-2</v>
      </c>
      <c r="AN12" s="32">
        <v>0</v>
      </c>
      <c r="AO12" s="32">
        <v>5.1842725945187069E-6</v>
      </c>
      <c r="AP12" s="32">
        <v>2.4402048008400939E-7</v>
      </c>
      <c r="AQ12" s="32">
        <v>0</v>
      </c>
      <c r="AR12" s="32">
        <v>4.1431802336865512E-8</v>
      </c>
      <c r="AS12" s="32">
        <v>6.8254318282043871E-6</v>
      </c>
      <c r="AT12" s="32">
        <v>1.2295156705143968E-5</v>
      </c>
      <c r="AU12" s="34">
        <v>0</v>
      </c>
      <c r="AV12" s="34">
        <v>0</v>
      </c>
      <c r="AW12" s="34">
        <v>0.12769446264574236</v>
      </c>
      <c r="AX12" s="34">
        <v>0</v>
      </c>
      <c r="AY12" s="34">
        <v>1.2823220853399825E-2</v>
      </c>
      <c r="AZ12" s="34">
        <v>0.7056928010710064</v>
      </c>
      <c r="BA12" s="34">
        <v>0.84621048457014858</v>
      </c>
      <c r="BB12" s="6"/>
      <c r="BC12" s="6"/>
      <c r="BD12" t="s">
        <v>664</v>
      </c>
      <c r="BF12" s="5">
        <v>4.3247173E-2</v>
      </c>
      <c r="BG12" s="5">
        <f t="shared" si="1"/>
        <v>-1.9362260638304762E-2</v>
      </c>
      <c r="BH12" s="2">
        <v>101.18416000000001</v>
      </c>
    </row>
    <row r="13" spans="1:60" x14ac:dyDescent="0.2">
      <c r="A13" t="str">
        <f t="shared" si="3"/>
        <v>Kick Scooter, battery electric, &lt;1kW - 2040 - NCA - CH</v>
      </c>
      <c r="B13" t="s">
        <v>651</v>
      </c>
      <c r="D13" s="18">
        <v>2040</v>
      </c>
      <c r="E13" t="s">
        <v>37</v>
      </c>
      <c r="F13" t="s">
        <v>136</v>
      </c>
      <c r="G13" t="s">
        <v>39</v>
      </c>
      <c r="H13" t="s">
        <v>32</v>
      </c>
      <c r="I13" t="s">
        <v>44</v>
      </c>
      <c r="J13" t="s">
        <v>136</v>
      </c>
      <c r="L13" s="24">
        <v>0</v>
      </c>
      <c r="M13" s="24">
        <v>0</v>
      </c>
      <c r="N13" s="24">
        <v>2.7305966317886432E-3</v>
      </c>
      <c r="O13" s="24">
        <v>0</v>
      </c>
      <c r="P13" s="24">
        <v>3.9034448553599551E-4</v>
      </c>
      <c r="Q13" s="24">
        <v>6.1814440276083571E-2</v>
      </c>
      <c r="R13" s="24">
        <v>6.4935381393408209E-2</v>
      </c>
      <c r="S13" s="26">
        <v>0</v>
      </c>
      <c r="T13" s="26">
        <v>0</v>
      </c>
      <c r="U13" s="26">
        <v>2.8901572147613101E-4</v>
      </c>
      <c r="V13" s="26">
        <v>0</v>
      </c>
      <c r="W13" s="26">
        <v>2.4664947037564892E-5</v>
      </c>
      <c r="X13" s="26">
        <v>2.439295828399075E-2</v>
      </c>
      <c r="Y13" s="26">
        <v>2.4706638952504446E-2</v>
      </c>
      <c r="Z13" s="28">
        <v>0</v>
      </c>
      <c r="AA13" s="28">
        <v>1.3758060237990489E-3</v>
      </c>
      <c r="AB13" s="28">
        <v>8.4699063757735321E-5</v>
      </c>
      <c r="AC13" s="28">
        <v>0</v>
      </c>
      <c r="AD13" s="28">
        <v>1.1211842335064101E-5</v>
      </c>
      <c r="AE13" s="28">
        <v>3.7224381694087698E-3</v>
      </c>
      <c r="AF13" s="28">
        <v>5.1941550993006179E-3</v>
      </c>
      <c r="AG13" s="30">
        <v>0</v>
      </c>
      <c r="AH13" s="30">
        <v>7.228237882960114E-6</v>
      </c>
      <c r="AI13" s="30">
        <v>1.9352850365053441E-4</v>
      </c>
      <c r="AJ13" s="30">
        <v>0</v>
      </c>
      <c r="AK13" s="30">
        <v>1.046372609387682E-5</v>
      </c>
      <c r="AL13" s="30">
        <v>1.128208579275994E-2</v>
      </c>
      <c r="AM13" s="30">
        <v>1.1493306260387311E-2</v>
      </c>
      <c r="AN13" s="32">
        <v>0</v>
      </c>
      <c r="AO13" s="32">
        <v>5.1842725945187069E-6</v>
      </c>
      <c r="AP13" s="32">
        <v>2.4402048008400939E-7</v>
      </c>
      <c r="AQ13" s="32">
        <v>0</v>
      </c>
      <c r="AR13" s="32">
        <v>4.1316165256264889E-8</v>
      </c>
      <c r="AS13" s="32">
        <v>6.9065226132792782E-6</v>
      </c>
      <c r="AT13" s="32">
        <v>1.2376131853138259E-5</v>
      </c>
      <c r="AU13" s="34">
        <v>0</v>
      </c>
      <c r="AV13" s="34">
        <v>0</v>
      </c>
      <c r="AW13" s="34">
        <v>0.12769446264574236</v>
      </c>
      <c r="AX13" s="34">
        <v>0</v>
      </c>
      <c r="AY13" s="34">
        <v>1.2787430959170081E-2</v>
      </c>
      <c r="AZ13" s="34">
        <v>0.73058950357067676</v>
      </c>
      <c r="BA13" s="34">
        <v>0.87107139717558923</v>
      </c>
      <c r="BB13" s="6"/>
      <c r="BC13" s="6"/>
      <c r="BD13" t="s">
        <v>665</v>
      </c>
      <c r="BF13" s="5">
        <v>4.4125539999999998E-2</v>
      </c>
      <c r="BG13" s="5">
        <f t="shared" si="1"/>
        <v>-2.0809841393408211E-2</v>
      </c>
      <c r="BH13" s="2">
        <v>101.19204000000001</v>
      </c>
    </row>
    <row r="14" spans="1:60" x14ac:dyDescent="0.2">
      <c r="A14" t="str">
        <f t="shared" si="3"/>
        <v>Kick Scooter, battery electric, &lt;1kW - 2050 - NCA - CH</v>
      </c>
      <c r="B14" t="s">
        <v>651</v>
      </c>
      <c r="D14" s="18">
        <v>2050</v>
      </c>
      <c r="E14" t="s">
        <v>37</v>
      </c>
      <c r="F14" t="s">
        <v>136</v>
      </c>
      <c r="G14" t="s">
        <v>39</v>
      </c>
      <c r="H14" t="s">
        <v>32</v>
      </c>
      <c r="I14" t="s">
        <v>44</v>
      </c>
      <c r="J14" t="s">
        <v>136</v>
      </c>
      <c r="L14" s="24">
        <v>0</v>
      </c>
      <c r="M14" s="24">
        <v>0</v>
      </c>
      <c r="N14" s="24">
        <v>2.7305966317886432E-3</v>
      </c>
      <c r="O14" s="24">
        <v>0</v>
      </c>
      <c r="P14" s="24">
        <v>3.892519761887227E-4</v>
      </c>
      <c r="Q14" s="24">
        <v>6.4141481315374269E-2</v>
      </c>
      <c r="R14" s="24">
        <v>6.726132992335164E-2</v>
      </c>
      <c r="S14" s="26">
        <v>0</v>
      </c>
      <c r="T14" s="26">
        <v>0</v>
      </c>
      <c r="U14" s="26">
        <v>2.8901572147613101E-4</v>
      </c>
      <c r="V14" s="26">
        <v>0</v>
      </c>
      <c r="W14" s="26">
        <v>2.4595913949646339E-5</v>
      </c>
      <c r="X14" s="26">
        <v>2.4610481115656561E-2</v>
      </c>
      <c r="Y14" s="26">
        <v>2.4924092751082337E-2</v>
      </c>
      <c r="Z14" s="28">
        <v>0</v>
      </c>
      <c r="AA14" s="28">
        <v>1.3758060237990489E-3</v>
      </c>
      <c r="AB14" s="28">
        <v>8.4699063757735321E-5</v>
      </c>
      <c r="AC14" s="28">
        <v>0</v>
      </c>
      <c r="AD14" s="28">
        <v>1.118046225156072E-5</v>
      </c>
      <c r="AE14" s="28">
        <v>3.841999869705365E-3</v>
      </c>
      <c r="AF14" s="28">
        <v>5.3136854195137105E-3</v>
      </c>
      <c r="AG14" s="30">
        <v>0</v>
      </c>
      <c r="AH14" s="30">
        <v>7.228237882960114E-6</v>
      </c>
      <c r="AI14" s="30">
        <v>1.9352850365053441E-4</v>
      </c>
      <c r="AJ14" s="30">
        <v>0</v>
      </c>
      <c r="AK14" s="30">
        <v>1.043443986340999E-5</v>
      </c>
      <c r="AL14" s="30">
        <v>1.164231316241976E-2</v>
      </c>
      <c r="AM14" s="30">
        <v>1.1853504343816663E-2</v>
      </c>
      <c r="AN14" s="32">
        <v>0</v>
      </c>
      <c r="AO14" s="32">
        <v>5.1842725945187069E-6</v>
      </c>
      <c r="AP14" s="32">
        <v>2.4402048008400939E-7</v>
      </c>
      <c r="AQ14" s="32">
        <v>0</v>
      </c>
      <c r="AR14" s="32">
        <v>4.1200528175664258E-8</v>
      </c>
      <c r="AS14" s="32">
        <v>6.9876134596697926E-6</v>
      </c>
      <c r="AT14" s="32">
        <v>1.2457107062448174E-5</v>
      </c>
      <c r="AU14" s="34">
        <v>0</v>
      </c>
      <c r="AV14" s="34">
        <v>0</v>
      </c>
      <c r="AW14" s="34">
        <v>0.12769446264574236</v>
      </c>
      <c r="AX14" s="34">
        <v>0</v>
      </c>
      <c r="AY14" s="34">
        <v>1.2751641064940332E-2</v>
      </c>
      <c r="AZ14" s="34">
        <v>0.75548621380492831</v>
      </c>
      <c r="BA14" s="34">
        <v>0.89593231751561098</v>
      </c>
      <c r="BB14" s="6"/>
      <c r="BC14" s="6"/>
      <c r="BD14" t="s">
        <v>666</v>
      </c>
      <c r="BF14" s="5">
        <v>4.5002875999999997E-2</v>
      </c>
      <c r="BG14" s="5">
        <f t="shared" si="1"/>
        <v>-2.2258453923351643E-2</v>
      </c>
      <c r="BH14" s="2">
        <v>101.19911</v>
      </c>
    </row>
    <row r="15" spans="1:60" x14ac:dyDescent="0.2">
      <c r="A15" t="str">
        <f t="shared" si="0"/>
        <v>Bicycle, conventional, urban - 2020 - None - CH</v>
      </c>
      <c r="B15" t="s">
        <v>33</v>
      </c>
      <c r="D15" s="18">
        <v>2020</v>
      </c>
      <c r="E15" t="s">
        <v>37</v>
      </c>
      <c r="F15" t="s">
        <v>136</v>
      </c>
      <c r="G15" t="s">
        <v>39</v>
      </c>
      <c r="I15" t="s">
        <v>136</v>
      </c>
      <c r="J15" t="s">
        <v>136</v>
      </c>
      <c r="L15" s="24">
        <v>0</v>
      </c>
      <c r="M15" s="24">
        <v>0</v>
      </c>
      <c r="N15" s="24">
        <v>0</v>
      </c>
      <c r="O15" s="24">
        <v>1.195732624675443E-3</v>
      </c>
      <c r="P15" s="24">
        <v>4.0058676066667763E-4</v>
      </c>
      <c r="Q15" s="24">
        <v>6.887182925507696E-3</v>
      </c>
      <c r="R15" s="24">
        <v>8.4835023108498168E-3</v>
      </c>
      <c r="S15" s="26">
        <v>0</v>
      </c>
      <c r="T15" s="26">
        <v>0</v>
      </c>
      <c r="U15" s="26">
        <v>0</v>
      </c>
      <c r="V15" s="26">
        <v>9.8317473549625417E-5</v>
      </c>
      <c r="W15" s="26">
        <v>2.531213223680129E-5</v>
      </c>
      <c r="X15" s="26">
        <v>5.7514618162478825E-4</v>
      </c>
      <c r="Y15" s="26">
        <v>6.9877578741121501E-4</v>
      </c>
      <c r="Z15" s="28">
        <v>0</v>
      </c>
      <c r="AA15" s="28">
        <v>1.3758060237990489E-3</v>
      </c>
      <c r="AB15" s="28">
        <v>0</v>
      </c>
      <c r="AC15" s="28">
        <v>2.3968260093961618E-5</v>
      </c>
      <c r="AD15" s="28">
        <v>1.150603061790835E-5</v>
      </c>
      <c r="AE15" s="28">
        <v>2.4736859984810292E-4</v>
      </c>
      <c r="AF15" s="28">
        <v>1.6586489143590216E-3</v>
      </c>
      <c r="AG15" s="30">
        <v>0</v>
      </c>
      <c r="AH15" s="30">
        <v>7.228237882960114E-6</v>
      </c>
      <c r="AI15" s="30">
        <v>0</v>
      </c>
      <c r="AJ15" s="30">
        <v>8.5554174677296554E-5</v>
      </c>
      <c r="AK15" s="30">
        <v>1.073828450450333E-5</v>
      </c>
      <c r="AL15" s="30">
        <v>4.2647205163513042E-4</v>
      </c>
      <c r="AM15" s="30">
        <v>5.2999274869989046E-4</v>
      </c>
      <c r="AN15" s="32">
        <v>0</v>
      </c>
      <c r="AO15" s="32">
        <v>5.1842725945187069E-6</v>
      </c>
      <c r="AP15" s="32">
        <v>0</v>
      </c>
      <c r="AQ15" s="32">
        <v>6.5490648626579012E-8</v>
      </c>
      <c r="AR15" s="32">
        <v>4.2400262886895747E-8</v>
      </c>
      <c r="AS15" s="32">
        <v>6.0159508973609065E-7</v>
      </c>
      <c r="AT15" s="32">
        <v>5.8937585957682725E-6</v>
      </c>
      <c r="AU15" s="34">
        <v>0</v>
      </c>
      <c r="AV15" s="34">
        <v>0</v>
      </c>
      <c r="AW15" s="34">
        <v>0</v>
      </c>
      <c r="AX15" s="34">
        <v>2.01770987761535E-2</v>
      </c>
      <c r="AY15" s="34">
        <v>1.3122961217573963E-2</v>
      </c>
      <c r="AZ15" s="34">
        <v>8.0562383708599694E-2</v>
      </c>
      <c r="BA15" s="34">
        <v>0.11386244370232715</v>
      </c>
      <c r="BB15" s="6"/>
      <c r="BC15" s="6"/>
      <c r="BD15" t="s">
        <v>622</v>
      </c>
      <c r="BF15" s="5">
        <v>5.9156973999999994E-3</v>
      </c>
      <c r="BG15" s="5">
        <f t="shared" si="1"/>
        <v>-2.5678049108498174E-3</v>
      </c>
      <c r="BH15" s="2">
        <v>9.3159776000000001</v>
      </c>
    </row>
    <row r="16" spans="1:60" x14ac:dyDescent="0.2">
      <c r="A16" t="str">
        <f t="shared" si="0"/>
        <v>Bicycle, conventional, urban - 2030 - None - CH</v>
      </c>
      <c r="B16" t="s">
        <v>33</v>
      </c>
      <c r="D16" s="18">
        <v>2030</v>
      </c>
      <c r="E16" t="s">
        <v>37</v>
      </c>
      <c r="F16" t="s">
        <v>136</v>
      </c>
      <c r="G16" t="s">
        <v>39</v>
      </c>
      <c r="I16" t="s">
        <v>136</v>
      </c>
      <c r="J16" t="s">
        <v>136</v>
      </c>
      <c r="L16" s="24">
        <v>0</v>
      </c>
      <c r="M16" s="24">
        <v>0</v>
      </c>
      <c r="N16" s="24">
        <v>0</v>
      </c>
      <c r="O16" s="24">
        <v>1.195732624675443E-3</v>
      </c>
      <c r="P16" s="24">
        <v>3.9894799664576838E-4</v>
      </c>
      <c r="Q16" s="24">
        <v>7.6911297500214214E-3</v>
      </c>
      <c r="R16" s="24">
        <v>9.2858103713426322E-3</v>
      </c>
      <c r="S16" s="26">
        <v>0</v>
      </c>
      <c r="T16" s="26">
        <v>0</v>
      </c>
      <c r="U16" s="26">
        <v>0</v>
      </c>
      <c r="V16" s="26">
        <v>9.8317473549625417E-5</v>
      </c>
      <c r="W16" s="26">
        <v>2.5208582604923459E-5</v>
      </c>
      <c r="X16" s="26">
        <v>7.1970653224177406E-4</v>
      </c>
      <c r="Y16" s="26">
        <v>8.4323258839632295E-4</v>
      </c>
      <c r="Z16" s="28">
        <v>0</v>
      </c>
      <c r="AA16" s="28">
        <v>1.3758060237990489E-3</v>
      </c>
      <c r="AB16" s="28">
        <v>0</v>
      </c>
      <c r="AC16" s="28">
        <v>2.3968260093961618E-5</v>
      </c>
      <c r="AD16" s="28">
        <v>1.145896049265327E-5</v>
      </c>
      <c r="AE16" s="28">
        <v>2.9315923415507828E-4</v>
      </c>
      <c r="AF16" s="28">
        <v>1.7043924785407421E-3</v>
      </c>
      <c r="AG16" s="30">
        <v>0</v>
      </c>
      <c r="AH16" s="30">
        <v>7.228237882960114E-6</v>
      </c>
      <c r="AI16" s="30">
        <v>0</v>
      </c>
      <c r="AJ16" s="30">
        <v>8.5554174677296554E-5</v>
      </c>
      <c r="AK16" s="30">
        <v>1.0694355158803079E-5</v>
      </c>
      <c r="AL16" s="30">
        <v>5.7951059510734945E-4</v>
      </c>
      <c r="AM16" s="30">
        <v>6.8298736282640924E-4</v>
      </c>
      <c r="AN16" s="32">
        <v>0</v>
      </c>
      <c r="AO16" s="32">
        <v>5.1842725945187069E-6</v>
      </c>
      <c r="AP16" s="32">
        <v>0</v>
      </c>
      <c r="AQ16" s="32">
        <v>6.5490648626579012E-8</v>
      </c>
      <c r="AR16" s="32">
        <v>4.2226807265994808E-8</v>
      </c>
      <c r="AS16" s="32">
        <v>6.3768337118468535E-7</v>
      </c>
      <c r="AT16" s="32">
        <v>5.9296734215959658E-6</v>
      </c>
      <c r="AU16" s="34">
        <v>0</v>
      </c>
      <c r="AV16" s="34">
        <v>0</v>
      </c>
      <c r="AW16" s="34">
        <v>0</v>
      </c>
      <c r="AX16" s="34">
        <v>2.01770987761535E-2</v>
      </c>
      <c r="AY16" s="34">
        <v>1.3069276376229337E-2</v>
      </c>
      <c r="AZ16" s="34">
        <v>8.9127454842569259E-2</v>
      </c>
      <c r="BA16" s="34">
        <v>0.1223738299949521</v>
      </c>
      <c r="BB16" s="6"/>
      <c r="BC16" s="6"/>
      <c r="BD16" t="s">
        <v>473</v>
      </c>
      <c r="BF16" s="5">
        <v>6.2505966E-3</v>
      </c>
      <c r="BG16" s="5">
        <f t="shared" si="1"/>
        <v>-3.0352137713426323E-3</v>
      </c>
      <c r="BH16" s="2">
        <v>9.4949449000000001</v>
      </c>
    </row>
    <row r="17" spans="1:60" x14ac:dyDescent="0.2">
      <c r="A17" t="str">
        <f t="shared" si="0"/>
        <v>Bicycle, conventional, urban - 2040 - None - CH</v>
      </c>
      <c r="B17" t="s">
        <v>33</v>
      </c>
      <c r="D17" s="18">
        <v>2040</v>
      </c>
      <c r="E17" t="s">
        <v>37</v>
      </c>
      <c r="F17" t="s">
        <v>136</v>
      </c>
      <c r="G17" t="s">
        <v>39</v>
      </c>
      <c r="I17" t="s">
        <v>136</v>
      </c>
      <c r="J17" t="s">
        <v>136</v>
      </c>
      <c r="L17" s="24">
        <v>0</v>
      </c>
      <c r="M17" s="24">
        <v>0</v>
      </c>
      <c r="N17" s="24">
        <v>0</v>
      </c>
      <c r="O17" s="24">
        <v>1.195732624675443E-3</v>
      </c>
      <c r="P17" s="24">
        <v>3.9785548729849568E-4</v>
      </c>
      <c r="Q17" s="24">
        <v>8.2270942850229192E-3</v>
      </c>
      <c r="R17" s="24">
        <v>9.820682396996858E-3</v>
      </c>
      <c r="S17" s="26">
        <v>0</v>
      </c>
      <c r="T17" s="26">
        <v>0</v>
      </c>
      <c r="U17" s="26">
        <v>0</v>
      </c>
      <c r="V17" s="26">
        <v>9.8317473549625417E-5</v>
      </c>
      <c r="W17" s="26">
        <v>2.5139549517004909E-5</v>
      </c>
      <c r="X17" s="26">
        <v>8.1608009902565525E-4</v>
      </c>
      <c r="Y17" s="26">
        <v>9.3953712209228555E-4</v>
      </c>
      <c r="Z17" s="28">
        <v>0</v>
      </c>
      <c r="AA17" s="28">
        <v>1.3758060237990489E-3</v>
      </c>
      <c r="AB17" s="28">
        <v>0</v>
      </c>
      <c r="AC17" s="28">
        <v>2.3968260093961618E-5</v>
      </c>
      <c r="AD17" s="28">
        <v>1.1427580409149889E-5</v>
      </c>
      <c r="AE17" s="28">
        <v>3.2368632247491819E-4</v>
      </c>
      <c r="AF17" s="28">
        <v>1.7348881867770786E-3</v>
      </c>
      <c r="AG17" s="30">
        <v>0</v>
      </c>
      <c r="AH17" s="30">
        <v>7.228237882960114E-6</v>
      </c>
      <c r="AI17" s="30">
        <v>0</v>
      </c>
      <c r="AJ17" s="30">
        <v>8.5554174677296554E-5</v>
      </c>
      <c r="AK17" s="30">
        <v>1.066506892833626E-5</v>
      </c>
      <c r="AL17" s="30">
        <v>6.8153629065839693E-4</v>
      </c>
      <c r="AM17" s="30">
        <v>7.8498377214698985E-4</v>
      </c>
      <c r="AN17" s="32">
        <v>0</v>
      </c>
      <c r="AO17" s="32">
        <v>5.1842725945187069E-6</v>
      </c>
      <c r="AP17" s="32">
        <v>0</v>
      </c>
      <c r="AQ17" s="32">
        <v>6.5490648626579012E-8</v>
      </c>
      <c r="AR17" s="32">
        <v>4.2111170185394178E-8</v>
      </c>
      <c r="AS17" s="32">
        <v>6.6174222103354706E-7</v>
      </c>
      <c r="AT17" s="32">
        <v>5.9536166343642268E-6</v>
      </c>
      <c r="AU17" s="34">
        <v>0</v>
      </c>
      <c r="AV17" s="34">
        <v>0</v>
      </c>
      <c r="AW17" s="34">
        <v>0</v>
      </c>
      <c r="AX17" s="34">
        <v>2.01770987761535E-2</v>
      </c>
      <c r="AY17" s="34">
        <v>1.3033486481999585E-2</v>
      </c>
      <c r="AZ17" s="34">
        <v>9.4837502042610489E-2</v>
      </c>
      <c r="BA17" s="34">
        <v>0.12804808730076356</v>
      </c>
      <c r="BB17" s="6"/>
      <c r="BC17" s="6"/>
      <c r="BD17" t="s">
        <v>474</v>
      </c>
      <c r="BF17" s="5">
        <v>6.4738979E-3</v>
      </c>
      <c r="BG17" s="5">
        <f t="shared" si="1"/>
        <v>-3.3467844969968579E-3</v>
      </c>
      <c r="BH17" s="2">
        <v>9.6143221000000008</v>
      </c>
    </row>
    <row r="18" spans="1:60" x14ac:dyDescent="0.2">
      <c r="A18" t="str">
        <f t="shared" si="0"/>
        <v>Bicycle, conventional, urban - 2050 - None - CH</v>
      </c>
      <c r="B18" t="s">
        <v>33</v>
      </c>
      <c r="D18" s="18">
        <v>2050</v>
      </c>
      <c r="E18" t="s">
        <v>37</v>
      </c>
      <c r="F18" t="s">
        <v>136</v>
      </c>
      <c r="G18" t="s">
        <v>39</v>
      </c>
      <c r="I18" t="s">
        <v>136</v>
      </c>
      <c r="J18" t="s">
        <v>136</v>
      </c>
      <c r="L18" s="24">
        <v>0</v>
      </c>
      <c r="M18" s="24">
        <v>0</v>
      </c>
      <c r="N18" s="24">
        <v>0</v>
      </c>
      <c r="O18" s="24">
        <v>1.195732624675443E-3</v>
      </c>
      <c r="P18" s="24">
        <v>3.9676297795122293E-4</v>
      </c>
      <c r="Q18" s="24">
        <v>8.7630587036519932E-3</v>
      </c>
      <c r="R18" s="24">
        <v>1.035555430627866E-2</v>
      </c>
      <c r="S18" s="26">
        <v>0</v>
      </c>
      <c r="T18" s="26">
        <v>0</v>
      </c>
      <c r="U18" s="26">
        <v>0</v>
      </c>
      <c r="V18" s="26">
        <v>9.8317473549625417E-5</v>
      </c>
      <c r="W18" s="26">
        <v>2.5070516429086359E-5</v>
      </c>
      <c r="X18" s="26">
        <v>9.1245364221484372E-4</v>
      </c>
      <c r="Y18" s="26">
        <v>1.0358416321935556E-3</v>
      </c>
      <c r="Z18" s="28">
        <v>0</v>
      </c>
      <c r="AA18" s="28">
        <v>1.3758060237990489E-3</v>
      </c>
      <c r="AB18" s="28">
        <v>0</v>
      </c>
      <c r="AC18" s="28">
        <v>2.3968260093961618E-5</v>
      </c>
      <c r="AD18" s="28">
        <v>1.13962003256465E-5</v>
      </c>
      <c r="AE18" s="28">
        <v>3.5421340437923282E-4</v>
      </c>
      <c r="AF18" s="28">
        <v>1.7653838885978899E-3</v>
      </c>
      <c r="AG18" s="30">
        <v>0</v>
      </c>
      <c r="AH18" s="30">
        <v>7.228237882960114E-6</v>
      </c>
      <c r="AI18" s="30">
        <v>0</v>
      </c>
      <c r="AJ18" s="30">
        <v>8.5554174677296554E-5</v>
      </c>
      <c r="AK18" s="30">
        <v>1.063578269786943E-5</v>
      </c>
      <c r="AL18" s="30">
        <v>7.8356196097703796E-4</v>
      </c>
      <c r="AM18" s="30">
        <v>8.8698015623516402E-4</v>
      </c>
      <c r="AN18" s="32">
        <v>0</v>
      </c>
      <c r="AO18" s="32">
        <v>5.1842725945187069E-6</v>
      </c>
      <c r="AP18" s="32">
        <v>0</v>
      </c>
      <c r="AQ18" s="32">
        <v>6.5490648626579012E-8</v>
      </c>
      <c r="AR18" s="32">
        <v>4.1995533104793547E-8</v>
      </c>
      <c r="AS18" s="32">
        <v>6.858010692256405E-7</v>
      </c>
      <c r="AT18" s="32">
        <v>5.9775598454757192E-6</v>
      </c>
      <c r="AU18" s="34">
        <v>0</v>
      </c>
      <c r="AV18" s="34">
        <v>0</v>
      </c>
      <c r="AW18" s="34">
        <v>0</v>
      </c>
      <c r="AX18" s="34">
        <v>2.01770987761535E-2</v>
      </c>
      <c r="AY18" s="34">
        <v>1.2997696587769846E-2</v>
      </c>
      <c r="AZ18" s="34">
        <v>0.10054754807380653</v>
      </c>
      <c r="BA18" s="34">
        <v>0.13372234343772987</v>
      </c>
      <c r="BB18" s="6"/>
      <c r="BC18" s="6"/>
      <c r="BD18" t="s">
        <v>475</v>
      </c>
      <c r="BF18" s="5">
        <v>6.6970964000000006E-3</v>
      </c>
      <c r="BG18" s="5">
        <f t="shared" si="1"/>
        <v>-3.6584579062786593E-3</v>
      </c>
      <c r="BH18" s="2">
        <v>9.7334630000000004</v>
      </c>
    </row>
    <row r="19" spans="1:60" x14ac:dyDescent="0.2">
      <c r="A19" t="str">
        <f t="shared" si="0"/>
        <v>Bicycle, electric (&lt;25 km/h) - 2020 - NMC - CH</v>
      </c>
      <c r="B19" t="s">
        <v>262</v>
      </c>
      <c r="D19" s="18">
        <v>2020</v>
      </c>
      <c r="E19" t="s">
        <v>37</v>
      </c>
      <c r="F19" t="s">
        <v>136</v>
      </c>
      <c r="G19" t="s">
        <v>39</v>
      </c>
      <c r="H19" t="s">
        <v>32</v>
      </c>
      <c r="I19" t="s">
        <v>42</v>
      </c>
      <c r="J19" t="s">
        <v>136</v>
      </c>
      <c r="L19" s="24">
        <v>0</v>
      </c>
      <c r="M19" s="24">
        <v>0</v>
      </c>
      <c r="N19" s="24">
        <v>7.8217156213787186E-4</v>
      </c>
      <c r="O19" s="24">
        <v>1.195732624675443E-3</v>
      </c>
      <c r="P19" s="24">
        <v>4.5179813632008798E-4</v>
      </c>
      <c r="Q19" s="24">
        <v>1.328900195020182E-2</v>
      </c>
      <c r="R19" s="24">
        <v>1.5718704273335223E-2</v>
      </c>
      <c r="S19" s="26">
        <v>0</v>
      </c>
      <c r="T19" s="26">
        <v>0</v>
      </c>
      <c r="U19" s="26">
        <v>8.2787723282772764E-5</v>
      </c>
      <c r="V19" s="26">
        <v>9.8317473549625417E-5</v>
      </c>
      <c r="W19" s="26">
        <v>2.854805823298327E-5</v>
      </c>
      <c r="X19" s="26">
        <v>1.255020670214965E-2</v>
      </c>
      <c r="Y19" s="26">
        <v>1.2759859957215031E-2</v>
      </c>
      <c r="Z19" s="28">
        <v>0</v>
      </c>
      <c r="AA19" s="28">
        <v>1.3758060237990489E-3</v>
      </c>
      <c r="AB19" s="28">
        <v>2.4261803533979809E-5</v>
      </c>
      <c r="AC19" s="28">
        <v>2.3968260093961618E-5</v>
      </c>
      <c r="AD19" s="28">
        <v>1.2976972032129591E-5</v>
      </c>
      <c r="AE19" s="28">
        <v>1.184976064930756E-3</v>
      </c>
      <c r="AF19" s="28">
        <v>2.6219891243898759E-3</v>
      </c>
      <c r="AG19" s="30">
        <v>0</v>
      </c>
      <c r="AH19" s="30">
        <v>7.228237882960114E-6</v>
      </c>
      <c r="AI19" s="30">
        <v>5.5435684002652831E-5</v>
      </c>
      <c r="AJ19" s="30">
        <v>8.5554174677296554E-5</v>
      </c>
      <c r="AK19" s="30">
        <v>1.2111076557635849E-5</v>
      </c>
      <c r="AL19" s="30">
        <v>3.2773028407887422E-3</v>
      </c>
      <c r="AM19" s="30">
        <v>3.4376320139092877E-3</v>
      </c>
      <c r="AN19" s="32">
        <v>0</v>
      </c>
      <c r="AO19" s="32">
        <v>5.1842725945187069E-6</v>
      </c>
      <c r="AP19" s="32">
        <v>6.9898965624929674E-8</v>
      </c>
      <c r="AQ19" s="32">
        <v>6.5490648626579012E-8</v>
      </c>
      <c r="AR19" s="32">
        <v>4.7820751040050032E-8</v>
      </c>
      <c r="AS19" s="32">
        <v>2.5259502359604321E-6</v>
      </c>
      <c r="AT19" s="32">
        <v>7.8934331957706966E-6</v>
      </c>
      <c r="AU19" s="34">
        <v>0</v>
      </c>
      <c r="AV19" s="34">
        <v>0</v>
      </c>
      <c r="AW19" s="34">
        <v>3.6577712050626814E-2</v>
      </c>
      <c r="AX19" s="34">
        <v>2.01770987761535E-2</v>
      </c>
      <c r="AY19" s="34">
        <v>1.4800612509593357E-2</v>
      </c>
      <c r="AZ19" s="34">
        <v>0.17731219978001517</v>
      </c>
      <c r="BA19" s="34">
        <v>0.24886762311638883</v>
      </c>
      <c r="BB19" s="6"/>
      <c r="BC19" s="6"/>
      <c r="BD19" t="s">
        <v>891</v>
      </c>
      <c r="BF19" s="5">
        <v>1.1042067000000001E-2</v>
      </c>
      <c r="BG19" s="5">
        <f t="shared" si="1"/>
        <v>-4.6766372733352216E-3</v>
      </c>
      <c r="BH19" s="2">
        <v>32.063935999999998</v>
      </c>
    </row>
    <row r="20" spans="1:60" x14ac:dyDescent="0.2">
      <c r="A20" t="str">
        <f t="shared" si="0"/>
        <v>Bicycle, electric (&lt;25 km/h) - 2030 - NMC - CH</v>
      </c>
      <c r="B20" t="s">
        <v>262</v>
      </c>
      <c r="D20" s="18">
        <v>2030</v>
      </c>
      <c r="E20" t="s">
        <v>37</v>
      </c>
      <c r="F20" t="s">
        <v>136</v>
      </c>
      <c r="G20" t="s">
        <v>39</v>
      </c>
      <c r="H20" t="s">
        <v>32</v>
      </c>
      <c r="I20" t="s">
        <v>42</v>
      </c>
      <c r="J20" t="s">
        <v>136</v>
      </c>
      <c r="L20" s="24">
        <v>0</v>
      </c>
      <c r="M20" s="24">
        <v>0</v>
      </c>
      <c r="N20" s="24">
        <v>7.8217156213787186E-4</v>
      </c>
      <c r="O20" s="24">
        <v>1.195732624675443E-3</v>
      </c>
      <c r="P20" s="24">
        <v>4.5014419855824448E-4</v>
      </c>
      <c r="Q20" s="24">
        <v>1.3056994186893239E-2</v>
      </c>
      <c r="R20" s="24">
        <v>1.5485042572264799E-2</v>
      </c>
      <c r="S20" s="26">
        <v>0</v>
      </c>
      <c r="T20" s="26">
        <v>0</v>
      </c>
      <c r="U20" s="26">
        <v>8.2787723282772764E-5</v>
      </c>
      <c r="V20" s="26">
        <v>9.8317473549625417E-5</v>
      </c>
      <c r="W20" s="26">
        <v>2.844354980821769E-5</v>
      </c>
      <c r="X20" s="26">
        <v>1.0701410048596829E-2</v>
      </c>
      <c r="Y20" s="26">
        <v>1.0910958795237445E-2</v>
      </c>
      <c r="Z20" s="28">
        <v>0</v>
      </c>
      <c r="AA20" s="28">
        <v>1.3758060237990489E-3</v>
      </c>
      <c r="AB20" s="28">
        <v>2.4261803533979809E-5</v>
      </c>
      <c r="AC20" s="28">
        <v>2.3968260093961618E-5</v>
      </c>
      <c r="AD20" s="28">
        <v>1.2929466072381411E-5</v>
      </c>
      <c r="AE20" s="28">
        <v>1.0694494518561149E-3</v>
      </c>
      <c r="AF20" s="28">
        <v>2.5064150053554866E-3</v>
      </c>
      <c r="AG20" s="30">
        <v>0</v>
      </c>
      <c r="AH20" s="30">
        <v>7.228237882960114E-6</v>
      </c>
      <c r="AI20" s="30">
        <v>5.5435684002652831E-5</v>
      </c>
      <c r="AJ20" s="30">
        <v>8.5554174677296554E-5</v>
      </c>
      <c r="AK20" s="30">
        <v>1.2066740458734681E-5</v>
      </c>
      <c r="AL20" s="30">
        <v>3.0150227021893518E-3</v>
      </c>
      <c r="AM20" s="30">
        <v>3.1753075392109958E-3</v>
      </c>
      <c r="AN20" s="32">
        <v>0</v>
      </c>
      <c r="AO20" s="32">
        <v>5.1842725945187069E-6</v>
      </c>
      <c r="AP20" s="32">
        <v>6.9898965624929674E-8</v>
      </c>
      <c r="AQ20" s="32">
        <v>6.5490648626579012E-8</v>
      </c>
      <c r="AR20" s="32">
        <v>4.7645689348585192E-8</v>
      </c>
      <c r="AS20" s="32">
        <v>2.2001424793828139E-6</v>
      </c>
      <c r="AT20" s="32">
        <v>7.5674503775016136E-6</v>
      </c>
      <c r="AU20" s="34">
        <v>0</v>
      </c>
      <c r="AV20" s="34">
        <v>0</v>
      </c>
      <c r="AW20" s="34">
        <v>3.6577712050626814E-2</v>
      </c>
      <c r="AX20" s="34">
        <v>2.01770987761535E-2</v>
      </c>
      <c r="AY20" s="34">
        <v>1.4746430586384435E-2</v>
      </c>
      <c r="AZ20" s="34">
        <v>0.16997936361743826</v>
      </c>
      <c r="BA20" s="34">
        <v>0.24148060503060301</v>
      </c>
      <c r="BB20" s="6"/>
      <c r="BC20" s="6"/>
      <c r="BD20" t="s">
        <v>892</v>
      </c>
      <c r="BF20" s="5">
        <v>1.0744254E-2</v>
      </c>
      <c r="BG20" s="5">
        <f t="shared" si="1"/>
        <v>-4.740788572264799E-3</v>
      </c>
      <c r="BH20" s="2">
        <v>28.577304999999999</v>
      </c>
    </row>
    <row r="21" spans="1:60" x14ac:dyDescent="0.2">
      <c r="A21" t="str">
        <f t="shared" si="0"/>
        <v>Bicycle, electric (&lt;25 km/h) - 2040 - NMC - CH</v>
      </c>
      <c r="B21" t="s">
        <v>262</v>
      </c>
      <c r="D21" s="18">
        <v>2040</v>
      </c>
      <c r="E21" t="s">
        <v>37</v>
      </c>
      <c r="F21" t="s">
        <v>136</v>
      </c>
      <c r="G21" t="s">
        <v>39</v>
      </c>
      <c r="H21" t="s">
        <v>32</v>
      </c>
      <c r="I21" t="s">
        <v>42</v>
      </c>
      <c r="J21" t="s">
        <v>136</v>
      </c>
      <c r="L21" s="24">
        <v>0</v>
      </c>
      <c r="M21" s="24">
        <v>0</v>
      </c>
      <c r="N21" s="24">
        <v>7.8217156213787186E-4</v>
      </c>
      <c r="O21" s="24">
        <v>1.195732624675443E-3</v>
      </c>
      <c r="P21" s="24">
        <v>4.472460140397849E-4</v>
      </c>
      <c r="Q21" s="24">
        <v>1.2680690138179381E-2</v>
      </c>
      <c r="R21" s="24">
        <v>1.5105840339032481E-2</v>
      </c>
      <c r="S21" s="26">
        <v>0</v>
      </c>
      <c r="T21" s="26">
        <v>0</v>
      </c>
      <c r="U21" s="26">
        <v>8.2787723282772764E-5</v>
      </c>
      <c r="V21" s="26">
        <v>9.8317473549625417E-5</v>
      </c>
      <c r="W21" s="26">
        <v>2.8260420366655981E-5</v>
      </c>
      <c r="X21" s="26">
        <v>9.0507226984678068E-3</v>
      </c>
      <c r="Y21" s="26">
        <v>9.2600883156668604E-3</v>
      </c>
      <c r="Z21" s="28">
        <v>0</v>
      </c>
      <c r="AA21" s="28">
        <v>1.3758060237990489E-3</v>
      </c>
      <c r="AB21" s="28">
        <v>2.4261803533979809E-5</v>
      </c>
      <c r="AC21" s="28">
        <v>2.3968260093961618E-5</v>
      </c>
      <c r="AD21" s="28">
        <v>1.284622168419881E-5</v>
      </c>
      <c r="AE21" s="28">
        <v>9.5824877247864082E-4</v>
      </c>
      <c r="AF21" s="28">
        <v>2.3951310815898299E-3</v>
      </c>
      <c r="AG21" s="30">
        <v>0</v>
      </c>
      <c r="AH21" s="30">
        <v>7.228237882960114E-6</v>
      </c>
      <c r="AI21" s="30">
        <v>5.5435684002652831E-5</v>
      </c>
      <c r="AJ21" s="30">
        <v>8.5554174677296554E-5</v>
      </c>
      <c r="AK21" s="30">
        <v>1.1989050597357409E-5</v>
      </c>
      <c r="AL21" s="30">
        <v>2.752316042919872E-3</v>
      </c>
      <c r="AM21" s="30">
        <v>2.9125231900801389E-3</v>
      </c>
      <c r="AN21" s="32">
        <v>0</v>
      </c>
      <c r="AO21" s="32">
        <v>5.1842725945187069E-6</v>
      </c>
      <c r="AP21" s="32">
        <v>6.9898965624929674E-8</v>
      </c>
      <c r="AQ21" s="32">
        <v>6.5490648626579012E-8</v>
      </c>
      <c r="AR21" s="32">
        <v>4.7338929870880761E-8</v>
      </c>
      <c r="AS21" s="32">
        <v>1.9062727272207299E-6</v>
      </c>
      <c r="AT21" s="32">
        <v>7.2732738658618254E-6</v>
      </c>
      <c r="AU21" s="34">
        <v>0</v>
      </c>
      <c r="AV21" s="34">
        <v>0</v>
      </c>
      <c r="AW21" s="34">
        <v>3.6577712050626814E-2</v>
      </c>
      <c r="AX21" s="34">
        <v>2.01770987761535E-2</v>
      </c>
      <c r="AY21" s="34">
        <v>1.4651487950302742E-2</v>
      </c>
      <c r="AZ21" s="34">
        <v>0.16168134792499275</v>
      </c>
      <c r="BA21" s="34">
        <v>0.23308764670207582</v>
      </c>
      <c r="BB21" s="6"/>
      <c r="BC21" s="6"/>
      <c r="BD21" t="s">
        <v>893</v>
      </c>
      <c r="BF21" s="5">
        <v>1.0403598E-2</v>
      </c>
      <c r="BG21" s="5">
        <f t="shared" si="1"/>
        <v>-4.7022423390324815E-3</v>
      </c>
      <c r="BH21" s="2">
        <v>25.464594999999999</v>
      </c>
    </row>
    <row r="22" spans="1:60" x14ac:dyDescent="0.2">
      <c r="A22" t="str">
        <f t="shared" si="0"/>
        <v>Bicycle, electric (&lt;25 km/h) - 2050 - NMC - CH</v>
      </c>
      <c r="B22" t="s">
        <v>262</v>
      </c>
      <c r="D22" s="18">
        <v>2050</v>
      </c>
      <c r="E22" t="s">
        <v>37</v>
      </c>
      <c r="F22" t="s">
        <v>136</v>
      </c>
      <c r="G22" t="s">
        <v>39</v>
      </c>
      <c r="H22" t="s">
        <v>32</v>
      </c>
      <c r="I22" t="s">
        <v>42</v>
      </c>
      <c r="J22" t="s">
        <v>136</v>
      </c>
      <c r="L22" s="24">
        <v>0</v>
      </c>
      <c r="M22" s="24">
        <v>0</v>
      </c>
      <c r="N22" s="24">
        <v>7.8217156213787186E-4</v>
      </c>
      <c r="O22" s="24">
        <v>1.195732624675443E-3</v>
      </c>
      <c r="P22" s="24">
        <v>4.4829300216425461E-4</v>
      </c>
      <c r="Q22" s="24">
        <v>1.306679777444421E-2</v>
      </c>
      <c r="R22" s="24">
        <v>1.5492994963421779E-2</v>
      </c>
      <c r="S22" s="26">
        <v>0</v>
      </c>
      <c r="T22" s="26">
        <v>0</v>
      </c>
      <c r="U22" s="26">
        <v>8.2787723282772764E-5</v>
      </c>
      <c r="V22" s="26">
        <v>9.8317473549625417E-5</v>
      </c>
      <c r="W22" s="26">
        <v>2.832657707591125E-5</v>
      </c>
      <c r="X22" s="26">
        <v>8.8779769286049474E-3</v>
      </c>
      <c r="Y22" s="26">
        <v>9.0874087025132576E-3</v>
      </c>
      <c r="Z22" s="28">
        <v>0</v>
      </c>
      <c r="AA22" s="28">
        <v>1.3758060237990489E-3</v>
      </c>
      <c r="AB22" s="28">
        <v>2.4261803533979809E-5</v>
      </c>
      <c r="AC22" s="28">
        <v>2.3968260093961618E-5</v>
      </c>
      <c r="AD22" s="28">
        <v>1.2876294264222889E-5</v>
      </c>
      <c r="AE22" s="28">
        <v>9.6652043551671634E-4</v>
      </c>
      <c r="AF22" s="28">
        <v>2.4034328172079294E-3</v>
      </c>
      <c r="AG22" s="30">
        <v>0</v>
      </c>
      <c r="AH22" s="30">
        <v>7.228237882960114E-6</v>
      </c>
      <c r="AI22" s="30">
        <v>5.5435684002652831E-5</v>
      </c>
      <c r="AJ22" s="30">
        <v>8.5554174677296554E-5</v>
      </c>
      <c r="AK22" s="30">
        <v>1.201711656822145E-5</v>
      </c>
      <c r="AL22" s="30">
        <v>2.7911608441172149E-3</v>
      </c>
      <c r="AM22" s="30">
        <v>2.951396057248346E-3</v>
      </c>
      <c r="AN22" s="32">
        <v>0</v>
      </c>
      <c r="AO22" s="32">
        <v>5.1842725945187069E-6</v>
      </c>
      <c r="AP22" s="32">
        <v>6.9898965624929674E-8</v>
      </c>
      <c r="AQ22" s="32">
        <v>6.5490648626579012E-8</v>
      </c>
      <c r="AR22" s="32">
        <v>4.7449748739789693E-8</v>
      </c>
      <c r="AS22" s="32">
        <v>1.883034516292265E-6</v>
      </c>
      <c r="AT22" s="32">
        <v>7.2501464738022696E-6</v>
      </c>
      <c r="AU22" s="34">
        <v>0</v>
      </c>
      <c r="AV22" s="34">
        <v>0</v>
      </c>
      <c r="AW22" s="34">
        <v>3.6577712050626814E-2</v>
      </c>
      <c r="AX22" s="34">
        <v>2.01770987761535E-2</v>
      </c>
      <c r="AY22" s="34">
        <v>1.4685786598939585E-2</v>
      </c>
      <c r="AZ22" s="34">
        <v>0.16523630757397889</v>
      </c>
      <c r="BA22" s="34">
        <v>0.23667690499969879</v>
      </c>
      <c r="BB22" s="6"/>
      <c r="BC22" s="6"/>
      <c r="BD22" t="s">
        <v>894</v>
      </c>
      <c r="BF22" s="5">
        <v>1.0541487E-2</v>
      </c>
      <c r="BG22" s="5">
        <f t="shared" si="1"/>
        <v>-4.9515079634217789E-3</v>
      </c>
      <c r="BH22" s="2">
        <v>25.105225999999998</v>
      </c>
    </row>
    <row r="23" spans="1:60" x14ac:dyDescent="0.2">
      <c r="A23" t="str">
        <f t="shared" si="0"/>
        <v>Bicycle, electric (&lt;45 km/h) - 2020 - NMC - CH</v>
      </c>
      <c r="B23" t="s">
        <v>263</v>
      </c>
      <c r="D23" s="18">
        <v>2020</v>
      </c>
      <c r="E23" t="s">
        <v>37</v>
      </c>
      <c r="F23" t="s">
        <v>136</v>
      </c>
      <c r="G23" t="s">
        <v>39</v>
      </c>
      <c r="H23" t="s">
        <v>32</v>
      </c>
      <c r="I23" t="s">
        <v>42</v>
      </c>
      <c r="J23" t="s">
        <v>136</v>
      </c>
      <c r="L23" s="24">
        <v>0</v>
      </c>
      <c r="M23" s="24">
        <v>0</v>
      </c>
      <c r="N23" s="24">
        <v>1.4364996721616199E-3</v>
      </c>
      <c r="O23" s="24">
        <v>1.195732624675443E-3</v>
      </c>
      <c r="P23" s="24">
        <v>4.7000662544130072E-4</v>
      </c>
      <c r="Q23" s="24">
        <v>9.8334853630012153E-3</v>
      </c>
      <c r="R23" s="24">
        <v>1.2935724285279579E-2</v>
      </c>
      <c r="S23" s="26">
        <v>0</v>
      </c>
      <c r="T23" s="26">
        <v>0</v>
      </c>
      <c r="U23" s="26">
        <v>1.520440567152036E-4</v>
      </c>
      <c r="V23" s="26">
        <v>9.8317473549625417E-5</v>
      </c>
      <c r="W23" s="26">
        <v>2.9698609698292419E-5</v>
      </c>
      <c r="X23" s="26">
        <v>8.5991611819644376E-3</v>
      </c>
      <c r="Y23" s="26">
        <v>8.8792213219275589E-3</v>
      </c>
      <c r="Z23" s="28">
        <v>0</v>
      </c>
      <c r="AA23" s="28">
        <v>1.3758060237990489E-3</v>
      </c>
      <c r="AB23" s="28">
        <v>4.4558092507674578E-5</v>
      </c>
      <c r="AC23" s="28">
        <v>2.3968260093961618E-5</v>
      </c>
      <c r="AD23" s="28">
        <v>1.3499973423852701E-5</v>
      </c>
      <c r="AE23" s="28">
        <v>8.3795777881196366E-4</v>
      </c>
      <c r="AF23" s="28">
        <v>2.2957901286365014E-3</v>
      </c>
      <c r="AG23" s="30">
        <v>0</v>
      </c>
      <c r="AH23" s="30">
        <v>7.228237882960114E-6</v>
      </c>
      <c r="AI23" s="30">
        <v>1.018105819114773E-4</v>
      </c>
      <c r="AJ23" s="30">
        <v>8.5554174677296554E-5</v>
      </c>
      <c r="AK23" s="30">
        <v>1.259918039874964E-5</v>
      </c>
      <c r="AL23" s="30">
        <v>2.343476825969153E-3</v>
      </c>
      <c r="AM23" s="30">
        <v>2.5506690008396367E-3</v>
      </c>
      <c r="AN23" s="32">
        <v>0</v>
      </c>
      <c r="AO23" s="32">
        <v>5.1842725945187069E-6</v>
      </c>
      <c r="AP23" s="32">
        <v>1.2837316781270141E-7</v>
      </c>
      <c r="AQ23" s="32">
        <v>6.5490648626579012E-8</v>
      </c>
      <c r="AR23" s="32">
        <v>4.974803571672711E-8</v>
      </c>
      <c r="AS23" s="32">
        <v>1.770597549801543E-6</v>
      </c>
      <c r="AT23" s="32">
        <v>7.1984819964762571E-6</v>
      </c>
      <c r="AU23" s="34">
        <v>0</v>
      </c>
      <c r="AV23" s="34">
        <v>0</v>
      </c>
      <c r="AW23" s="34">
        <v>6.7176913496486523E-2</v>
      </c>
      <c r="AX23" s="34">
        <v>2.01770987761535E-2</v>
      </c>
      <c r="AY23" s="34">
        <v>1.5397110746755812E-2</v>
      </c>
      <c r="AZ23" s="34">
        <v>0.12966140408035057</v>
      </c>
      <c r="BA23" s="34">
        <v>0.23241252709974641</v>
      </c>
      <c r="BB23" s="6"/>
      <c r="BC23" s="6"/>
      <c r="BD23" t="s">
        <v>895</v>
      </c>
      <c r="BF23" s="5">
        <v>9.6879966999999997E-3</v>
      </c>
      <c r="BG23" s="5">
        <f t="shared" si="1"/>
        <v>-3.2477275852795789E-3</v>
      </c>
      <c r="BH23" s="2">
        <v>25.702192</v>
      </c>
    </row>
    <row r="24" spans="1:60" x14ac:dyDescent="0.2">
      <c r="A24" t="str">
        <f t="shared" si="0"/>
        <v>Bicycle, electric (&lt;45 km/h) - 2030 - NMC - CH</v>
      </c>
      <c r="B24" t="s">
        <v>263</v>
      </c>
      <c r="D24" s="18">
        <v>2030</v>
      </c>
      <c r="E24" t="s">
        <v>37</v>
      </c>
      <c r="F24" t="s">
        <v>136</v>
      </c>
      <c r="G24" t="s">
        <v>39</v>
      </c>
      <c r="H24" t="s">
        <v>32</v>
      </c>
      <c r="I24" t="s">
        <v>42</v>
      </c>
      <c r="J24" t="s">
        <v>136</v>
      </c>
      <c r="L24" s="24">
        <v>0</v>
      </c>
      <c r="M24" s="24">
        <v>0</v>
      </c>
      <c r="N24" s="24">
        <v>1.4364996721616199E-3</v>
      </c>
      <c r="O24" s="24">
        <v>1.195732624675443E-3</v>
      </c>
      <c r="P24" s="24">
        <v>4.6794299667422991E-4</v>
      </c>
      <c r="Q24" s="24">
        <v>9.7775443944006918E-3</v>
      </c>
      <c r="R24" s="24">
        <v>1.2877719687911984E-2</v>
      </c>
      <c r="S24" s="26">
        <v>0</v>
      </c>
      <c r="T24" s="26">
        <v>0</v>
      </c>
      <c r="U24" s="26">
        <v>1.520440567152036E-4</v>
      </c>
      <c r="V24" s="26">
        <v>9.8317473549625417E-5</v>
      </c>
      <c r="W24" s="26">
        <v>2.956821386555738E-5</v>
      </c>
      <c r="X24" s="26">
        <v>7.3846488576314673E-3</v>
      </c>
      <c r="Y24" s="26">
        <v>7.6645786017618539E-3</v>
      </c>
      <c r="Z24" s="28">
        <v>0</v>
      </c>
      <c r="AA24" s="28">
        <v>1.3758060237990489E-3</v>
      </c>
      <c r="AB24" s="28">
        <v>4.4558092507674578E-5</v>
      </c>
      <c r="AC24" s="28">
        <v>2.3968260093961618E-5</v>
      </c>
      <c r="AD24" s="28">
        <v>1.3440699932790739E-5</v>
      </c>
      <c r="AE24" s="28">
        <v>7.665730032181484E-4</v>
      </c>
      <c r="AF24" s="28">
        <v>2.2243460795516243E-3</v>
      </c>
      <c r="AG24" s="30">
        <v>0</v>
      </c>
      <c r="AH24" s="30">
        <v>7.228237882960114E-6</v>
      </c>
      <c r="AI24" s="30">
        <v>1.018105819114773E-4</v>
      </c>
      <c r="AJ24" s="30">
        <v>8.5554174677296554E-5</v>
      </c>
      <c r="AK24" s="30">
        <v>1.2543861963423409E-5</v>
      </c>
      <c r="AL24" s="30">
        <v>2.1876111027913561E-3</v>
      </c>
      <c r="AM24" s="30">
        <v>2.3947479592265133E-3</v>
      </c>
      <c r="AN24" s="32">
        <v>0</v>
      </c>
      <c r="AO24" s="32">
        <v>5.1842725945187069E-6</v>
      </c>
      <c r="AP24" s="32">
        <v>1.2837316781270141E-7</v>
      </c>
      <c r="AQ24" s="32">
        <v>6.5490648626579012E-8</v>
      </c>
      <c r="AR24" s="32">
        <v>4.9529610120037038E-8</v>
      </c>
      <c r="AS24" s="32">
        <v>1.557545808442301E-6</v>
      </c>
      <c r="AT24" s="32">
        <v>6.9852118295203248E-6</v>
      </c>
      <c r="AU24" s="34">
        <v>0</v>
      </c>
      <c r="AV24" s="34">
        <v>0</v>
      </c>
      <c r="AW24" s="34">
        <v>6.7176913496486523E-2</v>
      </c>
      <c r="AX24" s="34">
        <v>2.01770987761535E-2</v>
      </c>
      <c r="AY24" s="34">
        <v>1.5329507613210733E-2</v>
      </c>
      <c r="AZ24" s="34">
        <v>0.12583044321433179</v>
      </c>
      <c r="BA24" s="34">
        <v>0.22851396310018257</v>
      </c>
      <c r="BB24" s="6"/>
      <c r="BC24" s="6"/>
      <c r="BD24" t="s">
        <v>896</v>
      </c>
      <c r="BF24" s="5">
        <v>9.5288435000000001E-3</v>
      </c>
      <c r="BG24" s="5">
        <f t="shared" si="1"/>
        <v>-3.3488761879119835E-3</v>
      </c>
      <c r="BH24" s="2">
        <v>23.39725</v>
      </c>
    </row>
    <row r="25" spans="1:60" x14ac:dyDescent="0.2">
      <c r="A25" t="str">
        <f t="shared" si="0"/>
        <v>Bicycle, electric (&lt;45 km/h) - 2040 - NMC - CH</v>
      </c>
      <c r="B25" t="s">
        <v>263</v>
      </c>
      <c r="D25" s="18">
        <v>2040</v>
      </c>
      <c r="E25" t="s">
        <v>37</v>
      </c>
      <c r="F25" t="s">
        <v>136</v>
      </c>
      <c r="G25" t="s">
        <v>39</v>
      </c>
      <c r="H25" t="s">
        <v>32</v>
      </c>
      <c r="I25" t="s">
        <v>42</v>
      </c>
      <c r="J25" t="s">
        <v>136</v>
      </c>
      <c r="L25" s="24">
        <v>0</v>
      </c>
      <c r="M25" s="24">
        <v>0</v>
      </c>
      <c r="N25" s="24">
        <v>1.4364996721616199E-3</v>
      </c>
      <c r="O25" s="24">
        <v>1.195732624675443E-3</v>
      </c>
      <c r="P25" s="24">
        <v>4.6431647259092168E-4</v>
      </c>
      <c r="Q25" s="24">
        <v>9.5761609501335328E-3</v>
      </c>
      <c r="R25" s="24">
        <v>1.2672709719561517E-2</v>
      </c>
      <c r="S25" s="26">
        <v>0</v>
      </c>
      <c r="T25" s="26">
        <v>0</v>
      </c>
      <c r="U25" s="26">
        <v>1.520440567152036E-4</v>
      </c>
      <c r="V25" s="26">
        <v>9.8317473549625417E-5</v>
      </c>
      <c r="W25" s="26">
        <v>2.9339062365383309E-5</v>
      </c>
      <c r="X25" s="26">
        <v>6.2810377629805309E-3</v>
      </c>
      <c r="Y25" s="26">
        <v>6.5607383556107431E-3</v>
      </c>
      <c r="Z25" s="28">
        <v>0</v>
      </c>
      <c r="AA25" s="28">
        <v>1.3758060237990489E-3</v>
      </c>
      <c r="AB25" s="28">
        <v>4.4558092507674578E-5</v>
      </c>
      <c r="AC25" s="28">
        <v>2.3968260093961618E-5</v>
      </c>
      <c r="AD25" s="28">
        <v>1.3336535488939229E-5</v>
      </c>
      <c r="AE25" s="28">
        <v>6.9443754179633642E-4</v>
      </c>
      <c r="AF25" s="28">
        <v>2.1521064536859607E-3</v>
      </c>
      <c r="AG25" s="30">
        <v>0</v>
      </c>
      <c r="AH25" s="30">
        <v>7.228237882960114E-6</v>
      </c>
      <c r="AI25" s="30">
        <v>1.018105819114773E-4</v>
      </c>
      <c r="AJ25" s="30">
        <v>8.5554174677296554E-5</v>
      </c>
      <c r="AK25" s="30">
        <v>1.244664794840158E-5</v>
      </c>
      <c r="AL25" s="30">
        <v>2.016975262949929E-3</v>
      </c>
      <c r="AM25" s="30">
        <v>2.2240149053700644E-3</v>
      </c>
      <c r="AN25" s="32">
        <v>0</v>
      </c>
      <c r="AO25" s="32">
        <v>5.1842725945187069E-6</v>
      </c>
      <c r="AP25" s="32">
        <v>1.2837316781270141E-7</v>
      </c>
      <c r="AQ25" s="32">
        <v>6.5490648626579012E-8</v>
      </c>
      <c r="AR25" s="32">
        <v>4.9145759255265523E-8</v>
      </c>
      <c r="AS25" s="32">
        <v>1.3622947149483109E-6</v>
      </c>
      <c r="AT25" s="32">
        <v>6.7895768851615631E-6</v>
      </c>
      <c r="AU25" s="34">
        <v>0</v>
      </c>
      <c r="AV25" s="34">
        <v>0</v>
      </c>
      <c r="AW25" s="34">
        <v>6.7176913496486523E-2</v>
      </c>
      <c r="AX25" s="34">
        <v>2.01770987761535E-2</v>
      </c>
      <c r="AY25" s="34">
        <v>1.5210705047642539E-2</v>
      </c>
      <c r="AZ25" s="34">
        <v>0.12081974100548248</v>
      </c>
      <c r="BA25" s="34">
        <v>0.22338445832576503</v>
      </c>
      <c r="BB25" s="6"/>
      <c r="BC25" s="6"/>
      <c r="BD25" t="s">
        <v>897</v>
      </c>
      <c r="BF25" s="5">
        <v>9.3150726E-3</v>
      </c>
      <c r="BG25" s="5">
        <f t="shared" si="1"/>
        <v>-3.3576371195615171E-3</v>
      </c>
      <c r="BH25" s="2">
        <v>21.298590999999998</v>
      </c>
    </row>
    <row r="26" spans="1:60" x14ac:dyDescent="0.2">
      <c r="A26" t="str">
        <f t="shared" si="0"/>
        <v>Bicycle, electric (&lt;45 km/h) - 2050 - NMC - CH</v>
      </c>
      <c r="B26" t="s">
        <v>263</v>
      </c>
      <c r="D26" s="18">
        <v>2050</v>
      </c>
      <c r="E26" t="s">
        <v>37</v>
      </c>
      <c r="F26" t="s">
        <v>136</v>
      </c>
      <c r="G26" t="s">
        <v>39</v>
      </c>
      <c r="H26" t="s">
        <v>32</v>
      </c>
      <c r="I26" t="s">
        <v>42</v>
      </c>
      <c r="J26" t="s">
        <v>136</v>
      </c>
      <c r="L26" s="24">
        <v>0</v>
      </c>
      <c r="M26" s="24">
        <v>0</v>
      </c>
      <c r="N26" s="24">
        <v>1.4364996721616199E-3</v>
      </c>
      <c r="O26" s="24">
        <v>1.195732624675443E-3</v>
      </c>
      <c r="P26" s="24">
        <v>4.6509033337857321E-4</v>
      </c>
      <c r="Q26" s="24">
        <v>9.8993866474147967E-3</v>
      </c>
      <c r="R26" s="24">
        <v>1.2996709277630433E-2</v>
      </c>
      <c r="S26" s="26">
        <v>0</v>
      </c>
      <c r="T26" s="26">
        <v>0</v>
      </c>
      <c r="U26" s="26">
        <v>1.520440567152036E-4</v>
      </c>
      <c r="V26" s="26">
        <v>9.8317473549625417E-5</v>
      </c>
      <c r="W26" s="26">
        <v>2.9387960802658939E-5</v>
      </c>
      <c r="X26" s="26">
        <v>6.17788644576912E-3</v>
      </c>
      <c r="Y26" s="26">
        <v>6.4576359368366081E-3</v>
      </c>
      <c r="Z26" s="28">
        <v>0</v>
      </c>
      <c r="AA26" s="28">
        <v>1.3758060237990489E-3</v>
      </c>
      <c r="AB26" s="28">
        <v>4.4558092507674578E-5</v>
      </c>
      <c r="AC26" s="28">
        <v>2.3968260093961618E-5</v>
      </c>
      <c r="AD26" s="28">
        <v>1.335876304808745E-5</v>
      </c>
      <c r="AE26" s="28">
        <v>7.0370729650907275E-4</v>
      </c>
      <c r="AF26" s="28">
        <v>2.1613984359578455E-3</v>
      </c>
      <c r="AG26" s="30">
        <v>0</v>
      </c>
      <c r="AH26" s="30">
        <v>7.228237882960114E-6</v>
      </c>
      <c r="AI26" s="30">
        <v>1.018105819114773E-4</v>
      </c>
      <c r="AJ26" s="30">
        <v>8.5554174677296554E-5</v>
      </c>
      <c r="AK26" s="30">
        <v>1.246739236164892E-5</v>
      </c>
      <c r="AL26" s="30">
        <v>2.0555302742088799E-3</v>
      </c>
      <c r="AM26" s="30">
        <v>2.2625906610422627E-3</v>
      </c>
      <c r="AN26" s="32">
        <v>0</v>
      </c>
      <c r="AO26" s="32">
        <v>5.1842725945187069E-6</v>
      </c>
      <c r="AP26" s="32">
        <v>1.2837316781270141E-7</v>
      </c>
      <c r="AQ26" s="32">
        <v>6.5490648626579012E-8</v>
      </c>
      <c r="AR26" s="32">
        <v>4.9227668854024287E-8</v>
      </c>
      <c r="AS26" s="32">
        <v>1.349571522177053E-6</v>
      </c>
      <c r="AT26" s="32">
        <v>6.7769356019890644E-6</v>
      </c>
      <c r="AU26" s="34">
        <v>0</v>
      </c>
      <c r="AV26" s="34">
        <v>0</v>
      </c>
      <c r="AW26" s="34">
        <v>6.7176913496486523E-2</v>
      </c>
      <c r="AX26" s="34">
        <v>2.01770987761535E-2</v>
      </c>
      <c r="AY26" s="34">
        <v>1.5236056222721946E-2</v>
      </c>
      <c r="AZ26" s="34">
        <v>0.12389477893190831</v>
      </c>
      <c r="BA26" s="34">
        <v>0.22648484742727029</v>
      </c>
      <c r="BB26" s="6"/>
      <c r="BC26" s="6"/>
      <c r="BD26" t="s">
        <v>898</v>
      </c>
      <c r="BF26" s="5">
        <v>9.4342258999999991E-3</v>
      </c>
      <c r="BG26" s="5">
        <f t="shared" si="1"/>
        <v>-3.5624833776304338E-3</v>
      </c>
      <c r="BH26" s="2">
        <v>21.073778999999998</v>
      </c>
    </row>
    <row r="27" spans="1:60" x14ac:dyDescent="0.2">
      <c r="A27" t="str">
        <f t="shared" si="0"/>
        <v>Bicycle, battery electric, cargo bike - 2020 - NMC - CH</v>
      </c>
      <c r="B27" t="s">
        <v>652</v>
      </c>
      <c r="D27" s="18">
        <v>2020</v>
      </c>
      <c r="E27" t="s">
        <v>37</v>
      </c>
      <c r="F27" t="s">
        <v>136</v>
      </c>
      <c r="G27" t="s">
        <v>39</v>
      </c>
      <c r="H27" t="s">
        <v>32</v>
      </c>
      <c r="I27" t="s">
        <v>42</v>
      </c>
      <c r="J27" t="s">
        <v>136</v>
      </c>
      <c r="L27" s="24">
        <v>0</v>
      </c>
      <c r="M27" s="24">
        <v>0</v>
      </c>
      <c r="N27" s="24">
        <v>1.1004118370386139E-3</v>
      </c>
      <c r="O27" s="24">
        <v>1.195732624675443E-3</v>
      </c>
      <c r="P27" s="24">
        <v>7.7499881822161193E-4</v>
      </c>
      <c r="Q27" s="24">
        <v>2.2207853183671349E-2</v>
      </c>
      <c r="R27" s="24">
        <v>2.5278996463607019E-2</v>
      </c>
      <c r="S27" s="26">
        <v>0</v>
      </c>
      <c r="T27" s="26">
        <v>0</v>
      </c>
      <c r="U27" s="26">
        <v>1.164713664772465E-4</v>
      </c>
      <c r="V27" s="26">
        <v>9.8317473549625417E-5</v>
      </c>
      <c r="W27" s="26">
        <v>4.897034674222067E-5</v>
      </c>
      <c r="X27" s="26">
        <v>1.3437941841274189E-2</v>
      </c>
      <c r="Y27" s="26">
        <v>1.3701701028043281E-2</v>
      </c>
      <c r="Z27" s="28">
        <v>0</v>
      </c>
      <c r="AA27" s="28">
        <v>2.7516120475980978E-3</v>
      </c>
      <c r="AB27" s="28">
        <v>3.4133145577070547E-5</v>
      </c>
      <c r="AC27" s="28">
        <v>2.3968260093961618E-5</v>
      </c>
      <c r="AD27" s="28">
        <v>2.2260246735214739E-5</v>
      </c>
      <c r="AE27" s="28">
        <v>1.5194191966950671E-3</v>
      </c>
      <c r="AF27" s="28">
        <v>4.3513928966994117E-3</v>
      </c>
      <c r="AG27" s="30">
        <v>0</v>
      </c>
      <c r="AH27" s="30">
        <v>1.445647576592023E-5</v>
      </c>
      <c r="AI27" s="30">
        <v>7.7990668318491752E-5</v>
      </c>
      <c r="AJ27" s="30">
        <v>8.5554174677296554E-5</v>
      </c>
      <c r="AK27" s="30">
        <v>2.0774919737405581E-5</v>
      </c>
      <c r="AL27" s="30">
        <v>4.1247769659680297E-3</v>
      </c>
      <c r="AM27" s="30">
        <v>4.3235532044671437E-3</v>
      </c>
      <c r="AN27" s="32">
        <v>0</v>
      </c>
      <c r="AO27" s="32">
        <v>1.036854518903741E-5</v>
      </c>
      <c r="AP27" s="32">
        <v>9.8338590782043418E-8</v>
      </c>
      <c r="AQ27" s="32">
        <v>6.5490648626579012E-8</v>
      </c>
      <c r="AR27" s="32">
        <v>8.2030054051068197E-8</v>
      </c>
      <c r="AS27" s="32">
        <v>3.247132157769772E-6</v>
      </c>
      <c r="AT27" s="32">
        <v>1.3861536640266873E-5</v>
      </c>
      <c r="AU27" s="34">
        <v>0</v>
      </c>
      <c r="AV27" s="34">
        <v>0</v>
      </c>
      <c r="AW27" s="34">
        <v>5.1459998369519894E-2</v>
      </c>
      <c r="AX27" s="34">
        <v>2.01770987761535E-2</v>
      </c>
      <c r="AY27" s="34">
        <v>2.5388456219226894E-2</v>
      </c>
      <c r="AZ27" s="34">
        <v>0.28308506081476031</v>
      </c>
      <c r="BA27" s="34">
        <v>0.38011061417966063</v>
      </c>
      <c r="BB27" s="6"/>
      <c r="BC27" s="6"/>
      <c r="BD27" t="s">
        <v>899</v>
      </c>
      <c r="BF27" s="5">
        <v>1.7454895000000002E-2</v>
      </c>
      <c r="BG27" s="5">
        <f t="shared" si="1"/>
        <v>-7.8241014636070173E-3</v>
      </c>
      <c r="BH27" s="2">
        <v>42.150226000000004</v>
      </c>
    </row>
    <row r="28" spans="1:60" x14ac:dyDescent="0.2">
      <c r="A28" t="str">
        <f t="shared" si="0"/>
        <v>Bicycle, battery electric, cargo bike - 2030 - NMC - CH</v>
      </c>
      <c r="B28" t="s">
        <v>652</v>
      </c>
      <c r="D28" s="18">
        <v>2030</v>
      </c>
      <c r="E28" t="s">
        <v>37</v>
      </c>
      <c r="F28" t="s">
        <v>136</v>
      </c>
      <c r="G28" t="s">
        <v>39</v>
      </c>
      <c r="H28" t="s">
        <v>32</v>
      </c>
      <c r="I28" t="s">
        <v>42</v>
      </c>
      <c r="J28" t="s">
        <v>136</v>
      </c>
      <c r="L28" s="24">
        <v>0</v>
      </c>
      <c r="M28" s="24">
        <v>0</v>
      </c>
      <c r="N28" s="24">
        <v>1.1004118370386139E-3</v>
      </c>
      <c r="O28" s="24">
        <v>1.195732624675443E-3</v>
      </c>
      <c r="P28" s="24">
        <v>7.6836789343330363E-4</v>
      </c>
      <c r="Q28" s="24">
        <v>2.255563105074997E-2</v>
      </c>
      <c r="R28" s="24">
        <v>2.5620143405897331E-2</v>
      </c>
      <c r="S28" s="26">
        <v>0</v>
      </c>
      <c r="T28" s="26">
        <v>0</v>
      </c>
      <c r="U28" s="26">
        <v>1.164713664772465E-4</v>
      </c>
      <c r="V28" s="26">
        <v>9.8317473549625417E-5</v>
      </c>
      <c r="W28" s="26">
        <v>4.855135425027058E-5</v>
      </c>
      <c r="X28" s="26">
        <v>1.0802098385586909E-2</v>
      </c>
      <c r="Y28" s="26">
        <v>1.1065438579864051E-2</v>
      </c>
      <c r="Z28" s="28">
        <v>0</v>
      </c>
      <c r="AA28" s="28">
        <v>2.7516120475980978E-3</v>
      </c>
      <c r="AB28" s="28">
        <v>3.4133145577070547E-5</v>
      </c>
      <c r="AC28" s="28">
        <v>2.3968260093961618E-5</v>
      </c>
      <c r="AD28" s="28">
        <v>2.2069787061728899E-5</v>
      </c>
      <c r="AE28" s="28">
        <v>1.3863481951345851E-3</v>
      </c>
      <c r="AF28" s="28">
        <v>4.2181314354654432E-3</v>
      </c>
      <c r="AG28" s="30">
        <v>0</v>
      </c>
      <c r="AH28" s="30">
        <v>1.445647576592023E-5</v>
      </c>
      <c r="AI28" s="30">
        <v>7.7990668318491752E-5</v>
      </c>
      <c r="AJ28" s="30">
        <v>8.5554174677296554E-5</v>
      </c>
      <c r="AK28" s="30">
        <v>2.0597168588599979E-5</v>
      </c>
      <c r="AL28" s="30">
        <v>3.870340029132017E-3</v>
      </c>
      <c r="AM28" s="30">
        <v>4.0689385164823259E-3</v>
      </c>
      <c r="AN28" s="32">
        <v>0</v>
      </c>
      <c r="AO28" s="32">
        <v>1.036854518903741E-5</v>
      </c>
      <c r="AP28" s="32">
        <v>9.8338590782043418E-8</v>
      </c>
      <c r="AQ28" s="32">
        <v>6.5490648626579012E-8</v>
      </c>
      <c r="AR28" s="32">
        <v>8.1328201214644952E-8</v>
      </c>
      <c r="AS28" s="32">
        <v>2.7871139311076272E-6</v>
      </c>
      <c r="AT28" s="32">
        <v>1.3400816560768306E-5</v>
      </c>
      <c r="AU28" s="34">
        <v>0</v>
      </c>
      <c r="AV28" s="34">
        <v>0</v>
      </c>
      <c r="AW28" s="34">
        <v>5.1459998369519894E-2</v>
      </c>
      <c r="AX28" s="34">
        <v>2.01770987761535E-2</v>
      </c>
      <c r="AY28" s="34">
        <v>2.5171231444526893E-2</v>
      </c>
      <c r="AZ28" s="34">
        <v>0.27951390716620239</v>
      </c>
      <c r="BA28" s="34">
        <v>0.37632223575640267</v>
      </c>
      <c r="BB28" s="6"/>
      <c r="BC28" s="6"/>
      <c r="BD28" t="s">
        <v>900</v>
      </c>
      <c r="BF28" s="5">
        <v>1.7284722000000002E-2</v>
      </c>
      <c r="BG28" s="5">
        <f t="shared" si="1"/>
        <v>-8.3354214058973287E-3</v>
      </c>
      <c r="BH28" s="2">
        <v>37.065052999999999</v>
      </c>
    </row>
    <row r="29" spans="1:60" x14ac:dyDescent="0.2">
      <c r="A29" t="str">
        <f t="shared" si="0"/>
        <v>Bicycle, battery electric, cargo bike - 2040 - NMC - CH</v>
      </c>
      <c r="B29" t="s">
        <v>652</v>
      </c>
      <c r="D29" s="18">
        <v>2040</v>
      </c>
      <c r="E29" t="s">
        <v>37</v>
      </c>
      <c r="F29" t="s">
        <v>136</v>
      </c>
      <c r="G29" t="s">
        <v>39</v>
      </c>
      <c r="H29" t="s">
        <v>32</v>
      </c>
      <c r="I29" t="s">
        <v>42</v>
      </c>
      <c r="J29" t="s">
        <v>136</v>
      </c>
      <c r="L29" s="24">
        <v>0</v>
      </c>
      <c r="M29" s="24">
        <v>0</v>
      </c>
      <c r="N29" s="24">
        <v>1.1004118370386139E-3</v>
      </c>
      <c r="O29" s="24">
        <v>1.195732624675443E-3</v>
      </c>
      <c r="P29" s="24">
        <v>7.6248048195077839E-4</v>
      </c>
      <c r="Q29" s="24">
        <v>2.2775274334943339E-2</v>
      </c>
      <c r="R29" s="24">
        <v>2.5833899278608172E-2</v>
      </c>
      <c r="S29" s="26">
        <v>0</v>
      </c>
      <c r="T29" s="26">
        <v>0</v>
      </c>
      <c r="U29" s="26">
        <v>1.164713664772465E-4</v>
      </c>
      <c r="V29" s="26">
        <v>9.8317473549625417E-5</v>
      </c>
      <c r="W29" s="26">
        <v>4.8179342609820628E-5</v>
      </c>
      <c r="X29" s="26">
        <v>9.0372046485396405E-3</v>
      </c>
      <c r="Y29" s="26">
        <v>9.3001728311763333E-3</v>
      </c>
      <c r="Z29" s="28">
        <v>0</v>
      </c>
      <c r="AA29" s="28">
        <v>2.7516120475980978E-3</v>
      </c>
      <c r="AB29" s="28">
        <v>3.4133145577070547E-5</v>
      </c>
      <c r="AC29" s="28">
        <v>2.3968260093961618E-5</v>
      </c>
      <c r="AD29" s="28">
        <v>2.1900683278405099E-5</v>
      </c>
      <c r="AE29" s="28">
        <v>1.2964732590299E-3</v>
      </c>
      <c r="AF29" s="28">
        <v>4.1280873955774353E-3</v>
      </c>
      <c r="AG29" s="30">
        <v>0</v>
      </c>
      <c r="AH29" s="30">
        <v>1.445647576592023E-5</v>
      </c>
      <c r="AI29" s="30">
        <v>7.7990668318491752E-5</v>
      </c>
      <c r="AJ29" s="30">
        <v>8.5554174677296554E-5</v>
      </c>
      <c r="AK29" s="30">
        <v>2.0439348346639859E-5</v>
      </c>
      <c r="AL29" s="30">
        <v>3.696611527351222E-3</v>
      </c>
      <c r="AM29" s="30">
        <v>3.8950521944595704E-3</v>
      </c>
      <c r="AN29" s="32">
        <v>0</v>
      </c>
      <c r="AO29" s="32">
        <v>1.036854518903741E-5</v>
      </c>
      <c r="AP29" s="32">
        <v>9.8338590782043418E-8</v>
      </c>
      <c r="AQ29" s="32">
        <v>6.5490648626579012E-8</v>
      </c>
      <c r="AR29" s="32">
        <v>8.0705045835852706E-8</v>
      </c>
      <c r="AS29" s="32">
        <v>2.4783359410264612E-6</v>
      </c>
      <c r="AT29" s="32">
        <v>1.3091415415308346E-5</v>
      </c>
      <c r="AU29" s="34">
        <v>0</v>
      </c>
      <c r="AV29" s="34">
        <v>0</v>
      </c>
      <c r="AW29" s="34">
        <v>5.1459998369519894E-2</v>
      </c>
      <c r="AX29" s="34">
        <v>2.01770987761535E-2</v>
      </c>
      <c r="AY29" s="34">
        <v>2.4978363681177701E-2</v>
      </c>
      <c r="AZ29" s="34">
        <v>0.27698105092912673</v>
      </c>
      <c r="BA29" s="34">
        <v>0.37359651175597786</v>
      </c>
      <c r="BB29" s="6"/>
      <c r="BC29" s="6"/>
      <c r="BD29" t="s">
        <v>901</v>
      </c>
      <c r="BF29" s="5">
        <v>1.7157363000000002E-2</v>
      </c>
      <c r="BG29" s="5">
        <f t="shared" si="1"/>
        <v>-8.6765362786081698E-3</v>
      </c>
      <c r="BH29" s="2">
        <v>33.642775999999998</v>
      </c>
    </row>
    <row r="30" spans="1:60" x14ac:dyDescent="0.2">
      <c r="A30" t="str">
        <f t="shared" si="0"/>
        <v>Bicycle, battery electric, cargo bike - 2050 - NMC - CH</v>
      </c>
      <c r="B30" t="s">
        <v>652</v>
      </c>
      <c r="D30" s="18">
        <v>2050</v>
      </c>
      <c r="E30" t="s">
        <v>37</v>
      </c>
      <c r="F30" t="s">
        <v>136</v>
      </c>
      <c r="G30" t="s">
        <v>39</v>
      </c>
      <c r="H30" t="s">
        <v>32</v>
      </c>
      <c r="I30" t="s">
        <v>42</v>
      </c>
      <c r="J30" t="s">
        <v>136</v>
      </c>
      <c r="L30" s="24">
        <v>0</v>
      </c>
      <c r="M30" s="24">
        <v>0</v>
      </c>
      <c r="N30" s="24">
        <v>1.1004118370386139E-3</v>
      </c>
      <c r="O30" s="24">
        <v>1.195732624675443E-3</v>
      </c>
      <c r="P30" s="24">
        <v>7.5856565678971755E-4</v>
      </c>
      <c r="Q30" s="24">
        <v>2.3501171579932319E-2</v>
      </c>
      <c r="R30" s="24">
        <v>2.6555881698436094E-2</v>
      </c>
      <c r="S30" s="26">
        <v>0</v>
      </c>
      <c r="T30" s="26">
        <v>0</v>
      </c>
      <c r="U30" s="26">
        <v>1.164713664772465E-4</v>
      </c>
      <c r="V30" s="26">
        <v>9.8317473549625417E-5</v>
      </c>
      <c r="W30" s="26">
        <v>4.7931974044779159E-5</v>
      </c>
      <c r="X30" s="26">
        <v>8.2575643082954397E-3</v>
      </c>
      <c r="Y30" s="26">
        <v>8.5202851223670911E-3</v>
      </c>
      <c r="Z30" s="28">
        <v>0</v>
      </c>
      <c r="AA30" s="28">
        <v>2.7516120475980978E-3</v>
      </c>
      <c r="AB30" s="28">
        <v>3.4133145577070547E-5</v>
      </c>
      <c r="AC30" s="28">
        <v>2.3968260093961618E-5</v>
      </c>
      <c r="AD30" s="28">
        <v>2.1788237979184629E-5</v>
      </c>
      <c r="AE30" s="28">
        <v>1.2861053425090661E-3</v>
      </c>
      <c r="AF30" s="28">
        <v>4.1176070337573803E-3</v>
      </c>
      <c r="AG30" s="30">
        <v>0</v>
      </c>
      <c r="AH30" s="30">
        <v>1.445647576592023E-5</v>
      </c>
      <c r="AI30" s="30">
        <v>7.7990668318491752E-5</v>
      </c>
      <c r="AJ30" s="30">
        <v>8.5554174677296554E-5</v>
      </c>
      <c r="AK30" s="30">
        <v>2.0334406020800391E-5</v>
      </c>
      <c r="AL30" s="30">
        <v>3.7239045752225672E-3</v>
      </c>
      <c r="AM30" s="30">
        <v>3.9222403000050759E-3</v>
      </c>
      <c r="AN30" s="32">
        <v>0</v>
      </c>
      <c r="AO30" s="32">
        <v>1.036854518903741E-5</v>
      </c>
      <c r="AP30" s="32">
        <v>9.8338590782043418E-8</v>
      </c>
      <c r="AQ30" s="32">
        <v>6.5490648626579012E-8</v>
      </c>
      <c r="AR30" s="32">
        <v>8.0290679630367122E-8</v>
      </c>
      <c r="AS30" s="32">
        <v>2.3494561141384581E-6</v>
      </c>
      <c r="AT30" s="32">
        <v>1.2962121222214858E-5</v>
      </c>
      <c r="AU30" s="34">
        <v>0</v>
      </c>
      <c r="AV30" s="34">
        <v>0</v>
      </c>
      <c r="AW30" s="34">
        <v>5.1459998369519894E-2</v>
      </c>
      <c r="AX30" s="34">
        <v>2.01770987761535E-2</v>
      </c>
      <c r="AY30" s="34">
        <v>2.4850116560187773E-2</v>
      </c>
      <c r="AZ30" s="34">
        <v>0.28232007580793861</v>
      </c>
      <c r="BA30" s="34">
        <v>0.37880728951379977</v>
      </c>
      <c r="BB30" s="6"/>
      <c r="BC30" s="6"/>
      <c r="BD30" t="s">
        <v>902</v>
      </c>
      <c r="BF30" s="5">
        <v>1.7345091E-2</v>
      </c>
      <c r="BG30" s="5">
        <f t="shared" si="1"/>
        <v>-9.2107906984360936E-3</v>
      </c>
      <c r="BH30" s="2">
        <v>32.048532000000002</v>
      </c>
    </row>
    <row r="31" spans="1:60" x14ac:dyDescent="0.2">
      <c r="A31" t="str">
        <f t="shared" si="0"/>
        <v>Bicycle, electric (&lt;25 km/h) - 2020 - LFP - CH</v>
      </c>
      <c r="B31" t="s">
        <v>262</v>
      </c>
      <c r="D31" s="18">
        <v>2020</v>
      </c>
      <c r="E31" t="s">
        <v>37</v>
      </c>
      <c r="F31" t="s">
        <v>136</v>
      </c>
      <c r="G31" t="s">
        <v>39</v>
      </c>
      <c r="H31" t="s">
        <v>32</v>
      </c>
      <c r="I31" t="s">
        <v>43</v>
      </c>
      <c r="J31" t="s">
        <v>136</v>
      </c>
      <c r="L31" s="24">
        <v>0</v>
      </c>
      <c r="M31" s="24">
        <v>0</v>
      </c>
      <c r="N31" s="24">
        <v>7.8217156213787186E-4</v>
      </c>
      <c r="O31" s="24">
        <v>1.195732624675443E-3</v>
      </c>
      <c r="P31" s="24">
        <v>4.6659253373107328E-4</v>
      </c>
      <c r="Q31" s="24">
        <v>1.6505643761205481E-2</v>
      </c>
      <c r="R31" s="24">
        <v>1.895014048174987E-2</v>
      </c>
      <c r="S31" s="26">
        <v>0</v>
      </c>
      <c r="T31" s="26">
        <v>0</v>
      </c>
      <c r="U31" s="26">
        <v>8.2787723282772764E-5</v>
      </c>
      <c r="V31" s="26">
        <v>9.8317473549625417E-5</v>
      </c>
      <c r="W31" s="26">
        <v>2.948288129854695E-5</v>
      </c>
      <c r="X31" s="26">
        <v>8.2258663807938392E-3</v>
      </c>
      <c r="Y31" s="26">
        <v>8.4364544589247848E-3</v>
      </c>
      <c r="Z31" s="28">
        <v>0</v>
      </c>
      <c r="AA31" s="28">
        <v>1.3758060237990489E-3</v>
      </c>
      <c r="AB31" s="28">
        <v>2.4261803533979809E-5</v>
      </c>
      <c r="AC31" s="28">
        <v>2.3968260093961618E-5</v>
      </c>
      <c r="AD31" s="28">
        <v>1.340191066290461E-5</v>
      </c>
      <c r="AE31" s="28">
        <v>1.1968245285550461E-3</v>
      </c>
      <c r="AF31" s="28">
        <v>2.6342625266449413E-3</v>
      </c>
      <c r="AG31" s="30">
        <v>0</v>
      </c>
      <c r="AH31" s="30">
        <v>7.228237882960114E-6</v>
      </c>
      <c r="AI31" s="30">
        <v>5.5435684002652831E-5</v>
      </c>
      <c r="AJ31" s="30">
        <v>8.5554174677296554E-5</v>
      </c>
      <c r="AK31" s="30">
        <v>1.250766092854081E-5</v>
      </c>
      <c r="AL31" s="30">
        <v>3.8296400260956951E-3</v>
      </c>
      <c r="AM31" s="30">
        <v>3.9903657835871457E-3</v>
      </c>
      <c r="AN31" s="32">
        <v>0</v>
      </c>
      <c r="AO31" s="32">
        <v>5.1842725945187069E-6</v>
      </c>
      <c r="AP31" s="32">
        <v>6.9898965624929674E-8</v>
      </c>
      <c r="AQ31" s="32">
        <v>6.5490648626579012E-8</v>
      </c>
      <c r="AR31" s="32">
        <v>4.9386669839850162E-8</v>
      </c>
      <c r="AS31" s="32">
        <v>2.074391227463549E-6</v>
      </c>
      <c r="AT31" s="32">
        <v>7.4434401060736141E-6</v>
      </c>
      <c r="AU31" s="34">
        <v>0</v>
      </c>
      <c r="AV31" s="34">
        <v>0</v>
      </c>
      <c r="AW31" s="34">
        <v>3.6577712050626814E-2</v>
      </c>
      <c r="AX31" s="34">
        <v>2.01770987761535E-2</v>
      </c>
      <c r="AY31" s="34">
        <v>1.5285267327287853E-2</v>
      </c>
      <c r="AZ31" s="34">
        <v>0.21047691392722634</v>
      </c>
      <c r="BA31" s="34">
        <v>0.28251699208129449</v>
      </c>
      <c r="BB31" s="6"/>
      <c r="BC31" s="6"/>
      <c r="BD31" t="s">
        <v>623</v>
      </c>
      <c r="BF31" s="5">
        <v>1.4080789000000002E-2</v>
      </c>
      <c r="BG31" s="5">
        <f t="shared" si="1"/>
        <v>-4.8693514817498684E-3</v>
      </c>
      <c r="BH31" s="2">
        <v>40.805840000000003</v>
      </c>
    </row>
    <row r="32" spans="1:60" x14ac:dyDescent="0.2">
      <c r="A32" t="str">
        <f t="shared" si="0"/>
        <v>Bicycle, electric (&lt;25 km/h) - 2030 - LFP - CH</v>
      </c>
      <c r="B32" t="s">
        <v>262</v>
      </c>
      <c r="D32" s="18">
        <v>2030</v>
      </c>
      <c r="E32" t="s">
        <v>37</v>
      </c>
      <c r="F32" t="s">
        <v>136</v>
      </c>
      <c r="G32" t="s">
        <v>39</v>
      </c>
      <c r="H32" t="s">
        <v>32</v>
      </c>
      <c r="I32" t="s">
        <v>43</v>
      </c>
      <c r="J32" t="s">
        <v>136</v>
      </c>
      <c r="L32" s="24">
        <v>0</v>
      </c>
      <c r="M32" s="24">
        <v>0</v>
      </c>
      <c r="N32" s="24">
        <v>7.8217156213787186E-4</v>
      </c>
      <c r="O32" s="24">
        <v>1.195732624675443E-3</v>
      </c>
      <c r="P32" s="24">
        <v>4.7381523441582089E-4</v>
      </c>
      <c r="Q32" s="24">
        <v>1.730129842392206E-2</v>
      </c>
      <c r="R32" s="24">
        <v>1.9753017845151197E-2</v>
      </c>
      <c r="S32" s="26">
        <v>0</v>
      </c>
      <c r="T32" s="26">
        <v>0</v>
      </c>
      <c r="U32" s="26">
        <v>8.2787723282772764E-5</v>
      </c>
      <c r="V32" s="26">
        <v>9.8317473549625417E-5</v>
      </c>
      <c r="W32" s="26">
        <v>2.993926671311958E-5</v>
      </c>
      <c r="X32" s="26">
        <v>8.3478841054753904E-3</v>
      </c>
      <c r="Y32" s="26">
        <v>8.5589285690209089E-3</v>
      </c>
      <c r="Z32" s="28">
        <v>0</v>
      </c>
      <c r="AA32" s="28">
        <v>1.3758060237990489E-3</v>
      </c>
      <c r="AB32" s="28">
        <v>2.4261803533979809E-5</v>
      </c>
      <c r="AC32" s="28">
        <v>2.3968260093961618E-5</v>
      </c>
      <c r="AD32" s="28">
        <v>1.360936788162145E-5</v>
      </c>
      <c r="AE32" s="28">
        <v>1.241371074846764E-3</v>
      </c>
      <c r="AF32" s="28">
        <v>2.6790165301553755E-3</v>
      </c>
      <c r="AG32" s="30">
        <v>0</v>
      </c>
      <c r="AH32" s="30">
        <v>7.228237882960114E-6</v>
      </c>
      <c r="AI32" s="30">
        <v>5.5435684002652831E-5</v>
      </c>
      <c r="AJ32" s="30">
        <v>8.5554174677296554E-5</v>
      </c>
      <c r="AK32" s="30">
        <v>1.2701275452182609E-5</v>
      </c>
      <c r="AL32" s="30">
        <v>3.9694988774694904E-3</v>
      </c>
      <c r="AM32" s="30">
        <v>4.1304182494845826E-3</v>
      </c>
      <c r="AN32" s="32">
        <v>0</v>
      </c>
      <c r="AO32" s="32">
        <v>5.1842725945187069E-6</v>
      </c>
      <c r="AP32" s="32">
        <v>6.9898965624929674E-8</v>
      </c>
      <c r="AQ32" s="32">
        <v>6.5490648626579012E-8</v>
      </c>
      <c r="AR32" s="32">
        <v>5.0151159428265402E-8</v>
      </c>
      <c r="AS32" s="32">
        <v>2.1123012663586759E-6</v>
      </c>
      <c r="AT32" s="32">
        <v>7.4821146345571557E-6</v>
      </c>
      <c r="AU32" s="34">
        <v>0</v>
      </c>
      <c r="AV32" s="34">
        <v>0</v>
      </c>
      <c r="AW32" s="34">
        <v>3.6577712050626814E-2</v>
      </c>
      <c r="AX32" s="34">
        <v>2.01770987761535E-2</v>
      </c>
      <c r="AY32" s="34">
        <v>1.5521878294695623E-2</v>
      </c>
      <c r="AZ32" s="34">
        <v>0.21911361812630106</v>
      </c>
      <c r="BA32" s="34">
        <v>0.29139030724777698</v>
      </c>
      <c r="BB32" s="6"/>
      <c r="BC32" s="6"/>
      <c r="BD32" t="s">
        <v>476</v>
      </c>
      <c r="BF32" s="5">
        <v>1.4442080000000001E-2</v>
      </c>
      <c r="BG32" s="5">
        <f t="shared" si="1"/>
        <v>-5.3109378451511955E-3</v>
      </c>
      <c r="BH32" s="2">
        <v>41.031095000000001</v>
      </c>
    </row>
    <row r="33" spans="1:60" x14ac:dyDescent="0.2">
      <c r="A33" t="str">
        <f t="shared" si="0"/>
        <v>Bicycle, electric (&lt;25 km/h) - 2040 - LFP - CH</v>
      </c>
      <c r="B33" t="s">
        <v>262</v>
      </c>
      <c r="D33" s="18">
        <v>2040</v>
      </c>
      <c r="E33" t="s">
        <v>37</v>
      </c>
      <c r="F33" t="s">
        <v>136</v>
      </c>
      <c r="G33" t="s">
        <v>39</v>
      </c>
      <c r="H33" t="s">
        <v>32</v>
      </c>
      <c r="I33" t="s">
        <v>43</v>
      </c>
      <c r="J33" t="s">
        <v>136</v>
      </c>
      <c r="L33" s="24">
        <v>0</v>
      </c>
      <c r="M33" s="24">
        <v>0</v>
      </c>
      <c r="N33" s="24">
        <v>7.8217156213787186E-4</v>
      </c>
      <c r="O33" s="24">
        <v>1.195732624675443E-3</v>
      </c>
      <c r="P33" s="24">
        <v>4.7190334305809368E-4</v>
      </c>
      <c r="Q33" s="24">
        <v>1.6441178310260911E-2</v>
      </c>
      <c r="R33" s="24">
        <v>1.889098584013232E-2</v>
      </c>
      <c r="S33" s="26">
        <v>0</v>
      </c>
      <c r="T33" s="26">
        <v>0</v>
      </c>
      <c r="U33" s="26">
        <v>8.2787723282772764E-5</v>
      </c>
      <c r="V33" s="26">
        <v>9.8317473549625417E-5</v>
      </c>
      <c r="W33" s="26">
        <v>2.9818458809262119E-5</v>
      </c>
      <c r="X33" s="26">
        <v>7.5002296310549546E-3</v>
      </c>
      <c r="Y33" s="26">
        <v>7.7111532866966145E-3</v>
      </c>
      <c r="Z33" s="28">
        <v>0</v>
      </c>
      <c r="AA33" s="28">
        <v>1.3758060237990489E-3</v>
      </c>
      <c r="AB33" s="28">
        <v>2.4261803533979809E-5</v>
      </c>
      <c r="AC33" s="28">
        <v>2.3968260093961618E-5</v>
      </c>
      <c r="AD33" s="28">
        <v>1.355445273549052E-5</v>
      </c>
      <c r="AE33" s="28">
        <v>1.135527314052626E-3</v>
      </c>
      <c r="AF33" s="28">
        <v>2.5731178542151068E-3</v>
      </c>
      <c r="AG33" s="30">
        <v>0</v>
      </c>
      <c r="AH33" s="30">
        <v>7.228237882960114E-6</v>
      </c>
      <c r="AI33" s="30">
        <v>5.5435684002652831E-5</v>
      </c>
      <c r="AJ33" s="30">
        <v>8.5554174677296554E-5</v>
      </c>
      <c r="AK33" s="30">
        <v>1.2650024548865661E-5</v>
      </c>
      <c r="AL33" s="30">
        <v>3.631551749364771E-3</v>
      </c>
      <c r="AM33" s="30">
        <v>3.7924198704765463E-3</v>
      </c>
      <c r="AN33" s="32">
        <v>0</v>
      </c>
      <c r="AO33" s="32">
        <v>5.1842725945187069E-6</v>
      </c>
      <c r="AP33" s="32">
        <v>6.9898965624929674E-8</v>
      </c>
      <c r="AQ33" s="32">
        <v>6.5490648626579012E-8</v>
      </c>
      <c r="AR33" s="32">
        <v>4.9948794537214308E-8</v>
      </c>
      <c r="AS33" s="32">
        <v>1.9112971458837662E-6</v>
      </c>
      <c r="AT33" s="32">
        <v>7.2809081491911955E-6</v>
      </c>
      <c r="AU33" s="34">
        <v>0</v>
      </c>
      <c r="AV33" s="34">
        <v>0</v>
      </c>
      <c r="AW33" s="34">
        <v>3.6577712050626814E-2</v>
      </c>
      <c r="AX33" s="34">
        <v>2.01770987761535E-2</v>
      </c>
      <c r="AY33" s="34">
        <v>1.5459245979793569E-2</v>
      </c>
      <c r="AZ33" s="34">
        <v>0.20609465962102799</v>
      </c>
      <c r="BA33" s="34">
        <v>0.27830871642760191</v>
      </c>
      <c r="BB33" s="6"/>
      <c r="BC33" s="6"/>
      <c r="BD33" t="s">
        <v>477</v>
      </c>
      <c r="BF33" s="5">
        <v>1.3640106999999999E-2</v>
      </c>
      <c r="BG33" s="5">
        <f t="shared" si="1"/>
        <v>-5.2508788401323218E-3</v>
      </c>
      <c r="BH33" s="2">
        <v>36.649625999999998</v>
      </c>
    </row>
    <row r="34" spans="1:60" x14ac:dyDescent="0.2">
      <c r="A34" t="str">
        <f t="shared" si="0"/>
        <v>Bicycle, electric (&lt;25 km/h) - 2050 - LFP - CH</v>
      </c>
      <c r="B34" t="s">
        <v>262</v>
      </c>
      <c r="D34" s="18">
        <v>2050</v>
      </c>
      <c r="E34" t="s">
        <v>37</v>
      </c>
      <c r="F34" t="s">
        <v>136</v>
      </c>
      <c r="G34" t="s">
        <v>39</v>
      </c>
      <c r="H34" t="s">
        <v>32</v>
      </c>
      <c r="I34" t="s">
        <v>43</v>
      </c>
      <c r="J34" t="s">
        <v>136</v>
      </c>
      <c r="L34" s="24">
        <v>0</v>
      </c>
      <c r="M34" s="24">
        <v>0</v>
      </c>
      <c r="N34" s="24">
        <v>7.8217156213787186E-4</v>
      </c>
      <c r="O34" s="24">
        <v>1.195732624675443E-3</v>
      </c>
      <c r="P34" s="24">
        <v>4.7492291750402812E-4</v>
      </c>
      <c r="Q34" s="24">
        <v>1.6277304766004991E-2</v>
      </c>
      <c r="R34" s="24">
        <v>1.8730131870322336E-2</v>
      </c>
      <c r="S34" s="26">
        <v>0</v>
      </c>
      <c r="T34" s="26">
        <v>0</v>
      </c>
      <c r="U34" s="26">
        <v>8.2787723282772764E-5</v>
      </c>
      <c r="V34" s="26">
        <v>9.8317473549625417E-5</v>
      </c>
      <c r="W34" s="26">
        <v>3.0009258593925888E-5</v>
      </c>
      <c r="X34" s="26">
        <v>7.1133864594540583E-3</v>
      </c>
      <c r="Y34" s="26">
        <v>7.3245009148803827E-3</v>
      </c>
      <c r="Z34" s="28">
        <v>0</v>
      </c>
      <c r="AA34" s="28">
        <v>1.3758060237990489E-3</v>
      </c>
      <c r="AB34" s="28">
        <v>2.4261803533979809E-5</v>
      </c>
      <c r="AC34" s="28">
        <v>2.3968260093961618E-5</v>
      </c>
      <c r="AD34" s="28">
        <v>1.3641183799617939E-5</v>
      </c>
      <c r="AE34" s="28">
        <v>1.0973681230276621E-3</v>
      </c>
      <c r="AF34" s="28">
        <v>2.5350453942542704E-3</v>
      </c>
      <c r="AG34" s="30">
        <v>0</v>
      </c>
      <c r="AH34" s="30">
        <v>7.228237882960114E-6</v>
      </c>
      <c r="AI34" s="30">
        <v>5.5435684002652831E-5</v>
      </c>
      <c r="AJ34" s="30">
        <v>8.5554174677296554E-5</v>
      </c>
      <c r="AK34" s="30">
        <v>1.2730968435850361E-5</v>
      </c>
      <c r="AL34" s="30">
        <v>3.5071907992978821E-3</v>
      </c>
      <c r="AM34" s="30">
        <v>3.668139864296642E-3</v>
      </c>
      <c r="AN34" s="32">
        <v>0</v>
      </c>
      <c r="AO34" s="32">
        <v>5.1842725945187069E-6</v>
      </c>
      <c r="AP34" s="32">
        <v>6.9898965624929674E-8</v>
      </c>
      <c r="AQ34" s="32">
        <v>6.5490648626579012E-8</v>
      </c>
      <c r="AR34" s="32">
        <v>5.0268402579429921E-8</v>
      </c>
      <c r="AS34" s="32">
        <v>1.8242122660436949E-6</v>
      </c>
      <c r="AT34" s="32">
        <v>7.1941428773933391E-6</v>
      </c>
      <c r="AU34" s="34">
        <v>0</v>
      </c>
      <c r="AV34" s="34">
        <v>0</v>
      </c>
      <c r="AW34" s="34">
        <v>3.6577712050626814E-2</v>
      </c>
      <c r="AX34" s="34">
        <v>2.01770987761535E-2</v>
      </c>
      <c r="AY34" s="34">
        <v>1.5558165270789669E-2</v>
      </c>
      <c r="AZ34" s="34">
        <v>0.20249340819209583</v>
      </c>
      <c r="BA34" s="34">
        <v>0.27480638428966581</v>
      </c>
      <c r="BB34" s="6"/>
      <c r="BC34" s="6"/>
      <c r="BD34" t="s">
        <v>478</v>
      </c>
      <c r="BF34" s="5">
        <v>1.3366602E-2</v>
      </c>
      <c r="BG34" s="5">
        <f t="shared" si="1"/>
        <v>-5.3635298703223356E-3</v>
      </c>
      <c r="BH34" s="2">
        <v>34.545076000000002</v>
      </c>
    </row>
    <row r="35" spans="1:60" x14ac:dyDescent="0.2">
      <c r="A35" t="str">
        <f t="shared" si="0"/>
        <v>Bicycle, electric (&lt;45 km/h) - 2020 - LFP - CH</v>
      </c>
      <c r="B35" t="s">
        <v>263</v>
      </c>
      <c r="D35" s="18">
        <v>2020</v>
      </c>
      <c r="E35" t="s">
        <v>37</v>
      </c>
      <c r="F35" t="s">
        <v>136</v>
      </c>
      <c r="G35" t="s">
        <v>39</v>
      </c>
      <c r="H35" t="s">
        <v>32</v>
      </c>
      <c r="I35" t="s">
        <v>43</v>
      </c>
      <c r="J35" t="s">
        <v>136</v>
      </c>
      <c r="L35" s="24">
        <v>0</v>
      </c>
      <c r="M35" s="24">
        <v>0</v>
      </c>
      <c r="N35" s="24">
        <v>1.4364996721616199E-3</v>
      </c>
      <c r="O35" s="24">
        <v>1.195732624675443E-3</v>
      </c>
      <c r="P35" s="24">
        <v>4.8480102285228591E-4</v>
      </c>
      <c r="Q35" s="24">
        <v>1.197791323700367E-2</v>
      </c>
      <c r="R35" s="24">
        <v>1.509494655669302E-2</v>
      </c>
      <c r="S35" s="26">
        <v>0</v>
      </c>
      <c r="T35" s="26">
        <v>0</v>
      </c>
      <c r="U35" s="26">
        <v>1.520440567152036E-4</v>
      </c>
      <c r="V35" s="26">
        <v>9.8317473549625417E-5</v>
      </c>
      <c r="W35" s="26">
        <v>3.0633432763856099E-5</v>
      </c>
      <c r="X35" s="26">
        <v>5.7162676343939052E-3</v>
      </c>
      <c r="Y35" s="26">
        <v>5.9972625974225903E-3</v>
      </c>
      <c r="Z35" s="28">
        <v>0</v>
      </c>
      <c r="AA35" s="28">
        <v>1.3758060237990489E-3</v>
      </c>
      <c r="AB35" s="28">
        <v>4.4558092507674578E-5</v>
      </c>
      <c r="AC35" s="28">
        <v>2.3968260093961618E-5</v>
      </c>
      <c r="AD35" s="28">
        <v>1.392491205462772E-5</v>
      </c>
      <c r="AE35" s="28">
        <v>8.4585675456149041E-4</v>
      </c>
      <c r="AF35" s="28">
        <v>2.3041140430168031E-3</v>
      </c>
      <c r="AG35" s="30">
        <v>0</v>
      </c>
      <c r="AH35" s="30">
        <v>7.228237882960114E-6</v>
      </c>
      <c r="AI35" s="30">
        <v>1.018105819114773E-4</v>
      </c>
      <c r="AJ35" s="30">
        <v>8.5554174677296554E-5</v>
      </c>
      <c r="AK35" s="30">
        <v>1.299576476965459E-5</v>
      </c>
      <c r="AL35" s="30">
        <v>2.7117016161737882E-3</v>
      </c>
      <c r="AM35" s="30">
        <v>2.9192903754151765E-3</v>
      </c>
      <c r="AN35" s="32">
        <v>0</v>
      </c>
      <c r="AO35" s="32">
        <v>5.1842725945187069E-6</v>
      </c>
      <c r="AP35" s="32">
        <v>1.2837316781270141E-7</v>
      </c>
      <c r="AQ35" s="32">
        <v>6.5490648626579012E-8</v>
      </c>
      <c r="AR35" s="32">
        <v>5.131395451652724E-8</v>
      </c>
      <c r="AS35" s="32">
        <v>1.469558210803564E-6</v>
      </c>
      <c r="AT35" s="32">
        <v>6.8990085762780777E-6</v>
      </c>
      <c r="AU35" s="34">
        <v>0</v>
      </c>
      <c r="AV35" s="34">
        <v>0</v>
      </c>
      <c r="AW35" s="34">
        <v>6.7176913496486523E-2</v>
      </c>
      <c r="AX35" s="34">
        <v>2.01770987761535E-2</v>
      </c>
      <c r="AY35" s="34">
        <v>1.5881765564450298E-2</v>
      </c>
      <c r="AZ35" s="34">
        <v>0.15177121351182457</v>
      </c>
      <c r="BA35" s="34">
        <v>0.25500699134891491</v>
      </c>
      <c r="BB35" s="6"/>
      <c r="BC35" s="6"/>
      <c r="BD35" t="s">
        <v>624</v>
      </c>
      <c r="BF35" s="5">
        <v>1.1719714000000001E-2</v>
      </c>
      <c r="BG35" s="5">
        <f t="shared" si="1"/>
        <v>-3.3752325566930187E-3</v>
      </c>
      <c r="BH35" s="2">
        <v>31.540946000000002</v>
      </c>
    </row>
    <row r="36" spans="1:60" x14ac:dyDescent="0.2">
      <c r="A36" t="str">
        <f t="shared" si="0"/>
        <v>Bicycle, electric (&lt;45 km/h) - 2030 - LFP - CH</v>
      </c>
      <c r="B36" t="s">
        <v>263</v>
      </c>
      <c r="D36" s="18">
        <v>2030</v>
      </c>
      <c r="E36" t="s">
        <v>37</v>
      </c>
      <c r="F36" t="s">
        <v>136</v>
      </c>
      <c r="G36" t="s">
        <v>39</v>
      </c>
      <c r="H36" t="s">
        <v>32</v>
      </c>
      <c r="I36" t="s">
        <v>43</v>
      </c>
      <c r="J36" t="s">
        <v>136</v>
      </c>
      <c r="L36" s="24">
        <v>0</v>
      </c>
      <c r="M36" s="24">
        <v>0</v>
      </c>
      <c r="N36" s="24">
        <v>1.4364996721616199E-3</v>
      </c>
      <c r="O36" s="24">
        <v>1.195732624675443E-3</v>
      </c>
      <c r="P36" s="24">
        <v>4.9161403253180627E-4</v>
      </c>
      <c r="Q36" s="24">
        <v>1.260708056193968E-2</v>
      </c>
      <c r="R36" s="24">
        <v>1.5730926891308551E-2</v>
      </c>
      <c r="S36" s="26">
        <v>0</v>
      </c>
      <c r="T36" s="26">
        <v>0</v>
      </c>
      <c r="U36" s="26">
        <v>1.520440567152036E-4</v>
      </c>
      <c r="V36" s="26">
        <v>9.8317473549625417E-5</v>
      </c>
      <c r="W36" s="26">
        <v>3.1063930770459273E-5</v>
      </c>
      <c r="X36" s="26">
        <v>5.815631562422395E-3</v>
      </c>
      <c r="Y36" s="26">
        <v>6.0970570234576832E-3</v>
      </c>
      <c r="Z36" s="28">
        <v>0</v>
      </c>
      <c r="AA36" s="28">
        <v>1.3758060237990489E-3</v>
      </c>
      <c r="AB36" s="28">
        <v>4.4558092507674578E-5</v>
      </c>
      <c r="AC36" s="28">
        <v>2.3968260093961618E-5</v>
      </c>
      <c r="AD36" s="28">
        <v>1.412060174203078E-5</v>
      </c>
      <c r="AE36" s="28">
        <v>8.8118741862179019E-4</v>
      </c>
      <c r="AF36" s="28">
        <v>2.3396403967645063E-3</v>
      </c>
      <c r="AG36" s="30">
        <v>0</v>
      </c>
      <c r="AH36" s="30">
        <v>7.228237882960114E-6</v>
      </c>
      <c r="AI36" s="30">
        <v>1.018105819114773E-4</v>
      </c>
      <c r="AJ36" s="30">
        <v>8.5554174677296554E-5</v>
      </c>
      <c r="AK36" s="30">
        <v>1.317839695687134E-5</v>
      </c>
      <c r="AL36" s="30">
        <v>2.8239285530257939E-3</v>
      </c>
      <c r="AM36" s="30">
        <v>3.0316999444543993E-3</v>
      </c>
      <c r="AN36" s="32">
        <v>0</v>
      </c>
      <c r="AO36" s="32">
        <v>5.1842725945187069E-6</v>
      </c>
      <c r="AP36" s="32">
        <v>1.2837316781270141E-7</v>
      </c>
      <c r="AQ36" s="32">
        <v>6.5490648626579012E-8</v>
      </c>
      <c r="AR36" s="32">
        <v>5.2035080199717248E-8</v>
      </c>
      <c r="AS36" s="32">
        <v>1.49898500022658E-6</v>
      </c>
      <c r="AT36" s="32">
        <v>6.9291564913842839E-6</v>
      </c>
      <c r="AU36" s="34">
        <v>0</v>
      </c>
      <c r="AV36" s="34">
        <v>0</v>
      </c>
      <c r="AW36" s="34">
        <v>6.7176913496486523E-2</v>
      </c>
      <c r="AX36" s="34">
        <v>2.01770987761535E-2</v>
      </c>
      <c r="AY36" s="34">
        <v>1.6104955321521921E-2</v>
      </c>
      <c r="AZ36" s="34">
        <v>0.15858661301656282</v>
      </c>
      <c r="BA36" s="34">
        <v>0.2620455806107248</v>
      </c>
      <c r="BB36" s="6"/>
      <c r="BC36" s="6"/>
      <c r="BD36" t="s">
        <v>479</v>
      </c>
      <c r="BF36" s="5">
        <v>1.2003552000000001E-2</v>
      </c>
      <c r="BG36" s="5">
        <f t="shared" si="1"/>
        <v>-3.7273748913085498E-3</v>
      </c>
      <c r="BH36" s="2">
        <v>31.717109000000001</v>
      </c>
    </row>
    <row r="37" spans="1:60" x14ac:dyDescent="0.2">
      <c r="A37" t="str">
        <f t="shared" si="0"/>
        <v>Bicycle, electric (&lt;45 km/h) - 2040 - LFP - CH</v>
      </c>
      <c r="B37" t="s">
        <v>263</v>
      </c>
      <c r="D37" s="18">
        <v>2040</v>
      </c>
      <c r="E37" t="s">
        <v>37</v>
      </c>
      <c r="F37" t="s">
        <v>136</v>
      </c>
      <c r="G37" t="s">
        <v>39</v>
      </c>
      <c r="H37" t="s">
        <v>32</v>
      </c>
      <c r="I37" t="s">
        <v>43</v>
      </c>
      <c r="J37" t="s">
        <v>136</v>
      </c>
      <c r="L37" s="24">
        <v>0</v>
      </c>
      <c r="M37" s="24">
        <v>0</v>
      </c>
      <c r="N37" s="24">
        <v>1.4364996721616199E-3</v>
      </c>
      <c r="O37" s="24">
        <v>1.195732624675443E-3</v>
      </c>
      <c r="P37" s="24">
        <v>4.8897380160923046E-4</v>
      </c>
      <c r="Q37" s="24">
        <v>1.208315306485455E-2</v>
      </c>
      <c r="R37" s="24">
        <v>1.5204359163300842E-2</v>
      </c>
      <c r="S37" s="26">
        <v>0</v>
      </c>
      <c r="T37" s="26">
        <v>0</v>
      </c>
      <c r="U37" s="26">
        <v>1.520440567152036E-4</v>
      </c>
      <c r="V37" s="26">
        <v>9.8317473549625417E-5</v>
      </c>
      <c r="W37" s="26">
        <v>3.0897100807989451E-5</v>
      </c>
      <c r="X37" s="26">
        <v>5.2473757180386358E-3</v>
      </c>
      <c r="Y37" s="26">
        <v>5.5286343491114543E-3</v>
      </c>
      <c r="Z37" s="28">
        <v>0</v>
      </c>
      <c r="AA37" s="28">
        <v>1.3758060237990489E-3</v>
      </c>
      <c r="AB37" s="28">
        <v>4.4558092507674578E-5</v>
      </c>
      <c r="AC37" s="28">
        <v>2.3968260093961618E-5</v>
      </c>
      <c r="AD37" s="28">
        <v>1.4044766540230931E-5</v>
      </c>
      <c r="AE37" s="28">
        <v>8.1262323617899406E-4</v>
      </c>
      <c r="AF37" s="28">
        <v>2.2710003791199104E-3</v>
      </c>
      <c r="AG37" s="30">
        <v>0</v>
      </c>
      <c r="AH37" s="30">
        <v>7.228237882960114E-6</v>
      </c>
      <c r="AI37" s="30">
        <v>1.018105819114773E-4</v>
      </c>
      <c r="AJ37" s="30">
        <v>8.5554174677296554E-5</v>
      </c>
      <c r="AK37" s="30">
        <v>1.310762189990984E-5</v>
      </c>
      <c r="AL37" s="30">
        <v>2.603132400579865E-3</v>
      </c>
      <c r="AM37" s="30">
        <v>2.8108330169515088E-3</v>
      </c>
      <c r="AN37" s="32">
        <v>0</v>
      </c>
      <c r="AO37" s="32">
        <v>5.1842725945187069E-6</v>
      </c>
      <c r="AP37" s="32">
        <v>1.2837316781270141E-7</v>
      </c>
      <c r="AQ37" s="32">
        <v>6.5490648626579012E-8</v>
      </c>
      <c r="AR37" s="32">
        <v>5.1755623921599077E-8</v>
      </c>
      <c r="AS37" s="32">
        <v>1.365644327390255E-6</v>
      </c>
      <c r="AT37" s="32">
        <v>6.7955363622698401E-6</v>
      </c>
      <c r="AU37" s="34">
        <v>0</v>
      </c>
      <c r="AV37" s="34">
        <v>0</v>
      </c>
      <c r="AW37" s="34">
        <v>6.7176913496486523E-2</v>
      </c>
      <c r="AX37" s="34">
        <v>2.01770987761535E-2</v>
      </c>
      <c r="AY37" s="34">
        <v>1.6018463077133369E-2</v>
      </c>
      <c r="AZ37" s="34">
        <v>0.15042861546950603</v>
      </c>
      <c r="BA37" s="34">
        <v>0.25380109081927943</v>
      </c>
      <c r="BB37" s="6"/>
      <c r="BC37" s="6"/>
      <c r="BD37" t="s">
        <v>480</v>
      </c>
      <c r="BF37" s="5">
        <v>1.1482738999999999E-2</v>
      </c>
      <c r="BG37" s="5">
        <f t="shared" si="1"/>
        <v>-3.7216201633008435E-3</v>
      </c>
      <c r="BH37" s="2">
        <v>28.773599999999998</v>
      </c>
    </row>
    <row r="38" spans="1:60" x14ac:dyDescent="0.2">
      <c r="A38" t="str">
        <f t="shared" si="0"/>
        <v>Bicycle, electric (&lt;45 km/h) - 2050 - LFP - CH</v>
      </c>
      <c r="B38" t="s">
        <v>263</v>
      </c>
      <c r="D38" s="18">
        <v>2050</v>
      </c>
      <c r="E38" t="s">
        <v>37</v>
      </c>
      <c r="F38" t="s">
        <v>136</v>
      </c>
      <c r="G38" t="s">
        <v>39</v>
      </c>
      <c r="H38" t="s">
        <v>32</v>
      </c>
      <c r="I38" t="s">
        <v>43</v>
      </c>
      <c r="J38" t="s">
        <v>136</v>
      </c>
      <c r="L38" s="24">
        <v>0</v>
      </c>
      <c r="M38" s="24">
        <v>0</v>
      </c>
      <c r="N38" s="24">
        <v>1.4364996721616199E-3</v>
      </c>
      <c r="O38" s="24">
        <v>1.195732624675443E-3</v>
      </c>
      <c r="P38" s="24">
        <v>4.9172024871834666E-4</v>
      </c>
      <c r="Q38" s="24">
        <v>1.2039724651308431E-2</v>
      </c>
      <c r="R38" s="24">
        <v>1.516367719686384E-2</v>
      </c>
      <c r="S38" s="26">
        <v>0</v>
      </c>
      <c r="T38" s="26">
        <v>0</v>
      </c>
      <c r="U38" s="26">
        <v>1.520440567152036E-4</v>
      </c>
      <c r="V38" s="26">
        <v>9.8317473549625417E-5</v>
      </c>
      <c r="W38" s="26">
        <v>3.1070642320673577E-5</v>
      </c>
      <c r="X38" s="26">
        <v>5.0014927998737564E-3</v>
      </c>
      <c r="Y38" s="26">
        <v>5.2829249724592586E-3</v>
      </c>
      <c r="Z38" s="28">
        <v>0</v>
      </c>
      <c r="AA38" s="28">
        <v>1.3758060237990489E-3</v>
      </c>
      <c r="AB38" s="28">
        <v>4.4558092507674578E-5</v>
      </c>
      <c r="AC38" s="28">
        <v>2.3968260093961618E-5</v>
      </c>
      <c r="AD38" s="28">
        <v>1.41236525834825E-5</v>
      </c>
      <c r="AE38" s="28">
        <v>7.9093908825957971E-4</v>
      </c>
      <c r="AF38" s="28">
        <v>2.2493951172437472E-3</v>
      </c>
      <c r="AG38" s="30">
        <v>0</v>
      </c>
      <c r="AH38" s="30">
        <v>7.228237882960114E-6</v>
      </c>
      <c r="AI38" s="30">
        <v>1.018105819114773E-4</v>
      </c>
      <c r="AJ38" s="30">
        <v>8.5554174677296554E-5</v>
      </c>
      <c r="AK38" s="30">
        <v>1.318124422927783E-5</v>
      </c>
      <c r="AL38" s="30">
        <v>2.532883577710338E-3</v>
      </c>
      <c r="AM38" s="30">
        <v>2.7406578164113496E-3</v>
      </c>
      <c r="AN38" s="32">
        <v>0</v>
      </c>
      <c r="AO38" s="32">
        <v>5.1842725945187069E-6</v>
      </c>
      <c r="AP38" s="32">
        <v>1.2837316781270141E-7</v>
      </c>
      <c r="AQ38" s="32">
        <v>6.5490648626579012E-8</v>
      </c>
      <c r="AR38" s="32">
        <v>5.2046322693664528E-8</v>
      </c>
      <c r="AS38" s="32">
        <v>1.310356689145099E-6</v>
      </c>
      <c r="AT38" s="32">
        <v>6.7405394227967507E-6</v>
      </c>
      <c r="AU38" s="34">
        <v>0</v>
      </c>
      <c r="AV38" s="34">
        <v>0</v>
      </c>
      <c r="AW38" s="34">
        <v>6.7176913496486523E-2</v>
      </c>
      <c r="AX38" s="34">
        <v>2.01770987761535E-2</v>
      </c>
      <c r="AY38" s="34">
        <v>1.6108434894572029E-2</v>
      </c>
      <c r="AZ38" s="34">
        <v>0.14873284614030871</v>
      </c>
      <c r="BA38" s="34">
        <v>0.25219529330752077</v>
      </c>
      <c r="BB38" s="6"/>
      <c r="BC38" s="6"/>
      <c r="BD38" t="s">
        <v>481</v>
      </c>
      <c r="BF38" s="5">
        <v>1.1328394E-2</v>
      </c>
      <c r="BG38" s="5">
        <f t="shared" si="1"/>
        <v>-3.8352831968638396E-3</v>
      </c>
      <c r="BH38" s="2">
        <v>27.386825999999999</v>
      </c>
    </row>
    <row r="39" spans="1:60" x14ac:dyDescent="0.2">
      <c r="A39" t="str">
        <f t="shared" si="0"/>
        <v>Bicycle, battery electric, cargo bike - 2020 - LFP - CH</v>
      </c>
      <c r="B39" t="s">
        <v>652</v>
      </c>
      <c r="D39" s="18">
        <v>2020</v>
      </c>
      <c r="E39" t="s">
        <v>37</v>
      </c>
      <c r="F39" t="s">
        <v>136</v>
      </c>
      <c r="G39" t="s">
        <v>39</v>
      </c>
      <c r="H39" t="s">
        <v>32</v>
      </c>
      <c r="I39" t="s">
        <v>43</v>
      </c>
      <c r="J39" t="s">
        <v>136</v>
      </c>
      <c r="L39" s="24">
        <v>0</v>
      </c>
      <c r="M39" s="24">
        <v>0</v>
      </c>
      <c r="N39" s="24">
        <v>1.1004118370386139E-3</v>
      </c>
      <c r="O39" s="24">
        <v>1.195732624675443E-3</v>
      </c>
      <c r="P39" s="24">
        <v>7.8979321563259718E-4</v>
      </c>
      <c r="Q39" s="24">
        <v>2.542449500895469E-2</v>
      </c>
      <c r="R39" s="24">
        <v>2.8510432686301344E-2</v>
      </c>
      <c r="S39" s="26">
        <v>0</v>
      </c>
      <c r="T39" s="26">
        <v>0</v>
      </c>
      <c r="U39" s="26">
        <v>1.164713664772465E-4</v>
      </c>
      <c r="V39" s="26">
        <v>9.8317473549625417E-5</v>
      </c>
      <c r="W39" s="26">
        <v>4.9905169807784347E-5</v>
      </c>
      <c r="X39" s="26">
        <v>9.1136015202262204E-3</v>
      </c>
      <c r="Y39" s="26">
        <v>9.3782955300608772E-3</v>
      </c>
      <c r="Z39" s="28">
        <v>0</v>
      </c>
      <c r="AA39" s="28">
        <v>2.7516120475980978E-3</v>
      </c>
      <c r="AB39" s="28">
        <v>3.4133145577070547E-5</v>
      </c>
      <c r="AC39" s="28">
        <v>2.3968260093961618E-5</v>
      </c>
      <c r="AD39" s="28">
        <v>2.268518536598976E-5</v>
      </c>
      <c r="AE39" s="28">
        <v>1.5312676604341709E-3</v>
      </c>
      <c r="AF39" s="28">
        <v>4.3636662990692906E-3</v>
      </c>
      <c r="AG39" s="30">
        <v>0</v>
      </c>
      <c r="AH39" s="30">
        <v>1.445647576592023E-5</v>
      </c>
      <c r="AI39" s="30">
        <v>7.7990668318491752E-5</v>
      </c>
      <c r="AJ39" s="30">
        <v>8.5554174677296554E-5</v>
      </c>
      <c r="AK39" s="30">
        <v>2.117150410831053E-5</v>
      </c>
      <c r="AL39" s="30">
        <v>4.6771141513465009E-3</v>
      </c>
      <c r="AM39" s="30">
        <v>4.8762869742165196E-3</v>
      </c>
      <c r="AN39" s="32">
        <v>0</v>
      </c>
      <c r="AO39" s="32">
        <v>1.036854518903741E-5</v>
      </c>
      <c r="AP39" s="32">
        <v>9.8338590782043418E-8</v>
      </c>
      <c r="AQ39" s="32">
        <v>6.5490648626579012E-8</v>
      </c>
      <c r="AR39" s="32">
        <v>8.359597285086832E-8</v>
      </c>
      <c r="AS39" s="32">
        <v>2.795573149973405E-6</v>
      </c>
      <c r="AT39" s="32">
        <v>1.3411543551270306E-5</v>
      </c>
      <c r="AU39" s="34">
        <v>0</v>
      </c>
      <c r="AV39" s="34">
        <v>0</v>
      </c>
      <c r="AW39" s="34">
        <v>5.1459998369519894E-2</v>
      </c>
      <c r="AX39" s="34">
        <v>2.01770987761535E-2</v>
      </c>
      <c r="AY39" s="34">
        <v>2.5873111036921376E-2</v>
      </c>
      <c r="AZ39" s="34">
        <v>0.31624977515645514</v>
      </c>
      <c r="BA39" s="34">
        <v>0.4137599833390499</v>
      </c>
      <c r="BB39" s="6"/>
      <c r="BC39" s="6"/>
      <c r="BD39" t="s">
        <v>667</v>
      </c>
      <c r="BF39" s="5">
        <v>2.0493721999999999E-2</v>
      </c>
      <c r="BG39" s="5">
        <f t="shared" si="1"/>
        <v>-8.0167106863013454E-3</v>
      </c>
      <c r="BH39" s="2">
        <v>50.892327000000002</v>
      </c>
    </row>
    <row r="40" spans="1:60" x14ac:dyDescent="0.2">
      <c r="A40" t="str">
        <f t="shared" si="0"/>
        <v>Bicycle, battery electric, cargo bike - 2030 - LFP - CH</v>
      </c>
      <c r="B40" t="s">
        <v>652</v>
      </c>
      <c r="D40" s="18">
        <v>2030</v>
      </c>
      <c r="E40" t="s">
        <v>37</v>
      </c>
      <c r="F40" t="s">
        <v>136</v>
      </c>
      <c r="G40" t="s">
        <v>39</v>
      </c>
      <c r="H40" t="s">
        <v>32</v>
      </c>
      <c r="I40" t="s">
        <v>43</v>
      </c>
      <c r="J40" t="s">
        <v>136</v>
      </c>
      <c r="L40" s="24">
        <v>0</v>
      </c>
      <c r="M40" s="24">
        <v>0</v>
      </c>
      <c r="N40" s="24">
        <v>1.1004118370386139E-3</v>
      </c>
      <c r="O40" s="24">
        <v>1.195732624675443E-3</v>
      </c>
      <c r="P40" s="24">
        <v>7.8908004980868317E-4</v>
      </c>
      <c r="Q40" s="24">
        <v>2.626939728422828E-2</v>
      </c>
      <c r="R40" s="24">
        <v>2.9354621795751018E-2</v>
      </c>
      <c r="S40" s="26">
        <v>0</v>
      </c>
      <c r="T40" s="26">
        <v>0</v>
      </c>
      <c r="U40" s="26">
        <v>1.164713664772465E-4</v>
      </c>
      <c r="V40" s="26">
        <v>9.8317473549625417E-5</v>
      </c>
      <c r="W40" s="26">
        <v>4.9860106542059748E-5</v>
      </c>
      <c r="X40" s="26">
        <v>8.7427632140537458E-3</v>
      </c>
      <c r="Y40" s="26">
        <v>9.0074121606226777E-3</v>
      </c>
      <c r="Z40" s="28">
        <v>0</v>
      </c>
      <c r="AA40" s="28">
        <v>2.7516120475980978E-3</v>
      </c>
      <c r="AB40" s="28">
        <v>3.4133145577070547E-5</v>
      </c>
      <c r="AC40" s="28">
        <v>2.3968260093961618E-5</v>
      </c>
      <c r="AD40" s="28">
        <v>2.2664701144813939E-5</v>
      </c>
      <c r="AE40" s="28">
        <v>1.5367796168004259E-3</v>
      </c>
      <c r="AF40" s="28">
        <v>4.3691577712143695E-3</v>
      </c>
      <c r="AG40" s="30">
        <v>0</v>
      </c>
      <c r="AH40" s="30">
        <v>1.445647576592023E-5</v>
      </c>
      <c r="AI40" s="30">
        <v>7.7990668318491752E-5</v>
      </c>
      <c r="AJ40" s="30">
        <v>8.5554174677296554E-5</v>
      </c>
      <c r="AK40" s="30">
        <v>2.1152386707866911E-5</v>
      </c>
      <c r="AL40" s="30">
        <v>4.7055066893301441E-3</v>
      </c>
      <c r="AM40" s="30">
        <v>4.9046603947997197E-3</v>
      </c>
      <c r="AN40" s="32">
        <v>0</v>
      </c>
      <c r="AO40" s="32">
        <v>1.036854518903741E-5</v>
      </c>
      <c r="AP40" s="32">
        <v>9.8338590782043418E-8</v>
      </c>
      <c r="AQ40" s="32">
        <v>6.5490648626579012E-8</v>
      </c>
      <c r="AR40" s="32">
        <v>8.3520487534365137E-8</v>
      </c>
      <c r="AS40" s="32">
        <v>2.7102528686705018E-6</v>
      </c>
      <c r="AT40" s="32">
        <v>1.3326147784650898E-5</v>
      </c>
      <c r="AU40" s="34">
        <v>0</v>
      </c>
      <c r="AV40" s="34">
        <v>0</v>
      </c>
      <c r="AW40" s="34">
        <v>5.1459998369519894E-2</v>
      </c>
      <c r="AX40" s="34">
        <v>2.01770987761535E-2</v>
      </c>
      <c r="AY40" s="34">
        <v>2.5849748189299193E-2</v>
      </c>
      <c r="AZ40" s="34">
        <v>0.32250638016648092</v>
      </c>
      <c r="BA40" s="34">
        <v>0.41999322550145352</v>
      </c>
      <c r="BB40" s="6"/>
      <c r="BC40" s="6"/>
      <c r="BD40" t="s">
        <v>668</v>
      </c>
      <c r="BF40" s="5">
        <v>2.0520664000000001E-2</v>
      </c>
      <c r="BG40" s="5">
        <f t="shared" si="1"/>
        <v>-8.8339577957510171E-3</v>
      </c>
      <c r="BH40" s="2">
        <v>47.962609</v>
      </c>
    </row>
    <row r="41" spans="1:60" x14ac:dyDescent="0.2">
      <c r="A41" t="str">
        <f t="shared" si="0"/>
        <v>Bicycle, battery electric, cargo bike - 2040 - LFP - CH</v>
      </c>
      <c r="B41" t="s">
        <v>652</v>
      </c>
      <c r="D41" s="18">
        <v>2040</v>
      </c>
      <c r="E41" t="s">
        <v>37</v>
      </c>
      <c r="F41" t="s">
        <v>136</v>
      </c>
      <c r="G41" t="s">
        <v>39</v>
      </c>
      <c r="H41" t="s">
        <v>32</v>
      </c>
      <c r="I41" t="s">
        <v>43</v>
      </c>
      <c r="J41" t="s">
        <v>136</v>
      </c>
      <c r="L41" s="24">
        <v>0</v>
      </c>
      <c r="M41" s="24">
        <v>0</v>
      </c>
      <c r="N41" s="24">
        <v>1.1004118370386139E-3</v>
      </c>
      <c r="O41" s="24">
        <v>1.195732624675443E-3</v>
      </c>
      <c r="P41" s="24">
        <v>7.8220634516542513E-4</v>
      </c>
      <c r="Q41" s="24">
        <v>2.578366496560117E-2</v>
      </c>
      <c r="R41" s="24">
        <v>2.886201577248065E-2</v>
      </c>
      <c r="S41" s="26">
        <v>0</v>
      </c>
      <c r="T41" s="26">
        <v>0</v>
      </c>
      <c r="U41" s="26">
        <v>1.164713664772465E-4</v>
      </c>
      <c r="V41" s="26">
        <v>9.8317473549625417E-5</v>
      </c>
      <c r="W41" s="26">
        <v>4.942577336390553E-5</v>
      </c>
      <c r="X41" s="26">
        <v>7.7968102391621262E-3</v>
      </c>
      <c r="Y41" s="26">
        <v>8.0610248525529032E-3</v>
      </c>
      <c r="Z41" s="28">
        <v>0</v>
      </c>
      <c r="AA41" s="28">
        <v>2.7516120475980978E-3</v>
      </c>
      <c r="AB41" s="28">
        <v>3.4133145577070547E-5</v>
      </c>
      <c r="AC41" s="28">
        <v>2.3968260093961618E-5</v>
      </c>
      <c r="AD41" s="28">
        <v>2.2467268119438459E-5</v>
      </c>
      <c r="AE41" s="28">
        <v>1.4382961002366019E-3</v>
      </c>
      <c r="AF41" s="28">
        <v>4.2704768216251703E-3</v>
      </c>
      <c r="AG41" s="30">
        <v>0</v>
      </c>
      <c r="AH41" s="30">
        <v>1.445647576592023E-5</v>
      </c>
      <c r="AI41" s="30">
        <v>7.7990668318491752E-5</v>
      </c>
      <c r="AJ41" s="30">
        <v>8.5554174677296554E-5</v>
      </c>
      <c r="AK41" s="30">
        <v>2.0968127507846451E-5</v>
      </c>
      <c r="AL41" s="30">
        <v>4.4000001155117428E-3</v>
      </c>
      <c r="AM41" s="30">
        <v>4.5989695617812982E-3</v>
      </c>
      <c r="AN41" s="32">
        <v>0</v>
      </c>
      <c r="AO41" s="32">
        <v>1.036854518903741E-5</v>
      </c>
      <c r="AP41" s="32">
        <v>9.8338590782043418E-8</v>
      </c>
      <c r="AQ41" s="32">
        <v>6.5490648626579012E-8</v>
      </c>
      <c r="AR41" s="32">
        <v>8.2792937568919515E-8</v>
      </c>
      <c r="AS41" s="32">
        <v>2.4823554928813048E-6</v>
      </c>
      <c r="AT41" s="32">
        <v>1.3097522858896257E-5</v>
      </c>
      <c r="AU41" s="34">
        <v>0</v>
      </c>
      <c r="AV41" s="34">
        <v>0</v>
      </c>
      <c r="AW41" s="34">
        <v>5.1459998369519894E-2</v>
      </c>
      <c r="AX41" s="34">
        <v>2.01770987761535E-2</v>
      </c>
      <c r="AY41" s="34">
        <v>2.5624570104770358E-2</v>
      </c>
      <c r="AZ41" s="34">
        <v>0.31251170151621827</v>
      </c>
      <c r="BA41" s="34">
        <v>0.40977336876666204</v>
      </c>
      <c r="BB41" s="6"/>
      <c r="BC41" s="6"/>
      <c r="BD41" t="s">
        <v>669</v>
      </c>
      <c r="BF41" s="5">
        <v>1.9746751E-2</v>
      </c>
      <c r="BG41" s="5">
        <f t="shared" si="1"/>
        <v>-9.1152647724806503E-3</v>
      </c>
      <c r="BH41" s="2">
        <v>42.591959000000003</v>
      </c>
    </row>
    <row r="42" spans="1:60" x14ac:dyDescent="0.2">
      <c r="A42" t="str">
        <f t="shared" si="0"/>
        <v>Bicycle, battery electric, cargo bike - 2050 - LFP - CH</v>
      </c>
      <c r="B42" t="s">
        <v>652</v>
      </c>
      <c r="D42" s="18">
        <v>2050</v>
      </c>
      <c r="E42" t="s">
        <v>37</v>
      </c>
      <c r="F42" t="s">
        <v>136</v>
      </c>
      <c r="G42" t="s">
        <v>39</v>
      </c>
      <c r="H42" t="s">
        <v>32</v>
      </c>
      <c r="I42" t="s">
        <v>43</v>
      </c>
      <c r="J42" t="s">
        <v>136</v>
      </c>
      <c r="L42" s="24">
        <v>0</v>
      </c>
      <c r="M42" s="24">
        <v>0</v>
      </c>
      <c r="N42" s="24">
        <v>1.1004118370386139E-3</v>
      </c>
      <c r="O42" s="24">
        <v>1.195732624675443E-3</v>
      </c>
      <c r="P42" s="24">
        <v>7.7631893368289989E-4</v>
      </c>
      <c r="Q42" s="24">
        <v>2.5641509576497589E-2</v>
      </c>
      <c r="R42" s="24">
        <v>2.8713972971894545E-2</v>
      </c>
      <c r="S42" s="26">
        <v>0</v>
      </c>
      <c r="T42" s="26">
        <v>0</v>
      </c>
      <c r="U42" s="26">
        <v>1.164713664772465E-4</v>
      </c>
      <c r="V42" s="26">
        <v>9.8317473549625417E-5</v>
      </c>
      <c r="W42" s="26">
        <v>4.9053761723455578E-5</v>
      </c>
      <c r="X42" s="26">
        <v>7.0811706497131482E-3</v>
      </c>
      <c r="Y42" s="26">
        <v>7.345013251463476E-3</v>
      </c>
      <c r="Z42" s="28">
        <v>0</v>
      </c>
      <c r="AA42" s="28">
        <v>2.7516120475980978E-3</v>
      </c>
      <c r="AB42" s="28">
        <v>3.4133145577070547E-5</v>
      </c>
      <c r="AC42" s="28">
        <v>2.3968260093961618E-5</v>
      </c>
      <c r="AD42" s="28">
        <v>2.2298164336114662E-5</v>
      </c>
      <c r="AE42" s="28">
        <v>1.3733371347972199E-3</v>
      </c>
      <c r="AF42" s="28">
        <v>4.2053487524024644E-3</v>
      </c>
      <c r="AG42" s="30">
        <v>0</v>
      </c>
      <c r="AH42" s="30">
        <v>1.445647576592023E-5</v>
      </c>
      <c r="AI42" s="30">
        <v>7.7990668318491752E-5</v>
      </c>
      <c r="AJ42" s="30">
        <v>8.5554174677296554E-5</v>
      </c>
      <c r="AK42" s="30">
        <v>2.0810307265886331E-5</v>
      </c>
      <c r="AL42" s="30">
        <v>4.2012578757362716E-3</v>
      </c>
      <c r="AM42" s="30">
        <v>4.4000695017638661E-3</v>
      </c>
      <c r="AN42" s="32">
        <v>0</v>
      </c>
      <c r="AO42" s="32">
        <v>1.036854518903741E-5</v>
      </c>
      <c r="AP42" s="32">
        <v>9.8338590782043418E-8</v>
      </c>
      <c r="AQ42" s="32">
        <v>6.5490648626579012E-8</v>
      </c>
      <c r="AR42" s="32">
        <v>8.2169782190127282E-8</v>
      </c>
      <c r="AS42" s="32">
        <v>2.3102412858192088E-6</v>
      </c>
      <c r="AT42" s="32">
        <v>1.2924785496455369E-5</v>
      </c>
      <c r="AU42" s="34">
        <v>0</v>
      </c>
      <c r="AV42" s="34">
        <v>0</v>
      </c>
      <c r="AW42" s="34">
        <v>5.1459998369519894E-2</v>
      </c>
      <c r="AX42" s="34">
        <v>2.01770987761535E-2</v>
      </c>
      <c r="AY42" s="34">
        <v>2.5431702341421163E-2</v>
      </c>
      <c r="AZ42" s="34">
        <v>0.30715814296346022</v>
      </c>
      <c r="BA42" s="34">
        <v>0.40422694245055479</v>
      </c>
      <c r="BB42" s="6"/>
      <c r="BC42" s="6"/>
      <c r="BD42" t="s">
        <v>670</v>
      </c>
      <c r="BF42" s="5">
        <v>1.9228395999999998E-2</v>
      </c>
      <c r="BG42" s="5">
        <f t="shared" si="1"/>
        <v>-9.4855769718945465E-3</v>
      </c>
      <c r="BH42" s="2">
        <v>38.341568000000002</v>
      </c>
    </row>
    <row r="43" spans="1:60" x14ac:dyDescent="0.2">
      <c r="A43" t="str">
        <f t="shared" si="0"/>
        <v>Bicycle, electric (&lt;25 km/h) - 2020 - NCA - CH</v>
      </c>
      <c r="B43" t="s">
        <v>262</v>
      </c>
      <c r="D43" s="18">
        <v>2020</v>
      </c>
      <c r="E43" t="s">
        <v>37</v>
      </c>
      <c r="F43" t="s">
        <v>136</v>
      </c>
      <c r="G43" t="s">
        <v>39</v>
      </c>
      <c r="H43" t="s">
        <v>32</v>
      </c>
      <c r="I43" t="s">
        <v>44</v>
      </c>
      <c r="J43" t="s">
        <v>136</v>
      </c>
      <c r="L43" s="24">
        <v>0</v>
      </c>
      <c r="M43" s="24">
        <v>0</v>
      </c>
      <c r="N43" s="24">
        <v>7.8217156213787186E-4</v>
      </c>
      <c r="O43" s="24">
        <v>1.195732624675443E-3</v>
      </c>
      <c r="P43" s="24">
        <v>4.498684323099595E-4</v>
      </c>
      <c r="Q43" s="24">
        <v>1.195942720652177E-2</v>
      </c>
      <c r="R43" s="24">
        <v>1.4387199825645045E-2</v>
      </c>
      <c r="S43" s="26">
        <v>0</v>
      </c>
      <c r="T43" s="26">
        <v>0</v>
      </c>
      <c r="U43" s="26">
        <v>8.2787723282772764E-5</v>
      </c>
      <c r="V43" s="26">
        <v>9.8317473549625417E-5</v>
      </c>
      <c r="W43" s="26">
        <v>2.8426124789648879E-5</v>
      </c>
      <c r="X43" s="26">
        <v>6.1850393424667067E-3</v>
      </c>
      <c r="Y43" s="26">
        <v>6.3945706640887541E-3</v>
      </c>
      <c r="Z43" s="28">
        <v>0</v>
      </c>
      <c r="AA43" s="28">
        <v>1.3758060237990489E-3</v>
      </c>
      <c r="AB43" s="28">
        <v>2.4261803533979809E-5</v>
      </c>
      <c r="AC43" s="28">
        <v>2.3968260093961618E-5</v>
      </c>
      <c r="AD43" s="28">
        <v>1.292154525420241E-5</v>
      </c>
      <c r="AE43" s="28">
        <v>8.2462494292362561E-4</v>
      </c>
      <c r="AF43" s="28">
        <v>2.2615825756048184E-3</v>
      </c>
      <c r="AG43" s="30">
        <v>0</v>
      </c>
      <c r="AH43" s="30">
        <v>7.228237882960114E-6</v>
      </c>
      <c r="AI43" s="30">
        <v>5.5435684002652831E-5</v>
      </c>
      <c r="AJ43" s="30">
        <v>8.5554174677296554E-5</v>
      </c>
      <c r="AK43" s="30">
        <v>1.2059348161430861E-5</v>
      </c>
      <c r="AL43" s="30">
        <v>2.5731631404864201E-3</v>
      </c>
      <c r="AM43" s="30">
        <v>2.7334405852107602E-3</v>
      </c>
      <c r="AN43" s="32">
        <v>0</v>
      </c>
      <c r="AO43" s="32">
        <v>5.1842725945187069E-6</v>
      </c>
      <c r="AP43" s="32">
        <v>6.9898965624929674E-8</v>
      </c>
      <c r="AQ43" s="32">
        <v>6.5490648626579012E-8</v>
      </c>
      <c r="AR43" s="32">
        <v>4.7616500761815227E-8</v>
      </c>
      <c r="AS43" s="32">
        <v>1.614841507887932E-6</v>
      </c>
      <c r="AT43" s="32">
        <v>6.9821202174199619E-6</v>
      </c>
      <c r="AU43" s="34">
        <v>0</v>
      </c>
      <c r="AV43" s="34">
        <v>0</v>
      </c>
      <c r="AW43" s="34">
        <v>3.6577712050626814E-2</v>
      </c>
      <c r="AX43" s="34">
        <v>2.01770987761535E-2</v>
      </c>
      <c r="AY43" s="34">
        <v>1.4737396663807122E-2</v>
      </c>
      <c r="AZ43" s="34">
        <v>0.15192758732811798</v>
      </c>
      <c r="BA43" s="34">
        <v>0.22341979481870541</v>
      </c>
      <c r="BB43" s="6"/>
      <c r="BC43" s="6"/>
      <c r="BD43" t="s">
        <v>625</v>
      </c>
      <c r="BF43" s="5">
        <v>1.0966287E-2</v>
      </c>
      <c r="BG43" s="5">
        <f t="shared" si="1"/>
        <v>-3.4209128256450453E-3</v>
      </c>
      <c r="BH43" s="2">
        <v>29.496977999999999</v>
      </c>
    </row>
    <row r="44" spans="1:60" x14ac:dyDescent="0.2">
      <c r="A44" t="str">
        <f t="shared" si="0"/>
        <v>Bicycle, electric (&lt;25 km/h) - 2030 - NCA - CH</v>
      </c>
      <c r="B44" t="s">
        <v>262</v>
      </c>
      <c r="D44" s="18">
        <v>2030</v>
      </c>
      <c r="E44" t="s">
        <v>37</v>
      </c>
      <c r="F44" t="s">
        <v>136</v>
      </c>
      <c r="G44" t="s">
        <v>39</v>
      </c>
      <c r="H44" t="s">
        <v>32</v>
      </c>
      <c r="I44" t="s">
        <v>44</v>
      </c>
      <c r="J44" t="s">
        <v>136</v>
      </c>
      <c r="L44" s="24">
        <v>0</v>
      </c>
      <c r="M44" s="24">
        <v>0</v>
      </c>
      <c r="N44" s="24">
        <v>7.8217156213787186E-4</v>
      </c>
      <c r="O44" s="24">
        <v>1.195732624675443E-3</v>
      </c>
      <c r="P44" s="24">
        <v>4.5014419855824448E-4</v>
      </c>
      <c r="Q44" s="24">
        <v>1.2439471398616011E-2</v>
      </c>
      <c r="R44" s="24">
        <v>1.486751978398757E-2</v>
      </c>
      <c r="S44" s="26">
        <v>0</v>
      </c>
      <c r="T44" s="26">
        <v>0</v>
      </c>
      <c r="U44" s="26">
        <v>8.2787723282772764E-5</v>
      </c>
      <c r="V44" s="26">
        <v>9.8317473549625417E-5</v>
      </c>
      <c r="W44" s="26">
        <v>2.844354980821769E-5</v>
      </c>
      <c r="X44" s="26">
        <v>6.027723165204296E-3</v>
      </c>
      <c r="Y44" s="26">
        <v>6.237271911844912E-3</v>
      </c>
      <c r="Z44" s="28">
        <v>0</v>
      </c>
      <c r="AA44" s="28">
        <v>1.3758060237990489E-3</v>
      </c>
      <c r="AB44" s="28">
        <v>2.4261803533979809E-5</v>
      </c>
      <c r="AC44" s="28">
        <v>2.3968260093961618E-5</v>
      </c>
      <c r="AD44" s="28">
        <v>1.2929466072381411E-5</v>
      </c>
      <c r="AE44" s="28">
        <v>8.3320773450341152E-4</v>
      </c>
      <c r="AF44" s="28">
        <v>2.2701732880027834E-3</v>
      </c>
      <c r="AG44" s="30">
        <v>0</v>
      </c>
      <c r="AH44" s="30">
        <v>7.228237882960114E-6</v>
      </c>
      <c r="AI44" s="30">
        <v>5.5435684002652831E-5</v>
      </c>
      <c r="AJ44" s="30">
        <v>8.5554174677296554E-5</v>
      </c>
      <c r="AK44" s="30">
        <v>1.2066740458734681E-5</v>
      </c>
      <c r="AL44" s="30">
        <v>2.608428463405082E-3</v>
      </c>
      <c r="AM44" s="30">
        <v>2.7687133004267259E-3</v>
      </c>
      <c r="AN44" s="32">
        <v>0</v>
      </c>
      <c r="AO44" s="32">
        <v>5.1842725945187069E-6</v>
      </c>
      <c r="AP44" s="32">
        <v>6.9898965624929674E-8</v>
      </c>
      <c r="AQ44" s="32">
        <v>6.5490648626579012E-8</v>
      </c>
      <c r="AR44" s="32">
        <v>4.7645689348585192E-8</v>
      </c>
      <c r="AS44" s="32">
        <v>1.577329677426445E-6</v>
      </c>
      <c r="AT44" s="32">
        <v>6.9446375755452444E-6</v>
      </c>
      <c r="AU44" s="34">
        <v>0</v>
      </c>
      <c r="AV44" s="34">
        <v>0</v>
      </c>
      <c r="AW44" s="34">
        <v>3.6577712050626814E-2</v>
      </c>
      <c r="AX44" s="34">
        <v>2.01770987761535E-2</v>
      </c>
      <c r="AY44" s="34">
        <v>1.4746430586384435E-2</v>
      </c>
      <c r="AZ44" s="34">
        <v>0.15604468123473014</v>
      </c>
      <c r="BA44" s="34">
        <v>0.22754592264789489</v>
      </c>
      <c r="BB44" s="6"/>
      <c r="BC44" s="6"/>
      <c r="BD44" t="s">
        <v>482</v>
      </c>
      <c r="BF44" s="5">
        <v>1.1049341999999998E-2</v>
      </c>
      <c r="BG44" s="5">
        <f t="shared" si="1"/>
        <v>-3.8181777839875718E-3</v>
      </c>
      <c r="BH44" s="2">
        <v>28.402825</v>
      </c>
    </row>
    <row r="45" spans="1:60" x14ac:dyDescent="0.2">
      <c r="A45" t="str">
        <f t="shared" si="0"/>
        <v>Bicycle, electric (&lt;25 km/h) - 2040 - NCA - CH</v>
      </c>
      <c r="B45" t="s">
        <v>262</v>
      </c>
      <c r="D45" s="18">
        <v>2040</v>
      </c>
      <c r="E45" t="s">
        <v>37</v>
      </c>
      <c r="F45" t="s">
        <v>136</v>
      </c>
      <c r="G45" t="s">
        <v>39</v>
      </c>
      <c r="H45" t="s">
        <v>32</v>
      </c>
      <c r="I45" t="s">
        <v>44</v>
      </c>
      <c r="J45" t="s">
        <v>136</v>
      </c>
      <c r="L45" s="24">
        <v>0</v>
      </c>
      <c r="M45" s="24">
        <v>0</v>
      </c>
      <c r="N45" s="24">
        <v>7.8217156213787186E-4</v>
      </c>
      <c r="O45" s="24">
        <v>1.195732624675443E-3</v>
      </c>
      <c r="P45" s="24">
        <v>4.472460140397849E-4</v>
      </c>
      <c r="Q45" s="24">
        <v>1.2198250459837801E-2</v>
      </c>
      <c r="R45" s="24">
        <v>1.4623400660690899E-2</v>
      </c>
      <c r="S45" s="26">
        <v>0</v>
      </c>
      <c r="T45" s="26">
        <v>0</v>
      </c>
      <c r="U45" s="26">
        <v>8.2787723282772764E-5</v>
      </c>
      <c r="V45" s="26">
        <v>9.8317473549625417E-5</v>
      </c>
      <c r="W45" s="26">
        <v>2.8260420366655981E-5</v>
      </c>
      <c r="X45" s="26">
        <v>5.3994048208173837E-3</v>
      </c>
      <c r="Y45" s="26">
        <v>5.6087704380164381E-3</v>
      </c>
      <c r="Z45" s="28">
        <v>0</v>
      </c>
      <c r="AA45" s="28">
        <v>1.3758060237990489E-3</v>
      </c>
      <c r="AB45" s="28">
        <v>2.4261803533979809E-5</v>
      </c>
      <c r="AC45" s="28">
        <v>2.3968260093961618E-5</v>
      </c>
      <c r="AD45" s="28">
        <v>1.284622168419881E-5</v>
      </c>
      <c r="AE45" s="28">
        <v>7.7368493079684136E-4</v>
      </c>
      <c r="AF45" s="28">
        <v>2.2105672399080306E-3</v>
      </c>
      <c r="AG45" s="30">
        <v>0</v>
      </c>
      <c r="AH45" s="30">
        <v>7.228237882960114E-6</v>
      </c>
      <c r="AI45" s="30">
        <v>5.5435684002652831E-5</v>
      </c>
      <c r="AJ45" s="30">
        <v>8.5554174677296554E-5</v>
      </c>
      <c r="AK45" s="30">
        <v>1.1989050597357409E-5</v>
      </c>
      <c r="AL45" s="30">
        <v>2.4346642938696621E-3</v>
      </c>
      <c r="AM45" s="30">
        <v>2.5948714410299291E-3</v>
      </c>
      <c r="AN45" s="32">
        <v>0</v>
      </c>
      <c r="AO45" s="32">
        <v>5.1842725945187069E-6</v>
      </c>
      <c r="AP45" s="32">
        <v>6.9898965624929674E-8</v>
      </c>
      <c r="AQ45" s="32">
        <v>6.5490648626579012E-8</v>
      </c>
      <c r="AR45" s="32">
        <v>4.7338929870880761E-8</v>
      </c>
      <c r="AS45" s="32">
        <v>1.4197002256924101E-6</v>
      </c>
      <c r="AT45" s="32">
        <v>6.7867013643335057E-6</v>
      </c>
      <c r="AU45" s="34">
        <v>0</v>
      </c>
      <c r="AV45" s="34">
        <v>0</v>
      </c>
      <c r="AW45" s="34">
        <v>3.6577712050626814E-2</v>
      </c>
      <c r="AX45" s="34">
        <v>2.01770987761535E-2</v>
      </c>
      <c r="AY45" s="34">
        <v>1.4651487950302742E-2</v>
      </c>
      <c r="AZ45" s="34">
        <v>0.15079487731350202</v>
      </c>
      <c r="BA45" s="34">
        <v>0.2222011760905851</v>
      </c>
      <c r="BB45" s="6"/>
      <c r="BC45" s="6"/>
      <c r="BD45" t="s">
        <v>483</v>
      </c>
      <c r="BF45" s="5">
        <v>1.0641948E-2</v>
      </c>
      <c r="BG45" s="5">
        <f t="shared" si="1"/>
        <v>-3.9814526606908995E-3</v>
      </c>
      <c r="BH45" s="2">
        <v>25.328282999999999</v>
      </c>
    </row>
    <row r="46" spans="1:60" x14ac:dyDescent="0.2">
      <c r="A46" t="str">
        <f t="shared" si="0"/>
        <v>Bicycle, electric (&lt;25 km/h) - 2050 - NCA - CH</v>
      </c>
      <c r="B46" t="s">
        <v>262</v>
      </c>
      <c r="D46" s="18">
        <v>2050</v>
      </c>
      <c r="E46" t="s">
        <v>37</v>
      </c>
      <c r="F46" t="s">
        <v>136</v>
      </c>
      <c r="G46" t="s">
        <v>39</v>
      </c>
      <c r="H46" t="s">
        <v>32</v>
      </c>
      <c r="I46" t="s">
        <v>44</v>
      </c>
      <c r="J46" t="s">
        <v>136</v>
      </c>
      <c r="L46" s="24">
        <v>0</v>
      </c>
      <c r="M46" s="24">
        <v>0</v>
      </c>
      <c r="N46" s="24">
        <v>7.8217156213787186E-4</v>
      </c>
      <c r="O46" s="24">
        <v>1.195732624675443E-3</v>
      </c>
      <c r="P46" s="24">
        <v>4.4829300216425461E-4</v>
      </c>
      <c r="Q46" s="24">
        <v>1.260365568323627E-2</v>
      </c>
      <c r="R46" s="24">
        <v>1.5029852872213839E-2</v>
      </c>
      <c r="S46" s="26">
        <v>0</v>
      </c>
      <c r="T46" s="26">
        <v>0</v>
      </c>
      <c r="U46" s="26">
        <v>8.2787723282772764E-5</v>
      </c>
      <c r="V46" s="26">
        <v>9.8317473549625417E-5</v>
      </c>
      <c r="W46" s="26">
        <v>2.832657707591125E-5</v>
      </c>
      <c r="X46" s="26">
        <v>5.3727117660605393E-3</v>
      </c>
      <c r="Y46" s="26">
        <v>5.5821435399688486E-3</v>
      </c>
      <c r="Z46" s="28">
        <v>0</v>
      </c>
      <c r="AA46" s="28">
        <v>1.3758060237990489E-3</v>
      </c>
      <c r="AB46" s="28">
        <v>2.4261803533979809E-5</v>
      </c>
      <c r="AC46" s="28">
        <v>2.3968260093961618E-5</v>
      </c>
      <c r="AD46" s="28">
        <v>1.2876294264222889E-5</v>
      </c>
      <c r="AE46" s="28">
        <v>7.8933914750218843E-4</v>
      </c>
      <c r="AF46" s="28">
        <v>2.2262515291934016E-3</v>
      </c>
      <c r="AG46" s="30">
        <v>0</v>
      </c>
      <c r="AH46" s="30">
        <v>7.228237882960114E-6</v>
      </c>
      <c r="AI46" s="30">
        <v>5.5435684002652831E-5</v>
      </c>
      <c r="AJ46" s="30">
        <v>8.5554174677296554E-5</v>
      </c>
      <c r="AK46" s="30">
        <v>1.201711656822145E-5</v>
      </c>
      <c r="AL46" s="30">
        <v>2.4862151650290108E-3</v>
      </c>
      <c r="AM46" s="30">
        <v>2.6464503781601419E-3</v>
      </c>
      <c r="AN46" s="32">
        <v>0</v>
      </c>
      <c r="AO46" s="32">
        <v>5.1842725945187069E-6</v>
      </c>
      <c r="AP46" s="32">
        <v>6.9898965624929674E-8</v>
      </c>
      <c r="AQ46" s="32">
        <v>6.5490648626579012E-8</v>
      </c>
      <c r="AR46" s="32">
        <v>4.7449748739789693E-8</v>
      </c>
      <c r="AS46" s="32">
        <v>1.415924914824982E-6</v>
      </c>
      <c r="AT46" s="32">
        <v>6.7830368723349863E-6</v>
      </c>
      <c r="AU46" s="34">
        <v>0</v>
      </c>
      <c r="AV46" s="34">
        <v>0</v>
      </c>
      <c r="AW46" s="34">
        <v>3.6577712050626814E-2</v>
      </c>
      <c r="AX46" s="34">
        <v>2.01770987761535E-2</v>
      </c>
      <c r="AY46" s="34">
        <v>1.4685786598939585E-2</v>
      </c>
      <c r="AZ46" s="34">
        <v>0.15478529578694766</v>
      </c>
      <c r="BA46" s="34">
        <v>0.22622589321266756</v>
      </c>
      <c r="BB46" s="6"/>
      <c r="BC46" s="6"/>
      <c r="BD46" t="s">
        <v>484</v>
      </c>
      <c r="BF46" s="5">
        <v>1.0770303E-2</v>
      </c>
      <c r="BG46" s="5">
        <f t="shared" si="1"/>
        <v>-4.259549872213839E-3</v>
      </c>
      <c r="BH46" s="2">
        <v>24.974366</v>
      </c>
    </row>
    <row r="47" spans="1:60" x14ac:dyDescent="0.2">
      <c r="A47" t="str">
        <f t="shared" si="0"/>
        <v>Bicycle, electric (&lt;45 km/h) - 2020 - NCA - CH</v>
      </c>
      <c r="B47" t="s">
        <v>263</v>
      </c>
      <c r="D47" s="18">
        <v>2020</v>
      </c>
      <c r="E47" t="s">
        <v>37</v>
      </c>
      <c r="F47" t="s">
        <v>136</v>
      </c>
      <c r="G47" t="s">
        <v>39</v>
      </c>
      <c r="H47" t="s">
        <v>32</v>
      </c>
      <c r="I47" t="s">
        <v>44</v>
      </c>
      <c r="J47" t="s">
        <v>136</v>
      </c>
      <c r="L47" s="24">
        <v>0</v>
      </c>
      <c r="M47" s="24">
        <v>0</v>
      </c>
      <c r="N47" s="24">
        <v>1.4364996721616199E-3</v>
      </c>
      <c r="O47" s="24">
        <v>1.195732624675443E-3</v>
      </c>
      <c r="P47" s="24">
        <v>4.6807692143117208E-4</v>
      </c>
      <c r="Q47" s="24">
        <v>8.9471022005478597E-3</v>
      </c>
      <c r="R47" s="24">
        <v>1.2047411418816094E-2</v>
      </c>
      <c r="S47" s="26">
        <v>0</v>
      </c>
      <c r="T47" s="26">
        <v>0</v>
      </c>
      <c r="U47" s="26">
        <v>1.520440567152036E-4</v>
      </c>
      <c r="V47" s="26">
        <v>9.8317473549625417E-5</v>
      </c>
      <c r="W47" s="26">
        <v>2.957667625495802E-5</v>
      </c>
      <c r="X47" s="26">
        <v>4.3557162755091484E-3</v>
      </c>
      <c r="Y47" s="26">
        <v>4.6356544820289353E-3</v>
      </c>
      <c r="Z47" s="28">
        <v>0</v>
      </c>
      <c r="AA47" s="28">
        <v>1.3758060237990489E-3</v>
      </c>
      <c r="AB47" s="28">
        <v>4.4558092507674578E-5</v>
      </c>
      <c r="AC47" s="28">
        <v>2.3968260093961618E-5</v>
      </c>
      <c r="AD47" s="28">
        <v>1.344454664592552E-5</v>
      </c>
      <c r="AE47" s="28">
        <v>5.9772369747387736E-4</v>
      </c>
      <c r="AF47" s="28">
        <v>2.0555006205204883E-3</v>
      </c>
      <c r="AG47" s="30">
        <v>0</v>
      </c>
      <c r="AH47" s="30">
        <v>7.228237882960114E-6</v>
      </c>
      <c r="AI47" s="30">
        <v>1.018105819114773E-4</v>
      </c>
      <c r="AJ47" s="30">
        <v>8.5554174677296554E-5</v>
      </c>
      <c r="AK47" s="30">
        <v>1.254745200254465E-5</v>
      </c>
      <c r="AL47" s="30">
        <v>1.8740503591009371E-3</v>
      </c>
      <c r="AM47" s="30">
        <v>2.0811908055752156E-3</v>
      </c>
      <c r="AN47" s="32">
        <v>0</v>
      </c>
      <c r="AO47" s="32">
        <v>5.1842725945187069E-6</v>
      </c>
      <c r="AP47" s="32">
        <v>1.2837316781270141E-7</v>
      </c>
      <c r="AQ47" s="32">
        <v>6.5490648626579012E-8</v>
      </c>
      <c r="AR47" s="32">
        <v>4.9543785438492312E-8</v>
      </c>
      <c r="AS47" s="32">
        <v>1.163191731086597E-6</v>
      </c>
      <c r="AT47" s="32">
        <v>6.5908719274830758E-6</v>
      </c>
      <c r="AU47" s="34">
        <v>0</v>
      </c>
      <c r="AV47" s="34">
        <v>0</v>
      </c>
      <c r="AW47" s="34">
        <v>6.7176913496486523E-2</v>
      </c>
      <c r="AX47" s="34">
        <v>2.01770987761535E-2</v>
      </c>
      <c r="AY47" s="34">
        <v>1.5333894900969576E-2</v>
      </c>
      <c r="AZ47" s="34">
        <v>0.1127383291124191</v>
      </c>
      <c r="BA47" s="34">
        <v>0.21542623628602869</v>
      </c>
      <c r="BB47" s="6"/>
      <c r="BC47" s="6"/>
      <c r="BD47" t="s">
        <v>626</v>
      </c>
      <c r="BF47" s="5">
        <v>9.6366752999999996E-3</v>
      </c>
      <c r="BG47" s="5">
        <f t="shared" si="1"/>
        <v>-2.4107361188160942E-3</v>
      </c>
      <c r="BH47" s="2">
        <v>23.989550000000001</v>
      </c>
    </row>
    <row r="48" spans="1:60" x14ac:dyDescent="0.2">
      <c r="A48" t="str">
        <f t="shared" si="0"/>
        <v>Bicycle, electric (&lt;45 km/h) - 2030 - NCA - CH</v>
      </c>
      <c r="B48" t="s">
        <v>263</v>
      </c>
      <c r="D48" s="18">
        <v>2030</v>
      </c>
      <c r="E48" t="s">
        <v>37</v>
      </c>
      <c r="F48" t="s">
        <v>136</v>
      </c>
      <c r="G48" t="s">
        <v>39</v>
      </c>
      <c r="H48" t="s">
        <v>32</v>
      </c>
      <c r="I48" t="s">
        <v>44</v>
      </c>
      <c r="J48" t="s">
        <v>136</v>
      </c>
      <c r="L48" s="24">
        <v>0</v>
      </c>
      <c r="M48" s="24">
        <v>0</v>
      </c>
      <c r="N48" s="24">
        <v>1.4364996721616199E-3</v>
      </c>
      <c r="O48" s="24">
        <v>1.195732624675443E-3</v>
      </c>
      <c r="P48" s="24">
        <v>4.6794299667422991E-4</v>
      </c>
      <c r="Q48" s="24">
        <v>9.3658625355491978E-3</v>
      </c>
      <c r="R48" s="24">
        <v>1.246603782906049E-2</v>
      </c>
      <c r="S48" s="26">
        <v>0</v>
      </c>
      <c r="T48" s="26">
        <v>0</v>
      </c>
      <c r="U48" s="26">
        <v>1.520440567152036E-4</v>
      </c>
      <c r="V48" s="26">
        <v>9.8317473549625417E-5</v>
      </c>
      <c r="W48" s="26">
        <v>2.956821386555738E-5</v>
      </c>
      <c r="X48" s="26">
        <v>4.2688576020364433E-3</v>
      </c>
      <c r="Y48" s="26">
        <v>4.5487873461668299E-3</v>
      </c>
      <c r="Z48" s="28">
        <v>0</v>
      </c>
      <c r="AA48" s="28">
        <v>1.3758060237990489E-3</v>
      </c>
      <c r="AB48" s="28">
        <v>4.4558092507674578E-5</v>
      </c>
      <c r="AC48" s="28">
        <v>2.3968260093961618E-5</v>
      </c>
      <c r="AD48" s="28">
        <v>1.3440699932790739E-5</v>
      </c>
      <c r="AE48" s="28">
        <v>6.0907852498301245E-4</v>
      </c>
      <c r="AF48" s="28">
        <v>2.0668516013164885E-3</v>
      </c>
      <c r="AG48" s="30">
        <v>0</v>
      </c>
      <c r="AH48" s="30">
        <v>7.228237882960114E-6</v>
      </c>
      <c r="AI48" s="30">
        <v>1.018105819114773E-4</v>
      </c>
      <c r="AJ48" s="30">
        <v>8.5554174677296554E-5</v>
      </c>
      <c r="AK48" s="30">
        <v>1.2543861963423409E-5</v>
      </c>
      <c r="AL48" s="30">
        <v>1.916548276935175E-3</v>
      </c>
      <c r="AM48" s="30">
        <v>2.1236851333703323E-3</v>
      </c>
      <c r="AN48" s="32">
        <v>0</v>
      </c>
      <c r="AO48" s="32">
        <v>5.1842725945187069E-6</v>
      </c>
      <c r="AP48" s="32">
        <v>1.2837316781270141E-7</v>
      </c>
      <c r="AQ48" s="32">
        <v>6.5490648626579012E-8</v>
      </c>
      <c r="AR48" s="32">
        <v>4.9529610120037038E-8</v>
      </c>
      <c r="AS48" s="32">
        <v>1.1423372738046949E-6</v>
      </c>
      <c r="AT48" s="32">
        <v>6.5700032948827185E-6</v>
      </c>
      <c r="AU48" s="34">
        <v>0</v>
      </c>
      <c r="AV48" s="34">
        <v>0</v>
      </c>
      <c r="AW48" s="34">
        <v>6.7176913496486523E-2</v>
      </c>
      <c r="AX48" s="34">
        <v>2.01770987761535E-2</v>
      </c>
      <c r="AY48" s="34">
        <v>1.5329507613210733E-2</v>
      </c>
      <c r="AZ48" s="34">
        <v>0.116540654959193</v>
      </c>
      <c r="BA48" s="34">
        <v>0.21922417484504375</v>
      </c>
      <c r="BB48" s="6"/>
      <c r="BC48" s="6"/>
      <c r="BD48" t="s">
        <v>485</v>
      </c>
      <c r="BF48" s="5">
        <v>9.7322148999999993E-3</v>
      </c>
      <c r="BG48" s="5">
        <f t="shared" si="1"/>
        <v>-2.7338229290604903E-3</v>
      </c>
      <c r="BH48" s="2">
        <v>23.280940999999999</v>
      </c>
    </row>
    <row r="49" spans="1:60" x14ac:dyDescent="0.2">
      <c r="A49" t="str">
        <f t="shared" si="0"/>
        <v>Bicycle, electric (&lt;45 km/h) - 2040 - NCA - CH</v>
      </c>
      <c r="B49" t="s">
        <v>263</v>
      </c>
      <c r="D49" s="18">
        <v>2040</v>
      </c>
      <c r="E49" t="s">
        <v>37</v>
      </c>
      <c r="F49" t="s">
        <v>136</v>
      </c>
      <c r="G49" t="s">
        <v>39</v>
      </c>
      <c r="H49" t="s">
        <v>32</v>
      </c>
      <c r="I49" t="s">
        <v>44</v>
      </c>
      <c r="J49" t="s">
        <v>136</v>
      </c>
      <c r="L49" s="24">
        <v>0</v>
      </c>
      <c r="M49" s="24">
        <v>0</v>
      </c>
      <c r="N49" s="24">
        <v>1.4364996721616199E-3</v>
      </c>
      <c r="O49" s="24">
        <v>1.195732624675443E-3</v>
      </c>
      <c r="P49" s="24">
        <v>4.6431647259092168E-4</v>
      </c>
      <c r="Q49" s="24">
        <v>9.2545344979058069E-3</v>
      </c>
      <c r="R49" s="24">
        <v>1.2351083267333791E-2</v>
      </c>
      <c r="S49" s="26">
        <v>0</v>
      </c>
      <c r="T49" s="26">
        <v>0</v>
      </c>
      <c r="U49" s="26">
        <v>1.520440567152036E-4</v>
      </c>
      <c r="V49" s="26">
        <v>9.8317473549625417E-5</v>
      </c>
      <c r="W49" s="26">
        <v>2.9339062365383309E-5</v>
      </c>
      <c r="X49" s="26">
        <v>3.8468258445469201E-3</v>
      </c>
      <c r="Y49" s="26">
        <v>4.1265264371771323E-3</v>
      </c>
      <c r="Z49" s="28">
        <v>0</v>
      </c>
      <c r="AA49" s="28">
        <v>1.3758060237990489E-3</v>
      </c>
      <c r="AB49" s="28">
        <v>4.4558092507674578E-5</v>
      </c>
      <c r="AC49" s="28">
        <v>2.3968260093961618E-5</v>
      </c>
      <c r="AD49" s="28">
        <v>1.3336535488939229E-5</v>
      </c>
      <c r="AE49" s="28">
        <v>5.7139498067513704E-4</v>
      </c>
      <c r="AF49" s="28">
        <v>2.0290638925647615E-3</v>
      </c>
      <c r="AG49" s="30">
        <v>0</v>
      </c>
      <c r="AH49" s="30">
        <v>7.228237882960114E-6</v>
      </c>
      <c r="AI49" s="30">
        <v>1.018105819114773E-4</v>
      </c>
      <c r="AJ49" s="30">
        <v>8.5554174677296554E-5</v>
      </c>
      <c r="AK49" s="30">
        <v>1.244664794840158E-5</v>
      </c>
      <c r="AL49" s="30">
        <v>1.805207430249791E-3</v>
      </c>
      <c r="AM49" s="30">
        <v>2.0122470726699265E-3</v>
      </c>
      <c r="AN49" s="32">
        <v>0</v>
      </c>
      <c r="AO49" s="32">
        <v>5.1842725945187069E-6</v>
      </c>
      <c r="AP49" s="32">
        <v>1.2837316781270141E-7</v>
      </c>
      <c r="AQ49" s="32">
        <v>6.5490648626579012E-8</v>
      </c>
      <c r="AR49" s="32">
        <v>4.9145759255265523E-8</v>
      </c>
      <c r="AS49" s="32">
        <v>1.0379130472625481E-6</v>
      </c>
      <c r="AT49" s="32">
        <v>6.4651952174758007E-6</v>
      </c>
      <c r="AU49" s="34">
        <v>0</v>
      </c>
      <c r="AV49" s="34">
        <v>0</v>
      </c>
      <c r="AW49" s="34">
        <v>6.7176913496486523E-2</v>
      </c>
      <c r="AX49" s="34">
        <v>2.01770987761535E-2</v>
      </c>
      <c r="AY49" s="34">
        <v>1.5210705047642539E-2</v>
      </c>
      <c r="AZ49" s="34">
        <v>0.11356209393115528</v>
      </c>
      <c r="BA49" s="34">
        <v>0.21612681125143784</v>
      </c>
      <c r="BB49" s="6"/>
      <c r="BC49" s="6"/>
      <c r="BD49" t="s">
        <v>486</v>
      </c>
      <c r="BF49" s="5">
        <v>9.4739565000000001E-3</v>
      </c>
      <c r="BG49" s="5">
        <f t="shared" si="1"/>
        <v>-2.8771267673337909E-3</v>
      </c>
      <c r="BH49" s="2">
        <v>21.207725</v>
      </c>
    </row>
    <row r="50" spans="1:60" x14ac:dyDescent="0.2">
      <c r="A50" t="str">
        <f t="shared" si="0"/>
        <v>Bicycle, electric (&lt;45 km/h) - 2050 - NCA - CH</v>
      </c>
      <c r="B50" t="s">
        <v>263</v>
      </c>
      <c r="D50" s="18">
        <v>2050</v>
      </c>
      <c r="E50" t="s">
        <v>37</v>
      </c>
      <c r="F50" t="s">
        <v>136</v>
      </c>
      <c r="G50" t="s">
        <v>39</v>
      </c>
      <c r="H50" t="s">
        <v>32</v>
      </c>
      <c r="I50" t="s">
        <v>44</v>
      </c>
      <c r="J50" t="s">
        <v>136</v>
      </c>
      <c r="L50" s="24">
        <v>0</v>
      </c>
      <c r="M50" s="24">
        <v>0</v>
      </c>
      <c r="N50" s="24">
        <v>1.4364996721616199E-3</v>
      </c>
      <c r="O50" s="24">
        <v>1.195732624675443E-3</v>
      </c>
      <c r="P50" s="24">
        <v>4.6509033337857321E-4</v>
      </c>
      <c r="Q50" s="24">
        <v>9.5906252532761711E-3</v>
      </c>
      <c r="R50" s="24">
        <v>1.2687947883491807E-2</v>
      </c>
      <c r="S50" s="26">
        <v>0</v>
      </c>
      <c r="T50" s="26">
        <v>0</v>
      </c>
      <c r="U50" s="26">
        <v>1.520440567152036E-4</v>
      </c>
      <c r="V50" s="26">
        <v>9.8317473549625417E-5</v>
      </c>
      <c r="W50" s="26">
        <v>2.9387960802658939E-5</v>
      </c>
      <c r="X50" s="26">
        <v>3.8410430040728498E-3</v>
      </c>
      <c r="Y50" s="26">
        <v>4.1207924951403374E-3</v>
      </c>
      <c r="Z50" s="28">
        <v>0</v>
      </c>
      <c r="AA50" s="28">
        <v>1.3758060237990489E-3</v>
      </c>
      <c r="AB50" s="28">
        <v>4.4558092507674578E-5</v>
      </c>
      <c r="AC50" s="28">
        <v>2.3968260093961618E-5</v>
      </c>
      <c r="AD50" s="28">
        <v>1.335876304808745E-5</v>
      </c>
      <c r="AE50" s="28">
        <v>5.8558643783272095E-4</v>
      </c>
      <c r="AF50" s="28">
        <v>2.0432775772814935E-3</v>
      </c>
      <c r="AG50" s="30">
        <v>0</v>
      </c>
      <c r="AH50" s="30">
        <v>7.228237882960114E-6</v>
      </c>
      <c r="AI50" s="30">
        <v>1.018105819114773E-4</v>
      </c>
      <c r="AJ50" s="30">
        <v>8.5554174677296554E-5</v>
      </c>
      <c r="AK50" s="30">
        <v>1.246739236164892E-5</v>
      </c>
      <c r="AL50" s="30">
        <v>1.852233154816748E-3</v>
      </c>
      <c r="AM50" s="30">
        <v>2.0592935416501308E-3</v>
      </c>
      <c r="AN50" s="32">
        <v>0</v>
      </c>
      <c r="AO50" s="32">
        <v>5.1842725945187069E-6</v>
      </c>
      <c r="AP50" s="32">
        <v>1.2837316781270141E-7</v>
      </c>
      <c r="AQ50" s="32">
        <v>6.5490648626579012E-8</v>
      </c>
      <c r="AR50" s="32">
        <v>4.9227668854024287E-8</v>
      </c>
      <c r="AS50" s="32">
        <v>1.038165121198836E-6</v>
      </c>
      <c r="AT50" s="32">
        <v>6.4655292010108477E-6</v>
      </c>
      <c r="AU50" s="34">
        <v>0</v>
      </c>
      <c r="AV50" s="34">
        <v>0</v>
      </c>
      <c r="AW50" s="34">
        <v>6.7176913496486523E-2</v>
      </c>
      <c r="AX50" s="34">
        <v>2.01770987761535E-2</v>
      </c>
      <c r="AY50" s="34">
        <v>1.5236056222721946E-2</v>
      </c>
      <c r="AZ50" s="34">
        <v>0.11692743774055409</v>
      </c>
      <c r="BA50" s="34">
        <v>0.21951750623591607</v>
      </c>
      <c r="BB50" s="6"/>
      <c r="BC50" s="6"/>
      <c r="BD50" t="s">
        <v>487</v>
      </c>
      <c r="BF50" s="5">
        <v>9.5867544999999992E-3</v>
      </c>
      <c r="BG50" s="5">
        <f t="shared" si="1"/>
        <v>-3.1011933834918081E-3</v>
      </c>
      <c r="BH50" s="2">
        <v>20.986547999999999</v>
      </c>
    </row>
    <row r="51" spans="1:60" x14ac:dyDescent="0.2">
      <c r="A51" t="str">
        <f t="shared" si="0"/>
        <v>Bicycle, battery electric, cargo bike - 2020 - NCA - CH</v>
      </c>
      <c r="B51" t="s">
        <v>652</v>
      </c>
      <c r="D51" s="18">
        <v>2020</v>
      </c>
      <c r="E51" t="s">
        <v>37</v>
      </c>
      <c r="F51" t="s">
        <v>136</v>
      </c>
      <c r="G51" t="s">
        <v>39</v>
      </c>
      <c r="H51" t="s">
        <v>32</v>
      </c>
      <c r="I51" t="s">
        <v>44</v>
      </c>
      <c r="J51" t="s">
        <v>136</v>
      </c>
      <c r="L51" s="24">
        <v>0</v>
      </c>
      <c r="M51" s="24">
        <v>0</v>
      </c>
      <c r="N51" s="24">
        <v>1.1004118370386139E-3</v>
      </c>
      <c r="O51" s="24">
        <v>1.195732624675443E-3</v>
      </c>
      <c r="P51" s="24">
        <v>7.7306911421148351E-4</v>
      </c>
      <c r="Q51" s="24">
        <v>2.0878278466762681E-2</v>
      </c>
      <c r="R51" s="24">
        <v>2.3947492042688222E-2</v>
      </c>
      <c r="S51" s="26">
        <v>0</v>
      </c>
      <c r="T51" s="26">
        <v>0</v>
      </c>
      <c r="U51" s="26">
        <v>1.164713664772465E-4</v>
      </c>
      <c r="V51" s="26">
        <v>9.8317473549625417E-5</v>
      </c>
      <c r="W51" s="26">
        <v>4.8848413298886282E-5</v>
      </c>
      <c r="X51" s="26">
        <v>7.0727744821350233E-3</v>
      </c>
      <c r="Y51" s="26">
        <v>7.3364117354607818E-3</v>
      </c>
      <c r="Z51" s="28">
        <v>0</v>
      </c>
      <c r="AA51" s="28">
        <v>2.7516120475980978E-3</v>
      </c>
      <c r="AB51" s="28">
        <v>3.4133145577070547E-5</v>
      </c>
      <c r="AC51" s="28">
        <v>2.3968260093961618E-5</v>
      </c>
      <c r="AD51" s="28">
        <v>2.220481995728756E-5</v>
      </c>
      <c r="AE51" s="28">
        <v>1.159068076553423E-3</v>
      </c>
      <c r="AF51" s="28">
        <v>3.9909863497798407E-3</v>
      </c>
      <c r="AG51" s="30">
        <v>0</v>
      </c>
      <c r="AH51" s="30">
        <v>1.445647576592023E-5</v>
      </c>
      <c r="AI51" s="30">
        <v>7.7990668318491752E-5</v>
      </c>
      <c r="AJ51" s="30">
        <v>8.5554174677296554E-5</v>
      </c>
      <c r="AK51" s="30">
        <v>2.0723191341200589E-5</v>
      </c>
      <c r="AL51" s="30">
        <v>3.4206372658351892E-3</v>
      </c>
      <c r="AM51" s="30">
        <v>3.6193617759380983E-3</v>
      </c>
      <c r="AN51" s="32">
        <v>0</v>
      </c>
      <c r="AO51" s="32">
        <v>1.036854518903741E-5</v>
      </c>
      <c r="AP51" s="32">
        <v>9.8338590782043418E-8</v>
      </c>
      <c r="AQ51" s="32">
        <v>6.5490648626579012E-8</v>
      </c>
      <c r="AR51" s="32">
        <v>8.1825803772833398E-8</v>
      </c>
      <c r="AS51" s="32">
        <v>2.3360234366057679E-6</v>
      </c>
      <c r="AT51" s="32">
        <v>1.2950223668824633E-5</v>
      </c>
      <c r="AU51" s="34">
        <v>0</v>
      </c>
      <c r="AV51" s="34">
        <v>0</v>
      </c>
      <c r="AW51" s="34">
        <v>5.1459998369519894E-2</v>
      </c>
      <c r="AX51" s="34">
        <v>2.01770987761535E-2</v>
      </c>
      <c r="AY51" s="34">
        <v>2.5325240373440656E-2</v>
      </c>
      <c r="AZ51" s="34">
        <v>0.25770044876159887</v>
      </c>
      <c r="BA51" s="34">
        <v>0.35466278628071291</v>
      </c>
      <c r="BB51" s="6"/>
      <c r="BC51" s="6"/>
      <c r="BD51" t="s">
        <v>671</v>
      </c>
      <c r="BF51" s="5">
        <v>1.7379221E-2</v>
      </c>
      <c r="BG51" s="5">
        <f t="shared" si="1"/>
        <v>-6.5682710426882215E-3</v>
      </c>
      <c r="BH51" s="2">
        <v>39.583464999999997</v>
      </c>
    </row>
    <row r="52" spans="1:60" x14ac:dyDescent="0.2">
      <c r="A52" t="str">
        <f t="shared" si="0"/>
        <v>Bicycle, battery electric, cargo bike - 2030 - NCA - CH</v>
      </c>
      <c r="B52" t="s">
        <v>652</v>
      </c>
      <c r="D52" s="18">
        <v>2030</v>
      </c>
      <c r="E52" t="s">
        <v>37</v>
      </c>
      <c r="F52" t="s">
        <v>136</v>
      </c>
      <c r="G52" t="s">
        <v>39</v>
      </c>
      <c r="H52" t="s">
        <v>32</v>
      </c>
      <c r="I52" t="s">
        <v>44</v>
      </c>
      <c r="J52" t="s">
        <v>136</v>
      </c>
      <c r="L52" s="24">
        <v>0</v>
      </c>
      <c r="M52" s="24">
        <v>0</v>
      </c>
      <c r="N52" s="24">
        <v>1.1004118370386139E-3</v>
      </c>
      <c r="O52" s="24">
        <v>1.195732624675443E-3</v>
      </c>
      <c r="P52" s="24">
        <v>7.6836789343330363E-4</v>
      </c>
      <c r="Q52" s="24">
        <v>2.20152986110074E-2</v>
      </c>
      <c r="R52" s="24">
        <v>2.5079810966154761E-2</v>
      </c>
      <c r="S52" s="26">
        <v>0</v>
      </c>
      <c r="T52" s="26">
        <v>0</v>
      </c>
      <c r="U52" s="26">
        <v>1.164713664772465E-4</v>
      </c>
      <c r="V52" s="26">
        <v>9.8317473549625417E-5</v>
      </c>
      <c r="W52" s="26">
        <v>4.855135425027058E-5</v>
      </c>
      <c r="X52" s="26">
        <v>6.7126223626184402E-3</v>
      </c>
      <c r="Y52" s="26">
        <v>6.9759625568955822E-3</v>
      </c>
      <c r="Z52" s="28">
        <v>0</v>
      </c>
      <c r="AA52" s="28">
        <v>2.7516120475980978E-3</v>
      </c>
      <c r="AB52" s="28">
        <v>3.4133145577070547E-5</v>
      </c>
      <c r="AC52" s="28">
        <v>2.3968260093961618E-5</v>
      </c>
      <c r="AD52" s="28">
        <v>2.2069787061728899E-5</v>
      </c>
      <c r="AE52" s="28">
        <v>1.17963669245097E-3</v>
      </c>
      <c r="AF52" s="28">
        <v>4.0114199327818288E-3</v>
      </c>
      <c r="AG52" s="30">
        <v>0</v>
      </c>
      <c r="AH52" s="30">
        <v>1.445647576592023E-5</v>
      </c>
      <c r="AI52" s="30">
        <v>7.7990668318491752E-5</v>
      </c>
      <c r="AJ52" s="30">
        <v>8.5554174677296554E-5</v>
      </c>
      <c r="AK52" s="30">
        <v>2.0597168588599979E-5</v>
      </c>
      <c r="AL52" s="30">
        <v>3.5145700701957861E-3</v>
      </c>
      <c r="AM52" s="30">
        <v>3.7131685575460946E-3</v>
      </c>
      <c r="AN52" s="32">
        <v>0</v>
      </c>
      <c r="AO52" s="32">
        <v>1.036854518903741E-5</v>
      </c>
      <c r="AP52" s="32">
        <v>9.8338590782043418E-8</v>
      </c>
      <c r="AQ52" s="32">
        <v>6.5490648626579012E-8</v>
      </c>
      <c r="AR52" s="32">
        <v>8.1328201214644952E-8</v>
      </c>
      <c r="AS52" s="32">
        <v>2.2421527293958001E-6</v>
      </c>
      <c r="AT52" s="32">
        <v>1.2855855359056477E-5</v>
      </c>
      <c r="AU52" s="34">
        <v>0</v>
      </c>
      <c r="AV52" s="34">
        <v>0</v>
      </c>
      <c r="AW52" s="34">
        <v>5.1459998369519894E-2</v>
      </c>
      <c r="AX52" s="34">
        <v>2.01770987761535E-2</v>
      </c>
      <c r="AY52" s="34">
        <v>2.5171231444526893E-2</v>
      </c>
      <c r="AZ52" s="34">
        <v>0.26732106008133277</v>
      </c>
      <c r="BA52" s="34">
        <v>0.36412938867153305</v>
      </c>
      <c r="BB52" s="6"/>
      <c r="BC52" s="6"/>
      <c r="BD52" t="s">
        <v>672</v>
      </c>
      <c r="BF52" s="5">
        <v>1.7551673E-2</v>
      </c>
      <c r="BG52" s="5">
        <f t="shared" si="1"/>
        <v>-7.5281379661547611E-3</v>
      </c>
      <c r="BH52" s="2">
        <v>36.912382999999998</v>
      </c>
    </row>
    <row r="53" spans="1:60" x14ac:dyDescent="0.2">
      <c r="A53" t="str">
        <f t="shared" si="0"/>
        <v>Bicycle, battery electric, cargo bike - 2040 - NCA - CH</v>
      </c>
      <c r="B53" t="s">
        <v>652</v>
      </c>
      <c r="D53" s="18">
        <v>2040</v>
      </c>
      <c r="E53" t="s">
        <v>37</v>
      </c>
      <c r="F53" t="s">
        <v>136</v>
      </c>
      <c r="G53" t="s">
        <v>39</v>
      </c>
      <c r="H53" t="s">
        <v>32</v>
      </c>
      <c r="I53" t="s">
        <v>44</v>
      </c>
      <c r="J53" t="s">
        <v>136</v>
      </c>
      <c r="L53" s="24">
        <v>0</v>
      </c>
      <c r="M53" s="24">
        <v>0</v>
      </c>
      <c r="N53" s="24">
        <v>1.1004118370386139E-3</v>
      </c>
      <c r="O53" s="24">
        <v>1.195732624675443E-3</v>
      </c>
      <c r="P53" s="24">
        <v>7.6248048195077839E-4</v>
      </c>
      <c r="Q53" s="24">
        <v>2.2389322592270031E-2</v>
      </c>
      <c r="R53" s="24">
        <v>2.5447947535934864E-2</v>
      </c>
      <c r="S53" s="26">
        <v>0</v>
      </c>
      <c r="T53" s="26">
        <v>0</v>
      </c>
      <c r="U53" s="26">
        <v>1.164713664772465E-4</v>
      </c>
      <c r="V53" s="26">
        <v>9.8317473549625417E-5</v>
      </c>
      <c r="W53" s="26">
        <v>4.8179342609820628E-5</v>
      </c>
      <c r="X53" s="26">
        <v>6.116150346419302E-3</v>
      </c>
      <c r="Y53" s="26">
        <v>6.3791185290559948E-3</v>
      </c>
      <c r="Z53" s="28">
        <v>0</v>
      </c>
      <c r="AA53" s="28">
        <v>2.7516120475980978E-3</v>
      </c>
      <c r="AB53" s="28">
        <v>3.4133145577070547E-5</v>
      </c>
      <c r="AC53" s="28">
        <v>2.3968260093961618E-5</v>
      </c>
      <c r="AD53" s="28">
        <v>2.1900683278405099E-5</v>
      </c>
      <c r="AE53" s="28">
        <v>1.1488221856844601E-3</v>
      </c>
      <c r="AF53" s="28">
        <v>3.980436322231995E-3</v>
      </c>
      <c r="AG53" s="30">
        <v>0</v>
      </c>
      <c r="AH53" s="30">
        <v>1.445647576592023E-5</v>
      </c>
      <c r="AI53" s="30">
        <v>7.7990668318491752E-5</v>
      </c>
      <c r="AJ53" s="30">
        <v>8.5554174677296554E-5</v>
      </c>
      <c r="AK53" s="30">
        <v>2.0439348346639859E-5</v>
      </c>
      <c r="AL53" s="30">
        <v>3.4424901281110551E-3</v>
      </c>
      <c r="AM53" s="30">
        <v>3.6409307952194035E-3</v>
      </c>
      <c r="AN53" s="32">
        <v>0</v>
      </c>
      <c r="AO53" s="32">
        <v>1.036854518903741E-5</v>
      </c>
      <c r="AP53" s="32">
        <v>9.8338590782043418E-8</v>
      </c>
      <c r="AQ53" s="32">
        <v>6.5490648626579012E-8</v>
      </c>
      <c r="AR53" s="32">
        <v>8.0705045835852706E-8</v>
      </c>
      <c r="AS53" s="32">
        <v>2.0890779398036739E-6</v>
      </c>
      <c r="AT53" s="32">
        <v>1.2702157414085559E-5</v>
      </c>
      <c r="AU53" s="34">
        <v>0</v>
      </c>
      <c r="AV53" s="34">
        <v>0</v>
      </c>
      <c r="AW53" s="34">
        <v>5.1459998369519894E-2</v>
      </c>
      <c r="AX53" s="34">
        <v>2.01770987761535E-2</v>
      </c>
      <c r="AY53" s="34">
        <v>2.4978363681177701E-2</v>
      </c>
      <c r="AZ53" s="34">
        <v>0.26827187443993367</v>
      </c>
      <c r="BA53" s="34">
        <v>0.36488733526678474</v>
      </c>
      <c r="BB53" s="6"/>
      <c r="BC53" s="6"/>
      <c r="BD53" t="s">
        <v>673</v>
      </c>
      <c r="BF53" s="5">
        <v>1.7348043E-2</v>
      </c>
      <c r="BG53" s="5">
        <f t="shared" si="1"/>
        <v>-8.099904535934864E-3</v>
      </c>
      <c r="BH53" s="2">
        <v>33.533726000000001</v>
      </c>
    </row>
    <row r="54" spans="1:60" x14ac:dyDescent="0.2">
      <c r="A54" t="str">
        <f t="shared" si="0"/>
        <v>Bicycle, battery electric, cargo bike - 2050 - NCA - CH</v>
      </c>
      <c r="B54" t="s">
        <v>652</v>
      </c>
      <c r="D54" s="18">
        <v>2050</v>
      </c>
      <c r="E54" t="s">
        <v>37</v>
      </c>
      <c r="F54" t="s">
        <v>136</v>
      </c>
      <c r="G54" t="s">
        <v>39</v>
      </c>
      <c r="H54" t="s">
        <v>32</v>
      </c>
      <c r="I54" t="s">
        <v>44</v>
      </c>
      <c r="J54" t="s">
        <v>136</v>
      </c>
      <c r="L54" s="24">
        <v>0</v>
      </c>
      <c r="M54" s="24">
        <v>0</v>
      </c>
      <c r="N54" s="24">
        <v>1.1004118370386139E-3</v>
      </c>
      <c r="O54" s="24">
        <v>1.195732624675443E-3</v>
      </c>
      <c r="P54" s="24">
        <v>7.5856565678971755E-4</v>
      </c>
      <c r="Q54" s="24">
        <v>2.3192410185793658E-2</v>
      </c>
      <c r="R54" s="24">
        <v>2.6247120304297433E-2</v>
      </c>
      <c r="S54" s="26">
        <v>0</v>
      </c>
      <c r="T54" s="26">
        <v>0</v>
      </c>
      <c r="U54" s="26">
        <v>1.164713664772465E-4</v>
      </c>
      <c r="V54" s="26">
        <v>9.8317473549625417E-5</v>
      </c>
      <c r="W54" s="26">
        <v>4.7931974044779159E-5</v>
      </c>
      <c r="X54" s="26">
        <v>5.9207208665991726E-3</v>
      </c>
      <c r="Y54" s="26">
        <v>6.183441680670824E-3</v>
      </c>
      <c r="Z54" s="28">
        <v>0</v>
      </c>
      <c r="AA54" s="28">
        <v>2.7516120475980978E-3</v>
      </c>
      <c r="AB54" s="28">
        <v>3.4133145577070547E-5</v>
      </c>
      <c r="AC54" s="28">
        <v>2.3968260093961618E-5</v>
      </c>
      <c r="AD54" s="28">
        <v>2.1788237979184629E-5</v>
      </c>
      <c r="AE54" s="28">
        <v>1.1679844838327149E-3</v>
      </c>
      <c r="AF54" s="28">
        <v>3.9994861750810295E-3</v>
      </c>
      <c r="AG54" s="30">
        <v>0</v>
      </c>
      <c r="AH54" s="30">
        <v>1.445647576592023E-5</v>
      </c>
      <c r="AI54" s="30">
        <v>7.7990668318491752E-5</v>
      </c>
      <c r="AJ54" s="30">
        <v>8.5554174677296554E-5</v>
      </c>
      <c r="AK54" s="30">
        <v>2.0334406020800391E-5</v>
      </c>
      <c r="AL54" s="30">
        <v>3.5206074558304318E-3</v>
      </c>
      <c r="AM54" s="30">
        <v>3.7189431806129406E-3</v>
      </c>
      <c r="AN54" s="32">
        <v>0</v>
      </c>
      <c r="AO54" s="32">
        <v>1.036854518903741E-5</v>
      </c>
      <c r="AP54" s="32">
        <v>9.8338590782043418E-8</v>
      </c>
      <c r="AQ54" s="32">
        <v>6.5490648626579012E-8</v>
      </c>
      <c r="AR54" s="32">
        <v>8.0290679630367122E-8</v>
      </c>
      <c r="AS54" s="32">
        <v>2.038049713160376E-6</v>
      </c>
      <c r="AT54" s="32">
        <v>1.2650714821236776E-5</v>
      </c>
      <c r="AU54" s="34">
        <v>0</v>
      </c>
      <c r="AV54" s="34">
        <v>0</v>
      </c>
      <c r="AW54" s="34">
        <v>5.1459998369519894E-2</v>
      </c>
      <c r="AX54" s="34">
        <v>2.01770987761535E-2</v>
      </c>
      <c r="AY54" s="34">
        <v>2.4850116560187773E-2</v>
      </c>
      <c r="AZ54" s="34">
        <v>0.27535273461658422</v>
      </c>
      <c r="BA54" s="34">
        <v>0.37183994832244538</v>
      </c>
      <c r="BB54" s="6"/>
      <c r="BC54" s="6"/>
      <c r="BD54" t="s">
        <v>674</v>
      </c>
      <c r="BF54" s="5">
        <v>1.7497633999999998E-2</v>
      </c>
      <c r="BG54" s="5">
        <f t="shared" si="1"/>
        <v>-8.7494863042974352E-3</v>
      </c>
      <c r="BH54" s="2">
        <v>31.961292</v>
      </c>
    </row>
    <row r="55" spans="1:60" x14ac:dyDescent="0.2">
      <c r="A55" t="str">
        <f t="shared" ref="A55:A90" si="4">B55&amp;" - "&amp;D55&amp;" - "&amp;IF(I55&lt;&gt;"",I55&amp;" - "&amp;E55,E55)</f>
        <v>Bicycle, electric (&lt;25 km/h) - 2020 - NMC - CH</v>
      </c>
      <c r="B55" t="s">
        <v>262</v>
      </c>
      <c r="D55" s="18">
        <v>2020</v>
      </c>
      <c r="E55" t="s">
        <v>37</v>
      </c>
      <c r="F55" t="s">
        <v>136</v>
      </c>
      <c r="G55" t="s">
        <v>39</v>
      </c>
      <c r="H55" t="s">
        <v>32</v>
      </c>
      <c r="I55" t="s">
        <v>42</v>
      </c>
      <c r="J55" t="s">
        <v>464</v>
      </c>
      <c r="L55" s="24">
        <v>0</v>
      </c>
      <c r="M55" s="24">
        <v>0</v>
      </c>
      <c r="N55" s="24">
        <v>1.5173567960250059E-4</v>
      </c>
      <c r="O55" s="24">
        <v>1.195732624675443E-3</v>
      </c>
      <c r="P55" s="24">
        <v>4.5179813632008798E-4</v>
      </c>
      <c r="Q55" s="24">
        <v>1.328900195020182E-2</v>
      </c>
      <c r="R55" s="24">
        <v>1.5088268390799851E-2</v>
      </c>
      <c r="S55" s="26">
        <v>0</v>
      </c>
      <c r="T55" s="26">
        <v>0</v>
      </c>
      <c r="U55" s="26">
        <v>8.6491252881602508E-5</v>
      </c>
      <c r="V55" s="26">
        <v>9.8317473549625417E-5</v>
      </c>
      <c r="W55" s="26">
        <v>2.854805823298327E-5</v>
      </c>
      <c r="X55" s="26">
        <v>1.255020670214965E-2</v>
      </c>
      <c r="Y55" s="26">
        <v>1.2763563486813862E-2</v>
      </c>
      <c r="Z55" s="28">
        <v>0</v>
      </c>
      <c r="AA55" s="28">
        <v>1.3758060237990489E-3</v>
      </c>
      <c r="AB55" s="28">
        <v>1.5261971665741149E-5</v>
      </c>
      <c r="AC55" s="28">
        <v>2.3968260093961618E-5</v>
      </c>
      <c r="AD55" s="28">
        <v>1.2976972032129591E-5</v>
      </c>
      <c r="AE55" s="28">
        <v>1.184976064930756E-3</v>
      </c>
      <c r="AF55" s="28">
        <v>2.6129892925216371E-3</v>
      </c>
      <c r="AG55" s="30">
        <v>0</v>
      </c>
      <c r="AH55" s="30">
        <v>7.228237882960114E-6</v>
      </c>
      <c r="AI55" s="30">
        <v>5.7195725930249998E-5</v>
      </c>
      <c r="AJ55" s="30">
        <v>8.5554174677296554E-5</v>
      </c>
      <c r="AK55" s="30">
        <v>1.2111076557635849E-5</v>
      </c>
      <c r="AL55" s="30">
        <v>3.2773028407887422E-3</v>
      </c>
      <c r="AM55" s="30">
        <v>3.4393920558368849E-3</v>
      </c>
      <c r="AN55" s="32">
        <v>0</v>
      </c>
      <c r="AO55" s="32">
        <v>5.1842725945187069E-6</v>
      </c>
      <c r="AP55" s="32">
        <v>1.3512839746900889E-7</v>
      </c>
      <c r="AQ55" s="32">
        <v>6.5490648626579012E-8</v>
      </c>
      <c r="AR55" s="32">
        <v>4.7820751040050032E-8</v>
      </c>
      <c r="AS55" s="32">
        <v>2.5259502359604321E-6</v>
      </c>
      <c r="AT55" s="32">
        <v>7.9586626276147763E-6</v>
      </c>
      <c r="AU55" s="34">
        <v>0</v>
      </c>
      <c r="AV55" s="34">
        <v>0</v>
      </c>
      <c r="AW55" s="34">
        <v>1.5117612549304556E-3</v>
      </c>
      <c r="AX55" s="34">
        <v>2.01770987761535E-2</v>
      </c>
      <c r="AY55" s="34">
        <v>1.4800612509593357E-2</v>
      </c>
      <c r="AZ55" s="34">
        <v>0.17731219978001517</v>
      </c>
      <c r="BA55" s="34">
        <v>0.21380167232069247</v>
      </c>
      <c r="BB55" s="6"/>
      <c r="BC55" s="6"/>
      <c r="BD55" t="s">
        <v>903</v>
      </c>
      <c r="BF55" s="5">
        <v>1.0108142000000001E-2</v>
      </c>
      <c r="BG55" s="5">
        <f t="shared" si="1"/>
        <v>-4.9801263907998505E-3</v>
      </c>
      <c r="BH55" s="2">
        <v>30.324580000000001</v>
      </c>
    </row>
    <row r="56" spans="1:60" x14ac:dyDescent="0.2">
      <c r="A56" t="str">
        <f t="shared" si="4"/>
        <v>Bicycle, electric (&lt;25 km/h) - 2030 - NMC - CH</v>
      </c>
      <c r="B56" t="s">
        <v>262</v>
      </c>
      <c r="D56" s="18">
        <v>2030</v>
      </c>
      <c r="E56" t="s">
        <v>37</v>
      </c>
      <c r="F56" t="s">
        <v>136</v>
      </c>
      <c r="G56" t="s">
        <v>39</v>
      </c>
      <c r="H56" t="s">
        <v>32</v>
      </c>
      <c r="I56" t="s">
        <v>42</v>
      </c>
      <c r="J56" t="s">
        <v>464</v>
      </c>
      <c r="L56" s="24">
        <v>0</v>
      </c>
      <c r="M56" s="24">
        <v>0</v>
      </c>
      <c r="N56" s="24">
        <v>1.5173567960250059E-4</v>
      </c>
      <c r="O56" s="24">
        <v>1.195732624675443E-3</v>
      </c>
      <c r="P56" s="24">
        <v>4.5014419855824448E-4</v>
      </c>
      <c r="Q56" s="24">
        <v>1.3056994186893239E-2</v>
      </c>
      <c r="R56" s="24">
        <v>1.4854606689729427E-2</v>
      </c>
      <c r="S56" s="26">
        <v>0</v>
      </c>
      <c r="T56" s="26">
        <v>0</v>
      </c>
      <c r="U56" s="26">
        <v>8.6491252881602508E-5</v>
      </c>
      <c r="V56" s="26">
        <v>9.8317473549625417E-5</v>
      </c>
      <c r="W56" s="26">
        <v>2.844354980821769E-5</v>
      </c>
      <c r="X56" s="26">
        <v>1.0701410048596829E-2</v>
      </c>
      <c r="Y56" s="26">
        <v>1.0914662324836275E-2</v>
      </c>
      <c r="Z56" s="28">
        <v>0</v>
      </c>
      <c r="AA56" s="28">
        <v>1.3758060237990489E-3</v>
      </c>
      <c r="AB56" s="28">
        <v>1.5261971665741149E-5</v>
      </c>
      <c r="AC56" s="28">
        <v>2.3968260093961618E-5</v>
      </c>
      <c r="AD56" s="28">
        <v>1.2929466072381411E-5</v>
      </c>
      <c r="AE56" s="28">
        <v>1.0694494518561149E-3</v>
      </c>
      <c r="AF56" s="28">
        <v>2.4974151734872482E-3</v>
      </c>
      <c r="AG56" s="30">
        <v>0</v>
      </c>
      <c r="AH56" s="30">
        <v>7.228237882960114E-6</v>
      </c>
      <c r="AI56" s="30">
        <v>5.7195725930249998E-5</v>
      </c>
      <c r="AJ56" s="30">
        <v>8.5554174677296554E-5</v>
      </c>
      <c r="AK56" s="30">
        <v>1.2066740458734681E-5</v>
      </c>
      <c r="AL56" s="30">
        <v>3.0150227021893518E-3</v>
      </c>
      <c r="AM56" s="30">
        <v>3.177067581138593E-3</v>
      </c>
      <c r="AN56" s="32">
        <v>0</v>
      </c>
      <c r="AO56" s="32">
        <v>5.1842725945187069E-6</v>
      </c>
      <c r="AP56" s="32">
        <v>1.3512839746900889E-7</v>
      </c>
      <c r="AQ56" s="32">
        <v>6.5490648626579012E-8</v>
      </c>
      <c r="AR56" s="32">
        <v>4.7645689348585192E-8</v>
      </c>
      <c r="AS56" s="32">
        <v>2.2001424793828139E-6</v>
      </c>
      <c r="AT56" s="32">
        <v>7.6326798093456933E-6</v>
      </c>
      <c r="AU56" s="34">
        <v>0</v>
      </c>
      <c r="AV56" s="34">
        <v>0</v>
      </c>
      <c r="AW56" s="34">
        <v>1.5117612549304556E-3</v>
      </c>
      <c r="AX56" s="34">
        <v>2.01770987761535E-2</v>
      </c>
      <c r="AY56" s="34">
        <v>1.4746430586384435E-2</v>
      </c>
      <c r="AZ56" s="34">
        <v>0.16997936361743826</v>
      </c>
      <c r="BA56" s="34">
        <v>0.20641465423490665</v>
      </c>
      <c r="BB56" s="6"/>
      <c r="BC56" s="6"/>
      <c r="BD56" t="s">
        <v>904</v>
      </c>
      <c r="BF56" s="5">
        <v>9.8103290999999992E-3</v>
      </c>
      <c r="BG56" s="5">
        <f t="shared" si="1"/>
        <v>-5.0442775897294283E-3</v>
      </c>
      <c r="BH56" s="2">
        <v>26.837948999999998</v>
      </c>
    </row>
    <row r="57" spans="1:60" x14ac:dyDescent="0.2">
      <c r="A57" t="str">
        <f t="shared" si="4"/>
        <v>Bicycle, electric (&lt;25 km/h) - 2040 - NMC - CH</v>
      </c>
      <c r="B57" t="s">
        <v>262</v>
      </c>
      <c r="D57" s="18">
        <v>2040</v>
      </c>
      <c r="E57" t="s">
        <v>37</v>
      </c>
      <c r="F57" t="s">
        <v>136</v>
      </c>
      <c r="G57" t="s">
        <v>39</v>
      </c>
      <c r="H57" t="s">
        <v>32</v>
      </c>
      <c r="I57" t="s">
        <v>42</v>
      </c>
      <c r="J57" t="s">
        <v>464</v>
      </c>
      <c r="L57" s="24">
        <v>0</v>
      </c>
      <c r="M57" s="24">
        <v>0</v>
      </c>
      <c r="N57" s="24">
        <v>1.5173567960250059E-4</v>
      </c>
      <c r="O57" s="24">
        <v>1.195732624675443E-3</v>
      </c>
      <c r="P57" s="24">
        <v>4.472460140397849E-4</v>
      </c>
      <c r="Q57" s="24">
        <v>1.2680690138179381E-2</v>
      </c>
      <c r="R57" s="24">
        <v>1.447540445649711E-2</v>
      </c>
      <c r="S57" s="26">
        <v>0</v>
      </c>
      <c r="T57" s="26">
        <v>0</v>
      </c>
      <c r="U57" s="26">
        <v>8.6491252881602508E-5</v>
      </c>
      <c r="V57" s="26">
        <v>9.8317473549625417E-5</v>
      </c>
      <c r="W57" s="26">
        <v>2.8260420366655981E-5</v>
      </c>
      <c r="X57" s="26">
        <v>9.0507226984678068E-3</v>
      </c>
      <c r="Y57" s="26">
        <v>9.2637918452656912E-3</v>
      </c>
      <c r="Z57" s="28">
        <v>0</v>
      </c>
      <c r="AA57" s="28">
        <v>1.3758060237990489E-3</v>
      </c>
      <c r="AB57" s="28">
        <v>1.5261971665741149E-5</v>
      </c>
      <c r="AC57" s="28">
        <v>2.3968260093961618E-5</v>
      </c>
      <c r="AD57" s="28">
        <v>1.284622168419881E-5</v>
      </c>
      <c r="AE57" s="28">
        <v>9.5824877247864082E-4</v>
      </c>
      <c r="AF57" s="28">
        <v>2.3861312497215912E-3</v>
      </c>
      <c r="AG57" s="30">
        <v>0</v>
      </c>
      <c r="AH57" s="30">
        <v>7.228237882960114E-6</v>
      </c>
      <c r="AI57" s="30">
        <v>5.7195725930249998E-5</v>
      </c>
      <c r="AJ57" s="30">
        <v>8.5554174677296554E-5</v>
      </c>
      <c r="AK57" s="30">
        <v>1.1989050597357409E-5</v>
      </c>
      <c r="AL57" s="30">
        <v>2.752316042919872E-3</v>
      </c>
      <c r="AM57" s="30">
        <v>2.9142832320077361E-3</v>
      </c>
      <c r="AN57" s="32">
        <v>0</v>
      </c>
      <c r="AO57" s="32">
        <v>5.1842725945187069E-6</v>
      </c>
      <c r="AP57" s="32">
        <v>1.3512839746900889E-7</v>
      </c>
      <c r="AQ57" s="32">
        <v>6.5490648626579012E-8</v>
      </c>
      <c r="AR57" s="32">
        <v>4.7338929870880761E-8</v>
      </c>
      <c r="AS57" s="32">
        <v>1.9062727272207299E-6</v>
      </c>
      <c r="AT57" s="32">
        <v>7.3385032977059051E-6</v>
      </c>
      <c r="AU57" s="34">
        <v>0</v>
      </c>
      <c r="AV57" s="34">
        <v>0</v>
      </c>
      <c r="AW57" s="34">
        <v>1.5117612549304556E-3</v>
      </c>
      <c r="AX57" s="34">
        <v>2.01770987761535E-2</v>
      </c>
      <c r="AY57" s="34">
        <v>1.4651487950302742E-2</v>
      </c>
      <c r="AZ57" s="34">
        <v>0.16168134792499275</v>
      </c>
      <c r="BA57" s="34">
        <v>0.19802169590637944</v>
      </c>
      <c r="BB57" s="6"/>
      <c r="BC57" s="6"/>
      <c r="BD57" t="s">
        <v>905</v>
      </c>
      <c r="BF57" s="5">
        <v>9.4696734999999994E-3</v>
      </c>
      <c r="BG57" s="5">
        <f t="shared" si="1"/>
        <v>-5.0057309564971106E-3</v>
      </c>
      <c r="BH57" s="2">
        <v>23.725239999999999</v>
      </c>
    </row>
    <row r="58" spans="1:60" x14ac:dyDescent="0.2">
      <c r="A58" t="str">
        <f t="shared" si="4"/>
        <v>Bicycle, electric (&lt;25 km/h) - 2050 - NMC - CH</v>
      </c>
      <c r="B58" t="s">
        <v>262</v>
      </c>
      <c r="D58" s="18">
        <v>2050</v>
      </c>
      <c r="E58" t="s">
        <v>37</v>
      </c>
      <c r="F58" t="s">
        <v>136</v>
      </c>
      <c r="G58" t="s">
        <v>39</v>
      </c>
      <c r="H58" t="s">
        <v>32</v>
      </c>
      <c r="I58" t="s">
        <v>42</v>
      </c>
      <c r="J58" t="s">
        <v>464</v>
      </c>
      <c r="L58" s="24">
        <v>0</v>
      </c>
      <c r="M58" s="24">
        <v>0</v>
      </c>
      <c r="N58" s="24">
        <v>1.5173567960250059E-4</v>
      </c>
      <c r="O58" s="24">
        <v>1.195732624675443E-3</v>
      </c>
      <c r="P58" s="24">
        <v>4.4829300216425461E-4</v>
      </c>
      <c r="Q58" s="24">
        <v>1.306679777444421E-2</v>
      </c>
      <c r="R58" s="24">
        <v>1.4862559080886408E-2</v>
      </c>
      <c r="S58" s="26">
        <v>0</v>
      </c>
      <c r="T58" s="26">
        <v>0</v>
      </c>
      <c r="U58" s="26">
        <v>8.6491252881602508E-5</v>
      </c>
      <c r="V58" s="26">
        <v>9.8317473549625417E-5</v>
      </c>
      <c r="W58" s="26">
        <v>2.832657707591125E-5</v>
      </c>
      <c r="X58" s="26">
        <v>8.8779769286049474E-3</v>
      </c>
      <c r="Y58" s="26">
        <v>9.0911122321120866E-3</v>
      </c>
      <c r="Z58" s="28">
        <v>0</v>
      </c>
      <c r="AA58" s="28">
        <v>1.3758060237990489E-3</v>
      </c>
      <c r="AB58" s="28">
        <v>1.5261971665741149E-5</v>
      </c>
      <c r="AC58" s="28">
        <v>2.3968260093961618E-5</v>
      </c>
      <c r="AD58" s="28">
        <v>1.2876294264222889E-5</v>
      </c>
      <c r="AE58" s="28">
        <v>9.6652043551671634E-4</v>
      </c>
      <c r="AF58" s="28">
        <v>2.3944329853396906E-3</v>
      </c>
      <c r="AG58" s="30">
        <v>0</v>
      </c>
      <c r="AH58" s="30">
        <v>7.228237882960114E-6</v>
      </c>
      <c r="AI58" s="30">
        <v>5.7195725930249998E-5</v>
      </c>
      <c r="AJ58" s="30">
        <v>8.5554174677296554E-5</v>
      </c>
      <c r="AK58" s="30">
        <v>1.201711656822145E-5</v>
      </c>
      <c r="AL58" s="30">
        <v>2.7911608441172149E-3</v>
      </c>
      <c r="AM58" s="30">
        <v>2.9531560991759428E-3</v>
      </c>
      <c r="AN58" s="32">
        <v>0</v>
      </c>
      <c r="AO58" s="32">
        <v>5.1842725945187069E-6</v>
      </c>
      <c r="AP58" s="32">
        <v>1.3512839746900889E-7</v>
      </c>
      <c r="AQ58" s="32">
        <v>6.5490648626579012E-8</v>
      </c>
      <c r="AR58" s="32">
        <v>4.7449748739789693E-8</v>
      </c>
      <c r="AS58" s="32">
        <v>1.883034516292265E-6</v>
      </c>
      <c r="AT58" s="32">
        <v>7.3153759056463493E-6</v>
      </c>
      <c r="AU58" s="34">
        <v>0</v>
      </c>
      <c r="AV58" s="34">
        <v>0</v>
      </c>
      <c r="AW58" s="34">
        <v>1.5117612549304556E-3</v>
      </c>
      <c r="AX58" s="34">
        <v>2.01770987761535E-2</v>
      </c>
      <c r="AY58" s="34">
        <v>1.4685786598939585E-2</v>
      </c>
      <c r="AZ58" s="34">
        <v>0.16523630757397889</v>
      </c>
      <c r="BA58" s="34">
        <v>0.20161095420400243</v>
      </c>
      <c r="BB58" s="6"/>
      <c r="BC58" s="6"/>
      <c r="BD58" t="s">
        <v>906</v>
      </c>
      <c r="BF58" s="5">
        <v>9.6075623000000006E-3</v>
      </c>
      <c r="BG58" s="5">
        <f t="shared" si="1"/>
        <v>-5.2549967808864072E-3</v>
      </c>
      <c r="BH58" s="2">
        <v>23.365870999999999</v>
      </c>
    </row>
    <row r="59" spans="1:60" x14ac:dyDescent="0.2">
      <c r="A59" t="str">
        <f t="shared" si="4"/>
        <v>Bicycle, electric (&lt;45 km/h) - 2020 - NMC - CH</v>
      </c>
      <c r="B59" t="s">
        <v>263</v>
      </c>
      <c r="D59" s="18">
        <v>2020</v>
      </c>
      <c r="E59" t="s">
        <v>37</v>
      </c>
      <c r="F59" t="s">
        <v>136</v>
      </c>
      <c r="G59" t="s">
        <v>39</v>
      </c>
      <c r="H59" t="s">
        <v>32</v>
      </c>
      <c r="I59" t="s">
        <v>42</v>
      </c>
      <c r="J59" t="s">
        <v>464</v>
      </c>
      <c r="L59" s="24">
        <v>0</v>
      </c>
      <c r="M59" s="24">
        <v>0</v>
      </c>
      <c r="N59" s="24">
        <v>2.7867064536129458E-4</v>
      </c>
      <c r="O59" s="24">
        <v>1.195732624675443E-3</v>
      </c>
      <c r="P59" s="24">
        <v>4.7000662544130072E-4</v>
      </c>
      <c r="Q59" s="24">
        <v>9.8334853630012153E-3</v>
      </c>
      <c r="R59" s="24">
        <v>1.1777895258479254E-2</v>
      </c>
      <c r="S59" s="26">
        <v>0</v>
      </c>
      <c r="T59" s="26">
        <v>0</v>
      </c>
      <c r="U59" s="26">
        <v>1.5884578578857799E-4</v>
      </c>
      <c r="V59" s="26">
        <v>9.8317473549625417E-5</v>
      </c>
      <c r="W59" s="26">
        <v>2.9698609698292419E-5</v>
      </c>
      <c r="X59" s="26">
        <v>8.5991611819644376E-3</v>
      </c>
      <c r="Y59" s="26">
        <v>8.8860230510009342E-3</v>
      </c>
      <c r="Z59" s="28">
        <v>0</v>
      </c>
      <c r="AA59" s="28">
        <v>1.3758060237990489E-3</v>
      </c>
      <c r="AB59" s="28">
        <v>2.8029422642845481E-5</v>
      </c>
      <c r="AC59" s="28">
        <v>2.3968260093961618E-5</v>
      </c>
      <c r="AD59" s="28">
        <v>1.3499973423852701E-5</v>
      </c>
      <c r="AE59" s="28">
        <v>8.3795777881196366E-4</v>
      </c>
      <c r="AF59" s="28">
        <v>2.2792614587716724E-3</v>
      </c>
      <c r="AG59" s="30">
        <v>0</v>
      </c>
      <c r="AH59" s="30">
        <v>7.228237882960114E-6</v>
      </c>
      <c r="AI59" s="30">
        <v>1.050429925159661E-4</v>
      </c>
      <c r="AJ59" s="30">
        <v>8.5554174677296554E-5</v>
      </c>
      <c r="AK59" s="30">
        <v>1.259918039874964E-5</v>
      </c>
      <c r="AL59" s="30">
        <v>2.343476825969153E-3</v>
      </c>
      <c r="AM59" s="30">
        <v>2.5539014114441256E-3</v>
      </c>
      <c r="AN59" s="32">
        <v>0</v>
      </c>
      <c r="AO59" s="32">
        <v>5.1842725945187069E-6</v>
      </c>
      <c r="AP59" s="32">
        <v>2.4817048849666651E-7</v>
      </c>
      <c r="AQ59" s="32">
        <v>6.5490648626579012E-8</v>
      </c>
      <c r="AR59" s="32">
        <v>4.974803571672711E-8</v>
      </c>
      <c r="AS59" s="32">
        <v>1.770597549801543E-6</v>
      </c>
      <c r="AT59" s="32">
        <v>7.3182793171602223E-6</v>
      </c>
      <c r="AU59" s="34">
        <v>0</v>
      </c>
      <c r="AV59" s="34">
        <v>0</v>
      </c>
      <c r="AW59" s="34">
        <v>2.7764299448046754E-3</v>
      </c>
      <c r="AX59" s="34">
        <v>2.01770987761535E-2</v>
      </c>
      <c r="AY59" s="34">
        <v>1.5397110746755812E-2</v>
      </c>
      <c r="AZ59" s="34">
        <v>0.12966140408035057</v>
      </c>
      <c r="BA59" s="34">
        <v>0.16801204354806454</v>
      </c>
      <c r="BB59" s="6"/>
      <c r="BC59" s="6"/>
      <c r="BD59" t="s">
        <v>907</v>
      </c>
      <c r="BF59" s="5">
        <v>7.9732819999999999E-3</v>
      </c>
      <c r="BG59" s="5">
        <f t="shared" si="1"/>
        <v>-3.8046132584792537E-3</v>
      </c>
      <c r="BH59" s="2">
        <v>22.508680999999999</v>
      </c>
    </row>
    <row r="60" spans="1:60" x14ac:dyDescent="0.2">
      <c r="A60" t="str">
        <f t="shared" si="4"/>
        <v>Bicycle, electric (&lt;45 km/h) - 2030 - NMC - CH</v>
      </c>
      <c r="B60" t="s">
        <v>263</v>
      </c>
      <c r="D60" s="18">
        <v>2030</v>
      </c>
      <c r="E60" t="s">
        <v>37</v>
      </c>
      <c r="F60" t="s">
        <v>136</v>
      </c>
      <c r="G60" t="s">
        <v>39</v>
      </c>
      <c r="H60" t="s">
        <v>32</v>
      </c>
      <c r="I60" t="s">
        <v>42</v>
      </c>
      <c r="J60" t="s">
        <v>464</v>
      </c>
      <c r="L60" s="24">
        <v>0</v>
      </c>
      <c r="M60" s="24">
        <v>0</v>
      </c>
      <c r="N60" s="24">
        <v>2.7867064536129458E-4</v>
      </c>
      <c r="O60" s="24">
        <v>1.195732624675443E-3</v>
      </c>
      <c r="P60" s="24">
        <v>4.6794299667422991E-4</v>
      </c>
      <c r="Q60" s="24">
        <v>9.7775443944006918E-3</v>
      </c>
      <c r="R60" s="24">
        <v>1.1719890661111659E-2</v>
      </c>
      <c r="S60" s="26">
        <v>0</v>
      </c>
      <c r="T60" s="26">
        <v>0</v>
      </c>
      <c r="U60" s="26">
        <v>1.5884578578857799E-4</v>
      </c>
      <c r="V60" s="26">
        <v>9.8317473549625417E-5</v>
      </c>
      <c r="W60" s="26">
        <v>2.956821386555738E-5</v>
      </c>
      <c r="X60" s="26">
        <v>7.3846488576314673E-3</v>
      </c>
      <c r="Y60" s="26">
        <v>7.6713803308352283E-3</v>
      </c>
      <c r="Z60" s="28">
        <v>0</v>
      </c>
      <c r="AA60" s="28">
        <v>1.3758060237990489E-3</v>
      </c>
      <c r="AB60" s="28">
        <v>2.8029422642845481E-5</v>
      </c>
      <c r="AC60" s="28">
        <v>2.3968260093961618E-5</v>
      </c>
      <c r="AD60" s="28">
        <v>1.3440699932790739E-5</v>
      </c>
      <c r="AE60" s="28">
        <v>7.665730032181484E-4</v>
      </c>
      <c r="AF60" s="28">
        <v>2.2078174096867953E-3</v>
      </c>
      <c r="AG60" s="30">
        <v>0</v>
      </c>
      <c r="AH60" s="30">
        <v>7.228237882960114E-6</v>
      </c>
      <c r="AI60" s="30">
        <v>1.050429925159661E-4</v>
      </c>
      <c r="AJ60" s="30">
        <v>8.5554174677296554E-5</v>
      </c>
      <c r="AK60" s="30">
        <v>1.2543861963423409E-5</v>
      </c>
      <c r="AL60" s="30">
        <v>2.1876111027913561E-3</v>
      </c>
      <c r="AM60" s="30">
        <v>2.3979803698310023E-3</v>
      </c>
      <c r="AN60" s="32">
        <v>0</v>
      </c>
      <c r="AO60" s="32">
        <v>5.1842725945187069E-6</v>
      </c>
      <c r="AP60" s="32">
        <v>2.4817048849666651E-7</v>
      </c>
      <c r="AQ60" s="32">
        <v>6.5490648626579012E-8</v>
      </c>
      <c r="AR60" s="32">
        <v>4.9529610120037038E-8</v>
      </c>
      <c r="AS60" s="32">
        <v>1.557545808442301E-6</v>
      </c>
      <c r="AT60" s="32">
        <v>7.1050091502042901E-6</v>
      </c>
      <c r="AU60" s="34">
        <v>0</v>
      </c>
      <c r="AV60" s="34">
        <v>0</v>
      </c>
      <c r="AW60" s="34">
        <v>2.7764299448046754E-3</v>
      </c>
      <c r="AX60" s="34">
        <v>2.01770987761535E-2</v>
      </c>
      <c r="AY60" s="34">
        <v>1.5329507613210733E-2</v>
      </c>
      <c r="AZ60" s="34">
        <v>0.12583044321433179</v>
      </c>
      <c r="BA60" s="34">
        <v>0.1641134795485007</v>
      </c>
      <c r="BB60" s="6"/>
      <c r="BC60" s="6"/>
      <c r="BD60" t="s">
        <v>908</v>
      </c>
      <c r="BF60" s="5">
        <v>7.814128699999999E-3</v>
      </c>
      <c r="BG60" s="5">
        <f t="shared" si="1"/>
        <v>-3.9057619611116597E-3</v>
      </c>
      <c r="BH60" s="2">
        <v>20.203738999999999</v>
      </c>
    </row>
    <row r="61" spans="1:60" x14ac:dyDescent="0.2">
      <c r="A61" t="str">
        <f t="shared" si="4"/>
        <v>Bicycle, electric (&lt;45 km/h) - 2040 - NMC - CH</v>
      </c>
      <c r="B61" t="s">
        <v>263</v>
      </c>
      <c r="D61" s="18">
        <v>2040</v>
      </c>
      <c r="E61" t="s">
        <v>37</v>
      </c>
      <c r="F61" t="s">
        <v>136</v>
      </c>
      <c r="G61" t="s">
        <v>39</v>
      </c>
      <c r="H61" t="s">
        <v>32</v>
      </c>
      <c r="I61" t="s">
        <v>42</v>
      </c>
      <c r="J61" t="s">
        <v>464</v>
      </c>
      <c r="L61" s="24">
        <v>0</v>
      </c>
      <c r="M61" s="24">
        <v>0</v>
      </c>
      <c r="N61" s="24">
        <v>2.7867064536129458E-4</v>
      </c>
      <c r="O61" s="24">
        <v>1.195732624675443E-3</v>
      </c>
      <c r="P61" s="24">
        <v>4.6431647259092168E-4</v>
      </c>
      <c r="Q61" s="24">
        <v>9.5761609501335328E-3</v>
      </c>
      <c r="R61" s="24">
        <v>1.1514880692761192E-2</v>
      </c>
      <c r="S61" s="26">
        <v>0</v>
      </c>
      <c r="T61" s="26">
        <v>0</v>
      </c>
      <c r="U61" s="26">
        <v>1.5884578578857799E-4</v>
      </c>
      <c r="V61" s="26">
        <v>9.8317473549625417E-5</v>
      </c>
      <c r="W61" s="26">
        <v>2.9339062365383309E-5</v>
      </c>
      <c r="X61" s="26">
        <v>6.2810377629805309E-3</v>
      </c>
      <c r="Y61" s="26">
        <v>6.5675400846841175E-3</v>
      </c>
      <c r="Z61" s="28">
        <v>0</v>
      </c>
      <c r="AA61" s="28">
        <v>1.3758060237990489E-3</v>
      </c>
      <c r="AB61" s="28">
        <v>2.8029422642845481E-5</v>
      </c>
      <c r="AC61" s="28">
        <v>2.3968260093961618E-5</v>
      </c>
      <c r="AD61" s="28">
        <v>1.3336535488939229E-5</v>
      </c>
      <c r="AE61" s="28">
        <v>6.9443754179633642E-4</v>
      </c>
      <c r="AF61" s="28">
        <v>2.1355777838211317E-3</v>
      </c>
      <c r="AG61" s="30">
        <v>0</v>
      </c>
      <c r="AH61" s="30">
        <v>7.228237882960114E-6</v>
      </c>
      <c r="AI61" s="30">
        <v>1.050429925159661E-4</v>
      </c>
      <c r="AJ61" s="30">
        <v>8.5554174677296554E-5</v>
      </c>
      <c r="AK61" s="30">
        <v>1.244664794840158E-5</v>
      </c>
      <c r="AL61" s="30">
        <v>2.016975262949929E-3</v>
      </c>
      <c r="AM61" s="30">
        <v>2.2272473159745533E-3</v>
      </c>
      <c r="AN61" s="32">
        <v>0</v>
      </c>
      <c r="AO61" s="32">
        <v>5.1842725945187069E-6</v>
      </c>
      <c r="AP61" s="32">
        <v>2.4817048849666651E-7</v>
      </c>
      <c r="AQ61" s="32">
        <v>6.5490648626579012E-8</v>
      </c>
      <c r="AR61" s="32">
        <v>4.9145759255265523E-8</v>
      </c>
      <c r="AS61" s="32">
        <v>1.3622947149483109E-6</v>
      </c>
      <c r="AT61" s="32">
        <v>6.9093742058455284E-6</v>
      </c>
      <c r="AU61" s="34">
        <v>0</v>
      </c>
      <c r="AV61" s="34">
        <v>0</v>
      </c>
      <c r="AW61" s="34">
        <v>2.7764299448046754E-3</v>
      </c>
      <c r="AX61" s="34">
        <v>2.01770987761535E-2</v>
      </c>
      <c r="AY61" s="34">
        <v>1.5210705047642539E-2</v>
      </c>
      <c r="AZ61" s="34">
        <v>0.12081974100548248</v>
      </c>
      <c r="BA61" s="34">
        <v>0.15898397477408321</v>
      </c>
      <c r="BB61" s="6"/>
      <c r="BC61" s="6"/>
      <c r="BD61" t="s">
        <v>909</v>
      </c>
      <c r="BF61" s="5">
        <v>7.6003578000000006E-3</v>
      </c>
      <c r="BG61" s="5">
        <f t="shared" si="1"/>
        <v>-3.9145228927611915E-3</v>
      </c>
      <c r="BH61" s="2">
        <v>18.105080000000001</v>
      </c>
    </row>
    <row r="62" spans="1:60" x14ac:dyDescent="0.2">
      <c r="A62" t="str">
        <f t="shared" si="4"/>
        <v>Bicycle, electric (&lt;45 km/h) - 2050 - NMC - CH</v>
      </c>
      <c r="B62" t="s">
        <v>263</v>
      </c>
      <c r="D62" s="18">
        <v>2050</v>
      </c>
      <c r="E62" t="s">
        <v>37</v>
      </c>
      <c r="F62" t="s">
        <v>136</v>
      </c>
      <c r="G62" t="s">
        <v>39</v>
      </c>
      <c r="H62" t="s">
        <v>32</v>
      </c>
      <c r="I62" t="s">
        <v>42</v>
      </c>
      <c r="J62" t="s">
        <v>464</v>
      </c>
      <c r="L62" s="24">
        <v>0</v>
      </c>
      <c r="M62" s="24">
        <v>0</v>
      </c>
      <c r="N62" s="24">
        <v>2.7867064536129458E-4</v>
      </c>
      <c r="O62" s="24">
        <v>1.195732624675443E-3</v>
      </c>
      <c r="P62" s="24">
        <v>4.6509033337857321E-4</v>
      </c>
      <c r="Q62" s="24">
        <v>9.8993866474147967E-3</v>
      </c>
      <c r="R62" s="24">
        <v>1.1838880250830108E-2</v>
      </c>
      <c r="S62" s="26">
        <v>0</v>
      </c>
      <c r="T62" s="26">
        <v>0</v>
      </c>
      <c r="U62" s="26">
        <v>1.5884578578857799E-4</v>
      </c>
      <c r="V62" s="26">
        <v>9.8317473549625417E-5</v>
      </c>
      <c r="W62" s="26">
        <v>2.9387960802658939E-5</v>
      </c>
      <c r="X62" s="26">
        <v>6.17788644576912E-3</v>
      </c>
      <c r="Y62" s="26">
        <v>6.4644376659099825E-3</v>
      </c>
      <c r="Z62" s="28">
        <v>0</v>
      </c>
      <c r="AA62" s="28">
        <v>1.3758060237990489E-3</v>
      </c>
      <c r="AB62" s="28">
        <v>2.8029422642845481E-5</v>
      </c>
      <c r="AC62" s="28">
        <v>2.3968260093961618E-5</v>
      </c>
      <c r="AD62" s="28">
        <v>1.335876304808745E-5</v>
      </c>
      <c r="AE62" s="28">
        <v>7.0370729650907275E-4</v>
      </c>
      <c r="AF62" s="28">
        <v>2.1448697660930161E-3</v>
      </c>
      <c r="AG62" s="30">
        <v>0</v>
      </c>
      <c r="AH62" s="30">
        <v>7.228237882960114E-6</v>
      </c>
      <c r="AI62" s="30">
        <v>1.050429925159661E-4</v>
      </c>
      <c r="AJ62" s="30">
        <v>8.5554174677296554E-5</v>
      </c>
      <c r="AK62" s="30">
        <v>1.246739236164892E-5</v>
      </c>
      <c r="AL62" s="30">
        <v>2.0555302742088799E-3</v>
      </c>
      <c r="AM62" s="30">
        <v>2.2658230716467516E-3</v>
      </c>
      <c r="AN62" s="32">
        <v>0</v>
      </c>
      <c r="AO62" s="32">
        <v>5.1842725945187069E-6</v>
      </c>
      <c r="AP62" s="32">
        <v>2.4817048849666651E-7</v>
      </c>
      <c r="AQ62" s="32">
        <v>6.5490648626579012E-8</v>
      </c>
      <c r="AR62" s="32">
        <v>4.9227668854024287E-8</v>
      </c>
      <c r="AS62" s="32">
        <v>1.349571522177053E-6</v>
      </c>
      <c r="AT62" s="32">
        <v>6.8967329226730297E-6</v>
      </c>
      <c r="AU62" s="34">
        <v>0</v>
      </c>
      <c r="AV62" s="34">
        <v>0</v>
      </c>
      <c r="AW62" s="34">
        <v>2.7764299448046754E-3</v>
      </c>
      <c r="AX62" s="34">
        <v>2.01770987761535E-2</v>
      </c>
      <c r="AY62" s="34">
        <v>1.5236056222721946E-2</v>
      </c>
      <c r="AZ62" s="34">
        <v>0.12389477893190831</v>
      </c>
      <c r="BA62" s="34">
        <v>0.16208436387558844</v>
      </c>
      <c r="BB62" s="6"/>
      <c r="BC62" s="6"/>
      <c r="BD62" t="s">
        <v>910</v>
      </c>
      <c r="BF62" s="5">
        <v>7.7195110999999997E-3</v>
      </c>
      <c r="BG62" s="5">
        <f t="shared" si="1"/>
        <v>-4.1193691508301083E-3</v>
      </c>
      <c r="BH62" s="2">
        <v>17.880268000000001</v>
      </c>
    </row>
    <row r="63" spans="1:60" x14ac:dyDescent="0.2">
      <c r="A63" t="str">
        <f t="shared" si="4"/>
        <v>Bicycle, battery electric, cargo bike - 2020 - NMC - CH</v>
      </c>
      <c r="B63" t="s">
        <v>652</v>
      </c>
      <c r="D63" s="18">
        <v>2020</v>
      </c>
      <c r="E63" t="s">
        <v>37</v>
      </c>
      <c r="F63" t="s">
        <v>136</v>
      </c>
      <c r="G63" t="s">
        <v>39</v>
      </c>
      <c r="H63" t="s">
        <v>32</v>
      </c>
      <c r="I63" t="s">
        <v>42</v>
      </c>
      <c r="J63" t="s">
        <v>464</v>
      </c>
      <c r="L63" s="24">
        <v>0</v>
      </c>
      <c r="M63" s="24">
        <v>0</v>
      </c>
      <c r="N63" s="24">
        <v>2.1347201307001551E-4</v>
      </c>
      <c r="O63" s="24">
        <v>1.195732624675443E-3</v>
      </c>
      <c r="P63" s="24">
        <v>7.7499881822161193E-4</v>
      </c>
      <c r="Q63" s="24">
        <v>2.2207853183671349E-2</v>
      </c>
      <c r="R63" s="24">
        <v>2.4392056639638421E-2</v>
      </c>
      <c r="S63" s="26">
        <v>0</v>
      </c>
      <c r="T63" s="26">
        <v>0</v>
      </c>
      <c r="U63" s="26">
        <v>1.2168174231632199E-4</v>
      </c>
      <c r="V63" s="26">
        <v>9.8317473549625417E-5</v>
      </c>
      <c r="W63" s="26">
        <v>4.897034674222067E-5</v>
      </c>
      <c r="X63" s="26">
        <v>1.3437941841274189E-2</v>
      </c>
      <c r="Y63" s="26">
        <v>1.3706911403882357E-2</v>
      </c>
      <c r="Z63" s="28">
        <v>0</v>
      </c>
      <c r="AA63" s="28">
        <v>2.7516120475980978E-3</v>
      </c>
      <c r="AB63" s="28">
        <v>2.1471573616951781E-5</v>
      </c>
      <c r="AC63" s="28">
        <v>2.3968260093961618E-5</v>
      </c>
      <c r="AD63" s="28">
        <v>2.2260246735214739E-5</v>
      </c>
      <c r="AE63" s="28">
        <v>1.5194191966950671E-3</v>
      </c>
      <c r="AF63" s="28">
        <v>4.3387313247392929E-3</v>
      </c>
      <c r="AG63" s="30">
        <v>0</v>
      </c>
      <c r="AH63" s="30">
        <v>1.445647576592023E-5</v>
      </c>
      <c r="AI63" s="30">
        <v>8.0466814300478743E-5</v>
      </c>
      <c r="AJ63" s="30">
        <v>8.5554174677296554E-5</v>
      </c>
      <c r="AK63" s="30">
        <v>2.0774919737405581E-5</v>
      </c>
      <c r="AL63" s="30">
        <v>4.1247769659680297E-3</v>
      </c>
      <c r="AM63" s="30">
        <v>4.326029350449131E-3</v>
      </c>
      <c r="AN63" s="32">
        <v>0</v>
      </c>
      <c r="AO63" s="32">
        <v>1.036854518903741E-5</v>
      </c>
      <c r="AP63" s="32">
        <v>1.901077657292092E-7</v>
      </c>
      <c r="AQ63" s="32">
        <v>6.5490648626579012E-8</v>
      </c>
      <c r="AR63" s="32">
        <v>8.2030054051068197E-8</v>
      </c>
      <c r="AS63" s="32">
        <v>3.247132157769772E-6</v>
      </c>
      <c r="AT63" s="32">
        <v>1.395330581521404E-5</v>
      </c>
      <c r="AU63" s="34">
        <v>0</v>
      </c>
      <c r="AV63" s="34">
        <v>0</v>
      </c>
      <c r="AW63" s="34">
        <v>2.1268479451680587E-3</v>
      </c>
      <c r="AX63" s="34">
        <v>2.01770987761535E-2</v>
      </c>
      <c r="AY63" s="34">
        <v>2.5388456219226894E-2</v>
      </c>
      <c r="AZ63" s="34">
        <v>0.28308506081476031</v>
      </c>
      <c r="BA63" s="34">
        <v>0.33077746375530875</v>
      </c>
      <c r="BB63" s="6"/>
      <c r="BC63" s="6"/>
      <c r="BD63" t="s">
        <v>911</v>
      </c>
      <c r="BF63" s="5">
        <v>1.6140363000000001E-2</v>
      </c>
      <c r="BG63" s="5">
        <f t="shared" si="1"/>
        <v>-8.2516936396384195E-3</v>
      </c>
      <c r="BH63" s="2">
        <v>39.702021999999999</v>
      </c>
    </row>
    <row r="64" spans="1:60" x14ac:dyDescent="0.2">
      <c r="A64" t="str">
        <f t="shared" si="4"/>
        <v>Bicycle, battery electric, cargo bike - 2030 - NMC - CH</v>
      </c>
      <c r="B64" t="s">
        <v>652</v>
      </c>
      <c r="D64" s="18">
        <v>2030</v>
      </c>
      <c r="E64" t="s">
        <v>37</v>
      </c>
      <c r="F64" t="s">
        <v>136</v>
      </c>
      <c r="G64" t="s">
        <v>39</v>
      </c>
      <c r="H64" t="s">
        <v>32</v>
      </c>
      <c r="I64" t="s">
        <v>42</v>
      </c>
      <c r="J64" t="s">
        <v>464</v>
      </c>
      <c r="L64" s="24">
        <v>0</v>
      </c>
      <c r="M64" s="24">
        <v>0</v>
      </c>
      <c r="N64" s="24">
        <v>2.1347201307001551E-4</v>
      </c>
      <c r="O64" s="24">
        <v>1.195732624675443E-3</v>
      </c>
      <c r="P64" s="24">
        <v>7.6836789343330363E-4</v>
      </c>
      <c r="Q64" s="24">
        <v>2.255563105074997E-2</v>
      </c>
      <c r="R64" s="24">
        <v>2.4733203581928733E-2</v>
      </c>
      <c r="S64" s="26">
        <v>0</v>
      </c>
      <c r="T64" s="26">
        <v>0</v>
      </c>
      <c r="U64" s="26">
        <v>1.2168174231632199E-4</v>
      </c>
      <c r="V64" s="26">
        <v>9.8317473549625417E-5</v>
      </c>
      <c r="W64" s="26">
        <v>4.855135425027058E-5</v>
      </c>
      <c r="X64" s="26">
        <v>1.0802098385586909E-2</v>
      </c>
      <c r="Y64" s="26">
        <v>1.1070648955703127E-2</v>
      </c>
      <c r="Z64" s="28">
        <v>0</v>
      </c>
      <c r="AA64" s="28">
        <v>2.7516120475980978E-3</v>
      </c>
      <c r="AB64" s="28">
        <v>2.1471573616951781E-5</v>
      </c>
      <c r="AC64" s="28">
        <v>2.3968260093961618E-5</v>
      </c>
      <c r="AD64" s="28">
        <v>2.2069787061728899E-5</v>
      </c>
      <c r="AE64" s="28">
        <v>1.3863481951345851E-3</v>
      </c>
      <c r="AF64" s="28">
        <v>4.2054698635053244E-3</v>
      </c>
      <c r="AG64" s="30">
        <v>0</v>
      </c>
      <c r="AH64" s="30">
        <v>1.445647576592023E-5</v>
      </c>
      <c r="AI64" s="30">
        <v>8.0466814300478743E-5</v>
      </c>
      <c r="AJ64" s="30">
        <v>8.5554174677296554E-5</v>
      </c>
      <c r="AK64" s="30">
        <v>2.0597168588599979E-5</v>
      </c>
      <c r="AL64" s="30">
        <v>3.870340029132017E-3</v>
      </c>
      <c r="AM64" s="30">
        <v>4.0714146624643123E-3</v>
      </c>
      <c r="AN64" s="32">
        <v>0</v>
      </c>
      <c r="AO64" s="32">
        <v>1.036854518903741E-5</v>
      </c>
      <c r="AP64" s="32">
        <v>1.901077657292092E-7</v>
      </c>
      <c r="AQ64" s="32">
        <v>6.5490648626579012E-8</v>
      </c>
      <c r="AR64" s="32">
        <v>8.1328201214644952E-8</v>
      </c>
      <c r="AS64" s="32">
        <v>2.7871139311076272E-6</v>
      </c>
      <c r="AT64" s="32">
        <v>1.3492585735715473E-5</v>
      </c>
      <c r="AU64" s="34">
        <v>0</v>
      </c>
      <c r="AV64" s="34">
        <v>0</v>
      </c>
      <c r="AW64" s="34">
        <v>2.1268479451680587E-3</v>
      </c>
      <c r="AX64" s="34">
        <v>2.01770987761535E-2</v>
      </c>
      <c r="AY64" s="34">
        <v>2.5171231444526893E-2</v>
      </c>
      <c r="AZ64" s="34">
        <v>0.27951390716620239</v>
      </c>
      <c r="BA64" s="34">
        <v>0.32698908533205084</v>
      </c>
      <c r="BB64" s="6"/>
      <c r="BC64" s="6"/>
      <c r="BD64" t="s">
        <v>912</v>
      </c>
      <c r="BF64" s="5">
        <v>1.5970189000000003E-2</v>
      </c>
      <c r="BG64" s="5">
        <f t="shared" si="1"/>
        <v>-8.7630145819287304E-3</v>
      </c>
      <c r="BH64" s="2">
        <v>34.616849000000002</v>
      </c>
    </row>
    <row r="65" spans="1:60" x14ac:dyDescent="0.2">
      <c r="A65" t="str">
        <f t="shared" si="4"/>
        <v>Bicycle, battery electric, cargo bike - 2040 - NMC - CH</v>
      </c>
      <c r="B65" t="s">
        <v>652</v>
      </c>
      <c r="D65" s="18">
        <v>2040</v>
      </c>
      <c r="E65" t="s">
        <v>37</v>
      </c>
      <c r="F65" t="s">
        <v>136</v>
      </c>
      <c r="G65" t="s">
        <v>39</v>
      </c>
      <c r="H65" t="s">
        <v>32</v>
      </c>
      <c r="I65" t="s">
        <v>42</v>
      </c>
      <c r="J65" t="s">
        <v>464</v>
      </c>
      <c r="L65" s="24">
        <v>0</v>
      </c>
      <c r="M65" s="24">
        <v>0</v>
      </c>
      <c r="N65" s="24">
        <v>2.1347201307001551E-4</v>
      </c>
      <c r="O65" s="24">
        <v>1.195732624675443E-3</v>
      </c>
      <c r="P65" s="24">
        <v>7.6248048195077839E-4</v>
      </c>
      <c r="Q65" s="24">
        <v>2.2775274334943339E-2</v>
      </c>
      <c r="R65" s="24">
        <v>2.4946959454639574E-2</v>
      </c>
      <c r="S65" s="26">
        <v>0</v>
      </c>
      <c r="T65" s="26">
        <v>0</v>
      </c>
      <c r="U65" s="26">
        <v>1.2168174231632199E-4</v>
      </c>
      <c r="V65" s="26">
        <v>9.8317473549625417E-5</v>
      </c>
      <c r="W65" s="26">
        <v>4.8179342609820628E-5</v>
      </c>
      <c r="X65" s="26">
        <v>9.0372046485396405E-3</v>
      </c>
      <c r="Y65" s="26">
        <v>9.3053832070154087E-3</v>
      </c>
      <c r="Z65" s="28">
        <v>0</v>
      </c>
      <c r="AA65" s="28">
        <v>2.7516120475980978E-3</v>
      </c>
      <c r="AB65" s="28">
        <v>2.1471573616951781E-5</v>
      </c>
      <c r="AC65" s="28">
        <v>2.3968260093961618E-5</v>
      </c>
      <c r="AD65" s="28">
        <v>2.1900683278405099E-5</v>
      </c>
      <c r="AE65" s="28">
        <v>1.2964732590299E-3</v>
      </c>
      <c r="AF65" s="28">
        <v>4.1154258236173165E-3</v>
      </c>
      <c r="AG65" s="30">
        <v>0</v>
      </c>
      <c r="AH65" s="30">
        <v>1.445647576592023E-5</v>
      </c>
      <c r="AI65" s="30">
        <v>8.0466814300478743E-5</v>
      </c>
      <c r="AJ65" s="30">
        <v>8.5554174677296554E-5</v>
      </c>
      <c r="AK65" s="30">
        <v>2.0439348346639859E-5</v>
      </c>
      <c r="AL65" s="30">
        <v>3.696611527351222E-3</v>
      </c>
      <c r="AM65" s="30">
        <v>3.8975283404415573E-3</v>
      </c>
      <c r="AN65" s="32">
        <v>0</v>
      </c>
      <c r="AO65" s="32">
        <v>1.036854518903741E-5</v>
      </c>
      <c r="AP65" s="32">
        <v>1.901077657292092E-7</v>
      </c>
      <c r="AQ65" s="32">
        <v>6.5490648626579012E-8</v>
      </c>
      <c r="AR65" s="32">
        <v>8.0705045835852706E-8</v>
      </c>
      <c r="AS65" s="32">
        <v>2.4783359410264612E-6</v>
      </c>
      <c r="AT65" s="32">
        <v>1.3183184590255513E-5</v>
      </c>
      <c r="AU65" s="34">
        <v>0</v>
      </c>
      <c r="AV65" s="34">
        <v>0</v>
      </c>
      <c r="AW65" s="34">
        <v>2.1268479451680587E-3</v>
      </c>
      <c r="AX65" s="34">
        <v>2.01770987761535E-2</v>
      </c>
      <c r="AY65" s="34">
        <v>2.4978363681177701E-2</v>
      </c>
      <c r="AZ65" s="34">
        <v>0.27698105092912673</v>
      </c>
      <c r="BA65" s="34">
        <v>0.32426336133162598</v>
      </c>
      <c r="BB65" s="6"/>
      <c r="BC65" s="6"/>
      <c r="BD65" t="s">
        <v>913</v>
      </c>
      <c r="BF65" s="5">
        <v>1.5842831000000002E-2</v>
      </c>
      <c r="BG65" s="5">
        <f t="shared" si="1"/>
        <v>-9.104128454639572E-3</v>
      </c>
      <c r="BH65" s="2">
        <v>31.194571</v>
      </c>
    </row>
    <row r="66" spans="1:60" x14ac:dyDescent="0.2">
      <c r="A66" t="str">
        <f t="shared" si="4"/>
        <v>Bicycle, battery electric, cargo bike - 2050 - NMC - CH</v>
      </c>
      <c r="B66" t="s">
        <v>652</v>
      </c>
      <c r="D66" s="18">
        <v>2050</v>
      </c>
      <c r="E66" t="s">
        <v>37</v>
      </c>
      <c r="F66" t="s">
        <v>136</v>
      </c>
      <c r="G66" t="s">
        <v>39</v>
      </c>
      <c r="H66" t="s">
        <v>32</v>
      </c>
      <c r="I66" t="s">
        <v>42</v>
      </c>
      <c r="J66" t="s">
        <v>464</v>
      </c>
      <c r="L66" s="24">
        <v>0</v>
      </c>
      <c r="M66" s="24">
        <v>0</v>
      </c>
      <c r="N66" s="24">
        <v>2.1347201307001551E-4</v>
      </c>
      <c r="O66" s="24">
        <v>1.195732624675443E-3</v>
      </c>
      <c r="P66" s="24">
        <v>7.5856565678971755E-4</v>
      </c>
      <c r="Q66" s="24">
        <v>2.3501171579932319E-2</v>
      </c>
      <c r="R66" s="24">
        <v>2.5668941874467496E-2</v>
      </c>
      <c r="S66" s="26">
        <v>0</v>
      </c>
      <c r="T66" s="26">
        <v>0</v>
      </c>
      <c r="U66" s="26">
        <v>1.2168174231632199E-4</v>
      </c>
      <c r="V66" s="26">
        <v>9.8317473549625417E-5</v>
      </c>
      <c r="W66" s="26">
        <v>4.7931974044779159E-5</v>
      </c>
      <c r="X66" s="26">
        <v>8.2575643082954397E-3</v>
      </c>
      <c r="Y66" s="26">
        <v>8.5254954982061665E-3</v>
      </c>
      <c r="Z66" s="28">
        <v>0</v>
      </c>
      <c r="AA66" s="28">
        <v>2.7516120475980978E-3</v>
      </c>
      <c r="AB66" s="28">
        <v>2.1471573616951781E-5</v>
      </c>
      <c r="AC66" s="28">
        <v>2.3968260093961618E-5</v>
      </c>
      <c r="AD66" s="28">
        <v>2.1788237979184629E-5</v>
      </c>
      <c r="AE66" s="28">
        <v>1.2861053425090661E-3</v>
      </c>
      <c r="AF66" s="28">
        <v>4.1049454617972615E-3</v>
      </c>
      <c r="AG66" s="30">
        <v>0</v>
      </c>
      <c r="AH66" s="30">
        <v>1.445647576592023E-5</v>
      </c>
      <c r="AI66" s="30">
        <v>8.0466814300478743E-5</v>
      </c>
      <c r="AJ66" s="30">
        <v>8.5554174677296554E-5</v>
      </c>
      <c r="AK66" s="30">
        <v>2.0334406020800391E-5</v>
      </c>
      <c r="AL66" s="30">
        <v>3.7239045752225672E-3</v>
      </c>
      <c r="AM66" s="30">
        <v>3.9247164459870632E-3</v>
      </c>
      <c r="AN66" s="32">
        <v>0</v>
      </c>
      <c r="AO66" s="32">
        <v>1.036854518903741E-5</v>
      </c>
      <c r="AP66" s="32">
        <v>1.901077657292092E-7</v>
      </c>
      <c r="AQ66" s="32">
        <v>6.5490648626579012E-8</v>
      </c>
      <c r="AR66" s="32">
        <v>8.0290679630367122E-8</v>
      </c>
      <c r="AS66" s="32">
        <v>2.3494561141384581E-6</v>
      </c>
      <c r="AT66" s="32">
        <v>1.3053890397162026E-5</v>
      </c>
      <c r="AU66" s="34">
        <v>0</v>
      </c>
      <c r="AV66" s="34">
        <v>0</v>
      </c>
      <c r="AW66" s="34">
        <v>2.1268479451680587E-3</v>
      </c>
      <c r="AX66" s="34">
        <v>2.01770987761535E-2</v>
      </c>
      <c r="AY66" s="34">
        <v>2.4850116560187773E-2</v>
      </c>
      <c r="AZ66" s="34">
        <v>0.28232007580793861</v>
      </c>
      <c r="BA66" s="34">
        <v>0.32947413908944795</v>
      </c>
      <c r="BB66" s="6"/>
      <c r="BC66" s="6"/>
      <c r="BD66" t="s">
        <v>914</v>
      </c>
      <c r="BF66" s="5">
        <v>1.6030559E-2</v>
      </c>
      <c r="BG66" s="5">
        <f t="shared" si="1"/>
        <v>-9.6383828744674958E-3</v>
      </c>
      <c r="BH66" s="2">
        <v>29.600327</v>
      </c>
    </row>
    <row r="67" spans="1:60" x14ac:dyDescent="0.2">
      <c r="A67" t="str">
        <f t="shared" si="4"/>
        <v>Bicycle, electric (&lt;25 km/h) - 2020 - LFP - CH</v>
      </c>
      <c r="B67" t="s">
        <v>262</v>
      </c>
      <c r="D67" s="18">
        <v>2020</v>
      </c>
      <c r="E67" t="s">
        <v>37</v>
      </c>
      <c r="F67" t="s">
        <v>136</v>
      </c>
      <c r="G67" t="s">
        <v>39</v>
      </c>
      <c r="H67" t="s">
        <v>32</v>
      </c>
      <c r="I67" t="s">
        <v>43</v>
      </c>
      <c r="J67" t="s">
        <v>464</v>
      </c>
      <c r="L67" s="24">
        <v>0</v>
      </c>
      <c r="M67" s="24">
        <v>0</v>
      </c>
      <c r="N67" s="24">
        <v>1.5173567960250059E-4</v>
      </c>
      <c r="O67" s="24">
        <v>1.195732624675443E-3</v>
      </c>
      <c r="P67" s="24">
        <v>4.6659253373107328E-4</v>
      </c>
      <c r="Q67" s="24">
        <v>1.6505643761205481E-2</v>
      </c>
      <c r="R67" s="24">
        <v>1.8319704599214497E-2</v>
      </c>
      <c r="S67" s="26">
        <v>0</v>
      </c>
      <c r="T67" s="26">
        <v>0</v>
      </c>
      <c r="U67" s="26">
        <v>8.6491252881602508E-5</v>
      </c>
      <c r="V67" s="26">
        <v>9.8317473549625417E-5</v>
      </c>
      <c r="W67" s="26">
        <v>2.948288129854695E-5</v>
      </c>
      <c r="X67" s="26">
        <v>8.2258663807938392E-3</v>
      </c>
      <c r="Y67" s="26">
        <v>8.4401579885236139E-3</v>
      </c>
      <c r="Z67" s="28">
        <v>0</v>
      </c>
      <c r="AA67" s="28">
        <v>1.3758060237990489E-3</v>
      </c>
      <c r="AB67" s="28">
        <v>1.5261971665741149E-5</v>
      </c>
      <c r="AC67" s="28">
        <v>2.3968260093961618E-5</v>
      </c>
      <c r="AD67" s="28">
        <v>1.340191066290461E-5</v>
      </c>
      <c r="AE67" s="28">
        <v>1.1968245285550461E-3</v>
      </c>
      <c r="AF67" s="28">
        <v>2.6252626947767021E-3</v>
      </c>
      <c r="AG67" s="30">
        <v>0</v>
      </c>
      <c r="AH67" s="30">
        <v>7.228237882960114E-6</v>
      </c>
      <c r="AI67" s="30">
        <v>5.7195725930249998E-5</v>
      </c>
      <c r="AJ67" s="30">
        <v>8.5554174677296554E-5</v>
      </c>
      <c r="AK67" s="30">
        <v>1.250766092854081E-5</v>
      </c>
      <c r="AL67" s="30">
        <v>3.8296400260956951E-3</v>
      </c>
      <c r="AM67" s="30">
        <v>3.9921258255147425E-3</v>
      </c>
      <c r="AN67" s="32">
        <v>0</v>
      </c>
      <c r="AO67" s="32">
        <v>5.1842725945187069E-6</v>
      </c>
      <c r="AP67" s="32">
        <v>1.3512839746900889E-7</v>
      </c>
      <c r="AQ67" s="32">
        <v>6.5490648626579012E-8</v>
      </c>
      <c r="AR67" s="32">
        <v>4.9386669839850162E-8</v>
      </c>
      <c r="AS67" s="32">
        <v>2.074391227463549E-6</v>
      </c>
      <c r="AT67" s="32">
        <v>7.5086695379176938E-6</v>
      </c>
      <c r="AU67" s="34">
        <v>0</v>
      </c>
      <c r="AV67" s="34">
        <v>0</v>
      </c>
      <c r="AW67" s="34">
        <v>1.5117612549304556E-3</v>
      </c>
      <c r="AX67" s="34">
        <v>2.01770987761535E-2</v>
      </c>
      <c r="AY67" s="34">
        <v>1.5285267327287853E-2</v>
      </c>
      <c r="AZ67" s="34">
        <v>0.21047691392722634</v>
      </c>
      <c r="BA67" s="34">
        <v>0.24745104128559814</v>
      </c>
      <c r="BB67" s="6"/>
      <c r="BC67" s="6"/>
      <c r="BD67" t="s">
        <v>627</v>
      </c>
      <c r="BF67" s="5">
        <v>1.3146863999999999E-2</v>
      </c>
      <c r="BG67" s="5">
        <f t="shared" si="1"/>
        <v>-5.1728405992144972E-3</v>
      </c>
      <c r="BH67" s="2">
        <v>39.066484000000003</v>
      </c>
    </row>
    <row r="68" spans="1:60" x14ac:dyDescent="0.2">
      <c r="A68" t="str">
        <f t="shared" si="4"/>
        <v>Bicycle, electric (&lt;25 km/h) - 2030 - LFP - CH</v>
      </c>
      <c r="B68" t="s">
        <v>262</v>
      </c>
      <c r="D68" s="18">
        <v>2030</v>
      </c>
      <c r="E68" t="s">
        <v>37</v>
      </c>
      <c r="F68" t="s">
        <v>136</v>
      </c>
      <c r="G68" t="s">
        <v>39</v>
      </c>
      <c r="H68" t="s">
        <v>32</v>
      </c>
      <c r="I68" t="s">
        <v>43</v>
      </c>
      <c r="J68" t="s">
        <v>464</v>
      </c>
      <c r="L68" s="24">
        <v>0</v>
      </c>
      <c r="M68" s="24">
        <v>0</v>
      </c>
      <c r="N68" s="24">
        <v>1.5173567960250059E-4</v>
      </c>
      <c r="O68" s="24">
        <v>1.195732624675443E-3</v>
      </c>
      <c r="P68" s="24">
        <v>4.7381523441582089E-4</v>
      </c>
      <c r="Q68" s="24">
        <v>1.730129842392206E-2</v>
      </c>
      <c r="R68" s="24">
        <v>1.9122581962615823E-2</v>
      </c>
      <c r="S68" s="26">
        <v>0</v>
      </c>
      <c r="T68" s="26">
        <v>0</v>
      </c>
      <c r="U68" s="26">
        <v>8.6491252881602508E-5</v>
      </c>
      <c r="V68" s="26">
        <v>9.8317473549625417E-5</v>
      </c>
      <c r="W68" s="26">
        <v>2.993926671311958E-5</v>
      </c>
      <c r="X68" s="26">
        <v>8.3478841054753904E-3</v>
      </c>
      <c r="Y68" s="26">
        <v>8.562632098619738E-3</v>
      </c>
      <c r="Z68" s="28">
        <v>0</v>
      </c>
      <c r="AA68" s="28">
        <v>1.3758060237990489E-3</v>
      </c>
      <c r="AB68" s="28">
        <v>1.5261971665741149E-5</v>
      </c>
      <c r="AC68" s="28">
        <v>2.3968260093961618E-5</v>
      </c>
      <c r="AD68" s="28">
        <v>1.360936788162145E-5</v>
      </c>
      <c r="AE68" s="28">
        <v>1.241371074846764E-3</v>
      </c>
      <c r="AF68" s="28">
        <v>2.6700166982871372E-3</v>
      </c>
      <c r="AG68" s="30">
        <v>0</v>
      </c>
      <c r="AH68" s="30">
        <v>7.228237882960114E-6</v>
      </c>
      <c r="AI68" s="30">
        <v>5.7195725930249998E-5</v>
      </c>
      <c r="AJ68" s="30">
        <v>8.5554174677296554E-5</v>
      </c>
      <c r="AK68" s="30">
        <v>1.2701275452182609E-5</v>
      </c>
      <c r="AL68" s="30">
        <v>3.9694988774694904E-3</v>
      </c>
      <c r="AM68" s="30">
        <v>4.1321782914121793E-3</v>
      </c>
      <c r="AN68" s="32">
        <v>0</v>
      </c>
      <c r="AO68" s="32">
        <v>5.1842725945187069E-6</v>
      </c>
      <c r="AP68" s="32">
        <v>1.3512839746900889E-7</v>
      </c>
      <c r="AQ68" s="32">
        <v>6.5490648626579012E-8</v>
      </c>
      <c r="AR68" s="32">
        <v>5.0151159428265402E-8</v>
      </c>
      <c r="AS68" s="32">
        <v>2.1123012663586759E-6</v>
      </c>
      <c r="AT68" s="32">
        <v>7.5473440664012354E-6</v>
      </c>
      <c r="AU68" s="34">
        <v>0</v>
      </c>
      <c r="AV68" s="34">
        <v>0</v>
      </c>
      <c r="AW68" s="34">
        <v>1.5117612549304556E-3</v>
      </c>
      <c r="AX68" s="34">
        <v>2.01770987761535E-2</v>
      </c>
      <c r="AY68" s="34">
        <v>1.5521878294695623E-2</v>
      </c>
      <c r="AZ68" s="34">
        <v>0.21911361812630106</v>
      </c>
      <c r="BA68" s="34">
        <v>0.25632435645208063</v>
      </c>
      <c r="BB68" s="6"/>
      <c r="BC68" s="6"/>
      <c r="BD68" t="s">
        <v>488</v>
      </c>
      <c r="BF68" s="5">
        <v>1.3508155000000001E-2</v>
      </c>
      <c r="BG68" s="5">
        <f t="shared" ref="BG68:BG131" si="5">BF68-R68</f>
        <v>-5.6144269626158226E-3</v>
      </c>
      <c r="BH68" s="2">
        <v>39.291739</v>
      </c>
    </row>
    <row r="69" spans="1:60" x14ac:dyDescent="0.2">
      <c r="A69" t="str">
        <f t="shared" si="4"/>
        <v>Bicycle, electric (&lt;25 km/h) - 2040 - LFP - CH</v>
      </c>
      <c r="B69" t="s">
        <v>262</v>
      </c>
      <c r="D69" s="18">
        <v>2040</v>
      </c>
      <c r="E69" t="s">
        <v>37</v>
      </c>
      <c r="F69" t="s">
        <v>136</v>
      </c>
      <c r="G69" t="s">
        <v>39</v>
      </c>
      <c r="H69" t="s">
        <v>32</v>
      </c>
      <c r="I69" t="s">
        <v>43</v>
      </c>
      <c r="J69" t="s">
        <v>464</v>
      </c>
      <c r="L69" s="24">
        <v>0</v>
      </c>
      <c r="M69" s="24">
        <v>0</v>
      </c>
      <c r="N69" s="24">
        <v>1.5173567960250059E-4</v>
      </c>
      <c r="O69" s="24">
        <v>1.195732624675443E-3</v>
      </c>
      <c r="P69" s="24">
        <v>4.7190334305809368E-4</v>
      </c>
      <c r="Q69" s="24">
        <v>1.6441178310260911E-2</v>
      </c>
      <c r="R69" s="24">
        <v>1.8260549957596947E-2</v>
      </c>
      <c r="S69" s="26">
        <v>0</v>
      </c>
      <c r="T69" s="26">
        <v>0</v>
      </c>
      <c r="U69" s="26">
        <v>8.6491252881602508E-5</v>
      </c>
      <c r="V69" s="26">
        <v>9.8317473549625417E-5</v>
      </c>
      <c r="W69" s="26">
        <v>2.9818458809262119E-5</v>
      </c>
      <c r="X69" s="26">
        <v>7.5002296310549546E-3</v>
      </c>
      <c r="Y69" s="26">
        <v>7.7148568162954444E-3</v>
      </c>
      <c r="Z69" s="28">
        <v>0</v>
      </c>
      <c r="AA69" s="28">
        <v>1.3758060237990489E-3</v>
      </c>
      <c r="AB69" s="28">
        <v>1.5261971665741149E-5</v>
      </c>
      <c r="AC69" s="28">
        <v>2.3968260093961618E-5</v>
      </c>
      <c r="AD69" s="28">
        <v>1.355445273549052E-5</v>
      </c>
      <c r="AE69" s="28">
        <v>1.135527314052626E-3</v>
      </c>
      <c r="AF69" s="28">
        <v>2.5641180223468681E-3</v>
      </c>
      <c r="AG69" s="30">
        <v>0</v>
      </c>
      <c r="AH69" s="30">
        <v>7.228237882960114E-6</v>
      </c>
      <c r="AI69" s="30">
        <v>5.7195725930249998E-5</v>
      </c>
      <c r="AJ69" s="30">
        <v>8.5554174677296554E-5</v>
      </c>
      <c r="AK69" s="30">
        <v>1.2650024548865661E-5</v>
      </c>
      <c r="AL69" s="30">
        <v>3.631551749364771E-3</v>
      </c>
      <c r="AM69" s="30">
        <v>3.7941799124041435E-3</v>
      </c>
      <c r="AN69" s="32">
        <v>0</v>
      </c>
      <c r="AO69" s="32">
        <v>5.1842725945187069E-6</v>
      </c>
      <c r="AP69" s="32">
        <v>1.3512839746900889E-7</v>
      </c>
      <c r="AQ69" s="32">
        <v>6.5490648626579012E-8</v>
      </c>
      <c r="AR69" s="32">
        <v>4.9948794537214308E-8</v>
      </c>
      <c r="AS69" s="32">
        <v>1.9112971458837662E-6</v>
      </c>
      <c r="AT69" s="32">
        <v>7.3461375810352752E-6</v>
      </c>
      <c r="AU69" s="34">
        <v>0</v>
      </c>
      <c r="AV69" s="34">
        <v>0</v>
      </c>
      <c r="AW69" s="34">
        <v>1.5117612549304556E-3</v>
      </c>
      <c r="AX69" s="34">
        <v>2.01770987761535E-2</v>
      </c>
      <c r="AY69" s="34">
        <v>1.5459245979793569E-2</v>
      </c>
      <c r="AZ69" s="34">
        <v>0.20609465962102799</v>
      </c>
      <c r="BA69" s="34">
        <v>0.2432427656319055</v>
      </c>
      <c r="BB69" s="6"/>
      <c r="BC69" s="6"/>
      <c r="BD69" t="s">
        <v>489</v>
      </c>
      <c r="BF69" s="5">
        <v>1.2706182E-2</v>
      </c>
      <c r="BG69" s="5">
        <f t="shared" si="5"/>
        <v>-5.5543679575969472E-3</v>
      </c>
      <c r="BH69" s="2">
        <v>34.910271000000002</v>
      </c>
    </row>
    <row r="70" spans="1:60" x14ac:dyDescent="0.2">
      <c r="A70" t="str">
        <f t="shared" si="4"/>
        <v>Bicycle, electric (&lt;25 km/h) - 2050 - LFP - CH</v>
      </c>
      <c r="B70" t="s">
        <v>262</v>
      </c>
      <c r="D70" s="18">
        <v>2050</v>
      </c>
      <c r="E70" t="s">
        <v>37</v>
      </c>
      <c r="F70" t="s">
        <v>136</v>
      </c>
      <c r="G70" t="s">
        <v>39</v>
      </c>
      <c r="H70" t="s">
        <v>32</v>
      </c>
      <c r="I70" t="s">
        <v>43</v>
      </c>
      <c r="J70" t="s">
        <v>464</v>
      </c>
      <c r="L70" s="24">
        <v>0</v>
      </c>
      <c r="M70" s="24">
        <v>0</v>
      </c>
      <c r="N70" s="24">
        <v>1.5173567960250059E-4</v>
      </c>
      <c r="O70" s="24">
        <v>1.195732624675443E-3</v>
      </c>
      <c r="P70" s="24">
        <v>4.7492291750402812E-4</v>
      </c>
      <c r="Q70" s="24">
        <v>1.6277304766004991E-2</v>
      </c>
      <c r="R70" s="24">
        <v>1.8099695987786962E-2</v>
      </c>
      <c r="S70" s="26">
        <v>0</v>
      </c>
      <c r="T70" s="26">
        <v>0</v>
      </c>
      <c r="U70" s="26">
        <v>8.6491252881602508E-5</v>
      </c>
      <c r="V70" s="26">
        <v>9.8317473549625417E-5</v>
      </c>
      <c r="W70" s="26">
        <v>3.0009258593925888E-5</v>
      </c>
      <c r="X70" s="26">
        <v>7.1133864594540583E-3</v>
      </c>
      <c r="Y70" s="26">
        <v>7.3282044444792117E-3</v>
      </c>
      <c r="Z70" s="28">
        <v>0</v>
      </c>
      <c r="AA70" s="28">
        <v>1.3758060237990489E-3</v>
      </c>
      <c r="AB70" s="28">
        <v>1.5261971665741149E-5</v>
      </c>
      <c r="AC70" s="28">
        <v>2.3968260093961618E-5</v>
      </c>
      <c r="AD70" s="28">
        <v>1.3641183799617939E-5</v>
      </c>
      <c r="AE70" s="28">
        <v>1.0973681230276621E-3</v>
      </c>
      <c r="AF70" s="28">
        <v>2.5260455623860316E-3</v>
      </c>
      <c r="AG70" s="30">
        <v>0</v>
      </c>
      <c r="AH70" s="30">
        <v>7.228237882960114E-6</v>
      </c>
      <c r="AI70" s="30">
        <v>5.7195725930249998E-5</v>
      </c>
      <c r="AJ70" s="30">
        <v>8.5554174677296554E-5</v>
      </c>
      <c r="AK70" s="30">
        <v>1.2730968435850361E-5</v>
      </c>
      <c r="AL70" s="30">
        <v>3.5071907992978821E-3</v>
      </c>
      <c r="AM70" s="30">
        <v>3.6698999062242392E-3</v>
      </c>
      <c r="AN70" s="32">
        <v>0</v>
      </c>
      <c r="AO70" s="32">
        <v>5.1842725945187069E-6</v>
      </c>
      <c r="AP70" s="32">
        <v>1.3512839746900889E-7</v>
      </c>
      <c r="AQ70" s="32">
        <v>6.5490648626579012E-8</v>
      </c>
      <c r="AR70" s="32">
        <v>5.0268402579429921E-8</v>
      </c>
      <c r="AS70" s="32">
        <v>1.8242122660436949E-6</v>
      </c>
      <c r="AT70" s="32">
        <v>7.2593723092374188E-6</v>
      </c>
      <c r="AU70" s="34">
        <v>0</v>
      </c>
      <c r="AV70" s="34">
        <v>0</v>
      </c>
      <c r="AW70" s="34">
        <v>1.5117612549304556E-3</v>
      </c>
      <c r="AX70" s="34">
        <v>2.01770987761535E-2</v>
      </c>
      <c r="AY70" s="34">
        <v>1.5558165270789669E-2</v>
      </c>
      <c r="AZ70" s="34">
        <v>0.20249340819209583</v>
      </c>
      <c r="BA70" s="34">
        <v>0.23974043349396945</v>
      </c>
      <c r="BB70" s="6"/>
      <c r="BC70" s="6"/>
      <c r="BD70" t="s">
        <v>490</v>
      </c>
      <c r="BF70" s="5">
        <v>1.2432677000000001E-2</v>
      </c>
      <c r="BG70" s="5">
        <f t="shared" si="5"/>
        <v>-5.667018987786961E-3</v>
      </c>
      <c r="BH70" s="2">
        <v>32.805720000000001</v>
      </c>
    </row>
    <row r="71" spans="1:60" x14ac:dyDescent="0.2">
      <c r="A71" t="str">
        <f t="shared" si="4"/>
        <v>Bicycle, electric (&lt;45 km/h) - 2020 - LFP - CH</v>
      </c>
      <c r="B71" t="s">
        <v>263</v>
      </c>
      <c r="D71" s="18">
        <v>2020</v>
      </c>
      <c r="E71" t="s">
        <v>37</v>
      </c>
      <c r="F71" t="s">
        <v>136</v>
      </c>
      <c r="G71" t="s">
        <v>39</v>
      </c>
      <c r="H71" t="s">
        <v>32</v>
      </c>
      <c r="I71" t="s">
        <v>43</v>
      </c>
      <c r="J71" t="s">
        <v>464</v>
      </c>
      <c r="L71" s="24">
        <v>0</v>
      </c>
      <c r="M71" s="24">
        <v>0</v>
      </c>
      <c r="N71" s="24">
        <v>2.7867064536129458E-4</v>
      </c>
      <c r="O71" s="24">
        <v>1.195732624675443E-3</v>
      </c>
      <c r="P71" s="24">
        <v>4.8480102285228591E-4</v>
      </c>
      <c r="Q71" s="24">
        <v>1.197791323700367E-2</v>
      </c>
      <c r="R71" s="24">
        <v>1.3937117529892693E-2</v>
      </c>
      <c r="S71" s="26">
        <v>0</v>
      </c>
      <c r="T71" s="26">
        <v>0</v>
      </c>
      <c r="U71" s="26">
        <v>1.5884578578857799E-4</v>
      </c>
      <c r="V71" s="26">
        <v>9.8317473549625417E-5</v>
      </c>
      <c r="W71" s="26">
        <v>3.0633432763856099E-5</v>
      </c>
      <c r="X71" s="26">
        <v>5.7162676343939052E-3</v>
      </c>
      <c r="Y71" s="26">
        <v>6.0040643264959647E-3</v>
      </c>
      <c r="Z71" s="28">
        <v>0</v>
      </c>
      <c r="AA71" s="28">
        <v>1.3758060237990489E-3</v>
      </c>
      <c r="AB71" s="28">
        <v>2.8029422642845481E-5</v>
      </c>
      <c r="AC71" s="28">
        <v>2.3968260093961618E-5</v>
      </c>
      <c r="AD71" s="28">
        <v>1.392491205462772E-5</v>
      </c>
      <c r="AE71" s="28">
        <v>8.4585675456149041E-4</v>
      </c>
      <c r="AF71" s="28">
        <v>2.2875853731519746E-3</v>
      </c>
      <c r="AG71" s="30">
        <v>0</v>
      </c>
      <c r="AH71" s="30">
        <v>7.228237882960114E-6</v>
      </c>
      <c r="AI71" s="30">
        <v>1.050429925159661E-4</v>
      </c>
      <c r="AJ71" s="30">
        <v>8.5554174677296554E-5</v>
      </c>
      <c r="AK71" s="30">
        <v>1.299576476965459E-5</v>
      </c>
      <c r="AL71" s="30">
        <v>2.7117016161737882E-3</v>
      </c>
      <c r="AM71" s="30">
        <v>2.9225227860196655E-3</v>
      </c>
      <c r="AN71" s="32">
        <v>0</v>
      </c>
      <c r="AO71" s="32">
        <v>5.1842725945187069E-6</v>
      </c>
      <c r="AP71" s="32">
        <v>2.4817048849666651E-7</v>
      </c>
      <c r="AQ71" s="32">
        <v>6.5490648626579012E-8</v>
      </c>
      <c r="AR71" s="32">
        <v>5.131395451652724E-8</v>
      </c>
      <c r="AS71" s="32">
        <v>1.469558210803564E-6</v>
      </c>
      <c r="AT71" s="32">
        <v>7.0188058969620429E-6</v>
      </c>
      <c r="AU71" s="34">
        <v>0</v>
      </c>
      <c r="AV71" s="34">
        <v>0</v>
      </c>
      <c r="AW71" s="34">
        <v>2.7764299448046754E-3</v>
      </c>
      <c r="AX71" s="34">
        <v>2.01770987761535E-2</v>
      </c>
      <c r="AY71" s="34">
        <v>1.5881765564450298E-2</v>
      </c>
      <c r="AZ71" s="34">
        <v>0.15177121351182457</v>
      </c>
      <c r="BA71" s="34">
        <v>0.19060650779723304</v>
      </c>
      <c r="BB71" s="6"/>
      <c r="BC71" s="6"/>
      <c r="BD71" t="s">
        <v>628</v>
      </c>
      <c r="BF71" s="5">
        <v>1.0004999000000001E-2</v>
      </c>
      <c r="BG71" s="5">
        <f t="shared" si="5"/>
        <v>-3.9321185298926923E-3</v>
      </c>
      <c r="BH71" s="2">
        <v>28.347435000000001</v>
      </c>
    </row>
    <row r="72" spans="1:60" x14ac:dyDescent="0.2">
      <c r="A72" t="str">
        <f t="shared" si="4"/>
        <v>Bicycle, electric (&lt;45 km/h) - 2030 - LFP - CH</v>
      </c>
      <c r="B72" t="s">
        <v>263</v>
      </c>
      <c r="D72" s="18">
        <v>2030</v>
      </c>
      <c r="E72" t="s">
        <v>37</v>
      </c>
      <c r="F72" t="s">
        <v>136</v>
      </c>
      <c r="G72" t="s">
        <v>39</v>
      </c>
      <c r="H72" t="s">
        <v>32</v>
      </c>
      <c r="I72" t="s">
        <v>43</v>
      </c>
      <c r="J72" t="s">
        <v>464</v>
      </c>
      <c r="L72" s="24">
        <v>0</v>
      </c>
      <c r="M72" s="24">
        <v>0</v>
      </c>
      <c r="N72" s="24">
        <v>2.7867064536129458E-4</v>
      </c>
      <c r="O72" s="24">
        <v>1.195732624675443E-3</v>
      </c>
      <c r="P72" s="24">
        <v>4.9161403253180627E-4</v>
      </c>
      <c r="Q72" s="24">
        <v>1.260708056193968E-2</v>
      </c>
      <c r="R72" s="24">
        <v>1.4573097864508224E-2</v>
      </c>
      <c r="S72" s="26">
        <v>0</v>
      </c>
      <c r="T72" s="26">
        <v>0</v>
      </c>
      <c r="U72" s="26">
        <v>1.5884578578857799E-4</v>
      </c>
      <c r="V72" s="26">
        <v>9.8317473549625417E-5</v>
      </c>
      <c r="W72" s="26">
        <v>3.1063930770459273E-5</v>
      </c>
      <c r="X72" s="26">
        <v>5.815631562422395E-3</v>
      </c>
      <c r="Y72" s="26">
        <v>6.1038587525310576E-3</v>
      </c>
      <c r="Z72" s="28">
        <v>0</v>
      </c>
      <c r="AA72" s="28">
        <v>1.3758060237990489E-3</v>
      </c>
      <c r="AB72" s="28">
        <v>2.8029422642845481E-5</v>
      </c>
      <c r="AC72" s="28">
        <v>2.3968260093961618E-5</v>
      </c>
      <c r="AD72" s="28">
        <v>1.412060174203078E-5</v>
      </c>
      <c r="AE72" s="28">
        <v>8.8118741862179019E-4</v>
      </c>
      <c r="AF72" s="28">
        <v>2.3231117268996773E-3</v>
      </c>
      <c r="AG72" s="30">
        <v>0</v>
      </c>
      <c r="AH72" s="30">
        <v>7.228237882960114E-6</v>
      </c>
      <c r="AI72" s="30">
        <v>1.050429925159661E-4</v>
      </c>
      <c r="AJ72" s="30">
        <v>8.5554174677296554E-5</v>
      </c>
      <c r="AK72" s="30">
        <v>1.317839695687134E-5</v>
      </c>
      <c r="AL72" s="30">
        <v>2.8239285530257939E-3</v>
      </c>
      <c r="AM72" s="30">
        <v>3.0349323550588878E-3</v>
      </c>
      <c r="AN72" s="32">
        <v>0</v>
      </c>
      <c r="AO72" s="32">
        <v>5.1842725945187069E-6</v>
      </c>
      <c r="AP72" s="32">
        <v>2.4817048849666651E-7</v>
      </c>
      <c r="AQ72" s="32">
        <v>6.5490648626579012E-8</v>
      </c>
      <c r="AR72" s="32">
        <v>5.2035080199717248E-8</v>
      </c>
      <c r="AS72" s="32">
        <v>1.49898500022658E-6</v>
      </c>
      <c r="AT72" s="32">
        <v>7.0489538120682492E-6</v>
      </c>
      <c r="AU72" s="34">
        <v>0</v>
      </c>
      <c r="AV72" s="34">
        <v>0</v>
      </c>
      <c r="AW72" s="34">
        <v>2.7764299448046754E-3</v>
      </c>
      <c r="AX72" s="34">
        <v>2.01770987761535E-2</v>
      </c>
      <c r="AY72" s="34">
        <v>1.6104955321521921E-2</v>
      </c>
      <c r="AZ72" s="34">
        <v>0.15858661301656282</v>
      </c>
      <c r="BA72" s="34">
        <v>0.19764509705904293</v>
      </c>
      <c r="BB72" s="6"/>
      <c r="BC72" s="6"/>
      <c r="BD72" t="s">
        <v>491</v>
      </c>
      <c r="BF72" s="5">
        <v>1.0288837E-2</v>
      </c>
      <c r="BG72" s="5">
        <f t="shared" si="5"/>
        <v>-4.2842608645082235E-3</v>
      </c>
      <c r="BH72" s="2">
        <v>28.523598</v>
      </c>
    </row>
    <row r="73" spans="1:60" x14ac:dyDescent="0.2">
      <c r="A73" t="str">
        <f t="shared" si="4"/>
        <v>Bicycle, electric (&lt;45 km/h) - 2040 - LFP - CH</v>
      </c>
      <c r="B73" t="s">
        <v>263</v>
      </c>
      <c r="D73" s="18">
        <v>2040</v>
      </c>
      <c r="E73" t="s">
        <v>37</v>
      </c>
      <c r="F73" t="s">
        <v>136</v>
      </c>
      <c r="G73" t="s">
        <v>39</v>
      </c>
      <c r="H73" t="s">
        <v>32</v>
      </c>
      <c r="I73" t="s">
        <v>43</v>
      </c>
      <c r="J73" t="s">
        <v>464</v>
      </c>
      <c r="L73" s="24">
        <v>0</v>
      </c>
      <c r="M73" s="24">
        <v>0</v>
      </c>
      <c r="N73" s="24">
        <v>2.7867064536129458E-4</v>
      </c>
      <c r="O73" s="24">
        <v>1.195732624675443E-3</v>
      </c>
      <c r="P73" s="24">
        <v>4.8897380160923046E-4</v>
      </c>
      <c r="Q73" s="24">
        <v>1.208315306485455E-2</v>
      </c>
      <c r="R73" s="24">
        <v>1.4046530136500517E-2</v>
      </c>
      <c r="S73" s="26">
        <v>0</v>
      </c>
      <c r="T73" s="26">
        <v>0</v>
      </c>
      <c r="U73" s="26">
        <v>1.5884578578857799E-4</v>
      </c>
      <c r="V73" s="26">
        <v>9.8317473549625417E-5</v>
      </c>
      <c r="W73" s="26">
        <v>3.0897100807989451E-5</v>
      </c>
      <c r="X73" s="26">
        <v>5.2473757180386358E-3</v>
      </c>
      <c r="Y73" s="26">
        <v>5.5354360781848288E-3</v>
      </c>
      <c r="Z73" s="28">
        <v>0</v>
      </c>
      <c r="AA73" s="28">
        <v>1.3758060237990489E-3</v>
      </c>
      <c r="AB73" s="28">
        <v>2.8029422642845481E-5</v>
      </c>
      <c r="AC73" s="28">
        <v>2.3968260093961618E-5</v>
      </c>
      <c r="AD73" s="28">
        <v>1.4044766540230931E-5</v>
      </c>
      <c r="AE73" s="28">
        <v>8.1262323617899406E-4</v>
      </c>
      <c r="AF73" s="28">
        <v>2.254471709255081E-3</v>
      </c>
      <c r="AG73" s="30">
        <v>0</v>
      </c>
      <c r="AH73" s="30">
        <v>7.228237882960114E-6</v>
      </c>
      <c r="AI73" s="30">
        <v>1.050429925159661E-4</v>
      </c>
      <c r="AJ73" s="30">
        <v>8.5554174677296554E-5</v>
      </c>
      <c r="AK73" s="30">
        <v>1.310762189990984E-5</v>
      </c>
      <c r="AL73" s="30">
        <v>2.603132400579865E-3</v>
      </c>
      <c r="AM73" s="30">
        <v>2.8140654275559977E-3</v>
      </c>
      <c r="AN73" s="32">
        <v>0</v>
      </c>
      <c r="AO73" s="32">
        <v>5.1842725945187069E-6</v>
      </c>
      <c r="AP73" s="32">
        <v>2.4817048849666651E-7</v>
      </c>
      <c r="AQ73" s="32">
        <v>6.5490648626579012E-8</v>
      </c>
      <c r="AR73" s="32">
        <v>5.1755623921599077E-8</v>
      </c>
      <c r="AS73" s="32">
        <v>1.365644327390255E-6</v>
      </c>
      <c r="AT73" s="32">
        <v>6.9153336829538054E-6</v>
      </c>
      <c r="AU73" s="34">
        <v>0</v>
      </c>
      <c r="AV73" s="34">
        <v>0</v>
      </c>
      <c r="AW73" s="34">
        <v>2.7764299448046754E-3</v>
      </c>
      <c r="AX73" s="34">
        <v>2.01770987761535E-2</v>
      </c>
      <c r="AY73" s="34">
        <v>1.6018463077133369E-2</v>
      </c>
      <c r="AZ73" s="34">
        <v>0.15042861546950603</v>
      </c>
      <c r="BA73" s="34">
        <v>0.18940060726759758</v>
      </c>
      <c r="BB73" s="6"/>
      <c r="BC73" s="6"/>
      <c r="BD73" t="s">
        <v>492</v>
      </c>
      <c r="BF73" s="5">
        <v>9.7680244999999999E-3</v>
      </c>
      <c r="BG73" s="5">
        <f t="shared" si="5"/>
        <v>-4.2785056365005174E-3</v>
      </c>
      <c r="BH73" s="2">
        <v>25.580089000000001</v>
      </c>
    </row>
    <row r="74" spans="1:60" x14ac:dyDescent="0.2">
      <c r="A74" t="str">
        <f t="shared" si="4"/>
        <v>Bicycle, electric (&lt;45 km/h) - 2050 - LFP - CH</v>
      </c>
      <c r="B74" t="s">
        <v>263</v>
      </c>
      <c r="D74" s="18">
        <v>2050</v>
      </c>
      <c r="E74" t="s">
        <v>37</v>
      </c>
      <c r="F74" t="s">
        <v>136</v>
      </c>
      <c r="G74" t="s">
        <v>39</v>
      </c>
      <c r="H74" t="s">
        <v>32</v>
      </c>
      <c r="I74" t="s">
        <v>43</v>
      </c>
      <c r="J74" t="s">
        <v>464</v>
      </c>
      <c r="L74" s="24">
        <v>0</v>
      </c>
      <c r="M74" s="24">
        <v>0</v>
      </c>
      <c r="N74" s="24">
        <v>2.7867064536129458E-4</v>
      </c>
      <c r="O74" s="24">
        <v>1.195732624675443E-3</v>
      </c>
      <c r="P74" s="24">
        <v>4.9172024871834666E-4</v>
      </c>
      <c r="Q74" s="24">
        <v>1.2039724651308431E-2</v>
      </c>
      <c r="R74" s="24">
        <v>1.4005848170063515E-2</v>
      </c>
      <c r="S74" s="26">
        <v>0</v>
      </c>
      <c r="T74" s="26">
        <v>0</v>
      </c>
      <c r="U74" s="26">
        <v>1.5884578578857799E-4</v>
      </c>
      <c r="V74" s="26">
        <v>9.8317473549625417E-5</v>
      </c>
      <c r="W74" s="26">
        <v>3.1070642320673577E-5</v>
      </c>
      <c r="X74" s="26">
        <v>5.0014927998737564E-3</v>
      </c>
      <c r="Y74" s="26">
        <v>5.289726701532633E-3</v>
      </c>
      <c r="Z74" s="28">
        <v>0</v>
      </c>
      <c r="AA74" s="28">
        <v>1.3758060237990489E-3</v>
      </c>
      <c r="AB74" s="28">
        <v>2.8029422642845481E-5</v>
      </c>
      <c r="AC74" s="28">
        <v>2.3968260093961618E-5</v>
      </c>
      <c r="AD74" s="28">
        <v>1.41236525834825E-5</v>
      </c>
      <c r="AE74" s="28">
        <v>7.9093908825957971E-4</v>
      </c>
      <c r="AF74" s="28">
        <v>2.2328664473789182E-3</v>
      </c>
      <c r="AG74" s="30">
        <v>0</v>
      </c>
      <c r="AH74" s="30">
        <v>7.228237882960114E-6</v>
      </c>
      <c r="AI74" s="30">
        <v>1.050429925159661E-4</v>
      </c>
      <c r="AJ74" s="30">
        <v>8.5554174677296554E-5</v>
      </c>
      <c r="AK74" s="30">
        <v>1.318124422927783E-5</v>
      </c>
      <c r="AL74" s="30">
        <v>2.532883577710338E-3</v>
      </c>
      <c r="AM74" s="30">
        <v>2.7438902270158386E-3</v>
      </c>
      <c r="AN74" s="32">
        <v>0</v>
      </c>
      <c r="AO74" s="32">
        <v>5.1842725945187069E-6</v>
      </c>
      <c r="AP74" s="32">
        <v>2.4817048849666651E-7</v>
      </c>
      <c r="AQ74" s="32">
        <v>6.5490648626579012E-8</v>
      </c>
      <c r="AR74" s="32">
        <v>5.2046322693664528E-8</v>
      </c>
      <c r="AS74" s="32">
        <v>1.310356689145099E-6</v>
      </c>
      <c r="AT74" s="32">
        <v>6.8603367434807159E-6</v>
      </c>
      <c r="AU74" s="34">
        <v>0</v>
      </c>
      <c r="AV74" s="34">
        <v>0</v>
      </c>
      <c r="AW74" s="34">
        <v>2.7764299448046754E-3</v>
      </c>
      <c r="AX74" s="34">
        <v>2.01770987761535E-2</v>
      </c>
      <c r="AY74" s="34">
        <v>1.6108434894572029E-2</v>
      </c>
      <c r="AZ74" s="34">
        <v>0.14873284614030871</v>
      </c>
      <c r="BA74" s="34">
        <v>0.1877948097558389</v>
      </c>
      <c r="BB74" s="6"/>
      <c r="BC74" s="6"/>
      <c r="BD74" t="s">
        <v>493</v>
      </c>
      <c r="BF74" s="5">
        <v>9.6136794999999997E-3</v>
      </c>
      <c r="BG74" s="5">
        <f t="shared" si="5"/>
        <v>-4.3921686700635152E-3</v>
      </c>
      <c r="BH74" s="2">
        <v>24.193314999999998</v>
      </c>
    </row>
    <row r="75" spans="1:60" x14ac:dyDescent="0.2">
      <c r="A75" t="str">
        <f t="shared" si="4"/>
        <v>Bicycle, battery electric, cargo bike - 2020 - LFP - CH</v>
      </c>
      <c r="B75" t="s">
        <v>652</v>
      </c>
      <c r="D75" s="18">
        <v>2020</v>
      </c>
      <c r="E75" t="s">
        <v>37</v>
      </c>
      <c r="F75" t="s">
        <v>136</v>
      </c>
      <c r="G75" t="s">
        <v>39</v>
      </c>
      <c r="H75" t="s">
        <v>32</v>
      </c>
      <c r="I75" t="s">
        <v>43</v>
      </c>
      <c r="J75" t="s">
        <v>464</v>
      </c>
      <c r="L75" s="24">
        <v>0</v>
      </c>
      <c r="M75" s="24">
        <v>0</v>
      </c>
      <c r="N75" s="24">
        <v>2.1347201307001551E-4</v>
      </c>
      <c r="O75" s="24">
        <v>1.195732624675443E-3</v>
      </c>
      <c r="P75" s="24">
        <v>7.8979321563259718E-4</v>
      </c>
      <c r="Q75" s="24">
        <v>2.542449500895469E-2</v>
      </c>
      <c r="R75" s="24">
        <v>2.7623492862332746E-2</v>
      </c>
      <c r="S75" s="26">
        <v>0</v>
      </c>
      <c r="T75" s="26">
        <v>0</v>
      </c>
      <c r="U75" s="26">
        <v>1.2168174231632199E-4</v>
      </c>
      <c r="V75" s="26">
        <v>9.8317473549625417E-5</v>
      </c>
      <c r="W75" s="26">
        <v>4.9905169807784347E-5</v>
      </c>
      <c r="X75" s="26">
        <v>9.1136015202262204E-3</v>
      </c>
      <c r="Y75" s="26">
        <v>9.3835059058999526E-3</v>
      </c>
      <c r="Z75" s="28">
        <v>0</v>
      </c>
      <c r="AA75" s="28">
        <v>2.7516120475980978E-3</v>
      </c>
      <c r="AB75" s="28">
        <v>2.1471573616951781E-5</v>
      </c>
      <c r="AC75" s="28">
        <v>2.3968260093961618E-5</v>
      </c>
      <c r="AD75" s="28">
        <v>2.268518536598976E-5</v>
      </c>
      <c r="AE75" s="28">
        <v>1.5312676604341709E-3</v>
      </c>
      <c r="AF75" s="28">
        <v>4.3510047271091718E-3</v>
      </c>
      <c r="AG75" s="30">
        <v>0</v>
      </c>
      <c r="AH75" s="30">
        <v>1.445647576592023E-5</v>
      </c>
      <c r="AI75" s="30">
        <v>8.0466814300478743E-5</v>
      </c>
      <c r="AJ75" s="30">
        <v>8.5554174677296554E-5</v>
      </c>
      <c r="AK75" s="30">
        <v>2.117150410831053E-5</v>
      </c>
      <c r="AL75" s="30">
        <v>4.6771141513465009E-3</v>
      </c>
      <c r="AM75" s="30">
        <v>4.8787631201985069E-3</v>
      </c>
      <c r="AN75" s="32">
        <v>0</v>
      </c>
      <c r="AO75" s="32">
        <v>1.036854518903741E-5</v>
      </c>
      <c r="AP75" s="32">
        <v>1.901077657292092E-7</v>
      </c>
      <c r="AQ75" s="32">
        <v>6.5490648626579012E-8</v>
      </c>
      <c r="AR75" s="32">
        <v>8.359597285086832E-8</v>
      </c>
      <c r="AS75" s="32">
        <v>2.795573149973405E-6</v>
      </c>
      <c r="AT75" s="32">
        <v>1.3503312726217473E-5</v>
      </c>
      <c r="AU75" s="34">
        <v>0</v>
      </c>
      <c r="AV75" s="34">
        <v>0</v>
      </c>
      <c r="AW75" s="34">
        <v>2.1268479451680587E-3</v>
      </c>
      <c r="AX75" s="34">
        <v>2.01770987761535E-2</v>
      </c>
      <c r="AY75" s="34">
        <v>2.5873111036921376E-2</v>
      </c>
      <c r="AZ75" s="34">
        <v>0.31624977515645514</v>
      </c>
      <c r="BA75" s="34">
        <v>0.36442683291469807</v>
      </c>
      <c r="BB75" s="6"/>
      <c r="BC75" s="6"/>
      <c r="BD75" t="s">
        <v>675</v>
      </c>
      <c r="BF75" s="5">
        <v>1.9179189999999999E-2</v>
      </c>
      <c r="BG75" s="5">
        <f t="shared" si="5"/>
        <v>-8.4443028623327476E-3</v>
      </c>
      <c r="BH75" s="2">
        <v>48.444122</v>
      </c>
    </row>
    <row r="76" spans="1:60" x14ac:dyDescent="0.2">
      <c r="A76" t="str">
        <f t="shared" si="4"/>
        <v>Bicycle, battery electric, cargo bike - 2030 - LFP - CH</v>
      </c>
      <c r="B76" t="s">
        <v>652</v>
      </c>
      <c r="D76" s="18">
        <v>2030</v>
      </c>
      <c r="E76" t="s">
        <v>37</v>
      </c>
      <c r="F76" t="s">
        <v>136</v>
      </c>
      <c r="G76" t="s">
        <v>39</v>
      </c>
      <c r="H76" t="s">
        <v>32</v>
      </c>
      <c r="I76" t="s">
        <v>43</v>
      </c>
      <c r="J76" t="s">
        <v>464</v>
      </c>
      <c r="L76" s="24">
        <v>0</v>
      </c>
      <c r="M76" s="24">
        <v>0</v>
      </c>
      <c r="N76" s="24">
        <v>2.1347201307001551E-4</v>
      </c>
      <c r="O76" s="24">
        <v>1.195732624675443E-3</v>
      </c>
      <c r="P76" s="24">
        <v>7.8908004980868317E-4</v>
      </c>
      <c r="Q76" s="24">
        <v>2.626939728422828E-2</v>
      </c>
      <c r="R76" s="24">
        <v>2.846768197178242E-2</v>
      </c>
      <c r="S76" s="26">
        <v>0</v>
      </c>
      <c r="T76" s="26">
        <v>0</v>
      </c>
      <c r="U76" s="26">
        <v>1.2168174231632199E-4</v>
      </c>
      <c r="V76" s="26">
        <v>9.8317473549625417E-5</v>
      </c>
      <c r="W76" s="26">
        <v>4.9860106542059748E-5</v>
      </c>
      <c r="X76" s="26">
        <v>8.7427632140537458E-3</v>
      </c>
      <c r="Y76" s="26">
        <v>9.0126225364617531E-3</v>
      </c>
      <c r="Z76" s="28">
        <v>0</v>
      </c>
      <c r="AA76" s="28">
        <v>2.7516120475980978E-3</v>
      </c>
      <c r="AB76" s="28">
        <v>2.1471573616951781E-5</v>
      </c>
      <c r="AC76" s="28">
        <v>2.3968260093961618E-5</v>
      </c>
      <c r="AD76" s="28">
        <v>2.2664701144813939E-5</v>
      </c>
      <c r="AE76" s="28">
        <v>1.5367796168004259E-3</v>
      </c>
      <c r="AF76" s="28">
        <v>4.3564961992542508E-3</v>
      </c>
      <c r="AG76" s="30">
        <v>0</v>
      </c>
      <c r="AH76" s="30">
        <v>1.445647576592023E-5</v>
      </c>
      <c r="AI76" s="30">
        <v>8.0466814300478743E-5</v>
      </c>
      <c r="AJ76" s="30">
        <v>8.5554174677296554E-5</v>
      </c>
      <c r="AK76" s="30">
        <v>2.1152386707866911E-5</v>
      </c>
      <c r="AL76" s="30">
        <v>4.7055066893301441E-3</v>
      </c>
      <c r="AM76" s="30">
        <v>4.9071365407817062E-3</v>
      </c>
      <c r="AN76" s="32">
        <v>0</v>
      </c>
      <c r="AO76" s="32">
        <v>1.036854518903741E-5</v>
      </c>
      <c r="AP76" s="32">
        <v>1.901077657292092E-7</v>
      </c>
      <c r="AQ76" s="32">
        <v>6.5490648626579012E-8</v>
      </c>
      <c r="AR76" s="32">
        <v>8.3520487534365137E-8</v>
      </c>
      <c r="AS76" s="32">
        <v>2.7102528686705018E-6</v>
      </c>
      <c r="AT76" s="32">
        <v>1.3417916959598066E-5</v>
      </c>
      <c r="AU76" s="34">
        <v>0</v>
      </c>
      <c r="AV76" s="34">
        <v>0</v>
      </c>
      <c r="AW76" s="34">
        <v>2.1268479451680587E-3</v>
      </c>
      <c r="AX76" s="34">
        <v>2.01770987761535E-2</v>
      </c>
      <c r="AY76" s="34">
        <v>2.5849748189299193E-2</v>
      </c>
      <c r="AZ76" s="34">
        <v>0.32250638016648092</v>
      </c>
      <c r="BA76" s="34">
        <v>0.37066007507710169</v>
      </c>
      <c r="BB76" s="6"/>
      <c r="BC76" s="6"/>
      <c r="BD76" t="s">
        <v>676</v>
      </c>
      <c r="BF76" s="5">
        <v>1.9206132000000001E-2</v>
      </c>
      <c r="BG76" s="5">
        <f t="shared" si="5"/>
        <v>-9.2615499717824193E-3</v>
      </c>
      <c r="BH76" s="2">
        <v>45.514404999999996</v>
      </c>
    </row>
    <row r="77" spans="1:60" x14ac:dyDescent="0.2">
      <c r="A77" t="str">
        <f t="shared" si="4"/>
        <v>Bicycle, battery electric, cargo bike - 2040 - LFP - CH</v>
      </c>
      <c r="B77" t="s">
        <v>652</v>
      </c>
      <c r="D77" s="18">
        <v>2040</v>
      </c>
      <c r="E77" t="s">
        <v>37</v>
      </c>
      <c r="F77" t="s">
        <v>136</v>
      </c>
      <c r="G77" t="s">
        <v>39</v>
      </c>
      <c r="H77" t="s">
        <v>32</v>
      </c>
      <c r="I77" t="s">
        <v>43</v>
      </c>
      <c r="J77" t="s">
        <v>464</v>
      </c>
      <c r="L77" s="24">
        <v>0</v>
      </c>
      <c r="M77" s="24">
        <v>0</v>
      </c>
      <c r="N77" s="24">
        <v>2.1347201307001551E-4</v>
      </c>
      <c r="O77" s="24">
        <v>1.195732624675443E-3</v>
      </c>
      <c r="P77" s="24">
        <v>7.8220634516542513E-4</v>
      </c>
      <c r="Q77" s="24">
        <v>2.578366496560117E-2</v>
      </c>
      <c r="R77" s="24">
        <v>2.7975075948512052E-2</v>
      </c>
      <c r="S77" s="26">
        <v>0</v>
      </c>
      <c r="T77" s="26">
        <v>0</v>
      </c>
      <c r="U77" s="26">
        <v>1.2168174231632199E-4</v>
      </c>
      <c r="V77" s="26">
        <v>9.8317473549625417E-5</v>
      </c>
      <c r="W77" s="26">
        <v>4.942577336390553E-5</v>
      </c>
      <c r="X77" s="26">
        <v>7.7968102391621262E-3</v>
      </c>
      <c r="Y77" s="26">
        <v>8.0662352283919787E-3</v>
      </c>
      <c r="Z77" s="28">
        <v>0</v>
      </c>
      <c r="AA77" s="28">
        <v>2.7516120475980978E-3</v>
      </c>
      <c r="AB77" s="28">
        <v>2.1471573616951781E-5</v>
      </c>
      <c r="AC77" s="28">
        <v>2.3968260093961618E-5</v>
      </c>
      <c r="AD77" s="28">
        <v>2.2467268119438459E-5</v>
      </c>
      <c r="AE77" s="28">
        <v>1.4382961002366019E-3</v>
      </c>
      <c r="AF77" s="28">
        <v>4.2578152496650515E-3</v>
      </c>
      <c r="AG77" s="30">
        <v>0</v>
      </c>
      <c r="AH77" s="30">
        <v>1.445647576592023E-5</v>
      </c>
      <c r="AI77" s="30">
        <v>8.0466814300478743E-5</v>
      </c>
      <c r="AJ77" s="30">
        <v>8.5554174677296554E-5</v>
      </c>
      <c r="AK77" s="30">
        <v>2.0968127507846451E-5</v>
      </c>
      <c r="AL77" s="30">
        <v>4.4000001155117428E-3</v>
      </c>
      <c r="AM77" s="30">
        <v>4.6014457077632846E-3</v>
      </c>
      <c r="AN77" s="32">
        <v>0</v>
      </c>
      <c r="AO77" s="32">
        <v>1.036854518903741E-5</v>
      </c>
      <c r="AP77" s="32">
        <v>1.901077657292092E-7</v>
      </c>
      <c r="AQ77" s="32">
        <v>6.5490648626579012E-8</v>
      </c>
      <c r="AR77" s="32">
        <v>8.2792937568919515E-8</v>
      </c>
      <c r="AS77" s="32">
        <v>2.4823554928813048E-6</v>
      </c>
      <c r="AT77" s="32">
        <v>1.3189292033843424E-5</v>
      </c>
      <c r="AU77" s="34">
        <v>0</v>
      </c>
      <c r="AV77" s="34">
        <v>0</v>
      </c>
      <c r="AW77" s="34">
        <v>2.1268479451680587E-3</v>
      </c>
      <c r="AX77" s="34">
        <v>2.01770987761535E-2</v>
      </c>
      <c r="AY77" s="34">
        <v>2.5624570104770358E-2</v>
      </c>
      <c r="AZ77" s="34">
        <v>0.31251170151621827</v>
      </c>
      <c r="BA77" s="34">
        <v>0.36044021834231021</v>
      </c>
      <c r="BB77" s="6"/>
      <c r="BC77" s="6"/>
      <c r="BD77" t="s">
        <v>677</v>
      </c>
      <c r="BF77" s="5">
        <v>1.8432219000000003E-2</v>
      </c>
      <c r="BG77" s="5">
        <f t="shared" si="5"/>
        <v>-9.542856948512049E-3</v>
      </c>
      <c r="BH77" s="2">
        <v>40.143754999999999</v>
      </c>
    </row>
    <row r="78" spans="1:60" x14ac:dyDescent="0.2">
      <c r="A78" t="str">
        <f t="shared" si="4"/>
        <v>Bicycle, battery electric, cargo bike - 2050 - LFP - CH</v>
      </c>
      <c r="B78" t="s">
        <v>652</v>
      </c>
      <c r="D78" s="18">
        <v>2050</v>
      </c>
      <c r="E78" t="s">
        <v>37</v>
      </c>
      <c r="F78" t="s">
        <v>136</v>
      </c>
      <c r="G78" t="s">
        <v>39</v>
      </c>
      <c r="H78" t="s">
        <v>32</v>
      </c>
      <c r="I78" t="s">
        <v>43</v>
      </c>
      <c r="J78" t="s">
        <v>464</v>
      </c>
      <c r="L78" s="24">
        <v>0</v>
      </c>
      <c r="M78" s="24">
        <v>0</v>
      </c>
      <c r="N78" s="24">
        <v>2.1347201307001551E-4</v>
      </c>
      <c r="O78" s="24">
        <v>1.195732624675443E-3</v>
      </c>
      <c r="P78" s="24">
        <v>7.7631893368289989E-4</v>
      </c>
      <c r="Q78" s="24">
        <v>2.5641509576497589E-2</v>
      </c>
      <c r="R78" s="24">
        <v>2.7827033147925947E-2</v>
      </c>
      <c r="S78" s="26">
        <v>0</v>
      </c>
      <c r="T78" s="26">
        <v>0</v>
      </c>
      <c r="U78" s="26">
        <v>1.2168174231632199E-4</v>
      </c>
      <c r="V78" s="26">
        <v>9.8317473549625417E-5</v>
      </c>
      <c r="W78" s="26">
        <v>4.9053761723455578E-5</v>
      </c>
      <c r="X78" s="26">
        <v>7.0811706497131482E-3</v>
      </c>
      <c r="Y78" s="26">
        <v>7.3502236273025514E-3</v>
      </c>
      <c r="Z78" s="28">
        <v>0</v>
      </c>
      <c r="AA78" s="28">
        <v>2.7516120475980978E-3</v>
      </c>
      <c r="AB78" s="28">
        <v>2.1471573616951781E-5</v>
      </c>
      <c r="AC78" s="28">
        <v>2.3968260093961618E-5</v>
      </c>
      <c r="AD78" s="28">
        <v>2.2298164336114662E-5</v>
      </c>
      <c r="AE78" s="28">
        <v>1.3733371347972199E-3</v>
      </c>
      <c r="AF78" s="28">
        <v>4.1926871804423456E-3</v>
      </c>
      <c r="AG78" s="30">
        <v>0</v>
      </c>
      <c r="AH78" s="30">
        <v>1.445647576592023E-5</v>
      </c>
      <c r="AI78" s="30">
        <v>8.0466814300478743E-5</v>
      </c>
      <c r="AJ78" s="30">
        <v>8.5554174677296554E-5</v>
      </c>
      <c r="AK78" s="30">
        <v>2.0810307265886331E-5</v>
      </c>
      <c r="AL78" s="30">
        <v>4.2012578757362716E-3</v>
      </c>
      <c r="AM78" s="30">
        <v>4.4025456477458534E-3</v>
      </c>
      <c r="AN78" s="32">
        <v>0</v>
      </c>
      <c r="AO78" s="32">
        <v>1.036854518903741E-5</v>
      </c>
      <c r="AP78" s="32">
        <v>1.901077657292092E-7</v>
      </c>
      <c r="AQ78" s="32">
        <v>6.5490648626579012E-8</v>
      </c>
      <c r="AR78" s="32">
        <v>8.2169782190127282E-8</v>
      </c>
      <c r="AS78" s="32">
        <v>2.3102412858192088E-6</v>
      </c>
      <c r="AT78" s="32">
        <v>1.3016554671402537E-5</v>
      </c>
      <c r="AU78" s="34">
        <v>0</v>
      </c>
      <c r="AV78" s="34">
        <v>0</v>
      </c>
      <c r="AW78" s="34">
        <v>2.1268479451680587E-3</v>
      </c>
      <c r="AX78" s="34">
        <v>2.01770987761535E-2</v>
      </c>
      <c r="AY78" s="34">
        <v>2.5431702341421163E-2</v>
      </c>
      <c r="AZ78" s="34">
        <v>0.30715814296346022</v>
      </c>
      <c r="BA78" s="34">
        <v>0.35489379202620297</v>
      </c>
      <c r="BB78" s="6"/>
      <c r="BC78" s="6"/>
      <c r="BD78" t="s">
        <v>678</v>
      </c>
      <c r="BF78" s="5">
        <v>1.7913862999999999E-2</v>
      </c>
      <c r="BG78" s="5">
        <f t="shared" si="5"/>
        <v>-9.9131701479259482E-3</v>
      </c>
      <c r="BH78" s="2">
        <v>35.893363999999998</v>
      </c>
    </row>
    <row r="79" spans="1:60" x14ac:dyDescent="0.2">
      <c r="A79" t="str">
        <f t="shared" si="4"/>
        <v>Bicycle, electric (&lt;25 km/h) - 2020 - NCA - CH</v>
      </c>
      <c r="B79" t="s">
        <v>262</v>
      </c>
      <c r="D79" s="18">
        <v>2020</v>
      </c>
      <c r="E79" t="s">
        <v>37</v>
      </c>
      <c r="F79" t="s">
        <v>136</v>
      </c>
      <c r="G79" t="s">
        <v>39</v>
      </c>
      <c r="H79" t="s">
        <v>32</v>
      </c>
      <c r="I79" t="s">
        <v>44</v>
      </c>
      <c r="J79" t="s">
        <v>464</v>
      </c>
      <c r="L79" s="24">
        <v>0</v>
      </c>
      <c r="M79" s="24">
        <v>0</v>
      </c>
      <c r="N79" s="24">
        <v>1.5173567960250059E-4</v>
      </c>
      <c r="O79" s="24">
        <v>1.195732624675443E-3</v>
      </c>
      <c r="P79" s="24">
        <v>4.498684323099595E-4</v>
      </c>
      <c r="Q79" s="24">
        <v>1.195942720652177E-2</v>
      </c>
      <c r="R79" s="24">
        <v>1.3756763943109674E-2</v>
      </c>
      <c r="S79" s="26">
        <v>0</v>
      </c>
      <c r="T79" s="26">
        <v>0</v>
      </c>
      <c r="U79" s="26">
        <v>8.6491252881602508E-5</v>
      </c>
      <c r="V79" s="26">
        <v>9.8317473549625417E-5</v>
      </c>
      <c r="W79" s="26">
        <v>2.8426124789648879E-5</v>
      </c>
      <c r="X79" s="26">
        <v>6.1850393424667067E-3</v>
      </c>
      <c r="Y79" s="26">
        <v>6.3982741936875831E-3</v>
      </c>
      <c r="Z79" s="28">
        <v>0</v>
      </c>
      <c r="AA79" s="28">
        <v>1.3758060237990489E-3</v>
      </c>
      <c r="AB79" s="28">
        <v>1.5261971665741149E-5</v>
      </c>
      <c r="AC79" s="28">
        <v>2.3968260093961618E-5</v>
      </c>
      <c r="AD79" s="28">
        <v>1.292154525420241E-5</v>
      </c>
      <c r="AE79" s="28">
        <v>8.2462494292362561E-4</v>
      </c>
      <c r="AF79" s="28">
        <v>2.2525827437365796E-3</v>
      </c>
      <c r="AG79" s="30">
        <v>0</v>
      </c>
      <c r="AH79" s="30">
        <v>7.228237882960114E-6</v>
      </c>
      <c r="AI79" s="30">
        <v>5.7195725930249998E-5</v>
      </c>
      <c r="AJ79" s="30">
        <v>8.5554174677296554E-5</v>
      </c>
      <c r="AK79" s="30">
        <v>1.2059348161430861E-5</v>
      </c>
      <c r="AL79" s="30">
        <v>2.5731631404864201E-3</v>
      </c>
      <c r="AM79" s="30">
        <v>2.7352006271383574E-3</v>
      </c>
      <c r="AN79" s="32">
        <v>0</v>
      </c>
      <c r="AO79" s="32">
        <v>5.1842725945187069E-6</v>
      </c>
      <c r="AP79" s="32">
        <v>1.3512839746900889E-7</v>
      </c>
      <c r="AQ79" s="32">
        <v>6.5490648626579012E-8</v>
      </c>
      <c r="AR79" s="32">
        <v>4.7616500761815227E-8</v>
      </c>
      <c r="AS79" s="32">
        <v>1.614841507887932E-6</v>
      </c>
      <c r="AT79" s="32">
        <v>7.0473496492640416E-6</v>
      </c>
      <c r="AU79" s="34">
        <v>0</v>
      </c>
      <c r="AV79" s="34">
        <v>0</v>
      </c>
      <c r="AW79" s="34">
        <v>1.5117612549304556E-3</v>
      </c>
      <c r="AX79" s="34">
        <v>2.01770987761535E-2</v>
      </c>
      <c r="AY79" s="34">
        <v>1.4737396663807122E-2</v>
      </c>
      <c r="AZ79" s="34">
        <v>0.15192758732811798</v>
      </c>
      <c r="BA79" s="34">
        <v>0.18835384402300906</v>
      </c>
      <c r="BB79" s="6"/>
      <c r="BC79" s="6"/>
      <c r="BD79" t="s">
        <v>629</v>
      </c>
      <c r="BF79" s="5">
        <v>1.0032362E-2</v>
      </c>
      <c r="BG79" s="5">
        <f t="shared" si="5"/>
        <v>-3.7244019431096741E-3</v>
      </c>
      <c r="BH79" s="2">
        <v>27.757622000000001</v>
      </c>
    </row>
    <row r="80" spans="1:60" x14ac:dyDescent="0.2">
      <c r="A80" t="str">
        <f t="shared" si="4"/>
        <v>Bicycle, electric (&lt;25 km/h) - 2030 - NCA - CH</v>
      </c>
      <c r="B80" t="s">
        <v>262</v>
      </c>
      <c r="D80" s="18">
        <v>2030</v>
      </c>
      <c r="E80" t="s">
        <v>37</v>
      </c>
      <c r="F80" t="s">
        <v>136</v>
      </c>
      <c r="G80" t="s">
        <v>39</v>
      </c>
      <c r="H80" t="s">
        <v>32</v>
      </c>
      <c r="I80" t="s">
        <v>44</v>
      </c>
      <c r="J80" t="s">
        <v>464</v>
      </c>
      <c r="L80" s="24">
        <v>0</v>
      </c>
      <c r="M80" s="24">
        <v>0</v>
      </c>
      <c r="N80" s="24">
        <v>1.5173567960250059E-4</v>
      </c>
      <c r="O80" s="24">
        <v>1.195732624675443E-3</v>
      </c>
      <c r="P80" s="24">
        <v>4.5014419855824448E-4</v>
      </c>
      <c r="Q80" s="24">
        <v>1.2439471398616011E-2</v>
      </c>
      <c r="R80" s="24">
        <v>1.4237083901452199E-2</v>
      </c>
      <c r="S80" s="26">
        <v>0</v>
      </c>
      <c r="T80" s="26">
        <v>0</v>
      </c>
      <c r="U80" s="26">
        <v>8.6491252881602508E-5</v>
      </c>
      <c r="V80" s="26">
        <v>9.8317473549625417E-5</v>
      </c>
      <c r="W80" s="26">
        <v>2.844354980821769E-5</v>
      </c>
      <c r="X80" s="26">
        <v>6.027723165204296E-3</v>
      </c>
      <c r="Y80" s="26">
        <v>6.240975441443742E-3</v>
      </c>
      <c r="Z80" s="28">
        <v>0</v>
      </c>
      <c r="AA80" s="28">
        <v>1.3758060237990489E-3</v>
      </c>
      <c r="AB80" s="28">
        <v>1.5261971665741149E-5</v>
      </c>
      <c r="AC80" s="28">
        <v>2.3968260093961618E-5</v>
      </c>
      <c r="AD80" s="28">
        <v>1.2929466072381411E-5</v>
      </c>
      <c r="AE80" s="28">
        <v>8.3320773450341152E-4</v>
      </c>
      <c r="AF80" s="28">
        <v>2.2611734561345446E-3</v>
      </c>
      <c r="AG80" s="30">
        <v>0</v>
      </c>
      <c r="AH80" s="30">
        <v>7.228237882960114E-6</v>
      </c>
      <c r="AI80" s="30">
        <v>5.7195725930249998E-5</v>
      </c>
      <c r="AJ80" s="30">
        <v>8.5554174677296554E-5</v>
      </c>
      <c r="AK80" s="30">
        <v>1.2066740458734681E-5</v>
      </c>
      <c r="AL80" s="30">
        <v>2.608428463405082E-3</v>
      </c>
      <c r="AM80" s="30">
        <v>2.7704733423543231E-3</v>
      </c>
      <c r="AN80" s="32">
        <v>0</v>
      </c>
      <c r="AO80" s="32">
        <v>5.1842725945187069E-6</v>
      </c>
      <c r="AP80" s="32">
        <v>1.3512839746900889E-7</v>
      </c>
      <c r="AQ80" s="32">
        <v>6.5490648626579012E-8</v>
      </c>
      <c r="AR80" s="32">
        <v>4.7645689348585192E-8</v>
      </c>
      <c r="AS80" s="32">
        <v>1.577329677426445E-6</v>
      </c>
      <c r="AT80" s="32">
        <v>7.0098670073893242E-6</v>
      </c>
      <c r="AU80" s="34">
        <v>0</v>
      </c>
      <c r="AV80" s="34">
        <v>0</v>
      </c>
      <c r="AW80" s="34">
        <v>1.5117612549304556E-3</v>
      </c>
      <c r="AX80" s="34">
        <v>2.01770987761535E-2</v>
      </c>
      <c r="AY80" s="34">
        <v>1.4746430586384435E-2</v>
      </c>
      <c r="AZ80" s="34">
        <v>0.15604468123473014</v>
      </c>
      <c r="BA80" s="34">
        <v>0.19247997185219853</v>
      </c>
      <c r="BB80" s="6"/>
      <c r="BC80" s="6"/>
      <c r="BD80" t="s">
        <v>494</v>
      </c>
      <c r="BF80" s="5">
        <v>1.0115417E-2</v>
      </c>
      <c r="BG80" s="5">
        <f t="shared" si="5"/>
        <v>-4.1216669014521989E-3</v>
      </c>
      <c r="BH80" s="2">
        <v>26.663468999999999</v>
      </c>
    </row>
    <row r="81" spans="1:60" x14ac:dyDescent="0.2">
      <c r="A81" t="str">
        <f t="shared" si="4"/>
        <v>Bicycle, electric (&lt;25 km/h) - 2040 - NCA - CH</v>
      </c>
      <c r="B81" t="s">
        <v>262</v>
      </c>
      <c r="D81" s="18">
        <v>2040</v>
      </c>
      <c r="E81" t="s">
        <v>37</v>
      </c>
      <c r="F81" t="s">
        <v>136</v>
      </c>
      <c r="G81" t="s">
        <v>39</v>
      </c>
      <c r="H81" t="s">
        <v>32</v>
      </c>
      <c r="I81" t="s">
        <v>44</v>
      </c>
      <c r="J81" t="s">
        <v>464</v>
      </c>
      <c r="L81" s="24">
        <v>0</v>
      </c>
      <c r="M81" s="24">
        <v>0</v>
      </c>
      <c r="N81" s="24">
        <v>1.5173567960250059E-4</v>
      </c>
      <c r="O81" s="24">
        <v>1.195732624675443E-3</v>
      </c>
      <c r="P81" s="24">
        <v>4.472460140397849E-4</v>
      </c>
      <c r="Q81" s="24">
        <v>1.2198250459837801E-2</v>
      </c>
      <c r="R81" s="24">
        <v>1.399296477815553E-2</v>
      </c>
      <c r="S81" s="26">
        <v>0</v>
      </c>
      <c r="T81" s="26">
        <v>0</v>
      </c>
      <c r="U81" s="26">
        <v>8.6491252881602508E-5</v>
      </c>
      <c r="V81" s="26">
        <v>9.8317473549625417E-5</v>
      </c>
      <c r="W81" s="26">
        <v>2.8260420366655981E-5</v>
      </c>
      <c r="X81" s="26">
        <v>5.3994048208173837E-3</v>
      </c>
      <c r="Y81" s="26">
        <v>5.6124739676152672E-3</v>
      </c>
      <c r="Z81" s="28">
        <v>0</v>
      </c>
      <c r="AA81" s="28">
        <v>1.3758060237990489E-3</v>
      </c>
      <c r="AB81" s="28">
        <v>1.5261971665741149E-5</v>
      </c>
      <c r="AC81" s="28">
        <v>2.3968260093961618E-5</v>
      </c>
      <c r="AD81" s="28">
        <v>1.284622168419881E-5</v>
      </c>
      <c r="AE81" s="28">
        <v>7.7368493079684136E-4</v>
      </c>
      <c r="AF81" s="28">
        <v>2.2015674080397918E-3</v>
      </c>
      <c r="AG81" s="30">
        <v>0</v>
      </c>
      <c r="AH81" s="30">
        <v>7.228237882960114E-6</v>
      </c>
      <c r="AI81" s="30">
        <v>5.7195725930249998E-5</v>
      </c>
      <c r="AJ81" s="30">
        <v>8.5554174677296554E-5</v>
      </c>
      <c r="AK81" s="30">
        <v>1.1989050597357409E-5</v>
      </c>
      <c r="AL81" s="30">
        <v>2.4346642938696621E-3</v>
      </c>
      <c r="AM81" s="30">
        <v>2.5966314829575263E-3</v>
      </c>
      <c r="AN81" s="32">
        <v>0</v>
      </c>
      <c r="AO81" s="32">
        <v>5.1842725945187069E-6</v>
      </c>
      <c r="AP81" s="32">
        <v>1.3512839746900889E-7</v>
      </c>
      <c r="AQ81" s="32">
        <v>6.5490648626579012E-8</v>
      </c>
      <c r="AR81" s="32">
        <v>4.7338929870880761E-8</v>
      </c>
      <c r="AS81" s="32">
        <v>1.4197002256924101E-6</v>
      </c>
      <c r="AT81" s="32">
        <v>6.8519307961775854E-6</v>
      </c>
      <c r="AU81" s="34">
        <v>0</v>
      </c>
      <c r="AV81" s="34">
        <v>0</v>
      </c>
      <c r="AW81" s="34">
        <v>1.5117612549304556E-3</v>
      </c>
      <c r="AX81" s="34">
        <v>2.01770987761535E-2</v>
      </c>
      <c r="AY81" s="34">
        <v>1.4651487950302742E-2</v>
      </c>
      <c r="AZ81" s="34">
        <v>0.15079487731350202</v>
      </c>
      <c r="BA81" s="34">
        <v>0.18713522529488871</v>
      </c>
      <c r="BB81" s="6"/>
      <c r="BC81" s="6"/>
      <c r="BD81" t="s">
        <v>495</v>
      </c>
      <c r="BF81" s="5">
        <v>9.7080232000000006E-3</v>
      </c>
      <c r="BG81" s="5">
        <f t="shared" si="5"/>
        <v>-4.2849415781555291E-3</v>
      </c>
      <c r="BH81" s="2">
        <v>23.588927000000002</v>
      </c>
    </row>
    <row r="82" spans="1:60" x14ac:dyDescent="0.2">
      <c r="A82" t="str">
        <f t="shared" si="4"/>
        <v>Bicycle, electric (&lt;25 km/h) - 2050 - NCA - CH</v>
      </c>
      <c r="B82" t="s">
        <v>262</v>
      </c>
      <c r="D82" s="18">
        <v>2050</v>
      </c>
      <c r="E82" t="s">
        <v>37</v>
      </c>
      <c r="F82" t="s">
        <v>136</v>
      </c>
      <c r="G82" t="s">
        <v>39</v>
      </c>
      <c r="H82" t="s">
        <v>32</v>
      </c>
      <c r="I82" t="s">
        <v>44</v>
      </c>
      <c r="J82" t="s">
        <v>464</v>
      </c>
      <c r="L82" s="24">
        <v>0</v>
      </c>
      <c r="M82" s="24">
        <v>0</v>
      </c>
      <c r="N82" s="24">
        <v>1.5173567960250059E-4</v>
      </c>
      <c r="O82" s="24">
        <v>1.195732624675443E-3</v>
      </c>
      <c r="P82" s="24">
        <v>4.4829300216425461E-4</v>
      </c>
      <c r="Q82" s="24">
        <v>1.260365568323627E-2</v>
      </c>
      <c r="R82" s="24">
        <v>1.4399416989678468E-2</v>
      </c>
      <c r="S82" s="26">
        <v>0</v>
      </c>
      <c r="T82" s="26">
        <v>0</v>
      </c>
      <c r="U82" s="26">
        <v>8.6491252881602508E-5</v>
      </c>
      <c r="V82" s="26">
        <v>9.8317473549625417E-5</v>
      </c>
      <c r="W82" s="26">
        <v>2.832657707591125E-5</v>
      </c>
      <c r="X82" s="26">
        <v>5.3727117660605393E-3</v>
      </c>
      <c r="Y82" s="26">
        <v>5.5858470695676786E-3</v>
      </c>
      <c r="Z82" s="28">
        <v>0</v>
      </c>
      <c r="AA82" s="28">
        <v>1.3758060237990489E-3</v>
      </c>
      <c r="AB82" s="28">
        <v>1.5261971665741149E-5</v>
      </c>
      <c r="AC82" s="28">
        <v>2.3968260093961618E-5</v>
      </c>
      <c r="AD82" s="28">
        <v>1.2876294264222889E-5</v>
      </c>
      <c r="AE82" s="28">
        <v>7.8933914750218843E-4</v>
      </c>
      <c r="AF82" s="28">
        <v>2.2172516973251628E-3</v>
      </c>
      <c r="AG82" s="30">
        <v>0</v>
      </c>
      <c r="AH82" s="30">
        <v>7.228237882960114E-6</v>
      </c>
      <c r="AI82" s="30">
        <v>5.7195725930249998E-5</v>
      </c>
      <c r="AJ82" s="30">
        <v>8.5554174677296554E-5</v>
      </c>
      <c r="AK82" s="30">
        <v>1.201711656822145E-5</v>
      </c>
      <c r="AL82" s="30">
        <v>2.4862151650290108E-3</v>
      </c>
      <c r="AM82" s="30">
        <v>2.6482104200877387E-3</v>
      </c>
      <c r="AN82" s="32">
        <v>0</v>
      </c>
      <c r="AO82" s="32">
        <v>5.1842725945187069E-6</v>
      </c>
      <c r="AP82" s="32">
        <v>1.3512839746900889E-7</v>
      </c>
      <c r="AQ82" s="32">
        <v>6.5490648626579012E-8</v>
      </c>
      <c r="AR82" s="32">
        <v>4.7449748739789693E-8</v>
      </c>
      <c r="AS82" s="32">
        <v>1.415924914824982E-6</v>
      </c>
      <c r="AT82" s="32">
        <v>6.848266304179066E-6</v>
      </c>
      <c r="AU82" s="34">
        <v>0</v>
      </c>
      <c r="AV82" s="34">
        <v>0</v>
      </c>
      <c r="AW82" s="34">
        <v>1.5117612549304556E-3</v>
      </c>
      <c r="AX82" s="34">
        <v>2.01770987761535E-2</v>
      </c>
      <c r="AY82" s="34">
        <v>1.4685786598939585E-2</v>
      </c>
      <c r="AZ82" s="34">
        <v>0.15478529578694766</v>
      </c>
      <c r="BA82" s="34">
        <v>0.19115994241697121</v>
      </c>
      <c r="BB82" s="6"/>
      <c r="BC82" s="6"/>
      <c r="BD82" t="s">
        <v>496</v>
      </c>
      <c r="BF82" s="5">
        <v>9.8363779999999998E-3</v>
      </c>
      <c r="BG82" s="5">
        <f t="shared" si="5"/>
        <v>-4.5630389896784678E-3</v>
      </c>
      <c r="BH82" s="2">
        <v>23.235011</v>
      </c>
    </row>
    <row r="83" spans="1:60" x14ac:dyDescent="0.2">
      <c r="A83" t="str">
        <f t="shared" si="4"/>
        <v>Bicycle, electric (&lt;45 km/h) - 2020 - NCA - CH</v>
      </c>
      <c r="B83" t="s">
        <v>263</v>
      </c>
      <c r="D83" s="18">
        <v>2020</v>
      </c>
      <c r="E83" t="s">
        <v>37</v>
      </c>
      <c r="F83" t="s">
        <v>136</v>
      </c>
      <c r="G83" t="s">
        <v>39</v>
      </c>
      <c r="H83" t="s">
        <v>32</v>
      </c>
      <c r="I83" t="s">
        <v>44</v>
      </c>
      <c r="J83" t="s">
        <v>464</v>
      </c>
      <c r="L83" s="24">
        <v>0</v>
      </c>
      <c r="M83" s="24">
        <v>0</v>
      </c>
      <c r="N83" s="24">
        <v>2.7867064536129458E-4</v>
      </c>
      <c r="O83" s="24">
        <v>1.195732624675443E-3</v>
      </c>
      <c r="P83" s="24">
        <v>4.6807692143117208E-4</v>
      </c>
      <c r="Q83" s="24">
        <v>8.9471022005478597E-3</v>
      </c>
      <c r="R83" s="24">
        <v>1.0889582392015769E-2</v>
      </c>
      <c r="S83" s="26">
        <v>0</v>
      </c>
      <c r="T83" s="26">
        <v>0</v>
      </c>
      <c r="U83" s="26">
        <v>1.5884578578857799E-4</v>
      </c>
      <c r="V83" s="26">
        <v>9.8317473549625417E-5</v>
      </c>
      <c r="W83" s="26">
        <v>2.957667625495802E-5</v>
      </c>
      <c r="X83" s="26">
        <v>4.3557162755091484E-3</v>
      </c>
      <c r="Y83" s="26">
        <v>4.6424562111023098E-3</v>
      </c>
      <c r="Z83" s="28">
        <v>0</v>
      </c>
      <c r="AA83" s="28">
        <v>1.3758060237990489E-3</v>
      </c>
      <c r="AB83" s="28">
        <v>2.8029422642845481E-5</v>
      </c>
      <c r="AC83" s="28">
        <v>2.3968260093961618E-5</v>
      </c>
      <c r="AD83" s="28">
        <v>1.344454664592552E-5</v>
      </c>
      <c r="AE83" s="28">
        <v>5.9772369747387736E-4</v>
      </c>
      <c r="AF83" s="28">
        <v>2.0389719506556589E-3</v>
      </c>
      <c r="AG83" s="30">
        <v>0</v>
      </c>
      <c r="AH83" s="30">
        <v>7.228237882960114E-6</v>
      </c>
      <c r="AI83" s="30">
        <v>1.050429925159661E-4</v>
      </c>
      <c r="AJ83" s="30">
        <v>8.5554174677296554E-5</v>
      </c>
      <c r="AK83" s="30">
        <v>1.254745200254465E-5</v>
      </c>
      <c r="AL83" s="30">
        <v>1.8740503591009371E-3</v>
      </c>
      <c r="AM83" s="30">
        <v>2.0844232161797045E-3</v>
      </c>
      <c r="AN83" s="32">
        <v>0</v>
      </c>
      <c r="AO83" s="32">
        <v>5.1842725945187069E-6</v>
      </c>
      <c r="AP83" s="32">
        <v>2.4817048849666651E-7</v>
      </c>
      <c r="AQ83" s="32">
        <v>6.5490648626579012E-8</v>
      </c>
      <c r="AR83" s="32">
        <v>4.9543785438492312E-8</v>
      </c>
      <c r="AS83" s="32">
        <v>1.163191731086597E-6</v>
      </c>
      <c r="AT83" s="32">
        <v>6.7106692481670411E-6</v>
      </c>
      <c r="AU83" s="34">
        <v>0</v>
      </c>
      <c r="AV83" s="34">
        <v>0</v>
      </c>
      <c r="AW83" s="34">
        <v>2.7764299448046754E-3</v>
      </c>
      <c r="AX83" s="34">
        <v>2.01770987761535E-2</v>
      </c>
      <c r="AY83" s="34">
        <v>1.5333894900969576E-2</v>
      </c>
      <c r="AZ83" s="34">
        <v>0.1127383291124191</v>
      </c>
      <c r="BA83" s="34">
        <v>0.15102575273434685</v>
      </c>
      <c r="BB83" s="6"/>
      <c r="BC83" s="6"/>
      <c r="BD83" t="s">
        <v>630</v>
      </c>
      <c r="BF83" s="5">
        <v>7.9219604000000006E-3</v>
      </c>
      <c r="BG83" s="5">
        <f t="shared" si="5"/>
        <v>-2.9676219920157683E-3</v>
      </c>
      <c r="BH83" s="2">
        <v>20.796040000000001</v>
      </c>
    </row>
    <row r="84" spans="1:60" x14ac:dyDescent="0.2">
      <c r="A84" t="str">
        <f t="shared" si="4"/>
        <v>Bicycle, electric (&lt;45 km/h) - 2030 - NCA - CH</v>
      </c>
      <c r="B84" t="s">
        <v>263</v>
      </c>
      <c r="D84" s="18">
        <v>2030</v>
      </c>
      <c r="E84" t="s">
        <v>37</v>
      </c>
      <c r="F84" t="s">
        <v>136</v>
      </c>
      <c r="G84" t="s">
        <v>39</v>
      </c>
      <c r="H84" t="s">
        <v>32</v>
      </c>
      <c r="I84" t="s">
        <v>44</v>
      </c>
      <c r="J84" t="s">
        <v>464</v>
      </c>
      <c r="L84" s="24">
        <v>0</v>
      </c>
      <c r="M84" s="24">
        <v>0</v>
      </c>
      <c r="N84" s="24">
        <v>2.7867064536129458E-4</v>
      </c>
      <c r="O84" s="24">
        <v>1.195732624675443E-3</v>
      </c>
      <c r="P84" s="24">
        <v>4.6794299667422991E-4</v>
      </c>
      <c r="Q84" s="24">
        <v>9.3658625355491978E-3</v>
      </c>
      <c r="R84" s="24">
        <v>1.1308208802260165E-2</v>
      </c>
      <c r="S84" s="26">
        <v>0</v>
      </c>
      <c r="T84" s="26">
        <v>0</v>
      </c>
      <c r="U84" s="26">
        <v>1.5884578578857799E-4</v>
      </c>
      <c r="V84" s="26">
        <v>9.8317473549625417E-5</v>
      </c>
      <c r="W84" s="26">
        <v>2.956821386555738E-5</v>
      </c>
      <c r="X84" s="26">
        <v>4.2688576020364433E-3</v>
      </c>
      <c r="Y84" s="26">
        <v>4.5555890752402043E-3</v>
      </c>
      <c r="Z84" s="28">
        <v>0</v>
      </c>
      <c r="AA84" s="28">
        <v>1.3758060237990489E-3</v>
      </c>
      <c r="AB84" s="28">
        <v>2.8029422642845481E-5</v>
      </c>
      <c r="AC84" s="28">
        <v>2.3968260093961618E-5</v>
      </c>
      <c r="AD84" s="28">
        <v>1.3440699932790739E-5</v>
      </c>
      <c r="AE84" s="28">
        <v>6.0907852498301245E-4</v>
      </c>
      <c r="AF84" s="28">
        <v>2.0503229314516591E-3</v>
      </c>
      <c r="AG84" s="30">
        <v>0</v>
      </c>
      <c r="AH84" s="30">
        <v>7.228237882960114E-6</v>
      </c>
      <c r="AI84" s="30">
        <v>1.050429925159661E-4</v>
      </c>
      <c r="AJ84" s="30">
        <v>8.5554174677296554E-5</v>
      </c>
      <c r="AK84" s="30">
        <v>1.2543861963423409E-5</v>
      </c>
      <c r="AL84" s="30">
        <v>1.916548276935175E-3</v>
      </c>
      <c r="AM84" s="30">
        <v>2.1269175439748212E-3</v>
      </c>
      <c r="AN84" s="32">
        <v>0</v>
      </c>
      <c r="AO84" s="32">
        <v>5.1842725945187069E-6</v>
      </c>
      <c r="AP84" s="32">
        <v>2.4817048849666651E-7</v>
      </c>
      <c r="AQ84" s="32">
        <v>6.5490648626579012E-8</v>
      </c>
      <c r="AR84" s="32">
        <v>4.9529610120037038E-8</v>
      </c>
      <c r="AS84" s="32">
        <v>1.1423372738046949E-6</v>
      </c>
      <c r="AT84" s="32">
        <v>6.6898006155666838E-6</v>
      </c>
      <c r="AU84" s="34">
        <v>0</v>
      </c>
      <c r="AV84" s="34">
        <v>0</v>
      </c>
      <c r="AW84" s="34">
        <v>2.7764299448046754E-3</v>
      </c>
      <c r="AX84" s="34">
        <v>2.01770987761535E-2</v>
      </c>
      <c r="AY84" s="34">
        <v>1.5329507613210733E-2</v>
      </c>
      <c r="AZ84" s="34">
        <v>0.116540654959193</v>
      </c>
      <c r="BA84" s="34">
        <v>0.1548236912933619</v>
      </c>
      <c r="BB84" s="6"/>
      <c r="BC84" s="6"/>
      <c r="BD84" t="s">
        <v>497</v>
      </c>
      <c r="BF84" s="5">
        <v>8.0175000999999999E-3</v>
      </c>
      <c r="BG84" s="5">
        <f t="shared" si="5"/>
        <v>-3.2907087022601648E-3</v>
      </c>
      <c r="BH84" s="2">
        <v>20.087430000000001</v>
      </c>
    </row>
    <row r="85" spans="1:60" x14ac:dyDescent="0.2">
      <c r="A85" t="str">
        <f t="shared" si="4"/>
        <v>Bicycle, electric (&lt;45 km/h) - 2040 - NCA - CH</v>
      </c>
      <c r="B85" t="s">
        <v>263</v>
      </c>
      <c r="D85" s="18">
        <v>2040</v>
      </c>
      <c r="E85" t="s">
        <v>37</v>
      </c>
      <c r="F85" t="s">
        <v>136</v>
      </c>
      <c r="G85" t="s">
        <v>39</v>
      </c>
      <c r="H85" t="s">
        <v>32</v>
      </c>
      <c r="I85" t="s">
        <v>44</v>
      </c>
      <c r="J85" t="s">
        <v>464</v>
      </c>
      <c r="L85" s="24">
        <v>0</v>
      </c>
      <c r="M85" s="24">
        <v>0</v>
      </c>
      <c r="N85" s="24">
        <v>2.7867064536129458E-4</v>
      </c>
      <c r="O85" s="24">
        <v>1.195732624675443E-3</v>
      </c>
      <c r="P85" s="24">
        <v>4.6431647259092168E-4</v>
      </c>
      <c r="Q85" s="24">
        <v>9.2545344979058069E-3</v>
      </c>
      <c r="R85" s="24">
        <v>1.1193254240533466E-2</v>
      </c>
      <c r="S85" s="26">
        <v>0</v>
      </c>
      <c r="T85" s="26">
        <v>0</v>
      </c>
      <c r="U85" s="26">
        <v>1.5884578578857799E-4</v>
      </c>
      <c r="V85" s="26">
        <v>9.8317473549625417E-5</v>
      </c>
      <c r="W85" s="26">
        <v>2.9339062365383309E-5</v>
      </c>
      <c r="X85" s="26">
        <v>3.8468258445469201E-3</v>
      </c>
      <c r="Y85" s="26">
        <v>4.1333281662505068E-3</v>
      </c>
      <c r="Z85" s="28">
        <v>0</v>
      </c>
      <c r="AA85" s="28">
        <v>1.3758060237990489E-3</v>
      </c>
      <c r="AB85" s="28">
        <v>2.8029422642845481E-5</v>
      </c>
      <c r="AC85" s="28">
        <v>2.3968260093961618E-5</v>
      </c>
      <c r="AD85" s="28">
        <v>1.3336535488939229E-5</v>
      </c>
      <c r="AE85" s="28">
        <v>5.7139498067513704E-4</v>
      </c>
      <c r="AF85" s="28">
        <v>2.0125352226999325E-3</v>
      </c>
      <c r="AG85" s="30">
        <v>0</v>
      </c>
      <c r="AH85" s="30">
        <v>7.228237882960114E-6</v>
      </c>
      <c r="AI85" s="30">
        <v>1.050429925159661E-4</v>
      </c>
      <c r="AJ85" s="30">
        <v>8.5554174677296554E-5</v>
      </c>
      <c r="AK85" s="30">
        <v>1.244664794840158E-5</v>
      </c>
      <c r="AL85" s="30">
        <v>1.805207430249791E-3</v>
      </c>
      <c r="AM85" s="30">
        <v>2.0154794832744154E-3</v>
      </c>
      <c r="AN85" s="32">
        <v>0</v>
      </c>
      <c r="AO85" s="32">
        <v>5.1842725945187069E-6</v>
      </c>
      <c r="AP85" s="32">
        <v>2.4817048849666651E-7</v>
      </c>
      <c r="AQ85" s="32">
        <v>6.5490648626579012E-8</v>
      </c>
      <c r="AR85" s="32">
        <v>4.9145759255265523E-8</v>
      </c>
      <c r="AS85" s="32">
        <v>1.0379130472625481E-6</v>
      </c>
      <c r="AT85" s="32">
        <v>6.584992538159766E-6</v>
      </c>
      <c r="AU85" s="34">
        <v>0</v>
      </c>
      <c r="AV85" s="34">
        <v>0</v>
      </c>
      <c r="AW85" s="34">
        <v>2.7764299448046754E-3</v>
      </c>
      <c r="AX85" s="34">
        <v>2.01770987761535E-2</v>
      </c>
      <c r="AY85" s="34">
        <v>1.5210705047642539E-2</v>
      </c>
      <c r="AZ85" s="34">
        <v>0.11356209393115528</v>
      </c>
      <c r="BA85" s="34">
        <v>0.151726327699756</v>
      </c>
      <c r="BB85" s="6"/>
      <c r="BC85" s="6"/>
      <c r="BD85" t="s">
        <v>498</v>
      </c>
      <c r="BF85" s="5">
        <v>7.7592416999999999E-3</v>
      </c>
      <c r="BG85" s="5">
        <f t="shared" si="5"/>
        <v>-3.4340125405334663E-3</v>
      </c>
      <c r="BH85" s="2">
        <v>18.014213999999999</v>
      </c>
    </row>
    <row r="86" spans="1:60" x14ac:dyDescent="0.2">
      <c r="A86" t="str">
        <f t="shared" si="4"/>
        <v>Bicycle, electric (&lt;45 km/h) - 2050 - NCA - CH</v>
      </c>
      <c r="B86" t="s">
        <v>263</v>
      </c>
      <c r="D86" s="18">
        <v>2050</v>
      </c>
      <c r="E86" t="s">
        <v>37</v>
      </c>
      <c r="F86" t="s">
        <v>136</v>
      </c>
      <c r="G86" t="s">
        <v>39</v>
      </c>
      <c r="H86" t="s">
        <v>32</v>
      </c>
      <c r="I86" t="s">
        <v>44</v>
      </c>
      <c r="J86" t="s">
        <v>464</v>
      </c>
      <c r="L86" s="24">
        <v>0</v>
      </c>
      <c r="M86" s="24">
        <v>0</v>
      </c>
      <c r="N86" s="24">
        <v>2.7867064536129458E-4</v>
      </c>
      <c r="O86" s="24">
        <v>1.195732624675443E-3</v>
      </c>
      <c r="P86" s="24">
        <v>4.6509033337857321E-4</v>
      </c>
      <c r="Q86" s="24">
        <v>9.5906252532761711E-3</v>
      </c>
      <c r="R86" s="24">
        <v>1.1530118856691482E-2</v>
      </c>
      <c r="S86" s="26">
        <v>0</v>
      </c>
      <c r="T86" s="26">
        <v>0</v>
      </c>
      <c r="U86" s="26">
        <v>1.5884578578857799E-4</v>
      </c>
      <c r="V86" s="26">
        <v>9.8317473549625417E-5</v>
      </c>
      <c r="W86" s="26">
        <v>2.9387960802658939E-5</v>
      </c>
      <c r="X86" s="26">
        <v>3.8410430040728498E-3</v>
      </c>
      <c r="Y86" s="26">
        <v>4.1275942242137119E-3</v>
      </c>
      <c r="Z86" s="28">
        <v>0</v>
      </c>
      <c r="AA86" s="28">
        <v>1.3758060237990489E-3</v>
      </c>
      <c r="AB86" s="28">
        <v>2.8029422642845481E-5</v>
      </c>
      <c r="AC86" s="28">
        <v>2.3968260093961618E-5</v>
      </c>
      <c r="AD86" s="28">
        <v>1.335876304808745E-5</v>
      </c>
      <c r="AE86" s="28">
        <v>5.8558643783272095E-4</v>
      </c>
      <c r="AF86" s="28">
        <v>2.0267489074166645E-3</v>
      </c>
      <c r="AG86" s="30">
        <v>0</v>
      </c>
      <c r="AH86" s="30">
        <v>7.228237882960114E-6</v>
      </c>
      <c r="AI86" s="30">
        <v>1.050429925159661E-4</v>
      </c>
      <c r="AJ86" s="30">
        <v>8.5554174677296554E-5</v>
      </c>
      <c r="AK86" s="30">
        <v>1.246739236164892E-5</v>
      </c>
      <c r="AL86" s="30">
        <v>1.852233154816748E-3</v>
      </c>
      <c r="AM86" s="30">
        <v>2.0625259522546197E-3</v>
      </c>
      <c r="AN86" s="32">
        <v>0</v>
      </c>
      <c r="AO86" s="32">
        <v>5.1842725945187069E-6</v>
      </c>
      <c r="AP86" s="32">
        <v>2.4817048849666651E-7</v>
      </c>
      <c r="AQ86" s="32">
        <v>6.5490648626579012E-8</v>
      </c>
      <c r="AR86" s="32">
        <v>4.9227668854024287E-8</v>
      </c>
      <c r="AS86" s="32">
        <v>1.038165121198836E-6</v>
      </c>
      <c r="AT86" s="32">
        <v>6.5853265216948129E-6</v>
      </c>
      <c r="AU86" s="34">
        <v>0</v>
      </c>
      <c r="AV86" s="34">
        <v>0</v>
      </c>
      <c r="AW86" s="34">
        <v>2.7764299448046754E-3</v>
      </c>
      <c r="AX86" s="34">
        <v>2.01770987761535E-2</v>
      </c>
      <c r="AY86" s="34">
        <v>1.5236056222721946E-2</v>
      </c>
      <c r="AZ86" s="34">
        <v>0.11692743774055409</v>
      </c>
      <c r="BA86" s="34">
        <v>0.15511702268423422</v>
      </c>
      <c r="BB86" s="6"/>
      <c r="BC86" s="6"/>
      <c r="BD86" t="s">
        <v>499</v>
      </c>
      <c r="BF86" s="5">
        <v>7.8720396999999998E-3</v>
      </c>
      <c r="BG86" s="5">
        <f t="shared" si="5"/>
        <v>-3.6580791566914826E-3</v>
      </c>
      <c r="BH86" s="2">
        <v>17.793037000000002</v>
      </c>
    </row>
    <row r="87" spans="1:60" x14ac:dyDescent="0.2">
      <c r="A87" t="str">
        <f t="shared" si="4"/>
        <v>Bicycle, battery electric, cargo bike - 2020 - NCA - CH</v>
      </c>
      <c r="B87" t="s">
        <v>652</v>
      </c>
      <c r="D87" s="18">
        <v>2020</v>
      </c>
      <c r="E87" t="s">
        <v>37</v>
      </c>
      <c r="F87" t="s">
        <v>136</v>
      </c>
      <c r="G87" t="s">
        <v>39</v>
      </c>
      <c r="H87" t="s">
        <v>32</v>
      </c>
      <c r="I87" t="s">
        <v>44</v>
      </c>
      <c r="J87" t="s">
        <v>464</v>
      </c>
      <c r="L87" s="24">
        <v>0</v>
      </c>
      <c r="M87" s="24">
        <v>0</v>
      </c>
      <c r="N87" s="24">
        <v>2.1347201307001551E-4</v>
      </c>
      <c r="O87" s="24">
        <v>1.195732624675443E-3</v>
      </c>
      <c r="P87" s="24">
        <v>7.7306911421148351E-4</v>
      </c>
      <c r="Q87" s="24">
        <v>2.0878278466762681E-2</v>
      </c>
      <c r="R87" s="24">
        <v>2.3060552218719624E-2</v>
      </c>
      <c r="S87" s="26">
        <v>0</v>
      </c>
      <c r="T87" s="26">
        <v>0</v>
      </c>
      <c r="U87" s="26">
        <v>1.2168174231632199E-4</v>
      </c>
      <c r="V87" s="26">
        <v>9.8317473549625417E-5</v>
      </c>
      <c r="W87" s="26">
        <v>4.8848413298886282E-5</v>
      </c>
      <c r="X87" s="26">
        <v>7.0727744821350233E-3</v>
      </c>
      <c r="Y87" s="26">
        <v>7.3416221112998573E-3</v>
      </c>
      <c r="Z87" s="28">
        <v>0</v>
      </c>
      <c r="AA87" s="28">
        <v>2.7516120475980978E-3</v>
      </c>
      <c r="AB87" s="28">
        <v>2.1471573616951781E-5</v>
      </c>
      <c r="AC87" s="28">
        <v>2.3968260093961618E-5</v>
      </c>
      <c r="AD87" s="28">
        <v>2.220481995728756E-5</v>
      </c>
      <c r="AE87" s="28">
        <v>1.159068076553423E-3</v>
      </c>
      <c r="AF87" s="28">
        <v>3.9783247778197219E-3</v>
      </c>
      <c r="AG87" s="30">
        <v>0</v>
      </c>
      <c r="AH87" s="30">
        <v>1.445647576592023E-5</v>
      </c>
      <c r="AI87" s="30">
        <v>8.0466814300478743E-5</v>
      </c>
      <c r="AJ87" s="30">
        <v>8.5554174677296554E-5</v>
      </c>
      <c r="AK87" s="30">
        <v>2.0723191341200589E-5</v>
      </c>
      <c r="AL87" s="30">
        <v>3.4206372658351892E-3</v>
      </c>
      <c r="AM87" s="30">
        <v>3.6218379219200851E-3</v>
      </c>
      <c r="AN87" s="32">
        <v>0</v>
      </c>
      <c r="AO87" s="32">
        <v>1.036854518903741E-5</v>
      </c>
      <c r="AP87" s="32">
        <v>1.901077657292092E-7</v>
      </c>
      <c r="AQ87" s="32">
        <v>6.5490648626579012E-8</v>
      </c>
      <c r="AR87" s="32">
        <v>8.1825803772833398E-8</v>
      </c>
      <c r="AS87" s="32">
        <v>2.3360234366057679E-6</v>
      </c>
      <c r="AT87" s="32">
        <v>1.3041992843771801E-5</v>
      </c>
      <c r="AU87" s="34">
        <v>0</v>
      </c>
      <c r="AV87" s="34">
        <v>0</v>
      </c>
      <c r="AW87" s="34">
        <v>2.1268479451680587E-3</v>
      </c>
      <c r="AX87" s="34">
        <v>2.01770987761535E-2</v>
      </c>
      <c r="AY87" s="34">
        <v>2.5325240373440656E-2</v>
      </c>
      <c r="AZ87" s="34">
        <v>0.25770044876159887</v>
      </c>
      <c r="BA87" s="34">
        <v>0.30532963585636108</v>
      </c>
      <c r="BB87" s="6"/>
      <c r="BC87" s="6"/>
      <c r="BD87" t="s">
        <v>679</v>
      </c>
      <c r="BF87" s="5">
        <v>1.6064688000000001E-2</v>
      </c>
      <c r="BG87" s="5">
        <f t="shared" si="5"/>
        <v>-6.9958642187196232E-3</v>
      </c>
      <c r="BH87" s="2">
        <v>37.135261</v>
      </c>
    </row>
    <row r="88" spans="1:60" x14ac:dyDescent="0.2">
      <c r="A88" t="str">
        <f t="shared" si="4"/>
        <v>Bicycle, battery electric, cargo bike - 2030 - NCA - CH</v>
      </c>
      <c r="B88" t="s">
        <v>652</v>
      </c>
      <c r="D88" s="18">
        <v>2030</v>
      </c>
      <c r="E88" t="s">
        <v>37</v>
      </c>
      <c r="F88" t="s">
        <v>136</v>
      </c>
      <c r="G88" t="s">
        <v>39</v>
      </c>
      <c r="H88" t="s">
        <v>32</v>
      </c>
      <c r="I88" t="s">
        <v>44</v>
      </c>
      <c r="J88" t="s">
        <v>464</v>
      </c>
      <c r="L88" s="24">
        <v>0</v>
      </c>
      <c r="M88" s="24">
        <v>0</v>
      </c>
      <c r="N88" s="24">
        <v>2.1347201307001551E-4</v>
      </c>
      <c r="O88" s="24">
        <v>1.195732624675443E-3</v>
      </c>
      <c r="P88" s="24">
        <v>7.6836789343330363E-4</v>
      </c>
      <c r="Q88" s="24">
        <v>2.20152986110074E-2</v>
      </c>
      <c r="R88" s="24">
        <v>2.4192871142186163E-2</v>
      </c>
      <c r="S88" s="26">
        <v>0</v>
      </c>
      <c r="T88" s="26">
        <v>0</v>
      </c>
      <c r="U88" s="26">
        <v>1.2168174231632199E-4</v>
      </c>
      <c r="V88" s="26">
        <v>9.8317473549625417E-5</v>
      </c>
      <c r="W88" s="26">
        <v>4.855135425027058E-5</v>
      </c>
      <c r="X88" s="26">
        <v>6.7126223626184402E-3</v>
      </c>
      <c r="Y88" s="26">
        <v>6.9811729327346585E-3</v>
      </c>
      <c r="Z88" s="28">
        <v>0</v>
      </c>
      <c r="AA88" s="28">
        <v>2.7516120475980978E-3</v>
      </c>
      <c r="AB88" s="28">
        <v>2.1471573616951781E-5</v>
      </c>
      <c r="AC88" s="28">
        <v>2.3968260093961618E-5</v>
      </c>
      <c r="AD88" s="28">
        <v>2.2069787061728899E-5</v>
      </c>
      <c r="AE88" s="28">
        <v>1.17963669245097E-3</v>
      </c>
      <c r="AF88" s="28">
        <v>3.99875836082171E-3</v>
      </c>
      <c r="AG88" s="30">
        <v>0</v>
      </c>
      <c r="AH88" s="30">
        <v>1.445647576592023E-5</v>
      </c>
      <c r="AI88" s="30">
        <v>8.0466814300478743E-5</v>
      </c>
      <c r="AJ88" s="30">
        <v>8.5554174677296554E-5</v>
      </c>
      <c r="AK88" s="30">
        <v>2.0597168588599979E-5</v>
      </c>
      <c r="AL88" s="30">
        <v>3.5145700701957861E-3</v>
      </c>
      <c r="AM88" s="30">
        <v>3.7156447035280814E-3</v>
      </c>
      <c r="AN88" s="32">
        <v>0</v>
      </c>
      <c r="AO88" s="32">
        <v>1.036854518903741E-5</v>
      </c>
      <c r="AP88" s="32">
        <v>1.901077657292092E-7</v>
      </c>
      <c r="AQ88" s="32">
        <v>6.5490648626579012E-8</v>
      </c>
      <c r="AR88" s="32">
        <v>8.1328201214644952E-8</v>
      </c>
      <c r="AS88" s="32">
        <v>2.2421527293958001E-6</v>
      </c>
      <c r="AT88" s="32">
        <v>1.2947624534003645E-5</v>
      </c>
      <c r="AU88" s="34">
        <v>0</v>
      </c>
      <c r="AV88" s="34">
        <v>0</v>
      </c>
      <c r="AW88" s="34">
        <v>2.1268479451680587E-3</v>
      </c>
      <c r="AX88" s="34">
        <v>2.01770987761535E-2</v>
      </c>
      <c r="AY88" s="34">
        <v>2.5171231444526893E-2</v>
      </c>
      <c r="AZ88" s="34">
        <v>0.26732106008133277</v>
      </c>
      <c r="BA88" s="34">
        <v>0.31479623824718123</v>
      </c>
      <c r="BB88" s="6"/>
      <c r="BC88" s="6"/>
      <c r="BD88" t="s">
        <v>680</v>
      </c>
      <c r="BF88" s="5">
        <v>1.6237141E-2</v>
      </c>
      <c r="BG88" s="5">
        <f t="shared" si="5"/>
        <v>-7.9557301421861633E-3</v>
      </c>
      <c r="BH88" s="2">
        <v>34.464179000000001</v>
      </c>
    </row>
    <row r="89" spans="1:60" x14ac:dyDescent="0.2">
      <c r="A89" t="str">
        <f t="shared" si="4"/>
        <v>Bicycle, battery electric, cargo bike - 2040 - NCA - CH</v>
      </c>
      <c r="B89" t="s">
        <v>652</v>
      </c>
      <c r="D89" s="18">
        <v>2040</v>
      </c>
      <c r="E89" t="s">
        <v>37</v>
      </c>
      <c r="F89" t="s">
        <v>136</v>
      </c>
      <c r="G89" t="s">
        <v>39</v>
      </c>
      <c r="H89" t="s">
        <v>32</v>
      </c>
      <c r="I89" t="s">
        <v>44</v>
      </c>
      <c r="J89" t="s">
        <v>464</v>
      </c>
      <c r="L89" s="24">
        <v>0</v>
      </c>
      <c r="M89" s="24">
        <v>0</v>
      </c>
      <c r="N89" s="24">
        <v>2.1347201307001551E-4</v>
      </c>
      <c r="O89" s="24">
        <v>1.195732624675443E-3</v>
      </c>
      <c r="P89" s="24">
        <v>7.6248048195077839E-4</v>
      </c>
      <c r="Q89" s="24">
        <v>2.2389322592270031E-2</v>
      </c>
      <c r="R89" s="24">
        <v>2.4561007711966266E-2</v>
      </c>
      <c r="S89" s="26">
        <v>0</v>
      </c>
      <c r="T89" s="26">
        <v>0</v>
      </c>
      <c r="U89" s="26">
        <v>1.2168174231632199E-4</v>
      </c>
      <c r="V89" s="26">
        <v>9.8317473549625417E-5</v>
      </c>
      <c r="W89" s="26">
        <v>4.8179342609820628E-5</v>
      </c>
      <c r="X89" s="26">
        <v>6.116150346419302E-3</v>
      </c>
      <c r="Y89" s="26">
        <v>6.3843289048950702E-3</v>
      </c>
      <c r="Z89" s="28">
        <v>0</v>
      </c>
      <c r="AA89" s="28">
        <v>2.7516120475980978E-3</v>
      </c>
      <c r="AB89" s="28">
        <v>2.1471573616951781E-5</v>
      </c>
      <c r="AC89" s="28">
        <v>2.3968260093961618E-5</v>
      </c>
      <c r="AD89" s="28">
        <v>2.1900683278405099E-5</v>
      </c>
      <c r="AE89" s="28">
        <v>1.1488221856844601E-3</v>
      </c>
      <c r="AF89" s="28">
        <v>3.9677747502718762E-3</v>
      </c>
      <c r="AG89" s="30">
        <v>0</v>
      </c>
      <c r="AH89" s="30">
        <v>1.445647576592023E-5</v>
      </c>
      <c r="AI89" s="30">
        <v>8.0466814300478743E-5</v>
      </c>
      <c r="AJ89" s="30">
        <v>8.5554174677296554E-5</v>
      </c>
      <c r="AK89" s="30">
        <v>2.0439348346639859E-5</v>
      </c>
      <c r="AL89" s="30">
        <v>3.4424901281110551E-3</v>
      </c>
      <c r="AM89" s="30">
        <v>3.6434069412013903E-3</v>
      </c>
      <c r="AN89" s="32">
        <v>0</v>
      </c>
      <c r="AO89" s="32">
        <v>1.036854518903741E-5</v>
      </c>
      <c r="AP89" s="32">
        <v>1.901077657292092E-7</v>
      </c>
      <c r="AQ89" s="32">
        <v>6.5490648626579012E-8</v>
      </c>
      <c r="AR89" s="32">
        <v>8.0705045835852706E-8</v>
      </c>
      <c r="AS89" s="32">
        <v>2.0890779398036739E-6</v>
      </c>
      <c r="AT89" s="32">
        <v>1.2793926589032726E-5</v>
      </c>
      <c r="AU89" s="34">
        <v>0</v>
      </c>
      <c r="AV89" s="34">
        <v>0</v>
      </c>
      <c r="AW89" s="34">
        <v>2.1268479451680587E-3</v>
      </c>
      <c r="AX89" s="34">
        <v>2.01770987761535E-2</v>
      </c>
      <c r="AY89" s="34">
        <v>2.4978363681177701E-2</v>
      </c>
      <c r="AZ89" s="34">
        <v>0.26827187443993367</v>
      </c>
      <c r="BA89" s="34">
        <v>0.31555418484243292</v>
      </c>
      <c r="BB89" s="6"/>
      <c r="BC89" s="6"/>
      <c r="BD89" t="s">
        <v>681</v>
      </c>
      <c r="BF89" s="5">
        <v>1.6033511E-2</v>
      </c>
      <c r="BG89" s="5">
        <f t="shared" si="5"/>
        <v>-8.5274967119662662E-3</v>
      </c>
      <c r="BH89" s="2">
        <v>31.085521</v>
      </c>
    </row>
    <row r="90" spans="1:60" x14ac:dyDescent="0.2">
      <c r="A90" t="str">
        <f t="shared" si="4"/>
        <v>Bicycle, battery electric, cargo bike - 2050 - NCA - CH</v>
      </c>
      <c r="B90" t="s">
        <v>652</v>
      </c>
      <c r="D90" s="18">
        <v>2050</v>
      </c>
      <c r="E90" t="s">
        <v>37</v>
      </c>
      <c r="F90" t="s">
        <v>136</v>
      </c>
      <c r="G90" t="s">
        <v>39</v>
      </c>
      <c r="H90" t="s">
        <v>32</v>
      </c>
      <c r="I90" t="s">
        <v>44</v>
      </c>
      <c r="J90" t="s">
        <v>464</v>
      </c>
      <c r="L90" s="24">
        <v>0</v>
      </c>
      <c r="M90" s="24">
        <v>0</v>
      </c>
      <c r="N90" s="24">
        <v>2.1347201307001551E-4</v>
      </c>
      <c r="O90" s="24">
        <v>1.195732624675443E-3</v>
      </c>
      <c r="P90" s="24">
        <v>7.5856565678971755E-4</v>
      </c>
      <c r="Q90" s="24">
        <v>2.3192410185793658E-2</v>
      </c>
      <c r="R90" s="24">
        <v>2.5360180480328835E-2</v>
      </c>
      <c r="S90" s="26">
        <v>0</v>
      </c>
      <c r="T90" s="26">
        <v>0</v>
      </c>
      <c r="U90" s="26">
        <v>1.2168174231632199E-4</v>
      </c>
      <c r="V90" s="26">
        <v>9.8317473549625417E-5</v>
      </c>
      <c r="W90" s="26">
        <v>4.7931974044779159E-5</v>
      </c>
      <c r="X90" s="26">
        <v>5.9207208665991726E-3</v>
      </c>
      <c r="Y90" s="26">
        <v>6.1886520565098994E-3</v>
      </c>
      <c r="Z90" s="28">
        <v>0</v>
      </c>
      <c r="AA90" s="28">
        <v>2.7516120475980978E-3</v>
      </c>
      <c r="AB90" s="28">
        <v>2.1471573616951781E-5</v>
      </c>
      <c r="AC90" s="28">
        <v>2.3968260093961618E-5</v>
      </c>
      <c r="AD90" s="28">
        <v>2.1788237979184629E-5</v>
      </c>
      <c r="AE90" s="28">
        <v>1.1679844838327149E-3</v>
      </c>
      <c r="AF90" s="28">
        <v>3.9868246031209108E-3</v>
      </c>
      <c r="AG90" s="30">
        <v>0</v>
      </c>
      <c r="AH90" s="30">
        <v>1.445647576592023E-5</v>
      </c>
      <c r="AI90" s="30">
        <v>8.0466814300478743E-5</v>
      </c>
      <c r="AJ90" s="30">
        <v>8.5554174677296554E-5</v>
      </c>
      <c r="AK90" s="30">
        <v>2.0334406020800391E-5</v>
      </c>
      <c r="AL90" s="30">
        <v>3.5206074558304318E-3</v>
      </c>
      <c r="AM90" s="30">
        <v>3.7214193265949279E-3</v>
      </c>
      <c r="AN90" s="32">
        <v>0</v>
      </c>
      <c r="AO90" s="32">
        <v>1.036854518903741E-5</v>
      </c>
      <c r="AP90" s="32">
        <v>1.901077657292092E-7</v>
      </c>
      <c r="AQ90" s="32">
        <v>6.5490648626579012E-8</v>
      </c>
      <c r="AR90" s="32">
        <v>8.0290679630367122E-8</v>
      </c>
      <c r="AS90" s="32">
        <v>2.038049713160376E-6</v>
      </c>
      <c r="AT90" s="32">
        <v>1.2742483996183944E-5</v>
      </c>
      <c r="AU90" s="34">
        <v>0</v>
      </c>
      <c r="AV90" s="34">
        <v>0</v>
      </c>
      <c r="AW90" s="34">
        <v>2.1268479451680587E-3</v>
      </c>
      <c r="AX90" s="34">
        <v>2.01770987761535E-2</v>
      </c>
      <c r="AY90" s="34">
        <v>2.4850116560187773E-2</v>
      </c>
      <c r="AZ90" s="34">
        <v>0.27535273461658422</v>
      </c>
      <c r="BA90" s="34">
        <v>0.32250679789809356</v>
      </c>
      <c r="BB90" s="6"/>
      <c r="BC90" s="6"/>
      <c r="BD90" t="s">
        <v>682</v>
      </c>
      <c r="BF90" s="5">
        <v>1.6183102000000001E-2</v>
      </c>
      <c r="BG90" s="5">
        <f t="shared" si="5"/>
        <v>-9.177078480328834E-3</v>
      </c>
      <c r="BH90" s="2">
        <v>29.513086999999999</v>
      </c>
    </row>
    <row r="91" spans="1:60" x14ac:dyDescent="0.2">
      <c r="A91" t="str">
        <f t="shared" si="0"/>
        <v>Tram, electric - 2020 - None - CH</v>
      </c>
      <c r="B91" t="s">
        <v>264</v>
      </c>
      <c r="C91" t="s">
        <v>34</v>
      </c>
      <c r="D91" s="18">
        <v>2020</v>
      </c>
      <c r="E91" t="s">
        <v>37</v>
      </c>
      <c r="F91" t="s">
        <v>136</v>
      </c>
      <c r="G91" t="s">
        <v>40</v>
      </c>
      <c r="H91" t="s">
        <v>32</v>
      </c>
      <c r="I91" t="s">
        <v>136</v>
      </c>
      <c r="J91" t="s">
        <v>136</v>
      </c>
      <c r="L91" s="24">
        <v>0</v>
      </c>
      <c r="M91" s="24">
        <v>1.956797293172932E-4</v>
      </c>
      <c r="N91" s="24">
        <v>9.3541078224898492E-3</v>
      </c>
      <c r="O91" s="24">
        <v>3.2777569908739641E-4</v>
      </c>
      <c r="P91" s="24">
        <v>0</v>
      </c>
      <c r="Q91" s="24">
        <v>1.8324312001857101E-3</v>
      </c>
      <c r="R91" s="24">
        <v>1.1709994451080249E-2</v>
      </c>
      <c r="S91" s="26">
        <v>0</v>
      </c>
      <c r="T91" s="26">
        <v>0</v>
      </c>
      <c r="U91" s="26">
        <v>3.5924961226553142E-4</v>
      </c>
      <c r="V91" s="26">
        <v>1.0483734955580971E-5</v>
      </c>
      <c r="W91" s="26">
        <v>0</v>
      </c>
      <c r="X91" s="26">
        <v>1.711018047193602E-3</v>
      </c>
      <c r="Y91" s="26">
        <v>2.0807513944147145E-3</v>
      </c>
      <c r="Z91" s="28">
        <v>1.718433157894737E-6</v>
      </c>
      <c r="AA91" s="28">
        <v>6.9022556390977446E-9</v>
      </c>
      <c r="AB91" s="28">
        <v>2.295759312253106E-4</v>
      </c>
      <c r="AC91" s="28">
        <v>7.030026356166962E-6</v>
      </c>
      <c r="AD91" s="28">
        <v>0</v>
      </c>
      <c r="AE91" s="28">
        <v>1.830788584424419E-4</v>
      </c>
      <c r="AF91" s="28">
        <v>4.2141015143745328E-4</v>
      </c>
      <c r="AG91" s="30">
        <v>4.8749999999999999E-7</v>
      </c>
      <c r="AH91" s="30">
        <v>0</v>
      </c>
      <c r="AI91" s="30">
        <v>2.7705030440136521E-4</v>
      </c>
      <c r="AJ91" s="30">
        <v>7.4651632094057728E-6</v>
      </c>
      <c r="AK91" s="30">
        <v>0</v>
      </c>
      <c r="AL91" s="30">
        <v>8.6983450217119546E-4</v>
      </c>
      <c r="AM91" s="30">
        <v>1.1548374697819665E-3</v>
      </c>
      <c r="AN91" s="32">
        <v>3.0749789473684212E-7</v>
      </c>
      <c r="AO91" s="32">
        <v>0</v>
      </c>
      <c r="AP91" s="32">
        <v>4.7419718910257708E-7</v>
      </c>
      <c r="AQ91" s="32">
        <v>1.9176305050935569E-8</v>
      </c>
      <c r="AR91" s="32">
        <v>0</v>
      </c>
      <c r="AS91" s="32">
        <v>4.083793281378228E-7</v>
      </c>
      <c r="AT91" s="32">
        <v>1.2092507170281777E-6</v>
      </c>
      <c r="AU91" s="34">
        <v>0</v>
      </c>
      <c r="AV91" s="34">
        <v>0</v>
      </c>
      <c r="AW91" s="34">
        <v>0.44863833161575678</v>
      </c>
      <c r="AX91" s="34">
        <v>1.2439104189875273E-2</v>
      </c>
      <c r="AY91" s="34">
        <v>0</v>
      </c>
      <c r="AZ91" s="34">
        <v>2.4726970774509874E-2</v>
      </c>
      <c r="BA91" s="34">
        <v>0.4858044065801419</v>
      </c>
      <c r="BB91" s="6"/>
      <c r="BC91" s="6"/>
      <c r="BD91" s="6" t="s">
        <v>631</v>
      </c>
      <c r="BF91" s="5">
        <f>19.126506/1000</f>
        <v>1.9126505999999998E-2</v>
      </c>
      <c r="BG91" s="5">
        <f t="shared" si="5"/>
        <v>7.4165115489197488E-3</v>
      </c>
      <c r="BH91" s="2">
        <f>36.08469/1000</f>
        <v>3.6084690000000003E-2</v>
      </c>
    </row>
    <row r="92" spans="1:60" x14ac:dyDescent="0.2">
      <c r="A92" t="str">
        <f t="shared" si="0"/>
        <v>Tram, electric - 2030 - None - CH</v>
      </c>
      <c r="B92" t="s">
        <v>264</v>
      </c>
      <c r="C92" t="s">
        <v>34</v>
      </c>
      <c r="D92" s="18">
        <v>2030</v>
      </c>
      <c r="E92" t="s">
        <v>37</v>
      </c>
      <c r="F92" t="s">
        <v>136</v>
      </c>
      <c r="G92" t="s">
        <v>40</v>
      </c>
      <c r="H92" t="s">
        <v>32</v>
      </c>
      <c r="I92" t="s">
        <v>136</v>
      </c>
      <c r="J92" t="s">
        <v>136</v>
      </c>
      <c r="L92" s="24">
        <v>0</v>
      </c>
      <c r="M92" s="24">
        <v>3.3250878004241052E-4</v>
      </c>
      <c r="N92" s="24">
        <v>9.3541078224898492E-3</v>
      </c>
      <c r="O92" s="24">
        <v>3.2937200159192373E-4</v>
      </c>
      <c r="P92" s="24">
        <v>0</v>
      </c>
      <c r="Q92" s="24">
        <v>2.231267179567592E-3</v>
      </c>
      <c r="R92" s="24">
        <v>1.2247255783691777E-2</v>
      </c>
      <c r="S92" s="26">
        <v>0</v>
      </c>
      <c r="T92" s="26">
        <v>0</v>
      </c>
      <c r="U92" s="26">
        <v>3.5924961226553142E-4</v>
      </c>
      <c r="V92" s="26">
        <v>1.052491235450947E-5</v>
      </c>
      <c r="W92" s="26">
        <v>0</v>
      </c>
      <c r="X92" s="26">
        <v>1.7741581220618429E-3</v>
      </c>
      <c r="Y92" s="26">
        <v>2.1439326466818837E-3</v>
      </c>
      <c r="Z92" s="28">
        <v>1.718433157894737E-6</v>
      </c>
      <c r="AA92" s="28">
        <v>1.172865789473684E-8</v>
      </c>
      <c r="AB92" s="28">
        <v>2.295759312253106E-4</v>
      </c>
      <c r="AC92" s="28">
        <v>7.1156606251453789E-6</v>
      </c>
      <c r="AD92" s="28">
        <v>0</v>
      </c>
      <c r="AE92" s="28">
        <v>2.0523456651903011E-4</v>
      </c>
      <c r="AF92" s="28">
        <v>4.436563201852756E-4</v>
      </c>
      <c r="AG92" s="30">
        <v>4.8749999999999999E-7</v>
      </c>
      <c r="AH92" s="30">
        <v>0</v>
      </c>
      <c r="AI92" s="30">
        <v>2.7705030440136521E-4</v>
      </c>
      <c r="AJ92" s="30">
        <v>7.491203811326216E-6</v>
      </c>
      <c r="AK92" s="30">
        <v>0</v>
      </c>
      <c r="AL92" s="30">
        <v>9.4229451472251579E-4</v>
      </c>
      <c r="AM92" s="30">
        <v>1.2273235229352071E-3</v>
      </c>
      <c r="AN92" s="32">
        <v>3.0749789473684212E-7</v>
      </c>
      <c r="AO92" s="32">
        <v>0</v>
      </c>
      <c r="AP92" s="32">
        <v>4.7419718910257708E-7</v>
      </c>
      <c r="AQ92" s="32">
        <v>1.925346272557938E-8</v>
      </c>
      <c r="AR92" s="32">
        <v>0</v>
      </c>
      <c r="AS92" s="32">
        <v>4.2433346793508008E-7</v>
      </c>
      <c r="AT92" s="32">
        <v>1.2252820145000786E-6</v>
      </c>
      <c r="AU92" s="34">
        <v>0</v>
      </c>
      <c r="AV92" s="34">
        <v>0</v>
      </c>
      <c r="AW92" s="34">
        <v>0.44863833161575678</v>
      </c>
      <c r="AX92" s="34">
        <v>1.2450287382389258E-2</v>
      </c>
      <c r="AY92" s="34">
        <v>0</v>
      </c>
      <c r="AZ92" s="34">
        <v>2.8950228379673943E-2</v>
      </c>
      <c r="BA92" s="34">
        <v>0.49003884737781994</v>
      </c>
      <c r="BB92" s="6"/>
      <c r="BC92" s="6"/>
      <c r="BD92" s="6" t="s">
        <v>683</v>
      </c>
      <c r="BF92" s="5">
        <f>19.437868/1000</f>
        <v>1.9437868000000001E-2</v>
      </c>
      <c r="BG92" s="5">
        <f t="shared" si="5"/>
        <v>7.1906122163082238E-3</v>
      </c>
      <c r="BH92" s="2">
        <f>36.248877/1000</f>
        <v>3.6248876999999999E-2</v>
      </c>
    </row>
    <row r="93" spans="1:60" x14ac:dyDescent="0.2">
      <c r="A93" t="str">
        <f t="shared" si="0"/>
        <v>Tram, electric - 2040 - None - CH</v>
      </c>
      <c r="B93" t="s">
        <v>264</v>
      </c>
      <c r="C93" t="s">
        <v>34</v>
      </c>
      <c r="D93" s="18">
        <v>2040</v>
      </c>
      <c r="E93" t="s">
        <v>37</v>
      </c>
      <c r="F93" t="s">
        <v>136</v>
      </c>
      <c r="G93" t="s">
        <v>40</v>
      </c>
      <c r="H93" t="s">
        <v>32</v>
      </c>
      <c r="I93" t="s">
        <v>136</v>
      </c>
      <c r="J93" t="s">
        <v>136</v>
      </c>
      <c r="L93" s="24">
        <v>0</v>
      </c>
      <c r="M93" s="24">
        <v>3.3250878004241052E-4</v>
      </c>
      <c r="N93" s="24">
        <v>9.3541078224898492E-3</v>
      </c>
      <c r="O93" s="24">
        <v>3.2937200159192373E-4</v>
      </c>
      <c r="P93" s="24">
        <v>0</v>
      </c>
      <c r="Q93" s="24">
        <v>2.4938322929111629E-3</v>
      </c>
      <c r="R93" s="24">
        <v>1.2509820897035347E-2</v>
      </c>
      <c r="S93" s="26">
        <v>0</v>
      </c>
      <c r="T93" s="26">
        <v>0</v>
      </c>
      <c r="U93" s="26">
        <v>3.5924961226553142E-4</v>
      </c>
      <c r="V93" s="26">
        <v>1.052491235450947E-5</v>
      </c>
      <c r="W93" s="26">
        <v>0</v>
      </c>
      <c r="X93" s="26">
        <v>1.8131463030672829E-3</v>
      </c>
      <c r="Y93" s="26">
        <v>2.1829208276873237E-3</v>
      </c>
      <c r="Z93" s="28">
        <v>1.718433157894737E-6</v>
      </c>
      <c r="AA93" s="28">
        <v>1.172865789473684E-8</v>
      </c>
      <c r="AB93" s="28">
        <v>2.295759312253106E-4</v>
      </c>
      <c r="AC93" s="28">
        <v>7.1156606251453789E-6</v>
      </c>
      <c r="AD93" s="28">
        <v>0</v>
      </c>
      <c r="AE93" s="28">
        <v>2.196727822363444E-4</v>
      </c>
      <c r="AF93" s="28">
        <v>4.5809453590258986E-4</v>
      </c>
      <c r="AG93" s="30">
        <v>4.8749999999999999E-7</v>
      </c>
      <c r="AH93" s="30">
        <v>0</v>
      </c>
      <c r="AI93" s="30">
        <v>2.7705030440136521E-4</v>
      </c>
      <c r="AJ93" s="30">
        <v>7.491203811326216E-6</v>
      </c>
      <c r="AK93" s="30">
        <v>0</v>
      </c>
      <c r="AL93" s="30">
        <v>9.8902258984547259E-4</v>
      </c>
      <c r="AM93" s="30">
        <v>1.274051598058164E-3</v>
      </c>
      <c r="AN93" s="32">
        <v>3.0749789473684212E-7</v>
      </c>
      <c r="AO93" s="32">
        <v>0</v>
      </c>
      <c r="AP93" s="32">
        <v>4.7419718910257708E-7</v>
      </c>
      <c r="AQ93" s="32">
        <v>1.925346272557938E-8</v>
      </c>
      <c r="AR93" s="32">
        <v>0</v>
      </c>
      <c r="AS93" s="32">
        <v>4.3422842372512038E-7</v>
      </c>
      <c r="AT93" s="32">
        <v>1.2351769702901189E-6</v>
      </c>
      <c r="AU93" s="34">
        <v>0</v>
      </c>
      <c r="AV93" s="34">
        <v>0</v>
      </c>
      <c r="AW93" s="34">
        <v>0.44863833161575678</v>
      </c>
      <c r="AX93" s="34">
        <v>1.2450287382389258E-2</v>
      </c>
      <c r="AY93" s="34">
        <v>0</v>
      </c>
      <c r="AZ93" s="34">
        <v>3.1720858368947807E-2</v>
      </c>
      <c r="BA93" s="34">
        <v>0.4928094773670938</v>
      </c>
      <c r="BB93" s="6"/>
      <c r="BC93" s="6"/>
      <c r="BD93" s="6" t="s">
        <v>684</v>
      </c>
      <c r="BF93" s="5">
        <f>19.544804/1000</f>
        <v>1.9544803999999999E-2</v>
      </c>
      <c r="BG93" s="5">
        <f t="shared" si="5"/>
        <v>7.0349831029646523E-3</v>
      </c>
      <c r="BH93" s="2">
        <f>36.292762/1000</f>
        <v>3.6292762000000006E-2</v>
      </c>
    </row>
    <row r="94" spans="1:60" x14ac:dyDescent="0.2">
      <c r="A94" t="str">
        <f t="shared" si="0"/>
        <v>Tram, electric - 2050 - None - CH</v>
      </c>
      <c r="B94" t="s">
        <v>264</v>
      </c>
      <c r="C94" t="s">
        <v>34</v>
      </c>
      <c r="D94" s="18">
        <v>2050</v>
      </c>
      <c r="E94" t="s">
        <v>37</v>
      </c>
      <c r="F94" t="s">
        <v>136</v>
      </c>
      <c r="G94" t="s">
        <v>40</v>
      </c>
      <c r="H94" t="s">
        <v>32</v>
      </c>
      <c r="I94" t="s">
        <v>136</v>
      </c>
      <c r="J94" t="s">
        <v>136</v>
      </c>
      <c r="L94" s="24">
        <v>0</v>
      </c>
      <c r="M94" s="24">
        <v>3.3250878004241052E-4</v>
      </c>
      <c r="N94" s="24">
        <v>9.3541078224898492E-3</v>
      </c>
      <c r="O94" s="24">
        <v>3.2937200159192373E-4</v>
      </c>
      <c r="P94" s="24">
        <v>0</v>
      </c>
      <c r="Q94" s="24">
        <v>2.756702822032019E-3</v>
      </c>
      <c r="R94" s="24">
        <v>1.2772691426156203E-2</v>
      </c>
      <c r="S94" s="26">
        <v>0</v>
      </c>
      <c r="T94" s="26">
        <v>0</v>
      </c>
      <c r="U94" s="26">
        <v>3.5924961226553142E-4</v>
      </c>
      <c r="V94" s="26">
        <v>1.052491235450947E-5</v>
      </c>
      <c r="W94" s="26">
        <v>0</v>
      </c>
      <c r="X94" s="26">
        <v>1.852419664499443E-3</v>
      </c>
      <c r="Y94" s="26">
        <v>2.2221941891194838E-3</v>
      </c>
      <c r="Z94" s="28">
        <v>1.718433157894737E-6</v>
      </c>
      <c r="AA94" s="28">
        <v>1.172865789473684E-8</v>
      </c>
      <c r="AB94" s="28">
        <v>2.295759312253106E-4</v>
      </c>
      <c r="AC94" s="28">
        <v>7.1156606251453789E-6</v>
      </c>
      <c r="AD94" s="28">
        <v>0</v>
      </c>
      <c r="AE94" s="28">
        <v>2.341415121840008E-4</v>
      </c>
      <c r="AF94" s="28">
        <v>4.7256326585024629E-4</v>
      </c>
      <c r="AG94" s="30">
        <v>4.8749999999999999E-7</v>
      </c>
      <c r="AH94" s="30">
        <v>0</v>
      </c>
      <c r="AI94" s="30">
        <v>2.7705030440136521E-4</v>
      </c>
      <c r="AJ94" s="30">
        <v>7.491203811326216E-6</v>
      </c>
      <c r="AK94" s="30">
        <v>0</v>
      </c>
      <c r="AL94" s="30">
        <v>1.035895642900098E-3</v>
      </c>
      <c r="AM94" s="30">
        <v>1.3209246511127893E-3</v>
      </c>
      <c r="AN94" s="32">
        <v>3.0749789473684212E-7</v>
      </c>
      <c r="AO94" s="32">
        <v>0</v>
      </c>
      <c r="AP94" s="32">
        <v>4.7419718910257708E-7</v>
      </c>
      <c r="AQ94" s="32">
        <v>1.925346272557938E-8</v>
      </c>
      <c r="AR94" s="32">
        <v>0</v>
      </c>
      <c r="AS94" s="32">
        <v>4.4419144508488108E-7</v>
      </c>
      <c r="AT94" s="32">
        <v>1.2451399916498797E-6</v>
      </c>
      <c r="AU94" s="34">
        <v>0</v>
      </c>
      <c r="AV94" s="34">
        <v>0</v>
      </c>
      <c r="AW94" s="34">
        <v>0.44863833161575678</v>
      </c>
      <c r="AX94" s="34">
        <v>1.2450287382389258E-2</v>
      </c>
      <c r="AY94" s="34">
        <v>0</v>
      </c>
      <c r="AZ94" s="34">
        <v>3.4495609660682769E-2</v>
      </c>
      <c r="BA94" s="34">
        <v>0.49558422865882878</v>
      </c>
      <c r="BB94" s="6"/>
      <c r="BC94" s="6"/>
      <c r="BD94" s="6" t="s">
        <v>685</v>
      </c>
      <c r="BF94" s="5">
        <f>19.651928/1000</f>
        <v>1.9651928000000003E-2</v>
      </c>
      <c r="BG94" s="5">
        <f t="shared" si="5"/>
        <v>6.8792365738437992E-3</v>
      </c>
      <c r="BH94" s="2">
        <f>36.337108/1000</f>
        <v>3.6337108E-2</v>
      </c>
    </row>
    <row r="95" spans="1:60" x14ac:dyDescent="0.2">
      <c r="A95" t="str">
        <f t="shared" si="0"/>
        <v>Moped, gasoline, &lt;4kW, EURO-3 - 2006 - None - CH</v>
      </c>
      <c r="B95" t="s">
        <v>346</v>
      </c>
      <c r="D95" s="18">
        <v>2006</v>
      </c>
      <c r="E95" t="s">
        <v>37</v>
      </c>
      <c r="F95" t="s">
        <v>137</v>
      </c>
      <c r="G95" t="s">
        <v>39</v>
      </c>
      <c r="H95" t="s">
        <v>35</v>
      </c>
      <c r="I95" t="s">
        <v>136</v>
      </c>
      <c r="J95" t="s">
        <v>136</v>
      </c>
      <c r="L95" s="24">
        <v>7.6158807849571478E-2</v>
      </c>
      <c r="M95" s="24">
        <v>0</v>
      </c>
      <c r="N95" s="24">
        <v>1.2216500437448451E-2</v>
      </c>
      <c r="O95" s="24">
        <v>9.5118975182542226E-3</v>
      </c>
      <c r="P95" s="24">
        <v>4.327689440643121E-3</v>
      </c>
      <c r="Q95" s="24">
        <v>1.1663392242302031E-2</v>
      </c>
      <c r="R95" s="24">
        <v>0.11387828748821929</v>
      </c>
      <c r="S95" s="26">
        <v>0</v>
      </c>
      <c r="T95" s="26">
        <v>0</v>
      </c>
      <c r="U95" s="26">
        <v>2.8032155576443652E-4</v>
      </c>
      <c r="V95" s="26">
        <v>5.4149643498382851E-4</v>
      </c>
      <c r="W95" s="26">
        <v>3.0040213972647579E-4</v>
      </c>
      <c r="X95" s="26">
        <v>2.6915767937218918E-3</v>
      </c>
      <c r="Y95" s="26">
        <v>3.8137969241966328E-3</v>
      </c>
      <c r="Z95" s="28">
        <v>2.5595337125993631E-2</v>
      </c>
      <c r="AA95" s="28">
        <v>2.7516120475980978E-3</v>
      </c>
      <c r="AB95" s="28">
        <v>6.2619259792784333E-4</v>
      </c>
      <c r="AC95" s="28">
        <v>1.891362620619139E-4</v>
      </c>
      <c r="AD95" s="28">
        <v>1.3387280590702801E-4</v>
      </c>
      <c r="AE95" s="28">
        <v>5.6825601161226871E-4</v>
      </c>
      <c r="AF95" s="28">
        <v>2.9864406851100783E-2</v>
      </c>
      <c r="AG95" s="30">
        <v>2.3696459537734282E-6</v>
      </c>
      <c r="AH95" s="30">
        <v>1.445647576592023E-5</v>
      </c>
      <c r="AI95" s="30">
        <v>1.092229405257441E-4</v>
      </c>
      <c r="AJ95" s="30">
        <v>3.7496238084001741E-4</v>
      </c>
      <c r="AK95" s="30">
        <v>1.8347596037874211E-4</v>
      </c>
      <c r="AL95" s="30">
        <v>1.2416250313614481E-3</v>
      </c>
      <c r="AM95" s="30">
        <v>1.9261124348256453E-3</v>
      </c>
      <c r="AN95" s="32">
        <v>5.700466977606345E-6</v>
      </c>
      <c r="AO95" s="32">
        <v>1.036854518903741E-5</v>
      </c>
      <c r="AP95" s="32">
        <v>2.40276050593929E-6</v>
      </c>
      <c r="AQ95" s="32">
        <v>5.7073161734124143E-7</v>
      </c>
      <c r="AR95" s="32">
        <v>7.4612909852064662E-7</v>
      </c>
      <c r="AS95" s="32">
        <v>2.4241264442910122E-6</v>
      </c>
      <c r="AT95" s="32">
        <v>2.2212759832735942E-5</v>
      </c>
      <c r="AU95" s="34">
        <v>0</v>
      </c>
      <c r="AV95" s="34">
        <v>0</v>
      </c>
      <c r="AW95" s="34">
        <v>1.0704762575237599</v>
      </c>
      <c r="AX95" s="34">
        <v>0.17743074935185008</v>
      </c>
      <c r="AY95" s="34">
        <v>0.15224090294374568</v>
      </c>
      <c r="AZ95" s="34">
        <v>0.17321715958219866</v>
      </c>
      <c r="BA95" s="34">
        <v>1.5733650694015544</v>
      </c>
      <c r="BB95" s="6"/>
      <c r="BC95" s="6"/>
      <c r="BD95" t="s">
        <v>639</v>
      </c>
      <c r="BF95" s="5">
        <v>0.11010976</v>
      </c>
      <c r="BG95" s="5">
        <f t="shared" si="5"/>
        <v>-3.7685274882192921E-3</v>
      </c>
      <c r="BH95" s="2">
        <v>239.49606</v>
      </c>
    </row>
    <row r="96" spans="1:60" x14ac:dyDescent="0.2">
      <c r="A96" t="str">
        <f t="shared" si="0"/>
        <v>Moped, gasoline, &lt;4kW, EURO-4 - 2016 - None - CH</v>
      </c>
      <c r="B96" t="s">
        <v>347</v>
      </c>
      <c r="D96" s="18">
        <v>2016</v>
      </c>
      <c r="E96" t="s">
        <v>37</v>
      </c>
      <c r="F96" t="s">
        <v>138</v>
      </c>
      <c r="G96" t="s">
        <v>39</v>
      </c>
      <c r="H96" t="s">
        <v>35</v>
      </c>
      <c r="I96" t="s">
        <v>136</v>
      </c>
      <c r="J96" t="s">
        <v>136</v>
      </c>
      <c r="L96" s="24">
        <v>7.2098118546289489E-2</v>
      </c>
      <c r="M96" s="24">
        <v>0</v>
      </c>
      <c r="N96" s="24">
        <v>1.209554498757272E-2</v>
      </c>
      <c r="O96" s="24">
        <v>9.5118975182542226E-3</v>
      </c>
      <c r="P96" s="24">
        <v>4.3219588877075046E-3</v>
      </c>
      <c r="Q96" s="24">
        <v>1.164930380824032E-2</v>
      </c>
      <c r="R96" s="24">
        <v>0.10967682374806426</v>
      </c>
      <c r="S96" s="26">
        <v>0</v>
      </c>
      <c r="T96" s="26">
        <v>0</v>
      </c>
      <c r="U96" s="26">
        <v>2.775460948162738E-4</v>
      </c>
      <c r="V96" s="26">
        <v>5.4149643498382851E-4</v>
      </c>
      <c r="W96" s="26">
        <v>3.000400396075031E-4</v>
      </c>
      <c r="X96" s="26">
        <v>2.6912906902973742E-3</v>
      </c>
      <c r="Y96" s="26">
        <v>3.8103732597049795E-3</v>
      </c>
      <c r="Z96" s="28">
        <v>1.259043798309188E-2</v>
      </c>
      <c r="AA96" s="28">
        <v>2.7516120475980978E-3</v>
      </c>
      <c r="AB96" s="28">
        <v>6.1999267121568653E-4</v>
      </c>
      <c r="AC96" s="28">
        <v>1.891362620619139E-4</v>
      </c>
      <c r="AD96" s="28">
        <v>1.3370820756277669E-4</v>
      </c>
      <c r="AE96" s="28">
        <v>5.6727139557644698E-4</v>
      </c>
      <c r="AF96" s="28">
        <v>1.6852158567106802E-2</v>
      </c>
      <c r="AG96" s="30">
        <v>1.237606184978023E-6</v>
      </c>
      <c r="AH96" s="30">
        <v>1.445647576592023E-5</v>
      </c>
      <c r="AI96" s="30">
        <v>1.08141525273014E-4</v>
      </c>
      <c r="AJ96" s="30">
        <v>3.7496238084001741E-4</v>
      </c>
      <c r="AK96" s="30">
        <v>1.833223449479966E-4</v>
      </c>
      <c r="AL96" s="30">
        <v>1.2415357770236589E-3</v>
      </c>
      <c r="AM96" s="30">
        <v>1.9236561100355852E-3</v>
      </c>
      <c r="AN96" s="32">
        <v>2.894383995750942E-6</v>
      </c>
      <c r="AO96" s="32">
        <v>1.036854518903741E-5</v>
      </c>
      <c r="AP96" s="32">
        <v>2.3789707979596928E-6</v>
      </c>
      <c r="AQ96" s="32">
        <v>5.7073161734124143E-7</v>
      </c>
      <c r="AR96" s="32">
        <v>7.4552254589630871E-7</v>
      </c>
      <c r="AS96" s="32">
        <v>2.420480924882581E-6</v>
      </c>
      <c r="AT96" s="32">
        <v>1.9378635070868174E-5</v>
      </c>
      <c r="AU96" s="34">
        <v>0</v>
      </c>
      <c r="AV96" s="34">
        <v>0</v>
      </c>
      <c r="AW96" s="34">
        <v>1.0598774826967927</v>
      </c>
      <c r="AX96" s="34">
        <v>0.17743074935185008</v>
      </c>
      <c r="AY96" s="34">
        <v>0.15205317376416869</v>
      </c>
      <c r="AZ96" s="34">
        <v>0.1730072649338944</v>
      </c>
      <c r="BA96" s="34">
        <v>1.5623686707467059</v>
      </c>
      <c r="BB96" s="6"/>
      <c r="BC96" s="6"/>
      <c r="BD96" t="s">
        <v>645</v>
      </c>
      <c r="BF96" s="5">
        <v>0.10933002999999999</v>
      </c>
      <c r="BG96" s="5">
        <f t="shared" si="5"/>
        <v>-3.4679374806426133E-4</v>
      </c>
      <c r="BH96" s="2">
        <v>171.39883</v>
      </c>
    </row>
    <row r="97" spans="1:60" x14ac:dyDescent="0.2">
      <c r="A97" t="str">
        <f t="shared" si="0"/>
        <v>Moped, gasoline, &lt;4kW, EURO-5 - 2020 - None - CH</v>
      </c>
      <c r="B97" t="s">
        <v>348</v>
      </c>
      <c r="D97" s="18">
        <v>2020</v>
      </c>
      <c r="E97" t="s">
        <v>37</v>
      </c>
      <c r="F97" t="s">
        <v>139</v>
      </c>
      <c r="G97" t="s">
        <v>39</v>
      </c>
      <c r="H97" t="s">
        <v>35</v>
      </c>
      <c r="I97" t="s">
        <v>136</v>
      </c>
      <c r="J97" t="s">
        <v>136</v>
      </c>
      <c r="L97" s="24">
        <v>7.1377137360826598E-2</v>
      </c>
      <c r="M97" s="24">
        <v>0</v>
      </c>
      <c r="N97" s="24">
        <v>1.197458953769699E-2</v>
      </c>
      <c r="O97" s="24">
        <v>9.5118975182542226E-3</v>
      </c>
      <c r="P97" s="24">
        <v>4.3181385190837586E-3</v>
      </c>
      <c r="Q97" s="24">
        <v>1.1639911526481649E-2</v>
      </c>
      <c r="R97" s="24">
        <v>0.10882167446234323</v>
      </c>
      <c r="S97" s="26">
        <v>0</v>
      </c>
      <c r="T97" s="26">
        <v>0</v>
      </c>
      <c r="U97" s="26">
        <v>2.7477063386811108E-4</v>
      </c>
      <c r="V97" s="26">
        <v>5.4149643498382851E-4</v>
      </c>
      <c r="W97" s="26">
        <v>2.9979863952818789E-4</v>
      </c>
      <c r="X97" s="26">
        <v>2.691099954845204E-3</v>
      </c>
      <c r="Y97" s="26">
        <v>3.8071656632253314E-3</v>
      </c>
      <c r="Z97" s="28">
        <v>1.246453360326096E-2</v>
      </c>
      <c r="AA97" s="28">
        <v>2.7516120475980978E-3</v>
      </c>
      <c r="AB97" s="28">
        <v>6.1379274450352962E-4</v>
      </c>
      <c r="AC97" s="28">
        <v>1.891362620619139E-4</v>
      </c>
      <c r="AD97" s="28">
        <v>1.335984753332758E-4</v>
      </c>
      <c r="AE97" s="28">
        <v>5.6661498494713265E-4</v>
      </c>
      <c r="AF97" s="28">
        <v>1.6719288117704911E-2</v>
      </c>
      <c r="AG97" s="30">
        <v>1.2252301231282421E-6</v>
      </c>
      <c r="AH97" s="30">
        <v>1.445647576592023E-5</v>
      </c>
      <c r="AI97" s="30">
        <v>1.070601100202838E-4</v>
      </c>
      <c r="AJ97" s="30">
        <v>3.7496238084001741E-4</v>
      </c>
      <c r="AK97" s="30">
        <v>1.832199346608329E-4</v>
      </c>
      <c r="AL97" s="30">
        <v>1.2414762741699431E-3</v>
      </c>
      <c r="AM97" s="30">
        <v>1.9224004055801258E-3</v>
      </c>
      <c r="AN97" s="32">
        <v>2.8654401557934321E-6</v>
      </c>
      <c r="AO97" s="32">
        <v>1.036854518903741E-5</v>
      </c>
      <c r="AP97" s="32">
        <v>2.3551810899800961E-6</v>
      </c>
      <c r="AQ97" s="32">
        <v>5.7073161734124143E-7</v>
      </c>
      <c r="AR97" s="32">
        <v>7.4511817748008339E-7</v>
      </c>
      <c r="AS97" s="32">
        <v>2.4180505789840031E-6</v>
      </c>
      <c r="AT97" s="32">
        <v>1.9323066808616268E-5</v>
      </c>
      <c r="AU97" s="34">
        <v>0</v>
      </c>
      <c r="AV97" s="34">
        <v>0</v>
      </c>
      <c r="AW97" s="34">
        <v>1.0492787078698251</v>
      </c>
      <c r="AX97" s="34">
        <v>0.17743074935185008</v>
      </c>
      <c r="AY97" s="34">
        <v>0.15192802097778405</v>
      </c>
      <c r="AZ97" s="34">
        <v>0.17286733527208248</v>
      </c>
      <c r="BA97" s="34">
        <v>1.5515048134715417</v>
      </c>
      <c r="BB97" s="6"/>
      <c r="BC97" s="6"/>
      <c r="BD97" t="s">
        <v>632</v>
      </c>
      <c r="BF97" s="5">
        <v>0.10852245000000001</v>
      </c>
      <c r="BG97" s="5">
        <f t="shared" si="5"/>
        <v>-2.9922446234321998E-4</v>
      </c>
      <c r="BH97" s="2">
        <v>170.18522999999999</v>
      </c>
    </row>
    <row r="98" spans="1:60" x14ac:dyDescent="0.2">
      <c r="A98" t="str">
        <f t="shared" si="0"/>
        <v>Moped, gasoline, &lt;4kW, EURO-5 - 2030 - None - CH</v>
      </c>
      <c r="B98" t="s">
        <v>348</v>
      </c>
      <c r="D98" s="18">
        <v>2030</v>
      </c>
      <c r="E98" t="s">
        <v>37</v>
      </c>
      <c r="F98" t="s">
        <v>139</v>
      </c>
      <c r="G98" t="s">
        <v>39</v>
      </c>
      <c r="H98" t="s">
        <v>35</v>
      </c>
      <c r="I98" t="s">
        <v>136</v>
      </c>
      <c r="J98" t="s">
        <v>136</v>
      </c>
      <c r="L98" s="24">
        <v>7.0663365987218341E-2</v>
      </c>
      <c r="M98" s="24">
        <v>0</v>
      </c>
      <c r="N98" s="24">
        <v>1.185484364232002E-2</v>
      </c>
      <c r="O98" s="24">
        <v>9.5118975182542226E-3</v>
      </c>
      <c r="P98" s="24">
        <v>4.3123533406807801E-3</v>
      </c>
      <c r="Q98" s="24">
        <v>1.334277129371862E-2</v>
      </c>
      <c r="R98" s="24">
        <v>0.10968523178219199</v>
      </c>
      <c r="S98" s="26">
        <v>0</v>
      </c>
      <c r="T98" s="26">
        <v>0</v>
      </c>
      <c r="U98" s="26">
        <v>2.7202292752943002E-4</v>
      </c>
      <c r="V98" s="26">
        <v>5.4149643498382851E-4</v>
      </c>
      <c r="W98" s="26">
        <v>2.9943308775481919E-4</v>
      </c>
      <c r="X98" s="26">
        <v>2.9972968297730918E-3</v>
      </c>
      <c r="Y98" s="26">
        <v>4.1102492800411698E-3</v>
      </c>
      <c r="Z98" s="28">
        <v>1.2339888267228351E-2</v>
      </c>
      <c r="AA98" s="28">
        <v>2.7516120475980978E-3</v>
      </c>
      <c r="AB98" s="28">
        <v>6.0765481705849444E-4</v>
      </c>
      <c r="AC98" s="28">
        <v>1.891362620619139E-4</v>
      </c>
      <c r="AD98" s="28">
        <v>1.3343230798484919E-4</v>
      </c>
      <c r="AE98" s="28">
        <v>6.6360526640711149E-4</v>
      </c>
      <c r="AF98" s="28">
        <v>1.6685328968338818E-2</v>
      </c>
      <c r="AG98" s="30">
        <v>1.21297782189696E-6</v>
      </c>
      <c r="AH98" s="30">
        <v>1.445647576592023E-5</v>
      </c>
      <c r="AI98" s="30">
        <v>1.0598950892008099E-4</v>
      </c>
      <c r="AJ98" s="30">
        <v>3.7496238084001741E-4</v>
      </c>
      <c r="AK98" s="30">
        <v>1.8306485491856409E-4</v>
      </c>
      <c r="AL98" s="30">
        <v>1.565631020328212E-3</v>
      </c>
      <c r="AM98" s="30">
        <v>2.245317218594692E-3</v>
      </c>
      <c r="AN98" s="32">
        <v>2.8367857542354979E-6</v>
      </c>
      <c r="AO98" s="32">
        <v>1.036854518903741E-5</v>
      </c>
      <c r="AP98" s="32">
        <v>2.331629279080296E-6</v>
      </c>
      <c r="AQ98" s="32">
        <v>5.7073161734124143E-7</v>
      </c>
      <c r="AR98" s="32">
        <v>7.445058430017154E-7</v>
      </c>
      <c r="AS98" s="32">
        <v>2.4944900648852379E-6</v>
      </c>
      <c r="AT98" s="32">
        <v>1.9346687747581396E-5</v>
      </c>
      <c r="AU98" s="34">
        <v>0</v>
      </c>
      <c r="AV98" s="34">
        <v>0</v>
      </c>
      <c r="AW98" s="34">
        <v>1.0387859207911265</v>
      </c>
      <c r="AX98" s="34">
        <v>0.17743074935185008</v>
      </c>
      <c r="AY98" s="34">
        <v>0.15173850230349559</v>
      </c>
      <c r="AZ98" s="34">
        <v>0.19100922548704211</v>
      </c>
      <c r="BA98" s="34">
        <v>1.5589643979335144</v>
      </c>
      <c r="BB98" s="6"/>
      <c r="BC98" s="6"/>
      <c r="BD98" t="s">
        <v>500</v>
      </c>
      <c r="BF98" s="5">
        <v>0.10845150000000001</v>
      </c>
      <c r="BG98" s="5">
        <f t="shared" si="5"/>
        <v>-1.2337317821919797E-3</v>
      </c>
      <c r="BH98" s="2">
        <v>169.38229000000001</v>
      </c>
    </row>
    <row r="99" spans="1:60" x14ac:dyDescent="0.2">
      <c r="A99" t="str">
        <f t="shared" si="0"/>
        <v>Moped, gasoline, &lt;4kW, EURO-5 - 2040 - None - CH</v>
      </c>
      <c r="B99" t="s">
        <v>348</v>
      </c>
      <c r="D99" s="18">
        <v>2040</v>
      </c>
      <c r="E99" t="s">
        <v>37</v>
      </c>
      <c r="F99" t="s">
        <v>139</v>
      </c>
      <c r="G99" t="s">
        <v>39</v>
      </c>
      <c r="H99" t="s">
        <v>35</v>
      </c>
      <c r="I99" t="s">
        <v>136</v>
      </c>
      <c r="J99" t="s">
        <v>136</v>
      </c>
      <c r="L99" s="24">
        <v>6.9956732327346144E-2</v>
      </c>
      <c r="M99" s="24">
        <v>0</v>
      </c>
      <c r="N99" s="24">
        <v>1.1736295205896819E-2</v>
      </c>
      <c r="O99" s="24">
        <v>9.5118975182542226E-3</v>
      </c>
      <c r="P99" s="24">
        <v>4.3083827520217846E-3</v>
      </c>
      <c r="Q99" s="24">
        <v>1.451150879229869E-2</v>
      </c>
      <c r="R99" s="24">
        <v>0.11002481659581766</v>
      </c>
      <c r="S99" s="26">
        <v>0</v>
      </c>
      <c r="T99" s="26">
        <v>0</v>
      </c>
      <c r="U99" s="26">
        <v>2.6930269825413568E-4</v>
      </c>
      <c r="V99" s="26">
        <v>5.4149643498382851E-4</v>
      </c>
      <c r="W99" s="26">
        <v>2.9918219562591531E-4</v>
      </c>
      <c r="X99" s="26">
        <v>3.2074513873982398E-3</v>
      </c>
      <c r="Y99" s="26">
        <v>4.3174327162621194E-3</v>
      </c>
      <c r="Z99" s="28">
        <v>1.221648938455607E-2</v>
      </c>
      <c r="AA99" s="28">
        <v>2.7516120475980978E-3</v>
      </c>
      <c r="AB99" s="28">
        <v>6.0157826888790941E-4</v>
      </c>
      <c r="AC99" s="28">
        <v>1.891362620619139E-4</v>
      </c>
      <c r="AD99" s="28">
        <v>1.333182609938666E-4</v>
      </c>
      <c r="AE99" s="28">
        <v>7.3017339203925846E-4</v>
      </c>
      <c r="AF99" s="28">
        <v>1.6622307616137116E-2</v>
      </c>
      <c r="AG99" s="30">
        <v>1.2008480436779901E-6</v>
      </c>
      <c r="AH99" s="30">
        <v>1.445647576592023E-5</v>
      </c>
      <c r="AI99" s="30">
        <v>1.0492961383088021E-4</v>
      </c>
      <c r="AJ99" s="30">
        <v>3.7496238084001741E-4</v>
      </c>
      <c r="AK99" s="30">
        <v>1.8295841777471119E-4</v>
      </c>
      <c r="AL99" s="30">
        <v>1.7881107853725199E-3</v>
      </c>
      <c r="AM99" s="30">
        <v>2.466618521627727E-3</v>
      </c>
      <c r="AN99" s="32">
        <v>2.8084178966931429E-6</v>
      </c>
      <c r="AO99" s="32">
        <v>1.036854518903741E-5</v>
      </c>
      <c r="AP99" s="32">
        <v>2.308312986289492E-6</v>
      </c>
      <c r="AQ99" s="32">
        <v>5.7073161734124143E-7</v>
      </c>
      <c r="AR99" s="32">
        <v>7.4408557448690755E-7</v>
      </c>
      <c r="AS99" s="32">
        <v>2.5469533531252588E-6</v>
      </c>
      <c r="AT99" s="32">
        <v>1.9347046616973454E-5</v>
      </c>
      <c r="AU99" s="34">
        <v>0</v>
      </c>
      <c r="AV99" s="34">
        <v>0</v>
      </c>
      <c r="AW99" s="34">
        <v>1.0283980615832151</v>
      </c>
      <c r="AX99" s="34">
        <v>0.17743074935185008</v>
      </c>
      <c r="AY99" s="34">
        <v>0.15160842840665434</v>
      </c>
      <c r="AZ99" s="34">
        <v>0.20346069449177195</v>
      </c>
      <c r="BA99" s="34">
        <v>1.5608979338334916</v>
      </c>
      <c r="BB99" s="6"/>
      <c r="BC99" s="6"/>
      <c r="BD99" t="s">
        <v>501</v>
      </c>
      <c r="BF99" s="5">
        <v>0.10816863</v>
      </c>
      <c r="BG99" s="5">
        <f t="shared" si="5"/>
        <v>-1.8561865958176549E-3</v>
      </c>
      <c r="BH99" s="2">
        <v>168.49018000000001</v>
      </c>
    </row>
    <row r="100" spans="1:60" x14ac:dyDescent="0.2">
      <c r="A100" t="str">
        <f t="shared" si="0"/>
        <v>Moped, gasoline, &lt;4kW, EURO-5 - 2050 - None - CH</v>
      </c>
      <c r="B100" t="s">
        <v>348</v>
      </c>
      <c r="D100" s="18">
        <v>2050</v>
      </c>
      <c r="E100" t="s">
        <v>37</v>
      </c>
      <c r="F100" t="s">
        <v>139</v>
      </c>
      <c r="G100" t="s">
        <v>39</v>
      </c>
      <c r="H100" t="s">
        <v>35</v>
      </c>
      <c r="I100" t="s">
        <v>136</v>
      </c>
      <c r="J100" t="s">
        <v>136</v>
      </c>
      <c r="L100" s="24">
        <v>6.9257165004072682E-2</v>
      </c>
      <c r="M100" s="24">
        <v>0</v>
      </c>
      <c r="N100" s="24">
        <v>1.161893225383785E-2</v>
      </c>
      <c r="O100" s="24">
        <v>9.5118975182542226E-3</v>
      </c>
      <c r="P100" s="24">
        <v>4.3043529857731463E-3</v>
      </c>
      <c r="Q100" s="24">
        <v>1.569766507499884E-2</v>
      </c>
      <c r="R100" s="24">
        <v>0.11039001283693674</v>
      </c>
      <c r="S100" s="26">
        <v>0</v>
      </c>
      <c r="T100" s="26">
        <v>0</v>
      </c>
      <c r="U100" s="26">
        <v>2.6660967127159431E-4</v>
      </c>
      <c r="V100" s="26">
        <v>5.4149643498382851E-4</v>
      </c>
      <c r="W100" s="26">
        <v>2.9892756420474899E-4</v>
      </c>
      <c r="X100" s="26">
        <v>3.420738093818463E-3</v>
      </c>
      <c r="Y100" s="26">
        <v>4.527771764278635E-3</v>
      </c>
      <c r="Z100" s="28">
        <v>1.209432449071051E-2</v>
      </c>
      <c r="AA100" s="28">
        <v>2.7516120475980978E-3</v>
      </c>
      <c r="AB100" s="28">
        <v>5.9556248619903026E-4</v>
      </c>
      <c r="AC100" s="28">
        <v>1.891362620619139E-4</v>
      </c>
      <c r="AD100" s="28">
        <v>1.332025142483609E-4</v>
      </c>
      <c r="AE100" s="28">
        <v>7.9773364226647494E-4</v>
      </c>
      <c r="AF100" s="28">
        <v>1.6561571443084389E-2</v>
      </c>
      <c r="AG100" s="30">
        <v>1.18883956324121E-6</v>
      </c>
      <c r="AH100" s="30">
        <v>1.445647576592023E-5</v>
      </c>
      <c r="AI100" s="30">
        <v>1.038803176925714E-4</v>
      </c>
      <c r="AJ100" s="30">
        <v>3.7496238084001741E-4</v>
      </c>
      <c r="AK100" s="30">
        <v>1.828503942933747E-4</v>
      </c>
      <c r="AL100" s="30">
        <v>2.0139063565176429E-3</v>
      </c>
      <c r="AM100" s="30">
        <v>2.6912447646727676E-3</v>
      </c>
      <c r="AN100" s="32">
        <v>2.7803337177262118E-6</v>
      </c>
      <c r="AO100" s="32">
        <v>1.036854518903741E-5</v>
      </c>
      <c r="AP100" s="32">
        <v>2.285229856426598E-6</v>
      </c>
      <c r="AQ100" s="32">
        <v>5.7073161734124143E-7</v>
      </c>
      <c r="AR100" s="32">
        <v>7.4365904229690045E-7</v>
      </c>
      <c r="AS100" s="32">
        <v>2.6001985906203342E-6</v>
      </c>
      <c r="AT100" s="32">
        <v>1.9348698013448696E-5</v>
      </c>
      <c r="AU100" s="34">
        <v>0</v>
      </c>
      <c r="AV100" s="34">
        <v>0</v>
      </c>
      <c r="AW100" s="34">
        <v>1.0181140809673834</v>
      </c>
      <c r="AX100" s="34">
        <v>0.17743074935185008</v>
      </c>
      <c r="AY100" s="34">
        <v>0.15147641589054234</v>
      </c>
      <c r="AZ100" s="34">
        <v>0.21609774034262755</v>
      </c>
      <c r="BA100" s="34">
        <v>1.5631189865524036</v>
      </c>
      <c r="BB100" s="6"/>
      <c r="BC100" s="6"/>
      <c r="BD100" t="s">
        <v>502</v>
      </c>
      <c r="BF100" s="5">
        <v>0.1078909</v>
      </c>
      <c r="BG100" s="5">
        <f t="shared" si="5"/>
        <v>-2.4991128369367399E-3</v>
      </c>
      <c r="BH100" s="2">
        <v>167.60146</v>
      </c>
    </row>
    <row r="101" spans="1:60" x14ac:dyDescent="0.2">
      <c r="A101" t="str">
        <f t="shared" si="0"/>
        <v>Scooter, gasoline, &lt;4kW, EURO-3 - 2006 - None - CH</v>
      </c>
      <c r="B101" t="s">
        <v>375</v>
      </c>
      <c r="D101" s="18">
        <v>2006</v>
      </c>
      <c r="E101" t="s">
        <v>37</v>
      </c>
      <c r="F101" t="s">
        <v>139</v>
      </c>
      <c r="G101" t="s">
        <v>39</v>
      </c>
      <c r="H101" t="s">
        <v>35</v>
      </c>
      <c r="I101" t="s">
        <v>136</v>
      </c>
      <c r="J101" t="s">
        <v>136</v>
      </c>
      <c r="L101" s="24">
        <v>0</v>
      </c>
      <c r="M101" s="24">
        <v>0</v>
      </c>
      <c r="N101" s="24">
        <v>0</v>
      </c>
      <c r="O101" s="24">
        <v>0</v>
      </c>
      <c r="P101" s="24">
        <v>0</v>
      </c>
      <c r="Q101" s="24">
        <v>0</v>
      </c>
      <c r="R101" s="24">
        <v>0</v>
      </c>
      <c r="S101" s="26">
        <v>0</v>
      </c>
      <c r="T101" s="26">
        <v>0</v>
      </c>
      <c r="U101" s="26">
        <v>0</v>
      </c>
      <c r="V101" s="26">
        <v>0</v>
      </c>
      <c r="W101" s="26">
        <v>0</v>
      </c>
      <c r="X101" s="26">
        <v>0</v>
      </c>
      <c r="Y101" s="26">
        <v>0</v>
      </c>
      <c r="Z101" s="28">
        <v>0</v>
      </c>
      <c r="AA101" s="28">
        <v>0</v>
      </c>
      <c r="AB101" s="28">
        <v>0</v>
      </c>
      <c r="AC101" s="28">
        <v>0</v>
      </c>
      <c r="AD101" s="28">
        <v>0</v>
      </c>
      <c r="AE101" s="28">
        <v>0</v>
      </c>
      <c r="AF101" s="28">
        <v>0</v>
      </c>
      <c r="AG101" s="30">
        <v>0</v>
      </c>
      <c r="AH101" s="30">
        <v>0</v>
      </c>
      <c r="AI101" s="30">
        <v>0</v>
      </c>
      <c r="AJ101" s="30">
        <v>0</v>
      </c>
      <c r="AK101" s="30">
        <v>0</v>
      </c>
      <c r="AL101" s="30">
        <v>0</v>
      </c>
      <c r="AM101" s="30">
        <v>0</v>
      </c>
      <c r="AN101" s="32">
        <v>0</v>
      </c>
      <c r="AO101" s="32">
        <v>0</v>
      </c>
      <c r="AP101" s="32">
        <v>0</v>
      </c>
      <c r="AQ101" s="32">
        <v>0</v>
      </c>
      <c r="AR101" s="32">
        <v>0</v>
      </c>
      <c r="AS101" s="32">
        <v>0</v>
      </c>
      <c r="AT101" s="32">
        <v>0</v>
      </c>
      <c r="AU101" s="34">
        <v>0</v>
      </c>
      <c r="AV101" s="34">
        <v>0</v>
      </c>
      <c r="AW101" s="34">
        <v>0</v>
      </c>
      <c r="AX101" s="34">
        <v>0</v>
      </c>
      <c r="AY101" s="34">
        <v>0</v>
      </c>
      <c r="AZ101" s="34">
        <v>0</v>
      </c>
      <c r="BA101" s="34">
        <v>0</v>
      </c>
      <c r="BB101" s="6"/>
      <c r="BC101" s="6"/>
      <c r="BD101" t="s">
        <v>640</v>
      </c>
      <c r="BF101" s="5">
        <v>0.16551129000000001</v>
      </c>
      <c r="BG101" s="5">
        <f t="shared" si="5"/>
        <v>0.16551129000000001</v>
      </c>
      <c r="BH101" s="2">
        <v>257.89483999999999</v>
      </c>
    </row>
    <row r="102" spans="1:60" x14ac:dyDescent="0.2">
      <c r="A102" t="str">
        <f t="shared" si="0"/>
        <v>Scooter, gasoline, &lt;4kW, EURO-4 - 2016 - None - CH</v>
      </c>
      <c r="B102" t="s">
        <v>376</v>
      </c>
      <c r="D102" s="18">
        <v>2016</v>
      </c>
      <c r="E102" t="s">
        <v>37</v>
      </c>
      <c r="F102" t="s">
        <v>138</v>
      </c>
      <c r="G102" t="s">
        <v>39</v>
      </c>
      <c r="H102" t="s">
        <v>35</v>
      </c>
      <c r="I102" t="s">
        <v>136</v>
      </c>
      <c r="J102" t="s">
        <v>136</v>
      </c>
      <c r="L102" s="24">
        <v>0.1128969651379165</v>
      </c>
      <c r="M102" s="24">
        <v>0</v>
      </c>
      <c r="N102" s="24">
        <v>1.8940165822903782E-2</v>
      </c>
      <c r="O102" s="24">
        <v>9.5118975182542226E-3</v>
      </c>
      <c r="P102" s="24">
        <v>4.4596981416954867E-3</v>
      </c>
      <c r="Q102" s="24">
        <v>1.7347925130808101E-2</v>
      </c>
      <c r="R102" s="24">
        <v>0.16315665175157809</v>
      </c>
      <c r="S102" s="26">
        <v>0</v>
      </c>
      <c r="T102" s="26">
        <v>0</v>
      </c>
      <c r="U102" s="26">
        <v>4.3460373755135011E-4</v>
      </c>
      <c r="V102" s="26">
        <v>5.4149643498382851E-4</v>
      </c>
      <c r="W102" s="26">
        <v>3.0874345807630068E-4</v>
      </c>
      <c r="X102" s="26">
        <v>4.0150139972204022E-3</v>
      </c>
      <c r="Y102" s="26">
        <v>5.2998576278318818E-3</v>
      </c>
      <c r="Z102" s="28">
        <v>1.971510861459749E-2</v>
      </c>
      <c r="AA102" s="28">
        <v>4.6261147379200417E-3</v>
      </c>
      <c r="AB102" s="28">
        <v>9.7083380813969041E-4</v>
      </c>
      <c r="AC102" s="28">
        <v>1.891362620619139E-4</v>
      </c>
      <c r="AD102" s="28">
        <v>1.3766448427805311E-4</v>
      </c>
      <c r="AE102" s="28">
        <v>8.4431375179181605E-4</v>
      </c>
      <c r="AF102" s="28">
        <v>2.6483171658789006E-2</v>
      </c>
      <c r="AG102" s="30">
        <v>1.9379421424184219E-6</v>
      </c>
      <c r="AH102" s="30">
        <v>2.4017681479425239E-5</v>
      </c>
      <c r="AI102" s="30">
        <v>1.6933659650036591E-4</v>
      </c>
      <c r="AJ102" s="30">
        <v>3.7496238084001741E-4</v>
      </c>
      <c r="AK102" s="30">
        <v>1.8701463696059191E-4</v>
      </c>
      <c r="AL102" s="30">
        <v>1.852588283102466E-3</v>
      </c>
      <c r="AM102" s="30">
        <v>2.6098575210252847E-3</v>
      </c>
      <c r="AN102" s="32">
        <v>4.5322565366839864E-6</v>
      </c>
      <c r="AO102" s="32">
        <v>1.7366458046533871E-5</v>
      </c>
      <c r="AP102" s="32">
        <v>3.7251815811107482E-6</v>
      </c>
      <c r="AQ102" s="32">
        <v>5.7073161734124143E-7</v>
      </c>
      <c r="AR102" s="32">
        <v>7.6010161128832478E-7</v>
      </c>
      <c r="AS102" s="32">
        <v>3.6032811164636561E-6</v>
      </c>
      <c r="AT102" s="32">
        <v>3.0558010509421825E-5</v>
      </c>
      <c r="AU102" s="34">
        <v>0</v>
      </c>
      <c r="AV102" s="34">
        <v>0</v>
      </c>
      <c r="AW102" s="34">
        <v>1.6596404126365452</v>
      </c>
      <c r="AX102" s="34">
        <v>0.17743074935185008</v>
      </c>
      <c r="AY102" s="34">
        <v>0.15656542196032386</v>
      </c>
      <c r="AZ102" s="34">
        <v>0.25714487608654957</v>
      </c>
      <c r="BA102" s="34">
        <v>2.2507814600352685</v>
      </c>
      <c r="BB102" s="6"/>
      <c r="BC102" s="6"/>
      <c r="BD102" t="s">
        <v>646</v>
      </c>
      <c r="BF102" s="5">
        <v>0.15808216</v>
      </c>
      <c r="BG102" s="5">
        <f t="shared" si="5"/>
        <v>-5.0744917515780918E-3</v>
      </c>
      <c r="BH102" s="2">
        <v>246.73308999999998</v>
      </c>
    </row>
    <row r="103" spans="1:60" x14ac:dyDescent="0.2">
      <c r="A103" t="str">
        <f t="shared" si="0"/>
        <v>Scooter, gasoline, &lt;4kW, EURO-5 - 2020 - None - CH</v>
      </c>
      <c r="B103" t="s">
        <v>377</v>
      </c>
      <c r="D103" s="18">
        <v>2020</v>
      </c>
      <c r="E103" t="s">
        <v>37</v>
      </c>
      <c r="F103" t="s">
        <v>139</v>
      </c>
      <c r="G103" t="s">
        <v>39</v>
      </c>
      <c r="H103" t="s">
        <v>35</v>
      </c>
      <c r="I103" t="s">
        <v>136</v>
      </c>
      <c r="J103" t="s">
        <v>136</v>
      </c>
      <c r="L103" s="24">
        <v>0.11176799548653731</v>
      </c>
      <c r="M103" s="24">
        <v>0</v>
      </c>
      <c r="N103" s="24">
        <v>1.8750764164674749E-2</v>
      </c>
      <c r="O103" s="24">
        <v>9.5118975182542226E-3</v>
      </c>
      <c r="P103" s="24">
        <v>4.4548728920783664E-3</v>
      </c>
      <c r="Q103" s="24">
        <v>1.7336062327081739E-2</v>
      </c>
      <c r="R103" s="24">
        <v>0.16182159238862637</v>
      </c>
      <c r="S103" s="26">
        <v>0</v>
      </c>
      <c r="T103" s="26">
        <v>0</v>
      </c>
      <c r="U103" s="26">
        <v>4.3025770017583661E-4</v>
      </c>
      <c r="V103" s="26">
        <v>5.4149643498382851E-4</v>
      </c>
      <c r="W103" s="26">
        <v>3.0843856193799382E-4</v>
      </c>
      <c r="X103" s="26">
        <v>4.0147730912364343E-3</v>
      </c>
      <c r="Y103" s="26">
        <v>5.2949657883340929E-3</v>
      </c>
      <c r="Z103" s="28">
        <v>1.9517957528451511E-2</v>
      </c>
      <c r="AA103" s="28">
        <v>4.6261147379200417E-3</v>
      </c>
      <c r="AB103" s="28">
        <v>9.6112547005829346E-4</v>
      </c>
      <c r="AC103" s="28">
        <v>1.891362620619139E-4</v>
      </c>
      <c r="AD103" s="28">
        <v>1.375258889092465E-4</v>
      </c>
      <c r="AE103" s="28">
        <v>8.4348467871178689E-4</v>
      </c>
      <c r="AF103" s="28">
        <v>2.6275344566112795E-2</v>
      </c>
      <c r="AG103" s="30">
        <v>1.918562720994238E-6</v>
      </c>
      <c r="AH103" s="30">
        <v>2.4017681479425239E-5</v>
      </c>
      <c r="AI103" s="30">
        <v>1.6764323053536221E-4</v>
      </c>
      <c r="AJ103" s="30">
        <v>3.7496238084001741E-4</v>
      </c>
      <c r="AK103" s="30">
        <v>1.868852894426968E-4</v>
      </c>
      <c r="AL103" s="30">
        <v>1.8525131287290639E-3</v>
      </c>
      <c r="AM103" s="30">
        <v>2.6079402737475598E-3</v>
      </c>
      <c r="AN103" s="32">
        <v>4.4869339713171451E-6</v>
      </c>
      <c r="AO103" s="32">
        <v>1.7366458046533871E-5</v>
      </c>
      <c r="AP103" s="32">
        <v>3.6879297652996402E-6</v>
      </c>
      <c r="AQ103" s="32">
        <v>5.7073161734124143E-7</v>
      </c>
      <c r="AR103" s="32">
        <v>7.5959088084900532E-7</v>
      </c>
      <c r="AS103" s="32">
        <v>3.6002114922254679E-6</v>
      </c>
      <c r="AT103" s="32">
        <v>3.047185577356637E-5</v>
      </c>
      <c r="AU103" s="34">
        <v>0</v>
      </c>
      <c r="AV103" s="34">
        <v>0</v>
      </c>
      <c r="AW103" s="34">
        <v>1.6430440085101798</v>
      </c>
      <c r="AX103" s="34">
        <v>0.17743074935185008</v>
      </c>
      <c r="AY103" s="34">
        <v>0.15640734992747582</v>
      </c>
      <c r="AZ103" s="34">
        <v>0.25696813964292659</v>
      </c>
      <c r="BA103" s="34">
        <v>2.2338502474324322</v>
      </c>
      <c r="BB103" s="6"/>
      <c r="BC103" s="6"/>
      <c r="BD103" t="s">
        <v>633</v>
      </c>
      <c r="BF103" s="5">
        <v>0.15683154999999999</v>
      </c>
      <c r="BG103" s="5">
        <f t="shared" si="5"/>
        <v>-4.9900423886263812E-3</v>
      </c>
      <c r="BH103" s="2">
        <v>244.84818999999999</v>
      </c>
    </row>
    <row r="104" spans="1:60" x14ac:dyDescent="0.2">
      <c r="A104" t="str">
        <f t="shared" si="0"/>
        <v>Scooter, gasoline, &lt;4kW, EURO-5 - 2030 - None - CH</v>
      </c>
      <c r="B104" t="s">
        <v>377</v>
      </c>
      <c r="D104" s="18">
        <v>2030</v>
      </c>
      <c r="E104" t="s">
        <v>37</v>
      </c>
      <c r="F104" t="s">
        <v>139</v>
      </c>
      <c r="G104" t="s">
        <v>39</v>
      </c>
      <c r="H104" t="s">
        <v>35</v>
      </c>
      <c r="I104" t="s">
        <v>136</v>
      </c>
      <c r="J104" t="s">
        <v>136</v>
      </c>
      <c r="L104" s="24">
        <v>0.1106503155316719</v>
      </c>
      <c r="M104" s="24">
        <v>0</v>
      </c>
      <c r="N104" s="24">
        <v>1.8563256523027989E-2</v>
      </c>
      <c r="O104" s="24">
        <v>9.5118975182542226E-3</v>
      </c>
      <c r="P104" s="24">
        <v>4.4430828953723814E-3</v>
      </c>
      <c r="Q104" s="24">
        <v>1.9264430544300909E-2</v>
      </c>
      <c r="R104" s="24">
        <v>0.1624329830126274</v>
      </c>
      <c r="S104" s="26">
        <v>0</v>
      </c>
      <c r="T104" s="26">
        <v>0</v>
      </c>
      <c r="U104" s="26">
        <v>4.2595512317407808E-4</v>
      </c>
      <c r="V104" s="26">
        <v>5.4149643498382851E-4</v>
      </c>
      <c r="W104" s="26">
        <v>3.0769357986420607E-4</v>
      </c>
      <c r="X104" s="26">
        <v>4.3506640148857868E-3</v>
      </c>
      <c r="Y104" s="26">
        <v>5.6258091529078997E-3</v>
      </c>
      <c r="Z104" s="28">
        <v>1.9322777953167E-2</v>
      </c>
      <c r="AA104" s="28">
        <v>4.6261147379200417E-3</v>
      </c>
      <c r="AB104" s="28">
        <v>9.5151421535771038E-4</v>
      </c>
      <c r="AC104" s="28">
        <v>1.891362620619139E-4</v>
      </c>
      <c r="AD104" s="28">
        <v>1.371872455081058E-4</v>
      </c>
      <c r="AE104" s="28">
        <v>9.5497248338508858E-4</v>
      </c>
      <c r="AF104" s="28">
        <v>2.618170289739986E-2</v>
      </c>
      <c r="AG104" s="30">
        <v>1.8993770937842949E-6</v>
      </c>
      <c r="AH104" s="30">
        <v>2.4017681479425239E-5</v>
      </c>
      <c r="AI104" s="30">
        <v>1.659667982300086E-4</v>
      </c>
      <c r="AJ104" s="30">
        <v>3.7496238084001741E-4</v>
      </c>
      <c r="AK104" s="30">
        <v>1.8656924220557559E-4</v>
      </c>
      <c r="AL104" s="30">
        <v>2.2362937921843332E-3</v>
      </c>
      <c r="AM104" s="30">
        <v>2.9897092720331444E-3</v>
      </c>
      <c r="AN104" s="32">
        <v>4.4420646316039738E-6</v>
      </c>
      <c r="AO104" s="32">
        <v>1.7366458046533871E-5</v>
      </c>
      <c r="AP104" s="32">
        <v>3.6510504676466428E-6</v>
      </c>
      <c r="AQ104" s="32">
        <v>5.7073161734124143E-7</v>
      </c>
      <c r="AR104" s="32">
        <v>7.5834296402085692E-7</v>
      </c>
      <c r="AS104" s="32">
        <v>3.6537168051200861E-6</v>
      </c>
      <c r="AT104" s="32">
        <v>3.0442364532266668E-5</v>
      </c>
      <c r="AU104" s="34">
        <v>0</v>
      </c>
      <c r="AV104" s="34">
        <v>0</v>
      </c>
      <c r="AW104" s="34">
        <v>1.626613568425078</v>
      </c>
      <c r="AX104" s="34">
        <v>0.17743074935185008</v>
      </c>
      <c r="AY104" s="34">
        <v>0.15602111731891316</v>
      </c>
      <c r="AZ104" s="34">
        <v>0.27669049883705338</v>
      </c>
      <c r="BA104" s="34">
        <v>2.2367559339328946</v>
      </c>
      <c r="BB104" s="6"/>
      <c r="BC104" s="6"/>
      <c r="BD104" t="s">
        <v>503</v>
      </c>
      <c r="BF104" s="5">
        <v>0.15633928999999999</v>
      </c>
      <c r="BG104" s="5">
        <f t="shared" si="5"/>
        <v>-6.0936930126274103E-3</v>
      </c>
      <c r="BH104" s="2">
        <v>243.20273</v>
      </c>
    </row>
    <row r="105" spans="1:60" x14ac:dyDescent="0.2">
      <c r="A105" t="str">
        <f t="shared" si="0"/>
        <v>Scooter, gasoline, &lt;4kW, EURO-5 - 2040 - None - CH</v>
      </c>
      <c r="B105" t="s">
        <v>377</v>
      </c>
      <c r="D105" s="18">
        <v>2040</v>
      </c>
      <c r="E105" t="s">
        <v>37</v>
      </c>
      <c r="F105" t="s">
        <v>139</v>
      </c>
      <c r="G105" t="s">
        <v>39</v>
      </c>
      <c r="H105" t="s">
        <v>35</v>
      </c>
      <c r="I105" t="s">
        <v>136</v>
      </c>
      <c r="J105" t="s">
        <v>136</v>
      </c>
      <c r="L105" s="24">
        <v>0.1095438123763552</v>
      </c>
      <c r="M105" s="24">
        <v>0</v>
      </c>
      <c r="N105" s="24">
        <v>1.8377623957797719E-2</v>
      </c>
      <c r="O105" s="24">
        <v>9.5118975182542226E-3</v>
      </c>
      <c r="P105" s="24">
        <v>4.4341607357029867E-3</v>
      </c>
      <c r="Q105" s="24">
        <v>2.050285446007101E-2</v>
      </c>
      <c r="R105" s="24">
        <v>0.16237034904818115</v>
      </c>
      <c r="S105" s="26">
        <v>0</v>
      </c>
      <c r="T105" s="26">
        <v>0</v>
      </c>
      <c r="U105" s="26">
        <v>4.2169557194233738E-4</v>
      </c>
      <c r="V105" s="26">
        <v>5.4149643498382851E-4</v>
      </c>
      <c r="W105" s="26">
        <v>3.0712980964620458E-4</v>
      </c>
      <c r="X105" s="26">
        <v>4.5635792844195312E-3</v>
      </c>
      <c r="Y105" s="26">
        <v>5.8339011009919013E-3</v>
      </c>
      <c r="Z105" s="28">
        <v>1.912955017363533E-2</v>
      </c>
      <c r="AA105" s="28">
        <v>4.6261147379200417E-3</v>
      </c>
      <c r="AB105" s="28">
        <v>9.4199907320413341E-4</v>
      </c>
      <c r="AC105" s="28">
        <v>1.891362620619139E-4</v>
      </c>
      <c r="AD105" s="28">
        <v>1.3693097482616139E-4</v>
      </c>
      <c r="AE105" s="28">
        <v>1.0269976166834051E-3</v>
      </c>
      <c r="AF105" s="28">
        <v>2.6050728838330983E-2</v>
      </c>
      <c r="AG105" s="30">
        <v>1.880383322846452E-6</v>
      </c>
      <c r="AH105" s="30">
        <v>2.4017681479425239E-5</v>
      </c>
      <c r="AI105" s="30">
        <v>1.6430713024770849E-4</v>
      </c>
      <c r="AJ105" s="30">
        <v>3.7496238084001741E-4</v>
      </c>
      <c r="AK105" s="30">
        <v>1.8633007132342979E-4</v>
      </c>
      <c r="AL105" s="30">
        <v>2.487067527395477E-3</v>
      </c>
      <c r="AM105" s="30">
        <v>3.2385651746089043E-3</v>
      </c>
      <c r="AN105" s="32">
        <v>4.3976439852879343E-6</v>
      </c>
      <c r="AO105" s="32">
        <v>1.7366458046533871E-5</v>
      </c>
      <c r="AP105" s="32">
        <v>3.6145399629701769E-6</v>
      </c>
      <c r="AQ105" s="32">
        <v>5.7073161734124143E-7</v>
      </c>
      <c r="AR105" s="32">
        <v>7.5739859452928519E-7</v>
      </c>
      <c r="AS105" s="32">
        <v>3.679556920721218E-6</v>
      </c>
      <c r="AT105" s="32">
        <v>3.0386329127383723E-5</v>
      </c>
      <c r="AU105" s="34">
        <v>0</v>
      </c>
      <c r="AV105" s="34">
        <v>0</v>
      </c>
      <c r="AW105" s="34">
        <v>1.6103474327408269</v>
      </c>
      <c r="AX105" s="34">
        <v>0.17743074935185008</v>
      </c>
      <c r="AY105" s="34">
        <v>0.15572883318270353</v>
      </c>
      <c r="AZ105" s="34">
        <v>0.28914454762042363</v>
      </c>
      <c r="BA105" s="34">
        <v>2.2326515628958044</v>
      </c>
      <c r="BB105" s="6"/>
      <c r="BC105" s="6"/>
      <c r="BD105" t="s">
        <v>504</v>
      </c>
      <c r="BF105" s="5">
        <v>0.15559520000000002</v>
      </c>
      <c r="BG105" s="5">
        <f t="shared" si="5"/>
        <v>-6.7751490481811338E-3</v>
      </c>
      <c r="BH105" s="2">
        <v>241.48463000000001</v>
      </c>
    </row>
    <row r="106" spans="1:60" x14ac:dyDescent="0.2">
      <c r="A106" t="str">
        <f t="shared" si="0"/>
        <v>Scooter, gasoline, &lt;4kW, EURO-5 - 2050 - None - CH</v>
      </c>
      <c r="B106" t="s">
        <v>377</v>
      </c>
      <c r="D106" s="18">
        <v>2050</v>
      </c>
      <c r="E106" t="s">
        <v>37</v>
      </c>
      <c r="F106" t="s">
        <v>139</v>
      </c>
      <c r="G106" t="s">
        <v>39</v>
      </c>
      <c r="H106" t="s">
        <v>35</v>
      </c>
      <c r="I106" t="s">
        <v>136</v>
      </c>
      <c r="J106" t="s">
        <v>136</v>
      </c>
      <c r="L106" s="24">
        <v>0.1084483742525917</v>
      </c>
      <c r="M106" s="24">
        <v>0</v>
      </c>
      <c r="N106" s="24">
        <v>1.819384771821974E-2</v>
      </c>
      <c r="O106" s="24">
        <v>9.5118975182542226E-3</v>
      </c>
      <c r="P106" s="24">
        <v>4.4252385760335921E-3</v>
      </c>
      <c r="Q106" s="24">
        <v>2.1741278732531299E-2</v>
      </c>
      <c r="R106" s="24">
        <v>0.16232063679763051</v>
      </c>
      <c r="S106" s="26">
        <v>0</v>
      </c>
      <c r="T106" s="26">
        <v>0</v>
      </c>
      <c r="U106" s="26">
        <v>4.1747861622291399E-4</v>
      </c>
      <c r="V106" s="26">
        <v>5.4149643498382851E-4</v>
      </c>
      <c r="W106" s="26">
        <v>3.0656603942820319E-4</v>
      </c>
      <c r="X106" s="26">
        <v>4.7764946514093302E-3</v>
      </c>
      <c r="Y106" s="26">
        <v>6.0420357420442761E-3</v>
      </c>
      <c r="Z106" s="28">
        <v>1.8938254671898979E-2</v>
      </c>
      <c r="AA106" s="28">
        <v>4.6261147379200417E-3</v>
      </c>
      <c r="AB106" s="28">
        <v>9.3257908247209209E-4</v>
      </c>
      <c r="AC106" s="28">
        <v>1.891362620619139E-4</v>
      </c>
      <c r="AD106" s="28">
        <v>1.366747041442171E-4</v>
      </c>
      <c r="AE106" s="28">
        <v>1.0990227598976379E-3</v>
      </c>
      <c r="AF106" s="28">
        <v>2.5921782218394883E-2</v>
      </c>
      <c r="AG106" s="30">
        <v>1.861579489617988E-6</v>
      </c>
      <c r="AH106" s="30">
        <v>2.4017681479425239E-5</v>
      </c>
      <c r="AI106" s="30">
        <v>1.626640589452314E-4</v>
      </c>
      <c r="AJ106" s="30">
        <v>3.7496238084001741E-4</v>
      </c>
      <c r="AK106" s="30">
        <v>1.8609090044128409E-4</v>
      </c>
      <c r="AL106" s="30">
        <v>2.7378412903129681E-3</v>
      </c>
      <c r="AM106" s="30">
        <v>3.4874378915085444E-3</v>
      </c>
      <c r="AN106" s="32">
        <v>4.3536675454350546E-6</v>
      </c>
      <c r="AO106" s="32">
        <v>1.7366458046533871E-5</v>
      </c>
      <c r="AP106" s="32">
        <v>3.5783945633404761E-6</v>
      </c>
      <c r="AQ106" s="32">
        <v>5.7073161734124143E-7</v>
      </c>
      <c r="AR106" s="32">
        <v>7.5645422503771335E-7</v>
      </c>
      <c r="AS106" s="32">
        <v>3.7053971164142811E-6</v>
      </c>
      <c r="AT106" s="32">
        <v>3.0331103114102639E-5</v>
      </c>
      <c r="AU106" s="34">
        <v>0</v>
      </c>
      <c r="AV106" s="34">
        <v>0</v>
      </c>
      <c r="AW106" s="34">
        <v>1.5942439584134194</v>
      </c>
      <c r="AX106" s="34">
        <v>0.17743074935185008</v>
      </c>
      <c r="AY106" s="34">
        <v>0.15543654904649395</v>
      </c>
      <c r="AZ106" s="34">
        <v>0.30159860218350926</v>
      </c>
      <c r="BA106" s="34">
        <v>2.2287098589952725</v>
      </c>
      <c r="BB106" s="6"/>
      <c r="BC106" s="6"/>
      <c r="BD106" t="s">
        <v>505</v>
      </c>
      <c r="BF106" s="5">
        <v>0.15485291000000001</v>
      </c>
      <c r="BG106" s="5">
        <f t="shared" si="5"/>
        <v>-7.4677267976304973E-3</v>
      </c>
      <c r="BH106" s="2">
        <v>239.7551</v>
      </c>
    </row>
    <row r="107" spans="1:60" x14ac:dyDescent="0.2">
      <c r="A107" t="str">
        <f t="shared" si="0"/>
        <v>Scooter, gasoline, 4-11kW, EURO-3 - 2006 - None - CH</v>
      </c>
      <c r="B107" t="s">
        <v>337</v>
      </c>
      <c r="D107" s="18">
        <v>2006</v>
      </c>
      <c r="E107" t="s">
        <v>37</v>
      </c>
      <c r="F107" t="s">
        <v>139</v>
      </c>
      <c r="G107" t="s">
        <v>39</v>
      </c>
      <c r="H107" t="s">
        <v>35</v>
      </c>
      <c r="I107" t="s">
        <v>136</v>
      </c>
      <c r="J107" t="s">
        <v>136</v>
      </c>
      <c r="L107" s="24">
        <v>0</v>
      </c>
      <c r="M107" s="24">
        <v>0</v>
      </c>
      <c r="N107" s="24">
        <v>0</v>
      </c>
      <c r="O107" s="24">
        <v>0</v>
      </c>
      <c r="P107" s="24">
        <v>0</v>
      </c>
      <c r="Q107" s="24">
        <v>0</v>
      </c>
      <c r="R107" s="24">
        <v>0</v>
      </c>
      <c r="S107" s="26">
        <v>0</v>
      </c>
      <c r="T107" s="26">
        <v>0</v>
      </c>
      <c r="U107" s="26">
        <v>0</v>
      </c>
      <c r="V107" s="26">
        <v>0</v>
      </c>
      <c r="W107" s="26">
        <v>0</v>
      </c>
      <c r="X107" s="26">
        <v>0</v>
      </c>
      <c r="Y107" s="26">
        <v>0</v>
      </c>
      <c r="Z107" s="28">
        <v>0</v>
      </c>
      <c r="AA107" s="28">
        <v>0</v>
      </c>
      <c r="AB107" s="28">
        <v>0</v>
      </c>
      <c r="AC107" s="28">
        <v>0</v>
      </c>
      <c r="AD107" s="28">
        <v>0</v>
      </c>
      <c r="AE107" s="28">
        <v>0</v>
      </c>
      <c r="AF107" s="28">
        <v>0</v>
      </c>
      <c r="AG107" s="30">
        <v>0</v>
      </c>
      <c r="AH107" s="30">
        <v>0</v>
      </c>
      <c r="AI107" s="30">
        <v>0</v>
      </c>
      <c r="AJ107" s="30">
        <v>0</v>
      </c>
      <c r="AK107" s="30">
        <v>0</v>
      </c>
      <c r="AL107" s="30">
        <v>0</v>
      </c>
      <c r="AM107" s="30">
        <v>0</v>
      </c>
      <c r="AN107" s="32">
        <v>0</v>
      </c>
      <c r="AO107" s="32">
        <v>0</v>
      </c>
      <c r="AP107" s="32">
        <v>0</v>
      </c>
      <c r="AQ107" s="32">
        <v>0</v>
      </c>
      <c r="AR107" s="32">
        <v>0</v>
      </c>
      <c r="AS107" s="32">
        <v>0</v>
      </c>
      <c r="AT107" s="32">
        <v>0</v>
      </c>
      <c r="AU107" s="34">
        <v>0</v>
      </c>
      <c r="AV107" s="34">
        <v>0</v>
      </c>
      <c r="AW107" s="34">
        <v>0</v>
      </c>
      <c r="AX107" s="34">
        <v>0</v>
      </c>
      <c r="AY107" s="34">
        <v>0</v>
      </c>
      <c r="AZ107" s="34">
        <v>0</v>
      </c>
      <c r="BA107" s="34">
        <v>0</v>
      </c>
      <c r="BB107" s="6"/>
      <c r="BC107" s="6"/>
      <c r="BD107" t="s">
        <v>641</v>
      </c>
      <c r="BF107" s="5">
        <v>0.13600822999999998</v>
      </c>
      <c r="BG107" s="5">
        <f t="shared" si="5"/>
        <v>0.13600822999999998</v>
      </c>
      <c r="BH107" s="2">
        <v>182.66535000000002</v>
      </c>
    </row>
    <row r="108" spans="1:60" x14ac:dyDescent="0.2">
      <c r="A108" t="str">
        <f t="shared" si="0"/>
        <v>Scooter, gasoline, 4-11kW, EURO-4 - 2016 - None - CH</v>
      </c>
      <c r="B108" t="s">
        <v>338</v>
      </c>
      <c r="D108" s="18">
        <v>2016</v>
      </c>
      <c r="E108" t="s">
        <v>37</v>
      </c>
      <c r="F108" t="s">
        <v>138</v>
      </c>
      <c r="G108" t="s">
        <v>39</v>
      </c>
      <c r="H108" t="s">
        <v>35</v>
      </c>
      <c r="I108" t="s">
        <v>136</v>
      </c>
      <c r="J108" t="s">
        <v>136</v>
      </c>
      <c r="L108" s="24">
        <v>9.1289729407885031E-2</v>
      </c>
      <c r="M108" s="24">
        <v>0</v>
      </c>
      <c r="N108" s="24">
        <v>1.3398735786767939E-2</v>
      </c>
      <c r="O108" s="24">
        <v>9.5118975182542226E-3</v>
      </c>
      <c r="P108" s="24">
        <v>4.6375267985755298E-3</v>
      </c>
      <c r="Q108" s="24">
        <v>2.0728610533968551E-2</v>
      </c>
      <c r="R108" s="24">
        <v>0.13956650004545126</v>
      </c>
      <c r="S108" s="26">
        <v>0</v>
      </c>
      <c r="T108" s="26">
        <v>0</v>
      </c>
      <c r="U108" s="26">
        <v>3.2817316404929299E-4</v>
      </c>
      <c r="V108" s="26">
        <v>5.4149643498382851E-4</v>
      </c>
      <c r="W108" s="26">
        <v>3.1998003132437618E-4</v>
      </c>
      <c r="X108" s="26">
        <v>4.8018395538686424E-3</v>
      </c>
      <c r="Y108" s="26">
        <v>5.9914891842261404E-3</v>
      </c>
      <c r="Z108" s="28">
        <v>9.4628386436903938E-3</v>
      </c>
      <c r="AA108" s="28">
        <v>4.6261147379200417E-3</v>
      </c>
      <c r="AB108" s="28">
        <v>6.546510138441485E-4</v>
      </c>
      <c r="AC108" s="28">
        <v>1.891362620619139E-4</v>
      </c>
      <c r="AD108" s="28">
        <v>1.4277224661996891E-4</v>
      </c>
      <c r="AE108" s="28">
        <v>1.00908735912245E-3</v>
      </c>
      <c r="AF108" s="28">
        <v>1.6084600263258916E-2</v>
      </c>
      <c r="AG108" s="30">
        <v>1.0029684801160509E-6</v>
      </c>
      <c r="AH108" s="30">
        <v>2.4017681479425239E-5</v>
      </c>
      <c r="AI108" s="30">
        <v>1.2452579100865631E-4</v>
      </c>
      <c r="AJ108" s="30">
        <v>3.7496238084001741E-4</v>
      </c>
      <c r="AK108" s="30">
        <v>1.9178158109886949E-4</v>
      </c>
      <c r="AL108" s="30">
        <v>2.2155921833290938E-3</v>
      </c>
      <c r="AM108" s="30">
        <v>2.9318825862361783E-3</v>
      </c>
      <c r="AN108" s="32">
        <v>2.2667338822781958E-6</v>
      </c>
      <c r="AO108" s="32">
        <v>1.7366458046533871E-5</v>
      </c>
      <c r="AP108" s="32">
        <v>2.5769398410396732E-6</v>
      </c>
      <c r="AQ108" s="32">
        <v>5.7073161734124143E-7</v>
      </c>
      <c r="AR108" s="32">
        <v>7.7892395526192232E-7</v>
      </c>
      <c r="AS108" s="32">
        <v>4.3071110530897736E-6</v>
      </c>
      <c r="AT108" s="32">
        <v>2.7866898395544675E-5</v>
      </c>
      <c r="AU108" s="34">
        <v>0</v>
      </c>
      <c r="AV108" s="34">
        <v>0</v>
      </c>
      <c r="AW108" s="34">
        <v>1.3326262349978304</v>
      </c>
      <c r="AX108" s="34">
        <v>0.17743074935185008</v>
      </c>
      <c r="AY108" s="34">
        <v>0.16239097286901172</v>
      </c>
      <c r="AZ108" s="34">
        <v>0.30703921259762229</v>
      </c>
      <c r="BA108" s="34">
        <v>1.9794871698163146</v>
      </c>
      <c r="BB108" s="6"/>
      <c r="BC108" s="6"/>
      <c r="BD108" t="s">
        <v>647</v>
      </c>
      <c r="BF108" s="5">
        <v>0.13499356000000001</v>
      </c>
      <c r="BG108" s="5">
        <f t="shared" si="5"/>
        <v>-4.5729400454512514E-3</v>
      </c>
      <c r="BH108" s="2">
        <v>181.43334999999999</v>
      </c>
    </row>
    <row r="109" spans="1:60" x14ac:dyDescent="0.2">
      <c r="A109" t="str">
        <f t="shared" si="0"/>
        <v>Scooter, gasoline, 4-11kW, EURO-5 - 2020 - None - CH</v>
      </c>
      <c r="B109" t="s">
        <v>339</v>
      </c>
      <c r="D109" s="18">
        <v>2020</v>
      </c>
      <c r="E109" t="s">
        <v>37</v>
      </c>
      <c r="F109" t="s">
        <v>139</v>
      </c>
      <c r="G109" t="s">
        <v>39</v>
      </c>
      <c r="H109" t="s">
        <v>35</v>
      </c>
      <c r="I109" t="s">
        <v>136</v>
      </c>
      <c r="J109" t="s">
        <v>136</v>
      </c>
      <c r="L109" s="24">
        <v>9.0376832113806177E-2</v>
      </c>
      <c r="M109" s="24">
        <v>0</v>
      </c>
      <c r="N109" s="24">
        <v>1.3264748428900261E-2</v>
      </c>
      <c r="O109" s="24">
        <v>9.5118975182542226E-3</v>
      </c>
      <c r="P109" s="24">
        <v>4.6311538273831046E-3</v>
      </c>
      <c r="Q109" s="24">
        <v>2.071555397749358E-2</v>
      </c>
      <c r="R109" s="24">
        <v>0.13850018586583734</v>
      </c>
      <c r="S109" s="26">
        <v>0</v>
      </c>
      <c r="T109" s="26">
        <v>0</v>
      </c>
      <c r="U109" s="26">
        <v>3.2489143240880012E-4</v>
      </c>
      <c r="V109" s="26">
        <v>5.4149643498382851E-4</v>
      </c>
      <c r="W109" s="26">
        <v>3.1957733831151799E-4</v>
      </c>
      <c r="X109" s="26">
        <v>4.8015744055521659E-3</v>
      </c>
      <c r="Y109" s="26">
        <v>5.987539611256313E-3</v>
      </c>
      <c r="Z109" s="28">
        <v>9.3682102572534894E-3</v>
      </c>
      <c r="AA109" s="28">
        <v>4.6261147379200417E-3</v>
      </c>
      <c r="AB109" s="28">
        <v>6.4810450370570707E-4</v>
      </c>
      <c r="AC109" s="28">
        <v>1.891362620619139E-4</v>
      </c>
      <c r="AD109" s="28">
        <v>1.4258919613286579E-4</v>
      </c>
      <c r="AE109" s="28">
        <v>1.0081748558839079E-3</v>
      </c>
      <c r="AF109" s="28">
        <v>1.5982329812957927E-2</v>
      </c>
      <c r="AG109" s="30">
        <v>9.9293879531489029E-7</v>
      </c>
      <c r="AH109" s="30">
        <v>2.4017681479425239E-5</v>
      </c>
      <c r="AI109" s="30">
        <v>1.2328053309856971E-4</v>
      </c>
      <c r="AJ109" s="30">
        <v>3.7496238084001741E-4</v>
      </c>
      <c r="AK109" s="30">
        <v>1.9161074475447959E-4</v>
      </c>
      <c r="AL109" s="30">
        <v>2.215509466165385E-3</v>
      </c>
      <c r="AM109" s="30">
        <v>2.9303737451331917E-3</v>
      </c>
      <c r="AN109" s="32">
        <v>2.2440665434554142E-6</v>
      </c>
      <c r="AO109" s="32">
        <v>1.7366458046533871E-5</v>
      </c>
      <c r="AP109" s="32">
        <v>2.551170442629276E-6</v>
      </c>
      <c r="AQ109" s="32">
        <v>5.7073161734124143E-7</v>
      </c>
      <c r="AR109" s="32">
        <v>7.7824940562508531E-7</v>
      </c>
      <c r="AS109" s="32">
        <v>4.3037325307784716E-6</v>
      </c>
      <c r="AT109" s="32">
        <v>2.781440858636336E-5</v>
      </c>
      <c r="AU109" s="34">
        <v>0</v>
      </c>
      <c r="AV109" s="34">
        <v>0</v>
      </c>
      <c r="AW109" s="34">
        <v>1.3192999726478523</v>
      </c>
      <c r="AX109" s="34">
        <v>0.17743074935185008</v>
      </c>
      <c r="AY109" s="34">
        <v>0.16218219848600485</v>
      </c>
      <c r="AZ109" s="34">
        <v>0.306844691170641</v>
      </c>
      <c r="BA109" s="34">
        <v>1.9657576116563482</v>
      </c>
      <c r="BB109" s="6"/>
      <c r="BC109" s="6"/>
      <c r="BD109" t="s">
        <v>634</v>
      </c>
      <c r="BF109" s="5">
        <v>0.13399080999999999</v>
      </c>
      <c r="BG109" s="5">
        <f t="shared" si="5"/>
        <v>-4.5093758658373562E-3</v>
      </c>
      <c r="BH109" s="2">
        <v>180.24235999999999</v>
      </c>
    </row>
    <row r="110" spans="1:60" x14ac:dyDescent="0.2">
      <c r="A110" t="str">
        <f t="shared" si="0"/>
        <v>Scooter, gasoline, 4-11kW, EURO-5 - 2030 - None - CH</v>
      </c>
      <c r="B110" t="s">
        <v>339</v>
      </c>
      <c r="D110" s="18">
        <v>2030</v>
      </c>
      <c r="E110" t="s">
        <v>37</v>
      </c>
      <c r="F110" t="s">
        <v>139</v>
      </c>
      <c r="G110" t="s">
        <v>39</v>
      </c>
      <c r="H110" t="s">
        <v>35</v>
      </c>
      <c r="I110" t="s">
        <v>136</v>
      </c>
      <c r="J110" t="s">
        <v>136</v>
      </c>
      <c r="L110" s="24">
        <v>8.9473063792668117E-2</v>
      </c>
      <c r="M110" s="24">
        <v>0</v>
      </c>
      <c r="N110" s="24">
        <v>1.313210094461126E-2</v>
      </c>
      <c r="O110" s="24">
        <v>9.5118975182542226E-3</v>
      </c>
      <c r="P110" s="24">
        <v>4.6170422483141661E-3</v>
      </c>
      <c r="Q110" s="24">
        <v>2.2891989216780619E-2</v>
      </c>
      <c r="R110" s="24">
        <v>0.13962609372062837</v>
      </c>
      <c r="S110" s="26">
        <v>0</v>
      </c>
      <c r="T110" s="26">
        <v>0</v>
      </c>
      <c r="U110" s="26">
        <v>3.2164251808471198E-4</v>
      </c>
      <c r="V110" s="26">
        <v>5.4149643498382851E-4</v>
      </c>
      <c r="W110" s="26">
        <v>3.1868566092590339E-4</v>
      </c>
      <c r="X110" s="26">
        <v>5.1838802884036266E-3</v>
      </c>
      <c r="Y110" s="26">
        <v>6.365704902398071E-3</v>
      </c>
      <c r="Z110" s="28">
        <v>9.2745281546809544E-3</v>
      </c>
      <c r="AA110" s="28">
        <v>4.6261147379200417E-3</v>
      </c>
      <c r="AB110" s="28">
        <v>6.4162345866864996E-4</v>
      </c>
      <c r="AC110" s="28">
        <v>1.891362620619139E-4</v>
      </c>
      <c r="AD110" s="28">
        <v>1.421838700542804E-4</v>
      </c>
      <c r="AE110" s="28">
        <v>1.133516360923425E-3</v>
      </c>
      <c r="AF110" s="28">
        <v>1.6007102844309267E-2</v>
      </c>
      <c r="AG110" s="30">
        <v>9.8300940736174139E-7</v>
      </c>
      <c r="AH110" s="30">
        <v>2.4017681479425239E-5</v>
      </c>
      <c r="AI110" s="30">
        <v>1.22047727767584E-4</v>
      </c>
      <c r="AJ110" s="30">
        <v>3.7496238084001741E-4</v>
      </c>
      <c r="AK110" s="30">
        <v>1.9123246427761641E-4</v>
      </c>
      <c r="AL110" s="30">
        <v>2.6437289070455972E-3</v>
      </c>
      <c r="AM110" s="30">
        <v>3.356972170817602E-3</v>
      </c>
      <c r="AN110" s="32">
        <v>2.22162587802086E-6</v>
      </c>
      <c r="AO110" s="32">
        <v>1.7366458046533871E-5</v>
      </c>
      <c r="AP110" s="32">
        <v>2.5256587382029841E-6</v>
      </c>
      <c r="AQ110" s="32">
        <v>5.7073161734124143E-7</v>
      </c>
      <c r="AR110" s="32">
        <v>7.7675576000066063E-7</v>
      </c>
      <c r="AS110" s="32">
        <v>4.373882722849643E-6</v>
      </c>
      <c r="AT110" s="32">
        <v>2.7835112762949257E-5</v>
      </c>
      <c r="AU110" s="34">
        <v>0</v>
      </c>
      <c r="AV110" s="34">
        <v>0</v>
      </c>
      <c r="AW110" s="34">
        <v>1.3061069729213743</v>
      </c>
      <c r="AX110" s="34">
        <v>0.17743074935185008</v>
      </c>
      <c r="AY110" s="34">
        <v>0.16171991235220393</v>
      </c>
      <c r="AZ110" s="34">
        <v>0.32934690758470997</v>
      </c>
      <c r="BA110" s="34">
        <v>1.9746045422101384</v>
      </c>
      <c r="BB110" s="6"/>
      <c r="BC110" s="6"/>
      <c r="BD110" t="s">
        <v>506</v>
      </c>
      <c r="BF110" s="5">
        <v>0.13387144000000001</v>
      </c>
      <c r="BG110" s="5">
        <f t="shared" si="5"/>
        <v>-5.754653720628361E-3</v>
      </c>
      <c r="BH110" s="2">
        <v>179.38314</v>
      </c>
    </row>
    <row r="111" spans="1:60" x14ac:dyDescent="0.2">
      <c r="A111" t="str">
        <f t="shared" si="0"/>
        <v>Scooter, gasoline, 4-11kW, EURO-5 - 2040 - None - CH</v>
      </c>
      <c r="B111" t="s">
        <v>339</v>
      </c>
      <c r="D111" s="18">
        <v>2040</v>
      </c>
      <c r="E111" t="s">
        <v>37</v>
      </c>
      <c r="F111" t="s">
        <v>139</v>
      </c>
      <c r="G111" t="s">
        <v>39</v>
      </c>
      <c r="H111" t="s">
        <v>35</v>
      </c>
      <c r="I111" t="s">
        <v>136</v>
      </c>
      <c r="J111" t="s">
        <v>136</v>
      </c>
      <c r="L111" s="24">
        <v>8.8578333154741465E-2</v>
      </c>
      <c r="M111" s="24">
        <v>0</v>
      </c>
      <c r="N111" s="24">
        <v>1.3000779935165151E-2</v>
      </c>
      <c r="O111" s="24">
        <v>9.5118975182542226E-3</v>
      </c>
      <c r="P111" s="24">
        <v>4.6061171548414381E-3</v>
      </c>
      <c r="Q111" s="24">
        <v>2.428681057895387E-2</v>
      </c>
      <c r="R111" s="24">
        <v>0.13998393834195613</v>
      </c>
      <c r="S111" s="26">
        <v>0</v>
      </c>
      <c r="T111" s="26">
        <v>0</v>
      </c>
      <c r="U111" s="26">
        <v>3.1842609290386501E-4</v>
      </c>
      <c r="V111" s="26">
        <v>5.4149643498382851E-4</v>
      </c>
      <c r="W111" s="26">
        <v>3.1799533004671788E-4</v>
      </c>
      <c r="X111" s="26">
        <v>5.425641639661226E-3</v>
      </c>
      <c r="Y111" s="26">
        <v>6.6035594975956376E-3</v>
      </c>
      <c r="Z111" s="28">
        <v>9.181782873134146E-3</v>
      </c>
      <c r="AA111" s="28">
        <v>4.6261147379200417E-3</v>
      </c>
      <c r="AB111" s="28">
        <v>6.3520722408196353E-4</v>
      </c>
      <c r="AC111" s="28">
        <v>1.891362620619139E-4</v>
      </c>
      <c r="AD111" s="28">
        <v>1.4187006921924649E-4</v>
      </c>
      <c r="AE111" s="28">
        <v>1.2143392468894659E-3</v>
      </c>
      <c r="AF111" s="28">
        <v>1.5988450413306779E-2</v>
      </c>
      <c r="AG111" s="30">
        <v>9.7317931328812406E-7</v>
      </c>
      <c r="AH111" s="30">
        <v>2.4017681479425239E-5</v>
      </c>
      <c r="AI111" s="30">
        <v>1.2082725048990819E-4</v>
      </c>
      <c r="AJ111" s="30">
        <v>3.7496238084001741E-4</v>
      </c>
      <c r="AK111" s="30">
        <v>1.9093960197294821E-4</v>
      </c>
      <c r="AL111" s="30">
        <v>2.9231610185102229E-3</v>
      </c>
      <c r="AM111" s="30">
        <v>3.6348811126058101E-3</v>
      </c>
      <c r="AN111" s="32">
        <v>2.1994096192406521E-6</v>
      </c>
      <c r="AO111" s="32">
        <v>1.7366458046533871E-5</v>
      </c>
      <c r="AP111" s="32">
        <v>2.5004021508209538E-6</v>
      </c>
      <c r="AQ111" s="32">
        <v>5.7073161734124143E-7</v>
      </c>
      <c r="AR111" s="32">
        <v>7.7559938919465436E-7</v>
      </c>
      <c r="AS111" s="32">
        <v>4.4089472675315029E-6</v>
      </c>
      <c r="AT111" s="32">
        <v>2.7821548090662875E-5</v>
      </c>
      <c r="AU111" s="34">
        <v>0</v>
      </c>
      <c r="AV111" s="34">
        <v>0</v>
      </c>
      <c r="AW111" s="34">
        <v>1.2930459031921604</v>
      </c>
      <c r="AX111" s="34">
        <v>0.17743074935185008</v>
      </c>
      <c r="AY111" s="34">
        <v>0.16136201340990644</v>
      </c>
      <c r="AZ111" s="34">
        <v>0.34352198655054084</v>
      </c>
      <c r="BA111" s="34">
        <v>1.9753606525044578</v>
      </c>
      <c r="BB111" s="6"/>
      <c r="BC111" s="6"/>
      <c r="BD111" t="s">
        <v>507</v>
      </c>
      <c r="BF111" s="5">
        <v>0.13343828999999999</v>
      </c>
      <c r="BG111" s="5">
        <f t="shared" si="5"/>
        <v>-6.5456483419561451E-3</v>
      </c>
      <c r="BH111" s="2">
        <v>178.37691999999998</v>
      </c>
    </row>
    <row r="112" spans="1:60" x14ac:dyDescent="0.2">
      <c r="A112" t="str">
        <f t="shared" si="0"/>
        <v>Scooter, gasoline, 4-11kW, EURO-5 - 2050 - None - CH</v>
      </c>
      <c r="B112" t="s">
        <v>339</v>
      </c>
      <c r="D112" s="18">
        <v>2050</v>
      </c>
      <c r="E112" t="s">
        <v>37</v>
      </c>
      <c r="F112" t="s">
        <v>139</v>
      </c>
      <c r="G112" t="s">
        <v>39</v>
      </c>
      <c r="H112" t="s">
        <v>35</v>
      </c>
      <c r="I112" t="s">
        <v>136</v>
      </c>
      <c r="J112" t="s">
        <v>136</v>
      </c>
      <c r="L112" s="24">
        <v>8.7692549823194021E-2</v>
      </c>
      <c r="M112" s="24">
        <v>0</v>
      </c>
      <c r="N112" s="24">
        <v>1.287077213581349E-2</v>
      </c>
      <c r="O112" s="24">
        <v>9.5118975182542226E-3</v>
      </c>
      <c r="P112" s="24">
        <v>4.5997441836490138E-3</v>
      </c>
      <c r="Q112" s="24">
        <v>2.585004057683683E-2</v>
      </c>
      <c r="R112" s="24">
        <v>0.14052500423774758</v>
      </c>
      <c r="S112" s="26">
        <v>0</v>
      </c>
      <c r="T112" s="26">
        <v>0</v>
      </c>
      <c r="U112" s="26">
        <v>3.1524183197482628E-4</v>
      </c>
      <c r="V112" s="26">
        <v>5.4149643498382851E-4</v>
      </c>
      <c r="W112" s="26">
        <v>3.175926370338597E-4</v>
      </c>
      <c r="X112" s="26">
        <v>5.7067312185931206E-3</v>
      </c>
      <c r="Y112" s="26">
        <v>6.8810621225856346E-3</v>
      </c>
      <c r="Z112" s="28">
        <v>9.0899650444028045E-3</v>
      </c>
      <c r="AA112" s="28">
        <v>4.6261147379200417E-3</v>
      </c>
      <c r="AB112" s="28">
        <v>6.2885515184114382E-4</v>
      </c>
      <c r="AC112" s="28">
        <v>1.891362620619139E-4</v>
      </c>
      <c r="AD112" s="28">
        <v>1.4168701873214351E-4</v>
      </c>
      <c r="AE112" s="28">
        <v>1.30337659681208E-3</v>
      </c>
      <c r="AF112" s="28">
        <v>1.5979134811770126E-2</v>
      </c>
      <c r="AG112" s="30">
        <v>9.6344752015524289E-7</v>
      </c>
      <c r="AH112" s="30">
        <v>2.4017681479425239E-5</v>
      </c>
      <c r="AI112" s="30">
        <v>1.196189779850091E-4</v>
      </c>
      <c r="AJ112" s="30">
        <v>3.7496238084001741E-4</v>
      </c>
      <c r="AK112" s="30">
        <v>1.9076876562855829E-4</v>
      </c>
      <c r="AL112" s="30">
        <v>3.2207359727412059E-3</v>
      </c>
      <c r="AM112" s="30">
        <v>3.9310672261943713E-3</v>
      </c>
      <c r="AN112" s="32">
        <v>2.1774155230482451E-6</v>
      </c>
      <c r="AO112" s="32">
        <v>1.7366458046533871E-5</v>
      </c>
      <c r="AP112" s="32">
        <v>2.475398129312744E-6</v>
      </c>
      <c r="AQ112" s="32">
        <v>5.7073161734124143E-7</v>
      </c>
      <c r="AR112" s="32">
        <v>7.7492483955781734E-7</v>
      </c>
      <c r="AS112" s="32">
        <v>4.4791189381302719E-6</v>
      </c>
      <c r="AT112" s="32">
        <v>2.7844047093924189E-5</v>
      </c>
      <c r="AU112" s="34">
        <v>0</v>
      </c>
      <c r="AV112" s="34">
        <v>0</v>
      </c>
      <c r="AW112" s="34">
        <v>1.2801154441602385</v>
      </c>
      <c r="AX112" s="34">
        <v>0.17743074935185008</v>
      </c>
      <c r="AY112" s="34">
        <v>0.1611532390268996</v>
      </c>
      <c r="AZ112" s="34">
        <v>0.3601762922942775</v>
      </c>
      <c r="BA112" s="34">
        <v>1.9788757248332656</v>
      </c>
      <c r="BB112" s="6"/>
      <c r="BC112" s="6"/>
      <c r="BD112" t="s">
        <v>508</v>
      </c>
      <c r="BF112" s="5">
        <v>0.13314013000000002</v>
      </c>
      <c r="BG112" s="5">
        <f t="shared" si="5"/>
        <v>-7.3848742377475574E-3</v>
      </c>
      <c r="BH112" s="2">
        <v>177.60272999999998</v>
      </c>
    </row>
    <row r="113" spans="1:60" x14ac:dyDescent="0.2">
      <c r="A113" t="str">
        <f t="shared" si="0"/>
        <v>Scooter, battery electric, &lt;4kW - 2020 - NMC - CH</v>
      </c>
      <c r="B113" t="s">
        <v>653</v>
      </c>
      <c r="D113" s="18">
        <v>2020</v>
      </c>
      <c r="E113" t="s">
        <v>37</v>
      </c>
      <c r="F113" t="s">
        <v>136</v>
      </c>
      <c r="G113" t="s">
        <v>39</v>
      </c>
      <c r="H113" t="s">
        <v>32</v>
      </c>
      <c r="I113" t="s">
        <v>42</v>
      </c>
      <c r="J113" t="s">
        <v>136</v>
      </c>
      <c r="L113" s="24">
        <v>0</v>
      </c>
      <c r="M113" s="24">
        <v>0</v>
      </c>
      <c r="N113" s="24">
        <v>4.230531998315014E-3</v>
      </c>
      <c r="O113" s="24">
        <v>1.2306591692257861E-2</v>
      </c>
      <c r="P113" s="24">
        <v>4.499995804181871E-3</v>
      </c>
      <c r="Q113" s="24">
        <v>4.6960667705063748E-2</v>
      </c>
      <c r="R113" s="24">
        <v>6.7997787199818499E-2</v>
      </c>
      <c r="S113" s="26">
        <v>0</v>
      </c>
      <c r="T113" s="26">
        <v>0</v>
      </c>
      <c r="U113" s="26">
        <v>4.4777402985367499E-4</v>
      </c>
      <c r="V113" s="26">
        <v>4.722191823356421E-4</v>
      </c>
      <c r="W113" s="26">
        <v>3.1128977228796298E-4</v>
      </c>
      <c r="X113" s="26">
        <v>5.2328807599304139E-2</v>
      </c>
      <c r="Y113" s="26">
        <v>5.3560090583781417E-2</v>
      </c>
      <c r="Z113" s="28">
        <v>0</v>
      </c>
      <c r="AA113" s="28">
        <v>2.3145477658575108E-3</v>
      </c>
      <c r="AB113" s="28">
        <v>1.3122483756222481E-4</v>
      </c>
      <c r="AC113" s="28">
        <v>1.5438989133449149E-4</v>
      </c>
      <c r="AD113" s="28">
        <v>1.3882195173311031E-4</v>
      </c>
      <c r="AE113" s="28">
        <v>4.4017669608086814E-3</v>
      </c>
      <c r="AF113" s="28">
        <v>7.1407514072960188E-3</v>
      </c>
      <c r="AG113" s="30">
        <v>0</v>
      </c>
      <c r="AH113" s="30">
        <v>1.228469691721989E-5</v>
      </c>
      <c r="AI113" s="30">
        <v>2.9983503156352759E-4</v>
      </c>
      <c r="AJ113" s="30">
        <v>3.7507357872791961E-4</v>
      </c>
      <c r="AK113" s="30">
        <v>1.880948717739569E-4</v>
      </c>
      <c r="AL113" s="30">
        <v>1.316560346465253E-2</v>
      </c>
      <c r="AM113" s="30">
        <v>1.4040891643635154E-2</v>
      </c>
      <c r="AN113" s="32">
        <v>0</v>
      </c>
      <c r="AO113" s="32">
        <v>8.7500264113198857E-6</v>
      </c>
      <c r="AP113" s="32">
        <v>3.7806259526635928E-7</v>
      </c>
      <c r="AQ113" s="32">
        <v>7.4641524221169363E-7</v>
      </c>
      <c r="AR113" s="32">
        <v>7.6436693318839574E-7</v>
      </c>
      <c r="AS113" s="32">
        <v>1.2613452133301209E-5</v>
      </c>
      <c r="AT113" s="32">
        <v>2.3252323315287544E-5</v>
      </c>
      <c r="AU113" s="34">
        <v>0</v>
      </c>
      <c r="AV113" s="34">
        <v>0</v>
      </c>
      <c r="AW113" s="34">
        <v>0.19783790250872499</v>
      </c>
      <c r="AX113" s="34">
        <v>0.17647448414364728</v>
      </c>
      <c r="AY113" s="34">
        <v>0.15788554712144401</v>
      </c>
      <c r="AZ113" s="34">
        <v>0.67740696189012273</v>
      </c>
      <c r="BA113" s="34">
        <v>1.2096048956639391</v>
      </c>
      <c r="BB113" s="6"/>
      <c r="BC113" s="6"/>
      <c r="BD113" t="s">
        <v>915</v>
      </c>
      <c r="BF113" s="5">
        <v>6.2149102999999997E-2</v>
      </c>
      <c r="BG113" s="5">
        <f t="shared" si="5"/>
        <v>-5.8486841998185018E-3</v>
      </c>
      <c r="BH113" s="2">
        <v>152.50899000000001</v>
      </c>
    </row>
    <row r="114" spans="1:60" x14ac:dyDescent="0.2">
      <c r="A114" t="str">
        <f t="shared" si="0"/>
        <v>Scooter, battery electric, &lt;4kW - 2030 - NMC - CH</v>
      </c>
      <c r="B114" t="s">
        <v>653</v>
      </c>
      <c r="D114" s="18">
        <v>2030</v>
      </c>
      <c r="E114" t="s">
        <v>37</v>
      </c>
      <c r="F114" t="s">
        <v>136</v>
      </c>
      <c r="G114" t="s">
        <v>39</v>
      </c>
      <c r="H114" t="s">
        <v>32</v>
      </c>
      <c r="I114" t="s">
        <v>42</v>
      </c>
      <c r="J114" t="s">
        <v>136</v>
      </c>
      <c r="L114" s="24">
        <v>0</v>
      </c>
      <c r="M114" s="24">
        <v>0</v>
      </c>
      <c r="N114" s="24">
        <v>4.230531998315014E-3</v>
      </c>
      <c r="O114" s="24">
        <v>1.2306591692257861E-2</v>
      </c>
      <c r="P114" s="24">
        <v>4.5008758811560627E-3</v>
      </c>
      <c r="Q114" s="24">
        <v>4.7520048473623171E-2</v>
      </c>
      <c r="R114" s="24">
        <v>6.8558048045352107E-2</v>
      </c>
      <c r="S114" s="26">
        <v>0</v>
      </c>
      <c r="T114" s="26">
        <v>0</v>
      </c>
      <c r="U114" s="26">
        <v>4.4777402985367499E-4</v>
      </c>
      <c r="V114" s="26">
        <v>4.722191823356421E-4</v>
      </c>
      <c r="W114" s="26">
        <v>3.1134538227545303E-4</v>
      </c>
      <c r="X114" s="26">
        <v>4.8128281001920403E-2</v>
      </c>
      <c r="Y114" s="26">
        <v>4.9359619596385171E-2</v>
      </c>
      <c r="Z114" s="28">
        <v>0</v>
      </c>
      <c r="AA114" s="28">
        <v>2.3145477658575108E-3</v>
      </c>
      <c r="AB114" s="28">
        <v>1.3122483756222481E-4</v>
      </c>
      <c r="AC114" s="28">
        <v>1.5438989133449149E-4</v>
      </c>
      <c r="AD114" s="28">
        <v>1.3884723013371031E-4</v>
      </c>
      <c r="AE114" s="28">
        <v>4.1911350985987536E-3</v>
      </c>
      <c r="AF114" s="28">
        <v>6.9301448234866912E-3</v>
      </c>
      <c r="AG114" s="30">
        <v>0</v>
      </c>
      <c r="AH114" s="30">
        <v>1.228469691721989E-5</v>
      </c>
      <c r="AI114" s="30">
        <v>2.9983503156352759E-4</v>
      </c>
      <c r="AJ114" s="30">
        <v>3.7507357872791961E-4</v>
      </c>
      <c r="AK114" s="30">
        <v>1.881184634596107E-4</v>
      </c>
      <c r="AL114" s="30">
        <v>1.27596213245302E-2</v>
      </c>
      <c r="AM114" s="30">
        <v>1.3634933095198478E-2</v>
      </c>
      <c r="AN114" s="32">
        <v>0</v>
      </c>
      <c r="AO114" s="32">
        <v>8.7500264113198857E-6</v>
      </c>
      <c r="AP114" s="32">
        <v>3.7806259526635928E-7</v>
      </c>
      <c r="AQ114" s="32">
        <v>7.4641524221169363E-7</v>
      </c>
      <c r="AR114" s="32">
        <v>7.6446008528110175E-7</v>
      </c>
      <c r="AS114" s="32">
        <v>1.189596265994029E-5</v>
      </c>
      <c r="AT114" s="32">
        <v>2.2534926994019331E-5</v>
      </c>
      <c r="AU114" s="34">
        <v>0</v>
      </c>
      <c r="AV114" s="34">
        <v>0</v>
      </c>
      <c r="AW114" s="34">
        <v>0.19783790250872499</v>
      </c>
      <c r="AX114" s="34">
        <v>0.17647448414364728</v>
      </c>
      <c r="AY114" s="34">
        <v>0.15791437786957357</v>
      </c>
      <c r="AZ114" s="34">
        <v>0.67170674510399264</v>
      </c>
      <c r="BA114" s="34">
        <v>1.2039335096259385</v>
      </c>
      <c r="BB114" s="6"/>
      <c r="BC114" s="6"/>
      <c r="BD114" t="s">
        <v>916</v>
      </c>
      <c r="BF114" s="5">
        <v>6.1961607999999994E-2</v>
      </c>
      <c r="BG114" s="5">
        <f t="shared" si="5"/>
        <v>-6.596440045352113E-3</v>
      </c>
      <c r="BH114" s="2">
        <v>144.58496000000002</v>
      </c>
    </row>
    <row r="115" spans="1:60" x14ac:dyDescent="0.2">
      <c r="A115" t="str">
        <f t="shared" si="0"/>
        <v>Scooter, battery electric, &lt;4kW - 2040 - NMC - CH</v>
      </c>
      <c r="B115" t="s">
        <v>653</v>
      </c>
      <c r="D115" s="18">
        <v>2040</v>
      </c>
      <c r="E115" t="s">
        <v>37</v>
      </c>
      <c r="F115" t="s">
        <v>136</v>
      </c>
      <c r="G115" t="s">
        <v>39</v>
      </c>
      <c r="H115" t="s">
        <v>32</v>
      </c>
      <c r="I115" t="s">
        <v>42</v>
      </c>
      <c r="J115" t="s">
        <v>136</v>
      </c>
      <c r="L115" s="24">
        <v>0</v>
      </c>
      <c r="M115" s="24">
        <v>0</v>
      </c>
      <c r="N115" s="24">
        <v>4.230531998315014E-3</v>
      </c>
      <c r="O115" s="24">
        <v>1.2306591692257861E-2</v>
      </c>
      <c r="P115" s="24">
        <v>4.5011338347519464E-3</v>
      </c>
      <c r="Q115" s="24">
        <v>4.7992199093471993E-2</v>
      </c>
      <c r="R115" s="24">
        <v>6.9030456618796809E-2</v>
      </c>
      <c r="S115" s="26">
        <v>0</v>
      </c>
      <c r="T115" s="26">
        <v>0</v>
      </c>
      <c r="U115" s="26">
        <v>4.4777402985367499E-4</v>
      </c>
      <c r="V115" s="26">
        <v>4.722191823356421E-4</v>
      </c>
      <c r="W115" s="26">
        <v>3.1136168175454492E-4</v>
      </c>
      <c r="X115" s="26">
        <v>4.5524939581790262E-2</v>
      </c>
      <c r="Y115" s="26">
        <v>4.6756294475734123E-2</v>
      </c>
      <c r="Z115" s="28">
        <v>0</v>
      </c>
      <c r="AA115" s="28">
        <v>2.3145477658575108E-3</v>
      </c>
      <c r="AB115" s="28">
        <v>1.3122483756222481E-4</v>
      </c>
      <c r="AC115" s="28">
        <v>1.5438989133449149E-4</v>
      </c>
      <c r="AD115" s="28">
        <v>1.3885463932009301E-4</v>
      </c>
      <c r="AE115" s="28">
        <v>4.0664740355196034E-3</v>
      </c>
      <c r="AF115" s="28">
        <v>6.8054911695939234E-3</v>
      </c>
      <c r="AG115" s="30">
        <v>0</v>
      </c>
      <c r="AH115" s="30">
        <v>1.228469691721989E-5</v>
      </c>
      <c r="AI115" s="30">
        <v>2.9983503156352759E-4</v>
      </c>
      <c r="AJ115" s="30">
        <v>3.7507357872791961E-4</v>
      </c>
      <c r="AK115" s="30">
        <v>1.881253782640265E-4</v>
      </c>
      <c r="AL115" s="30">
        <v>1.252915806510028E-2</v>
      </c>
      <c r="AM115" s="30">
        <v>1.3404476750572974E-2</v>
      </c>
      <c r="AN115" s="32">
        <v>0</v>
      </c>
      <c r="AO115" s="32">
        <v>8.7500264113198857E-6</v>
      </c>
      <c r="AP115" s="32">
        <v>3.7806259526635928E-7</v>
      </c>
      <c r="AQ115" s="32">
        <v>7.4641524221169363E-7</v>
      </c>
      <c r="AR115" s="32">
        <v>7.6448738848068806E-7</v>
      </c>
      <c r="AS115" s="32">
        <v>1.145309309929765E-5</v>
      </c>
      <c r="AT115" s="32">
        <v>2.2092084736576274E-5</v>
      </c>
      <c r="AU115" s="34">
        <v>0</v>
      </c>
      <c r="AV115" s="34">
        <v>0</v>
      </c>
      <c r="AW115" s="34">
        <v>0.19783790250872499</v>
      </c>
      <c r="AX115" s="34">
        <v>0.17647448414364728</v>
      </c>
      <c r="AY115" s="34">
        <v>0.15792282826126669</v>
      </c>
      <c r="AZ115" s="34">
        <v>0.66945087186209751</v>
      </c>
      <c r="BA115" s="34">
        <v>1.2016860867757364</v>
      </c>
      <c r="BB115" s="6"/>
      <c r="BC115" s="6"/>
      <c r="BD115" t="s">
        <v>917</v>
      </c>
      <c r="BF115" s="5">
        <v>6.1894770000000002E-2</v>
      </c>
      <c r="BG115" s="5">
        <f t="shared" si="5"/>
        <v>-7.1356866187968077E-3</v>
      </c>
      <c r="BH115" s="2">
        <v>139.64867999999998</v>
      </c>
    </row>
    <row r="116" spans="1:60" x14ac:dyDescent="0.2">
      <c r="A116" t="str">
        <f t="shared" si="0"/>
        <v>Scooter, battery electric, &lt;4kW - 2050 - NMC - CH</v>
      </c>
      <c r="B116" t="s">
        <v>653</v>
      </c>
      <c r="D116" s="18">
        <v>2050</v>
      </c>
      <c r="E116" t="s">
        <v>37</v>
      </c>
      <c r="F116" t="s">
        <v>136</v>
      </c>
      <c r="G116" t="s">
        <v>39</v>
      </c>
      <c r="H116" t="s">
        <v>32</v>
      </c>
      <c r="I116" t="s">
        <v>42</v>
      </c>
      <c r="J116" t="s">
        <v>136</v>
      </c>
      <c r="L116" s="24">
        <v>0</v>
      </c>
      <c r="M116" s="24">
        <v>0</v>
      </c>
      <c r="N116" s="24">
        <v>4.230531998315014E-3</v>
      </c>
      <c r="O116" s="24">
        <v>1.2306591692257861E-2</v>
      </c>
      <c r="P116" s="24">
        <v>4.5033643746692949E-3</v>
      </c>
      <c r="Q116" s="24">
        <v>4.8269122650915271E-2</v>
      </c>
      <c r="R116" s="24">
        <v>6.9309610716157433E-2</v>
      </c>
      <c r="S116" s="26">
        <v>0</v>
      </c>
      <c r="T116" s="26">
        <v>0</v>
      </c>
      <c r="U116" s="26">
        <v>4.4777402985367499E-4</v>
      </c>
      <c r="V116" s="26">
        <v>4.722191823356421E-4</v>
      </c>
      <c r="W116" s="26">
        <v>3.1150262430904518E-4</v>
      </c>
      <c r="X116" s="26">
        <v>4.2527644610276888E-2</v>
      </c>
      <c r="Y116" s="26">
        <v>4.3759140446775251E-2</v>
      </c>
      <c r="Z116" s="28">
        <v>0</v>
      </c>
      <c r="AA116" s="28">
        <v>2.3145477658575108E-3</v>
      </c>
      <c r="AB116" s="28">
        <v>1.3122483756222481E-4</v>
      </c>
      <c r="AC116" s="28">
        <v>1.5438989133449149E-4</v>
      </c>
      <c r="AD116" s="28">
        <v>1.3891870699057909E-4</v>
      </c>
      <c r="AE116" s="28">
        <v>3.9105185703264813E-3</v>
      </c>
      <c r="AF116" s="28">
        <v>6.6495997720712879E-3</v>
      </c>
      <c r="AG116" s="30">
        <v>0</v>
      </c>
      <c r="AH116" s="30">
        <v>1.228469691721989E-5</v>
      </c>
      <c r="AI116" s="30">
        <v>2.9983503156352759E-4</v>
      </c>
      <c r="AJ116" s="30">
        <v>3.7507357872791961E-4</v>
      </c>
      <c r="AK116" s="30">
        <v>1.8818517098456291E-4</v>
      </c>
      <c r="AL116" s="30">
        <v>1.221833230624189E-2</v>
      </c>
      <c r="AM116" s="30">
        <v>1.3093710784435119E-2</v>
      </c>
      <c r="AN116" s="32">
        <v>0</v>
      </c>
      <c r="AO116" s="32">
        <v>8.7500264113198857E-6</v>
      </c>
      <c r="AP116" s="32">
        <v>3.7806259526635928E-7</v>
      </c>
      <c r="AQ116" s="32">
        <v>7.4641524221169363E-7</v>
      </c>
      <c r="AR116" s="32">
        <v>7.6472348085358094E-7</v>
      </c>
      <c r="AS116" s="32">
        <v>1.094014660301449E-5</v>
      </c>
      <c r="AT116" s="32">
        <v>2.1579374332666011E-5</v>
      </c>
      <c r="AU116" s="34">
        <v>0</v>
      </c>
      <c r="AV116" s="34">
        <v>0</v>
      </c>
      <c r="AW116" s="34">
        <v>0.19783790250872499</v>
      </c>
      <c r="AX116" s="34">
        <v>0.17647448414364728</v>
      </c>
      <c r="AY116" s="34">
        <v>0.1579958992953191</v>
      </c>
      <c r="AZ116" s="34">
        <v>0.66415462442150097</v>
      </c>
      <c r="BA116" s="34">
        <v>1.1964629103691924</v>
      </c>
      <c r="BB116" s="6"/>
      <c r="BC116" s="6"/>
      <c r="BD116" t="s">
        <v>918</v>
      </c>
      <c r="BF116" s="5">
        <v>6.1719412000000001E-2</v>
      </c>
      <c r="BG116" s="5">
        <f t="shared" si="5"/>
        <v>-7.5901987161574314E-3</v>
      </c>
      <c r="BH116" s="2">
        <v>134.03406000000001</v>
      </c>
    </row>
    <row r="117" spans="1:60" x14ac:dyDescent="0.2">
      <c r="A117" t="str">
        <f t="shared" si="0"/>
        <v>Scooter, battery electric, 4-11kW - 2020 - NMC - CH</v>
      </c>
      <c r="B117" t="s">
        <v>654</v>
      </c>
      <c r="D117" s="18">
        <v>2020</v>
      </c>
      <c r="E117" t="s">
        <v>37</v>
      </c>
      <c r="F117" t="s">
        <v>136</v>
      </c>
      <c r="G117" t="s">
        <v>39</v>
      </c>
      <c r="H117" t="s">
        <v>32</v>
      </c>
      <c r="I117" t="s">
        <v>42</v>
      </c>
      <c r="J117" t="s">
        <v>136</v>
      </c>
      <c r="L117" s="24">
        <v>0</v>
      </c>
      <c r="M117" s="24">
        <v>0</v>
      </c>
      <c r="N117" s="24">
        <v>6.0053165008481374E-3</v>
      </c>
      <c r="O117" s="24">
        <v>1.2306591692257861E-2</v>
      </c>
      <c r="P117" s="24">
        <v>4.6388355337311166E-3</v>
      </c>
      <c r="Q117" s="24">
        <v>6.5220914497343074E-2</v>
      </c>
      <c r="R117" s="24">
        <v>8.8171658224180188E-2</v>
      </c>
      <c r="S117" s="26">
        <v>0</v>
      </c>
      <c r="T117" s="26">
        <v>0</v>
      </c>
      <c r="U117" s="26">
        <v>6.3562331432608424E-4</v>
      </c>
      <c r="V117" s="26">
        <v>4.722191823356421E-4</v>
      </c>
      <c r="W117" s="26">
        <v>3.200627272109453E-4</v>
      </c>
      <c r="X117" s="26">
        <v>7.5855735783844858E-2</v>
      </c>
      <c r="Y117" s="26">
        <v>7.7283641007717535E-2</v>
      </c>
      <c r="Z117" s="28">
        <v>0</v>
      </c>
      <c r="AA117" s="28">
        <v>2.3145477658575108E-3</v>
      </c>
      <c r="AB117" s="28">
        <v>1.8627602453956559E-4</v>
      </c>
      <c r="AC117" s="28">
        <v>1.5438989133449149E-4</v>
      </c>
      <c r="AD117" s="28">
        <v>1.4280983734499901E-4</v>
      </c>
      <c r="AE117" s="28">
        <v>6.2599544064963521E-3</v>
      </c>
      <c r="AF117" s="28">
        <v>9.0579779255729187E-3</v>
      </c>
      <c r="AG117" s="30">
        <v>0</v>
      </c>
      <c r="AH117" s="30">
        <v>1.228469691721989E-5</v>
      </c>
      <c r="AI117" s="30">
        <v>4.2562123706851542E-4</v>
      </c>
      <c r="AJ117" s="30">
        <v>3.7507357872791961E-4</v>
      </c>
      <c r="AK117" s="30">
        <v>1.9181666356244949E-4</v>
      </c>
      <c r="AL117" s="30">
        <v>1.8896849337480471E-2</v>
      </c>
      <c r="AM117" s="30">
        <v>1.9901645513756575E-2</v>
      </c>
      <c r="AN117" s="32">
        <v>0</v>
      </c>
      <c r="AO117" s="32">
        <v>8.7500264113198857E-6</v>
      </c>
      <c r="AP117" s="32">
        <v>5.3666667516303246E-7</v>
      </c>
      <c r="AQ117" s="32">
        <v>7.4641524221169363E-7</v>
      </c>
      <c r="AR117" s="32">
        <v>7.7906247884805842E-7</v>
      </c>
      <c r="AS117" s="32">
        <v>1.7332071878643611E-5</v>
      </c>
      <c r="AT117" s="32">
        <v>2.8144242686186282E-5</v>
      </c>
      <c r="AU117" s="34">
        <v>0</v>
      </c>
      <c r="AV117" s="34">
        <v>0</v>
      </c>
      <c r="AW117" s="34">
        <v>0.2808344720952432</v>
      </c>
      <c r="AX117" s="34">
        <v>0.17647448414364728</v>
      </c>
      <c r="AY117" s="34">
        <v>0.16243384617980774</v>
      </c>
      <c r="AZ117" s="34">
        <v>0.94145771503012154</v>
      </c>
      <c r="BA117" s="34">
        <v>1.5612005174488197</v>
      </c>
      <c r="BB117" s="6"/>
      <c r="BC117" s="6"/>
      <c r="BD117" t="s">
        <v>919</v>
      </c>
      <c r="BF117" s="5">
        <v>7.7684466000000008E-2</v>
      </c>
      <c r="BG117" s="5">
        <f t="shared" si="5"/>
        <v>-1.0487192224180181E-2</v>
      </c>
      <c r="BH117" s="2">
        <v>200.99196000000001</v>
      </c>
    </row>
    <row r="118" spans="1:60" x14ac:dyDescent="0.2">
      <c r="A118" t="str">
        <f t="shared" si="0"/>
        <v>Scooter, battery electric, 4-11kW - 2030 - NMC - CH</v>
      </c>
      <c r="B118" t="s">
        <v>654</v>
      </c>
      <c r="D118" s="18">
        <v>2030</v>
      </c>
      <c r="E118" t="s">
        <v>37</v>
      </c>
      <c r="F118" t="s">
        <v>136</v>
      </c>
      <c r="G118" t="s">
        <v>39</v>
      </c>
      <c r="H118" t="s">
        <v>32</v>
      </c>
      <c r="I118" t="s">
        <v>42</v>
      </c>
      <c r="J118" t="s">
        <v>136</v>
      </c>
      <c r="L118" s="24">
        <v>0</v>
      </c>
      <c r="M118" s="24">
        <v>0</v>
      </c>
      <c r="N118" s="24">
        <v>6.0053165008481374E-3</v>
      </c>
      <c r="O118" s="24">
        <v>1.2306591692257861E-2</v>
      </c>
      <c r="P118" s="24">
        <v>4.642158582995738E-3</v>
      </c>
      <c r="Q118" s="24">
        <v>6.503158780121078E-2</v>
      </c>
      <c r="R118" s="24">
        <v>8.7985654577312514E-2</v>
      </c>
      <c r="S118" s="26">
        <v>0</v>
      </c>
      <c r="T118" s="26">
        <v>0</v>
      </c>
      <c r="U118" s="26">
        <v>6.3562331432608424E-4</v>
      </c>
      <c r="V118" s="26">
        <v>4.722191823356421E-4</v>
      </c>
      <c r="W118" s="26">
        <v>3.2027270285336419E-4</v>
      </c>
      <c r="X118" s="26">
        <v>6.9370588654902351E-2</v>
      </c>
      <c r="Y118" s="26">
        <v>7.0798703854417444E-2</v>
      </c>
      <c r="Z118" s="28">
        <v>0</v>
      </c>
      <c r="AA118" s="28">
        <v>2.3145477658575108E-3</v>
      </c>
      <c r="AB118" s="28">
        <v>1.8627602453956559E-4</v>
      </c>
      <c r="AC118" s="28">
        <v>1.5438989133449149E-4</v>
      </c>
      <c r="AD118" s="28">
        <v>1.429052850989885E-4</v>
      </c>
      <c r="AE118" s="28">
        <v>5.8853804346952407E-3</v>
      </c>
      <c r="AF118" s="28">
        <v>8.683499401525796E-3</v>
      </c>
      <c r="AG118" s="30">
        <v>0</v>
      </c>
      <c r="AH118" s="30">
        <v>1.228469691721989E-5</v>
      </c>
      <c r="AI118" s="30">
        <v>4.2562123706851542E-4</v>
      </c>
      <c r="AJ118" s="30">
        <v>3.7507357872791961E-4</v>
      </c>
      <c r="AK118" s="30">
        <v>1.919057425134528E-4</v>
      </c>
      <c r="AL118" s="30">
        <v>1.80927369906165E-2</v>
      </c>
      <c r="AM118" s="30">
        <v>1.9097622245843607E-2</v>
      </c>
      <c r="AN118" s="32">
        <v>0</v>
      </c>
      <c r="AO118" s="32">
        <v>8.7500264113198857E-6</v>
      </c>
      <c r="AP118" s="32">
        <v>5.3666667516303246E-7</v>
      </c>
      <c r="AQ118" s="32">
        <v>7.4641524221169363E-7</v>
      </c>
      <c r="AR118" s="32">
        <v>7.7941420830155207E-7</v>
      </c>
      <c r="AS118" s="32">
        <v>1.6208929880458181E-5</v>
      </c>
      <c r="AT118" s="32">
        <v>2.7021452417454348E-5</v>
      </c>
      <c r="AU118" s="34">
        <v>0</v>
      </c>
      <c r="AV118" s="34">
        <v>0</v>
      </c>
      <c r="AW118" s="34">
        <v>0.2808344720952432</v>
      </c>
      <c r="AX118" s="34">
        <v>0.17647448414364728</v>
      </c>
      <c r="AY118" s="34">
        <v>0.16254270710808991</v>
      </c>
      <c r="AZ118" s="34">
        <v>0.92193573824767916</v>
      </c>
      <c r="BA118" s="34">
        <v>1.5417874015946595</v>
      </c>
      <c r="BB118" s="6"/>
      <c r="BC118" s="6"/>
      <c r="BD118" t="s">
        <v>920</v>
      </c>
      <c r="BF118" s="5">
        <v>7.6972405000000008E-2</v>
      </c>
      <c r="BG118" s="5">
        <f t="shared" si="5"/>
        <v>-1.1013249577312506E-2</v>
      </c>
      <c r="BH118" s="2">
        <v>188.86969999999999</v>
      </c>
    </row>
    <row r="119" spans="1:60" x14ac:dyDescent="0.2">
      <c r="A119" t="str">
        <f t="shared" si="0"/>
        <v>Scooter, battery electric, 4-11kW - 2040 - NMC - CH</v>
      </c>
      <c r="B119" t="s">
        <v>654</v>
      </c>
      <c r="D119" s="18">
        <v>2040</v>
      </c>
      <c r="E119" t="s">
        <v>37</v>
      </c>
      <c r="F119" t="s">
        <v>136</v>
      </c>
      <c r="G119" t="s">
        <v>39</v>
      </c>
      <c r="H119" t="s">
        <v>32</v>
      </c>
      <c r="I119" t="s">
        <v>42</v>
      </c>
      <c r="J119" t="s">
        <v>136</v>
      </c>
      <c r="L119" s="24">
        <v>0</v>
      </c>
      <c r="M119" s="24">
        <v>0</v>
      </c>
      <c r="N119" s="24">
        <v>6.0053165008481374E-3</v>
      </c>
      <c r="O119" s="24">
        <v>1.2306591692257861E-2</v>
      </c>
      <c r="P119" s="24">
        <v>4.6433876560114202E-3</v>
      </c>
      <c r="Q119" s="24">
        <v>6.5002983175688159E-2</v>
      </c>
      <c r="R119" s="24">
        <v>8.7958279024805575E-2</v>
      </c>
      <c r="S119" s="26">
        <v>0</v>
      </c>
      <c r="T119" s="26">
        <v>0</v>
      </c>
      <c r="U119" s="26">
        <v>6.3562331432608424E-4</v>
      </c>
      <c r="V119" s="26">
        <v>4.722191823356421E-4</v>
      </c>
      <c r="W119" s="26">
        <v>3.2035036507727262E-4</v>
      </c>
      <c r="X119" s="26">
        <v>6.5244133849543445E-2</v>
      </c>
      <c r="Y119" s="26">
        <v>6.667232671128244E-2</v>
      </c>
      <c r="Z119" s="28">
        <v>0</v>
      </c>
      <c r="AA119" s="28">
        <v>2.3145477658575108E-3</v>
      </c>
      <c r="AB119" s="28">
        <v>1.8627602453956559E-4</v>
      </c>
      <c r="AC119" s="28">
        <v>1.5438989133449149E-4</v>
      </c>
      <c r="AD119" s="28">
        <v>1.4294058769292981E-4</v>
      </c>
      <c r="AE119" s="28">
        <v>5.6513116441916653E-3</v>
      </c>
      <c r="AF119" s="28">
        <v>8.4494659136161634E-3</v>
      </c>
      <c r="AG119" s="30">
        <v>0</v>
      </c>
      <c r="AH119" s="30">
        <v>1.228469691721989E-5</v>
      </c>
      <c r="AI119" s="30">
        <v>4.2562123706851542E-4</v>
      </c>
      <c r="AJ119" s="30">
        <v>3.7507357872791961E-4</v>
      </c>
      <c r="AK119" s="30">
        <v>1.9193868952272801E-4</v>
      </c>
      <c r="AL119" s="30">
        <v>1.7596843272735939E-2</v>
      </c>
      <c r="AM119" s="30">
        <v>1.8601761474972323E-2</v>
      </c>
      <c r="AN119" s="32">
        <v>0</v>
      </c>
      <c r="AO119" s="32">
        <v>8.7500264113198857E-6</v>
      </c>
      <c r="AP119" s="32">
        <v>5.3666667516303246E-7</v>
      </c>
      <c r="AQ119" s="32">
        <v>7.4641524221169363E-7</v>
      </c>
      <c r="AR119" s="32">
        <v>7.7954430001722768E-7</v>
      </c>
      <c r="AS119" s="32">
        <v>1.5495207038674772E-5</v>
      </c>
      <c r="AT119" s="32">
        <v>2.6307859667386611E-5</v>
      </c>
      <c r="AU119" s="34">
        <v>0</v>
      </c>
      <c r="AV119" s="34">
        <v>0</v>
      </c>
      <c r="AW119" s="34">
        <v>0.2808344720952432</v>
      </c>
      <c r="AX119" s="34">
        <v>0.17647448414364728</v>
      </c>
      <c r="AY119" s="34">
        <v>0.16258297073909836</v>
      </c>
      <c r="AZ119" s="34">
        <v>0.91044127029277888</v>
      </c>
      <c r="BA119" s="34">
        <v>1.5303331972707677</v>
      </c>
      <c r="BB119" s="6"/>
      <c r="BC119" s="6"/>
      <c r="BD119" t="s">
        <v>921</v>
      </c>
      <c r="BF119" s="5">
        <v>7.6549911999999998E-2</v>
      </c>
      <c r="BG119" s="5">
        <f t="shared" si="5"/>
        <v>-1.1408367024805577E-2</v>
      </c>
      <c r="BH119" s="2">
        <v>181.12362000000002</v>
      </c>
    </row>
    <row r="120" spans="1:60" x14ac:dyDescent="0.2">
      <c r="A120" t="str">
        <f t="shared" si="0"/>
        <v>Scooter, battery electric, 4-11kW - 2050 - NMC - CH</v>
      </c>
      <c r="B120" t="s">
        <v>654</v>
      </c>
      <c r="D120" s="18">
        <v>2050</v>
      </c>
      <c r="E120" t="s">
        <v>37</v>
      </c>
      <c r="F120" t="s">
        <v>136</v>
      </c>
      <c r="G120" t="s">
        <v>39</v>
      </c>
      <c r="H120" t="s">
        <v>32</v>
      </c>
      <c r="I120" t="s">
        <v>42</v>
      </c>
      <c r="J120" t="s">
        <v>136</v>
      </c>
      <c r="L120" s="24">
        <v>0</v>
      </c>
      <c r="M120" s="24">
        <v>0</v>
      </c>
      <c r="N120" s="24">
        <v>6.0053165008481374E-3</v>
      </c>
      <c r="O120" s="24">
        <v>1.2306591692257861E-2</v>
      </c>
      <c r="P120" s="24">
        <v>4.6422496254413448E-3</v>
      </c>
      <c r="Q120" s="24">
        <v>6.4048206979410882E-2</v>
      </c>
      <c r="R120" s="24">
        <v>8.7002364797958226E-2</v>
      </c>
      <c r="S120" s="26">
        <v>0</v>
      </c>
      <c r="T120" s="26">
        <v>0</v>
      </c>
      <c r="U120" s="26">
        <v>6.3562331432608424E-4</v>
      </c>
      <c r="V120" s="26">
        <v>4.722191823356421E-4</v>
      </c>
      <c r="W120" s="26">
        <v>3.2027845561069079E-4</v>
      </c>
      <c r="X120" s="26">
        <v>5.9304922010804277E-2</v>
      </c>
      <c r="Y120" s="26">
        <v>6.0733042963076696E-2</v>
      </c>
      <c r="Z120" s="28">
        <v>0</v>
      </c>
      <c r="AA120" s="28">
        <v>2.3145477658575108E-3</v>
      </c>
      <c r="AB120" s="28">
        <v>1.8627602453956559E-4</v>
      </c>
      <c r="AC120" s="28">
        <v>1.5438989133449149E-4</v>
      </c>
      <c r="AD120" s="28">
        <v>1.4290790010594711E-4</v>
      </c>
      <c r="AE120" s="28">
        <v>5.2713228626062826E-3</v>
      </c>
      <c r="AF120" s="28">
        <v>8.069444444443798E-3</v>
      </c>
      <c r="AG120" s="30">
        <v>0</v>
      </c>
      <c r="AH120" s="30">
        <v>1.228469691721989E-5</v>
      </c>
      <c r="AI120" s="30">
        <v>4.2562123706851542E-4</v>
      </c>
      <c r="AJ120" s="30">
        <v>3.7507357872791961E-4</v>
      </c>
      <c r="AK120" s="30">
        <v>1.919081830326583E-4</v>
      </c>
      <c r="AL120" s="30">
        <v>1.6731104054267951E-2</v>
      </c>
      <c r="AM120" s="30">
        <v>1.7735991750014266E-2</v>
      </c>
      <c r="AN120" s="32">
        <v>0</v>
      </c>
      <c r="AO120" s="32">
        <v>8.7500264113198857E-6</v>
      </c>
      <c r="AP120" s="32">
        <v>5.3666667516303246E-7</v>
      </c>
      <c r="AQ120" s="32">
        <v>7.4641524221169363E-7</v>
      </c>
      <c r="AR120" s="32">
        <v>7.7942384472493537E-7</v>
      </c>
      <c r="AS120" s="32">
        <v>1.445185205113875E-5</v>
      </c>
      <c r="AT120" s="32">
        <v>2.5264384224558298E-5</v>
      </c>
      <c r="AU120" s="34">
        <v>0</v>
      </c>
      <c r="AV120" s="34">
        <v>0</v>
      </c>
      <c r="AW120" s="34">
        <v>0.2808344720952432</v>
      </c>
      <c r="AX120" s="34">
        <v>0.17647448414364728</v>
      </c>
      <c r="AY120" s="34">
        <v>0.16254568959927568</v>
      </c>
      <c r="AZ120" s="34">
        <v>0.88454203144414301</v>
      </c>
      <c r="BA120" s="34">
        <v>1.5043966772823092</v>
      </c>
      <c r="BB120" s="6"/>
      <c r="BC120" s="6"/>
      <c r="BD120" t="s">
        <v>922</v>
      </c>
      <c r="BF120" s="5">
        <v>7.5562900000000002E-2</v>
      </c>
      <c r="BG120" s="5">
        <f t="shared" si="5"/>
        <v>-1.1439464797958224E-2</v>
      </c>
      <c r="BH120" s="2">
        <v>170.06222</v>
      </c>
    </row>
    <row r="121" spans="1:60" x14ac:dyDescent="0.2">
      <c r="A121" t="str">
        <f t="shared" si="0"/>
        <v>Scooter, battery electric, &lt;4kW - 2020 - LFP - CH</v>
      </c>
      <c r="B121" t="s">
        <v>653</v>
      </c>
      <c r="D121" s="18">
        <v>2020</v>
      </c>
      <c r="E121" t="s">
        <v>37</v>
      </c>
      <c r="F121" t="s">
        <v>136</v>
      </c>
      <c r="G121" t="s">
        <v>39</v>
      </c>
      <c r="H121" t="s">
        <v>32</v>
      </c>
      <c r="I121" t="s">
        <v>43</v>
      </c>
      <c r="J121" t="s">
        <v>136</v>
      </c>
      <c r="L121" s="24">
        <v>0</v>
      </c>
      <c r="M121" s="24">
        <v>0</v>
      </c>
      <c r="N121" s="24">
        <v>4.230531998315014E-3</v>
      </c>
      <c r="O121" s="24">
        <v>1.2306591692257861E-2</v>
      </c>
      <c r="P121" s="24">
        <v>4.5680500322724032E-3</v>
      </c>
      <c r="Q121" s="24">
        <v>5.8797909621316473E-2</v>
      </c>
      <c r="R121" s="24">
        <v>7.9903083344161754E-2</v>
      </c>
      <c r="S121" s="26">
        <v>0</v>
      </c>
      <c r="T121" s="26">
        <v>0</v>
      </c>
      <c r="U121" s="26">
        <v>4.4777402985367499E-4</v>
      </c>
      <c r="V121" s="26">
        <v>4.722191823356421E-4</v>
      </c>
      <c r="W121" s="26">
        <v>3.1558995838955599E-4</v>
      </c>
      <c r="X121" s="26">
        <v>3.6415235241779427E-2</v>
      </c>
      <c r="Y121" s="26">
        <v>3.7650818412358303E-2</v>
      </c>
      <c r="Z121" s="28">
        <v>0</v>
      </c>
      <c r="AA121" s="28">
        <v>2.3145477658575108E-3</v>
      </c>
      <c r="AB121" s="28">
        <v>1.3122483756222481E-4</v>
      </c>
      <c r="AC121" s="28">
        <v>1.5438989133449149E-4</v>
      </c>
      <c r="AD121" s="28">
        <v>1.407766694346754E-4</v>
      </c>
      <c r="AE121" s="28">
        <v>4.4453693114975641E-3</v>
      </c>
      <c r="AF121" s="28">
        <v>7.1863084756864665E-3</v>
      </c>
      <c r="AG121" s="30">
        <v>0</v>
      </c>
      <c r="AH121" s="30">
        <v>1.228469691721989E-5</v>
      </c>
      <c r="AI121" s="30">
        <v>2.9983503156352759E-4</v>
      </c>
      <c r="AJ121" s="30">
        <v>3.7507357872791961E-4</v>
      </c>
      <c r="AK121" s="30">
        <v>1.899191598801197E-4</v>
      </c>
      <c r="AL121" s="30">
        <v>1.5198204312620671E-2</v>
      </c>
      <c r="AM121" s="30">
        <v>1.6075316779709456E-2</v>
      </c>
      <c r="AN121" s="32">
        <v>0</v>
      </c>
      <c r="AO121" s="32">
        <v>8.7500264113198857E-6</v>
      </c>
      <c r="AP121" s="32">
        <v>3.7806259526635928E-7</v>
      </c>
      <c r="AQ121" s="32">
        <v>7.4641524221169363E-7</v>
      </c>
      <c r="AR121" s="32">
        <v>7.7157015966747627E-7</v>
      </c>
      <c r="AS121" s="32">
        <v>1.095171499273861E-5</v>
      </c>
      <c r="AT121" s="32">
        <v>2.1597789401204025E-5</v>
      </c>
      <c r="AU121" s="34">
        <v>0</v>
      </c>
      <c r="AV121" s="34">
        <v>0</v>
      </c>
      <c r="AW121" s="34">
        <v>0.19783790250872499</v>
      </c>
      <c r="AX121" s="34">
        <v>0.17647448414364728</v>
      </c>
      <c r="AY121" s="34">
        <v>0.1601149592828387</v>
      </c>
      <c r="AZ121" s="34">
        <v>0.79945311067587588</v>
      </c>
      <c r="BA121" s="34">
        <v>1.3338804566110869</v>
      </c>
      <c r="BB121" s="6"/>
      <c r="BC121" s="6"/>
      <c r="BD121" t="s">
        <v>686</v>
      </c>
      <c r="BF121" s="5">
        <v>7.3349193000000007E-2</v>
      </c>
      <c r="BG121" s="5">
        <f t="shared" si="5"/>
        <v>-6.5538903441617474E-3</v>
      </c>
      <c r="BH121" s="2">
        <v>184.71236999999999</v>
      </c>
    </row>
    <row r="122" spans="1:60" x14ac:dyDescent="0.2">
      <c r="A122" t="str">
        <f t="shared" si="0"/>
        <v>Scooter, battery electric, &lt;4kW - 2030 - LFP - CH</v>
      </c>
      <c r="B122" t="s">
        <v>653</v>
      </c>
      <c r="D122" s="18">
        <v>2030</v>
      </c>
      <c r="E122" t="s">
        <v>37</v>
      </c>
      <c r="F122" t="s">
        <v>136</v>
      </c>
      <c r="G122" t="s">
        <v>39</v>
      </c>
      <c r="H122" t="s">
        <v>32</v>
      </c>
      <c r="I122" t="s">
        <v>43</v>
      </c>
      <c r="J122" t="s">
        <v>136</v>
      </c>
      <c r="L122" s="24">
        <v>0</v>
      </c>
      <c r="M122" s="24">
        <v>0</v>
      </c>
      <c r="N122" s="24">
        <v>4.230531998315014E-3</v>
      </c>
      <c r="O122" s="24">
        <v>1.2306591692257861E-2</v>
      </c>
      <c r="P122" s="24">
        <v>4.6192310604439447E-3</v>
      </c>
      <c r="Q122" s="24">
        <v>6.4497265549715438E-2</v>
      </c>
      <c r="R122" s="24">
        <v>8.5653620300732258E-2</v>
      </c>
      <c r="S122" s="26">
        <v>0</v>
      </c>
      <c r="T122" s="26">
        <v>0</v>
      </c>
      <c r="U122" s="26">
        <v>4.4777402985367499E-4</v>
      </c>
      <c r="V122" s="26">
        <v>4.722191823356421E-4</v>
      </c>
      <c r="W122" s="26">
        <v>3.1882396679996239E-4</v>
      </c>
      <c r="X122" s="26">
        <v>3.871417729214565E-2</v>
      </c>
      <c r="Y122" s="26">
        <v>3.9952994471134928E-2</v>
      </c>
      <c r="Z122" s="28">
        <v>0</v>
      </c>
      <c r="AA122" s="28">
        <v>2.3145477658575108E-3</v>
      </c>
      <c r="AB122" s="28">
        <v>1.3122483756222481E-4</v>
      </c>
      <c r="AC122" s="28">
        <v>1.5438989133449149E-4</v>
      </c>
      <c r="AD122" s="28">
        <v>1.4224673917991051E-4</v>
      </c>
      <c r="AE122" s="28">
        <v>4.8788215979681049E-3</v>
      </c>
      <c r="AF122" s="28">
        <v>7.6212308319022429E-3</v>
      </c>
      <c r="AG122" s="30">
        <v>0</v>
      </c>
      <c r="AH122" s="30">
        <v>1.228469691721989E-5</v>
      </c>
      <c r="AI122" s="30">
        <v>2.9983503156352759E-4</v>
      </c>
      <c r="AJ122" s="30">
        <v>3.7507357872791961E-4</v>
      </c>
      <c r="AK122" s="30">
        <v>1.9129113842685031E-4</v>
      </c>
      <c r="AL122" s="30">
        <v>1.657752604065503E-2</v>
      </c>
      <c r="AM122" s="30">
        <v>1.7456010486290547E-2</v>
      </c>
      <c r="AN122" s="32">
        <v>0</v>
      </c>
      <c r="AO122" s="32">
        <v>8.7500264113198857E-6</v>
      </c>
      <c r="AP122" s="32">
        <v>3.7806259526635928E-7</v>
      </c>
      <c r="AQ122" s="32">
        <v>7.4641524221169363E-7</v>
      </c>
      <c r="AR122" s="32">
        <v>7.7698743567950284E-7</v>
      </c>
      <c r="AS122" s="32">
        <v>1.154459782110781E-5</v>
      </c>
      <c r="AT122" s="32">
        <v>2.2196089505585251E-5</v>
      </c>
      <c r="AU122" s="34">
        <v>0</v>
      </c>
      <c r="AV122" s="34">
        <v>0</v>
      </c>
      <c r="AW122" s="34">
        <v>0.19783790250872499</v>
      </c>
      <c r="AX122" s="34">
        <v>0.17647448414364728</v>
      </c>
      <c r="AY122" s="34">
        <v>0.16179161641112952</v>
      </c>
      <c r="AZ122" s="34">
        <v>0.86824376484824595</v>
      </c>
      <c r="BA122" s="34">
        <v>1.4043477679117478</v>
      </c>
      <c r="BB122" s="6"/>
      <c r="BC122" s="6"/>
      <c r="BD122" t="s">
        <v>687</v>
      </c>
      <c r="BF122" s="5">
        <v>7.6782684000000004E-2</v>
      </c>
      <c r="BG122" s="5">
        <f t="shared" si="5"/>
        <v>-8.8709363007322545E-3</v>
      </c>
      <c r="BH122" s="2">
        <v>194.45586</v>
      </c>
    </row>
    <row r="123" spans="1:60" x14ac:dyDescent="0.2">
      <c r="A123" t="str">
        <f t="shared" si="0"/>
        <v>Scooter, battery electric, &lt;4kW - 2040 - LFP - CH</v>
      </c>
      <c r="B123" t="s">
        <v>653</v>
      </c>
      <c r="D123" s="18">
        <v>2040</v>
      </c>
      <c r="E123" t="s">
        <v>37</v>
      </c>
      <c r="F123" t="s">
        <v>136</v>
      </c>
      <c r="G123" t="s">
        <v>39</v>
      </c>
      <c r="H123" t="s">
        <v>32</v>
      </c>
      <c r="I123" t="s">
        <v>43</v>
      </c>
      <c r="J123" t="s">
        <v>136</v>
      </c>
      <c r="L123" s="24">
        <v>0</v>
      </c>
      <c r="M123" s="24">
        <v>0</v>
      </c>
      <c r="N123" s="24">
        <v>4.230531998315014E-3</v>
      </c>
      <c r="O123" s="24">
        <v>1.2306591692257861E-2</v>
      </c>
      <c r="P123" s="24">
        <v>4.6441463430581366E-3</v>
      </c>
      <c r="Q123" s="24">
        <v>6.5440864546142355E-2</v>
      </c>
      <c r="R123" s="24">
        <v>8.6622134579773358E-2</v>
      </c>
      <c r="S123" s="26">
        <v>0</v>
      </c>
      <c r="T123" s="26">
        <v>0</v>
      </c>
      <c r="U123" s="26">
        <v>4.4777402985367499E-4</v>
      </c>
      <c r="V123" s="26">
        <v>4.722191823356421E-4</v>
      </c>
      <c r="W123" s="26">
        <v>3.2039830472166051E-4</v>
      </c>
      <c r="X123" s="26">
        <v>3.8330651956681491E-2</v>
      </c>
      <c r="Y123" s="26">
        <v>3.9571043473592471E-2</v>
      </c>
      <c r="Z123" s="28">
        <v>0</v>
      </c>
      <c r="AA123" s="28">
        <v>2.3145477658575108E-3</v>
      </c>
      <c r="AB123" s="28">
        <v>1.3122483756222481E-4</v>
      </c>
      <c r="AC123" s="28">
        <v>1.5438989133449149E-4</v>
      </c>
      <c r="AD123" s="28">
        <v>1.4296237941758489E-4</v>
      </c>
      <c r="AE123" s="28">
        <v>4.8890465065137504E-3</v>
      </c>
      <c r="AF123" s="28">
        <v>7.632171380685563E-3</v>
      </c>
      <c r="AG123" s="30">
        <v>0</v>
      </c>
      <c r="AH123" s="30">
        <v>1.228469691721989E-5</v>
      </c>
      <c r="AI123" s="30">
        <v>2.9983503156352759E-4</v>
      </c>
      <c r="AJ123" s="30">
        <v>3.7507357872791961E-4</v>
      </c>
      <c r="AK123" s="30">
        <v>1.9195902718277441E-4</v>
      </c>
      <c r="AL123" s="30">
        <v>1.660881184858444E-2</v>
      </c>
      <c r="AM123" s="30">
        <v>1.7487964182975883E-2</v>
      </c>
      <c r="AN123" s="32">
        <v>0</v>
      </c>
      <c r="AO123" s="32">
        <v>8.7500264113198857E-6</v>
      </c>
      <c r="AP123" s="32">
        <v>3.7806259526635928E-7</v>
      </c>
      <c r="AQ123" s="32">
        <v>7.4641524221169363E-7</v>
      </c>
      <c r="AR123" s="32">
        <v>7.7962460354542263E-7</v>
      </c>
      <c r="AS123" s="32">
        <v>1.147640647557148E-5</v>
      </c>
      <c r="AT123" s="32">
        <v>2.2130535327914843E-5</v>
      </c>
      <c r="AU123" s="34">
        <v>0</v>
      </c>
      <c r="AV123" s="34">
        <v>0</v>
      </c>
      <c r="AW123" s="34">
        <v>0.19783790250872499</v>
      </c>
      <c r="AX123" s="34">
        <v>0.17647448414364728</v>
      </c>
      <c r="AY123" s="34">
        <v>0.16260782483231345</v>
      </c>
      <c r="AZ123" s="34">
        <v>0.87552864290887888</v>
      </c>
      <c r="BA123" s="34">
        <v>1.4124488543935647</v>
      </c>
      <c r="BB123" s="6"/>
      <c r="BC123" s="6"/>
      <c r="BD123" t="s">
        <v>688</v>
      </c>
      <c r="BF123" s="5">
        <v>7.6949035999999998E-2</v>
      </c>
      <c r="BG123" s="5">
        <f t="shared" si="5"/>
        <v>-9.6730985797733593E-3</v>
      </c>
      <c r="BH123" s="2">
        <v>191.62394</v>
      </c>
    </row>
    <row r="124" spans="1:60" x14ac:dyDescent="0.2">
      <c r="A124" t="str">
        <f t="shared" si="0"/>
        <v>Scooter, battery electric, &lt;4kW - 2050 - LFP - CH</v>
      </c>
      <c r="B124" t="s">
        <v>653</v>
      </c>
      <c r="D124" s="18">
        <v>2050</v>
      </c>
      <c r="E124" t="s">
        <v>37</v>
      </c>
      <c r="F124" t="s">
        <v>136</v>
      </c>
      <c r="G124" t="s">
        <v>39</v>
      </c>
      <c r="H124" t="s">
        <v>32</v>
      </c>
      <c r="I124" t="s">
        <v>43</v>
      </c>
      <c r="J124" t="s">
        <v>136</v>
      </c>
      <c r="L124" s="24">
        <v>0</v>
      </c>
      <c r="M124" s="24">
        <v>0</v>
      </c>
      <c r="N124" s="24">
        <v>4.230531998315014E-3</v>
      </c>
      <c r="O124" s="24">
        <v>1.2306591692257861E-2</v>
      </c>
      <c r="P124" s="24">
        <v>4.6453905898147536E-3</v>
      </c>
      <c r="Q124" s="24">
        <v>6.1967285703291297E-2</v>
      </c>
      <c r="R124" s="24">
        <v>8.3149799983678926E-2</v>
      </c>
      <c r="S124" s="26">
        <v>0</v>
      </c>
      <c r="T124" s="26">
        <v>0</v>
      </c>
      <c r="U124" s="26">
        <v>4.4777402985367499E-4</v>
      </c>
      <c r="V124" s="26">
        <v>4.722191823356421E-4</v>
      </c>
      <c r="W124" s="26">
        <v>3.2047692573845658E-4</v>
      </c>
      <c r="X124" s="26">
        <v>3.4998725192855157E-2</v>
      </c>
      <c r="Y124" s="26">
        <v>3.6239195330782931E-2</v>
      </c>
      <c r="Z124" s="28">
        <v>0</v>
      </c>
      <c r="AA124" s="28">
        <v>2.3145477658575108E-3</v>
      </c>
      <c r="AB124" s="28">
        <v>1.3122483756222481E-4</v>
      </c>
      <c r="AC124" s="28">
        <v>1.5438989133449149E-4</v>
      </c>
      <c r="AD124" s="28">
        <v>1.4299811784601929E-4</v>
      </c>
      <c r="AE124" s="28">
        <v>4.4688020293989616E-3</v>
      </c>
      <c r="AF124" s="28">
        <v>7.2119626419992078E-3</v>
      </c>
      <c r="AG124" s="30">
        <v>0</v>
      </c>
      <c r="AH124" s="30">
        <v>1.228469691721989E-5</v>
      </c>
      <c r="AI124" s="30">
        <v>2.9983503156352759E-4</v>
      </c>
      <c r="AJ124" s="30">
        <v>3.7507357872791961E-4</v>
      </c>
      <c r="AK124" s="30">
        <v>1.9199238094525051E-4</v>
      </c>
      <c r="AL124" s="30">
        <v>1.5273393428673751E-2</v>
      </c>
      <c r="AM124" s="30">
        <v>1.6152579116827669E-2</v>
      </c>
      <c r="AN124" s="32">
        <v>0</v>
      </c>
      <c r="AO124" s="32">
        <v>8.7500264113198857E-6</v>
      </c>
      <c r="AP124" s="32">
        <v>3.7806259526635928E-7</v>
      </c>
      <c r="AQ124" s="32">
        <v>7.4641524221169363E-7</v>
      </c>
      <c r="AR124" s="32">
        <v>7.7975630133166223E-7</v>
      </c>
      <c r="AS124" s="32">
        <v>1.068917165979742E-5</v>
      </c>
      <c r="AT124" s="32">
        <v>2.1343432209927023E-5</v>
      </c>
      <c r="AU124" s="34">
        <v>0</v>
      </c>
      <c r="AV124" s="34">
        <v>0</v>
      </c>
      <c r="AW124" s="34">
        <v>0.19783790250872499</v>
      </c>
      <c r="AX124" s="34">
        <v>0.17647448414364728</v>
      </c>
      <c r="AY124" s="34">
        <v>0.16264858554518624</v>
      </c>
      <c r="AZ124" s="34">
        <v>0.82311825228728053</v>
      </c>
      <c r="BA124" s="34">
        <v>1.360079224484839</v>
      </c>
      <c r="BB124" s="6"/>
      <c r="BC124" s="6"/>
      <c r="BD124" t="s">
        <v>689</v>
      </c>
      <c r="BF124" s="5">
        <v>7.3808280000000004E-2</v>
      </c>
      <c r="BG124" s="5">
        <f t="shared" si="5"/>
        <v>-9.3415199836789226E-3</v>
      </c>
      <c r="BH124" s="2">
        <v>174.37620000000001</v>
      </c>
    </row>
    <row r="125" spans="1:60" x14ac:dyDescent="0.2">
      <c r="A125" t="str">
        <f t="shared" si="0"/>
        <v>Scooter, battery electric, 4-11kW - 2020 - LFP - CH</v>
      </c>
      <c r="B125" t="s">
        <v>654</v>
      </c>
      <c r="D125" s="18">
        <v>2020</v>
      </c>
      <c r="E125" t="s">
        <v>37</v>
      </c>
      <c r="F125" t="s">
        <v>136</v>
      </c>
      <c r="G125" t="s">
        <v>39</v>
      </c>
      <c r="H125" t="s">
        <v>32</v>
      </c>
      <c r="I125" t="s">
        <v>43</v>
      </c>
      <c r="J125" t="s">
        <v>136</v>
      </c>
      <c r="L125" s="24">
        <v>0</v>
      </c>
      <c r="M125" s="24">
        <v>0</v>
      </c>
      <c r="N125" s="24">
        <v>6.0053165008481374E-3</v>
      </c>
      <c r="O125" s="24">
        <v>1.476791003070943E-2</v>
      </c>
      <c r="P125" s="24">
        <v>4.7364785566436198E-3</v>
      </c>
      <c r="Q125" s="24">
        <v>6.8503985953146843E-2</v>
      </c>
      <c r="R125" s="24">
        <v>9.4013691041348033E-2</v>
      </c>
      <c r="S125" s="26">
        <v>0</v>
      </c>
      <c r="T125" s="26">
        <v>0</v>
      </c>
      <c r="U125" s="26">
        <v>6.3562331432608424E-4</v>
      </c>
      <c r="V125" s="26">
        <v>5.6666301880277056E-4</v>
      </c>
      <c r="W125" s="26">
        <v>3.2623255944366558E-4</v>
      </c>
      <c r="X125" s="26">
        <v>4.4186015657153251E-2</v>
      </c>
      <c r="Y125" s="26">
        <v>4.5714534549725773E-2</v>
      </c>
      <c r="Z125" s="28">
        <v>0</v>
      </c>
      <c r="AA125" s="28">
        <v>2.3145477658575108E-3</v>
      </c>
      <c r="AB125" s="28">
        <v>1.8627602453956559E-4</v>
      </c>
      <c r="AC125" s="28">
        <v>1.8526786960138981E-4</v>
      </c>
      <c r="AD125" s="28">
        <v>1.4561443230811421E-4</v>
      </c>
      <c r="AE125" s="28">
        <v>5.2687619062689673E-3</v>
      </c>
      <c r="AF125" s="28">
        <v>8.1004679985755487E-3</v>
      </c>
      <c r="AG125" s="30">
        <v>0</v>
      </c>
      <c r="AH125" s="30">
        <v>1.228469691721989E-5</v>
      </c>
      <c r="AI125" s="30">
        <v>4.2562123706851542E-4</v>
      </c>
      <c r="AJ125" s="30">
        <v>4.5008829447350349E-4</v>
      </c>
      <c r="AK125" s="30">
        <v>1.944341204104222E-4</v>
      </c>
      <c r="AL125" s="30">
        <v>1.8177658043692691E-2</v>
      </c>
      <c r="AM125" s="30">
        <v>1.9260086392562353E-2</v>
      </c>
      <c r="AN125" s="32">
        <v>0</v>
      </c>
      <c r="AO125" s="32">
        <v>8.7500264113198857E-6</v>
      </c>
      <c r="AP125" s="32">
        <v>5.3666667516303246E-7</v>
      </c>
      <c r="AQ125" s="32">
        <v>8.9569829065403236E-7</v>
      </c>
      <c r="AR125" s="32">
        <v>7.8939754292673927E-7</v>
      </c>
      <c r="AS125" s="32">
        <v>1.245653359270986E-5</v>
      </c>
      <c r="AT125" s="32">
        <v>2.3428322512773554E-5</v>
      </c>
      <c r="AU125" s="34">
        <v>0</v>
      </c>
      <c r="AV125" s="34">
        <v>0</v>
      </c>
      <c r="AW125" s="34">
        <v>0.2808344720952432</v>
      </c>
      <c r="AX125" s="34">
        <v>0.21176938097237663</v>
      </c>
      <c r="AY125" s="34">
        <v>0.1656325679765914</v>
      </c>
      <c r="AZ125" s="34">
        <v>0.93047283691177507</v>
      </c>
      <c r="BA125" s="34">
        <v>1.5887092579559863</v>
      </c>
      <c r="BB125" s="6"/>
      <c r="BC125" s="6"/>
      <c r="BD125" t="s">
        <v>690</v>
      </c>
      <c r="BF125" s="5">
        <v>8.5098207000000009E-2</v>
      </c>
      <c r="BG125" s="5">
        <f t="shared" si="5"/>
        <v>-8.9154840413480235E-3</v>
      </c>
      <c r="BH125" s="2">
        <v>216.7672</v>
      </c>
    </row>
    <row r="126" spans="1:60" x14ac:dyDescent="0.2">
      <c r="A126" t="str">
        <f t="shared" si="0"/>
        <v>Scooter, battery electric, 4-11kW - 2030 - LFP - CH</v>
      </c>
      <c r="B126" t="s">
        <v>654</v>
      </c>
      <c r="D126" s="18">
        <v>2030</v>
      </c>
      <c r="E126" t="s">
        <v>37</v>
      </c>
      <c r="F126" t="s">
        <v>136</v>
      </c>
      <c r="G126" t="s">
        <v>39</v>
      </c>
      <c r="H126" t="s">
        <v>32</v>
      </c>
      <c r="I126" t="s">
        <v>43</v>
      </c>
      <c r="J126" t="s">
        <v>136</v>
      </c>
      <c r="L126" s="24">
        <v>0</v>
      </c>
      <c r="M126" s="24">
        <v>0</v>
      </c>
      <c r="N126" s="24">
        <v>6.0053165008481374E-3</v>
      </c>
      <c r="O126" s="24">
        <v>1.476791003070943E-2</v>
      </c>
      <c r="P126" s="24">
        <v>4.8108147134809714E-3</v>
      </c>
      <c r="Q126" s="24">
        <v>7.3981881923108436E-2</v>
      </c>
      <c r="R126" s="24">
        <v>9.9565923168146969E-2</v>
      </c>
      <c r="S126" s="26">
        <v>0</v>
      </c>
      <c r="T126" s="26">
        <v>0</v>
      </c>
      <c r="U126" s="26">
        <v>6.3562331432608424E-4</v>
      </c>
      <c r="V126" s="26">
        <v>5.6666301880277056E-4</v>
      </c>
      <c r="W126" s="26">
        <v>3.3092968580079022E-4</v>
      </c>
      <c r="X126" s="26">
        <v>4.6563256374028167E-2</v>
      </c>
      <c r="Y126" s="26">
        <v>4.8096472392957813E-2</v>
      </c>
      <c r="Z126" s="28">
        <v>0</v>
      </c>
      <c r="AA126" s="28">
        <v>2.3145477658575108E-3</v>
      </c>
      <c r="AB126" s="28">
        <v>1.8627602453956559E-4</v>
      </c>
      <c r="AC126" s="28">
        <v>1.8526786960138981E-4</v>
      </c>
      <c r="AD126" s="28">
        <v>1.4774958548982369E-4</v>
      </c>
      <c r="AE126" s="28">
        <v>5.6999089564318582E-3</v>
      </c>
      <c r="AF126" s="28">
        <v>8.5337502019201487E-3</v>
      </c>
      <c r="AG126" s="30">
        <v>0</v>
      </c>
      <c r="AH126" s="30">
        <v>1.228469691721989E-5</v>
      </c>
      <c r="AI126" s="30">
        <v>4.2562123706851542E-4</v>
      </c>
      <c r="AJ126" s="30">
        <v>4.5008829447350349E-4</v>
      </c>
      <c r="AK126" s="30">
        <v>1.9642680434176919E-4</v>
      </c>
      <c r="AL126" s="30">
        <v>1.9540880521870019E-2</v>
      </c>
      <c r="AM126" s="30">
        <v>2.0625301554671027E-2</v>
      </c>
      <c r="AN126" s="32">
        <v>0</v>
      </c>
      <c r="AO126" s="32">
        <v>8.7500264113198857E-6</v>
      </c>
      <c r="AP126" s="32">
        <v>5.3666667516303246E-7</v>
      </c>
      <c r="AQ126" s="32">
        <v>8.9569829065403236E-7</v>
      </c>
      <c r="AR126" s="32">
        <v>7.9726568261927352E-7</v>
      </c>
      <c r="AS126" s="32">
        <v>1.307285901022128E-5</v>
      </c>
      <c r="AT126" s="32">
        <v>2.4052516069977506E-5</v>
      </c>
      <c r="AU126" s="34">
        <v>0</v>
      </c>
      <c r="AV126" s="34">
        <v>0</v>
      </c>
      <c r="AW126" s="34">
        <v>0.2808344720952432</v>
      </c>
      <c r="AX126" s="34">
        <v>0.21176938097237663</v>
      </c>
      <c r="AY126" s="34">
        <v>0.16806777202980711</v>
      </c>
      <c r="AZ126" s="34">
        <v>0.99769598434383955</v>
      </c>
      <c r="BA126" s="34">
        <v>1.6583676094412665</v>
      </c>
      <c r="BB126" s="6"/>
      <c r="BC126" s="6"/>
      <c r="BD126" t="s">
        <v>691</v>
      </c>
      <c r="BF126" s="5">
        <v>8.8570040000000003E-2</v>
      </c>
      <c r="BG126" s="5">
        <f t="shared" si="5"/>
        <v>-1.0995883168146967E-2</v>
      </c>
      <c r="BH126" s="2">
        <v>227.32026999999999</v>
      </c>
    </row>
    <row r="127" spans="1:60" x14ac:dyDescent="0.2">
      <c r="A127" t="str">
        <f t="shared" si="0"/>
        <v>Scooter, battery electric, 4-11kW - 2040 - LFP - CH</v>
      </c>
      <c r="B127" t="s">
        <v>654</v>
      </c>
      <c r="D127" s="18">
        <v>2040</v>
      </c>
      <c r="E127" t="s">
        <v>37</v>
      </c>
      <c r="F127" t="s">
        <v>136</v>
      </c>
      <c r="G127" t="s">
        <v>39</v>
      </c>
      <c r="H127" t="s">
        <v>32</v>
      </c>
      <c r="I127" t="s">
        <v>43</v>
      </c>
      <c r="J127" t="s">
        <v>136</v>
      </c>
      <c r="L127" s="24">
        <v>0</v>
      </c>
      <c r="M127" s="24">
        <v>0</v>
      </c>
      <c r="N127" s="24">
        <v>6.0053165008481374E-3</v>
      </c>
      <c r="O127" s="24">
        <v>1.476791003070943E-2</v>
      </c>
      <c r="P127" s="24">
        <v>4.8455777539615523E-3</v>
      </c>
      <c r="Q127" s="24">
        <v>7.4107235038086375E-2</v>
      </c>
      <c r="R127" s="24">
        <v>9.9726039323605492E-2</v>
      </c>
      <c r="S127" s="26">
        <v>0</v>
      </c>
      <c r="T127" s="26">
        <v>0</v>
      </c>
      <c r="U127" s="26">
        <v>6.3562331432608424E-4</v>
      </c>
      <c r="V127" s="26">
        <v>5.6666301880277056E-4</v>
      </c>
      <c r="W127" s="26">
        <v>3.3312628030664302E-4</v>
      </c>
      <c r="X127" s="26">
        <v>4.5783552173533693E-2</v>
      </c>
      <c r="Y127" s="26">
        <v>4.7318964786969189E-2</v>
      </c>
      <c r="Z127" s="28">
        <v>0</v>
      </c>
      <c r="AA127" s="28">
        <v>2.3145477658575108E-3</v>
      </c>
      <c r="AB127" s="28">
        <v>1.8627602453956559E-4</v>
      </c>
      <c r="AC127" s="28">
        <v>1.8526786960138981E-4</v>
      </c>
      <c r="AD127" s="28">
        <v>1.4874808231352181E-4</v>
      </c>
      <c r="AE127" s="28">
        <v>5.6432118889882411E-3</v>
      </c>
      <c r="AF127" s="28">
        <v>8.4780516313002294E-3</v>
      </c>
      <c r="AG127" s="30">
        <v>0</v>
      </c>
      <c r="AH127" s="30">
        <v>1.228469691721989E-5</v>
      </c>
      <c r="AI127" s="30">
        <v>4.2562123706851542E-4</v>
      </c>
      <c r="AJ127" s="30">
        <v>4.5008829447350349E-4</v>
      </c>
      <c r="AK127" s="30">
        <v>1.9735867592509559E-4</v>
      </c>
      <c r="AL127" s="30">
        <v>1.9353588504770501E-2</v>
      </c>
      <c r="AM127" s="30">
        <v>2.0438941409154837E-2</v>
      </c>
      <c r="AN127" s="32">
        <v>0</v>
      </c>
      <c r="AO127" s="32">
        <v>8.7500264113198857E-6</v>
      </c>
      <c r="AP127" s="32">
        <v>5.3666667516303246E-7</v>
      </c>
      <c r="AQ127" s="32">
        <v>8.9569829065403236E-7</v>
      </c>
      <c r="AR127" s="32">
        <v>8.009451902811628E-7</v>
      </c>
      <c r="AS127" s="32">
        <v>1.2911245063590589E-5</v>
      </c>
      <c r="AT127" s="32">
        <v>2.3894581631008705E-5</v>
      </c>
      <c r="AU127" s="34">
        <v>0</v>
      </c>
      <c r="AV127" s="34">
        <v>0</v>
      </c>
      <c r="AW127" s="34">
        <v>0.2808344720952432</v>
      </c>
      <c r="AX127" s="34">
        <v>0.21176938097237663</v>
      </c>
      <c r="AY127" s="34">
        <v>0.16920658658092311</v>
      </c>
      <c r="AZ127" s="34">
        <v>0.99487468077250452</v>
      </c>
      <c r="BA127" s="34">
        <v>1.6566851204210473</v>
      </c>
      <c r="BB127" s="6"/>
      <c r="BC127" s="6"/>
      <c r="BD127" t="s">
        <v>692</v>
      </c>
      <c r="BF127" s="5">
        <v>8.8256354999999995E-2</v>
      </c>
      <c r="BG127" s="5">
        <f t="shared" si="5"/>
        <v>-1.1469684323605497E-2</v>
      </c>
      <c r="BH127" s="2">
        <v>222.82937000000001</v>
      </c>
    </row>
    <row r="128" spans="1:60" x14ac:dyDescent="0.2">
      <c r="A128" t="str">
        <f t="shared" si="0"/>
        <v>Scooter, battery electric, 4-11kW - 2050 - LFP - CH</v>
      </c>
      <c r="B128" t="s">
        <v>654</v>
      </c>
      <c r="D128" s="18">
        <v>2050</v>
      </c>
      <c r="E128" t="s">
        <v>37</v>
      </c>
      <c r="F128" t="s">
        <v>136</v>
      </c>
      <c r="G128" t="s">
        <v>39</v>
      </c>
      <c r="H128" t="s">
        <v>32</v>
      </c>
      <c r="I128" t="s">
        <v>43</v>
      </c>
      <c r="J128" t="s">
        <v>136</v>
      </c>
      <c r="L128" s="24">
        <v>0</v>
      </c>
      <c r="M128" s="24">
        <v>0</v>
      </c>
      <c r="N128" s="24">
        <v>6.0053165008481374E-3</v>
      </c>
      <c r="O128" s="24">
        <v>1.476791003070943E-2</v>
      </c>
      <c r="P128" s="24">
        <v>4.8339850158877129E-3</v>
      </c>
      <c r="Q128" s="24">
        <v>6.7916981923175565E-2</v>
      </c>
      <c r="R128" s="24">
        <v>9.3524193470620853E-2</v>
      </c>
      <c r="S128" s="26">
        <v>0</v>
      </c>
      <c r="T128" s="26">
        <v>0</v>
      </c>
      <c r="U128" s="26">
        <v>6.3562331432608424E-4</v>
      </c>
      <c r="V128" s="26">
        <v>5.6666301880277056E-4</v>
      </c>
      <c r="W128" s="26">
        <v>3.3239376254039612E-4</v>
      </c>
      <c r="X128" s="26">
        <v>4.079598865565106E-2</v>
      </c>
      <c r="Y128" s="26">
        <v>4.2330668751320313E-2</v>
      </c>
      <c r="Z128" s="28">
        <v>0</v>
      </c>
      <c r="AA128" s="28">
        <v>2.3145477658575108E-3</v>
      </c>
      <c r="AB128" s="28">
        <v>1.8627602453956559E-4</v>
      </c>
      <c r="AC128" s="28">
        <v>1.8526786960138981E-4</v>
      </c>
      <c r="AD128" s="28">
        <v>1.484151047607914E-4</v>
      </c>
      <c r="AE128" s="28">
        <v>4.9713655173559456E-3</v>
      </c>
      <c r="AF128" s="28">
        <v>7.8058722821152029E-3</v>
      </c>
      <c r="AG128" s="30">
        <v>0</v>
      </c>
      <c r="AH128" s="30">
        <v>1.228469691721989E-5</v>
      </c>
      <c r="AI128" s="30">
        <v>4.2562123706851542E-4</v>
      </c>
      <c r="AJ128" s="30">
        <v>4.5008829447350349E-4</v>
      </c>
      <c r="AK128" s="30">
        <v>1.970479164795865E-4</v>
      </c>
      <c r="AL128" s="30">
        <v>1.7215818727816589E-2</v>
      </c>
      <c r="AM128" s="30">
        <v>1.8300860872755415E-2</v>
      </c>
      <c r="AN128" s="32">
        <v>0</v>
      </c>
      <c r="AO128" s="32">
        <v>8.7500264113198857E-6</v>
      </c>
      <c r="AP128" s="32">
        <v>5.3666667516303246E-7</v>
      </c>
      <c r="AQ128" s="32">
        <v>8.9569829065403236E-7</v>
      </c>
      <c r="AR128" s="32">
        <v>7.9971815237034508E-7</v>
      </c>
      <c r="AS128" s="32">
        <v>1.1720410589530591E-5</v>
      </c>
      <c r="AT128" s="32">
        <v>2.2702520119037887E-5</v>
      </c>
      <c r="AU128" s="34">
        <v>0</v>
      </c>
      <c r="AV128" s="34">
        <v>0</v>
      </c>
      <c r="AW128" s="34">
        <v>0.2808344720952432</v>
      </c>
      <c r="AX128" s="34">
        <v>0.21176938097237663</v>
      </c>
      <c r="AY128" s="34">
        <v>0.16882681603659636</v>
      </c>
      <c r="AZ128" s="34">
        <v>0.9066855887612052</v>
      </c>
      <c r="BA128" s="34">
        <v>1.5681162578654213</v>
      </c>
      <c r="BB128" s="6"/>
      <c r="BC128" s="6"/>
      <c r="BD128" t="s">
        <v>693</v>
      </c>
      <c r="BF128" s="5">
        <v>8.3188095000000004E-2</v>
      </c>
      <c r="BG128" s="5">
        <f t="shared" si="5"/>
        <v>-1.033609847062085E-2</v>
      </c>
      <c r="BH128" s="2">
        <v>197.69712999999999</v>
      </c>
    </row>
    <row r="129" spans="1:60" x14ac:dyDescent="0.2">
      <c r="A129" t="str">
        <f t="shared" si="0"/>
        <v>Scooter, battery electric, &lt;4kW - 2020 - NCA - CH</v>
      </c>
      <c r="B129" t="s">
        <v>653</v>
      </c>
      <c r="D129" s="18">
        <v>2020</v>
      </c>
      <c r="E129" t="s">
        <v>37</v>
      </c>
      <c r="F129" t="s">
        <v>136</v>
      </c>
      <c r="G129" t="s">
        <v>39</v>
      </c>
      <c r="H129" t="s">
        <v>32</v>
      </c>
      <c r="I129" t="s">
        <v>44</v>
      </c>
      <c r="J129" t="s">
        <v>136</v>
      </c>
      <c r="L129" s="24">
        <v>0</v>
      </c>
      <c r="M129" s="24">
        <v>0</v>
      </c>
      <c r="N129" s="24">
        <v>4.230531998315014E-3</v>
      </c>
      <c r="O129" s="24">
        <v>1.2306591692257861E-2</v>
      </c>
      <c r="P129" s="24">
        <v>4.4911191657352797E-3</v>
      </c>
      <c r="Q129" s="24">
        <v>4.2067832680995308E-2</v>
      </c>
      <c r="R129" s="24">
        <v>6.3096075537303453E-2</v>
      </c>
      <c r="S129" s="26">
        <v>0</v>
      </c>
      <c r="T129" s="26">
        <v>0</v>
      </c>
      <c r="U129" s="26">
        <v>4.4777402985367499E-4</v>
      </c>
      <c r="V129" s="26">
        <v>4.722191823356421E-4</v>
      </c>
      <c r="W129" s="26">
        <v>3.1072887844862479E-4</v>
      </c>
      <c r="X129" s="26">
        <v>2.890499184582182E-2</v>
      </c>
      <c r="Y129" s="26">
        <v>3.0135713936459762E-2</v>
      </c>
      <c r="Z129" s="28">
        <v>0</v>
      </c>
      <c r="AA129" s="28">
        <v>2.3145477658575108E-3</v>
      </c>
      <c r="AB129" s="28">
        <v>1.3122483756222481E-4</v>
      </c>
      <c r="AC129" s="28">
        <v>1.5438989133449149E-4</v>
      </c>
      <c r="AD129" s="28">
        <v>1.385669885546453E-4</v>
      </c>
      <c r="AE129" s="28">
        <v>3.0756748545306672E-3</v>
      </c>
      <c r="AF129" s="28">
        <v>5.8144043378395398E-3</v>
      </c>
      <c r="AG129" s="30">
        <v>0</v>
      </c>
      <c r="AH129" s="30">
        <v>1.228469691721989E-5</v>
      </c>
      <c r="AI129" s="30">
        <v>2.9983503156352759E-4</v>
      </c>
      <c r="AJ129" s="30">
        <v>3.7507357872791961E-4</v>
      </c>
      <c r="AK129" s="30">
        <v>1.8785692115141391E-4</v>
      </c>
      <c r="AL129" s="30">
        <v>1.057436942931865E-2</v>
      </c>
      <c r="AM129" s="30">
        <v>1.1449419657678732E-2</v>
      </c>
      <c r="AN129" s="32">
        <v>0</v>
      </c>
      <c r="AO129" s="32">
        <v>8.7500264113198857E-6</v>
      </c>
      <c r="AP129" s="32">
        <v>3.7806259526635928E-7</v>
      </c>
      <c r="AQ129" s="32">
        <v>7.4641524221169363E-7</v>
      </c>
      <c r="AR129" s="32">
        <v>7.6342738190851566E-7</v>
      </c>
      <c r="AS129" s="32">
        <v>9.2605720671351224E-6</v>
      </c>
      <c r="AT129" s="32">
        <v>1.9898503697841576E-5</v>
      </c>
      <c r="AU129" s="34">
        <v>0</v>
      </c>
      <c r="AV129" s="34">
        <v>0</v>
      </c>
      <c r="AW129" s="34">
        <v>0.19783790250872499</v>
      </c>
      <c r="AX129" s="34">
        <v>0.17647448414364728</v>
      </c>
      <c r="AY129" s="34">
        <v>0.15759475423082736</v>
      </c>
      <c r="AZ129" s="34">
        <v>0.58399158915226546</v>
      </c>
      <c r="BA129" s="34">
        <v>1.115898730035465</v>
      </c>
      <c r="BB129" s="6"/>
      <c r="BC129" s="6"/>
      <c r="BD129" t="s">
        <v>694</v>
      </c>
      <c r="BF129" s="5">
        <v>6.1868040999999999E-2</v>
      </c>
      <c r="BG129" s="5">
        <f t="shared" si="5"/>
        <v>-1.2280345373034546E-3</v>
      </c>
      <c r="BH129" s="2">
        <v>143.05759</v>
      </c>
    </row>
    <row r="130" spans="1:60" x14ac:dyDescent="0.2">
      <c r="A130" t="str">
        <f t="shared" si="0"/>
        <v>Scooter, battery electric, &lt;4kW - 2030 - NCA - CH</v>
      </c>
      <c r="B130" t="s">
        <v>653</v>
      </c>
      <c r="D130" s="18">
        <v>2030</v>
      </c>
      <c r="E130" t="s">
        <v>37</v>
      </c>
      <c r="F130" t="s">
        <v>136</v>
      </c>
      <c r="G130" t="s">
        <v>39</v>
      </c>
      <c r="H130" t="s">
        <v>32</v>
      </c>
      <c r="I130" t="s">
        <v>44</v>
      </c>
      <c r="J130" t="s">
        <v>136</v>
      </c>
      <c r="L130" s="24">
        <v>0</v>
      </c>
      <c r="M130" s="24">
        <v>0</v>
      </c>
      <c r="N130" s="24">
        <v>4.230531998315014E-3</v>
      </c>
      <c r="O130" s="24">
        <v>1.2306591692257861E-2</v>
      </c>
      <c r="P130" s="24">
        <v>4.5008758811560627E-3</v>
      </c>
      <c r="Q130" s="24">
        <v>4.5495821079306192E-2</v>
      </c>
      <c r="R130" s="24">
        <v>6.6533820651035136E-2</v>
      </c>
      <c r="S130" s="26">
        <v>0</v>
      </c>
      <c r="T130" s="26">
        <v>0</v>
      </c>
      <c r="U130" s="26">
        <v>4.4777402985367499E-4</v>
      </c>
      <c r="V130" s="26">
        <v>4.722191823356421E-4</v>
      </c>
      <c r="W130" s="26">
        <v>3.1134538227545303E-4</v>
      </c>
      <c r="X130" s="26">
        <v>2.9513116638452842E-2</v>
      </c>
      <c r="Y130" s="26">
        <v>3.0744455232917613E-2</v>
      </c>
      <c r="Z130" s="28">
        <v>0</v>
      </c>
      <c r="AA130" s="28">
        <v>2.3145477658575108E-3</v>
      </c>
      <c r="AB130" s="28">
        <v>1.3122483756222481E-4</v>
      </c>
      <c r="AC130" s="28">
        <v>1.5438989133449149E-4</v>
      </c>
      <c r="AD130" s="28">
        <v>1.3884723013371031E-4</v>
      </c>
      <c r="AE130" s="28">
        <v>3.2716111773970899E-3</v>
      </c>
      <c r="AF130" s="28">
        <v>6.0106209022850274E-3</v>
      </c>
      <c r="AG130" s="30">
        <v>0</v>
      </c>
      <c r="AH130" s="30">
        <v>1.228469691721989E-5</v>
      </c>
      <c r="AI130" s="30">
        <v>2.9983503156352759E-4</v>
      </c>
      <c r="AJ130" s="30">
        <v>3.7507357872791961E-4</v>
      </c>
      <c r="AK130" s="30">
        <v>1.881184634596107E-4</v>
      </c>
      <c r="AL130" s="30">
        <v>1.1217438942524969E-2</v>
      </c>
      <c r="AM130" s="30">
        <v>1.2092750713193247E-2</v>
      </c>
      <c r="AN130" s="32">
        <v>0</v>
      </c>
      <c r="AO130" s="32">
        <v>8.7500264113198857E-6</v>
      </c>
      <c r="AP130" s="32">
        <v>3.7806259526635928E-7</v>
      </c>
      <c r="AQ130" s="32">
        <v>7.4641524221169363E-7</v>
      </c>
      <c r="AR130" s="32">
        <v>7.6446008528110175E-7</v>
      </c>
      <c r="AS130" s="32">
        <v>9.4255156339449068E-6</v>
      </c>
      <c r="AT130" s="32">
        <v>2.0064479968023947E-5</v>
      </c>
      <c r="AU130" s="34">
        <v>0</v>
      </c>
      <c r="AV130" s="34">
        <v>0</v>
      </c>
      <c r="AW130" s="34">
        <v>0.19783790250872499</v>
      </c>
      <c r="AX130" s="34">
        <v>0.17647448414364728</v>
      </c>
      <c r="AY130" s="34">
        <v>0.15791437786957357</v>
      </c>
      <c r="AZ130" s="34">
        <v>0.62073382495256313</v>
      </c>
      <c r="BA130" s="34">
        <v>1.152960589474509</v>
      </c>
      <c r="BB130" s="6"/>
      <c r="BC130" s="6"/>
      <c r="BD130" t="s">
        <v>695</v>
      </c>
      <c r="BF130" s="5">
        <v>6.3372790999999998E-2</v>
      </c>
      <c r="BG130" s="5">
        <f t="shared" si="5"/>
        <v>-3.1610296510351382E-3</v>
      </c>
      <c r="BH130" s="2">
        <v>143.99825999999999</v>
      </c>
    </row>
    <row r="131" spans="1:60" x14ac:dyDescent="0.2">
      <c r="A131" t="str">
        <f t="shared" si="0"/>
        <v>Scooter, battery electric, &lt;4kW - 2040 - NCA - CH</v>
      </c>
      <c r="B131" t="s">
        <v>653</v>
      </c>
      <c r="D131" s="18">
        <v>2040</v>
      </c>
      <c r="E131" t="s">
        <v>37</v>
      </c>
      <c r="F131" t="s">
        <v>136</v>
      </c>
      <c r="G131" t="s">
        <v>39</v>
      </c>
      <c r="H131" t="s">
        <v>32</v>
      </c>
      <c r="I131" t="s">
        <v>44</v>
      </c>
      <c r="J131" t="s">
        <v>136</v>
      </c>
      <c r="L131" s="24">
        <v>0</v>
      </c>
      <c r="M131" s="24">
        <v>0</v>
      </c>
      <c r="N131" s="24">
        <v>4.230531998315014E-3</v>
      </c>
      <c r="O131" s="24">
        <v>1.2306591692257861E-2</v>
      </c>
      <c r="P131" s="24">
        <v>4.5011338347519464E-3</v>
      </c>
      <c r="Q131" s="24">
        <v>4.6496785035868689E-2</v>
      </c>
      <c r="R131" s="24">
        <v>6.7535042561193512E-2</v>
      </c>
      <c r="S131" s="26">
        <v>0</v>
      </c>
      <c r="T131" s="26">
        <v>0</v>
      </c>
      <c r="U131" s="26">
        <v>4.4777402985367499E-4</v>
      </c>
      <c r="V131" s="26">
        <v>4.722191823356421E-4</v>
      </c>
      <c r="W131" s="26">
        <v>3.1136168175454492E-4</v>
      </c>
      <c r="X131" s="26">
        <v>2.87154632079984E-2</v>
      </c>
      <c r="Y131" s="26">
        <v>2.994681810194226E-2</v>
      </c>
      <c r="Z131" s="28">
        <v>0</v>
      </c>
      <c r="AA131" s="28">
        <v>2.3145477658575108E-3</v>
      </c>
      <c r="AB131" s="28">
        <v>1.3122483756222481E-4</v>
      </c>
      <c r="AC131" s="28">
        <v>1.5438989133449149E-4</v>
      </c>
      <c r="AD131" s="28">
        <v>1.3885463932009301E-4</v>
      </c>
      <c r="AE131" s="28">
        <v>3.2525027115432822E-3</v>
      </c>
      <c r="AF131" s="28">
        <v>5.9915198456176027E-3</v>
      </c>
      <c r="AG131" s="30">
        <v>0</v>
      </c>
      <c r="AH131" s="30">
        <v>1.228469691721989E-5</v>
      </c>
      <c r="AI131" s="30">
        <v>2.9983503156352759E-4</v>
      </c>
      <c r="AJ131" s="30">
        <v>3.7507357872791961E-4</v>
      </c>
      <c r="AK131" s="30">
        <v>1.881253782640265E-4</v>
      </c>
      <c r="AL131" s="30">
        <v>1.1195578197507749E-2</v>
      </c>
      <c r="AM131" s="30">
        <v>1.2070896882980443E-2</v>
      </c>
      <c r="AN131" s="32">
        <v>0</v>
      </c>
      <c r="AO131" s="32">
        <v>8.7500264113198857E-6</v>
      </c>
      <c r="AP131" s="32">
        <v>3.7806259526635928E-7</v>
      </c>
      <c r="AQ131" s="32">
        <v>7.4641524221169363E-7</v>
      </c>
      <c r="AR131" s="32">
        <v>7.6448738848068806E-7</v>
      </c>
      <c r="AS131" s="32">
        <v>9.23007031857047E-6</v>
      </c>
      <c r="AT131" s="32">
        <v>1.9869061955849097E-5</v>
      </c>
      <c r="AU131" s="34">
        <v>0</v>
      </c>
      <c r="AV131" s="34">
        <v>0</v>
      </c>
      <c r="AW131" s="34">
        <v>0.19783790250872499</v>
      </c>
      <c r="AX131" s="34">
        <v>0.17647448414364728</v>
      </c>
      <c r="AY131" s="34">
        <v>0.15792282826126669</v>
      </c>
      <c r="AZ131" s="34">
        <v>0.62688066156164945</v>
      </c>
      <c r="BA131" s="34">
        <v>1.1591158764752882</v>
      </c>
      <c r="BB131" s="6"/>
      <c r="BC131" s="6"/>
      <c r="BD131" t="s">
        <v>696</v>
      </c>
      <c r="BF131" s="5">
        <v>6.3318459999999993E-2</v>
      </c>
      <c r="BG131" s="5">
        <f t="shared" si="5"/>
        <v>-4.2165825611935187E-3</v>
      </c>
      <c r="BH131" s="2">
        <v>139.20174</v>
      </c>
    </row>
    <row r="132" spans="1:60" x14ac:dyDescent="0.2">
      <c r="A132" t="str">
        <f t="shared" si="0"/>
        <v>Scooter, battery electric, &lt;4kW - 2050 - NCA - CH</v>
      </c>
      <c r="B132" t="s">
        <v>653</v>
      </c>
      <c r="D132" s="18">
        <v>2050</v>
      </c>
      <c r="E132" t="s">
        <v>37</v>
      </c>
      <c r="F132" t="s">
        <v>136</v>
      </c>
      <c r="G132" t="s">
        <v>39</v>
      </c>
      <c r="H132" t="s">
        <v>32</v>
      </c>
      <c r="I132" t="s">
        <v>44</v>
      </c>
      <c r="J132" t="s">
        <v>136</v>
      </c>
      <c r="L132" s="24">
        <v>0</v>
      </c>
      <c r="M132" s="24">
        <v>0</v>
      </c>
      <c r="N132" s="24">
        <v>4.230531998315014E-3</v>
      </c>
      <c r="O132" s="24">
        <v>1.2306591692257861E-2</v>
      </c>
      <c r="P132" s="24">
        <v>4.5033643746692949E-3</v>
      </c>
      <c r="Q132" s="24">
        <v>4.7333398713695199E-2</v>
      </c>
      <c r="R132" s="24">
        <v>6.8373886778937368E-2</v>
      </c>
      <c r="S132" s="26">
        <v>0</v>
      </c>
      <c r="T132" s="26">
        <v>0</v>
      </c>
      <c r="U132" s="26">
        <v>4.4777402985367499E-4</v>
      </c>
      <c r="V132" s="26">
        <v>4.722191823356421E-4</v>
      </c>
      <c r="W132" s="26">
        <v>3.1150262430904518E-4</v>
      </c>
      <c r="X132" s="26">
        <v>2.775754068532503E-2</v>
      </c>
      <c r="Y132" s="26">
        <v>2.8989036521823393E-2</v>
      </c>
      <c r="Z132" s="28">
        <v>0</v>
      </c>
      <c r="AA132" s="28">
        <v>2.3145477658575108E-3</v>
      </c>
      <c r="AB132" s="28">
        <v>1.3122483756222481E-4</v>
      </c>
      <c r="AC132" s="28">
        <v>1.5438989133449149E-4</v>
      </c>
      <c r="AD132" s="28">
        <v>1.3891870699057909E-4</v>
      </c>
      <c r="AE132" s="28">
        <v>3.213911966207217E-3</v>
      </c>
      <c r="AF132" s="28">
        <v>5.9529931679520231E-3</v>
      </c>
      <c r="AG132" s="30">
        <v>0</v>
      </c>
      <c r="AH132" s="30">
        <v>1.228469691721989E-5</v>
      </c>
      <c r="AI132" s="30">
        <v>2.9983503156352759E-4</v>
      </c>
      <c r="AJ132" s="30">
        <v>3.7507357872791961E-4</v>
      </c>
      <c r="AK132" s="30">
        <v>1.8818517098456291E-4</v>
      </c>
      <c r="AL132" s="30">
        <v>1.11136847866592E-2</v>
      </c>
      <c r="AM132" s="30">
        <v>1.1989063264852429E-2</v>
      </c>
      <c r="AN132" s="32">
        <v>0</v>
      </c>
      <c r="AO132" s="32">
        <v>8.7500264113198857E-6</v>
      </c>
      <c r="AP132" s="32">
        <v>3.7806259526635928E-7</v>
      </c>
      <c r="AQ132" s="32">
        <v>7.4641524221169363E-7</v>
      </c>
      <c r="AR132" s="32">
        <v>7.6472348085358094E-7</v>
      </c>
      <c r="AS132" s="32">
        <v>8.9956887377129758E-6</v>
      </c>
      <c r="AT132" s="32">
        <v>1.9634916467364497E-5</v>
      </c>
      <c r="AU132" s="34">
        <v>0</v>
      </c>
      <c r="AV132" s="34">
        <v>0</v>
      </c>
      <c r="AW132" s="34">
        <v>0.19783790250872499</v>
      </c>
      <c r="AX132" s="34">
        <v>0.17647448414364728</v>
      </c>
      <c r="AY132" s="34">
        <v>0.1579958992953191</v>
      </c>
      <c r="AZ132" s="34">
        <v>0.63068386497758033</v>
      </c>
      <c r="BA132" s="34">
        <v>1.1629921509252716</v>
      </c>
      <c r="BB132" s="6"/>
      <c r="BC132" s="6"/>
      <c r="BD132" t="s">
        <v>697</v>
      </c>
      <c r="BF132" s="5">
        <v>6.3140966999999992E-2</v>
      </c>
      <c r="BG132" s="5">
        <f t="shared" ref="BG132:BG195" si="6">BF132-R132</f>
        <v>-5.2329197789373755E-3</v>
      </c>
      <c r="BH132" s="2">
        <v>133.73525000000001</v>
      </c>
    </row>
    <row r="133" spans="1:60" x14ac:dyDescent="0.2">
      <c r="A133" t="str">
        <f t="shared" si="0"/>
        <v>Scooter, battery electric, 4-11kW - 2020 - NCA - CH</v>
      </c>
      <c r="B133" t="s">
        <v>654</v>
      </c>
      <c r="D133" s="18">
        <v>2020</v>
      </c>
      <c r="E133" t="s">
        <v>37</v>
      </c>
      <c r="F133" t="s">
        <v>136</v>
      </c>
      <c r="G133" t="s">
        <v>39</v>
      </c>
      <c r="H133" t="s">
        <v>32</v>
      </c>
      <c r="I133" t="s">
        <v>44</v>
      </c>
      <c r="J133" t="s">
        <v>136</v>
      </c>
      <c r="L133" s="24">
        <v>0</v>
      </c>
      <c r="M133" s="24">
        <v>0</v>
      </c>
      <c r="N133" s="24">
        <v>6.0053165008481374E-3</v>
      </c>
      <c r="O133" s="24">
        <v>1.2306591692257861E-2</v>
      </c>
      <c r="P133" s="24">
        <v>4.6260994872642687E-3</v>
      </c>
      <c r="Q133" s="24">
        <v>4.8500633497616373E-2</v>
      </c>
      <c r="R133" s="24">
        <v>7.1438641177986636E-2</v>
      </c>
      <c r="S133" s="26">
        <v>0</v>
      </c>
      <c r="T133" s="26">
        <v>0</v>
      </c>
      <c r="U133" s="26">
        <v>6.3562331432608424E-4</v>
      </c>
      <c r="V133" s="26">
        <v>4.722191823356421E-4</v>
      </c>
      <c r="W133" s="26">
        <v>3.1925796648493829E-4</v>
      </c>
      <c r="X133" s="26">
        <v>3.5206377035720091E-2</v>
      </c>
      <c r="Y133" s="26">
        <v>3.6633477498866758E-2</v>
      </c>
      <c r="Z133" s="28">
        <v>0</v>
      </c>
      <c r="AA133" s="28">
        <v>2.3145477658575108E-3</v>
      </c>
      <c r="AB133" s="28">
        <v>1.8627602453956559E-4</v>
      </c>
      <c r="AC133" s="28">
        <v>1.5438989133449149E-4</v>
      </c>
      <c r="AD133" s="28">
        <v>1.4244402061067959E-4</v>
      </c>
      <c r="AE133" s="28">
        <v>3.631083766850464E-3</v>
      </c>
      <c r="AF133" s="28">
        <v>6.4287414691927116E-3</v>
      </c>
      <c r="AG133" s="30">
        <v>0</v>
      </c>
      <c r="AH133" s="30">
        <v>1.228469691721989E-5</v>
      </c>
      <c r="AI133" s="30">
        <v>4.2562123706851542E-4</v>
      </c>
      <c r="AJ133" s="30">
        <v>3.7507357872791961E-4</v>
      </c>
      <c r="AK133" s="30">
        <v>1.9147525614749661E-4</v>
      </c>
      <c r="AL133" s="30">
        <v>1.264915985634904E-2</v>
      </c>
      <c r="AM133" s="30">
        <v>1.3653614625210192E-2</v>
      </c>
      <c r="AN133" s="32">
        <v>0</v>
      </c>
      <c r="AO133" s="32">
        <v>8.7500264113198857E-6</v>
      </c>
      <c r="AP133" s="32">
        <v>5.3666667516303246E-7</v>
      </c>
      <c r="AQ133" s="32">
        <v>7.4641524221169363E-7</v>
      </c>
      <c r="AR133" s="32">
        <v>7.7771442701170876E-7</v>
      </c>
      <c r="AS133" s="32">
        <v>1.043451488642511E-5</v>
      </c>
      <c r="AT133" s="32">
        <v>2.1245337642131431E-5</v>
      </c>
      <c r="AU133" s="34">
        <v>0</v>
      </c>
      <c r="AV133" s="34">
        <v>0</v>
      </c>
      <c r="AW133" s="34">
        <v>0.2808344720952432</v>
      </c>
      <c r="AX133" s="34">
        <v>0.17647448414364728</v>
      </c>
      <c r="AY133" s="34">
        <v>0.16201662159761857</v>
      </c>
      <c r="AZ133" s="34">
        <v>0.67285580523277222</v>
      </c>
      <c r="BA133" s="34">
        <v>1.2921813830692812</v>
      </c>
      <c r="BB133" s="6"/>
      <c r="BC133" s="6"/>
      <c r="BD133" t="s">
        <v>698</v>
      </c>
      <c r="BF133" s="5">
        <v>6.9419079000000009E-2</v>
      </c>
      <c r="BG133" s="5">
        <f t="shared" si="6"/>
        <v>-2.019562177986628E-3</v>
      </c>
      <c r="BH133" s="2">
        <v>164.95419000000001</v>
      </c>
    </row>
    <row r="134" spans="1:60" x14ac:dyDescent="0.2">
      <c r="A134" t="str">
        <f t="shared" si="0"/>
        <v>Scooter, battery electric, 4-11kW - 2030 - NCA - CH</v>
      </c>
      <c r="B134" t="s">
        <v>654</v>
      </c>
      <c r="D134" s="18">
        <v>2030</v>
      </c>
      <c r="E134" t="s">
        <v>37</v>
      </c>
      <c r="F134" t="s">
        <v>136</v>
      </c>
      <c r="G134" t="s">
        <v>39</v>
      </c>
      <c r="H134" t="s">
        <v>32</v>
      </c>
      <c r="I134" t="s">
        <v>44</v>
      </c>
      <c r="J134" t="s">
        <v>136</v>
      </c>
      <c r="L134" s="24">
        <v>0</v>
      </c>
      <c r="M134" s="24">
        <v>0</v>
      </c>
      <c r="N134" s="24">
        <v>6.0053165008481374E-3</v>
      </c>
      <c r="O134" s="24">
        <v>1.2306591692257861E-2</v>
      </c>
      <c r="P134" s="24">
        <v>4.642158582995738E-3</v>
      </c>
      <c r="Q134" s="24">
        <v>5.1259756590025407E-2</v>
      </c>
      <c r="R134" s="24">
        <v>7.4213823366127141E-2</v>
      </c>
      <c r="S134" s="26">
        <v>0</v>
      </c>
      <c r="T134" s="26">
        <v>0</v>
      </c>
      <c r="U134" s="26">
        <v>6.3562331432608424E-4</v>
      </c>
      <c r="V134" s="26">
        <v>4.722191823356421E-4</v>
      </c>
      <c r="W134" s="26">
        <v>3.2027270285336419E-4</v>
      </c>
      <c r="X134" s="26">
        <v>3.5608811182970761E-2</v>
      </c>
      <c r="Y134" s="26">
        <v>3.7036926382485853E-2</v>
      </c>
      <c r="Z134" s="28">
        <v>0</v>
      </c>
      <c r="AA134" s="28">
        <v>2.3145477658575108E-3</v>
      </c>
      <c r="AB134" s="28">
        <v>1.8627602453956559E-4</v>
      </c>
      <c r="AC134" s="28">
        <v>1.5438989133449149E-4</v>
      </c>
      <c r="AD134" s="28">
        <v>1.429052850989885E-4</v>
      </c>
      <c r="AE134" s="28">
        <v>3.782335538154023E-3</v>
      </c>
      <c r="AF134" s="28">
        <v>6.5804545049845797E-3</v>
      </c>
      <c r="AG134" s="30">
        <v>0</v>
      </c>
      <c r="AH134" s="30">
        <v>1.228469691721989E-5</v>
      </c>
      <c r="AI134" s="30">
        <v>4.2562123706851542E-4</v>
      </c>
      <c r="AJ134" s="30">
        <v>3.7507357872791961E-4</v>
      </c>
      <c r="AK134" s="30">
        <v>1.919057425134528E-4</v>
      </c>
      <c r="AL134" s="30">
        <v>1.314595819128847E-2</v>
      </c>
      <c r="AM134" s="30">
        <v>1.4150843446515578E-2</v>
      </c>
      <c r="AN134" s="32">
        <v>0</v>
      </c>
      <c r="AO134" s="32">
        <v>8.7500264113198857E-6</v>
      </c>
      <c r="AP134" s="32">
        <v>5.3666667516303246E-7</v>
      </c>
      <c r="AQ134" s="32">
        <v>7.4641524221169363E-7</v>
      </c>
      <c r="AR134" s="32">
        <v>7.7941420830155207E-7</v>
      </c>
      <c r="AS134" s="32">
        <v>1.0549080757754361E-5</v>
      </c>
      <c r="AT134" s="32">
        <v>2.1361603294750525E-5</v>
      </c>
      <c r="AU134" s="34">
        <v>0</v>
      </c>
      <c r="AV134" s="34">
        <v>0</v>
      </c>
      <c r="AW134" s="34">
        <v>0.2808344720952432</v>
      </c>
      <c r="AX134" s="34">
        <v>0.17647448414364728</v>
      </c>
      <c r="AY134" s="34">
        <v>0.16254270710808991</v>
      </c>
      <c r="AZ134" s="34">
        <v>0.70209004055520208</v>
      </c>
      <c r="BA134" s="34">
        <v>1.3219417039021826</v>
      </c>
      <c r="BB134" s="6"/>
      <c r="BC134" s="6"/>
      <c r="BD134" t="s">
        <v>699</v>
      </c>
      <c r="BF134" s="5">
        <v>7.0611529000000006E-2</v>
      </c>
      <c r="BG134" s="5">
        <f t="shared" si="6"/>
        <v>-3.6022943661271345E-3</v>
      </c>
      <c r="BH134" s="2">
        <v>165.31905</v>
      </c>
    </row>
    <row r="135" spans="1:60" x14ac:dyDescent="0.2">
      <c r="A135" t="str">
        <f t="shared" si="0"/>
        <v>Scooter, battery electric, 4-11kW - 2040 - NCA - CH</v>
      </c>
      <c r="B135" t="s">
        <v>654</v>
      </c>
      <c r="D135" s="18">
        <v>2040</v>
      </c>
      <c r="E135" t="s">
        <v>37</v>
      </c>
      <c r="F135" t="s">
        <v>136</v>
      </c>
      <c r="G135" t="s">
        <v>39</v>
      </c>
      <c r="H135" t="s">
        <v>32</v>
      </c>
      <c r="I135" t="s">
        <v>44</v>
      </c>
      <c r="J135" t="s">
        <v>136</v>
      </c>
      <c r="L135" s="24">
        <v>0</v>
      </c>
      <c r="M135" s="24">
        <v>0</v>
      </c>
      <c r="N135" s="24">
        <v>6.0053165008481374E-3</v>
      </c>
      <c r="O135" s="24">
        <v>1.2306591692257861E-2</v>
      </c>
      <c r="P135" s="24">
        <v>4.6433876560114202E-3</v>
      </c>
      <c r="Q135" s="24">
        <v>5.153181573813944E-2</v>
      </c>
      <c r="R135" s="24">
        <v>7.4487111587256863E-2</v>
      </c>
      <c r="S135" s="26">
        <v>0</v>
      </c>
      <c r="T135" s="26">
        <v>0</v>
      </c>
      <c r="U135" s="26">
        <v>6.3562331432608424E-4</v>
      </c>
      <c r="V135" s="26">
        <v>4.722191823356421E-4</v>
      </c>
      <c r="W135" s="26">
        <v>3.2035036507727262E-4</v>
      </c>
      <c r="X135" s="26">
        <v>3.4409573810130593E-2</v>
      </c>
      <c r="Y135" s="26">
        <v>3.5837766671869595E-2</v>
      </c>
      <c r="Z135" s="28">
        <v>0</v>
      </c>
      <c r="AA135" s="28">
        <v>2.3145477658575108E-3</v>
      </c>
      <c r="AB135" s="28">
        <v>1.8627602453956559E-4</v>
      </c>
      <c r="AC135" s="28">
        <v>1.5438989133449149E-4</v>
      </c>
      <c r="AD135" s="28">
        <v>1.4294058769292981E-4</v>
      </c>
      <c r="AE135" s="28">
        <v>3.7004773689658832E-3</v>
      </c>
      <c r="AF135" s="28">
        <v>6.4986316383903809E-3</v>
      </c>
      <c r="AG135" s="30">
        <v>0</v>
      </c>
      <c r="AH135" s="30">
        <v>1.228469691721989E-5</v>
      </c>
      <c r="AI135" s="30">
        <v>4.2562123706851542E-4</v>
      </c>
      <c r="AJ135" s="30">
        <v>3.7507357872791961E-4</v>
      </c>
      <c r="AK135" s="30">
        <v>1.9193868952272801E-4</v>
      </c>
      <c r="AL135" s="30">
        <v>1.2927539832472129E-2</v>
      </c>
      <c r="AM135" s="30">
        <v>1.3932458034708512E-2</v>
      </c>
      <c r="AN135" s="32">
        <v>0</v>
      </c>
      <c r="AO135" s="32">
        <v>8.7500264113198857E-6</v>
      </c>
      <c r="AP135" s="32">
        <v>5.3666667516303246E-7</v>
      </c>
      <c r="AQ135" s="32">
        <v>7.4641524221169363E-7</v>
      </c>
      <c r="AR135" s="32">
        <v>7.7954430001722768E-7</v>
      </c>
      <c r="AS135" s="32">
        <v>1.025274285720682E-5</v>
      </c>
      <c r="AT135" s="32">
        <v>2.1065395485918661E-5</v>
      </c>
      <c r="AU135" s="34">
        <v>0</v>
      </c>
      <c r="AV135" s="34">
        <v>0</v>
      </c>
      <c r="AW135" s="34">
        <v>0.2808344720952432</v>
      </c>
      <c r="AX135" s="34">
        <v>0.17647448414364728</v>
      </c>
      <c r="AY135" s="34">
        <v>0.16258297073909836</v>
      </c>
      <c r="AZ135" s="34">
        <v>0.69918835256783307</v>
      </c>
      <c r="BA135" s="34">
        <v>1.3190802795458219</v>
      </c>
      <c r="BB135" s="6"/>
      <c r="BC135" s="6"/>
      <c r="BD135" t="s">
        <v>700</v>
      </c>
      <c r="BF135" s="5">
        <v>7.0113233999999997E-2</v>
      </c>
      <c r="BG135" s="5">
        <f t="shared" si="6"/>
        <v>-4.3738775872568664E-3</v>
      </c>
      <c r="BH135" s="2">
        <v>158.9487</v>
      </c>
    </row>
    <row r="136" spans="1:60" x14ac:dyDescent="0.2">
      <c r="A136" t="str">
        <f t="shared" si="0"/>
        <v>Scooter, battery electric, 4-11kW - 2050 - NCA - CH</v>
      </c>
      <c r="B136" t="s">
        <v>654</v>
      </c>
      <c r="D136" s="18">
        <v>2050</v>
      </c>
      <c r="E136" t="s">
        <v>37</v>
      </c>
      <c r="F136" t="s">
        <v>136</v>
      </c>
      <c r="G136" t="s">
        <v>39</v>
      </c>
      <c r="H136" t="s">
        <v>32</v>
      </c>
      <c r="I136" t="s">
        <v>44</v>
      </c>
      <c r="J136" t="s">
        <v>136</v>
      </c>
      <c r="L136" s="24">
        <v>0</v>
      </c>
      <c r="M136" s="24">
        <v>0</v>
      </c>
      <c r="N136" s="24">
        <v>6.0053165008481374E-3</v>
      </c>
      <c r="O136" s="24">
        <v>1.2306591692257861E-2</v>
      </c>
      <c r="P136" s="24">
        <v>4.6422496254413448E-3</v>
      </c>
      <c r="Q136" s="24">
        <v>5.1150423739116629E-2</v>
      </c>
      <c r="R136" s="24">
        <v>7.4104581557663973E-2</v>
      </c>
      <c r="S136" s="26">
        <v>0</v>
      </c>
      <c r="T136" s="26">
        <v>0</v>
      </c>
      <c r="U136" s="26">
        <v>6.3562331432608424E-4</v>
      </c>
      <c r="V136" s="26">
        <v>4.722191823356421E-4</v>
      </c>
      <c r="W136" s="26">
        <v>3.2027845561069079E-4</v>
      </c>
      <c r="X136" s="26">
        <v>3.2595495264978777E-2</v>
      </c>
      <c r="Y136" s="26">
        <v>3.4023616217251196E-2</v>
      </c>
      <c r="Z136" s="28">
        <v>0</v>
      </c>
      <c r="AA136" s="28">
        <v>2.3145477658575108E-3</v>
      </c>
      <c r="AB136" s="28">
        <v>1.8627602453956559E-4</v>
      </c>
      <c r="AC136" s="28">
        <v>1.5438989133449149E-4</v>
      </c>
      <c r="AD136" s="28">
        <v>1.4290790010594711E-4</v>
      </c>
      <c r="AE136" s="28">
        <v>3.542298854682322E-3</v>
      </c>
      <c r="AF136" s="28">
        <v>6.340420436519837E-3</v>
      </c>
      <c r="AG136" s="30">
        <v>0</v>
      </c>
      <c r="AH136" s="30">
        <v>1.228469691721989E-5</v>
      </c>
      <c r="AI136" s="30">
        <v>4.2562123706851542E-4</v>
      </c>
      <c r="AJ136" s="30">
        <v>3.7507357872791961E-4</v>
      </c>
      <c r="AK136" s="30">
        <v>1.919081830326583E-4</v>
      </c>
      <c r="AL136" s="30">
        <v>1.247884742641603E-2</v>
      </c>
      <c r="AM136" s="30">
        <v>1.3483735122162343E-2</v>
      </c>
      <c r="AN136" s="32">
        <v>0</v>
      </c>
      <c r="AO136" s="32">
        <v>8.7500264113198857E-6</v>
      </c>
      <c r="AP136" s="32">
        <v>5.3666667516303246E-7</v>
      </c>
      <c r="AQ136" s="32">
        <v>7.4641524221169363E-7</v>
      </c>
      <c r="AR136" s="32">
        <v>7.7942384472493537E-7</v>
      </c>
      <c r="AS136" s="32">
        <v>9.8010839159747582E-6</v>
      </c>
      <c r="AT136" s="32">
        <v>2.0613616089394305E-5</v>
      </c>
      <c r="AU136" s="34">
        <v>0</v>
      </c>
      <c r="AV136" s="34">
        <v>0</v>
      </c>
      <c r="AW136" s="34">
        <v>0.2808344720952432</v>
      </c>
      <c r="AX136" s="34">
        <v>0.17647448414364728</v>
      </c>
      <c r="AY136" s="34">
        <v>0.16254568959927568</v>
      </c>
      <c r="AZ136" s="34">
        <v>0.68695350207309391</v>
      </c>
      <c r="BA136" s="34">
        <v>1.3068081479112601</v>
      </c>
      <c r="BB136" s="6"/>
      <c r="BC136" s="6"/>
      <c r="BD136" t="s">
        <v>701</v>
      </c>
      <c r="BF136" s="5">
        <v>6.9086243000000006E-2</v>
      </c>
      <c r="BG136" s="5">
        <f t="shared" si="6"/>
        <v>-5.0183385576639677E-3</v>
      </c>
      <c r="BH136" s="2">
        <v>149.84834999999998</v>
      </c>
    </row>
    <row r="137" spans="1:60" x14ac:dyDescent="0.2">
      <c r="A137" t="str">
        <f t="shared" ref="A137:A160" si="7">B137&amp;" - "&amp;D137&amp;" - "&amp;IF(I137&lt;&gt;"",I137&amp;" - "&amp;E137,E137)</f>
        <v>Scooter, battery electric, &lt;4kW - 2020 - NMC - CH</v>
      </c>
      <c r="B137" t="s">
        <v>653</v>
      </c>
      <c r="D137" s="18">
        <v>2020</v>
      </c>
      <c r="E137" t="s">
        <v>37</v>
      </c>
      <c r="F137" t="s">
        <v>136</v>
      </c>
      <c r="G137" t="s">
        <v>39</v>
      </c>
      <c r="H137" t="s">
        <v>32</v>
      </c>
      <c r="I137" t="s">
        <v>42</v>
      </c>
      <c r="J137" t="s">
        <v>464</v>
      </c>
      <c r="L137" s="24">
        <v>0</v>
      </c>
      <c r="M137" s="24">
        <v>0</v>
      </c>
      <c r="N137" s="24">
        <v>8.2069290027614555E-4</v>
      </c>
      <c r="O137" s="24">
        <v>1.2306591692257861E-2</v>
      </c>
      <c r="P137" s="24">
        <v>4.499995804181871E-3</v>
      </c>
      <c r="Q137" s="24">
        <v>4.6960667705063748E-2</v>
      </c>
      <c r="R137" s="24">
        <v>6.4587948101779619E-2</v>
      </c>
      <c r="S137" s="26">
        <v>0</v>
      </c>
      <c r="T137" s="26">
        <v>0</v>
      </c>
      <c r="U137" s="26">
        <v>4.6780531356812222E-4</v>
      </c>
      <c r="V137" s="26">
        <v>4.722191823356421E-4</v>
      </c>
      <c r="W137" s="26">
        <v>3.1128977228796298E-4</v>
      </c>
      <c r="X137" s="26">
        <v>5.2328807599304139E-2</v>
      </c>
      <c r="Y137" s="26">
        <v>5.3580121867495868E-2</v>
      </c>
      <c r="Z137" s="28">
        <v>0</v>
      </c>
      <c r="AA137" s="28">
        <v>2.3145477658575108E-3</v>
      </c>
      <c r="AB137" s="28">
        <v>8.2547439225250213E-5</v>
      </c>
      <c r="AC137" s="28">
        <v>1.5438989133449149E-4</v>
      </c>
      <c r="AD137" s="28">
        <v>1.3882195173311031E-4</v>
      </c>
      <c r="AE137" s="28">
        <v>4.4017669608086814E-3</v>
      </c>
      <c r="AF137" s="28">
        <v>7.0920740089590439E-3</v>
      </c>
      <c r="AG137" s="30">
        <v>0</v>
      </c>
      <c r="AH137" s="30">
        <v>1.228469691721989E-5</v>
      </c>
      <c r="AI137" s="30">
        <v>3.0935457184536091E-4</v>
      </c>
      <c r="AJ137" s="30">
        <v>3.7507357872791961E-4</v>
      </c>
      <c r="AK137" s="30">
        <v>1.880948717739569E-4</v>
      </c>
      <c r="AL137" s="30">
        <v>1.316560346465253E-2</v>
      </c>
      <c r="AM137" s="30">
        <v>1.4050411183916986E-2</v>
      </c>
      <c r="AN137" s="32">
        <v>0</v>
      </c>
      <c r="AO137" s="32">
        <v>8.7500264113198857E-6</v>
      </c>
      <c r="AP137" s="32">
        <v>7.308690791712847E-7</v>
      </c>
      <c r="AQ137" s="32">
        <v>7.4641524221169363E-7</v>
      </c>
      <c r="AR137" s="32">
        <v>7.6436693318839574E-7</v>
      </c>
      <c r="AS137" s="32">
        <v>1.2613452133301209E-5</v>
      </c>
      <c r="AT137" s="32">
        <v>2.360512979919247E-5</v>
      </c>
      <c r="AU137" s="34">
        <v>0</v>
      </c>
      <c r="AV137" s="34">
        <v>0</v>
      </c>
      <c r="AW137" s="34">
        <v>8.1766643948489922E-3</v>
      </c>
      <c r="AX137" s="34">
        <v>0.17647448414364728</v>
      </c>
      <c r="AY137" s="34">
        <v>0.15788554712144401</v>
      </c>
      <c r="AZ137" s="34">
        <v>0.67740696189012273</v>
      </c>
      <c r="BA137" s="34">
        <v>1.0199436575500629</v>
      </c>
      <c r="BB137" s="6"/>
      <c r="BC137" s="6"/>
      <c r="BD137" t="s">
        <v>923</v>
      </c>
      <c r="BF137" s="5">
        <v>5.7097881000000003E-2</v>
      </c>
      <c r="BG137" s="5">
        <f t="shared" si="6"/>
        <v>-7.4900671017796155E-3</v>
      </c>
      <c r="BH137" s="2">
        <v>143.10150999999999</v>
      </c>
    </row>
    <row r="138" spans="1:60" x14ac:dyDescent="0.2">
      <c r="A138" t="str">
        <f t="shared" si="7"/>
        <v>Scooter, battery electric, &lt;4kW - 2030 - NMC - CH</v>
      </c>
      <c r="B138" t="s">
        <v>653</v>
      </c>
      <c r="D138" s="18">
        <v>2030</v>
      </c>
      <c r="E138" t="s">
        <v>37</v>
      </c>
      <c r="F138" t="s">
        <v>136</v>
      </c>
      <c r="G138" t="s">
        <v>39</v>
      </c>
      <c r="H138" t="s">
        <v>32</v>
      </c>
      <c r="I138" t="s">
        <v>42</v>
      </c>
      <c r="J138" t="s">
        <v>464</v>
      </c>
      <c r="L138" s="24">
        <v>0</v>
      </c>
      <c r="M138" s="24">
        <v>0</v>
      </c>
      <c r="N138" s="24">
        <v>8.2069290027614555E-4</v>
      </c>
      <c r="O138" s="24">
        <v>1.2306591692257861E-2</v>
      </c>
      <c r="P138" s="24">
        <v>4.5008758811560627E-3</v>
      </c>
      <c r="Q138" s="24">
        <v>4.7520048473623171E-2</v>
      </c>
      <c r="R138" s="24">
        <v>6.5148208947313241E-2</v>
      </c>
      <c r="S138" s="26">
        <v>0</v>
      </c>
      <c r="T138" s="26">
        <v>0</v>
      </c>
      <c r="U138" s="26">
        <v>4.6780531356812222E-4</v>
      </c>
      <c r="V138" s="26">
        <v>4.722191823356421E-4</v>
      </c>
      <c r="W138" s="26">
        <v>3.1134538227545303E-4</v>
      </c>
      <c r="X138" s="26">
        <v>4.8128281001920403E-2</v>
      </c>
      <c r="Y138" s="26">
        <v>4.9379650880099622E-2</v>
      </c>
      <c r="Z138" s="28">
        <v>0</v>
      </c>
      <c r="AA138" s="28">
        <v>2.3145477658575108E-3</v>
      </c>
      <c r="AB138" s="28">
        <v>8.2547439225250213E-5</v>
      </c>
      <c r="AC138" s="28">
        <v>1.5438989133449149E-4</v>
      </c>
      <c r="AD138" s="28">
        <v>1.3884723013371031E-4</v>
      </c>
      <c r="AE138" s="28">
        <v>4.1911350985987536E-3</v>
      </c>
      <c r="AF138" s="28">
        <v>6.8814674251497163E-3</v>
      </c>
      <c r="AG138" s="30">
        <v>0</v>
      </c>
      <c r="AH138" s="30">
        <v>1.228469691721989E-5</v>
      </c>
      <c r="AI138" s="30">
        <v>3.0935457184536091E-4</v>
      </c>
      <c r="AJ138" s="30">
        <v>3.7507357872791961E-4</v>
      </c>
      <c r="AK138" s="30">
        <v>1.881184634596107E-4</v>
      </c>
      <c r="AL138" s="30">
        <v>1.27596213245302E-2</v>
      </c>
      <c r="AM138" s="30">
        <v>1.3644452635480312E-2</v>
      </c>
      <c r="AN138" s="32">
        <v>0</v>
      </c>
      <c r="AO138" s="32">
        <v>8.7500264113198857E-6</v>
      </c>
      <c r="AP138" s="32">
        <v>7.308690791712847E-7</v>
      </c>
      <c r="AQ138" s="32">
        <v>7.4641524221169363E-7</v>
      </c>
      <c r="AR138" s="32">
        <v>7.6446008528110175E-7</v>
      </c>
      <c r="AS138" s="32">
        <v>1.189596265994029E-5</v>
      </c>
      <c r="AT138" s="32">
        <v>2.2887733477924257E-5</v>
      </c>
      <c r="AU138" s="34">
        <v>0</v>
      </c>
      <c r="AV138" s="34">
        <v>0</v>
      </c>
      <c r="AW138" s="34">
        <v>8.1766643948489922E-3</v>
      </c>
      <c r="AX138" s="34">
        <v>0.17647448414364728</v>
      </c>
      <c r="AY138" s="34">
        <v>0.15791437786957357</v>
      </c>
      <c r="AZ138" s="34">
        <v>0.67170674510399264</v>
      </c>
      <c r="BA138" s="34">
        <v>1.0142722715120625</v>
      </c>
      <c r="BB138" s="6"/>
      <c r="BC138" s="6"/>
      <c r="BD138" t="s">
        <v>924</v>
      </c>
      <c r="BF138" s="5">
        <v>5.6910385000000001E-2</v>
      </c>
      <c r="BG138" s="5">
        <f t="shared" si="6"/>
        <v>-8.23782394731324E-3</v>
      </c>
      <c r="BH138" s="2">
        <v>135.17749000000001</v>
      </c>
    </row>
    <row r="139" spans="1:60" x14ac:dyDescent="0.2">
      <c r="A139" t="str">
        <f t="shared" si="7"/>
        <v>Scooter, battery electric, &lt;4kW - 2040 - NMC - CH</v>
      </c>
      <c r="B139" t="s">
        <v>653</v>
      </c>
      <c r="D139" s="18">
        <v>2040</v>
      </c>
      <c r="E139" t="s">
        <v>37</v>
      </c>
      <c r="F139" t="s">
        <v>136</v>
      </c>
      <c r="G139" t="s">
        <v>39</v>
      </c>
      <c r="H139" t="s">
        <v>32</v>
      </c>
      <c r="I139" t="s">
        <v>42</v>
      </c>
      <c r="J139" t="s">
        <v>464</v>
      </c>
      <c r="L139" s="24">
        <v>0</v>
      </c>
      <c r="M139" s="24">
        <v>0</v>
      </c>
      <c r="N139" s="24">
        <v>8.2069290027614555E-4</v>
      </c>
      <c r="O139" s="24">
        <v>1.2306591692257861E-2</v>
      </c>
      <c r="P139" s="24">
        <v>4.5011338347519464E-3</v>
      </c>
      <c r="Q139" s="24">
        <v>4.7992199093471993E-2</v>
      </c>
      <c r="R139" s="24">
        <v>6.5620617520757943E-2</v>
      </c>
      <c r="S139" s="26">
        <v>0</v>
      </c>
      <c r="T139" s="26">
        <v>0</v>
      </c>
      <c r="U139" s="26">
        <v>4.6780531356812222E-4</v>
      </c>
      <c r="V139" s="26">
        <v>4.722191823356421E-4</v>
      </c>
      <c r="W139" s="26">
        <v>3.1136168175454492E-4</v>
      </c>
      <c r="X139" s="26">
        <v>4.5524939581790262E-2</v>
      </c>
      <c r="Y139" s="26">
        <v>4.6776325759448574E-2</v>
      </c>
      <c r="Z139" s="28">
        <v>0</v>
      </c>
      <c r="AA139" s="28">
        <v>2.3145477658575108E-3</v>
      </c>
      <c r="AB139" s="28">
        <v>8.2547439225250213E-5</v>
      </c>
      <c r="AC139" s="28">
        <v>1.5438989133449149E-4</v>
      </c>
      <c r="AD139" s="28">
        <v>1.3885463932009301E-4</v>
      </c>
      <c r="AE139" s="28">
        <v>4.0664740355196034E-3</v>
      </c>
      <c r="AF139" s="28">
        <v>6.7568137712569485E-3</v>
      </c>
      <c r="AG139" s="30">
        <v>0</v>
      </c>
      <c r="AH139" s="30">
        <v>1.228469691721989E-5</v>
      </c>
      <c r="AI139" s="30">
        <v>3.0935457184536091E-4</v>
      </c>
      <c r="AJ139" s="30">
        <v>3.7507357872791961E-4</v>
      </c>
      <c r="AK139" s="30">
        <v>1.881253782640265E-4</v>
      </c>
      <c r="AL139" s="30">
        <v>1.252915806510028E-2</v>
      </c>
      <c r="AM139" s="30">
        <v>1.3413996290854806E-2</v>
      </c>
      <c r="AN139" s="32">
        <v>0</v>
      </c>
      <c r="AO139" s="32">
        <v>8.7500264113198857E-6</v>
      </c>
      <c r="AP139" s="32">
        <v>7.308690791712847E-7</v>
      </c>
      <c r="AQ139" s="32">
        <v>7.4641524221169363E-7</v>
      </c>
      <c r="AR139" s="32">
        <v>7.6448738848068806E-7</v>
      </c>
      <c r="AS139" s="32">
        <v>1.145309309929765E-5</v>
      </c>
      <c r="AT139" s="32">
        <v>2.24448912204812E-5</v>
      </c>
      <c r="AU139" s="34">
        <v>0</v>
      </c>
      <c r="AV139" s="34">
        <v>0</v>
      </c>
      <c r="AW139" s="34">
        <v>8.1766643948489922E-3</v>
      </c>
      <c r="AX139" s="34">
        <v>0.17647448414364728</v>
      </c>
      <c r="AY139" s="34">
        <v>0.15792282826126669</v>
      </c>
      <c r="AZ139" s="34">
        <v>0.66945087186209751</v>
      </c>
      <c r="BA139" s="34">
        <v>1.0120248486618606</v>
      </c>
      <c r="BB139" s="6"/>
      <c r="BC139" s="6"/>
      <c r="BD139" t="s">
        <v>925</v>
      </c>
      <c r="BF139" s="5">
        <v>5.6843547000000001E-2</v>
      </c>
      <c r="BG139" s="5">
        <f t="shared" si="6"/>
        <v>-8.7770705207579416E-3</v>
      </c>
      <c r="BH139" s="2">
        <v>130.24121</v>
      </c>
    </row>
    <row r="140" spans="1:60" x14ac:dyDescent="0.2">
      <c r="A140" t="str">
        <f t="shared" si="7"/>
        <v>Scooter, battery electric, &lt;4kW - 2050 - NMC - CH</v>
      </c>
      <c r="B140" t="s">
        <v>653</v>
      </c>
      <c r="D140" s="18">
        <v>2050</v>
      </c>
      <c r="E140" t="s">
        <v>37</v>
      </c>
      <c r="F140" t="s">
        <v>136</v>
      </c>
      <c r="G140" t="s">
        <v>39</v>
      </c>
      <c r="H140" t="s">
        <v>32</v>
      </c>
      <c r="I140" t="s">
        <v>42</v>
      </c>
      <c r="J140" t="s">
        <v>464</v>
      </c>
      <c r="L140" s="24">
        <v>0</v>
      </c>
      <c r="M140" s="24">
        <v>0</v>
      </c>
      <c r="N140" s="24">
        <v>8.2069290027614555E-4</v>
      </c>
      <c r="O140" s="24">
        <v>1.2306591692257861E-2</v>
      </c>
      <c r="P140" s="24">
        <v>4.5033643746692949E-3</v>
      </c>
      <c r="Q140" s="24">
        <v>4.8269122650915271E-2</v>
      </c>
      <c r="R140" s="24">
        <v>6.589977161811858E-2</v>
      </c>
      <c r="S140" s="26">
        <v>0</v>
      </c>
      <c r="T140" s="26">
        <v>0</v>
      </c>
      <c r="U140" s="26">
        <v>4.6780531356812222E-4</v>
      </c>
      <c r="V140" s="26">
        <v>4.722191823356421E-4</v>
      </c>
      <c r="W140" s="26">
        <v>3.1150262430904518E-4</v>
      </c>
      <c r="X140" s="26">
        <v>4.2527644610276888E-2</v>
      </c>
      <c r="Y140" s="26">
        <v>4.3779171730489695E-2</v>
      </c>
      <c r="Z140" s="28">
        <v>0</v>
      </c>
      <c r="AA140" s="28">
        <v>2.3145477658575108E-3</v>
      </c>
      <c r="AB140" s="28">
        <v>8.2547439225250213E-5</v>
      </c>
      <c r="AC140" s="28">
        <v>1.5438989133449149E-4</v>
      </c>
      <c r="AD140" s="28">
        <v>1.3891870699057909E-4</v>
      </c>
      <c r="AE140" s="28">
        <v>3.9105185703264813E-3</v>
      </c>
      <c r="AF140" s="28">
        <v>6.600922373734313E-3</v>
      </c>
      <c r="AG140" s="30">
        <v>0</v>
      </c>
      <c r="AH140" s="30">
        <v>1.228469691721989E-5</v>
      </c>
      <c r="AI140" s="30">
        <v>3.0935457184536091E-4</v>
      </c>
      <c r="AJ140" s="30">
        <v>3.7507357872791961E-4</v>
      </c>
      <c r="AK140" s="30">
        <v>1.8818517098456291E-4</v>
      </c>
      <c r="AL140" s="30">
        <v>1.221833230624189E-2</v>
      </c>
      <c r="AM140" s="30">
        <v>1.3103230324716953E-2</v>
      </c>
      <c r="AN140" s="32">
        <v>0</v>
      </c>
      <c r="AO140" s="32">
        <v>8.7500264113198857E-6</v>
      </c>
      <c r="AP140" s="32">
        <v>7.308690791712847E-7</v>
      </c>
      <c r="AQ140" s="32">
        <v>7.4641524221169363E-7</v>
      </c>
      <c r="AR140" s="32">
        <v>7.6472348085358094E-7</v>
      </c>
      <c r="AS140" s="32">
        <v>1.094014660301449E-5</v>
      </c>
      <c r="AT140" s="32">
        <v>2.1932180816570937E-5</v>
      </c>
      <c r="AU140" s="34">
        <v>0</v>
      </c>
      <c r="AV140" s="34">
        <v>0</v>
      </c>
      <c r="AW140" s="34">
        <v>8.1766643948489922E-3</v>
      </c>
      <c r="AX140" s="34">
        <v>0.17647448414364728</v>
      </c>
      <c r="AY140" s="34">
        <v>0.1579958992953191</v>
      </c>
      <c r="AZ140" s="34">
        <v>0.66415462442150097</v>
      </c>
      <c r="BA140" s="34">
        <v>1.0068016722553164</v>
      </c>
      <c r="BB140" s="6"/>
      <c r="BC140" s="6"/>
      <c r="BD140" t="s">
        <v>926</v>
      </c>
      <c r="BF140" s="5">
        <v>5.666819E-2</v>
      </c>
      <c r="BG140" s="5">
        <f t="shared" si="6"/>
        <v>-9.2315816181185797E-3</v>
      </c>
      <c r="BH140" s="2">
        <v>124.62658999999999</v>
      </c>
    </row>
    <row r="141" spans="1:60" x14ac:dyDescent="0.2">
      <c r="A141" t="str">
        <f t="shared" si="7"/>
        <v>Scooter, battery electric, 4-11kW - 2020 - NMC - CH</v>
      </c>
      <c r="B141" t="s">
        <v>654</v>
      </c>
      <c r="D141" s="18">
        <v>2020</v>
      </c>
      <c r="E141" t="s">
        <v>37</v>
      </c>
      <c r="F141" t="s">
        <v>136</v>
      </c>
      <c r="G141" t="s">
        <v>39</v>
      </c>
      <c r="H141" t="s">
        <v>32</v>
      </c>
      <c r="I141" t="s">
        <v>42</v>
      </c>
      <c r="J141" t="s">
        <v>464</v>
      </c>
      <c r="L141" s="24">
        <v>0</v>
      </c>
      <c r="M141" s="24">
        <v>0</v>
      </c>
      <c r="N141" s="24">
        <v>1.164988379267724E-3</v>
      </c>
      <c r="O141" s="24">
        <v>1.2306591692257861E-2</v>
      </c>
      <c r="P141" s="24">
        <v>4.6388355337311166E-3</v>
      </c>
      <c r="Q141" s="24">
        <v>6.5220914497343074E-2</v>
      </c>
      <c r="R141" s="24">
        <v>8.3331330102599771E-2</v>
      </c>
      <c r="S141" s="26">
        <v>0</v>
      </c>
      <c r="T141" s="26">
        <v>0</v>
      </c>
      <c r="U141" s="26">
        <v>6.6405808297254575E-4</v>
      </c>
      <c r="V141" s="26">
        <v>4.722191823356421E-4</v>
      </c>
      <c r="W141" s="26">
        <v>3.200627272109453E-4</v>
      </c>
      <c r="X141" s="26">
        <v>7.5855735783844858E-2</v>
      </c>
      <c r="Y141" s="26">
        <v>7.7312075776363995E-2</v>
      </c>
      <c r="Z141" s="28">
        <v>0</v>
      </c>
      <c r="AA141" s="28">
        <v>2.3145477658575108E-3</v>
      </c>
      <c r="AB141" s="28">
        <v>1.17177579339808E-4</v>
      </c>
      <c r="AC141" s="28">
        <v>1.5438989133449149E-4</v>
      </c>
      <c r="AD141" s="28">
        <v>1.4280983734499901E-4</v>
      </c>
      <c r="AE141" s="28">
        <v>6.2599544064963521E-3</v>
      </c>
      <c r="AF141" s="28">
        <v>8.9888794803731614E-3</v>
      </c>
      <c r="AG141" s="30">
        <v>0</v>
      </c>
      <c r="AH141" s="30">
        <v>1.228469691721989E-5</v>
      </c>
      <c r="AI141" s="30">
        <v>4.3913439625458252E-4</v>
      </c>
      <c r="AJ141" s="30">
        <v>3.7507357872791961E-4</v>
      </c>
      <c r="AK141" s="30">
        <v>1.9181666356244949E-4</v>
      </c>
      <c r="AL141" s="30">
        <v>1.8896849337480471E-2</v>
      </c>
      <c r="AM141" s="30">
        <v>1.9915158672942641E-2</v>
      </c>
      <c r="AN141" s="32">
        <v>0</v>
      </c>
      <c r="AO141" s="32">
        <v>8.7500264113198857E-6</v>
      </c>
      <c r="AP141" s="32">
        <v>1.037481844565918E-6</v>
      </c>
      <c r="AQ141" s="32">
        <v>7.4641524221169363E-7</v>
      </c>
      <c r="AR141" s="32">
        <v>7.7906247884805842E-7</v>
      </c>
      <c r="AS141" s="32">
        <v>1.7332071878643611E-5</v>
      </c>
      <c r="AT141" s="32">
        <v>2.8645057855589166E-5</v>
      </c>
      <c r="AU141" s="34">
        <v>0</v>
      </c>
      <c r="AV141" s="34">
        <v>0</v>
      </c>
      <c r="AW141" s="34">
        <v>1.1606922635697264E-2</v>
      </c>
      <c r="AX141" s="34">
        <v>0.17647448414364728</v>
      </c>
      <c r="AY141" s="34">
        <v>0.16243384617980774</v>
      </c>
      <c r="AZ141" s="34">
        <v>0.94145771503012154</v>
      </c>
      <c r="BA141" s="34">
        <v>1.291972967989274</v>
      </c>
      <c r="BB141" s="6"/>
      <c r="BC141" s="6"/>
      <c r="BD141" t="s">
        <v>927</v>
      </c>
      <c r="BF141" s="5">
        <v>7.0513389999999995E-2</v>
      </c>
      <c r="BG141" s="5">
        <f t="shared" si="6"/>
        <v>-1.2817940102599776E-2</v>
      </c>
      <c r="BH141" s="2">
        <v>187.63643999999999</v>
      </c>
    </row>
    <row r="142" spans="1:60" x14ac:dyDescent="0.2">
      <c r="A142" t="str">
        <f t="shared" si="7"/>
        <v>Scooter, battery electric, 4-11kW - 2030 - NMC - CH</v>
      </c>
      <c r="B142" t="s">
        <v>654</v>
      </c>
      <c r="D142" s="18">
        <v>2030</v>
      </c>
      <c r="E142" t="s">
        <v>37</v>
      </c>
      <c r="F142" t="s">
        <v>136</v>
      </c>
      <c r="G142" t="s">
        <v>39</v>
      </c>
      <c r="H142" t="s">
        <v>32</v>
      </c>
      <c r="I142" t="s">
        <v>42</v>
      </c>
      <c r="J142" t="s">
        <v>464</v>
      </c>
      <c r="L142" s="24">
        <v>0</v>
      </c>
      <c r="M142" s="24">
        <v>0</v>
      </c>
      <c r="N142" s="24">
        <v>1.164988379267724E-3</v>
      </c>
      <c r="O142" s="24">
        <v>1.2306591692257861E-2</v>
      </c>
      <c r="P142" s="24">
        <v>4.642158582995738E-3</v>
      </c>
      <c r="Q142" s="24">
        <v>6.503158780121078E-2</v>
      </c>
      <c r="R142" s="24">
        <v>8.314532645573211E-2</v>
      </c>
      <c r="S142" s="26">
        <v>0</v>
      </c>
      <c r="T142" s="26">
        <v>0</v>
      </c>
      <c r="U142" s="26">
        <v>6.6405808297254575E-4</v>
      </c>
      <c r="V142" s="26">
        <v>4.722191823356421E-4</v>
      </c>
      <c r="W142" s="26">
        <v>3.2027270285336419E-4</v>
      </c>
      <c r="X142" s="26">
        <v>6.9370588654902351E-2</v>
      </c>
      <c r="Y142" s="26">
        <v>7.0827138623063904E-2</v>
      </c>
      <c r="Z142" s="28">
        <v>0</v>
      </c>
      <c r="AA142" s="28">
        <v>2.3145477658575108E-3</v>
      </c>
      <c r="AB142" s="28">
        <v>1.17177579339808E-4</v>
      </c>
      <c r="AC142" s="28">
        <v>1.5438989133449149E-4</v>
      </c>
      <c r="AD142" s="28">
        <v>1.429052850989885E-4</v>
      </c>
      <c r="AE142" s="28">
        <v>5.8853804346952407E-3</v>
      </c>
      <c r="AF142" s="28">
        <v>8.6144009563260404E-3</v>
      </c>
      <c r="AG142" s="30">
        <v>0</v>
      </c>
      <c r="AH142" s="30">
        <v>1.228469691721989E-5</v>
      </c>
      <c r="AI142" s="30">
        <v>4.3913439625458252E-4</v>
      </c>
      <c r="AJ142" s="30">
        <v>3.7507357872791961E-4</v>
      </c>
      <c r="AK142" s="30">
        <v>1.919057425134528E-4</v>
      </c>
      <c r="AL142" s="30">
        <v>1.80927369906165E-2</v>
      </c>
      <c r="AM142" s="30">
        <v>1.9111135405029674E-2</v>
      </c>
      <c r="AN142" s="32">
        <v>0</v>
      </c>
      <c r="AO142" s="32">
        <v>8.7500264113198857E-6</v>
      </c>
      <c r="AP142" s="32">
        <v>1.037481844565918E-6</v>
      </c>
      <c r="AQ142" s="32">
        <v>7.4641524221169363E-7</v>
      </c>
      <c r="AR142" s="32">
        <v>7.7941420830155207E-7</v>
      </c>
      <c r="AS142" s="32">
        <v>1.6208929880458181E-5</v>
      </c>
      <c r="AT142" s="32">
        <v>2.7522267586857232E-5</v>
      </c>
      <c r="AU142" s="34">
        <v>0</v>
      </c>
      <c r="AV142" s="34">
        <v>0</v>
      </c>
      <c r="AW142" s="34">
        <v>1.1606922635697264E-2</v>
      </c>
      <c r="AX142" s="34">
        <v>0.17647448414364728</v>
      </c>
      <c r="AY142" s="34">
        <v>0.16254270710808991</v>
      </c>
      <c r="AZ142" s="34">
        <v>0.92193573824767916</v>
      </c>
      <c r="BA142" s="34">
        <v>1.2725598521351136</v>
      </c>
      <c r="BB142" s="6"/>
      <c r="BC142" s="6"/>
      <c r="BD142" t="s">
        <v>928</v>
      </c>
      <c r="BF142" s="5">
        <v>6.9801329000000009E-2</v>
      </c>
      <c r="BG142" s="5">
        <f t="shared" si="6"/>
        <v>-1.3343997455732101E-2</v>
      </c>
      <c r="BH142" s="2">
        <v>175.51417999999998</v>
      </c>
    </row>
    <row r="143" spans="1:60" x14ac:dyDescent="0.2">
      <c r="A143" t="str">
        <f t="shared" si="7"/>
        <v>Scooter, battery electric, 4-11kW - 2040 - NMC - CH</v>
      </c>
      <c r="B143" t="s">
        <v>654</v>
      </c>
      <c r="D143" s="18">
        <v>2040</v>
      </c>
      <c r="E143" t="s">
        <v>37</v>
      </c>
      <c r="F143" t="s">
        <v>136</v>
      </c>
      <c r="G143" t="s">
        <v>39</v>
      </c>
      <c r="H143" t="s">
        <v>32</v>
      </c>
      <c r="I143" t="s">
        <v>42</v>
      </c>
      <c r="J143" t="s">
        <v>464</v>
      </c>
      <c r="L143" s="24">
        <v>0</v>
      </c>
      <c r="M143" s="24">
        <v>0</v>
      </c>
      <c r="N143" s="24">
        <v>1.164988379267724E-3</v>
      </c>
      <c r="O143" s="24">
        <v>1.2306591692257861E-2</v>
      </c>
      <c r="P143" s="24">
        <v>4.6433876560114202E-3</v>
      </c>
      <c r="Q143" s="24">
        <v>6.5002983175688159E-2</v>
      </c>
      <c r="R143" s="24">
        <v>8.3117950903225157E-2</v>
      </c>
      <c r="S143" s="26">
        <v>0</v>
      </c>
      <c r="T143" s="26">
        <v>0</v>
      </c>
      <c r="U143" s="26">
        <v>6.6405808297254575E-4</v>
      </c>
      <c r="V143" s="26">
        <v>4.722191823356421E-4</v>
      </c>
      <c r="W143" s="26">
        <v>3.2035036507727262E-4</v>
      </c>
      <c r="X143" s="26">
        <v>6.5244133849543445E-2</v>
      </c>
      <c r="Y143" s="26">
        <v>6.6700761479928899E-2</v>
      </c>
      <c r="Z143" s="28">
        <v>0</v>
      </c>
      <c r="AA143" s="28">
        <v>2.3145477658575108E-3</v>
      </c>
      <c r="AB143" s="28">
        <v>1.17177579339808E-4</v>
      </c>
      <c r="AC143" s="28">
        <v>1.5438989133449149E-4</v>
      </c>
      <c r="AD143" s="28">
        <v>1.4294058769292981E-4</v>
      </c>
      <c r="AE143" s="28">
        <v>5.6513116441916653E-3</v>
      </c>
      <c r="AF143" s="28">
        <v>8.380367468416406E-3</v>
      </c>
      <c r="AG143" s="30">
        <v>0</v>
      </c>
      <c r="AH143" s="30">
        <v>1.228469691721989E-5</v>
      </c>
      <c r="AI143" s="30">
        <v>4.3913439625458252E-4</v>
      </c>
      <c r="AJ143" s="30">
        <v>3.7507357872791961E-4</v>
      </c>
      <c r="AK143" s="30">
        <v>1.9193868952272801E-4</v>
      </c>
      <c r="AL143" s="30">
        <v>1.7596843272735939E-2</v>
      </c>
      <c r="AM143" s="30">
        <v>1.861527463415839E-2</v>
      </c>
      <c r="AN143" s="32">
        <v>0</v>
      </c>
      <c r="AO143" s="32">
        <v>8.7500264113198857E-6</v>
      </c>
      <c r="AP143" s="32">
        <v>1.037481844565918E-6</v>
      </c>
      <c r="AQ143" s="32">
        <v>7.4641524221169363E-7</v>
      </c>
      <c r="AR143" s="32">
        <v>7.7954430001722768E-7</v>
      </c>
      <c r="AS143" s="32">
        <v>1.5495207038674772E-5</v>
      </c>
      <c r="AT143" s="32">
        <v>2.6808674836789495E-5</v>
      </c>
      <c r="AU143" s="34">
        <v>0</v>
      </c>
      <c r="AV143" s="34">
        <v>0</v>
      </c>
      <c r="AW143" s="34">
        <v>1.1606922635697264E-2</v>
      </c>
      <c r="AX143" s="34">
        <v>0.17647448414364728</v>
      </c>
      <c r="AY143" s="34">
        <v>0.16258297073909836</v>
      </c>
      <c r="AZ143" s="34">
        <v>0.91044127029277888</v>
      </c>
      <c r="BA143" s="34">
        <v>1.2611056478112217</v>
      </c>
      <c r="BB143" s="6"/>
      <c r="BC143" s="6"/>
      <c r="BD143" t="s">
        <v>929</v>
      </c>
      <c r="BF143" s="5">
        <v>6.9378835999999999E-2</v>
      </c>
      <c r="BG143" s="5">
        <f t="shared" si="6"/>
        <v>-1.3739114903225158E-2</v>
      </c>
      <c r="BH143" s="2">
        <v>167.7681</v>
      </c>
    </row>
    <row r="144" spans="1:60" x14ac:dyDescent="0.2">
      <c r="A144" t="str">
        <f t="shared" si="7"/>
        <v>Scooter, battery electric, 4-11kW - 2050 - NMC - CH</v>
      </c>
      <c r="B144" t="s">
        <v>654</v>
      </c>
      <c r="D144" s="18">
        <v>2050</v>
      </c>
      <c r="E144" t="s">
        <v>37</v>
      </c>
      <c r="F144" t="s">
        <v>136</v>
      </c>
      <c r="G144" t="s">
        <v>39</v>
      </c>
      <c r="H144" t="s">
        <v>32</v>
      </c>
      <c r="I144" t="s">
        <v>42</v>
      </c>
      <c r="J144" t="s">
        <v>464</v>
      </c>
      <c r="L144" s="24">
        <v>0</v>
      </c>
      <c r="M144" s="24">
        <v>0</v>
      </c>
      <c r="N144" s="24">
        <v>1.164988379267724E-3</v>
      </c>
      <c r="O144" s="24">
        <v>1.2306591692257861E-2</v>
      </c>
      <c r="P144" s="24">
        <v>4.6422496254413448E-3</v>
      </c>
      <c r="Q144" s="24">
        <v>6.4048206979410882E-2</v>
      </c>
      <c r="R144" s="24">
        <v>8.2162036676377809E-2</v>
      </c>
      <c r="S144" s="26">
        <v>0</v>
      </c>
      <c r="T144" s="26">
        <v>0</v>
      </c>
      <c r="U144" s="26">
        <v>6.6405808297254575E-4</v>
      </c>
      <c r="V144" s="26">
        <v>4.722191823356421E-4</v>
      </c>
      <c r="W144" s="26">
        <v>3.2027845561069079E-4</v>
      </c>
      <c r="X144" s="26">
        <v>5.9304922010804277E-2</v>
      </c>
      <c r="Y144" s="26">
        <v>6.0761477731723156E-2</v>
      </c>
      <c r="Z144" s="28">
        <v>0</v>
      </c>
      <c r="AA144" s="28">
        <v>2.3145477658575108E-3</v>
      </c>
      <c r="AB144" s="28">
        <v>1.17177579339808E-4</v>
      </c>
      <c r="AC144" s="28">
        <v>1.5438989133449149E-4</v>
      </c>
      <c r="AD144" s="28">
        <v>1.4290790010594711E-4</v>
      </c>
      <c r="AE144" s="28">
        <v>5.2713228626062826E-3</v>
      </c>
      <c r="AF144" s="28">
        <v>8.0003459992440407E-3</v>
      </c>
      <c r="AG144" s="30">
        <v>0</v>
      </c>
      <c r="AH144" s="30">
        <v>1.228469691721989E-5</v>
      </c>
      <c r="AI144" s="30">
        <v>4.3913439625458252E-4</v>
      </c>
      <c r="AJ144" s="30">
        <v>3.7507357872791961E-4</v>
      </c>
      <c r="AK144" s="30">
        <v>1.919081830326583E-4</v>
      </c>
      <c r="AL144" s="30">
        <v>1.6731104054267951E-2</v>
      </c>
      <c r="AM144" s="30">
        <v>1.7749504909200332E-2</v>
      </c>
      <c r="AN144" s="32">
        <v>0</v>
      </c>
      <c r="AO144" s="32">
        <v>8.7500264113198857E-6</v>
      </c>
      <c r="AP144" s="32">
        <v>1.037481844565918E-6</v>
      </c>
      <c r="AQ144" s="32">
        <v>7.4641524221169363E-7</v>
      </c>
      <c r="AR144" s="32">
        <v>7.7942384472493537E-7</v>
      </c>
      <c r="AS144" s="32">
        <v>1.445185205113875E-5</v>
      </c>
      <c r="AT144" s="32">
        <v>2.5765199393961183E-5</v>
      </c>
      <c r="AU144" s="34">
        <v>0</v>
      </c>
      <c r="AV144" s="34">
        <v>0</v>
      </c>
      <c r="AW144" s="34">
        <v>1.1606922635697264E-2</v>
      </c>
      <c r="AX144" s="34">
        <v>0.17647448414364728</v>
      </c>
      <c r="AY144" s="34">
        <v>0.16254568959927568</v>
      </c>
      <c r="AZ144" s="34">
        <v>0.88454203144414301</v>
      </c>
      <c r="BA144" s="34">
        <v>1.2351691278227632</v>
      </c>
      <c r="BB144" s="6"/>
      <c r="BC144" s="6"/>
      <c r="BD144" t="s">
        <v>930</v>
      </c>
      <c r="BF144" s="5">
        <v>6.8391824000000004E-2</v>
      </c>
      <c r="BG144" s="5">
        <f t="shared" si="6"/>
        <v>-1.3770212676377805E-2</v>
      </c>
      <c r="BH144" s="2">
        <v>156.70670000000001</v>
      </c>
    </row>
    <row r="145" spans="1:60" x14ac:dyDescent="0.2">
      <c r="A145" t="str">
        <f t="shared" si="7"/>
        <v>Scooter, battery electric, &lt;4kW - 2020 - LFP - CH</v>
      </c>
      <c r="B145" t="s">
        <v>653</v>
      </c>
      <c r="D145" s="18">
        <v>2020</v>
      </c>
      <c r="E145" t="s">
        <v>37</v>
      </c>
      <c r="F145" t="s">
        <v>136</v>
      </c>
      <c r="G145" t="s">
        <v>39</v>
      </c>
      <c r="H145" t="s">
        <v>32</v>
      </c>
      <c r="I145" t="s">
        <v>43</v>
      </c>
      <c r="J145" t="s">
        <v>464</v>
      </c>
      <c r="L145" s="24">
        <v>0</v>
      </c>
      <c r="M145" s="24">
        <v>0</v>
      </c>
      <c r="N145" s="24">
        <v>8.2069290027614555E-4</v>
      </c>
      <c r="O145" s="24">
        <v>1.2306591692257861E-2</v>
      </c>
      <c r="P145" s="24">
        <v>4.5680500322724032E-3</v>
      </c>
      <c r="Q145" s="24">
        <v>5.8797909621316473E-2</v>
      </c>
      <c r="R145" s="24">
        <v>7.6493244246122888E-2</v>
      </c>
      <c r="S145" s="26">
        <v>0</v>
      </c>
      <c r="T145" s="26">
        <v>0</v>
      </c>
      <c r="U145" s="26">
        <v>4.6780531356812222E-4</v>
      </c>
      <c r="V145" s="26">
        <v>4.722191823356421E-4</v>
      </c>
      <c r="W145" s="26">
        <v>3.1558995838955599E-4</v>
      </c>
      <c r="X145" s="26">
        <v>3.6415235241779427E-2</v>
      </c>
      <c r="Y145" s="26">
        <v>3.7670849696072747E-2</v>
      </c>
      <c r="Z145" s="28">
        <v>0</v>
      </c>
      <c r="AA145" s="28">
        <v>2.3145477658575108E-3</v>
      </c>
      <c r="AB145" s="28">
        <v>8.2547439225250213E-5</v>
      </c>
      <c r="AC145" s="28">
        <v>1.5438989133449149E-4</v>
      </c>
      <c r="AD145" s="28">
        <v>1.407766694346754E-4</v>
      </c>
      <c r="AE145" s="28">
        <v>4.4453693114975641E-3</v>
      </c>
      <c r="AF145" s="28">
        <v>7.1376310773494916E-3</v>
      </c>
      <c r="AG145" s="30">
        <v>0</v>
      </c>
      <c r="AH145" s="30">
        <v>1.228469691721989E-5</v>
      </c>
      <c r="AI145" s="30">
        <v>3.0935457184536091E-4</v>
      </c>
      <c r="AJ145" s="30">
        <v>3.7507357872791961E-4</v>
      </c>
      <c r="AK145" s="30">
        <v>1.899191598801197E-4</v>
      </c>
      <c r="AL145" s="30">
        <v>1.5198204312620671E-2</v>
      </c>
      <c r="AM145" s="30">
        <v>1.6084836319991292E-2</v>
      </c>
      <c r="AN145" s="32">
        <v>0</v>
      </c>
      <c r="AO145" s="32">
        <v>8.7500264113198857E-6</v>
      </c>
      <c r="AP145" s="32">
        <v>7.308690791712847E-7</v>
      </c>
      <c r="AQ145" s="32">
        <v>7.4641524221169363E-7</v>
      </c>
      <c r="AR145" s="32">
        <v>7.7157015966747627E-7</v>
      </c>
      <c r="AS145" s="32">
        <v>1.095171499273861E-5</v>
      </c>
      <c r="AT145" s="32">
        <v>2.1950595885108951E-5</v>
      </c>
      <c r="AU145" s="34">
        <v>0</v>
      </c>
      <c r="AV145" s="34">
        <v>0</v>
      </c>
      <c r="AW145" s="34">
        <v>8.1766643948489922E-3</v>
      </c>
      <c r="AX145" s="34">
        <v>0.17647448414364728</v>
      </c>
      <c r="AY145" s="34">
        <v>0.1601149592828387</v>
      </c>
      <c r="AZ145" s="34">
        <v>0.79945311067587588</v>
      </c>
      <c r="BA145" s="34">
        <v>1.1442192184972109</v>
      </c>
      <c r="BB145" s="6"/>
      <c r="BC145" s="6"/>
      <c r="BD145" t="s">
        <v>702</v>
      </c>
      <c r="BF145" s="5">
        <v>6.829797E-2</v>
      </c>
      <c r="BG145" s="5">
        <f t="shared" si="6"/>
        <v>-8.1952742461228884E-3</v>
      </c>
      <c r="BH145" s="2">
        <v>175.3049</v>
      </c>
    </row>
    <row r="146" spans="1:60" x14ac:dyDescent="0.2">
      <c r="A146" t="str">
        <f t="shared" si="7"/>
        <v>Scooter, battery electric, &lt;4kW - 2030 - LFP - CH</v>
      </c>
      <c r="B146" t="s">
        <v>653</v>
      </c>
      <c r="D146" s="18">
        <v>2030</v>
      </c>
      <c r="E146" t="s">
        <v>37</v>
      </c>
      <c r="F146" t="s">
        <v>136</v>
      </c>
      <c r="G146" t="s">
        <v>39</v>
      </c>
      <c r="H146" t="s">
        <v>32</v>
      </c>
      <c r="I146" t="s">
        <v>43</v>
      </c>
      <c r="J146" t="s">
        <v>464</v>
      </c>
      <c r="L146" s="24">
        <v>0</v>
      </c>
      <c r="M146" s="24">
        <v>0</v>
      </c>
      <c r="N146" s="24">
        <v>8.2069290027614555E-4</v>
      </c>
      <c r="O146" s="24">
        <v>1.2306591692257861E-2</v>
      </c>
      <c r="P146" s="24">
        <v>4.6192310604439447E-3</v>
      </c>
      <c r="Q146" s="24">
        <v>6.4497265549715438E-2</v>
      </c>
      <c r="R146" s="24">
        <v>8.2243781202693392E-2</v>
      </c>
      <c r="S146" s="26">
        <v>0</v>
      </c>
      <c r="T146" s="26">
        <v>0</v>
      </c>
      <c r="U146" s="26">
        <v>4.6780531356812222E-4</v>
      </c>
      <c r="V146" s="26">
        <v>4.722191823356421E-4</v>
      </c>
      <c r="W146" s="26">
        <v>3.1882396679996239E-4</v>
      </c>
      <c r="X146" s="26">
        <v>3.871417729214565E-2</v>
      </c>
      <c r="Y146" s="26">
        <v>3.997302575484938E-2</v>
      </c>
      <c r="Z146" s="28">
        <v>0</v>
      </c>
      <c r="AA146" s="28">
        <v>2.3145477658575108E-3</v>
      </c>
      <c r="AB146" s="28">
        <v>8.2547439225250213E-5</v>
      </c>
      <c r="AC146" s="28">
        <v>1.5438989133449149E-4</v>
      </c>
      <c r="AD146" s="28">
        <v>1.4224673917991051E-4</v>
      </c>
      <c r="AE146" s="28">
        <v>4.8788215979681049E-3</v>
      </c>
      <c r="AF146" s="28">
        <v>7.572553433565268E-3</v>
      </c>
      <c r="AG146" s="30">
        <v>0</v>
      </c>
      <c r="AH146" s="30">
        <v>1.228469691721989E-5</v>
      </c>
      <c r="AI146" s="30">
        <v>3.0935457184536091E-4</v>
      </c>
      <c r="AJ146" s="30">
        <v>3.7507357872791961E-4</v>
      </c>
      <c r="AK146" s="30">
        <v>1.9129113842685031E-4</v>
      </c>
      <c r="AL146" s="30">
        <v>1.657752604065503E-2</v>
      </c>
      <c r="AM146" s="30">
        <v>1.746553002657238E-2</v>
      </c>
      <c r="AN146" s="32">
        <v>0</v>
      </c>
      <c r="AO146" s="32">
        <v>8.7500264113198857E-6</v>
      </c>
      <c r="AP146" s="32">
        <v>7.308690791712847E-7</v>
      </c>
      <c r="AQ146" s="32">
        <v>7.4641524221169363E-7</v>
      </c>
      <c r="AR146" s="32">
        <v>7.7698743567950284E-7</v>
      </c>
      <c r="AS146" s="32">
        <v>1.154459782110781E-5</v>
      </c>
      <c r="AT146" s="32">
        <v>2.2548895989490177E-5</v>
      </c>
      <c r="AU146" s="34">
        <v>0</v>
      </c>
      <c r="AV146" s="34">
        <v>0</v>
      </c>
      <c r="AW146" s="34">
        <v>8.1766643948489922E-3</v>
      </c>
      <c r="AX146" s="34">
        <v>0.17647448414364728</v>
      </c>
      <c r="AY146" s="34">
        <v>0.16179161641112952</v>
      </c>
      <c r="AZ146" s="34">
        <v>0.86824376484824595</v>
      </c>
      <c r="BA146" s="34">
        <v>1.2146865297978717</v>
      </c>
      <c r="BB146" s="6"/>
      <c r="BC146" s="6"/>
      <c r="BD146" t="s">
        <v>703</v>
      </c>
      <c r="BF146" s="5">
        <v>7.173146200000001E-2</v>
      </c>
      <c r="BG146" s="5">
        <f t="shared" si="6"/>
        <v>-1.0512319202693382E-2</v>
      </c>
      <c r="BH146" s="2">
        <v>185.04839000000001</v>
      </c>
    </row>
    <row r="147" spans="1:60" x14ac:dyDescent="0.2">
      <c r="A147" t="str">
        <f t="shared" si="7"/>
        <v>Scooter, battery electric, &lt;4kW - 2040 - LFP - CH</v>
      </c>
      <c r="B147" t="s">
        <v>653</v>
      </c>
      <c r="D147" s="18">
        <v>2040</v>
      </c>
      <c r="E147" t="s">
        <v>37</v>
      </c>
      <c r="F147" t="s">
        <v>136</v>
      </c>
      <c r="G147" t="s">
        <v>39</v>
      </c>
      <c r="H147" t="s">
        <v>32</v>
      </c>
      <c r="I147" t="s">
        <v>43</v>
      </c>
      <c r="J147" t="s">
        <v>464</v>
      </c>
      <c r="L147" s="24">
        <v>0</v>
      </c>
      <c r="M147" s="24">
        <v>0</v>
      </c>
      <c r="N147" s="24">
        <v>8.2069290027614555E-4</v>
      </c>
      <c r="O147" s="24">
        <v>1.2306591692257861E-2</v>
      </c>
      <c r="P147" s="24">
        <v>4.6441463430581366E-3</v>
      </c>
      <c r="Q147" s="24">
        <v>6.5440864546142355E-2</v>
      </c>
      <c r="R147" s="24">
        <v>8.3212295481734505E-2</v>
      </c>
      <c r="S147" s="26">
        <v>0</v>
      </c>
      <c r="T147" s="26">
        <v>0</v>
      </c>
      <c r="U147" s="26">
        <v>4.6780531356812222E-4</v>
      </c>
      <c r="V147" s="26">
        <v>4.722191823356421E-4</v>
      </c>
      <c r="W147" s="26">
        <v>3.2039830472166051E-4</v>
      </c>
      <c r="X147" s="26">
        <v>3.8330651956681491E-2</v>
      </c>
      <c r="Y147" s="26">
        <v>3.9591074757306915E-2</v>
      </c>
      <c r="Z147" s="28">
        <v>0</v>
      </c>
      <c r="AA147" s="28">
        <v>2.3145477658575108E-3</v>
      </c>
      <c r="AB147" s="28">
        <v>8.2547439225250213E-5</v>
      </c>
      <c r="AC147" s="28">
        <v>1.5438989133449149E-4</v>
      </c>
      <c r="AD147" s="28">
        <v>1.4296237941758489E-4</v>
      </c>
      <c r="AE147" s="28">
        <v>4.8890465065137504E-3</v>
      </c>
      <c r="AF147" s="28">
        <v>7.5834939823485881E-3</v>
      </c>
      <c r="AG147" s="30">
        <v>0</v>
      </c>
      <c r="AH147" s="30">
        <v>1.228469691721989E-5</v>
      </c>
      <c r="AI147" s="30">
        <v>3.0935457184536091E-4</v>
      </c>
      <c r="AJ147" s="30">
        <v>3.7507357872791961E-4</v>
      </c>
      <c r="AK147" s="30">
        <v>1.9195902718277441E-4</v>
      </c>
      <c r="AL147" s="30">
        <v>1.660881184858444E-2</v>
      </c>
      <c r="AM147" s="30">
        <v>1.7497483723257715E-2</v>
      </c>
      <c r="AN147" s="32">
        <v>0</v>
      </c>
      <c r="AO147" s="32">
        <v>8.7500264113198857E-6</v>
      </c>
      <c r="AP147" s="32">
        <v>7.308690791712847E-7</v>
      </c>
      <c r="AQ147" s="32">
        <v>7.4641524221169363E-7</v>
      </c>
      <c r="AR147" s="32">
        <v>7.7962460354542263E-7</v>
      </c>
      <c r="AS147" s="32">
        <v>1.147640647557148E-5</v>
      </c>
      <c r="AT147" s="32">
        <v>2.2483341811819769E-5</v>
      </c>
      <c r="AU147" s="34">
        <v>0</v>
      </c>
      <c r="AV147" s="34">
        <v>0</v>
      </c>
      <c r="AW147" s="34">
        <v>8.1766643948489922E-3</v>
      </c>
      <c r="AX147" s="34">
        <v>0.17647448414364728</v>
      </c>
      <c r="AY147" s="34">
        <v>0.16260782483231345</v>
      </c>
      <c r="AZ147" s="34">
        <v>0.87552864290887888</v>
      </c>
      <c r="BA147" s="34">
        <v>1.2227876162796885</v>
      </c>
      <c r="BB147" s="6"/>
      <c r="BC147" s="6"/>
      <c r="BD147" t="s">
        <v>704</v>
      </c>
      <c r="BF147" s="5">
        <v>7.1897812999999991E-2</v>
      </c>
      <c r="BG147" s="5">
        <f t="shared" si="6"/>
        <v>-1.1314482481734514E-2</v>
      </c>
      <c r="BH147" s="2">
        <v>182.21646999999999</v>
      </c>
    </row>
    <row r="148" spans="1:60" x14ac:dyDescent="0.2">
      <c r="A148" t="str">
        <f t="shared" si="7"/>
        <v>Scooter, battery electric, &lt;4kW - 2050 - LFP - CH</v>
      </c>
      <c r="B148" t="s">
        <v>653</v>
      </c>
      <c r="D148" s="18">
        <v>2050</v>
      </c>
      <c r="E148" t="s">
        <v>37</v>
      </c>
      <c r="F148" t="s">
        <v>136</v>
      </c>
      <c r="G148" t="s">
        <v>39</v>
      </c>
      <c r="H148" t="s">
        <v>32</v>
      </c>
      <c r="I148" t="s">
        <v>43</v>
      </c>
      <c r="J148" t="s">
        <v>464</v>
      </c>
      <c r="L148" s="24">
        <v>0</v>
      </c>
      <c r="M148" s="24">
        <v>0</v>
      </c>
      <c r="N148" s="24">
        <v>8.2069290027614555E-4</v>
      </c>
      <c r="O148" s="24">
        <v>1.2306591692257861E-2</v>
      </c>
      <c r="P148" s="24">
        <v>4.6453905898147536E-3</v>
      </c>
      <c r="Q148" s="24">
        <v>6.1967285703291297E-2</v>
      </c>
      <c r="R148" s="24">
        <v>7.973996088564006E-2</v>
      </c>
      <c r="S148" s="26">
        <v>0</v>
      </c>
      <c r="T148" s="26">
        <v>0</v>
      </c>
      <c r="U148" s="26">
        <v>4.6780531356812222E-4</v>
      </c>
      <c r="V148" s="26">
        <v>4.722191823356421E-4</v>
      </c>
      <c r="W148" s="26">
        <v>3.2047692573845658E-4</v>
      </c>
      <c r="X148" s="26">
        <v>3.4998725192855157E-2</v>
      </c>
      <c r="Y148" s="26">
        <v>3.6259226614497375E-2</v>
      </c>
      <c r="Z148" s="28">
        <v>0</v>
      </c>
      <c r="AA148" s="28">
        <v>2.3145477658575108E-3</v>
      </c>
      <c r="AB148" s="28">
        <v>8.2547439225250213E-5</v>
      </c>
      <c r="AC148" s="28">
        <v>1.5438989133449149E-4</v>
      </c>
      <c r="AD148" s="28">
        <v>1.4299811784601929E-4</v>
      </c>
      <c r="AE148" s="28">
        <v>4.4688020293989616E-3</v>
      </c>
      <c r="AF148" s="28">
        <v>7.1632852436622329E-3</v>
      </c>
      <c r="AG148" s="30">
        <v>0</v>
      </c>
      <c r="AH148" s="30">
        <v>1.228469691721989E-5</v>
      </c>
      <c r="AI148" s="30">
        <v>3.0935457184536091E-4</v>
      </c>
      <c r="AJ148" s="30">
        <v>3.7507357872791961E-4</v>
      </c>
      <c r="AK148" s="30">
        <v>1.9199238094525051E-4</v>
      </c>
      <c r="AL148" s="30">
        <v>1.5273393428673751E-2</v>
      </c>
      <c r="AM148" s="30">
        <v>1.6162098657109502E-2</v>
      </c>
      <c r="AN148" s="32">
        <v>0</v>
      </c>
      <c r="AO148" s="32">
        <v>8.7500264113198857E-6</v>
      </c>
      <c r="AP148" s="32">
        <v>7.308690791712847E-7</v>
      </c>
      <c r="AQ148" s="32">
        <v>7.4641524221169363E-7</v>
      </c>
      <c r="AR148" s="32">
        <v>7.7975630133166223E-7</v>
      </c>
      <c r="AS148" s="32">
        <v>1.068917165979742E-5</v>
      </c>
      <c r="AT148" s="32">
        <v>2.1696238693831949E-5</v>
      </c>
      <c r="AU148" s="34">
        <v>0</v>
      </c>
      <c r="AV148" s="34">
        <v>0</v>
      </c>
      <c r="AW148" s="34">
        <v>8.1766643948489922E-3</v>
      </c>
      <c r="AX148" s="34">
        <v>0.17647448414364728</v>
      </c>
      <c r="AY148" s="34">
        <v>0.16264858554518624</v>
      </c>
      <c r="AZ148" s="34">
        <v>0.82311825228728053</v>
      </c>
      <c r="BA148" s="34">
        <v>1.1704179863709632</v>
      </c>
      <c r="BB148" s="6"/>
      <c r="BC148" s="6"/>
      <c r="BD148" t="s">
        <v>705</v>
      </c>
      <c r="BF148" s="5">
        <v>6.875705800000001E-2</v>
      </c>
      <c r="BG148" s="5">
        <f t="shared" si="6"/>
        <v>-1.098290288564005E-2</v>
      </c>
      <c r="BH148" s="2">
        <v>164.96872000000002</v>
      </c>
    </row>
    <row r="149" spans="1:60" x14ac:dyDescent="0.2">
      <c r="A149" t="str">
        <f t="shared" si="7"/>
        <v>Scooter, battery electric, 4-11kW - 2020 - LFP - CH</v>
      </c>
      <c r="B149" t="s">
        <v>654</v>
      </c>
      <c r="D149" s="18">
        <v>2020</v>
      </c>
      <c r="E149" t="s">
        <v>37</v>
      </c>
      <c r="F149" t="s">
        <v>136</v>
      </c>
      <c r="G149" t="s">
        <v>39</v>
      </c>
      <c r="H149" t="s">
        <v>32</v>
      </c>
      <c r="I149" t="s">
        <v>43</v>
      </c>
      <c r="J149" t="s">
        <v>464</v>
      </c>
      <c r="L149" s="24">
        <v>0</v>
      </c>
      <c r="M149" s="24">
        <v>0</v>
      </c>
      <c r="N149" s="24">
        <v>1.164988379267724E-3</v>
      </c>
      <c r="O149" s="24">
        <v>1.476791003070943E-2</v>
      </c>
      <c r="P149" s="24">
        <v>4.7364785566436198E-3</v>
      </c>
      <c r="Q149" s="24">
        <v>6.8503985953146843E-2</v>
      </c>
      <c r="R149" s="24">
        <v>8.9173362919767615E-2</v>
      </c>
      <c r="S149" s="26">
        <v>0</v>
      </c>
      <c r="T149" s="26">
        <v>0</v>
      </c>
      <c r="U149" s="26">
        <v>6.6405808297254575E-4</v>
      </c>
      <c r="V149" s="26">
        <v>5.6666301880277056E-4</v>
      </c>
      <c r="W149" s="26">
        <v>3.2623255944366558E-4</v>
      </c>
      <c r="X149" s="26">
        <v>4.4186015657153251E-2</v>
      </c>
      <c r="Y149" s="26">
        <v>4.5742969318372233E-2</v>
      </c>
      <c r="Z149" s="28">
        <v>0</v>
      </c>
      <c r="AA149" s="28">
        <v>2.3145477658575108E-3</v>
      </c>
      <c r="AB149" s="28">
        <v>1.17177579339808E-4</v>
      </c>
      <c r="AC149" s="28">
        <v>1.8526786960138981E-4</v>
      </c>
      <c r="AD149" s="28">
        <v>1.4561443230811421E-4</v>
      </c>
      <c r="AE149" s="28">
        <v>5.2687619062689673E-3</v>
      </c>
      <c r="AF149" s="28">
        <v>8.0313695533757896E-3</v>
      </c>
      <c r="AG149" s="30">
        <v>0</v>
      </c>
      <c r="AH149" s="30">
        <v>1.228469691721989E-5</v>
      </c>
      <c r="AI149" s="30">
        <v>4.3913439625458252E-4</v>
      </c>
      <c r="AJ149" s="30">
        <v>4.5008829447350349E-4</v>
      </c>
      <c r="AK149" s="30">
        <v>1.944341204104222E-4</v>
      </c>
      <c r="AL149" s="30">
        <v>1.8177658043692691E-2</v>
      </c>
      <c r="AM149" s="30">
        <v>1.927359955174842E-2</v>
      </c>
      <c r="AN149" s="32">
        <v>0</v>
      </c>
      <c r="AO149" s="32">
        <v>8.7500264113198857E-6</v>
      </c>
      <c r="AP149" s="32">
        <v>1.037481844565918E-6</v>
      </c>
      <c r="AQ149" s="32">
        <v>8.9569829065403236E-7</v>
      </c>
      <c r="AR149" s="32">
        <v>7.8939754292673927E-7</v>
      </c>
      <c r="AS149" s="32">
        <v>1.245653359270986E-5</v>
      </c>
      <c r="AT149" s="32">
        <v>2.3929137682176438E-5</v>
      </c>
      <c r="AU149" s="34">
        <v>0</v>
      </c>
      <c r="AV149" s="34">
        <v>0</v>
      </c>
      <c r="AW149" s="34">
        <v>1.1606922635697264E-2</v>
      </c>
      <c r="AX149" s="34">
        <v>0.21176938097237663</v>
      </c>
      <c r="AY149" s="34">
        <v>0.1656325679765914</v>
      </c>
      <c r="AZ149" s="34">
        <v>0.93047283691177507</v>
      </c>
      <c r="BA149" s="34">
        <v>1.3194817084964403</v>
      </c>
      <c r="BB149" s="6"/>
      <c r="BC149" s="6"/>
      <c r="BD149" t="s">
        <v>706</v>
      </c>
      <c r="BF149" s="5">
        <v>7.7927131000000011E-2</v>
      </c>
      <c r="BG149" s="5">
        <f t="shared" si="6"/>
        <v>-1.1246231919767605E-2</v>
      </c>
      <c r="BH149" s="2">
        <v>203.41168000000002</v>
      </c>
    </row>
    <row r="150" spans="1:60" x14ac:dyDescent="0.2">
      <c r="A150" t="str">
        <f t="shared" si="7"/>
        <v>Scooter, battery electric, 4-11kW - 2030 - LFP - CH</v>
      </c>
      <c r="B150" t="s">
        <v>654</v>
      </c>
      <c r="D150" s="18">
        <v>2030</v>
      </c>
      <c r="E150" t="s">
        <v>37</v>
      </c>
      <c r="F150" t="s">
        <v>136</v>
      </c>
      <c r="G150" t="s">
        <v>39</v>
      </c>
      <c r="H150" t="s">
        <v>32</v>
      </c>
      <c r="I150" t="s">
        <v>43</v>
      </c>
      <c r="J150" t="s">
        <v>464</v>
      </c>
      <c r="L150" s="24">
        <v>0</v>
      </c>
      <c r="M150" s="24">
        <v>0</v>
      </c>
      <c r="N150" s="24">
        <v>1.164988379267724E-3</v>
      </c>
      <c r="O150" s="24">
        <v>1.476791003070943E-2</v>
      </c>
      <c r="P150" s="24">
        <v>4.8108147134809714E-3</v>
      </c>
      <c r="Q150" s="24">
        <v>7.3981881923108436E-2</v>
      </c>
      <c r="R150" s="24">
        <v>9.4725595046566566E-2</v>
      </c>
      <c r="S150" s="26">
        <v>0</v>
      </c>
      <c r="T150" s="26">
        <v>0</v>
      </c>
      <c r="U150" s="26">
        <v>6.6405808297254575E-4</v>
      </c>
      <c r="V150" s="26">
        <v>5.6666301880277056E-4</v>
      </c>
      <c r="W150" s="26">
        <v>3.3092968580079022E-4</v>
      </c>
      <c r="X150" s="26">
        <v>4.6563256374028167E-2</v>
      </c>
      <c r="Y150" s="26">
        <v>4.8124907161604273E-2</v>
      </c>
      <c r="Z150" s="28">
        <v>0</v>
      </c>
      <c r="AA150" s="28">
        <v>2.3145477658575108E-3</v>
      </c>
      <c r="AB150" s="28">
        <v>1.17177579339808E-4</v>
      </c>
      <c r="AC150" s="28">
        <v>1.8526786960138981E-4</v>
      </c>
      <c r="AD150" s="28">
        <v>1.4774958548982369E-4</v>
      </c>
      <c r="AE150" s="28">
        <v>5.6999089564318582E-3</v>
      </c>
      <c r="AF150" s="28">
        <v>8.4646517567203913E-3</v>
      </c>
      <c r="AG150" s="30">
        <v>0</v>
      </c>
      <c r="AH150" s="30">
        <v>1.228469691721989E-5</v>
      </c>
      <c r="AI150" s="30">
        <v>4.3913439625458252E-4</v>
      </c>
      <c r="AJ150" s="30">
        <v>4.5008829447350349E-4</v>
      </c>
      <c r="AK150" s="30">
        <v>1.9642680434176919E-4</v>
      </c>
      <c r="AL150" s="30">
        <v>1.9540880521870019E-2</v>
      </c>
      <c r="AM150" s="30">
        <v>2.0638814713857093E-2</v>
      </c>
      <c r="AN150" s="32">
        <v>0</v>
      </c>
      <c r="AO150" s="32">
        <v>8.7500264113198857E-6</v>
      </c>
      <c r="AP150" s="32">
        <v>1.037481844565918E-6</v>
      </c>
      <c r="AQ150" s="32">
        <v>8.9569829065403236E-7</v>
      </c>
      <c r="AR150" s="32">
        <v>7.9726568261927352E-7</v>
      </c>
      <c r="AS150" s="32">
        <v>1.307285901022128E-5</v>
      </c>
      <c r="AT150" s="32">
        <v>2.455333123938039E-5</v>
      </c>
      <c r="AU150" s="34">
        <v>0</v>
      </c>
      <c r="AV150" s="34">
        <v>0</v>
      </c>
      <c r="AW150" s="34">
        <v>1.1606922635697264E-2</v>
      </c>
      <c r="AX150" s="34">
        <v>0.21176938097237663</v>
      </c>
      <c r="AY150" s="34">
        <v>0.16806777202980711</v>
      </c>
      <c r="AZ150" s="34">
        <v>0.99769598434383955</v>
      </c>
      <c r="BA150" s="34">
        <v>1.3891400599817205</v>
      </c>
      <c r="BB150" s="6"/>
      <c r="BC150" s="6"/>
      <c r="BD150" t="s">
        <v>707</v>
      </c>
      <c r="BF150" s="5">
        <v>8.1398964000000004E-2</v>
      </c>
      <c r="BG150" s="5">
        <f t="shared" si="6"/>
        <v>-1.3326631046566562E-2</v>
      </c>
      <c r="BH150" s="2">
        <v>213.96475000000001</v>
      </c>
    </row>
    <row r="151" spans="1:60" x14ac:dyDescent="0.2">
      <c r="A151" t="str">
        <f t="shared" si="7"/>
        <v>Scooter, battery electric, 4-11kW - 2040 - LFP - CH</v>
      </c>
      <c r="B151" t="s">
        <v>654</v>
      </c>
      <c r="D151" s="18">
        <v>2040</v>
      </c>
      <c r="E151" t="s">
        <v>37</v>
      </c>
      <c r="F151" t="s">
        <v>136</v>
      </c>
      <c r="G151" t="s">
        <v>39</v>
      </c>
      <c r="H151" t="s">
        <v>32</v>
      </c>
      <c r="I151" t="s">
        <v>43</v>
      </c>
      <c r="J151" t="s">
        <v>464</v>
      </c>
      <c r="L151" s="24">
        <v>0</v>
      </c>
      <c r="M151" s="24">
        <v>0</v>
      </c>
      <c r="N151" s="24">
        <v>1.164988379267724E-3</v>
      </c>
      <c r="O151" s="24">
        <v>1.476791003070943E-2</v>
      </c>
      <c r="P151" s="24">
        <v>4.8455777539615523E-3</v>
      </c>
      <c r="Q151" s="24">
        <v>7.4107235038086375E-2</v>
      </c>
      <c r="R151" s="24">
        <v>9.4885711202025075E-2</v>
      </c>
      <c r="S151" s="26">
        <v>0</v>
      </c>
      <c r="T151" s="26">
        <v>0</v>
      </c>
      <c r="U151" s="26">
        <v>6.6405808297254575E-4</v>
      </c>
      <c r="V151" s="26">
        <v>5.6666301880277056E-4</v>
      </c>
      <c r="W151" s="26">
        <v>3.3312628030664302E-4</v>
      </c>
      <c r="X151" s="26">
        <v>4.5783552173533693E-2</v>
      </c>
      <c r="Y151" s="26">
        <v>4.7347399555615649E-2</v>
      </c>
      <c r="Z151" s="28">
        <v>0</v>
      </c>
      <c r="AA151" s="28">
        <v>2.3145477658575108E-3</v>
      </c>
      <c r="AB151" s="28">
        <v>1.17177579339808E-4</v>
      </c>
      <c r="AC151" s="28">
        <v>1.8526786960138981E-4</v>
      </c>
      <c r="AD151" s="28">
        <v>1.4874808231352181E-4</v>
      </c>
      <c r="AE151" s="28">
        <v>5.6432118889882411E-3</v>
      </c>
      <c r="AF151" s="28">
        <v>8.4089531861004721E-3</v>
      </c>
      <c r="AG151" s="30">
        <v>0</v>
      </c>
      <c r="AH151" s="30">
        <v>1.228469691721989E-5</v>
      </c>
      <c r="AI151" s="30">
        <v>4.3913439625458252E-4</v>
      </c>
      <c r="AJ151" s="30">
        <v>4.5008829447350349E-4</v>
      </c>
      <c r="AK151" s="30">
        <v>1.9735867592509559E-4</v>
      </c>
      <c r="AL151" s="30">
        <v>1.9353588504770501E-2</v>
      </c>
      <c r="AM151" s="30">
        <v>2.0452454568340904E-2</v>
      </c>
      <c r="AN151" s="32">
        <v>0</v>
      </c>
      <c r="AO151" s="32">
        <v>8.7500264113198857E-6</v>
      </c>
      <c r="AP151" s="32">
        <v>1.037481844565918E-6</v>
      </c>
      <c r="AQ151" s="32">
        <v>8.9569829065403236E-7</v>
      </c>
      <c r="AR151" s="32">
        <v>8.009451902811628E-7</v>
      </c>
      <c r="AS151" s="32">
        <v>1.2911245063590589E-5</v>
      </c>
      <c r="AT151" s="32">
        <v>2.4395396800411589E-5</v>
      </c>
      <c r="AU151" s="34">
        <v>0</v>
      </c>
      <c r="AV151" s="34">
        <v>0</v>
      </c>
      <c r="AW151" s="34">
        <v>1.1606922635697264E-2</v>
      </c>
      <c r="AX151" s="34">
        <v>0.21176938097237663</v>
      </c>
      <c r="AY151" s="34">
        <v>0.16920658658092311</v>
      </c>
      <c r="AZ151" s="34">
        <v>0.99487468077250452</v>
      </c>
      <c r="BA151" s="34">
        <v>1.3874575709615016</v>
      </c>
      <c r="BB151" s="6"/>
      <c r="BC151" s="6"/>
      <c r="BD151" t="s">
        <v>708</v>
      </c>
      <c r="BF151" s="5">
        <v>8.108528000000001E-2</v>
      </c>
      <c r="BG151" s="5">
        <f t="shared" si="6"/>
        <v>-1.3800431202025065E-2</v>
      </c>
      <c r="BH151" s="2">
        <v>209.47385</v>
      </c>
    </row>
    <row r="152" spans="1:60" x14ac:dyDescent="0.2">
      <c r="A152" t="str">
        <f t="shared" si="7"/>
        <v>Scooter, battery electric, 4-11kW - 2050 - LFP - CH</v>
      </c>
      <c r="B152" t="s">
        <v>654</v>
      </c>
      <c r="D152" s="18">
        <v>2050</v>
      </c>
      <c r="E152" t="s">
        <v>37</v>
      </c>
      <c r="F152" t="s">
        <v>136</v>
      </c>
      <c r="G152" t="s">
        <v>39</v>
      </c>
      <c r="H152" t="s">
        <v>32</v>
      </c>
      <c r="I152" t="s">
        <v>43</v>
      </c>
      <c r="J152" t="s">
        <v>464</v>
      </c>
      <c r="L152" s="24">
        <v>0</v>
      </c>
      <c r="M152" s="24">
        <v>0</v>
      </c>
      <c r="N152" s="24">
        <v>1.164988379267724E-3</v>
      </c>
      <c r="O152" s="24">
        <v>1.476791003070943E-2</v>
      </c>
      <c r="P152" s="24">
        <v>4.8339850158877129E-3</v>
      </c>
      <c r="Q152" s="24">
        <v>6.7916981923175565E-2</v>
      </c>
      <c r="R152" s="24">
        <v>8.8683865349040436E-2</v>
      </c>
      <c r="S152" s="26">
        <v>0</v>
      </c>
      <c r="T152" s="26">
        <v>0</v>
      </c>
      <c r="U152" s="26">
        <v>6.6405808297254575E-4</v>
      </c>
      <c r="V152" s="26">
        <v>5.6666301880277056E-4</v>
      </c>
      <c r="W152" s="26">
        <v>3.3239376254039612E-4</v>
      </c>
      <c r="X152" s="26">
        <v>4.079598865565106E-2</v>
      </c>
      <c r="Y152" s="26">
        <v>4.2359103519966773E-2</v>
      </c>
      <c r="Z152" s="28">
        <v>0</v>
      </c>
      <c r="AA152" s="28">
        <v>2.3145477658575108E-3</v>
      </c>
      <c r="AB152" s="28">
        <v>1.17177579339808E-4</v>
      </c>
      <c r="AC152" s="28">
        <v>1.8526786960138981E-4</v>
      </c>
      <c r="AD152" s="28">
        <v>1.484151047607914E-4</v>
      </c>
      <c r="AE152" s="28">
        <v>4.9713655173559456E-3</v>
      </c>
      <c r="AF152" s="28">
        <v>7.7367738369154455E-3</v>
      </c>
      <c r="AG152" s="30">
        <v>0</v>
      </c>
      <c r="AH152" s="30">
        <v>1.228469691721989E-5</v>
      </c>
      <c r="AI152" s="30">
        <v>4.3913439625458252E-4</v>
      </c>
      <c r="AJ152" s="30">
        <v>4.5008829447350349E-4</v>
      </c>
      <c r="AK152" s="30">
        <v>1.970479164795865E-4</v>
      </c>
      <c r="AL152" s="30">
        <v>1.7215818727816589E-2</v>
      </c>
      <c r="AM152" s="30">
        <v>1.8314374031941482E-2</v>
      </c>
      <c r="AN152" s="32">
        <v>0</v>
      </c>
      <c r="AO152" s="32">
        <v>8.7500264113198857E-6</v>
      </c>
      <c r="AP152" s="32">
        <v>1.037481844565918E-6</v>
      </c>
      <c r="AQ152" s="32">
        <v>8.9569829065403236E-7</v>
      </c>
      <c r="AR152" s="32">
        <v>7.9971815237034508E-7</v>
      </c>
      <c r="AS152" s="32">
        <v>1.1720410589530591E-5</v>
      </c>
      <c r="AT152" s="32">
        <v>2.3203335288440771E-5</v>
      </c>
      <c r="AU152" s="34">
        <v>0</v>
      </c>
      <c r="AV152" s="34">
        <v>0</v>
      </c>
      <c r="AW152" s="34">
        <v>1.1606922635697264E-2</v>
      </c>
      <c r="AX152" s="34">
        <v>0.21176938097237663</v>
      </c>
      <c r="AY152" s="34">
        <v>0.16882681603659636</v>
      </c>
      <c r="AZ152" s="34">
        <v>0.9066855887612052</v>
      </c>
      <c r="BA152" s="34">
        <v>1.2988887084058756</v>
      </c>
      <c r="BB152" s="6"/>
      <c r="BC152" s="6"/>
      <c r="BD152" t="s">
        <v>709</v>
      </c>
      <c r="BF152" s="5">
        <v>7.6017019000000005E-2</v>
      </c>
      <c r="BG152" s="5">
        <f t="shared" si="6"/>
        <v>-1.2666846349040431E-2</v>
      </c>
      <c r="BH152" s="2">
        <v>184.34161</v>
      </c>
    </row>
    <row r="153" spans="1:60" x14ac:dyDescent="0.2">
      <c r="A153" t="str">
        <f t="shared" si="7"/>
        <v>Scooter, battery electric, &lt;4kW - 2020 - NCA - CH</v>
      </c>
      <c r="B153" t="s">
        <v>653</v>
      </c>
      <c r="D153" s="18">
        <v>2020</v>
      </c>
      <c r="E153" t="s">
        <v>37</v>
      </c>
      <c r="F153" t="s">
        <v>136</v>
      </c>
      <c r="G153" t="s">
        <v>39</v>
      </c>
      <c r="H153" t="s">
        <v>32</v>
      </c>
      <c r="I153" t="s">
        <v>44</v>
      </c>
      <c r="J153" t="s">
        <v>464</v>
      </c>
      <c r="L153" s="24">
        <v>0</v>
      </c>
      <c r="M153" s="24">
        <v>0</v>
      </c>
      <c r="N153" s="24">
        <v>8.2069290027614555E-4</v>
      </c>
      <c r="O153" s="24">
        <v>1.2306591692257861E-2</v>
      </c>
      <c r="P153" s="24">
        <v>4.4911191657352797E-3</v>
      </c>
      <c r="Q153" s="24">
        <v>4.2067832680995308E-2</v>
      </c>
      <c r="R153" s="24">
        <v>5.9686236439264594E-2</v>
      </c>
      <c r="S153" s="26">
        <v>0</v>
      </c>
      <c r="T153" s="26">
        <v>0</v>
      </c>
      <c r="U153" s="26">
        <v>4.6780531356812222E-4</v>
      </c>
      <c r="V153" s="26">
        <v>4.722191823356421E-4</v>
      </c>
      <c r="W153" s="26">
        <v>3.1072887844862479E-4</v>
      </c>
      <c r="X153" s="26">
        <v>2.890499184582182E-2</v>
      </c>
      <c r="Y153" s="26">
        <v>3.015574522017421E-2</v>
      </c>
      <c r="Z153" s="28">
        <v>0</v>
      </c>
      <c r="AA153" s="28">
        <v>2.3145477658575108E-3</v>
      </c>
      <c r="AB153" s="28">
        <v>8.2547439225250213E-5</v>
      </c>
      <c r="AC153" s="28">
        <v>1.5438989133449149E-4</v>
      </c>
      <c r="AD153" s="28">
        <v>1.385669885546453E-4</v>
      </c>
      <c r="AE153" s="28">
        <v>3.0756748545306672E-3</v>
      </c>
      <c r="AF153" s="28">
        <v>5.7657269395025648E-3</v>
      </c>
      <c r="AG153" s="30">
        <v>0</v>
      </c>
      <c r="AH153" s="30">
        <v>1.228469691721989E-5</v>
      </c>
      <c r="AI153" s="30">
        <v>3.0935457184536091E-4</v>
      </c>
      <c r="AJ153" s="30">
        <v>3.7507357872791961E-4</v>
      </c>
      <c r="AK153" s="30">
        <v>1.8785692115141391E-4</v>
      </c>
      <c r="AL153" s="30">
        <v>1.057436942931865E-2</v>
      </c>
      <c r="AM153" s="30">
        <v>1.1458939197960564E-2</v>
      </c>
      <c r="AN153" s="32">
        <v>0</v>
      </c>
      <c r="AO153" s="32">
        <v>8.7500264113198857E-6</v>
      </c>
      <c r="AP153" s="32">
        <v>7.308690791712847E-7</v>
      </c>
      <c r="AQ153" s="32">
        <v>7.4641524221169363E-7</v>
      </c>
      <c r="AR153" s="32">
        <v>7.6342738190851566E-7</v>
      </c>
      <c r="AS153" s="32">
        <v>9.2605720671351224E-6</v>
      </c>
      <c r="AT153" s="32">
        <v>2.0251310181746502E-5</v>
      </c>
      <c r="AU153" s="34">
        <v>0</v>
      </c>
      <c r="AV153" s="34">
        <v>0</v>
      </c>
      <c r="AW153" s="34">
        <v>8.1766643948489922E-3</v>
      </c>
      <c r="AX153" s="34">
        <v>0.17647448414364728</v>
      </c>
      <c r="AY153" s="34">
        <v>0.15759475423082736</v>
      </c>
      <c r="AZ153" s="34">
        <v>0.58399158915226546</v>
      </c>
      <c r="BA153" s="34">
        <v>0.92623749192158911</v>
      </c>
      <c r="BB153" s="6"/>
      <c r="BC153" s="6"/>
      <c r="BD153" t="s">
        <v>710</v>
      </c>
      <c r="BF153" s="5">
        <v>5.6816817999999998E-2</v>
      </c>
      <c r="BG153" s="5">
        <f t="shared" si="6"/>
        <v>-2.8694184392645955E-3</v>
      </c>
      <c r="BH153" s="2">
        <v>133.65012000000002</v>
      </c>
    </row>
    <row r="154" spans="1:60" x14ac:dyDescent="0.2">
      <c r="A154" t="str">
        <f t="shared" si="7"/>
        <v>Scooter, battery electric, &lt;4kW - 2030 - NCA - CH</v>
      </c>
      <c r="B154" t="s">
        <v>653</v>
      </c>
      <c r="D154" s="18">
        <v>2030</v>
      </c>
      <c r="E154" t="s">
        <v>37</v>
      </c>
      <c r="F154" t="s">
        <v>136</v>
      </c>
      <c r="G154" t="s">
        <v>39</v>
      </c>
      <c r="H154" t="s">
        <v>32</v>
      </c>
      <c r="I154" t="s">
        <v>44</v>
      </c>
      <c r="J154" t="s">
        <v>464</v>
      </c>
      <c r="L154" s="24">
        <v>0</v>
      </c>
      <c r="M154" s="24">
        <v>0</v>
      </c>
      <c r="N154" s="24">
        <v>8.2069290027614555E-4</v>
      </c>
      <c r="O154" s="24">
        <v>1.2306591692257861E-2</v>
      </c>
      <c r="P154" s="24">
        <v>4.5008758811560627E-3</v>
      </c>
      <c r="Q154" s="24">
        <v>4.5495821079306192E-2</v>
      </c>
      <c r="R154" s="24">
        <v>6.3123981552996256E-2</v>
      </c>
      <c r="S154" s="26">
        <v>0</v>
      </c>
      <c r="T154" s="26">
        <v>0</v>
      </c>
      <c r="U154" s="26">
        <v>4.6780531356812222E-4</v>
      </c>
      <c r="V154" s="26">
        <v>4.722191823356421E-4</v>
      </c>
      <c r="W154" s="26">
        <v>3.1134538227545303E-4</v>
      </c>
      <c r="X154" s="26">
        <v>2.9513116638452842E-2</v>
      </c>
      <c r="Y154" s="26">
        <v>3.0764486516632057E-2</v>
      </c>
      <c r="Z154" s="28">
        <v>0</v>
      </c>
      <c r="AA154" s="28">
        <v>2.3145477658575108E-3</v>
      </c>
      <c r="AB154" s="28">
        <v>8.2547439225250213E-5</v>
      </c>
      <c r="AC154" s="28">
        <v>1.5438989133449149E-4</v>
      </c>
      <c r="AD154" s="28">
        <v>1.3884723013371031E-4</v>
      </c>
      <c r="AE154" s="28">
        <v>3.2716111773970899E-3</v>
      </c>
      <c r="AF154" s="28">
        <v>5.9619435039480525E-3</v>
      </c>
      <c r="AG154" s="30">
        <v>0</v>
      </c>
      <c r="AH154" s="30">
        <v>1.228469691721989E-5</v>
      </c>
      <c r="AI154" s="30">
        <v>3.0935457184536091E-4</v>
      </c>
      <c r="AJ154" s="30">
        <v>3.7507357872791961E-4</v>
      </c>
      <c r="AK154" s="30">
        <v>1.881184634596107E-4</v>
      </c>
      <c r="AL154" s="30">
        <v>1.1217438942524969E-2</v>
      </c>
      <c r="AM154" s="30">
        <v>1.210227025347508E-2</v>
      </c>
      <c r="AN154" s="32">
        <v>0</v>
      </c>
      <c r="AO154" s="32">
        <v>8.7500264113198857E-6</v>
      </c>
      <c r="AP154" s="32">
        <v>7.308690791712847E-7</v>
      </c>
      <c r="AQ154" s="32">
        <v>7.4641524221169363E-7</v>
      </c>
      <c r="AR154" s="32">
        <v>7.6446008528110175E-7</v>
      </c>
      <c r="AS154" s="32">
        <v>9.4255156339449068E-6</v>
      </c>
      <c r="AT154" s="32">
        <v>2.0417286451928873E-5</v>
      </c>
      <c r="AU154" s="34">
        <v>0</v>
      </c>
      <c r="AV154" s="34">
        <v>0</v>
      </c>
      <c r="AW154" s="34">
        <v>8.1766643948489922E-3</v>
      </c>
      <c r="AX154" s="34">
        <v>0.17647448414364728</v>
      </c>
      <c r="AY154" s="34">
        <v>0.15791437786957357</v>
      </c>
      <c r="AZ154" s="34">
        <v>0.62073382495256313</v>
      </c>
      <c r="BA154" s="34">
        <v>0.96329935136063294</v>
      </c>
      <c r="BB154" s="6"/>
      <c r="BC154" s="6"/>
      <c r="BD154" t="s">
        <v>711</v>
      </c>
      <c r="BF154" s="5">
        <v>5.8321567999999997E-2</v>
      </c>
      <c r="BG154" s="5">
        <f t="shared" si="6"/>
        <v>-4.8024135529962583E-3</v>
      </c>
      <c r="BH154" s="2">
        <v>134.59079</v>
      </c>
    </row>
    <row r="155" spans="1:60" x14ac:dyDescent="0.2">
      <c r="A155" t="str">
        <f t="shared" si="7"/>
        <v>Scooter, battery electric, &lt;4kW - 2040 - NCA - CH</v>
      </c>
      <c r="B155" t="s">
        <v>653</v>
      </c>
      <c r="D155" s="18">
        <v>2040</v>
      </c>
      <c r="E155" t="s">
        <v>37</v>
      </c>
      <c r="F155" t="s">
        <v>136</v>
      </c>
      <c r="G155" t="s">
        <v>39</v>
      </c>
      <c r="H155" t="s">
        <v>32</v>
      </c>
      <c r="I155" t="s">
        <v>44</v>
      </c>
      <c r="J155" t="s">
        <v>464</v>
      </c>
      <c r="L155" s="24">
        <v>0</v>
      </c>
      <c r="M155" s="24">
        <v>0</v>
      </c>
      <c r="N155" s="24">
        <v>8.2069290027614555E-4</v>
      </c>
      <c r="O155" s="24">
        <v>1.2306591692257861E-2</v>
      </c>
      <c r="P155" s="24">
        <v>4.5011338347519464E-3</v>
      </c>
      <c r="Q155" s="24">
        <v>4.6496785035868689E-2</v>
      </c>
      <c r="R155" s="24">
        <v>6.4125203463154645E-2</v>
      </c>
      <c r="S155" s="26">
        <v>0</v>
      </c>
      <c r="T155" s="26">
        <v>0</v>
      </c>
      <c r="U155" s="26">
        <v>4.6780531356812222E-4</v>
      </c>
      <c r="V155" s="26">
        <v>4.722191823356421E-4</v>
      </c>
      <c r="W155" s="26">
        <v>3.1136168175454492E-4</v>
      </c>
      <c r="X155" s="26">
        <v>2.87154632079984E-2</v>
      </c>
      <c r="Y155" s="26">
        <v>2.9966849385656708E-2</v>
      </c>
      <c r="Z155" s="28">
        <v>0</v>
      </c>
      <c r="AA155" s="28">
        <v>2.3145477658575108E-3</v>
      </c>
      <c r="AB155" s="28">
        <v>8.2547439225250213E-5</v>
      </c>
      <c r="AC155" s="28">
        <v>1.5438989133449149E-4</v>
      </c>
      <c r="AD155" s="28">
        <v>1.3885463932009301E-4</v>
      </c>
      <c r="AE155" s="28">
        <v>3.2525027115432822E-3</v>
      </c>
      <c r="AF155" s="28">
        <v>5.9428424472806277E-3</v>
      </c>
      <c r="AG155" s="30">
        <v>0</v>
      </c>
      <c r="AH155" s="30">
        <v>1.228469691721989E-5</v>
      </c>
      <c r="AI155" s="30">
        <v>3.0935457184536091E-4</v>
      </c>
      <c r="AJ155" s="30">
        <v>3.7507357872791961E-4</v>
      </c>
      <c r="AK155" s="30">
        <v>1.881253782640265E-4</v>
      </c>
      <c r="AL155" s="30">
        <v>1.1195578197507749E-2</v>
      </c>
      <c r="AM155" s="30">
        <v>1.2080416423262276E-2</v>
      </c>
      <c r="AN155" s="32">
        <v>0</v>
      </c>
      <c r="AO155" s="32">
        <v>8.7500264113198857E-6</v>
      </c>
      <c r="AP155" s="32">
        <v>7.308690791712847E-7</v>
      </c>
      <c r="AQ155" s="32">
        <v>7.4641524221169363E-7</v>
      </c>
      <c r="AR155" s="32">
        <v>7.6448738848068806E-7</v>
      </c>
      <c r="AS155" s="32">
        <v>9.23007031857047E-6</v>
      </c>
      <c r="AT155" s="32">
        <v>2.0221868439754023E-5</v>
      </c>
      <c r="AU155" s="34">
        <v>0</v>
      </c>
      <c r="AV155" s="34">
        <v>0</v>
      </c>
      <c r="AW155" s="34">
        <v>8.1766643948489922E-3</v>
      </c>
      <c r="AX155" s="34">
        <v>0.17647448414364728</v>
      </c>
      <c r="AY155" s="34">
        <v>0.15792282826126669</v>
      </c>
      <c r="AZ155" s="34">
        <v>0.62688066156164945</v>
      </c>
      <c r="BA155" s="34">
        <v>0.96945463836141244</v>
      </c>
      <c r="BB155" s="6"/>
      <c r="BC155" s="6"/>
      <c r="BD155" t="s">
        <v>712</v>
      </c>
      <c r="BF155" s="5">
        <v>5.8267237999999999E-2</v>
      </c>
      <c r="BG155" s="5">
        <f t="shared" si="6"/>
        <v>-5.8579654631546463E-3</v>
      </c>
      <c r="BH155" s="2">
        <v>129.79426000000001</v>
      </c>
    </row>
    <row r="156" spans="1:60" x14ac:dyDescent="0.2">
      <c r="A156" t="str">
        <f t="shared" si="7"/>
        <v>Scooter, battery electric, &lt;4kW - 2050 - NCA - CH</v>
      </c>
      <c r="B156" t="s">
        <v>653</v>
      </c>
      <c r="D156" s="18">
        <v>2050</v>
      </c>
      <c r="E156" t="s">
        <v>37</v>
      </c>
      <c r="F156" t="s">
        <v>136</v>
      </c>
      <c r="G156" t="s">
        <v>39</v>
      </c>
      <c r="H156" t="s">
        <v>32</v>
      </c>
      <c r="I156" t="s">
        <v>44</v>
      </c>
      <c r="J156" t="s">
        <v>464</v>
      </c>
      <c r="L156" s="24">
        <v>0</v>
      </c>
      <c r="M156" s="24">
        <v>0</v>
      </c>
      <c r="N156" s="24">
        <v>8.2069290027614555E-4</v>
      </c>
      <c r="O156" s="24">
        <v>1.2306591692257861E-2</v>
      </c>
      <c r="P156" s="24">
        <v>4.5033643746692949E-3</v>
      </c>
      <c r="Q156" s="24">
        <v>4.7333398713695199E-2</v>
      </c>
      <c r="R156" s="24">
        <v>6.4964047680898501E-2</v>
      </c>
      <c r="S156" s="26">
        <v>0</v>
      </c>
      <c r="T156" s="26">
        <v>0</v>
      </c>
      <c r="U156" s="26">
        <v>4.6780531356812222E-4</v>
      </c>
      <c r="V156" s="26">
        <v>4.722191823356421E-4</v>
      </c>
      <c r="W156" s="26">
        <v>3.1150262430904518E-4</v>
      </c>
      <c r="X156" s="26">
        <v>2.775754068532503E-2</v>
      </c>
      <c r="Y156" s="26">
        <v>2.9009067805537841E-2</v>
      </c>
      <c r="Z156" s="28">
        <v>0</v>
      </c>
      <c r="AA156" s="28">
        <v>2.3145477658575108E-3</v>
      </c>
      <c r="AB156" s="28">
        <v>8.2547439225250213E-5</v>
      </c>
      <c r="AC156" s="28">
        <v>1.5438989133449149E-4</v>
      </c>
      <c r="AD156" s="28">
        <v>1.3891870699057909E-4</v>
      </c>
      <c r="AE156" s="28">
        <v>3.213911966207217E-3</v>
      </c>
      <c r="AF156" s="28">
        <v>5.9043157696150482E-3</v>
      </c>
      <c r="AG156" s="30">
        <v>0</v>
      </c>
      <c r="AH156" s="30">
        <v>1.228469691721989E-5</v>
      </c>
      <c r="AI156" s="30">
        <v>3.0935457184536091E-4</v>
      </c>
      <c r="AJ156" s="30">
        <v>3.7507357872791961E-4</v>
      </c>
      <c r="AK156" s="30">
        <v>1.8818517098456291E-4</v>
      </c>
      <c r="AL156" s="30">
        <v>1.11136847866592E-2</v>
      </c>
      <c r="AM156" s="30">
        <v>1.1998582805134264E-2</v>
      </c>
      <c r="AN156" s="32">
        <v>0</v>
      </c>
      <c r="AO156" s="32">
        <v>8.7500264113198857E-6</v>
      </c>
      <c r="AP156" s="32">
        <v>7.308690791712847E-7</v>
      </c>
      <c r="AQ156" s="32">
        <v>7.4641524221169363E-7</v>
      </c>
      <c r="AR156" s="32">
        <v>7.6472348085358094E-7</v>
      </c>
      <c r="AS156" s="32">
        <v>8.9956887377129758E-6</v>
      </c>
      <c r="AT156" s="32">
        <v>1.9987722951269423E-5</v>
      </c>
      <c r="AU156" s="34">
        <v>0</v>
      </c>
      <c r="AV156" s="34">
        <v>0</v>
      </c>
      <c r="AW156" s="34">
        <v>8.1766643948489922E-3</v>
      </c>
      <c r="AX156" s="34">
        <v>0.17647448414364728</v>
      </c>
      <c r="AY156" s="34">
        <v>0.1579958992953191</v>
      </c>
      <c r="AZ156" s="34">
        <v>0.63068386497758033</v>
      </c>
      <c r="BA156" s="34">
        <v>0.97333091281139572</v>
      </c>
      <c r="BB156" s="6"/>
      <c r="BC156" s="6"/>
      <c r="BD156" t="s">
        <v>713</v>
      </c>
      <c r="BF156" s="5">
        <v>5.8089743999999999E-2</v>
      </c>
      <c r="BG156" s="5">
        <f t="shared" si="6"/>
        <v>-6.8743036808985025E-3</v>
      </c>
      <c r="BH156" s="2">
        <v>124.32777</v>
      </c>
    </row>
    <row r="157" spans="1:60" x14ac:dyDescent="0.2">
      <c r="A157" t="str">
        <f t="shared" si="7"/>
        <v>Scooter, battery electric, 4-11kW - 2020 - NCA - CH</v>
      </c>
      <c r="B157" t="s">
        <v>654</v>
      </c>
      <c r="D157" s="18">
        <v>2020</v>
      </c>
      <c r="E157" t="s">
        <v>37</v>
      </c>
      <c r="F157" t="s">
        <v>136</v>
      </c>
      <c r="G157" t="s">
        <v>39</v>
      </c>
      <c r="H157" t="s">
        <v>32</v>
      </c>
      <c r="I157" t="s">
        <v>44</v>
      </c>
      <c r="J157" t="s">
        <v>464</v>
      </c>
      <c r="L157" s="24">
        <v>0</v>
      </c>
      <c r="M157" s="24">
        <v>0</v>
      </c>
      <c r="N157" s="24">
        <v>1.164988379267724E-3</v>
      </c>
      <c r="O157" s="24">
        <v>1.2306591692257861E-2</v>
      </c>
      <c r="P157" s="24">
        <v>4.6260994872642687E-3</v>
      </c>
      <c r="Q157" s="24">
        <v>4.8500633497616373E-2</v>
      </c>
      <c r="R157" s="24">
        <v>6.6598313056406233E-2</v>
      </c>
      <c r="S157" s="26">
        <v>0</v>
      </c>
      <c r="T157" s="26">
        <v>0</v>
      </c>
      <c r="U157" s="26">
        <v>6.6405808297254575E-4</v>
      </c>
      <c r="V157" s="26">
        <v>4.722191823356421E-4</v>
      </c>
      <c r="W157" s="26">
        <v>3.1925796648493829E-4</v>
      </c>
      <c r="X157" s="26">
        <v>3.5206377035720091E-2</v>
      </c>
      <c r="Y157" s="26">
        <v>3.6661912267513218E-2</v>
      </c>
      <c r="Z157" s="28">
        <v>0</v>
      </c>
      <c r="AA157" s="28">
        <v>2.3145477658575108E-3</v>
      </c>
      <c r="AB157" s="28">
        <v>1.17177579339808E-4</v>
      </c>
      <c r="AC157" s="28">
        <v>1.5438989133449149E-4</v>
      </c>
      <c r="AD157" s="28">
        <v>1.4244402061067959E-4</v>
      </c>
      <c r="AE157" s="28">
        <v>3.631083766850464E-3</v>
      </c>
      <c r="AF157" s="28">
        <v>6.3596430239929534E-3</v>
      </c>
      <c r="AG157" s="30">
        <v>0</v>
      </c>
      <c r="AH157" s="30">
        <v>1.228469691721989E-5</v>
      </c>
      <c r="AI157" s="30">
        <v>4.3913439625458252E-4</v>
      </c>
      <c r="AJ157" s="30">
        <v>3.7507357872791961E-4</v>
      </c>
      <c r="AK157" s="30">
        <v>1.9147525614749661E-4</v>
      </c>
      <c r="AL157" s="30">
        <v>1.264915985634904E-2</v>
      </c>
      <c r="AM157" s="30">
        <v>1.3667127784396259E-2</v>
      </c>
      <c r="AN157" s="32">
        <v>0</v>
      </c>
      <c r="AO157" s="32">
        <v>8.7500264113198857E-6</v>
      </c>
      <c r="AP157" s="32">
        <v>1.037481844565918E-6</v>
      </c>
      <c r="AQ157" s="32">
        <v>7.4641524221169363E-7</v>
      </c>
      <c r="AR157" s="32">
        <v>7.7771442701170876E-7</v>
      </c>
      <c r="AS157" s="32">
        <v>1.043451488642511E-5</v>
      </c>
      <c r="AT157" s="32">
        <v>2.1746152811534315E-5</v>
      </c>
      <c r="AU157" s="34">
        <v>0</v>
      </c>
      <c r="AV157" s="34">
        <v>0</v>
      </c>
      <c r="AW157" s="34">
        <v>1.1606922635697264E-2</v>
      </c>
      <c r="AX157" s="34">
        <v>0.17647448414364728</v>
      </c>
      <c r="AY157" s="34">
        <v>0.16201662159761857</v>
      </c>
      <c r="AZ157" s="34">
        <v>0.67285580523277222</v>
      </c>
      <c r="BA157" s="34">
        <v>1.0229538336097352</v>
      </c>
      <c r="BB157" s="6"/>
      <c r="BC157" s="6"/>
      <c r="BD157" t="s">
        <v>714</v>
      </c>
      <c r="BF157" s="5">
        <v>6.2248003000000003E-2</v>
      </c>
      <c r="BG157" s="5">
        <f t="shared" si="6"/>
        <v>-4.35031005640623E-3</v>
      </c>
      <c r="BH157" s="2">
        <v>151.59866</v>
      </c>
    </row>
    <row r="158" spans="1:60" x14ac:dyDescent="0.2">
      <c r="A158" t="str">
        <f t="shared" si="7"/>
        <v>Scooter, battery electric, 4-11kW - 2030 - NCA - CH</v>
      </c>
      <c r="B158" t="s">
        <v>654</v>
      </c>
      <c r="D158" s="18">
        <v>2030</v>
      </c>
      <c r="E158" t="s">
        <v>37</v>
      </c>
      <c r="F158" t="s">
        <v>136</v>
      </c>
      <c r="G158" t="s">
        <v>39</v>
      </c>
      <c r="H158" t="s">
        <v>32</v>
      </c>
      <c r="I158" t="s">
        <v>44</v>
      </c>
      <c r="J158" t="s">
        <v>464</v>
      </c>
      <c r="L158" s="24">
        <v>0</v>
      </c>
      <c r="M158" s="24">
        <v>0</v>
      </c>
      <c r="N158" s="24">
        <v>1.164988379267724E-3</v>
      </c>
      <c r="O158" s="24">
        <v>1.2306591692257861E-2</v>
      </c>
      <c r="P158" s="24">
        <v>4.642158582995738E-3</v>
      </c>
      <c r="Q158" s="24">
        <v>5.1259756590025407E-2</v>
      </c>
      <c r="R158" s="24">
        <v>6.9373495244546723E-2</v>
      </c>
      <c r="S158" s="26">
        <v>0</v>
      </c>
      <c r="T158" s="26">
        <v>0</v>
      </c>
      <c r="U158" s="26">
        <v>6.6405808297254575E-4</v>
      </c>
      <c r="V158" s="26">
        <v>4.722191823356421E-4</v>
      </c>
      <c r="W158" s="26">
        <v>3.2027270285336419E-4</v>
      </c>
      <c r="X158" s="26">
        <v>3.5608811182970761E-2</v>
      </c>
      <c r="Y158" s="26">
        <v>3.7065361151132313E-2</v>
      </c>
      <c r="Z158" s="28">
        <v>0</v>
      </c>
      <c r="AA158" s="28">
        <v>2.3145477658575108E-3</v>
      </c>
      <c r="AB158" s="28">
        <v>1.17177579339808E-4</v>
      </c>
      <c r="AC158" s="28">
        <v>1.5438989133449149E-4</v>
      </c>
      <c r="AD158" s="28">
        <v>1.429052850989885E-4</v>
      </c>
      <c r="AE158" s="28">
        <v>3.782335538154023E-3</v>
      </c>
      <c r="AF158" s="28">
        <v>6.5113560597848223E-3</v>
      </c>
      <c r="AG158" s="30">
        <v>0</v>
      </c>
      <c r="AH158" s="30">
        <v>1.228469691721989E-5</v>
      </c>
      <c r="AI158" s="30">
        <v>4.3913439625458252E-4</v>
      </c>
      <c r="AJ158" s="30">
        <v>3.7507357872791961E-4</v>
      </c>
      <c r="AK158" s="30">
        <v>1.919057425134528E-4</v>
      </c>
      <c r="AL158" s="30">
        <v>1.314595819128847E-2</v>
      </c>
      <c r="AM158" s="30">
        <v>1.4164356605701645E-2</v>
      </c>
      <c r="AN158" s="32">
        <v>0</v>
      </c>
      <c r="AO158" s="32">
        <v>8.7500264113198857E-6</v>
      </c>
      <c r="AP158" s="32">
        <v>1.037481844565918E-6</v>
      </c>
      <c r="AQ158" s="32">
        <v>7.4641524221169363E-7</v>
      </c>
      <c r="AR158" s="32">
        <v>7.7941420830155207E-7</v>
      </c>
      <c r="AS158" s="32">
        <v>1.0549080757754361E-5</v>
      </c>
      <c r="AT158" s="32">
        <v>2.186241846415341E-5</v>
      </c>
      <c r="AU158" s="34">
        <v>0</v>
      </c>
      <c r="AV158" s="34">
        <v>0</v>
      </c>
      <c r="AW158" s="34">
        <v>1.1606922635697264E-2</v>
      </c>
      <c r="AX158" s="34">
        <v>0.17647448414364728</v>
      </c>
      <c r="AY158" s="34">
        <v>0.16254270710808991</v>
      </c>
      <c r="AZ158" s="34">
        <v>0.70209004055520208</v>
      </c>
      <c r="BA158" s="34">
        <v>1.0527141544426364</v>
      </c>
      <c r="BB158" s="6"/>
      <c r="BC158" s="6"/>
      <c r="BD158" t="s">
        <v>715</v>
      </c>
      <c r="BF158" s="5">
        <v>6.3440452999999994E-2</v>
      </c>
      <c r="BG158" s="5">
        <f t="shared" si="6"/>
        <v>-5.9330422445467296E-3</v>
      </c>
      <c r="BH158" s="2">
        <v>151.96353000000002</v>
      </c>
    </row>
    <row r="159" spans="1:60" x14ac:dyDescent="0.2">
      <c r="A159" t="str">
        <f t="shared" si="7"/>
        <v>Scooter, battery electric, 4-11kW - 2040 - NCA - CH</v>
      </c>
      <c r="B159" t="s">
        <v>654</v>
      </c>
      <c r="D159" s="18">
        <v>2040</v>
      </c>
      <c r="E159" t="s">
        <v>37</v>
      </c>
      <c r="F159" t="s">
        <v>136</v>
      </c>
      <c r="G159" t="s">
        <v>39</v>
      </c>
      <c r="H159" t="s">
        <v>32</v>
      </c>
      <c r="I159" t="s">
        <v>44</v>
      </c>
      <c r="J159" t="s">
        <v>464</v>
      </c>
      <c r="L159" s="24">
        <v>0</v>
      </c>
      <c r="M159" s="24">
        <v>0</v>
      </c>
      <c r="N159" s="24">
        <v>1.164988379267724E-3</v>
      </c>
      <c r="O159" s="24">
        <v>1.2306591692257861E-2</v>
      </c>
      <c r="P159" s="24">
        <v>4.6433876560114202E-3</v>
      </c>
      <c r="Q159" s="24">
        <v>5.153181573813944E-2</v>
      </c>
      <c r="R159" s="24">
        <v>6.9646783465676446E-2</v>
      </c>
      <c r="S159" s="26">
        <v>0</v>
      </c>
      <c r="T159" s="26">
        <v>0</v>
      </c>
      <c r="U159" s="26">
        <v>6.6405808297254575E-4</v>
      </c>
      <c r="V159" s="26">
        <v>4.722191823356421E-4</v>
      </c>
      <c r="W159" s="26">
        <v>3.2035036507727262E-4</v>
      </c>
      <c r="X159" s="26">
        <v>3.4409573810130593E-2</v>
      </c>
      <c r="Y159" s="26">
        <v>3.5866201440516055E-2</v>
      </c>
      <c r="Z159" s="28">
        <v>0</v>
      </c>
      <c r="AA159" s="28">
        <v>2.3145477658575108E-3</v>
      </c>
      <c r="AB159" s="28">
        <v>1.17177579339808E-4</v>
      </c>
      <c r="AC159" s="28">
        <v>1.5438989133449149E-4</v>
      </c>
      <c r="AD159" s="28">
        <v>1.4294058769292981E-4</v>
      </c>
      <c r="AE159" s="28">
        <v>3.7004773689658832E-3</v>
      </c>
      <c r="AF159" s="28">
        <v>6.4295331931906227E-3</v>
      </c>
      <c r="AG159" s="30">
        <v>0</v>
      </c>
      <c r="AH159" s="30">
        <v>1.228469691721989E-5</v>
      </c>
      <c r="AI159" s="30">
        <v>4.3913439625458252E-4</v>
      </c>
      <c r="AJ159" s="30">
        <v>3.7507357872791961E-4</v>
      </c>
      <c r="AK159" s="30">
        <v>1.9193868952272801E-4</v>
      </c>
      <c r="AL159" s="30">
        <v>1.2927539832472129E-2</v>
      </c>
      <c r="AM159" s="30">
        <v>1.3945971193894579E-2</v>
      </c>
      <c r="AN159" s="32">
        <v>0</v>
      </c>
      <c r="AO159" s="32">
        <v>8.7500264113198857E-6</v>
      </c>
      <c r="AP159" s="32">
        <v>1.037481844565918E-6</v>
      </c>
      <c r="AQ159" s="32">
        <v>7.4641524221169363E-7</v>
      </c>
      <c r="AR159" s="32">
        <v>7.7954430001722768E-7</v>
      </c>
      <c r="AS159" s="32">
        <v>1.025274285720682E-5</v>
      </c>
      <c r="AT159" s="32">
        <v>2.1566210655321545E-5</v>
      </c>
      <c r="AU159" s="34">
        <v>0</v>
      </c>
      <c r="AV159" s="34">
        <v>0</v>
      </c>
      <c r="AW159" s="34">
        <v>1.1606922635697264E-2</v>
      </c>
      <c r="AX159" s="34">
        <v>0.17647448414364728</v>
      </c>
      <c r="AY159" s="34">
        <v>0.16258297073909836</v>
      </c>
      <c r="AZ159" s="34">
        <v>0.69918835256783307</v>
      </c>
      <c r="BA159" s="34">
        <v>1.0498527300862759</v>
      </c>
      <c r="BB159" s="6"/>
      <c r="BC159" s="6"/>
      <c r="BD159" t="s">
        <v>716</v>
      </c>
      <c r="BF159" s="5">
        <v>6.2942157999999998E-2</v>
      </c>
      <c r="BG159" s="5">
        <f t="shared" si="6"/>
        <v>-6.7046254656764476E-3</v>
      </c>
      <c r="BH159" s="2">
        <v>145.59317999999999</v>
      </c>
    </row>
    <row r="160" spans="1:60" x14ac:dyDescent="0.2">
      <c r="A160" t="str">
        <f t="shared" si="7"/>
        <v>Scooter, battery electric, 4-11kW - 2050 - NCA - CH</v>
      </c>
      <c r="B160" t="s">
        <v>654</v>
      </c>
      <c r="D160" s="18">
        <v>2050</v>
      </c>
      <c r="E160" t="s">
        <v>37</v>
      </c>
      <c r="F160" t="s">
        <v>136</v>
      </c>
      <c r="G160" t="s">
        <v>39</v>
      </c>
      <c r="H160" t="s">
        <v>32</v>
      </c>
      <c r="I160" t="s">
        <v>44</v>
      </c>
      <c r="J160" t="s">
        <v>464</v>
      </c>
      <c r="L160" s="24">
        <v>0</v>
      </c>
      <c r="M160" s="24">
        <v>0</v>
      </c>
      <c r="N160" s="24">
        <v>1.164988379267724E-3</v>
      </c>
      <c r="O160" s="24">
        <v>1.2306591692257861E-2</v>
      </c>
      <c r="P160" s="24">
        <v>4.6422496254413448E-3</v>
      </c>
      <c r="Q160" s="24">
        <v>5.1150423739116629E-2</v>
      </c>
      <c r="R160" s="24">
        <v>6.9264253436083556E-2</v>
      </c>
      <c r="S160" s="26">
        <v>0</v>
      </c>
      <c r="T160" s="26">
        <v>0</v>
      </c>
      <c r="U160" s="26">
        <v>6.6405808297254575E-4</v>
      </c>
      <c r="V160" s="26">
        <v>4.722191823356421E-4</v>
      </c>
      <c r="W160" s="26">
        <v>3.2027845561069079E-4</v>
      </c>
      <c r="X160" s="26">
        <v>3.2595495264978777E-2</v>
      </c>
      <c r="Y160" s="26">
        <v>3.4052050985897656E-2</v>
      </c>
      <c r="Z160" s="28">
        <v>0</v>
      </c>
      <c r="AA160" s="28">
        <v>2.3145477658575108E-3</v>
      </c>
      <c r="AB160" s="28">
        <v>1.17177579339808E-4</v>
      </c>
      <c r="AC160" s="28">
        <v>1.5438989133449149E-4</v>
      </c>
      <c r="AD160" s="28">
        <v>1.4290790010594711E-4</v>
      </c>
      <c r="AE160" s="28">
        <v>3.542298854682322E-3</v>
      </c>
      <c r="AF160" s="28">
        <v>6.2713219913200797E-3</v>
      </c>
      <c r="AG160" s="30">
        <v>0</v>
      </c>
      <c r="AH160" s="30">
        <v>1.228469691721989E-5</v>
      </c>
      <c r="AI160" s="30">
        <v>4.3913439625458252E-4</v>
      </c>
      <c r="AJ160" s="30">
        <v>3.7507357872791961E-4</v>
      </c>
      <c r="AK160" s="30">
        <v>1.919081830326583E-4</v>
      </c>
      <c r="AL160" s="30">
        <v>1.247884742641603E-2</v>
      </c>
      <c r="AM160" s="30">
        <v>1.3497248281348411E-2</v>
      </c>
      <c r="AN160" s="32">
        <v>0</v>
      </c>
      <c r="AO160" s="32">
        <v>8.7500264113198857E-6</v>
      </c>
      <c r="AP160" s="32">
        <v>1.037481844565918E-6</v>
      </c>
      <c r="AQ160" s="32">
        <v>7.4641524221169363E-7</v>
      </c>
      <c r="AR160" s="32">
        <v>7.7942384472493537E-7</v>
      </c>
      <c r="AS160" s="32">
        <v>9.8010839159747582E-6</v>
      </c>
      <c r="AT160" s="32">
        <v>2.1114431258797189E-5</v>
      </c>
      <c r="AU160" s="34">
        <v>0</v>
      </c>
      <c r="AV160" s="34">
        <v>0</v>
      </c>
      <c r="AW160" s="34">
        <v>1.1606922635697264E-2</v>
      </c>
      <c r="AX160" s="34">
        <v>0.17647448414364728</v>
      </c>
      <c r="AY160" s="34">
        <v>0.16254568959927568</v>
      </c>
      <c r="AZ160" s="34">
        <v>0.68695350207309391</v>
      </c>
      <c r="BA160" s="34">
        <v>1.0375805984517141</v>
      </c>
      <c r="BB160" s="6"/>
      <c r="BC160" s="6"/>
      <c r="BD160" t="s">
        <v>717</v>
      </c>
      <c r="BF160" s="5">
        <v>6.1915167E-2</v>
      </c>
      <c r="BG160" s="5">
        <f t="shared" si="6"/>
        <v>-7.3490864360835559E-3</v>
      </c>
      <c r="BH160" s="2">
        <v>136.49283</v>
      </c>
    </row>
    <row r="161" spans="1:60" x14ac:dyDescent="0.2">
      <c r="A161" t="str">
        <f t="shared" si="0"/>
        <v>Motorbike, gasoline, 4-11kW, EURO-3 - 2006 - None - CH</v>
      </c>
      <c r="B161" t="s">
        <v>403</v>
      </c>
      <c r="D161" s="18">
        <v>2006</v>
      </c>
      <c r="E161" t="s">
        <v>37</v>
      </c>
      <c r="F161" t="s">
        <v>137</v>
      </c>
      <c r="G161" t="s">
        <v>39</v>
      </c>
      <c r="H161" t="s">
        <v>35</v>
      </c>
      <c r="I161" t="s">
        <v>136</v>
      </c>
      <c r="J161" t="s">
        <v>136</v>
      </c>
      <c r="L161" s="24">
        <v>7.9541019079154396E-2</v>
      </c>
      <c r="M161" s="24">
        <v>0</v>
      </c>
      <c r="N161" s="24">
        <v>1.312245238226133E-2</v>
      </c>
      <c r="O161" s="24">
        <v>9.5118975182542226E-3</v>
      </c>
      <c r="P161" s="24">
        <v>4.6402999386343227E-3</v>
      </c>
      <c r="Q161" s="24">
        <v>2.272027667316388E-2</v>
      </c>
      <c r="R161" s="24">
        <v>0.12953594559146814</v>
      </c>
      <c r="S161" s="26">
        <v>0</v>
      </c>
      <c r="T161" s="26">
        <v>0</v>
      </c>
      <c r="U161" s="26">
        <v>3.214061973388377E-4</v>
      </c>
      <c r="V161" s="26">
        <v>5.4149643498382851E-4</v>
      </c>
      <c r="W161" s="26">
        <v>3.2015525950156929E-4</v>
      </c>
      <c r="X161" s="26">
        <v>5.2547075017800428E-3</v>
      </c>
      <c r="Y161" s="26">
        <v>6.4377653936042783E-3</v>
      </c>
      <c r="Z161" s="28">
        <v>1.0113664301432161E-3</v>
      </c>
      <c r="AA161" s="28">
        <v>6.250912695722444E-3</v>
      </c>
      <c r="AB161" s="28">
        <v>6.411520379894874E-4</v>
      </c>
      <c r="AC161" s="28">
        <v>1.891362620619139E-4</v>
      </c>
      <c r="AD161" s="28">
        <v>1.428518993632875E-4</v>
      </c>
      <c r="AE161" s="28">
        <v>1.1062787656220441E-3</v>
      </c>
      <c r="AF161" s="28">
        <v>9.3416980909023922E-3</v>
      </c>
      <c r="AG161" s="30">
        <v>2.6452177236869519E-7</v>
      </c>
      <c r="AH161" s="30">
        <v>3.2346437669993012E-5</v>
      </c>
      <c r="AI161" s="30">
        <v>1.219580555120935E-4</v>
      </c>
      <c r="AJ161" s="30">
        <v>3.7496238084001741E-4</v>
      </c>
      <c r="AK161" s="30">
        <v>1.9185591896982799E-4</v>
      </c>
      <c r="AL161" s="30">
        <v>2.4245279184333022E-3</v>
      </c>
      <c r="AM161" s="30">
        <v>3.1459152331976027E-3</v>
      </c>
      <c r="AN161" s="32">
        <v>4.3967774216535978E-7</v>
      </c>
      <c r="AO161" s="32">
        <v>2.344157748409402E-5</v>
      </c>
      <c r="AP161" s="32">
        <v>2.5238030582997469E-6</v>
      </c>
      <c r="AQ161" s="32">
        <v>5.7073161734124143E-7</v>
      </c>
      <c r="AR161" s="32">
        <v>7.7921747935972152E-7</v>
      </c>
      <c r="AS161" s="32">
        <v>4.7205440159917096E-6</v>
      </c>
      <c r="AT161" s="32">
        <v>3.2475551397251795E-5</v>
      </c>
      <c r="AU161" s="34">
        <v>0</v>
      </c>
      <c r="AV161" s="34">
        <v>0</v>
      </c>
      <c r="AW161" s="34">
        <v>1.3051473355703471</v>
      </c>
      <c r="AX161" s="34">
        <v>0.17743074935185008</v>
      </c>
      <c r="AY161" s="34">
        <v>0.162481819130086</v>
      </c>
      <c r="AZ161" s="34">
        <v>0.3367398383770196</v>
      </c>
      <c r="BA161" s="34">
        <v>1.981799742429303</v>
      </c>
      <c r="BB161" s="6"/>
      <c r="BC161" s="6"/>
      <c r="BD161" t="s">
        <v>642</v>
      </c>
      <c r="BF161" s="5">
        <v>0.13600822999999998</v>
      </c>
      <c r="BG161" s="5">
        <f t="shared" si="6"/>
        <v>6.4722844085318421E-3</v>
      </c>
      <c r="BH161" s="2">
        <v>145.84573</v>
      </c>
    </row>
    <row r="162" spans="1:60" x14ac:dyDescent="0.2">
      <c r="A162" t="str">
        <f t="shared" si="0"/>
        <v>Motorbike, gasoline, 4-11kW, EURO-4 - 2016 - None - CH</v>
      </c>
      <c r="B162" t="s">
        <v>404</v>
      </c>
      <c r="D162" s="18">
        <v>2016</v>
      </c>
      <c r="E162" t="s">
        <v>37</v>
      </c>
      <c r="F162" t="s">
        <v>138</v>
      </c>
      <c r="G162" t="s">
        <v>39</v>
      </c>
      <c r="H162" t="s">
        <v>35</v>
      </c>
      <c r="I162" t="s">
        <v>136</v>
      </c>
      <c r="J162" t="s">
        <v>136</v>
      </c>
      <c r="L162" s="24">
        <v>7.9527056563746257E-2</v>
      </c>
      <c r="M162" s="24">
        <v>0</v>
      </c>
      <c r="N162" s="24">
        <v>1.2992527111149829E-2</v>
      </c>
      <c r="O162" s="24">
        <v>9.5118975182542226E-3</v>
      </c>
      <c r="P162" s="24">
        <v>4.6313640551865739E-3</v>
      </c>
      <c r="Q162" s="24">
        <v>2.2698308010020821E-2</v>
      </c>
      <c r="R162" s="24">
        <v>0.1293611532583577</v>
      </c>
      <c r="S162" s="26">
        <v>0</v>
      </c>
      <c r="T162" s="26">
        <v>0</v>
      </c>
      <c r="U162" s="26">
        <v>3.1822395776122538E-4</v>
      </c>
      <c r="V162" s="26">
        <v>5.4149643498382851E-4</v>
      </c>
      <c r="W162" s="26">
        <v>3.1959062211039442E-4</v>
      </c>
      <c r="X162" s="26">
        <v>5.2542613691954716E-3</v>
      </c>
      <c r="Y162" s="26">
        <v>6.4335723840509198E-3</v>
      </c>
      <c r="Z162" s="28">
        <v>1.3845648717079259E-3</v>
      </c>
      <c r="AA162" s="28">
        <v>6.250912695722444E-3</v>
      </c>
      <c r="AB162" s="28">
        <v>6.3480399800939342E-4</v>
      </c>
      <c r="AC162" s="28">
        <v>1.891362620619139E-4</v>
      </c>
      <c r="AD162" s="28">
        <v>1.4259523449404229E-4</v>
      </c>
      <c r="AE162" s="28">
        <v>1.104743413245362E-3</v>
      </c>
      <c r="AF162" s="28">
        <v>9.7067564752410813E-3</v>
      </c>
      <c r="AG162" s="30">
        <v>2.9521636400022289E-7</v>
      </c>
      <c r="AH162" s="30">
        <v>3.2346437669993012E-5</v>
      </c>
      <c r="AI162" s="30">
        <v>1.207505500119738E-4</v>
      </c>
      <c r="AJ162" s="30">
        <v>3.7496238084001741E-4</v>
      </c>
      <c r="AK162" s="30">
        <v>1.916163802027422E-4</v>
      </c>
      <c r="AL162" s="30">
        <v>2.424388740527163E-3</v>
      </c>
      <c r="AM162" s="30">
        <v>3.1443597056158897E-3</v>
      </c>
      <c r="AN162" s="32">
        <v>5.1795514492644861E-7</v>
      </c>
      <c r="AO162" s="32">
        <v>2.344157748409402E-5</v>
      </c>
      <c r="AP162" s="32">
        <v>2.4988149092076699E-6</v>
      </c>
      <c r="AQ162" s="32">
        <v>5.7073161734124143E-7</v>
      </c>
      <c r="AR162" s="32">
        <v>7.7827165726944417E-7</v>
      </c>
      <c r="AS162" s="32">
        <v>4.7148594075683898E-6</v>
      </c>
      <c r="AT162" s="32">
        <v>3.2522210220407215E-5</v>
      </c>
      <c r="AU162" s="34">
        <v>0</v>
      </c>
      <c r="AV162" s="34">
        <v>0</v>
      </c>
      <c r="AW162" s="34">
        <v>1.2922250847231156</v>
      </c>
      <c r="AX162" s="34">
        <v>0.17743074935185008</v>
      </c>
      <c r="AY162" s="34">
        <v>0.16218908541184129</v>
      </c>
      <c r="AZ162" s="34">
        <v>0.33641254117233405</v>
      </c>
      <c r="BA162" s="34">
        <v>1.968257460659141</v>
      </c>
      <c r="BB162" s="6"/>
      <c r="BC162" s="6"/>
      <c r="BD162" t="s">
        <v>648</v>
      </c>
      <c r="BF162" s="5">
        <v>0.13499356000000001</v>
      </c>
      <c r="BG162" s="5">
        <f t="shared" si="6"/>
        <v>5.6324067416423096E-3</v>
      </c>
      <c r="BH162" s="2">
        <v>144.30683999999999</v>
      </c>
    </row>
    <row r="163" spans="1:60" x14ac:dyDescent="0.2">
      <c r="A163" t="str">
        <f t="shared" si="0"/>
        <v>Motorbike, gasoline, 4-11kW, EURO-5 - 2020 - None - CH</v>
      </c>
      <c r="B163" t="s">
        <v>405</v>
      </c>
      <c r="D163" s="18">
        <v>2020</v>
      </c>
      <c r="E163" t="s">
        <v>37</v>
      </c>
      <c r="F163" t="s">
        <v>139</v>
      </c>
      <c r="G163" t="s">
        <v>39</v>
      </c>
      <c r="H163" t="s">
        <v>35</v>
      </c>
      <c r="I163" t="s">
        <v>136</v>
      </c>
      <c r="J163" t="s">
        <v>136</v>
      </c>
      <c r="L163" s="24">
        <v>7.8320935381244822E-2</v>
      </c>
      <c r="M163" s="24">
        <v>0</v>
      </c>
      <c r="N163" s="24">
        <v>1.2862601840038341E-2</v>
      </c>
      <c r="O163" s="24">
        <v>9.5118975182542226E-3</v>
      </c>
      <c r="P163" s="24">
        <v>4.6254067995547422E-3</v>
      </c>
      <c r="Q163" s="24">
        <v>2.2683662206035932E-2</v>
      </c>
      <c r="R163" s="24">
        <v>0.12800450374512806</v>
      </c>
      <c r="S163" s="26">
        <v>0</v>
      </c>
      <c r="T163" s="26">
        <v>0</v>
      </c>
      <c r="U163" s="26">
        <v>3.1504171818361317E-4</v>
      </c>
      <c r="V163" s="26">
        <v>5.4149643498382851E-4</v>
      </c>
      <c r="W163" s="26">
        <v>3.1921419718294452E-4</v>
      </c>
      <c r="X163" s="26">
        <v>5.2539639468923956E-3</v>
      </c>
      <c r="Y163" s="26">
        <v>6.4297162972427819E-3</v>
      </c>
      <c r="Z163" s="28">
        <v>8.483952187273103E-4</v>
      </c>
      <c r="AA163" s="28">
        <v>6.250912695722444E-3</v>
      </c>
      <c r="AB163" s="28">
        <v>6.2845595802929954E-4</v>
      </c>
      <c r="AC163" s="28">
        <v>1.891362620619139E-4</v>
      </c>
      <c r="AD163" s="28">
        <v>1.4242412458121231E-4</v>
      </c>
      <c r="AE163" s="28">
        <v>1.103719843004387E-3</v>
      </c>
      <c r="AF163" s="28">
        <v>9.1630441021265663E-3</v>
      </c>
      <c r="AG163" s="30">
        <v>2.4685591357268181E-7</v>
      </c>
      <c r="AH163" s="30">
        <v>3.2346437669993012E-5</v>
      </c>
      <c r="AI163" s="30">
        <v>1.19543044511854E-4</v>
      </c>
      <c r="AJ163" s="30">
        <v>3.7496238084001741E-4</v>
      </c>
      <c r="AK163" s="30">
        <v>1.914566876913516E-4</v>
      </c>
      <c r="AL163" s="30">
        <v>2.4242959550756201E-3</v>
      </c>
      <c r="AM163" s="30">
        <v>3.1428513617024088E-3</v>
      </c>
      <c r="AN163" s="32">
        <v>4.0014680188549892E-7</v>
      </c>
      <c r="AO163" s="32">
        <v>2.344157748409402E-5</v>
      </c>
      <c r="AP163" s="32">
        <v>2.4738267601155942E-6</v>
      </c>
      <c r="AQ163" s="32">
        <v>5.7073161734124143E-7</v>
      </c>
      <c r="AR163" s="32">
        <v>7.7764110920925919E-7</v>
      </c>
      <c r="AS163" s="32">
        <v>4.7110696612503004E-6</v>
      </c>
      <c r="AT163" s="32">
        <v>3.2374993433895915E-5</v>
      </c>
      <c r="AU163" s="34">
        <v>0</v>
      </c>
      <c r="AV163" s="34">
        <v>0</v>
      </c>
      <c r="AW163" s="34">
        <v>1.2793028338758852</v>
      </c>
      <c r="AX163" s="34">
        <v>0.17743074935185008</v>
      </c>
      <c r="AY163" s="34">
        <v>0.16199392959967812</v>
      </c>
      <c r="AZ163" s="34">
        <v>0.33619434261055814</v>
      </c>
      <c r="BA163" s="34">
        <v>1.9549218554379717</v>
      </c>
      <c r="BB163" s="6"/>
      <c r="BC163" s="6"/>
      <c r="BD163" t="s">
        <v>635</v>
      </c>
      <c r="BF163" s="5">
        <v>0.13399080999999999</v>
      </c>
      <c r="BG163" s="5">
        <f t="shared" si="6"/>
        <v>5.9863062548719259E-3</v>
      </c>
      <c r="BH163" s="2">
        <v>140.88632999999999</v>
      </c>
    </row>
    <row r="164" spans="1:60" x14ac:dyDescent="0.2">
      <c r="A164" t="str">
        <f t="shared" si="0"/>
        <v>Motorbike, gasoline, 4-11kW, EURO-5 - 2030 - None - CH</v>
      </c>
      <c r="B164" t="s">
        <v>405</v>
      </c>
      <c r="D164" s="18">
        <v>2030</v>
      </c>
      <c r="E164" t="s">
        <v>37</v>
      </c>
      <c r="F164" t="s">
        <v>139</v>
      </c>
      <c r="G164" t="s">
        <v>39</v>
      </c>
      <c r="H164" t="s">
        <v>35</v>
      </c>
      <c r="I164" t="s">
        <v>136</v>
      </c>
      <c r="J164" t="s">
        <v>136</v>
      </c>
      <c r="L164" s="24">
        <v>7.7537726027432377E-2</v>
      </c>
      <c r="M164" s="24">
        <v>0</v>
      </c>
      <c r="N164" s="24">
        <v>1.273397582163795E-2</v>
      </c>
      <c r="O164" s="24">
        <v>9.5118975182542226E-3</v>
      </c>
      <c r="P164" s="24">
        <v>4.6164709161069933E-3</v>
      </c>
      <c r="Q164" s="24">
        <v>2.531392798158032E-2</v>
      </c>
      <c r="R164" s="24">
        <v>0.12971399826501187</v>
      </c>
      <c r="S164" s="26">
        <v>0</v>
      </c>
      <c r="T164" s="26">
        <v>0</v>
      </c>
      <c r="U164" s="26">
        <v>3.1189130100177712E-4</v>
      </c>
      <c r="V164" s="26">
        <v>5.4149643498382851E-4</v>
      </c>
      <c r="W164" s="26">
        <v>3.1864955979176948E-4</v>
      </c>
      <c r="X164" s="26">
        <v>5.7269207836416957E-3</v>
      </c>
      <c r="Y164" s="26">
        <v>6.8989580794190705E-3</v>
      </c>
      <c r="Z164" s="28">
        <v>8.3991126654003715E-4</v>
      </c>
      <c r="AA164" s="28">
        <v>6.250912695722444E-3</v>
      </c>
      <c r="AB164" s="28">
        <v>6.2217139844900657E-4</v>
      </c>
      <c r="AC164" s="28">
        <v>1.891362620619139E-4</v>
      </c>
      <c r="AD164" s="28">
        <v>1.421674597119671E-4</v>
      </c>
      <c r="AE164" s="28">
        <v>1.253532656184164E-3</v>
      </c>
      <c r="AF164" s="28">
        <v>9.297831738669533E-3</v>
      </c>
      <c r="AG164" s="30">
        <v>2.4438735443695488E-7</v>
      </c>
      <c r="AH164" s="30">
        <v>3.2346437669993012E-5</v>
      </c>
      <c r="AI164" s="30">
        <v>1.183476140667355E-4</v>
      </c>
      <c r="AJ164" s="30">
        <v>3.7496238084001741E-4</v>
      </c>
      <c r="AK164" s="30">
        <v>1.912171489242658E-4</v>
      </c>
      <c r="AL164" s="30">
        <v>2.924990821725087E-3</v>
      </c>
      <c r="AM164" s="30">
        <v>3.6421087905805357E-3</v>
      </c>
      <c r="AN164" s="32">
        <v>3.9614533386664379E-7</v>
      </c>
      <c r="AO164" s="32">
        <v>2.344157748409402E-5</v>
      </c>
      <c r="AP164" s="32">
        <v>2.449088492514438E-6</v>
      </c>
      <c r="AQ164" s="32">
        <v>5.7073161734124143E-7</v>
      </c>
      <c r="AR164" s="32">
        <v>7.7669528711898183E-7</v>
      </c>
      <c r="AS164" s="32">
        <v>4.8291393576053401E-6</v>
      </c>
      <c r="AT164" s="32">
        <v>3.2463377572540661E-5</v>
      </c>
      <c r="AU164" s="34">
        <v>0</v>
      </c>
      <c r="AV164" s="34">
        <v>0</v>
      </c>
      <c r="AW164" s="34">
        <v>1.2665098055371258</v>
      </c>
      <c r="AX164" s="34">
        <v>0.17743074935185008</v>
      </c>
      <c r="AY164" s="34">
        <v>0.16170119588143342</v>
      </c>
      <c r="AZ164" s="34">
        <v>0.36421661052325693</v>
      </c>
      <c r="BA164" s="34">
        <v>1.9698583612936662</v>
      </c>
      <c r="BB164" s="6"/>
      <c r="BC164" s="6"/>
      <c r="BD164" t="s">
        <v>509</v>
      </c>
      <c r="BF164" s="5">
        <v>0.13387144000000001</v>
      </c>
      <c r="BG164" s="5">
        <f t="shared" si="6"/>
        <v>4.1574417349881376E-3</v>
      </c>
      <c r="BH164" s="2">
        <v>140.75147999999999</v>
      </c>
    </row>
    <row r="165" spans="1:60" x14ac:dyDescent="0.2">
      <c r="A165" t="str">
        <f t="shared" si="0"/>
        <v>Motorbike, gasoline, 4-11kW, EURO-5 - 2040 - None - CH</v>
      </c>
      <c r="B165" t="s">
        <v>405</v>
      </c>
      <c r="D165" s="18">
        <v>2040</v>
      </c>
      <c r="E165" t="s">
        <v>37</v>
      </c>
      <c r="F165" t="s">
        <v>139</v>
      </c>
      <c r="G165" t="s">
        <v>39</v>
      </c>
      <c r="H165" t="s">
        <v>35</v>
      </c>
      <c r="I165" t="s">
        <v>136</v>
      </c>
      <c r="J165" t="s">
        <v>136</v>
      </c>
      <c r="L165" s="24">
        <v>7.6762348767158053E-2</v>
      </c>
      <c r="M165" s="24">
        <v>0</v>
      </c>
      <c r="N165" s="24">
        <v>1.2606636063421569E-2</v>
      </c>
      <c r="O165" s="24">
        <v>9.5118975182542226E-3</v>
      </c>
      <c r="P165" s="24">
        <v>4.6105136604751608E-3</v>
      </c>
      <c r="Q165" s="24">
        <v>2.7067438429300129E-2</v>
      </c>
      <c r="R165" s="24">
        <v>0.13055883443860913</v>
      </c>
      <c r="S165" s="26">
        <v>0</v>
      </c>
      <c r="T165" s="26">
        <v>0</v>
      </c>
      <c r="U165" s="26">
        <v>3.0877238799175918E-4</v>
      </c>
      <c r="V165" s="26">
        <v>5.4149643498382851E-4</v>
      </c>
      <c r="W165" s="26">
        <v>3.1827313486431958E-4</v>
      </c>
      <c r="X165" s="26">
        <v>6.0422253229871032E-3</v>
      </c>
      <c r="Y165" s="26">
        <v>7.2107672808270108E-3</v>
      </c>
      <c r="Z165" s="28">
        <v>8.3151215387463685E-4</v>
      </c>
      <c r="AA165" s="28">
        <v>6.250912695722444E-3</v>
      </c>
      <c r="AB165" s="28">
        <v>6.1594968446451639E-4</v>
      </c>
      <c r="AC165" s="28">
        <v>1.891362620619139E-4</v>
      </c>
      <c r="AD165" s="28">
        <v>1.41996349799137E-4</v>
      </c>
      <c r="AE165" s="28">
        <v>1.353407866190402E-3</v>
      </c>
      <c r="AF165" s="28">
        <v>9.3829150121130505E-3</v>
      </c>
      <c r="AG165" s="30">
        <v>2.4194348089258541E-7</v>
      </c>
      <c r="AH165" s="30">
        <v>3.2346437669993012E-5</v>
      </c>
      <c r="AI165" s="30">
        <v>1.171641379260681E-4</v>
      </c>
      <c r="AJ165" s="30">
        <v>3.7496238084001741E-4</v>
      </c>
      <c r="AK165" s="30">
        <v>1.910574564128753E-4</v>
      </c>
      <c r="AL165" s="30">
        <v>3.2587873795567939E-3</v>
      </c>
      <c r="AM165" s="30">
        <v>3.9745597358866406E-3</v>
      </c>
      <c r="AN165" s="32">
        <v>3.921838805279774E-7</v>
      </c>
      <c r="AO165" s="32">
        <v>2.344157748409402E-5</v>
      </c>
      <c r="AP165" s="32">
        <v>2.424597607589293E-6</v>
      </c>
      <c r="AQ165" s="32">
        <v>5.7073161734124143E-7</v>
      </c>
      <c r="AR165" s="32">
        <v>7.7606473905879696E-7</v>
      </c>
      <c r="AS165" s="32">
        <v>4.9078525092385597E-6</v>
      </c>
      <c r="AT165" s="32">
        <v>3.2513007837849888E-5</v>
      </c>
      <c r="AU165" s="34">
        <v>0</v>
      </c>
      <c r="AV165" s="34">
        <v>0</v>
      </c>
      <c r="AW165" s="34">
        <v>1.2538447074817545</v>
      </c>
      <c r="AX165" s="34">
        <v>0.17743074935185008</v>
      </c>
      <c r="AY165" s="34">
        <v>0.1615060400692703</v>
      </c>
      <c r="AZ165" s="34">
        <v>0.38289812198134571</v>
      </c>
      <c r="BA165" s="34">
        <v>1.9756796188842205</v>
      </c>
      <c r="BB165" s="6"/>
      <c r="BC165" s="6"/>
      <c r="BD165" t="s">
        <v>510</v>
      </c>
      <c r="BF165" s="5">
        <v>0.13343828999999999</v>
      </c>
      <c r="BG165" s="5">
        <f t="shared" si="6"/>
        <v>2.8794555613908535E-3</v>
      </c>
      <c r="BH165" s="2">
        <v>140.44141999999999</v>
      </c>
    </row>
    <row r="166" spans="1:60" x14ac:dyDescent="0.2">
      <c r="A166" t="str">
        <f t="shared" si="0"/>
        <v>Motorbike, gasoline, 4-11kW, EURO-5 - 2050 - None - CH</v>
      </c>
      <c r="B166" t="s">
        <v>405</v>
      </c>
      <c r="D166" s="18">
        <v>2050</v>
      </c>
      <c r="E166" t="s">
        <v>37</v>
      </c>
      <c r="F166" t="s">
        <v>139</v>
      </c>
      <c r="G166" t="s">
        <v>39</v>
      </c>
      <c r="H166" t="s">
        <v>35</v>
      </c>
      <c r="I166" t="s">
        <v>136</v>
      </c>
      <c r="J166" t="s">
        <v>136</v>
      </c>
      <c r="L166" s="24">
        <v>7.5994725279486475E-2</v>
      </c>
      <c r="M166" s="24">
        <v>0</v>
      </c>
      <c r="N166" s="24">
        <v>1.248056970278736E-2</v>
      </c>
      <c r="O166" s="24">
        <v>9.5118975182542226E-3</v>
      </c>
      <c r="P166" s="24">
        <v>4.6045564048433291E-3</v>
      </c>
      <c r="Q166" s="24">
        <v>2.8820949159174509E-2</v>
      </c>
      <c r="R166" s="24">
        <v>0.13141269806454589</v>
      </c>
      <c r="S166" s="26">
        <v>0</v>
      </c>
      <c r="T166" s="26">
        <v>0</v>
      </c>
      <c r="U166" s="26">
        <v>3.0568466411184171E-4</v>
      </c>
      <c r="V166" s="26">
        <v>5.4149643498382851E-4</v>
      </c>
      <c r="W166" s="26">
        <v>3.1789670993686962E-4</v>
      </c>
      <c r="X166" s="26">
        <v>6.3575299190748056E-3</v>
      </c>
      <c r="Y166" s="26">
        <v>7.5226077281073458E-3</v>
      </c>
      <c r="Z166" s="28">
        <v>8.2319703233589049E-4</v>
      </c>
      <c r="AA166" s="28">
        <v>6.250912695722444E-3</v>
      </c>
      <c r="AB166" s="28">
        <v>6.0979018761987127E-4</v>
      </c>
      <c r="AC166" s="28">
        <v>1.891362620619139E-4</v>
      </c>
      <c r="AD166" s="28">
        <v>1.4182523988630691E-4</v>
      </c>
      <c r="AE166" s="28">
        <v>1.4532830889765259E-3</v>
      </c>
      <c r="AF166" s="28">
        <v>9.4681445066029518E-3</v>
      </c>
      <c r="AG166" s="30">
        <v>2.3952404608365962E-7</v>
      </c>
      <c r="AH166" s="30">
        <v>3.2346437669993012E-5</v>
      </c>
      <c r="AI166" s="30">
        <v>1.1599249654680751E-4</v>
      </c>
      <c r="AJ166" s="30">
        <v>3.7496238084001741E-4</v>
      </c>
      <c r="AK166" s="30">
        <v>1.908977639014847E-4</v>
      </c>
      <c r="AL166" s="30">
        <v>3.5925839979039521E-3</v>
      </c>
      <c r="AM166" s="30">
        <v>4.3070226009083385E-3</v>
      </c>
      <c r="AN166" s="32">
        <v>3.8826204172269772E-7</v>
      </c>
      <c r="AO166" s="32">
        <v>2.344157748409402E-5</v>
      </c>
      <c r="AP166" s="32">
        <v>2.400351631513401E-6</v>
      </c>
      <c r="AQ166" s="32">
        <v>5.7073161734124143E-7</v>
      </c>
      <c r="AR166" s="32">
        <v>7.754341909986121E-7</v>
      </c>
      <c r="AS166" s="32">
        <v>4.9865656560368254E-6</v>
      </c>
      <c r="AT166" s="32">
        <v>3.2562922621706801E-5</v>
      </c>
      <c r="AU166" s="34">
        <v>0</v>
      </c>
      <c r="AV166" s="34">
        <v>0</v>
      </c>
      <c r="AW166" s="34">
        <v>1.2413062604069367</v>
      </c>
      <c r="AX166" s="34">
        <v>0.17743074935185008</v>
      </c>
      <c r="AY166" s="34">
        <v>0.16131088425710713</v>
      </c>
      <c r="AZ166" s="34">
        <v>0.40157963622903398</v>
      </c>
      <c r="BA166" s="34">
        <v>1.981627530244928</v>
      </c>
      <c r="BB166" s="6"/>
      <c r="BC166" s="6"/>
      <c r="BD166" t="s">
        <v>511</v>
      </c>
      <c r="BF166" s="5">
        <v>0.13314013000000002</v>
      </c>
      <c r="BG166" s="5">
        <f t="shared" si="6"/>
        <v>1.7274319354541323E-3</v>
      </c>
      <c r="BH166" s="2">
        <v>140.13261</v>
      </c>
    </row>
    <row r="167" spans="1:60" x14ac:dyDescent="0.2">
      <c r="A167" t="str">
        <f t="shared" si="0"/>
        <v>Motorbike, gasoline, 11-35kW, EURO-3 - 2006 - None - CH</v>
      </c>
      <c r="B167" t="s">
        <v>385</v>
      </c>
      <c r="D167" s="18">
        <v>2006</v>
      </c>
      <c r="E167" t="s">
        <v>37</v>
      </c>
      <c r="F167" t="s">
        <v>137</v>
      </c>
      <c r="G167" t="s">
        <v>39</v>
      </c>
      <c r="H167" t="s">
        <v>35</v>
      </c>
      <c r="I167" t="s">
        <v>136</v>
      </c>
      <c r="J167" t="s">
        <v>136</v>
      </c>
      <c r="L167" s="24">
        <v>0.11010952647011769</v>
      </c>
      <c r="M167" s="24">
        <v>0</v>
      </c>
      <c r="N167" s="24">
        <v>1.9033078411954611E-2</v>
      </c>
      <c r="O167" s="24">
        <v>9.5118975182542226E-3</v>
      </c>
      <c r="P167" s="24">
        <v>4.8119868849681481E-3</v>
      </c>
      <c r="Q167" s="24">
        <v>1.9015334438299419E-2</v>
      </c>
      <c r="R167" s="24">
        <v>0.16248182372359407</v>
      </c>
      <c r="S167" s="26">
        <v>0</v>
      </c>
      <c r="T167" s="26">
        <v>0</v>
      </c>
      <c r="U167" s="26">
        <v>4.6617424684333893E-4</v>
      </c>
      <c r="V167" s="26">
        <v>5.4149643498382851E-4</v>
      </c>
      <c r="W167" s="26">
        <v>3.3100375255136949E-4</v>
      </c>
      <c r="X167" s="26">
        <v>4.3874659130381981E-3</v>
      </c>
      <c r="Y167" s="26">
        <v>5.7261403474167354E-3</v>
      </c>
      <c r="Z167" s="28">
        <v>1.502397285462156E-3</v>
      </c>
      <c r="AA167" s="28">
        <v>6.250912695722444E-3</v>
      </c>
      <c r="AB167" s="28">
        <v>9.2994027774368729E-4</v>
      </c>
      <c r="AC167" s="28">
        <v>1.891362620619139E-4</v>
      </c>
      <c r="AD167" s="28">
        <v>1.4778325370441589E-4</v>
      </c>
      <c r="AE167" s="28">
        <v>9.2518763671861593E-4</v>
      </c>
      <c r="AF167" s="28">
        <v>9.9453574114132335E-3</v>
      </c>
      <c r="AG167" s="30">
        <v>3.867532849392941E-7</v>
      </c>
      <c r="AH167" s="30">
        <v>3.2346437669993012E-5</v>
      </c>
      <c r="AI167" s="30">
        <v>1.7689050536536839E-4</v>
      </c>
      <c r="AJ167" s="30">
        <v>3.7496238084001741E-4</v>
      </c>
      <c r="AK167" s="30">
        <v>1.964582260265409E-4</v>
      </c>
      <c r="AL167" s="30">
        <v>2.0245198343931681E-3</v>
      </c>
      <c r="AM167" s="30">
        <v>2.8055641375800272E-3</v>
      </c>
      <c r="AN167" s="32">
        <v>6.4537060183367351E-7</v>
      </c>
      <c r="AO167" s="32">
        <v>2.344157748409402E-5</v>
      </c>
      <c r="AP167" s="32">
        <v>3.660576552739767E-6</v>
      </c>
      <c r="AQ167" s="32">
        <v>5.7073161734124143E-7</v>
      </c>
      <c r="AR167" s="32">
        <v>7.9738975157033457E-7</v>
      </c>
      <c r="AS167" s="32">
        <v>3.9463842565876118E-6</v>
      </c>
      <c r="AT167" s="32">
        <v>3.306203026416665E-5</v>
      </c>
      <c r="AU167" s="34">
        <v>0</v>
      </c>
      <c r="AV167" s="34">
        <v>0</v>
      </c>
      <c r="AW167" s="34">
        <v>1.8930128952606131</v>
      </c>
      <c r="AX167" s="34">
        <v>0.17743074935185008</v>
      </c>
      <c r="AY167" s="34">
        <v>0.16810617160382443</v>
      </c>
      <c r="AZ167" s="34">
        <v>0.2823819203081942</v>
      </c>
      <c r="BA167" s="34">
        <v>2.5209317365244814</v>
      </c>
      <c r="BB167" s="6"/>
      <c r="BC167" s="6"/>
      <c r="BD167" t="s">
        <v>643</v>
      </c>
      <c r="BF167" s="5">
        <v>0.17401238999999999</v>
      </c>
      <c r="BG167" s="5">
        <f t="shared" si="6"/>
        <v>1.1530566276405918E-2</v>
      </c>
      <c r="BH167" s="2">
        <v>169.18772999999999</v>
      </c>
    </row>
    <row r="168" spans="1:60" x14ac:dyDescent="0.2">
      <c r="A168" t="str">
        <f t="shared" si="0"/>
        <v>Motorbike, gasoline, 11-35kW, EURO-4 - 2016 - None - CH</v>
      </c>
      <c r="B168" t="s">
        <v>386</v>
      </c>
      <c r="D168" s="18">
        <v>2016</v>
      </c>
      <c r="E168" t="s">
        <v>37</v>
      </c>
      <c r="F168" t="s">
        <v>138</v>
      </c>
      <c r="G168" t="s">
        <v>39</v>
      </c>
      <c r="H168" t="s">
        <v>35</v>
      </c>
      <c r="I168" t="s">
        <v>136</v>
      </c>
      <c r="J168" t="s">
        <v>136</v>
      </c>
      <c r="L168" s="24">
        <v>0.108920498676729</v>
      </c>
      <c r="M168" s="24">
        <v>0</v>
      </c>
      <c r="N168" s="24">
        <v>1.8844632091044169E-2</v>
      </c>
      <c r="O168" s="24">
        <v>9.5118975182542226E-3</v>
      </c>
      <c r="P168" s="24">
        <v>4.8009252278270118E-3</v>
      </c>
      <c r="Q168" s="24">
        <v>1.8997675425317492E-2</v>
      </c>
      <c r="R168" s="24">
        <v>0.16107562893917191</v>
      </c>
      <c r="S168" s="26">
        <v>0</v>
      </c>
      <c r="T168" s="26">
        <v>0</v>
      </c>
      <c r="U168" s="26">
        <v>4.6155866024092962E-4</v>
      </c>
      <c r="V168" s="26">
        <v>5.4149643498382851E-4</v>
      </c>
      <c r="W168" s="26">
        <v>3.3030479253619418E-4</v>
      </c>
      <c r="X168" s="26">
        <v>4.3871072995048804E-3</v>
      </c>
      <c r="Y168" s="26">
        <v>5.720467187265833E-3</v>
      </c>
      <c r="Z168" s="28">
        <v>6.264240714508435E-4</v>
      </c>
      <c r="AA168" s="28">
        <v>6.250912695722444E-3</v>
      </c>
      <c r="AB168" s="28">
        <v>9.207329482610766E-4</v>
      </c>
      <c r="AC168" s="28">
        <v>1.891362620619139E-4</v>
      </c>
      <c r="AD168" s="28">
        <v>1.474655303589441E-4</v>
      </c>
      <c r="AE168" s="28">
        <v>9.2395347575541589E-4</v>
      </c>
      <c r="AF168" s="28">
        <v>9.0586249836106386E-3</v>
      </c>
      <c r="AG168" s="30">
        <v>3.080629938454747E-7</v>
      </c>
      <c r="AH168" s="30">
        <v>3.2346437669993012E-5</v>
      </c>
      <c r="AI168" s="30">
        <v>1.7513911422313699E-4</v>
      </c>
      <c r="AJ168" s="30">
        <v>3.7496238084001741E-4</v>
      </c>
      <c r="AK168" s="30">
        <v>1.9616170294306431E-4</v>
      </c>
      <c r="AL168" s="30">
        <v>2.0244079593236971E-3</v>
      </c>
      <c r="AM168" s="30">
        <v>2.8033256579937543E-3</v>
      </c>
      <c r="AN168" s="32">
        <v>4.5330004081950549E-7</v>
      </c>
      <c r="AO168" s="32">
        <v>2.344157748409402E-5</v>
      </c>
      <c r="AP168" s="32">
        <v>3.624333220534424E-6</v>
      </c>
      <c r="AQ168" s="32">
        <v>5.7073161734124143E-7</v>
      </c>
      <c r="AR168" s="32">
        <v>7.9621892612925324E-7</v>
      </c>
      <c r="AS168" s="32">
        <v>3.941814803588414E-6</v>
      </c>
      <c r="AT168" s="32">
        <v>3.2827976092506859E-5</v>
      </c>
      <c r="AU168" s="34">
        <v>0</v>
      </c>
      <c r="AV168" s="34">
        <v>0</v>
      </c>
      <c r="AW168" s="34">
        <v>1.8742701933273391</v>
      </c>
      <c r="AX168" s="34">
        <v>0.17743074935185008</v>
      </c>
      <c r="AY168" s="34">
        <v>0.16774379892474825</v>
      </c>
      <c r="AZ168" s="34">
        <v>0.28211882979754649</v>
      </c>
      <c r="BA168" s="34">
        <v>2.5015635714014839</v>
      </c>
      <c r="BB168" s="6"/>
      <c r="BC168" s="6"/>
      <c r="BD168" t="s">
        <v>649</v>
      </c>
      <c r="BF168" s="5">
        <v>0.17280902000000001</v>
      </c>
      <c r="BG168" s="5">
        <f t="shared" si="6"/>
        <v>1.1733391060828102E-2</v>
      </c>
      <c r="BH168" s="2">
        <v>164.06079</v>
      </c>
    </row>
    <row r="169" spans="1:60" x14ac:dyDescent="0.2">
      <c r="A169" t="str">
        <f t="shared" si="0"/>
        <v>Motorbike, gasoline, 11-35kW, EURO-5 - 2020 - None - CH</v>
      </c>
      <c r="B169" t="s">
        <v>387</v>
      </c>
      <c r="D169" s="18">
        <v>2020</v>
      </c>
      <c r="E169" t="s">
        <v>37</v>
      </c>
      <c r="F169" t="s">
        <v>139</v>
      </c>
      <c r="G169" t="s">
        <v>39</v>
      </c>
      <c r="H169" t="s">
        <v>35</v>
      </c>
      <c r="I169" t="s">
        <v>136</v>
      </c>
      <c r="J169" t="s">
        <v>136</v>
      </c>
      <c r="L169" s="24">
        <v>0.10776198345764861</v>
      </c>
      <c r="M169" s="24">
        <v>0</v>
      </c>
      <c r="N169" s="24">
        <v>1.865618577013373E-2</v>
      </c>
      <c r="O169" s="24">
        <v>9.5118975182542226E-3</v>
      </c>
      <c r="P169" s="24">
        <v>4.7935507897329203E-3</v>
      </c>
      <c r="Q169" s="24">
        <v>1.8985902764823859E-2</v>
      </c>
      <c r="R169" s="24">
        <v>0.15970952030059338</v>
      </c>
      <c r="S169" s="26">
        <v>0</v>
      </c>
      <c r="T169" s="26">
        <v>0</v>
      </c>
      <c r="U169" s="26">
        <v>4.5694307363852032E-4</v>
      </c>
      <c r="V169" s="26">
        <v>5.4149643498382851E-4</v>
      </c>
      <c r="W169" s="26">
        <v>3.2983881919274402E-4</v>
      </c>
      <c r="X169" s="26">
        <v>4.3868682240432669E-3</v>
      </c>
      <c r="Y169" s="26">
        <v>5.7151465518583602E-3</v>
      </c>
      <c r="Z169" s="28">
        <v>4.2812561319637682E-4</v>
      </c>
      <c r="AA169" s="28">
        <v>6.250912695722444E-3</v>
      </c>
      <c r="AB169" s="28">
        <v>9.1152561877846591E-4</v>
      </c>
      <c r="AC169" s="28">
        <v>1.891362620619139E-4</v>
      </c>
      <c r="AD169" s="28">
        <v>1.472537147952963E-4</v>
      </c>
      <c r="AE169" s="28">
        <v>9.2313070647124737E-4</v>
      </c>
      <c r="AF169" s="28">
        <v>8.850084611025745E-3</v>
      </c>
      <c r="AG169" s="30">
        <v>2.8828785101483539E-7</v>
      </c>
      <c r="AH169" s="30">
        <v>3.2346437669993012E-5</v>
      </c>
      <c r="AI169" s="30">
        <v>1.7338772308090559E-4</v>
      </c>
      <c r="AJ169" s="30">
        <v>3.7496238084001741E-4</v>
      </c>
      <c r="AK169" s="30">
        <v>1.9596402088741319E-4</v>
      </c>
      <c r="AL169" s="30">
        <v>2.0243333761164111E-3</v>
      </c>
      <c r="AM169" s="30">
        <v>2.8012822264457549E-3</v>
      </c>
      <c r="AN169" s="32">
        <v>4.0735867761497301E-7</v>
      </c>
      <c r="AO169" s="32">
        <v>2.344157748409402E-5</v>
      </c>
      <c r="AP169" s="32">
        <v>3.5880898883290801E-6</v>
      </c>
      <c r="AQ169" s="32">
        <v>5.7073161734124143E-7</v>
      </c>
      <c r="AR169" s="32">
        <v>7.9543837583519907E-7</v>
      </c>
      <c r="AS169" s="32">
        <v>3.9387685178179047E-6</v>
      </c>
      <c r="AT169" s="32">
        <v>3.2741964561032422E-5</v>
      </c>
      <c r="AU169" s="34">
        <v>0</v>
      </c>
      <c r="AV169" s="34">
        <v>0</v>
      </c>
      <c r="AW169" s="34">
        <v>1.8555274913940658</v>
      </c>
      <c r="AX169" s="34">
        <v>0.17743074935185008</v>
      </c>
      <c r="AY169" s="34">
        <v>0.16750221713869745</v>
      </c>
      <c r="AZ169" s="34">
        <v>0.28194343642025882</v>
      </c>
      <c r="BA169" s="34">
        <v>2.4824038943048721</v>
      </c>
      <c r="BB169" s="6"/>
      <c r="BC169" s="6"/>
      <c r="BD169" t="s">
        <v>636</v>
      </c>
      <c r="BF169" s="5">
        <v>0.17139077</v>
      </c>
      <c r="BG169" s="5">
        <f t="shared" si="6"/>
        <v>1.1681249699406621E-2</v>
      </c>
      <c r="BH169" s="2">
        <v>162.01159999999999</v>
      </c>
    </row>
    <row r="170" spans="1:60" x14ac:dyDescent="0.2">
      <c r="A170" t="str">
        <f t="shared" si="0"/>
        <v>Motorbike, gasoline, 11-35kW, EURO-5 - 2030 - None - CH</v>
      </c>
      <c r="B170" t="s">
        <v>387</v>
      </c>
      <c r="D170" s="18">
        <v>2030</v>
      </c>
      <c r="E170" t="s">
        <v>37</v>
      </c>
      <c r="F170" t="s">
        <v>139</v>
      </c>
      <c r="G170" t="s">
        <v>39</v>
      </c>
      <c r="H170" t="s">
        <v>35</v>
      </c>
      <c r="I170" t="s">
        <v>136</v>
      </c>
      <c r="J170" t="s">
        <v>136</v>
      </c>
      <c r="L170" s="24">
        <v>0.1066843636230721</v>
      </c>
      <c r="M170" s="24">
        <v>0</v>
      </c>
      <c r="N170" s="24">
        <v>1.8469623912432391E-2</v>
      </c>
      <c r="O170" s="24">
        <v>9.5118975182542226E-3</v>
      </c>
      <c r="P170" s="24">
        <v>4.7824891325917839E-3</v>
      </c>
      <c r="Q170" s="24">
        <v>2.1100178502921861E-2</v>
      </c>
      <c r="R170" s="24">
        <v>0.16054855268927234</v>
      </c>
      <c r="S170" s="26">
        <v>0</v>
      </c>
      <c r="T170" s="26">
        <v>0</v>
      </c>
      <c r="U170" s="26">
        <v>4.5237364290213512E-4</v>
      </c>
      <c r="V170" s="26">
        <v>5.4149643498382851E-4</v>
      </c>
      <c r="W170" s="26">
        <v>3.2913985917756871E-4</v>
      </c>
      <c r="X170" s="26">
        <v>4.7670431679090646E-3</v>
      </c>
      <c r="Y170" s="26">
        <v>6.0900531049725972E-3</v>
      </c>
      <c r="Z170" s="28">
        <v>4.2384435706441307E-4</v>
      </c>
      <c r="AA170" s="28">
        <v>6.250912695722444E-3</v>
      </c>
      <c r="AB170" s="28">
        <v>9.024103625906812E-4</v>
      </c>
      <c r="AC170" s="28">
        <v>1.891362620619139E-4</v>
      </c>
      <c r="AD170" s="28">
        <v>1.469359914498245E-4</v>
      </c>
      <c r="AE170" s="28">
        <v>1.0435541288178411E-3</v>
      </c>
      <c r="AF170" s="28">
        <v>8.9567937977071185E-3</v>
      </c>
      <c r="AG170" s="30">
        <v>2.854049725046871E-7</v>
      </c>
      <c r="AH170" s="30">
        <v>3.2346437669993012E-5</v>
      </c>
      <c r="AI170" s="30">
        <v>1.7165384585009661E-4</v>
      </c>
      <c r="AJ170" s="30">
        <v>3.7496238084001741E-4</v>
      </c>
      <c r="AK170" s="30">
        <v>1.9566749780393659E-4</v>
      </c>
      <c r="AL170" s="30">
        <v>2.426804865546155E-3</v>
      </c>
      <c r="AM170" s="30">
        <v>3.2017204326827034E-3</v>
      </c>
      <c r="AN170" s="32">
        <v>4.0328509083882322E-7</v>
      </c>
      <c r="AO170" s="32">
        <v>2.344157748409402E-5</v>
      </c>
      <c r="AP170" s="32">
        <v>3.5522089894457892E-6</v>
      </c>
      <c r="AQ170" s="32">
        <v>5.7073161734124143E-7</v>
      </c>
      <c r="AR170" s="32">
        <v>7.9426755039411764E-7</v>
      </c>
      <c r="AS170" s="32">
        <v>4.0336760188471236E-6</v>
      </c>
      <c r="AT170" s="32">
        <v>3.2795746750961116E-5</v>
      </c>
      <c r="AU170" s="34">
        <v>0</v>
      </c>
      <c r="AV170" s="34">
        <v>0</v>
      </c>
      <c r="AW170" s="34">
        <v>1.8369722164801252</v>
      </c>
      <c r="AX170" s="34">
        <v>0.17743074935185008</v>
      </c>
      <c r="AY170" s="34">
        <v>0.1671398444596213</v>
      </c>
      <c r="AZ170" s="34">
        <v>0.30446846125577331</v>
      </c>
      <c r="BA170" s="34">
        <v>2.4860112715473699</v>
      </c>
      <c r="BB170" s="6"/>
      <c r="BC170" s="6"/>
      <c r="BD170" t="s">
        <v>512</v>
      </c>
      <c r="BF170" s="5">
        <v>0.17097999</v>
      </c>
      <c r="BG170" s="5">
        <f t="shared" si="6"/>
        <v>1.0431437310727654E-2</v>
      </c>
      <c r="BH170" s="2">
        <v>161.53639000000001</v>
      </c>
    </row>
    <row r="171" spans="1:60" x14ac:dyDescent="0.2">
      <c r="A171" t="str">
        <f t="shared" si="0"/>
        <v>Motorbike, gasoline, 11-35kW, EURO-5 - 2040 - None - CH</v>
      </c>
      <c r="B171" t="s">
        <v>387</v>
      </c>
      <c r="D171" s="18">
        <v>2040</v>
      </c>
      <c r="E171" t="s">
        <v>37</v>
      </c>
      <c r="F171" t="s">
        <v>139</v>
      </c>
      <c r="G171" t="s">
        <v>39</v>
      </c>
      <c r="H171" t="s">
        <v>35</v>
      </c>
      <c r="I171" t="s">
        <v>136</v>
      </c>
      <c r="J171" t="s">
        <v>136</v>
      </c>
      <c r="L171" s="24">
        <v>0.10561751998684139</v>
      </c>
      <c r="M171" s="24">
        <v>0</v>
      </c>
      <c r="N171" s="24">
        <v>1.8284927673308062E-2</v>
      </c>
      <c r="O171" s="24">
        <v>9.5118975182542226E-3</v>
      </c>
      <c r="P171" s="24">
        <v>4.7751146944976916E-3</v>
      </c>
      <c r="Q171" s="24">
        <v>2.2509695659683599E-2</v>
      </c>
      <c r="R171" s="24">
        <v>0.16069915553258496</v>
      </c>
      <c r="S171" s="26">
        <v>0</v>
      </c>
      <c r="T171" s="26">
        <v>0</v>
      </c>
      <c r="U171" s="26">
        <v>4.4784990647311369E-4</v>
      </c>
      <c r="V171" s="26">
        <v>5.4149643498382851E-4</v>
      </c>
      <c r="W171" s="26">
        <v>3.2867388583411849E-4</v>
      </c>
      <c r="X171" s="26">
        <v>5.0204931415246314E-3</v>
      </c>
      <c r="Y171" s="26">
        <v>6.338513368815692E-3</v>
      </c>
      <c r="Z171" s="28">
        <v>4.1960591349376889E-4</v>
      </c>
      <c r="AA171" s="28">
        <v>6.250912695722444E-3</v>
      </c>
      <c r="AB171" s="28">
        <v>8.9338625896477424E-4</v>
      </c>
      <c r="AC171" s="28">
        <v>1.891362620619139E-4</v>
      </c>
      <c r="AD171" s="28">
        <v>1.4672417588617659E-4</v>
      </c>
      <c r="AE171" s="28">
        <v>1.123836406926465E-3</v>
      </c>
      <c r="AF171" s="28">
        <v>9.0236017130555426E-3</v>
      </c>
      <c r="AG171" s="30">
        <v>2.8255092277964021E-7</v>
      </c>
      <c r="AH171" s="30">
        <v>3.2346437669993012E-5</v>
      </c>
      <c r="AI171" s="30">
        <v>1.699373073915956E-4</v>
      </c>
      <c r="AJ171" s="30">
        <v>3.7496238084001741E-4</v>
      </c>
      <c r="AK171" s="30">
        <v>1.954698157482855E-4</v>
      </c>
      <c r="AL171" s="30">
        <v>2.6951192044928872E-3</v>
      </c>
      <c r="AM171" s="30">
        <v>3.4681176970655586E-3</v>
      </c>
      <c r="AN171" s="32">
        <v>3.9925223993043488E-7</v>
      </c>
      <c r="AO171" s="32">
        <v>2.344157748409402E-5</v>
      </c>
      <c r="AP171" s="32">
        <v>3.5166868995513309E-6</v>
      </c>
      <c r="AQ171" s="32">
        <v>5.7073161734124143E-7</v>
      </c>
      <c r="AR171" s="32">
        <v>7.9348700010006346E-7</v>
      </c>
      <c r="AS171" s="32">
        <v>4.0969476626832888E-6</v>
      </c>
      <c r="AT171" s="32">
        <v>3.2818682903700375E-5</v>
      </c>
      <c r="AU171" s="34">
        <v>0</v>
      </c>
      <c r="AV171" s="34">
        <v>0</v>
      </c>
      <c r="AW171" s="34">
        <v>1.8186024943153245</v>
      </c>
      <c r="AX171" s="34">
        <v>0.17743074935185008</v>
      </c>
      <c r="AY171" s="34">
        <v>0.16689826267357047</v>
      </c>
      <c r="AZ171" s="34">
        <v>0.3194851441064781</v>
      </c>
      <c r="BA171" s="34">
        <v>2.4824166504472234</v>
      </c>
      <c r="BB171" s="6"/>
      <c r="BC171" s="6"/>
      <c r="BD171" t="s">
        <v>513</v>
      </c>
      <c r="BF171" s="5">
        <v>0.17017773999999999</v>
      </c>
      <c r="BG171" s="5">
        <f t="shared" si="6"/>
        <v>9.4785844674150355E-3</v>
      </c>
      <c r="BH171" s="2">
        <v>160.86219</v>
      </c>
    </row>
    <row r="172" spans="1:60" x14ac:dyDescent="0.2">
      <c r="A172" t="str">
        <f t="shared" si="0"/>
        <v>Motorbike, gasoline, 11-35kW, EURO-5 - 2050 - None - CH</v>
      </c>
      <c r="B172" t="s">
        <v>387</v>
      </c>
      <c r="D172" s="18">
        <v>2050</v>
      </c>
      <c r="E172" t="s">
        <v>37</v>
      </c>
      <c r="F172" t="s">
        <v>139</v>
      </c>
      <c r="G172" t="s">
        <v>39</v>
      </c>
      <c r="H172" t="s">
        <v>35</v>
      </c>
      <c r="I172" t="s">
        <v>136</v>
      </c>
      <c r="J172" t="s">
        <v>136</v>
      </c>
      <c r="L172" s="24">
        <v>0.104561344786973</v>
      </c>
      <c r="M172" s="24">
        <v>0</v>
      </c>
      <c r="N172" s="24">
        <v>1.8102078396574989E-2</v>
      </c>
      <c r="O172" s="24">
        <v>9.5118975182542226E-3</v>
      </c>
      <c r="P172" s="24">
        <v>4.7677402564036018E-3</v>
      </c>
      <c r="Q172" s="24">
        <v>2.3919212659184841E-2</v>
      </c>
      <c r="R172" s="24">
        <v>0.16086227361739067</v>
      </c>
      <c r="S172" s="26">
        <v>0</v>
      </c>
      <c r="T172" s="26">
        <v>0</v>
      </c>
      <c r="U172" s="26">
        <v>4.4337140740838271E-4</v>
      </c>
      <c r="V172" s="26">
        <v>5.4149643498382851E-4</v>
      </c>
      <c r="W172" s="26">
        <v>3.2820791249066832E-4</v>
      </c>
      <c r="X172" s="26">
        <v>5.2739430787847952E-3</v>
      </c>
      <c r="Y172" s="26">
        <v>6.5870188336676749E-3</v>
      </c>
      <c r="Z172" s="28">
        <v>4.1540985435883118E-4</v>
      </c>
      <c r="AA172" s="28">
        <v>6.250912695722444E-3</v>
      </c>
      <c r="AB172" s="28">
        <v>8.844523963751266E-4</v>
      </c>
      <c r="AC172" s="28">
        <v>1.891362620619139E-4</v>
      </c>
      <c r="AD172" s="28">
        <v>1.465123603225288E-4</v>
      </c>
      <c r="AE172" s="28">
        <v>1.20411868037422E-3</v>
      </c>
      <c r="AF172" s="28">
        <v>9.0905422492150636E-3</v>
      </c>
      <c r="AG172" s="30">
        <v>2.7972541355184378E-7</v>
      </c>
      <c r="AH172" s="30">
        <v>3.2346437669993012E-5</v>
      </c>
      <c r="AI172" s="30">
        <v>1.6823793431767971E-4</v>
      </c>
      <c r="AJ172" s="30">
        <v>3.7496238084001741E-4</v>
      </c>
      <c r="AK172" s="30">
        <v>1.9527213369263441E-4</v>
      </c>
      <c r="AL172" s="30">
        <v>2.9634335043474342E-3</v>
      </c>
      <c r="AM172" s="30">
        <v>3.7345321162813106E-3</v>
      </c>
      <c r="AN172" s="32">
        <v>3.9525971753113062E-7</v>
      </c>
      <c r="AO172" s="32">
        <v>2.344157748409402E-5</v>
      </c>
      <c r="AP172" s="32">
        <v>3.481520030555818E-6</v>
      </c>
      <c r="AQ172" s="32">
        <v>5.7073161734124143E-7</v>
      </c>
      <c r="AR172" s="32">
        <v>7.9270644980600928E-7</v>
      </c>
      <c r="AS172" s="32">
        <v>4.1602193225586513E-6</v>
      </c>
      <c r="AT172" s="32">
        <v>3.2842014621886867E-5</v>
      </c>
      <c r="AU172" s="34">
        <v>0</v>
      </c>
      <c r="AV172" s="34">
        <v>0</v>
      </c>
      <c r="AW172" s="34">
        <v>1.8004164693721709</v>
      </c>
      <c r="AX172" s="34">
        <v>0.17743074935185008</v>
      </c>
      <c r="AY172" s="34">
        <v>0.16665668088751967</v>
      </c>
      <c r="AZ172" s="34">
        <v>0.33450182557017433</v>
      </c>
      <c r="BA172" s="34">
        <v>2.479005725181715</v>
      </c>
      <c r="BB172" s="6"/>
      <c r="BC172" s="6"/>
      <c r="BD172" t="s">
        <v>514</v>
      </c>
      <c r="BF172" s="5">
        <v>0.16948352000000003</v>
      </c>
      <c r="BG172" s="5">
        <f t="shared" si="6"/>
        <v>8.6212463826093599E-3</v>
      </c>
      <c r="BH172" s="2">
        <v>160.24704</v>
      </c>
    </row>
    <row r="173" spans="1:60" x14ac:dyDescent="0.2">
      <c r="A173" t="str">
        <f t="shared" si="0"/>
        <v>Motorbike, gasoline, &gt;35kW, EURO-3 - 2006 - None - CH</v>
      </c>
      <c r="B173" t="s">
        <v>394</v>
      </c>
      <c r="D173" s="18">
        <v>2006</v>
      </c>
      <c r="E173" t="s">
        <v>37</v>
      </c>
      <c r="F173" t="s">
        <v>137</v>
      </c>
      <c r="G173" t="s">
        <v>39</v>
      </c>
      <c r="H173" t="s">
        <v>35</v>
      </c>
      <c r="I173" t="s">
        <v>136</v>
      </c>
      <c r="J173" t="s">
        <v>136</v>
      </c>
      <c r="L173" s="24">
        <v>0.1456373689159301</v>
      </c>
      <c r="M173" s="24">
        <v>0</v>
      </c>
      <c r="N173" s="24">
        <v>2.5238134008871621E-2</v>
      </c>
      <c r="O173" s="24">
        <v>9.5118975182542226E-3</v>
      </c>
      <c r="P173" s="24">
        <v>5.2767016682585969E-3</v>
      </c>
      <c r="Q173" s="24">
        <v>3.0353807002889241E-2</v>
      </c>
      <c r="R173" s="24">
        <v>0.21601790911420382</v>
      </c>
      <c r="S173" s="26">
        <v>0</v>
      </c>
      <c r="T173" s="26">
        <v>0</v>
      </c>
      <c r="U173" s="26">
        <v>6.1815371421615104E-4</v>
      </c>
      <c r="V173" s="26">
        <v>5.4149643498382851E-4</v>
      </c>
      <c r="W173" s="26">
        <v>3.6036798323005651E-4</v>
      </c>
      <c r="X173" s="26">
        <v>7.0268256465361896E-3</v>
      </c>
      <c r="Y173" s="26">
        <v>8.546843778966225E-3</v>
      </c>
      <c r="Z173" s="28">
        <v>1.9976559609592311E-3</v>
      </c>
      <c r="AA173" s="28">
        <v>6.250912695722444E-3</v>
      </c>
      <c r="AB173" s="28">
        <v>1.23311409967192E-3</v>
      </c>
      <c r="AC173" s="28">
        <v>1.891362620619139E-4</v>
      </c>
      <c r="AD173" s="28">
        <v>1.611312298487991E-4</v>
      </c>
      <c r="AE173" s="28">
        <v>1.4780174999559071E-3</v>
      </c>
      <c r="AF173" s="28">
        <v>1.1309967748220216E-2</v>
      </c>
      <c r="AG173" s="30">
        <v>5.1331468005373219E-7</v>
      </c>
      <c r="AH173" s="30">
        <v>3.2346437669993012E-5</v>
      </c>
      <c r="AI173" s="30">
        <v>2.3455933836242311E-4</v>
      </c>
      <c r="AJ173" s="30">
        <v>3.7496238084001741E-4</v>
      </c>
      <c r="AK173" s="30">
        <v>2.089155512464669E-4</v>
      </c>
      <c r="AL173" s="30">
        <v>3.2421615020483989E-3</v>
      </c>
      <c r="AM173" s="30">
        <v>4.0934585248473526E-3</v>
      </c>
      <c r="AN173" s="32">
        <v>8.569470611639673E-7</v>
      </c>
      <c r="AO173" s="32">
        <v>2.344157748409402E-5</v>
      </c>
      <c r="AP173" s="32">
        <v>4.8539768285592813E-6</v>
      </c>
      <c r="AQ173" s="32">
        <v>5.7073161734124143E-7</v>
      </c>
      <c r="AR173" s="32">
        <v>8.465776701779024E-7</v>
      </c>
      <c r="AS173" s="32">
        <v>6.3078048868376844E-6</v>
      </c>
      <c r="AT173" s="32">
        <v>3.6877615548174097E-5</v>
      </c>
      <c r="AU173" s="34">
        <v>0</v>
      </c>
      <c r="AV173" s="34">
        <v>0</v>
      </c>
      <c r="AW173" s="34">
        <v>2.5101621554346876</v>
      </c>
      <c r="AX173" s="34">
        <v>0.17743074935185008</v>
      </c>
      <c r="AY173" s="34">
        <v>0.18332992505040491</v>
      </c>
      <c r="AZ173" s="34">
        <v>0.449646521142474</v>
      </c>
      <c r="BA173" s="34">
        <v>3.3205693509794165</v>
      </c>
      <c r="BB173" s="6"/>
      <c r="BC173" s="6"/>
      <c r="BD173" t="s">
        <v>644</v>
      </c>
      <c r="BF173" s="5">
        <v>0.22708181999999999</v>
      </c>
      <c r="BG173" s="5">
        <f t="shared" si="6"/>
        <v>1.1063910885796169E-2</v>
      </c>
      <c r="BH173" s="2">
        <v>217.98249000000001</v>
      </c>
    </row>
    <row r="174" spans="1:60" x14ac:dyDescent="0.2">
      <c r="A174" t="str">
        <f t="shared" si="0"/>
        <v>Motorbike, gasoline, &gt;35kW, EURO-4 - 2016 - None - CH</v>
      </c>
      <c r="B174" t="s">
        <v>395</v>
      </c>
      <c r="D174" s="18">
        <v>2016</v>
      </c>
      <c r="E174" t="s">
        <v>37</v>
      </c>
      <c r="F174" t="s">
        <v>138</v>
      </c>
      <c r="G174" t="s">
        <v>39</v>
      </c>
      <c r="H174" t="s">
        <v>35</v>
      </c>
      <c r="I174" t="s">
        <v>136</v>
      </c>
      <c r="J174" t="s">
        <v>136</v>
      </c>
      <c r="L174" s="24">
        <v>0.14396262715159169</v>
      </c>
      <c r="M174" s="24">
        <v>0</v>
      </c>
      <c r="N174" s="24">
        <v>2.4988251493932301E-2</v>
      </c>
      <c r="O174" s="24">
        <v>9.5118975182542226E-3</v>
      </c>
      <c r="P174" s="24">
        <v>5.2615431010651871E-3</v>
      </c>
      <c r="Q174" s="24">
        <v>3.0330802553008691E-2</v>
      </c>
      <c r="R174" s="24">
        <v>0.21405512181785208</v>
      </c>
      <c r="S174" s="26">
        <v>0</v>
      </c>
      <c r="T174" s="26">
        <v>0</v>
      </c>
      <c r="U174" s="26">
        <v>6.1203338041203076E-4</v>
      </c>
      <c r="V174" s="26">
        <v>5.4149643498382851E-4</v>
      </c>
      <c r="W174" s="26">
        <v>3.5941014913518662E-4</v>
      </c>
      <c r="X174" s="26">
        <v>7.0263584795335907E-3</v>
      </c>
      <c r="Y174" s="26">
        <v>8.5392984440646365E-3</v>
      </c>
      <c r="Z174" s="28">
        <v>8.3046382610798219E-4</v>
      </c>
      <c r="AA174" s="28">
        <v>6.250912695722444E-3</v>
      </c>
      <c r="AB174" s="28">
        <v>1.220905049180119E-3</v>
      </c>
      <c r="AC174" s="28">
        <v>1.891362620619139E-4</v>
      </c>
      <c r="AD174" s="28">
        <v>1.606958311901896E-4</v>
      </c>
      <c r="AE174" s="28">
        <v>1.4764097578285891E-3</v>
      </c>
      <c r="AF174" s="28">
        <v>1.0128523422091239E-2</v>
      </c>
      <c r="AG174" s="30">
        <v>4.0847998500919202E-7</v>
      </c>
      <c r="AH174" s="30">
        <v>3.2346437669993012E-5</v>
      </c>
      <c r="AI174" s="30">
        <v>2.322369686756664E-4</v>
      </c>
      <c r="AJ174" s="30">
        <v>3.7496238084001741E-4</v>
      </c>
      <c r="AK174" s="30">
        <v>2.0850920479873971E-4</v>
      </c>
      <c r="AL174" s="30">
        <v>3.2420157621221258E-3</v>
      </c>
      <c r="AM174" s="30">
        <v>4.0904792340915519E-3</v>
      </c>
      <c r="AN174" s="32">
        <v>6.0104277654853822E-7</v>
      </c>
      <c r="AO174" s="32">
        <v>2.344157748409402E-5</v>
      </c>
      <c r="AP174" s="32">
        <v>4.8059176520388916E-6</v>
      </c>
      <c r="AQ174" s="32">
        <v>5.7073161734124143E-7</v>
      </c>
      <c r="AR174" s="32">
        <v>8.449732056845687E-7</v>
      </c>
      <c r="AS174" s="32">
        <v>6.3018522570734984E-6</v>
      </c>
      <c r="AT174" s="32">
        <v>3.656609499278076E-5</v>
      </c>
      <c r="AU174" s="34">
        <v>0</v>
      </c>
      <c r="AV174" s="34">
        <v>0</v>
      </c>
      <c r="AW174" s="34">
        <v>2.4853090647868199</v>
      </c>
      <c r="AX174" s="34">
        <v>0.17743074935185008</v>
      </c>
      <c r="AY174" s="34">
        <v>0.18283334026796716</v>
      </c>
      <c r="AZ174" s="34">
        <v>0.44930379239897933</v>
      </c>
      <c r="BA174" s="34">
        <v>3.2948769468056165</v>
      </c>
      <c r="BB174" s="6"/>
      <c r="BC174" s="6"/>
      <c r="BD174" t="s">
        <v>650</v>
      </c>
      <c r="BF174" s="5">
        <v>0.22545672999999999</v>
      </c>
      <c r="BG174" s="5">
        <f t="shared" si="6"/>
        <v>1.1401608182147915E-2</v>
      </c>
      <c r="BH174" s="2">
        <v>211.14079000000001</v>
      </c>
    </row>
    <row r="175" spans="1:60" x14ac:dyDescent="0.2">
      <c r="A175" t="str">
        <f t="shared" si="0"/>
        <v>Motorbike, gasoline, &gt;35kW, EURO-5 - 2020 - None - CH</v>
      </c>
      <c r="B175" t="s">
        <v>396</v>
      </c>
      <c r="D175" s="18">
        <v>2020</v>
      </c>
      <c r="E175" t="s">
        <v>37</v>
      </c>
      <c r="F175" t="s">
        <v>139</v>
      </c>
      <c r="G175" t="s">
        <v>39</v>
      </c>
      <c r="H175" t="s">
        <v>35</v>
      </c>
      <c r="I175" t="s">
        <v>136</v>
      </c>
      <c r="J175" t="s">
        <v>136</v>
      </c>
      <c r="L175" s="24">
        <v>0.1424310956800646</v>
      </c>
      <c r="M175" s="24">
        <v>0</v>
      </c>
      <c r="N175" s="24">
        <v>2.473836897899297E-2</v>
      </c>
      <c r="O175" s="24">
        <v>9.5118975182542226E-3</v>
      </c>
      <c r="P175" s="24">
        <v>5.2514373896029136E-3</v>
      </c>
      <c r="Q175" s="24">
        <v>3.031546636120637E-2</v>
      </c>
      <c r="R175" s="24">
        <v>0.21224826592812107</v>
      </c>
      <c r="S175" s="26">
        <v>0</v>
      </c>
      <c r="T175" s="26">
        <v>0</v>
      </c>
      <c r="U175" s="26">
        <v>6.0591304660791037E-4</v>
      </c>
      <c r="V175" s="26">
        <v>5.4149643498382851E-4</v>
      </c>
      <c r="W175" s="26">
        <v>3.5877159307194E-4</v>
      </c>
      <c r="X175" s="26">
        <v>7.0260470371081166E-3</v>
      </c>
      <c r="Y175" s="26">
        <v>8.532228111771796E-3</v>
      </c>
      <c r="Z175" s="28">
        <v>5.6754522938633146E-4</v>
      </c>
      <c r="AA175" s="28">
        <v>6.250912695722444E-3</v>
      </c>
      <c r="AB175" s="28">
        <v>1.2086959986883181E-3</v>
      </c>
      <c r="AC175" s="28">
        <v>1.891362620619139E-4</v>
      </c>
      <c r="AD175" s="28">
        <v>1.6040556541778331E-4</v>
      </c>
      <c r="AE175" s="28">
        <v>1.475337934959318E-3</v>
      </c>
      <c r="AF175" s="28">
        <v>9.8520336862361075E-3</v>
      </c>
      <c r="AG175" s="30">
        <v>3.8226029656214638E-7</v>
      </c>
      <c r="AH175" s="30">
        <v>3.2346437669993012E-5</v>
      </c>
      <c r="AI175" s="30">
        <v>2.299145989889097E-4</v>
      </c>
      <c r="AJ175" s="30">
        <v>3.7496238084001741E-4</v>
      </c>
      <c r="AK175" s="30">
        <v>2.082383071669215E-4</v>
      </c>
      <c r="AL175" s="30">
        <v>3.241918602806012E-3</v>
      </c>
      <c r="AM175" s="30">
        <v>4.0877625877684155E-3</v>
      </c>
      <c r="AN175" s="32">
        <v>5.4012990847835475E-7</v>
      </c>
      <c r="AO175" s="32">
        <v>2.344157748409402E-5</v>
      </c>
      <c r="AP175" s="32">
        <v>4.7578584755185036E-6</v>
      </c>
      <c r="AQ175" s="32">
        <v>5.7073161734124143E-7</v>
      </c>
      <c r="AR175" s="32">
        <v>8.439035626890129E-7</v>
      </c>
      <c r="AS175" s="32">
        <v>6.2978838572717338E-6</v>
      </c>
      <c r="AT175" s="32">
        <v>3.6452084905392866E-5</v>
      </c>
      <c r="AU175" s="34">
        <v>0</v>
      </c>
      <c r="AV175" s="34">
        <v>0</v>
      </c>
      <c r="AW175" s="34">
        <v>2.4604559741389509</v>
      </c>
      <c r="AX175" s="34">
        <v>0.17743074935185008</v>
      </c>
      <c r="AY175" s="34">
        <v>0.18250228374634203</v>
      </c>
      <c r="AZ175" s="34">
        <v>0.44907530813237251</v>
      </c>
      <c r="BA175" s="34">
        <v>3.2694643153695155</v>
      </c>
      <c r="BB175" s="6"/>
      <c r="BC175" s="6"/>
      <c r="BD175" t="s">
        <v>637</v>
      </c>
      <c r="BF175" s="5">
        <v>0.22364267000000002</v>
      </c>
      <c r="BG175" s="5">
        <f t="shared" si="6"/>
        <v>1.1394404071878944E-2</v>
      </c>
      <c r="BH175" s="2">
        <v>208.5179</v>
      </c>
    </row>
    <row r="176" spans="1:60" x14ac:dyDescent="0.2">
      <c r="A176" t="str">
        <f t="shared" ref="A176:A226" si="8">B176&amp;" - "&amp;D176&amp;" - "&amp;IF(I176&lt;&gt;"",I176&amp;" - "&amp;E176,E176)</f>
        <v>Motorbike, gasoline, &gt;35kW, EURO-5 - 2030 - None - CH</v>
      </c>
      <c r="B176" t="s">
        <v>396</v>
      </c>
      <c r="D176" s="18">
        <v>2030</v>
      </c>
      <c r="E176" t="s">
        <v>37</v>
      </c>
      <c r="F176" t="s">
        <v>139</v>
      </c>
      <c r="G176" t="s">
        <v>39</v>
      </c>
      <c r="H176" t="s">
        <v>35</v>
      </c>
      <c r="I176" t="s">
        <v>136</v>
      </c>
      <c r="J176" t="s">
        <v>136</v>
      </c>
      <c r="L176" s="24">
        <v>0.141006784723264</v>
      </c>
      <c r="M176" s="24">
        <v>0</v>
      </c>
      <c r="N176" s="24">
        <v>2.449098528920304E-2</v>
      </c>
      <c r="O176" s="24">
        <v>9.5118975182542226E-3</v>
      </c>
      <c r="P176" s="24">
        <v>5.2362788224095047E-3</v>
      </c>
      <c r="Q176" s="24">
        <v>3.3069728482490179E-2</v>
      </c>
      <c r="R176" s="24">
        <v>0.21331567483562097</v>
      </c>
      <c r="S176" s="26">
        <v>0</v>
      </c>
      <c r="T176" s="26">
        <v>0</v>
      </c>
      <c r="U176" s="26">
        <v>5.9985391614183136E-4</v>
      </c>
      <c r="V176" s="26">
        <v>5.4149643498382851E-4</v>
      </c>
      <c r="W176" s="26">
        <v>3.5781375897707022E-4</v>
      </c>
      <c r="X176" s="26">
        <v>7.5213000595663847E-3</v>
      </c>
      <c r="Y176" s="26">
        <v>9.0204641696691144E-3</v>
      </c>
      <c r="Z176" s="28">
        <v>5.6186977709246817E-4</v>
      </c>
      <c r="AA176" s="28">
        <v>6.250912695722444E-3</v>
      </c>
      <c r="AB176" s="28">
        <v>1.196609038701435E-3</v>
      </c>
      <c r="AC176" s="28">
        <v>1.891362620619139E-4</v>
      </c>
      <c r="AD176" s="28">
        <v>1.599701667591738E-4</v>
      </c>
      <c r="AE176" s="28">
        <v>1.632213250857753E-3</v>
      </c>
      <c r="AF176" s="28">
        <v>9.9907111911951875E-3</v>
      </c>
      <c r="AG176" s="30">
        <v>3.784376935965249E-7</v>
      </c>
      <c r="AH176" s="30">
        <v>3.2346437669993012E-5</v>
      </c>
      <c r="AI176" s="30">
        <v>2.2761545299902059E-4</v>
      </c>
      <c r="AJ176" s="30">
        <v>3.7496238084001741E-4</v>
      </c>
      <c r="AK176" s="30">
        <v>2.0783196071919431E-4</v>
      </c>
      <c r="AL176" s="30">
        <v>3.7662172839230089E-3</v>
      </c>
      <c r="AM176" s="30">
        <v>4.6093519538448306E-3</v>
      </c>
      <c r="AN176" s="32">
        <v>5.3472860939357127E-7</v>
      </c>
      <c r="AO176" s="32">
        <v>2.344157748409402E-5</v>
      </c>
      <c r="AP176" s="32">
        <v>4.7102798907633183E-6</v>
      </c>
      <c r="AQ176" s="32">
        <v>5.7073161734124143E-7</v>
      </c>
      <c r="AR176" s="32">
        <v>8.422990981956793E-7</v>
      </c>
      <c r="AS176" s="32">
        <v>6.4215196443218267E-6</v>
      </c>
      <c r="AT176" s="32">
        <v>3.6521136344109652E-5</v>
      </c>
      <c r="AU176" s="34">
        <v>0</v>
      </c>
      <c r="AV176" s="34">
        <v>0</v>
      </c>
      <c r="AW176" s="34">
        <v>2.4358514143975611</v>
      </c>
      <c r="AX176" s="34">
        <v>0.17743074935185008</v>
      </c>
      <c r="AY176" s="34">
        <v>0.18200569896390428</v>
      </c>
      <c r="AZ176" s="34">
        <v>0.47841860597399155</v>
      </c>
      <c r="BA176" s="34">
        <v>3.273706468687307</v>
      </c>
      <c r="BB176" s="6"/>
      <c r="BC176" s="6"/>
      <c r="BD176" t="s">
        <v>515</v>
      </c>
      <c r="BF176" s="5">
        <v>0.22299941000000001</v>
      </c>
      <c r="BG176" s="5">
        <f t="shared" si="6"/>
        <v>9.683735164379037E-3</v>
      </c>
      <c r="BH176" s="2">
        <v>207.83073999999999</v>
      </c>
    </row>
    <row r="177" spans="1:60" x14ac:dyDescent="0.2">
      <c r="A177" t="str">
        <f t="shared" si="8"/>
        <v>Motorbike, gasoline, &gt;35kW, EURO-5 - 2040 - None - CH</v>
      </c>
      <c r="B177" t="s">
        <v>396</v>
      </c>
      <c r="D177" s="18">
        <v>2040</v>
      </c>
      <c r="E177" t="s">
        <v>37</v>
      </c>
      <c r="F177" t="s">
        <v>139</v>
      </c>
      <c r="G177" t="s">
        <v>39</v>
      </c>
      <c r="H177" t="s">
        <v>35</v>
      </c>
      <c r="I177" t="s">
        <v>136</v>
      </c>
      <c r="J177" t="s">
        <v>136</v>
      </c>
      <c r="L177" s="24">
        <v>0.13959671687603131</v>
      </c>
      <c r="M177" s="24">
        <v>0</v>
      </c>
      <c r="N177" s="24">
        <v>2.4246075436311011E-2</v>
      </c>
      <c r="O177" s="24">
        <v>9.5118975182542226E-3</v>
      </c>
      <c r="P177" s="24">
        <v>5.2261731109472312E-3</v>
      </c>
      <c r="Q177" s="24">
        <v>3.4905903443434173E-2</v>
      </c>
      <c r="R177" s="24">
        <v>0.21348676638497793</v>
      </c>
      <c r="S177" s="26">
        <v>0</v>
      </c>
      <c r="T177" s="26">
        <v>0</v>
      </c>
      <c r="U177" s="26">
        <v>5.9385537698041294E-4</v>
      </c>
      <c r="V177" s="26">
        <v>5.4149643498382851E-4</v>
      </c>
      <c r="W177" s="26">
        <v>3.571752029138236E-4</v>
      </c>
      <c r="X177" s="26">
        <v>7.8514687875013318E-3</v>
      </c>
      <c r="Y177" s="26">
        <v>9.3439958023793963E-3</v>
      </c>
      <c r="Z177" s="28">
        <v>5.5625107932154349E-4</v>
      </c>
      <c r="AA177" s="28">
        <v>6.250912695722444E-3</v>
      </c>
      <c r="AB177" s="28">
        <v>1.1846429483144199E-3</v>
      </c>
      <c r="AC177" s="28">
        <v>1.891362620619139E-4</v>
      </c>
      <c r="AD177" s="28">
        <v>1.5967990098676751E-4</v>
      </c>
      <c r="AE177" s="28">
        <v>1.7367968051572771E-3</v>
      </c>
      <c r="AF177" s="28">
        <v>1.0077419691564364E-2</v>
      </c>
      <c r="AG177" s="30">
        <v>3.746533166605597E-7</v>
      </c>
      <c r="AH177" s="30">
        <v>3.2346437669993012E-5</v>
      </c>
      <c r="AI177" s="30">
        <v>2.2533929846903041E-4</v>
      </c>
      <c r="AJ177" s="30">
        <v>3.7496238084001741E-4</v>
      </c>
      <c r="AK177" s="30">
        <v>2.075610630873761E-4</v>
      </c>
      <c r="AL177" s="30">
        <v>4.1157497877137832E-3</v>
      </c>
      <c r="AM177" s="30">
        <v>4.9563336210968608E-3</v>
      </c>
      <c r="AN177" s="32">
        <v>5.2938132329963544E-7</v>
      </c>
      <c r="AO177" s="32">
        <v>2.344157748409402E-5</v>
      </c>
      <c r="AP177" s="32">
        <v>4.6631770918556842E-6</v>
      </c>
      <c r="AQ177" s="32">
        <v>5.7073161734124143E-7</v>
      </c>
      <c r="AR177" s="32">
        <v>8.412294552001235E-7</v>
      </c>
      <c r="AS177" s="32">
        <v>6.5039434974534263E-6</v>
      </c>
      <c r="AT177" s="32">
        <v>3.6550040469244134E-5</v>
      </c>
      <c r="AU177" s="34">
        <v>0</v>
      </c>
      <c r="AV177" s="34">
        <v>0</v>
      </c>
      <c r="AW177" s="34">
        <v>2.4114929002535854</v>
      </c>
      <c r="AX177" s="34">
        <v>0.17743074935185008</v>
      </c>
      <c r="AY177" s="34">
        <v>0.1816746424422791</v>
      </c>
      <c r="AZ177" s="34">
        <v>0.49798080657492666</v>
      </c>
      <c r="BA177" s="34">
        <v>3.2685790986226411</v>
      </c>
      <c r="BB177" s="6"/>
      <c r="BC177" s="6"/>
      <c r="BD177" t="s">
        <v>516</v>
      </c>
      <c r="BF177" s="5">
        <v>0.22198580000000001</v>
      </c>
      <c r="BG177" s="5">
        <f t="shared" si="6"/>
        <v>8.499033615022078E-3</v>
      </c>
      <c r="BH177" s="2">
        <v>206.96093999999999</v>
      </c>
    </row>
    <row r="178" spans="1:60" x14ac:dyDescent="0.2">
      <c r="A178" t="str">
        <f t="shared" si="8"/>
        <v>Motorbike, gasoline, &gt;35kW, EURO-5 - 2050 - None - CH</v>
      </c>
      <c r="B178" t="s">
        <v>396</v>
      </c>
      <c r="D178" s="18">
        <v>2050</v>
      </c>
      <c r="E178" t="s">
        <v>37</v>
      </c>
      <c r="F178" t="s">
        <v>139</v>
      </c>
      <c r="G178" t="s">
        <v>39</v>
      </c>
      <c r="H178" t="s">
        <v>35</v>
      </c>
      <c r="I178" t="s">
        <v>136</v>
      </c>
      <c r="J178" t="s">
        <v>136</v>
      </c>
      <c r="L178" s="24">
        <v>0.138200749707271</v>
      </c>
      <c r="M178" s="24">
        <v>0</v>
      </c>
      <c r="N178" s="24">
        <v>2.40036146819479E-2</v>
      </c>
      <c r="O178" s="24">
        <v>9.5118975182542226E-3</v>
      </c>
      <c r="P178" s="24">
        <v>5.2160673994849586E-3</v>
      </c>
      <c r="Q178" s="24">
        <v>3.674207806310284E-2</v>
      </c>
      <c r="R178" s="24">
        <v>0.21367440737006094</v>
      </c>
      <c r="S178" s="26">
        <v>0</v>
      </c>
      <c r="T178" s="26">
        <v>0</v>
      </c>
      <c r="U178" s="26">
        <v>5.879168232106088E-4</v>
      </c>
      <c r="V178" s="26">
        <v>5.4149643498382851E-4</v>
      </c>
      <c r="W178" s="26">
        <v>3.5653664685057702E-4</v>
      </c>
      <c r="X178" s="26">
        <v>8.1816374456681034E-3</v>
      </c>
      <c r="Y178" s="26">
        <v>9.6675873507131183E-3</v>
      </c>
      <c r="Z178" s="28">
        <v>5.5068856852832795E-4</v>
      </c>
      <c r="AA178" s="28">
        <v>6.250912695722444E-3</v>
      </c>
      <c r="AB178" s="28">
        <v>1.1727965188312759E-3</v>
      </c>
      <c r="AC178" s="28">
        <v>1.891362620619139E-4</v>
      </c>
      <c r="AD178" s="28">
        <v>1.5938963521436111E-4</v>
      </c>
      <c r="AE178" s="28">
        <v>1.84138033721651E-3</v>
      </c>
      <c r="AF178" s="28">
        <v>1.0164304017574833E-2</v>
      </c>
      <c r="AG178" s="30">
        <v>3.7090678349395399E-7</v>
      </c>
      <c r="AH178" s="30">
        <v>3.2346437669993012E-5</v>
      </c>
      <c r="AI178" s="30">
        <v>2.2308590548434011E-4</v>
      </c>
      <c r="AJ178" s="30">
        <v>3.7496238084001741E-4</v>
      </c>
      <c r="AK178" s="30">
        <v>2.0729016545555789E-4</v>
      </c>
      <c r="AL178" s="30">
        <v>4.4652822166896247E-3</v>
      </c>
      <c r="AM178" s="30">
        <v>5.3033380129230267E-3</v>
      </c>
      <c r="AN178" s="32">
        <v>5.2408751006663915E-7</v>
      </c>
      <c r="AO178" s="32">
        <v>2.344157748409402E-5</v>
      </c>
      <c r="AP178" s="32">
        <v>4.6165453209371283E-6</v>
      </c>
      <c r="AQ178" s="32">
        <v>5.7073161734124143E-7</v>
      </c>
      <c r="AR178" s="32">
        <v>8.401598122045677E-7</v>
      </c>
      <c r="AS178" s="32">
        <v>6.5863673347963851E-6</v>
      </c>
      <c r="AT178" s="32">
        <v>3.6579469079439981E-5</v>
      </c>
      <c r="AU178" s="34">
        <v>0</v>
      </c>
      <c r="AV178" s="34">
        <v>0</v>
      </c>
      <c r="AW178" s="34">
        <v>2.3873779712510497</v>
      </c>
      <c r="AX178" s="34">
        <v>0.17743074935185008</v>
      </c>
      <c r="AY178" s="34">
        <v>0.18134358592065394</v>
      </c>
      <c r="AZ178" s="34">
        <v>0.5175430036933224</v>
      </c>
      <c r="BA178" s="34">
        <v>3.263695310216876</v>
      </c>
      <c r="BB178" s="6"/>
      <c r="BC178" s="6"/>
      <c r="BD178" t="s">
        <v>517</v>
      </c>
      <c r="BF178" s="5">
        <v>0.22098013999999999</v>
      </c>
      <c r="BG178" s="5">
        <f t="shared" si="6"/>
        <v>7.3057326299390546E-3</v>
      </c>
      <c r="BH178" s="2">
        <v>206.10284999999999</v>
      </c>
    </row>
    <row r="179" spans="1:60" x14ac:dyDescent="0.2">
      <c r="A179" t="str">
        <f t="shared" si="8"/>
        <v>Motorbike, battery electric, &lt;4kW - 2020 - NMC - CH</v>
      </c>
      <c r="B179" t="s">
        <v>655</v>
      </c>
      <c r="D179" s="18">
        <v>2020</v>
      </c>
      <c r="E179" t="s">
        <v>37</v>
      </c>
      <c r="F179" t="s">
        <v>136</v>
      </c>
      <c r="G179" t="s">
        <v>39</v>
      </c>
      <c r="H179" t="s">
        <v>32</v>
      </c>
      <c r="I179" t="s">
        <v>42</v>
      </c>
      <c r="J179" t="s">
        <v>136</v>
      </c>
      <c r="L179" s="24">
        <v>0</v>
      </c>
      <c r="M179" s="24">
        <v>0</v>
      </c>
      <c r="N179" s="24">
        <v>3.836250793656903E-3</v>
      </c>
      <c r="O179" s="24">
        <v>1.2306591692257861E-2</v>
      </c>
      <c r="P179" s="24">
        <v>4.4328520005473991E-3</v>
      </c>
      <c r="Q179" s="24">
        <v>3.7731612714263563E-2</v>
      </c>
      <c r="R179" s="24">
        <v>5.830730720072573E-2</v>
      </c>
      <c r="S179" s="26">
        <v>0</v>
      </c>
      <c r="T179" s="26">
        <v>0</v>
      </c>
      <c r="U179" s="26">
        <v>4.0604195360992079E-4</v>
      </c>
      <c r="V179" s="26">
        <v>4.722191823356421E-4</v>
      </c>
      <c r="W179" s="26">
        <v>3.0704711375963563E-4</v>
      </c>
      <c r="X179" s="26">
        <v>4.3073131220721143E-2</v>
      </c>
      <c r="Y179" s="26">
        <v>4.425843947042634E-2</v>
      </c>
      <c r="Z179" s="28">
        <v>0</v>
      </c>
      <c r="AA179" s="28">
        <v>3.1271735442865911E-3</v>
      </c>
      <c r="AB179" s="28">
        <v>1.1899481848762461E-4</v>
      </c>
      <c r="AC179" s="28">
        <v>1.5438989133449149E-4</v>
      </c>
      <c r="AD179" s="28">
        <v>1.3689338410113129E-4</v>
      </c>
      <c r="AE179" s="28">
        <v>3.5131444674290678E-3</v>
      </c>
      <c r="AF179" s="28">
        <v>7.0505961056389066E-3</v>
      </c>
      <c r="AG179" s="30">
        <v>0</v>
      </c>
      <c r="AH179" s="30">
        <v>1.6491053126472278E-5</v>
      </c>
      <c r="AI179" s="30">
        <v>2.7189071687907281E-4</v>
      </c>
      <c r="AJ179" s="30">
        <v>3.7507357872791961E-4</v>
      </c>
      <c r="AK179" s="30">
        <v>1.8629498885984979E-4</v>
      </c>
      <c r="AL179" s="30">
        <v>1.0620833379668831E-2</v>
      </c>
      <c r="AM179" s="30">
        <v>1.1470583717262145E-2</v>
      </c>
      <c r="AN179" s="32">
        <v>0</v>
      </c>
      <c r="AO179" s="32">
        <v>1.179775095002105E-5</v>
      </c>
      <c r="AP179" s="32">
        <v>3.4282755259154613E-7</v>
      </c>
      <c r="AQ179" s="32">
        <v>7.4641524221169363E-7</v>
      </c>
      <c r="AR179" s="32">
        <v>7.5726007094314899E-7</v>
      </c>
      <c r="AS179" s="32">
        <v>9.874007547004985E-6</v>
      </c>
      <c r="AT179" s="32">
        <v>2.3518261362772422E-5</v>
      </c>
      <c r="AU179" s="34">
        <v>0</v>
      </c>
      <c r="AV179" s="34">
        <v>0</v>
      </c>
      <c r="AW179" s="34">
        <v>0.17939961470963908</v>
      </c>
      <c r="AX179" s="34">
        <v>0.17647448414364728</v>
      </c>
      <c r="AY179" s="34">
        <v>0.1556859598719075</v>
      </c>
      <c r="AZ179" s="34">
        <v>0.54370848778751379</v>
      </c>
      <c r="BA179" s="34">
        <v>1.0552685465127076</v>
      </c>
      <c r="BB179" s="6"/>
      <c r="BC179" s="6"/>
      <c r="BD179" t="s">
        <v>931</v>
      </c>
      <c r="BF179" s="5">
        <v>5.7933417000000001E-2</v>
      </c>
      <c r="BG179" s="5">
        <f t="shared" si="6"/>
        <v>-3.7389020072572943E-4</v>
      </c>
      <c r="BH179" s="2">
        <v>133.77883</v>
      </c>
    </row>
    <row r="180" spans="1:60" x14ac:dyDescent="0.2">
      <c r="A180" t="str">
        <f t="shared" si="8"/>
        <v>Motorbike, battery electric, &lt;4kW - 2030 - NMC - CH</v>
      </c>
      <c r="B180" t="s">
        <v>655</v>
      </c>
      <c r="D180" s="18">
        <v>2030</v>
      </c>
      <c r="E180" t="s">
        <v>37</v>
      </c>
      <c r="F180" t="s">
        <v>136</v>
      </c>
      <c r="G180" t="s">
        <v>39</v>
      </c>
      <c r="H180" t="s">
        <v>32</v>
      </c>
      <c r="I180" t="s">
        <v>42</v>
      </c>
      <c r="J180" t="s">
        <v>136</v>
      </c>
      <c r="L180" s="24">
        <v>0</v>
      </c>
      <c r="M180" s="24">
        <v>0</v>
      </c>
      <c r="N180" s="24">
        <v>3.836250793656903E-3</v>
      </c>
      <c r="O180" s="24">
        <v>1.2306591692257861E-2</v>
      </c>
      <c r="P180" s="24">
        <v>4.4354770577290396E-3</v>
      </c>
      <c r="Q180" s="24">
        <v>3.6150989630984988E-2</v>
      </c>
      <c r="R180" s="24">
        <v>5.6729309174628789E-2</v>
      </c>
      <c r="S180" s="26">
        <v>0</v>
      </c>
      <c r="T180" s="26">
        <v>0</v>
      </c>
      <c r="U180" s="26">
        <v>4.0604195360992079E-4</v>
      </c>
      <c r="V180" s="26">
        <v>4.722191823356421E-4</v>
      </c>
      <c r="W180" s="26">
        <v>3.0721298492921762E-4</v>
      </c>
      <c r="X180" s="26">
        <v>3.6101004899327008E-2</v>
      </c>
      <c r="Y180" s="26">
        <v>3.7286479020201789E-2</v>
      </c>
      <c r="Z180" s="28">
        <v>0</v>
      </c>
      <c r="AA180" s="28">
        <v>3.1271735442865911E-3</v>
      </c>
      <c r="AB180" s="28">
        <v>1.1899481848762461E-4</v>
      </c>
      <c r="AC180" s="28">
        <v>1.5438989133449149E-4</v>
      </c>
      <c r="AD180" s="28">
        <v>1.3696878346843811E-4</v>
      </c>
      <c r="AE180" s="28">
        <v>3.045672236259228E-3</v>
      </c>
      <c r="AF180" s="28">
        <v>6.5831992738363734E-3</v>
      </c>
      <c r="AG180" s="30">
        <v>0</v>
      </c>
      <c r="AH180" s="30">
        <v>1.6491053126472278E-5</v>
      </c>
      <c r="AI180" s="30">
        <v>2.7189071687907281E-4</v>
      </c>
      <c r="AJ180" s="30">
        <v>3.7507357872791961E-4</v>
      </c>
      <c r="AK180" s="30">
        <v>1.863653571636104E-4</v>
      </c>
      <c r="AL180" s="30">
        <v>9.5258486340622749E-3</v>
      </c>
      <c r="AM180" s="30">
        <v>1.0375669339959349E-2</v>
      </c>
      <c r="AN180" s="32">
        <v>0</v>
      </c>
      <c r="AO180" s="32">
        <v>1.179775095002105E-5</v>
      </c>
      <c r="AP180" s="32">
        <v>3.4282755259154613E-7</v>
      </c>
      <c r="AQ180" s="32">
        <v>7.4641524221169363E-7</v>
      </c>
      <c r="AR180" s="32">
        <v>7.5753792115070333E-7</v>
      </c>
      <c r="AS180" s="32">
        <v>8.6442927998933472E-6</v>
      </c>
      <c r="AT180" s="32">
        <v>2.2288824465868339E-5</v>
      </c>
      <c r="AU180" s="34">
        <v>0</v>
      </c>
      <c r="AV180" s="34">
        <v>0</v>
      </c>
      <c r="AW180" s="34">
        <v>0.17939961470963908</v>
      </c>
      <c r="AX180" s="34">
        <v>0.17647448414364728</v>
      </c>
      <c r="AY180" s="34">
        <v>0.15577195503443175</v>
      </c>
      <c r="AZ180" s="34">
        <v>0.50865858246692519</v>
      </c>
      <c r="BA180" s="34">
        <v>1.0203046363546433</v>
      </c>
      <c r="BB180" s="6"/>
      <c r="BC180" s="6"/>
      <c r="BD180" t="s">
        <v>932</v>
      </c>
      <c r="BF180" s="5">
        <v>5.6520210000000001E-2</v>
      </c>
      <c r="BG180" s="5">
        <f t="shared" si="6"/>
        <v>-2.0909917462878791E-4</v>
      </c>
      <c r="BH180" s="2">
        <v>120.77919</v>
      </c>
    </row>
    <row r="181" spans="1:60" x14ac:dyDescent="0.2">
      <c r="A181" t="str">
        <f t="shared" si="8"/>
        <v>Motorbike, battery electric, &lt;4kW - 2040 - NMC - CH</v>
      </c>
      <c r="B181" t="s">
        <v>655</v>
      </c>
      <c r="D181" s="18">
        <v>2040</v>
      </c>
      <c r="E181" t="s">
        <v>37</v>
      </c>
      <c r="F181" t="s">
        <v>136</v>
      </c>
      <c r="G181" t="s">
        <v>39</v>
      </c>
      <c r="H181" t="s">
        <v>32</v>
      </c>
      <c r="I181" t="s">
        <v>42</v>
      </c>
      <c r="J181" t="s">
        <v>136</v>
      </c>
      <c r="L181" s="24">
        <v>0</v>
      </c>
      <c r="M181" s="24">
        <v>0</v>
      </c>
      <c r="N181" s="24">
        <v>3.836250793656903E-3</v>
      </c>
      <c r="O181" s="24">
        <v>1.2306591692257861E-2</v>
      </c>
      <c r="P181" s="24">
        <v>4.434103834174483E-3</v>
      </c>
      <c r="Q181" s="24">
        <v>3.5912100467703358E-2</v>
      </c>
      <c r="R181" s="24">
        <v>5.6489046787792603E-2</v>
      </c>
      <c r="S181" s="26">
        <v>0</v>
      </c>
      <c r="T181" s="26">
        <v>0</v>
      </c>
      <c r="U181" s="26">
        <v>4.0604195360992079E-4</v>
      </c>
      <c r="V181" s="26">
        <v>4.722191823356421E-4</v>
      </c>
      <c r="W181" s="26">
        <v>3.0712621417287557E-4</v>
      </c>
      <c r="X181" s="26">
        <v>3.3072757472973058E-2</v>
      </c>
      <c r="Y181" s="26">
        <v>3.4258144823091495E-2</v>
      </c>
      <c r="Z181" s="28">
        <v>0</v>
      </c>
      <c r="AA181" s="28">
        <v>3.1271735442865911E-3</v>
      </c>
      <c r="AB181" s="28">
        <v>1.1899481848762461E-4</v>
      </c>
      <c r="AC181" s="28">
        <v>1.5438989133449149E-4</v>
      </c>
      <c r="AD181" s="28">
        <v>1.3692934044681231E-4</v>
      </c>
      <c r="AE181" s="28">
        <v>2.8635356772810571E-3</v>
      </c>
      <c r="AF181" s="28">
        <v>6.4010232718365763E-3</v>
      </c>
      <c r="AG181" s="30">
        <v>0</v>
      </c>
      <c r="AH181" s="30">
        <v>1.6491053126472278E-5</v>
      </c>
      <c r="AI181" s="30">
        <v>2.7189071687907281E-4</v>
      </c>
      <c r="AJ181" s="30">
        <v>3.7507357872791961E-4</v>
      </c>
      <c r="AK181" s="30">
        <v>1.8632854599892639E-4</v>
      </c>
      <c r="AL181" s="30">
        <v>9.1263158500380914E-3</v>
      </c>
      <c r="AM181" s="30">
        <v>9.9760997447704818E-3</v>
      </c>
      <c r="AN181" s="32">
        <v>0</v>
      </c>
      <c r="AO181" s="32">
        <v>1.179775095002105E-5</v>
      </c>
      <c r="AP181" s="32">
        <v>3.4282755259154613E-7</v>
      </c>
      <c r="AQ181" s="32">
        <v>7.4641524221169363E-7</v>
      </c>
      <c r="AR181" s="32">
        <v>7.5739257176467052E-7</v>
      </c>
      <c r="AS181" s="32">
        <v>8.1157492810330466E-6</v>
      </c>
      <c r="AT181" s="32">
        <v>2.1760135597622006E-5</v>
      </c>
      <c r="AU181" s="34">
        <v>0</v>
      </c>
      <c r="AV181" s="34">
        <v>0</v>
      </c>
      <c r="AW181" s="34">
        <v>0.17939961470963908</v>
      </c>
      <c r="AX181" s="34">
        <v>0.17647448414364728</v>
      </c>
      <c r="AY181" s="34">
        <v>0.15572696912571241</v>
      </c>
      <c r="AZ181" s="34">
        <v>0.49797394030048725</v>
      </c>
      <c r="BA181" s="34">
        <v>1.0095750082794859</v>
      </c>
      <c r="BB181" s="6"/>
      <c r="BC181" s="6"/>
      <c r="BD181" t="s">
        <v>933</v>
      </c>
      <c r="BF181" s="5">
        <v>5.6064011999999996E-2</v>
      </c>
      <c r="BG181" s="5">
        <f t="shared" si="6"/>
        <v>-4.2503478779260667E-4</v>
      </c>
      <c r="BH181" s="2">
        <v>115.06788</v>
      </c>
    </row>
    <row r="182" spans="1:60" x14ac:dyDescent="0.2">
      <c r="A182" t="str">
        <f t="shared" si="8"/>
        <v>Motorbike, battery electric, &lt;4kW - 2050 - NMC - CH</v>
      </c>
      <c r="B182" t="s">
        <v>655</v>
      </c>
      <c r="D182" s="18">
        <v>2050</v>
      </c>
      <c r="E182" t="s">
        <v>37</v>
      </c>
      <c r="F182" t="s">
        <v>136</v>
      </c>
      <c r="G182" t="s">
        <v>39</v>
      </c>
      <c r="H182" t="s">
        <v>32</v>
      </c>
      <c r="I182" t="s">
        <v>42</v>
      </c>
      <c r="J182" t="s">
        <v>136</v>
      </c>
      <c r="L182" s="24">
        <v>0</v>
      </c>
      <c r="M182" s="24">
        <v>0</v>
      </c>
      <c r="N182" s="24">
        <v>3.836250793656903E-3</v>
      </c>
      <c r="O182" s="24">
        <v>1.2306591692257861E-2</v>
      </c>
      <c r="P182" s="24">
        <v>4.433716903780657E-3</v>
      </c>
      <c r="Q182" s="24">
        <v>4.8722811857781059E-2</v>
      </c>
      <c r="R182" s="24">
        <v>6.9299371247476482E-2</v>
      </c>
      <c r="S182" s="26">
        <v>0</v>
      </c>
      <c r="T182" s="26">
        <v>0</v>
      </c>
      <c r="U182" s="26">
        <v>4.0604195360992079E-4</v>
      </c>
      <c r="V182" s="26">
        <v>4.722191823356421E-4</v>
      </c>
      <c r="W182" s="26">
        <v>3.0710176495423781E-4</v>
      </c>
      <c r="X182" s="26">
        <v>5.3634881422349651E-2</v>
      </c>
      <c r="Y182" s="26">
        <v>5.4820244323249452E-2</v>
      </c>
      <c r="Z182" s="28">
        <v>0</v>
      </c>
      <c r="AA182" s="28">
        <v>3.1271735442865911E-3</v>
      </c>
      <c r="AB182" s="28">
        <v>1.1899481848762461E-4</v>
      </c>
      <c r="AC182" s="28">
        <v>1.5438989133449149E-4</v>
      </c>
      <c r="AD182" s="28">
        <v>1.3691822666723821E-4</v>
      </c>
      <c r="AE182" s="28">
        <v>4.6255852130350772E-3</v>
      </c>
      <c r="AF182" s="28">
        <v>8.1630616938110218E-3</v>
      </c>
      <c r="AG182" s="30">
        <v>0</v>
      </c>
      <c r="AH182" s="30">
        <v>1.6491053126472278E-5</v>
      </c>
      <c r="AI182" s="30">
        <v>2.7189071687907281E-4</v>
      </c>
      <c r="AJ182" s="30">
        <v>3.7507357872791961E-4</v>
      </c>
      <c r="AK182" s="30">
        <v>1.8631817379230269E-4</v>
      </c>
      <c r="AL182" s="30">
        <v>1.371885835088588E-2</v>
      </c>
      <c r="AM182" s="30">
        <v>1.4568631873411647E-2</v>
      </c>
      <c r="AN182" s="32">
        <v>0</v>
      </c>
      <c r="AO182" s="32">
        <v>1.179775095002105E-5</v>
      </c>
      <c r="AP182" s="32">
        <v>3.4282755259154613E-7</v>
      </c>
      <c r="AQ182" s="32">
        <v>7.4641524221169363E-7</v>
      </c>
      <c r="AR182" s="32">
        <v>7.5735161696529122E-7</v>
      </c>
      <c r="AS182" s="32">
        <v>1.187505888308293E-5</v>
      </c>
      <c r="AT182" s="32">
        <v>2.5519404244872511E-5</v>
      </c>
      <c r="AU182" s="34">
        <v>0</v>
      </c>
      <c r="AV182" s="34">
        <v>0</v>
      </c>
      <c r="AW182" s="34">
        <v>0.17939961470963908</v>
      </c>
      <c r="AX182" s="34">
        <v>0.17647448414364728</v>
      </c>
      <c r="AY182" s="34">
        <v>0.15571429353817273</v>
      </c>
      <c r="AZ182" s="34">
        <v>0.68457763636854829</v>
      </c>
      <c r="BA182" s="34">
        <v>1.1961660287600073</v>
      </c>
      <c r="BB182" s="6"/>
      <c r="BC182" s="6"/>
      <c r="BD182" t="s">
        <v>934</v>
      </c>
      <c r="BF182" s="5">
        <v>6.3322703999999994E-2</v>
      </c>
      <c r="BG182" s="5">
        <f t="shared" si="6"/>
        <v>-5.9766672474764887E-3</v>
      </c>
      <c r="BH182" s="2">
        <v>152.51778999999999</v>
      </c>
    </row>
    <row r="183" spans="1:60" x14ac:dyDescent="0.2">
      <c r="A183" t="str">
        <f t="shared" si="8"/>
        <v>Motorbike, battery electric, 4-11kW - 2020 - NMC - CH</v>
      </c>
      <c r="B183" t="s">
        <v>656</v>
      </c>
      <c r="D183" s="18">
        <v>2020</v>
      </c>
      <c r="E183" t="s">
        <v>37</v>
      </c>
      <c r="F183" t="s">
        <v>136</v>
      </c>
      <c r="G183" t="s">
        <v>39</v>
      </c>
      <c r="H183" t="s">
        <v>32</v>
      </c>
      <c r="I183" t="s">
        <v>42</v>
      </c>
      <c r="J183" t="s">
        <v>136</v>
      </c>
      <c r="L183" s="24">
        <v>0</v>
      </c>
      <c r="M183" s="24">
        <v>0</v>
      </c>
      <c r="N183" s="24">
        <v>5.7702284664922004E-3</v>
      </c>
      <c r="O183" s="24">
        <v>1.2306591692257861E-2</v>
      </c>
      <c r="P183" s="24">
        <v>4.5620586516537803E-3</v>
      </c>
      <c r="Q183" s="24">
        <v>4.8920262282214709E-2</v>
      </c>
      <c r="R183" s="24">
        <v>7.1559141092618544E-2</v>
      </c>
      <c r="S183" s="26">
        <v>0</v>
      </c>
      <c r="T183" s="26">
        <v>0</v>
      </c>
      <c r="U183" s="26">
        <v>6.1074078972731883E-4</v>
      </c>
      <c r="V183" s="26">
        <v>4.722191823356421E-4</v>
      </c>
      <c r="W183" s="26">
        <v>3.1521137718470738E-4</v>
      </c>
      <c r="X183" s="26">
        <v>5.4538590521143467E-2</v>
      </c>
      <c r="Y183" s="26">
        <v>5.5936761870391136E-2</v>
      </c>
      <c r="Z183" s="28">
        <v>0</v>
      </c>
      <c r="AA183" s="28">
        <v>3.1271735442865911E-3</v>
      </c>
      <c r="AB183" s="28">
        <v>1.789839418574189E-4</v>
      </c>
      <c r="AC183" s="28">
        <v>1.5438989133449149E-4</v>
      </c>
      <c r="AD183" s="28">
        <v>1.406045793518013E-4</v>
      </c>
      <c r="AE183" s="28">
        <v>4.4499296217063557E-3</v>
      </c>
      <c r="AF183" s="28">
        <v>8.0510815785366577E-3</v>
      </c>
      <c r="AG183" s="30">
        <v>0</v>
      </c>
      <c r="AH183" s="30">
        <v>1.6491053126472278E-5</v>
      </c>
      <c r="AI183" s="30">
        <v>4.0895959067761362E-4</v>
      </c>
      <c r="AJ183" s="30">
        <v>3.7507357872791961E-4</v>
      </c>
      <c r="AK183" s="30">
        <v>1.897585526010612E-4</v>
      </c>
      <c r="AL183" s="30">
        <v>1.374556755101566E-2</v>
      </c>
      <c r="AM183" s="30">
        <v>1.4735850326148728E-2</v>
      </c>
      <c r="AN183" s="32">
        <v>0</v>
      </c>
      <c r="AO183" s="32">
        <v>1.179775095002105E-5</v>
      </c>
      <c r="AP183" s="32">
        <v>5.1565797166662308E-7</v>
      </c>
      <c r="AQ183" s="32">
        <v>7.4641524221169363E-7</v>
      </c>
      <c r="AR183" s="32">
        <v>7.7093599963467272E-7</v>
      </c>
      <c r="AS183" s="32">
        <v>1.2522572062321821E-5</v>
      </c>
      <c r="AT183" s="32">
        <v>2.6353332225855858E-5</v>
      </c>
      <c r="AU183" s="34">
        <v>0</v>
      </c>
      <c r="AV183" s="34">
        <v>0</v>
      </c>
      <c r="AW183" s="34">
        <v>0.2698407427863993</v>
      </c>
      <c r="AX183" s="34">
        <v>0.17647448414364728</v>
      </c>
      <c r="AY183" s="34">
        <v>0.15991868555834748</v>
      </c>
      <c r="AZ183" s="34">
        <v>0.7018944944193094</v>
      </c>
      <c r="BA183" s="34">
        <v>1.3081284069077035</v>
      </c>
      <c r="BB183" s="6"/>
      <c r="BC183" s="6"/>
      <c r="BD183" t="s">
        <v>935</v>
      </c>
      <c r="BF183" s="5">
        <v>7.0016664000000006E-2</v>
      </c>
      <c r="BG183" s="5">
        <f t="shared" si="6"/>
        <v>-1.5424770926185383E-3</v>
      </c>
      <c r="BH183" s="2">
        <v>162.07660000000001</v>
      </c>
    </row>
    <row r="184" spans="1:60" x14ac:dyDescent="0.2">
      <c r="A184" t="str">
        <f t="shared" si="8"/>
        <v>Motorbike, battery electric, 4-11kW - 2030 - NMC - CH</v>
      </c>
      <c r="B184" t="s">
        <v>656</v>
      </c>
      <c r="D184" s="18">
        <v>2030</v>
      </c>
      <c r="E184" t="s">
        <v>37</v>
      </c>
      <c r="F184" t="s">
        <v>136</v>
      </c>
      <c r="G184" t="s">
        <v>39</v>
      </c>
      <c r="H184" t="s">
        <v>32</v>
      </c>
      <c r="I184" t="s">
        <v>42</v>
      </c>
      <c r="J184" t="s">
        <v>136</v>
      </c>
      <c r="L184" s="24">
        <v>0</v>
      </c>
      <c r="M184" s="24">
        <v>0</v>
      </c>
      <c r="N184" s="24">
        <v>5.7702284664922004E-3</v>
      </c>
      <c r="O184" s="24">
        <v>1.2306591692257861E-2</v>
      </c>
      <c r="P184" s="24">
        <v>4.5659445792955522E-3</v>
      </c>
      <c r="Q184" s="24">
        <v>5.0847739574879709E-2</v>
      </c>
      <c r="R184" s="24">
        <v>7.3490504312925323E-2</v>
      </c>
      <c r="S184" s="26">
        <v>0</v>
      </c>
      <c r="T184" s="26">
        <v>0</v>
      </c>
      <c r="U184" s="26">
        <v>6.1074078972731883E-4</v>
      </c>
      <c r="V184" s="26">
        <v>4.722191823356421E-4</v>
      </c>
      <c r="W184" s="26">
        <v>3.1545691978368762E-4</v>
      </c>
      <c r="X184" s="26">
        <v>5.3567251468282361E-2</v>
      </c>
      <c r="Y184" s="26">
        <v>5.4965668360129012E-2</v>
      </c>
      <c r="Z184" s="28">
        <v>0</v>
      </c>
      <c r="AA184" s="28">
        <v>3.1271735442865911E-3</v>
      </c>
      <c r="AB184" s="28">
        <v>1.789839418574189E-4</v>
      </c>
      <c r="AC184" s="28">
        <v>1.5438989133449149E-4</v>
      </c>
      <c r="AD184" s="28">
        <v>1.4071619462922781E-4</v>
      </c>
      <c r="AE184" s="28">
        <v>4.485928208278203E-3</v>
      </c>
      <c r="AF184" s="28">
        <v>8.0871917803859335E-3</v>
      </c>
      <c r="AG184" s="30">
        <v>0</v>
      </c>
      <c r="AH184" s="30">
        <v>1.6491053126472278E-5</v>
      </c>
      <c r="AI184" s="30">
        <v>4.0895959067761362E-4</v>
      </c>
      <c r="AJ184" s="30">
        <v>3.7507357872791961E-4</v>
      </c>
      <c r="AK184" s="30">
        <v>1.8986272028875961E-4</v>
      </c>
      <c r="AL184" s="30">
        <v>1.395166652116028E-2</v>
      </c>
      <c r="AM184" s="30">
        <v>1.4942053463981045E-2</v>
      </c>
      <c r="AN184" s="32">
        <v>0</v>
      </c>
      <c r="AO184" s="32">
        <v>1.179775095002105E-5</v>
      </c>
      <c r="AP184" s="32">
        <v>5.1565797166662308E-7</v>
      </c>
      <c r="AQ184" s="32">
        <v>7.4641524221169363E-7</v>
      </c>
      <c r="AR184" s="32">
        <v>7.713473071708888E-7</v>
      </c>
      <c r="AS184" s="32">
        <v>1.2387130655504919E-5</v>
      </c>
      <c r="AT184" s="32">
        <v>2.6218302126575174E-5</v>
      </c>
      <c r="AU184" s="34">
        <v>0</v>
      </c>
      <c r="AV184" s="34">
        <v>0</v>
      </c>
      <c r="AW184" s="34">
        <v>0.2698407427863993</v>
      </c>
      <c r="AX184" s="34">
        <v>0.17647448414364728</v>
      </c>
      <c r="AY184" s="34">
        <v>0.16004598601543801</v>
      </c>
      <c r="AZ184" s="34">
        <v>0.71896573632358329</v>
      </c>
      <c r="BA184" s="34">
        <v>1.3253269492690678</v>
      </c>
      <c r="BB184" s="6"/>
      <c r="BC184" s="6"/>
      <c r="BD184" t="s">
        <v>936</v>
      </c>
      <c r="BF184" s="5">
        <v>7.0628497999999998E-2</v>
      </c>
      <c r="BG184" s="5">
        <f t="shared" si="6"/>
        <v>-2.8620063129253248E-3</v>
      </c>
      <c r="BH184" s="2">
        <v>160.03426999999999</v>
      </c>
    </row>
    <row r="185" spans="1:60" x14ac:dyDescent="0.2">
      <c r="A185" t="str">
        <f t="shared" si="8"/>
        <v>Motorbike, battery electric, 4-11kW - 2040 - NMC - CH</v>
      </c>
      <c r="B185" t="s">
        <v>656</v>
      </c>
      <c r="D185" s="18">
        <v>2040</v>
      </c>
      <c r="E185" t="s">
        <v>37</v>
      </c>
      <c r="F185" t="s">
        <v>136</v>
      </c>
      <c r="G185" t="s">
        <v>39</v>
      </c>
      <c r="H185" t="s">
        <v>32</v>
      </c>
      <c r="I185" t="s">
        <v>42</v>
      </c>
      <c r="J185" t="s">
        <v>136</v>
      </c>
      <c r="L185" s="24">
        <v>0</v>
      </c>
      <c r="M185" s="24">
        <v>0</v>
      </c>
      <c r="N185" s="24">
        <v>5.7702284664922004E-3</v>
      </c>
      <c r="O185" s="24">
        <v>1.2306591692257861E-2</v>
      </c>
      <c r="P185" s="24">
        <v>4.5649187894673806E-3</v>
      </c>
      <c r="Q185" s="24">
        <v>4.9945219518561797E-2</v>
      </c>
      <c r="R185" s="24">
        <v>7.2586958466779233E-2</v>
      </c>
      <c r="S185" s="26">
        <v>0</v>
      </c>
      <c r="T185" s="26">
        <v>0</v>
      </c>
      <c r="U185" s="26">
        <v>6.1074078972731883E-4</v>
      </c>
      <c r="V185" s="26">
        <v>4.722191823356421E-4</v>
      </c>
      <c r="W185" s="26">
        <v>3.1539210254475888E-4</v>
      </c>
      <c r="X185" s="26">
        <v>4.8628720590393887E-2</v>
      </c>
      <c r="Y185" s="26">
        <v>5.0027072665001608E-2</v>
      </c>
      <c r="Z185" s="28">
        <v>0</v>
      </c>
      <c r="AA185" s="28">
        <v>3.1271735442865911E-3</v>
      </c>
      <c r="AB185" s="28">
        <v>1.789839418574189E-4</v>
      </c>
      <c r="AC185" s="28">
        <v>1.5438989133449149E-4</v>
      </c>
      <c r="AD185" s="28">
        <v>1.4068673092665601E-4</v>
      </c>
      <c r="AE185" s="28">
        <v>4.164853860023532E-3</v>
      </c>
      <c r="AF185" s="28">
        <v>7.7660879684286893E-3</v>
      </c>
      <c r="AG185" s="30">
        <v>0</v>
      </c>
      <c r="AH185" s="30">
        <v>1.6491053126472278E-5</v>
      </c>
      <c r="AI185" s="30">
        <v>4.0895959067761362E-4</v>
      </c>
      <c r="AJ185" s="30">
        <v>3.7507357872791961E-4</v>
      </c>
      <c r="AK185" s="30">
        <v>1.8983522256767069E-4</v>
      </c>
      <c r="AL185" s="30">
        <v>1.321361617131683E-2</v>
      </c>
      <c r="AM185" s="30">
        <v>1.4203975616416505E-2</v>
      </c>
      <c r="AN185" s="32">
        <v>0</v>
      </c>
      <c r="AO185" s="32">
        <v>1.179775095002105E-5</v>
      </c>
      <c r="AP185" s="32">
        <v>5.1565797166662308E-7</v>
      </c>
      <c r="AQ185" s="32">
        <v>7.4641524221169363E-7</v>
      </c>
      <c r="AR185" s="32">
        <v>7.7123873204397056E-7</v>
      </c>
      <c r="AS185" s="32">
        <v>1.1517811144698971E-5</v>
      </c>
      <c r="AT185" s="32">
        <v>2.5348874040642307E-5</v>
      </c>
      <c r="AU185" s="34">
        <v>0</v>
      </c>
      <c r="AV185" s="34">
        <v>0</v>
      </c>
      <c r="AW185" s="34">
        <v>0.2698407427863993</v>
      </c>
      <c r="AX185" s="34">
        <v>0.17647448414364728</v>
      </c>
      <c r="AY185" s="34">
        <v>0.16001238180917302</v>
      </c>
      <c r="AZ185" s="34">
        <v>0.69632105167146874</v>
      </c>
      <c r="BA185" s="34">
        <v>1.3026486604106884</v>
      </c>
      <c r="BB185" s="6"/>
      <c r="BC185" s="6"/>
      <c r="BD185" t="s">
        <v>937</v>
      </c>
      <c r="BF185" s="5">
        <v>6.9700043000000003E-2</v>
      </c>
      <c r="BG185" s="5">
        <f t="shared" si="6"/>
        <v>-2.8869154667792302E-3</v>
      </c>
      <c r="BH185" s="2">
        <v>150.78993</v>
      </c>
    </row>
    <row r="186" spans="1:60" x14ac:dyDescent="0.2">
      <c r="A186" t="str">
        <f t="shared" si="8"/>
        <v>Motorbike, battery electric, 4-11kW - 2050 - NMC - CH</v>
      </c>
      <c r="B186" t="s">
        <v>656</v>
      </c>
      <c r="D186" s="18">
        <v>2050</v>
      </c>
      <c r="E186" t="s">
        <v>37</v>
      </c>
      <c r="F186" t="s">
        <v>136</v>
      </c>
      <c r="G186" t="s">
        <v>39</v>
      </c>
      <c r="H186" t="s">
        <v>32</v>
      </c>
      <c r="I186" t="s">
        <v>42</v>
      </c>
      <c r="J186" t="s">
        <v>136</v>
      </c>
      <c r="L186" s="24">
        <v>0</v>
      </c>
      <c r="M186" s="24">
        <v>0</v>
      </c>
      <c r="N186" s="24">
        <v>5.7702284664922004E-3</v>
      </c>
      <c r="O186" s="24">
        <v>7.9912933066609501E-3</v>
      </c>
      <c r="P186" s="24">
        <v>4.5678381722821411E-3</v>
      </c>
      <c r="Q186" s="24">
        <v>6.9598585968083854E-2</v>
      </c>
      <c r="R186" s="24">
        <v>8.7927945913519143E-2</v>
      </c>
      <c r="S186" s="26">
        <v>0</v>
      </c>
      <c r="T186" s="26">
        <v>0</v>
      </c>
      <c r="U186" s="26">
        <v>6.1074078972731883E-4</v>
      </c>
      <c r="V186" s="26">
        <v>3.0663583268548191E-4</v>
      </c>
      <c r="W186" s="26">
        <v>3.1557657145664722E-4</v>
      </c>
      <c r="X186" s="26">
        <v>8.1519463305638695E-2</v>
      </c>
      <c r="Y186" s="26">
        <v>8.2752416499508138E-2</v>
      </c>
      <c r="Z186" s="28">
        <v>0</v>
      </c>
      <c r="AA186" s="28">
        <v>3.1271735442865911E-3</v>
      </c>
      <c r="AB186" s="28">
        <v>1.789839418574189E-4</v>
      </c>
      <c r="AC186" s="28">
        <v>1.002531761912283E-4</v>
      </c>
      <c r="AD186" s="28">
        <v>1.4077058419229089E-4</v>
      </c>
      <c r="AE186" s="28">
        <v>6.9441795490579172E-3</v>
      </c>
      <c r="AF186" s="28">
        <v>1.0491360795585446E-2</v>
      </c>
      <c r="AG186" s="30">
        <v>0</v>
      </c>
      <c r="AH186" s="30">
        <v>1.6491053126472278E-5</v>
      </c>
      <c r="AI186" s="30">
        <v>4.0895959067761362E-4</v>
      </c>
      <c r="AJ186" s="30">
        <v>2.4355427190124649E-4</v>
      </c>
      <c r="AK186" s="30">
        <v>1.899134806788231E-4</v>
      </c>
      <c r="AL186" s="30">
        <v>2.0417785969691168E-2</v>
      </c>
      <c r="AM186" s="30">
        <v>2.1276704366075323E-2</v>
      </c>
      <c r="AN186" s="32">
        <v>0</v>
      </c>
      <c r="AO186" s="32">
        <v>1.179775095002105E-5</v>
      </c>
      <c r="AP186" s="32">
        <v>5.1565797166662308E-7</v>
      </c>
      <c r="AQ186" s="32">
        <v>4.8468522221538551E-7</v>
      </c>
      <c r="AR186" s="32">
        <v>7.7154773526366578E-7</v>
      </c>
      <c r="AS186" s="32">
        <v>1.751999621691411E-5</v>
      </c>
      <c r="AT186" s="32">
        <v>3.1089638096080836E-5</v>
      </c>
      <c r="AU186" s="34">
        <v>0</v>
      </c>
      <c r="AV186" s="34">
        <v>0</v>
      </c>
      <c r="AW186" s="34">
        <v>0.2698407427863993</v>
      </c>
      <c r="AX186" s="34">
        <v>0.1145938208724982</v>
      </c>
      <c r="AY186" s="34">
        <v>0.16010801888762657</v>
      </c>
      <c r="AZ186" s="34">
        <v>0.98629421917407689</v>
      </c>
      <c r="BA186" s="34">
        <v>1.5308368017206009</v>
      </c>
      <c r="BB186" s="6"/>
      <c r="BC186" s="6"/>
      <c r="BD186" t="s">
        <v>938</v>
      </c>
      <c r="BF186" s="5">
        <v>7.7607836999999999E-2</v>
      </c>
      <c r="BG186" s="5">
        <f t="shared" si="6"/>
        <v>-1.0320108913519144E-2</v>
      </c>
      <c r="BH186" s="2">
        <v>207.33561</v>
      </c>
    </row>
    <row r="187" spans="1:60" x14ac:dyDescent="0.2">
      <c r="A187" t="str">
        <f t="shared" si="8"/>
        <v>Motorbike, battery electric, 11-35kW - 2020 - NMC - CH</v>
      </c>
      <c r="B187" t="s">
        <v>657</v>
      </c>
      <c r="D187" s="18">
        <v>2020</v>
      </c>
      <c r="E187" t="s">
        <v>37</v>
      </c>
      <c r="F187" t="s">
        <v>136</v>
      </c>
      <c r="G187" t="s">
        <v>39</v>
      </c>
      <c r="H187" t="s">
        <v>32</v>
      </c>
      <c r="I187" t="s">
        <v>42</v>
      </c>
      <c r="J187" t="s">
        <v>136</v>
      </c>
      <c r="L187" s="24">
        <v>0</v>
      </c>
      <c r="M187" s="24">
        <v>0</v>
      </c>
      <c r="N187" s="24">
        <v>7.8106002476236447E-3</v>
      </c>
      <c r="O187" s="24">
        <v>1.2306591692257861E-2</v>
      </c>
      <c r="P187" s="24">
        <v>4.8377632773803636E-3</v>
      </c>
      <c r="Q187" s="24">
        <v>5.8569053018428567E-2</v>
      </c>
      <c r="R187" s="24">
        <v>8.3524008235690436E-2</v>
      </c>
      <c r="S187" s="26">
        <v>0</v>
      </c>
      <c r="T187" s="26">
        <v>0</v>
      </c>
      <c r="U187" s="26">
        <v>8.2670074351110705E-4</v>
      </c>
      <c r="V187" s="26">
        <v>4.722191823356421E-4</v>
      </c>
      <c r="W187" s="26">
        <v>3.3263250196944769E-4</v>
      </c>
      <c r="X187" s="26">
        <v>7.9376902193139781E-2</v>
      </c>
      <c r="Y187" s="26">
        <v>8.1008454620955975E-2</v>
      </c>
      <c r="Z187" s="28">
        <v>0</v>
      </c>
      <c r="AA187" s="28">
        <v>3.1271735442865911E-3</v>
      </c>
      <c r="AB187" s="28">
        <v>2.422732529067532E-4</v>
      </c>
      <c r="AC187" s="28">
        <v>1.5438989133449149E-4</v>
      </c>
      <c r="AD187" s="28">
        <v>1.4852362754957401E-4</v>
      </c>
      <c r="AE187" s="28">
        <v>6.4606502229099154E-3</v>
      </c>
      <c r="AF187" s="28">
        <v>1.0133010538987325E-2</v>
      </c>
      <c r="AG187" s="30">
        <v>0</v>
      </c>
      <c r="AH187" s="30">
        <v>1.6491053126472278E-5</v>
      </c>
      <c r="AI187" s="30">
        <v>5.5356904822114297E-4</v>
      </c>
      <c r="AJ187" s="30">
        <v>3.7507357872791961E-4</v>
      </c>
      <c r="AK187" s="30">
        <v>1.971491980266176E-4</v>
      </c>
      <c r="AL187" s="30">
        <v>1.8523386487649372E-2</v>
      </c>
      <c r="AM187" s="30">
        <v>1.9665669365751523E-2</v>
      </c>
      <c r="AN187" s="32">
        <v>0</v>
      </c>
      <c r="AO187" s="32">
        <v>1.179775095002105E-5</v>
      </c>
      <c r="AP187" s="32">
        <v>6.9799632797501057E-7</v>
      </c>
      <c r="AQ187" s="32">
        <v>7.4641524221169363E-7</v>
      </c>
      <c r="AR187" s="32">
        <v>8.0011806394075551E-7</v>
      </c>
      <c r="AS187" s="32">
        <v>1.666699152436914E-5</v>
      </c>
      <c r="AT187" s="32">
        <v>3.0709272108517651E-5</v>
      </c>
      <c r="AU187" s="34">
        <v>0</v>
      </c>
      <c r="AV187" s="34">
        <v>0</v>
      </c>
      <c r="AW187" s="34">
        <v>0.36525731774146686</v>
      </c>
      <c r="AX187" s="34">
        <v>0.17647448414364728</v>
      </c>
      <c r="AY187" s="34">
        <v>0.16895058942080754</v>
      </c>
      <c r="AZ187" s="34">
        <v>0.86034454505320113</v>
      </c>
      <c r="BA187" s="34">
        <v>1.5710269363591229</v>
      </c>
      <c r="BB187" s="6"/>
      <c r="BC187" s="6"/>
      <c r="BD187" t="s">
        <v>939</v>
      </c>
      <c r="BF187" s="5">
        <v>7.7377614999999997E-2</v>
      </c>
      <c r="BG187" s="5">
        <f t="shared" si="6"/>
        <v>-6.1463932356904394E-3</v>
      </c>
      <c r="BH187" s="2">
        <v>212.40736999999999</v>
      </c>
    </row>
    <row r="188" spans="1:60" x14ac:dyDescent="0.2">
      <c r="A188" t="str">
        <f t="shared" si="8"/>
        <v>Motorbike, battery electric, 11-35kW - 2030 - NMC - CH</v>
      </c>
      <c r="B188" t="s">
        <v>657</v>
      </c>
      <c r="D188" s="18">
        <v>2030</v>
      </c>
      <c r="E188" t="s">
        <v>37</v>
      </c>
      <c r="F188" t="s">
        <v>136</v>
      </c>
      <c r="G188" t="s">
        <v>39</v>
      </c>
      <c r="H188" t="s">
        <v>32</v>
      </c>
      <c r="I188" t="s">
        <v>42</v>
      </c>
      <c r="J188" t="s">
        <v>136</v>
      </c>
      <c r="L188" s="24">
        <v>0</v>
      </c>
      <c r="M188" s="24">
        <v>0</v>
      </c>
      <c r="N188" s="24">
        <v>7.8106002476236447E-3</v>
      </c>
      <c r="O188" s="24">
        <v>1.2306591692257861E-2</v>
      </c>
      <c r="P188" s="24">
        <v>4.8395234313287488E-3</v>
      </c>
      <c r="Q188" s="24">
        <v>5.6848945373648319E-2</v>
      </c>
      <c r="R188" s="24">
        <v>8.1805660744858566E-2</v>
      </c>
      <c r="S188" s="26">
        <v>0</v>
      </c>
      <c r="T188" s="26">
        <v>0</v>
      </c>
      <c r="U188" s="26">
        <v>8.2670074351110705E-4</v>
      </c>
      <c r="V188" s="26">
        <v>4.722191823356421E-4</v>
      </c>
      <c r="W188" s="26">
        <v>3.3274372194442772E-4</v>
      </c>
      <c r="X188" s="26">
        <v>7.2166381107043945E-2</v>
      </c>
      <c r="Y188" s="26">
        <v>7.3798044754835118E-2</v>
      </c>
      <c r="Z188" s="28">
        <v>0</v>
      </c>
      <c r="AA188" s="28">
        <v>3.1271735442865911E-3</v>
      </c>
      <c r="AB188" s="28">
        <v>2.422732529067532E-4</v>
      </c>
      <c r="AC188" s="28">
        <v>1.5438989133449149E-4</v>
      </c>
      <c r="AD188" s="28">
        <v>1.4857418435077391E-4</v>
      </c>
      <c r="AE188" s="28">
        <v>5.9730944153691054E-3</v>
      </c>
      <c r="AF188" s="28">
        <v>9.645505288247716E-3</v>
      </c>
      <c r="AG188" s="30">
        <v>0</v>
      </c>
      <c r="AH188" s="30">
        <v>1.6491053126472278E-5</v>
      </c>
      <c r="AI188" s="30">
        <v>5.5356904822114297E-4</v>
      </c>
      <c r="AJ188" s="30">
        <v>3.7507357872791961E-4</v>
      </c>
      <c r="AK188" s="30">
        <v>1.971963813979253E-4</v>
      </c>
      <c r="AL188" s="30">
        <v>1.7377269998704599E-2</v>
      </c>
      <c r="AM188" s="30">
        <v>1.8519600060178058E-2</v>
      </c>
      <c r="AN188" s="32">
        <v>0</v>
      </c>
      <c r="AO188" s="32">
        <v>1.179775095002105E-5</v>
      </c>
      <c r="AP188" s="32">
        <v>6.9799632797501057E-7</v>
      </c>
      <c r="AQ188" s="32">
        <v>7.4641524221169363E-7</v>
      </c>
      <c r="AR188" s="32">
        <v>8.0030436812616762E-7</v>
      </c>
      <c r="AS188" s="32">
        <v>1.5392959304160391E-5</v>
      </c>
      <c r="AT188" s="32">
        <v>2.9435426192494313E-5</v>
      </c>
      <c r="AU188" s="34">
        <v>0</v>
      </c>
      <c r="AV188" s="34">
        <v>0</v>
      </c>
      <c r="AW188" s="34">
        <v>0.36525731774146686</v>
      </c>
      <c r="AX188" s="34">
        <v>0.17647448414364728</v>
      </c>
      <c r="AY188" s="34">
        <v>0.16900825091706656</v>
      </c>
      <c r="AZ188" s="34">
        <v>0.82320647866840024</v>
      </c>
      <c r="BA188" s="34">
        <v>1.5339465314705811</v>
      </c>
      <c r="BB188" s="6"/>
      <c r="BC188" s="6"/>
      <c r="BD188" t="s">
        <v>940</v>
      </c>
      <c r="BF188" s="5">
        <v>7.5880786000000006E-2</v>
      </c>
      <c r="BG188" s="5">
        <f t="shared" si="6"/>
        <v>-5.9248747448585604E-3</v>
      </c>
      <c r="BH188" s="2">
        <v>198.96776</v>
      </c>
    </row>
    <row r="189" spans="1:60" x14ac:dyDescent="0.2">
      <c r="A189" t="str">
        <f t="shared" si="8"/>
        <v>Motorbike, battery electric, 11-35kW - 2040 - NMC - CH</v>
      </c>
      <c r="B189" t="s">
        <v>657</v>
      </c>
      <c r="D189" s="18">
        <v>2040</v>
      </c>
      <c r="E189" t="s">
        <v>37</v>
      </c>
      <c r="F189" t="s">
        <v>136</v>
      </c>
      <c r="G189" t="s">
        <v>39</v>
      </c>
      <c r="H189" t="s">
        <v>32</v>
      </c>
      <c r="I189" t="s">
        <v>42</v>
      </c>
      <c r="J189" t="s">
        <v>136</v>
      </c>
      <c r="L189" s="24">
        <v>0</v>
      </c>
      <c r="M189" s="24">
        <v>0</v>
      </c>
      <c r="N189" s="24">
        <v>7.8106002476236447E-3</v>
      </c>
      <c r="O189" s="24">
        <v>1.2306591692257861E-2</v>
      </c>
      <c r="P189" s="24">
        <v>4.8429982180027134E-3</v>
      </c>
      <c r="Q189" s="24">
        <v>5.3684904657885529E-2</v>
      </c>
      <c r="R189" s="24">
        <v>7.8645094815769756E-2</v>
      </c>
      <c r="S189" s="26">
        <v>0</v>
      </c>
      <c r="T189" s="26">
        <v>0</v>
      </c>
      <c r="U189" s="26">
        <v>8.2670074351110705E-4</v>
      </c>
      <c r="V189" s="26">
        <v>4.722191823356421E-4</v>
      </c>
      <c r="W189" s="26">
        <v>3.3296328551572421E-4</v>
      </c>
      <c r="X189" s="26">
        <v>6.337911973557539E-2</v>
      </c>
      <c r="Y189" s="26">
        <v>6.501100294693786E-2</v>
      </c>
      <c r="Z189" s="28">
        <v>0</v>
      </c>
      <c r="AA189" s="28">
        <v>3.1271735442865911E-3</v>
      </c>
      <c r="AB189" s="28">
        <v>2.422732529067532E-4</v>
      </c>
      <c r="AC189" s="28">
        <v>1.5438989133449149E-4</v>
      </c>
      <c r="AD189" s="28">
        <v>1.4867399044969431E-4</v>
      </c>
      <c r="AE189" s="28">
        <v>5.3287854582830261E-3</v>
      </c>
      <c r="AF189" s="28">
        <v>9.001296137260556E-3</v>
      </c>
      <c r="AG189" s="30">
        <v>0</v>
      </c>
      <c r="AH189" s="30">
        <v>1.6491053126472278E-5</v>
      </c>
      <c r="AI189" s="30">
        <v>5.5356904822114297E-4</v>
      </c>
      <c r="AJ189" s="30">
        <v>3.7507357872791961E-4</v>
      </c>
      <c r="AK189" s="30">
        <v>1.9728952788093779E-4</v>
      </c>
      <c r="AL189" s="30">
        <v>1.5801163181385459E-2</v>
      </c>
      <c r="AM189" s="30">
        <v>1.694358638934193E-2</v>
      </c>
      <c r="AN189" s="32">
        <v>0</v>
      </c>
      <c r="AO189" s="32">
        <v>1.179775095002105E-5</v>
      </c>
      <c r="AP189" s="32">
        <v>6.9799632797501057E-7</v>
      </c>
      <c r="AQ189" s="32">
        <v>7.4641524221169363E-7</v>
      </c>
      <c r="AR189" s="32">
        <v>8.0067215828530021E-7</v>
      </c>
      <c r="AS189" s="32">
        <v>1.382403194090753E-5</v>
      </c>
      <c r="AT189" s="32">
        <v>2.7866866619400584E-5</v>
      </c>
      <c r="AU189" s="34">
        <v>0</v>
      </c>
      <c r="AV189" s="34">
        <v>0</v>
      </c>
      <c r="AW189" s="34">
        <v>0.36525731774146686</v>
      </c>
      <c r="AX189" s="34">
        <v>0.17647448414364728</v>
      </c>
      <c r="AY189" s="34">
        <v>0.16912208266399173</v>
      </c>
      <c r="AZ189" s="34">
        <v>0.76706184836719249</v>
      </c>
      <c r="BA189" s="34">
        <v>1.4779157329162984</v>
      </c>
      <c r="BB189" s="6"/>
      <c r="BC189" s="6"/>
      <c r="BD189" t="s">
        <v>941</v>
      </c>
      <c r="BF189" s="5">
        <v>7.3665266000000007E-2</v>
      </c>
      <c r="BG189" s="5">
        <f t="shared" si="6"/>
        <v>-4.979828815769749E-3</v>
      </c>
      <c r="BH189" s="2">
        <v>182.73555999999999</v>
      </c>
    </row>
    <row r="190" spans="1:60" x14ac:dyDescent="0.2">
      <c r="A190" t="str">
        <f t="shared" si="8"/>
        <v>Motorbike, battery electric, 11-35kW - 2050 - NMC - CH</v>
      </c>
      <c r="B190" t="s">
        <v>657</v>
      </c>
      <c r="D190" s="18">
        <v>2050</v>
      </c>
      <c r="E190" t="s">
        <v>37</v>
      </c>
      <c r="F190" t="s">
        <v>136</v>
      </c>
      <c r="G190" t="s">
        <v>39</v>
      </c>
      <c r="H190" t="s">
        <v>32</v>
      </c>
      <c r="I190" t="s">
        <v>42</v>
      </c>
      <c r="J190" t="s">
        <v>136</v>
      </c>
      <c r="L190" s="24">
        <v>0</v>
      </c>
      <c r="M190" s="24">
        <v>0</v>
      </c>
      <c r="N190" s="24">
        <v>7.8106002476236447E-3</v>
      </c>
      <c r="O190" s="24">
        <v>1.16988587691834E-2</v>
      </c>
      <c r="P190" s="24">
        <v>4.8421333147694546E-3</v>
      </c>
      <c r="Q190" s="24">
        <v>8.1215900047141174E-2</v>
      </c>
      <c r="R190" s="24">
        <v>0.10556749237871768</v>
      </c>
      <c r="S190" s="26">
        <v>0</v>
      </c>
      <c r="T190" s="26">
        <v>0</v>
      </c>
      <c r="U190" s="26">
        <v>8.2670074351110705E-4</v>
      </c>
      <c r="V190" s="26">
        <v>4.4889971654128941E-4</v>
      </c>
      <c r="W190" s="26">
        <v>3.3290863432112197E-4</v>
      </c>
      <c r="X190" s="26">
        <v>0.1117595975810074</v>
      </c>
      <c r="Y190" s="26">
        <v>0.11336810667538091</v>
      </c>
      <c r="Z190" s="28">
        <v>0</v>
      </c>
      <c r="AA190" s="28">
        <v>3.1271735442865911E-3</v>
      </c>
      <c r="AB190" s="28">
        <v>2.422732529067532E-4</v>
      </c>
      <c r="AC190" s="28">
        <v>1.4676569916982529E-4</v>
      </c>
      <c r="AD190" s="28">
        <v>1.486491478835875E-4</v>
      </c>
      <c r="AE190" s="28">
        <v>9.3519976039321637E-3</v>
      </c>
      <c r="AF190" s="28">
        <v>1.3016859248178921E-2</v>
      </c>
      <c r="AG190" s="30">
        <v>0</v>
      </c>
      <c r="AH190" s="30">
        <v>1.6491053126472278E-5</v>
      </c>
      <c r="AI190" s="30">
        <v>5.5356904822114297E-4</v>
      </c>
      <c r="AJ190" s="30">
        <v>3.5655142669197291E-4</v>
      </c>
      <c r="AK190" s="30">
        <v>1.9726634294848491E-4</v>
      </c>
      <c r="AL190" s="30">
        <v>2.6169038215186489E-2</v>
      </c>
      <c r="AM190" s="30">
        <v>2.7292916086174561E-2</v>
      </c>
      <c r="AN190" s="32">
        <v>0</v>
      </c>
      <c r="AO190" s="32">
        <v>1.179775095002105E-5</v>
      </c>
      <c r="AP190" s="32">
        <v>6.9799632797501057E-7</v>
      </c>
      <c r="AQ190" s="32">
        <v>7.095552302506223E-7</v>
      </c>
      <c r="AR190" s="32">
        <v>8.0058061226315808E-7</v>
      </c>
      <c r="AS190" s="32">
        <v>2.2628354772369259E-5</v>
      </c>
      <c r="AT190" s="32">
        <v>3.6634237892879104E-5</v>
      </c>
      <c r="AU190" s="34">
        <v>0</v>
      </c>
      <c r="AV190" s="34">
        <v>0</v>
      </c>
      <c r="AW190" s="34">
        <v>0.36525731774146686</v>
      </c>
      <c r="AX190" s="34">
        <v>0.16775969480322017</v>
      </c>
      <c r="AY190" s="34">
        <v>0.16909374899772653</v>
      </c>
      <c r="AZ190" s="34">
        <v>1.1794801664521959</v>
      </c>
      <c r="BA190" s="34">
        <v>1.8815909279946095</v>
      </c>
      <c r="BB190" s="6"/>
      <c r="BC190" s="6"/>
      <c r="BD190" t="s">
        <v>942</v>
      </c>
      <c r="BF190" s="5">
        <v>8.9262224000000001E-2</v>
      </c>
      <c r="BG190" s="5">
        <f t="shared" si="6"/>
        <v>-1.630526837871768E-2</v>
      </c>
      <c r="BH190" s="2">
        <v>270.63082000000003</v>
      </c>
    </row>
    <row r="191" spans="1:60" x14ac:dyDescent="0.2">
      <c r="A191" t="str">
        <f t="shared" si="8"/>
        <v>Motorbike, battery electric, &gt;35kW - 2020 - NMC - CH</v>
      </c>
      <c r="B191" t="s">
        <v>658</v>
      </c>
      <c r="D191" s="18">
        <v>2020</v>
      </c>
      <c r="E191" t="s">
        <v>37</v>
      </c>
      <c r="F191" t="s">
        <v>136</v>
      </c>
      <c r="G191" t="s">
        <v>39</v>
      </c>
      <c r="H191" t="s">
        <v>32</v>
      </c>
      <c r="I191" t="s">
        <v>42</v>
      </c>
      <c r="J191" t="s">
        <v>136</v>
      </c>
      <c r="L191" s="24">
        <v>0</v>
      </c>
      <c r="M191" s="24">
        <v>0</v>
      </c>
      <c r="N191" s="24">
        <v>8.710249309141712E-3</v>
      </c>
      <c r="O191" s="24">
        <v>1.2306591692257861E-2</v>
      </c>
      <c r="P191" s="24">
        <v>5.2439946696746179E-3</v>
      </c>
      <c r="Q191" s="24">
        <v>9.3549221229405455E-2</v>
      </c>
      <c r="R191" s="24">
        <v>0.11981005690047965</v>
      </c>
      <c r="S191" s="26">
        <v>0</v>
      </c>
      <c r="T191" s="26">
        <v>0</v>
      </c>
      <c r="U191" s="26">
        <v>9.2192268862119461E-4</v>
      </c>
      <c r="V191" s="26">
        <v>4.722191823356421E-4</v>
      </c>
      <c r="W191" s="26">
        <v>3.5830130516049491E-4</v>
      </c>
      <c r="X191" s="26">
        <v>0.13974324927312981</v>
      </c>
      <c r="Y191" s="26">
        <v>0.14149569244924715</v>
      </c>
      <c r="Z191" s="28">
        <v>0</v>
      </c>
      <c r="AA191" s="28">
        <v>3.1271735442865911E-3</v>
      </c>
      <c r="AB191" s="28">
        <v>2.7017903449822622E-4</v>
      </c>
      <c r="AC191" s="28">
        <v>1.5438989133449149E-4</v>
      </c>
      <c r="AD191" s="28">
        <v>1.6019178859891651E-4</v>
      </c>
      <c r="AE191" s="28">
        <v>1.1422930737701731E-2</v>
      </c>
      <c r="AF191" s="28">
        <v>1.5134864996419957E-2</v>
      </c>
      <c r="AG191" s="30">
        <v>0</v>
      </c>
      <c r="AH191" s="30">
        <v>1.6491053126472278E-5</v>
      </c>
      <c r="AI191" s="30">
        <v>6.1733084103202476E-4</v>
      </c>
      <c r="AJ191" s="30">
        <v>3.7507357872791961E-4</v>
      </c>
      <c r="AK191" s="30">
        <v>2.0803879472186621E-4</v>
      </c>
      <c r="AL191" s="30">
        <v>3.1439545680802601E-2</v>
      </c>
      <c r="AM191" s="30">
        <v>3.2656479948410887E-2</v>
      </c>
      <c r="AN191" s="32">
        <v>0</v>
      </c>
      <c r="AO191" s="32">
        <v>1.179775095002105E-5</v>
      </c>
      <c r="AP191" s="32">
        <v>7.7839370096780042E-7</v>
      </c>
      <c r="AQ191" s="32">
        <v>7.4641524221169363E-7</v>
      </c>
      <c r="AR191" s="32">
        <v>8.4311578507742115E-7</v>
      </c>
      <c r="AS191" s="32">
        <v>2.8455953069981901E-5</v>
      </c>
      <c r="AT191" s="32">
        <v>4.2621628748259868E-5</v>
      </c>
      <c r="AU191" s="34">
        <v>0</v>
      </c>
      <c r="AV191" s="34">
        <v>0</v>
      </c>
      <c r="AW191" s="34">
        <v>0.40732878378771509</v>
      </c>
      <c r="AX191" s="34">
        <v>0.17647448414364728</v>
      </c>
      <c r="AY191" s="34">
        <v>0.18225846509190186</v>
      </c>
      <c r="AZ191" s="34">
        <v>1.3945357778305667</v>
      </c>
      <c r="BA191" s="34">
        <v>2.1605975108538309</v>
      </c>
      <c r="BB191" s="6"/>
      <c r="BC191" s="6"/>
      <c r="BD191" t="s">
        <v>943</v>
      </c>
      <c r="BF191" s="5">
        <v>0.10250206000000001</v>
      </c>
      <c r="BG191" s="5">
        <f t="shared" si="6"/>
        <v>-1.7307996900479641E-2</v>
      </c>
      <c r="BH191" s="2">
        <v>330.59537999999998</v>
      </c>
    </row>
    <row r="192" spans="1:60" x14ac:dyDescent="0.2">
      <c r="A192" t="str">
        <f t="shared" si="8"/>
        <v>Motorbike, battery electric, &gt;35kW - 2030 - NMC - CH</v>
      </c>
      <c r="B192" t="s">
        <v>658</v>
      </c>
      <c r="D192" s="18">
        <v>2030</v>
      </c>
      <c r="E192" t="s">
        <v>37</v>
      </c>
      <c r="F192" t="s">
        <v>136</v>
      </c>
      <c r="G192" t="s">
        <v>39</v>
      </c>
      <c r="H192" t="s">
        <v>32</v>
      </c>
      <c r="I192" t="s">
        <v>42</v>
      </c>
      <c r="J192" t="s">
        <v>136</v>
      </c>
      <c r="L192" s="24">
        <v>0</v>
      </c>
      <c r="M192" s="24">
        <v>0</v>
      </c>
      <c r="N192" s="24">
        <v>8.710249309141712E-3</v>
      </c>
      <c r="O192" s="24">
        <v>1.2306591692257861E-2</v>
      </c>
      <c r="P192" s="24">
        <v>5.2456030862136592E-3</v>
      </c>
      <c r="Q192" s="24">
        <v>8.7888747837589959E-2</v>
      </c>
      <c r="R192" s="24">
        <v>0.11415119192520319</v>
      </c>
      <c r="S192" s="26">
        <v>0</v>
      </c>
      <c r="T192" s="26">
        <v>0</v>
      </c>
      <c r="U192" s="26">
        <v>9.2192268862119461E-4</v>
      </c>
      <c r="V192" s="26">
        <v>4.722191823356421E-4</v>
      </c>
      <c r="W192" s="26">
        <v>3.5840293720659718E-4</v>
      </c>
      <c r="X192" s="26">
        <v>0.1236173950741264</v>
      </c>
      <c r="Y192" s="26">
        <v>0.12536993988228984</v>
      </c>
      <c r="Z192" s="28">
        <v>0</v>
      </c>
      <c r="AA192" s="28">
        <v>3.1271735442865911E-3</v>
      </c>
      <c r="AB192" s="28">
        <v>2.7017903449822622E-4</v>
      </c>
      <c r="AC192" s="28">
        <v>1.5438989133449149E-4</v>
      </c>
      <c r="AD192" s="28">
        <v>1.6023798705518531E-4</v>
      </c>
      <c r="AE192" s="28">
        <v>1.0247226366538621E-2</v>
      </c>
      <c r="AF192" s="28">
        <v>1.3959206823713113E-2</v>
      </c>
      <c r="AG192" s="30">
        <v>0</v>
      </c>
      <c r="AH192" s="30">
        <v>1.6491053126472278E-5</v>
      </c>
      <c r="AI192" s="30">
        <v>6.1733084103202476E-4</v>
      </c>
      <c r="AJ192" s="30">
        <v>3.7507357872791961E-4</v>
      </c>
      <c r="AK192" s="30">
        <v>2.080819105611646E-4</v>
      </c>
      <c r="AL192" s="30">
        <v>2.8572910874845901E-2</v>
      </c>
      <c r="AM192" s="30">
        <v>2.9789888258293481E-2</v>
      </c>
      <c r="AN192" s="32">
        <v>0</v>
      </c>
      <c r="AO192" s="32">
        <v>1.179775095002105E-5</v>
      </c>
      <c r="AP192" s="32">
        <v>7.7839370096780042E-7</v>
      </c>
      <c r="AQ192" s="32">
        <v>7.4641524221169363E-7</v>
      </c>
      <c r="AR192" s="32">
        <v>8.4328602855719433E-7</v>
      </c>
      <c r="AS192" s="32">
        <v>2.5577196355962291E-5</v>
      </c>
      <c r="AT192" s="32">
        <v>3.974304227772003E-5</v>
      </c>
      <c r="AU192" s="34">
        <v>0</v>
      </c>
      <c r="AV192" s="34">
        <v>0</v>
      </c>
      <c r="AW192" s="34">
        <v>0.40732878378771509</v>
      </c>
      <c r="AX192" s="34">
        <v>0.17647448414364728</v>
      </c>
      <c r="AY192" s="34">
        <v>0.18231115576951787</v>
      </c>
      <c r="AZ192" s="34">
        <v>1.292956185038838</v>
      </c>
      <c r="BA192" s="34">
        <v>2.0590706087397184</v>
      </c>
      <c r="BB192" s="6"/>
      <c r="BC192" s="6"/>
      <c r="BD192" t="s">
        <v>944</v>
      </c>
      <c r="BF192" s="5">
        <v>9.8470921000000003E-2</v>
      </c>
      <c r="BG192" s="5">
        <f t="shared" si="6"/>
        <v>-1.5680270925203188E-2</v>
      </c>
      <c r="BH192" s="2">
        <v>300.71695</v>
      </c>
    </row>
    <row r="193" spans="1:60" x14ac:dyDescent="0.2">
      <c r="A193" t="str">
        <f t="shared" si="8"/>
        <v>Motorbike, battery electric, &gt;35kW - 2040 - NMC - CH</v>
      </c>
      <c r="B193" t="s">
        <v>658</v>
      </c>
      <c r="D193" s="18">
        <v>2040</v>
      </c>
      <c r="E193" t="s">
        <v>37</v>
      </c>
      <c r="F193" t="s">
        <v>136</v>
      </c>
      <c r="G193" t="s">
        <v>39</v>
      </c>
      <c r="H193" t="s">
        <v>32</v>
      </c>
      <c r="I193" t="s">
        <v>42</v>
      </c>
      <c r="J193" t="s">
        <v>136</v>
      </c>
      <c r="L193" s="24">
        <v>0</v>
      </c>
      <c r="M193" s="24">
        <v>0</v>
      </c>
      <c r="N193" s="24">
        <v>8.710249309141712E-3</v>
      </c>
      <c r="O193" s="24">
        <v>1.2306591692257861E-2</v>
      </c>
      <c r="P193" s="24">
        <v>5.2483191858409056E-3</v>
      </c>
      <c r="Q193" s="24">
        <v>8.0275243539084731E-2</v>
      </c>
      <c r="R193" s="24">
        <v>0.10654040372632521</v>
      </c>
      <c r="S193" s="26">
        <v>0</v>
      </c>
      <c r="T193" s="26">
        <v>0</v>
      </c>
      <c r="U193" s="26">
        <v>9.2192268862119461E-4</v>
      </c>
      <c r="V193" s="26">
        <v>4.722191823356421E-4</v>
      </c>
      <c r="W193" s="26">
        <v>3.5857456113350578E-4</v>
      </c>
      <c r="X193" s="26">
        <v>0.1052993504565712</v>
      </c>
      <c r="Y193" s="26">
        <v>0.10705206688866153</v>
      </c>
      <c r="Z193" s="28">
        <v>0</v>
      </c>
      <c r="AA193" s="28">
        <v>3.1271735442865911E-3</v>
      </c>
      <c r="AB193" s="28">
        <v>2.7017903449822622E-4</v>
      </c>
      <c r="AC193" s="28">
        <v>1.5438989133449149E-4</v>
      </c>
      <c r="AD193" s="28">
        <v>1.6031600142945069E-4</v>
      </c>
      <c r="AE193" s="28">
        <v>8.8560991363717499E-3</v>
      </c>
      <c r="AF193" s="28">
        <v>1.2568157607920509E-2</v>
      </c>
      <c r="AG193" s="30">
        <v>0</v>
      </c>
      <c r="AH193" s="30">
        <v>1.6491053126472278E-5</v>
      </c>
      <c r="AI193" s="30">
        <v>6.1733084103202476E-4</v>
      </c>
      <c r="AJ193" s="30">
        <v>3.7507357872791961E-4</v>
      </c>
      <c r="AK193" s="30">
        <v>2.081547193841308E-4</v>
      </c>
      <c r="AL193" s="30">
        <v>2.511793462766259E-2</v>
      </c>
      <c r="AM193" s="30">
        <v>2.6334984819933138E-2</v>
      </c>
      <c r="AN193" s="32">
        <v>0</v>
      </c>
      <c r="AO193" s="32">
        <v>1.179775095002105E-5</v>
      </c>
      <c r="AP193" s="32">
        <v>7.7839370096780042E-7</v>
      </c>
      <c r="AQ193" s="32">
        <v>7.4641524221169363E-7</v>
      </c>
      <c r="AR193" s="32">
        <v>8.4357351518813197E-7</v>
      </c>
      <c r="AS193" s="32">
        <v>2.228878710164987E-5</v>
      </c>
      <c r="AT193" s="32">
        <v>3.6454920510038541E-5</v>
      </c>
      <c r="AU193" s="34">
        <v>0</v>
      </c>
      <c r="AV193" s="34">
        <v>0</v>
      </c>
      <c r="AW193" s="34">
        <v>0.40732878378771509</v>
      </c>
      <c r="AX193" s="34">
        <v>0.17647448414364728</v>
      </c>
      <c r="AY193" s="34">
        <v>0.18240013342322792</v>
      </c>
      <c r="AZ193" s="34">
        <v>1.1654975603178257</v>
      </c>
      <c r="BA193" s="34">
        <v>1.9317009616724161</v>
      </c>
      <c r="BB193" s="6"/>
      <c r="BC193" s="6"/>
      <c r="BD193" t="s">
        <v>945</v>
      </c>
      <c r="BF193" s="5">
        <v>9.3453467999999998E-2</v>
      </c>
      <c r="BG193" s="5">
        <f t="shared" si="6"/>
        <v>-1.3086935726325216E-2</v>
      </c>
      <c r="BH193" s="2">
        <v>266.90017</v>
      </c>
    </row>
    <row r="194" spans="1:60" x14ac:dyDescent="0.2">
      <c r="A194" t="str">
        <f t="shared" si="8"/>
        <v>Motorbike, battery electric, &gt;35kW - 2050 - NMC - CH</v>
      </c>
      <c r="B194" t="s">
        <v>658</v>
      </c>
      <c r="D194" s="18">
        <v>2050</v>
      </c>
      <c r="E194" t="s">
        <v>37</v>
      </c>
      <c r="F194" t="s">
        <v>136</v>
      </c>
      <c r="G194" t="s">
        <v>39</v>
      </c>
      <c r="H194" t="s">
        <v>32</v>
      </c>
      <c r="I194" t="s">
        <v>42</v>
      </c>
      <c r="J194" t="s">
        <v>136</v>
      </c>
      <c r="L194" s="24">
        <v>0</v>
      </c>
      <c r="M194" s="24">
        <v>0</v>
      </c>
      <c r="N194" s="24">
        <v>8.710249309141712E-3</v>
      </c>
      <c r="O194" s="24">
        <v>1.9936678541457739E-2</v>
      </c>
      <c r="P194" s="24">
        <v>5.2470901128252243E-3</v>
      </c>
      <c r="Q194" s="24">
        <v>0.1234468118432987</v>
      </c>
      <c r="R194" s="24">
        <v>0.15734082980672337</v>
      </c>
      <c r="S194" s="26">
        <v>0</v>
      </c>
      <c r="T194" s="26">
        <v>0</v>
      </c>
      <c r="U194" s="26">
        <v>9.2192268862119461E-4</v>
      </c>
      <c r="V194" s="26">
        <v>7.6499507538374024E-4</v>
      </c>
      <c r="W194" s="26">
        <v>3.5849689890959751E-4</v>
      </c>
      <c r="X194" s="26">
        <v>0.19307896003544581</v>
      </c>
      <c r="Y194" s="26">
        <v>0.19512437469836033</v>
      </c>
      <c r="Z194" s="28">
        <v>0</v>
      </c>
      <c r="AA194" s="28">
        <v>3.1271735442865911E-3</v>
      </c>
      <c r="AB194" s="28">
        <v>2.7017903449822622E-4</v>
      </c>
      <c r="AC194" s="28">
        <v>2.5011162396187633E-4</v>
      </c>
      <c r="AD194" s="28">
        <v>1.602806988355094E-4</v>
      </c>
      <c r="AE194" s="28">
        <v>1.5837063038951899E-2</v>
      </c>
      <c r="AF194" s="28">
        <v>1.9644807940534102E-2</v>
      </c>
      <c r="AG194" s="30">
        <v>0</v>
      </c>
      <c r="AH194" s="30">
        <v>1.6491053126472278E-5</v>
      </c>
      <c r="AI194" s="30">
        <v>6.1733084103202476E-4</v>
      </c>
      <c r="AJ194" s="30">
        <v>6.0761919753922976E-4</v>
      </c>
      <c r="AK194" s="30">
        <v>2.0812177237485561E-4</v>
      </c>
      <c r="AL194" s="30">
        <v>4.2792539587781897E-2</v>
      </c>
      <c r="AM194" s="30">
        <v>4.4242102451854483E-2</v>
      </c>
      <c r="AN194" s="32">
        <v>0</v>
      </c>
      <c r="AO194" s="32">
        <v>1.179775095002105E-5</v>
      </c>
      <c r="AP194" s="32">
        <v>7.7839370096780042E-7</v>
      </c>
      <c r="AQ194" s="32">
        <v>1.209192692382944E-6</v>
      </c>
      <c r="AR194" s="32">
        <v>8.4344342347245625E-7</v>
      </c>
      <c r="AS194" s="32">
        <v>3.8156199186523163E-5</v>
      </c>
      <c r="AT194" s="32">
        <v>5.278497995336741E-5</v>
      </c>
      <c r="AU194" s="34">
        <v>0</v>
      </c>
      <c r="AV194" s="34">
        <v>0</v>
      </c>
      <c r="AW194" s="34">
        <v>0.40732878378771509</v>
      </c>
      <c r="AX194" s="34">
        <v>0.28588866431270848</v>
      </c>
      <c r="AY194" s="34">
        <v>0.18235986979221949</v>
      </c>
      <c r="AZ194" s="34">
        <v>1.8445987931752665</v>
      </c>
      <c r="BA194" s="34">
        <v>2.7201761110679099</v>
      </c>
      <c r="BB194" s="6"/>
      <c r="BC194" s="6"/>
      <c r="BD194" t="s">
        <v>946</v>
      </c>
      <c r="BF194" s="5">
        <v>0.1258591</v>
      </c>
      <c r="BG194" s="5">
        <f t="shared" si="6"/>
        <v>-3.1481729806723369E-2</v>
      </c>
      <c r="BH194" s="2">
        <v>434.02947</v>
      </c>
    </row>
    <row r="195" spans="1:60" x14ac:dyDescent="0.2">
      <c r="A195" t="str">
        <f t="shared" si="8"/>
        <v>Motorbike, battery electric, &lt;4kW - 2020 - LFP - CH</v>
      </c>
      <c r="B195" t="s">
        <v>655</v>
      </c>
      <c r="D195" s="18">
        <v>2020</v>
      </c>
      <c r="E195" t="s">
        <v>37</v>
      </c>
      <c r="F195" t="s">
        <v>136</v>
      </c>
      <c r="G195" t="s">
        <v>39</v>
      </c>
      <c r="H195" t="s">
        <v>32</v>
      </c>
      <c r="I195" t="s">
        <v>43</v>
      </c>
      <c r="J195" t="s">
        <v>136</v>
      </c>
      <c r="L195" s="24">
        <v>0</v>
      </c>
      <c r="M195" s="24">
        <v>0</v>
      </c>
      <c r="N195" s="24">
        <v>3.836250793656903E-3</v>
      </c>
      <c r="O195" s="24">
        <v>1.2306591692257861E-2</v>
      </c>
      <c r="P195" s="24">
        <v>4.4861118312269459E-3</v>
      </c>
      <c r="Q195" s="24">
        <v>4.1110912438960361E-2</v>
      </c>
      <c r="R195" s="24">
        <v>6.1739866756102074E-2</v>
      </c>
      <c r="S195" s="26">
        <v>0</v>
      </c>
      <c r="T195" s="26">
        <v>0</v>
      </c>
      <c r="U195" s="26">
        <v>4.0604195360992079E-4</v>
      </c>
      <c r="V195" s="26">
        <v>4.722191823356421E-4</v>
      </c>
      <c r="W195" s="26">
        <v>3.1041247679566478E-4</v>
      </c>
      <c r="X195" s="26">
        <v>2.664028343289539E-2</v>
      </c>
      <c r="Y195" s="26">
        <v>2.7828957045636617E-2</v>
      </c>
      <c r="Z195" s="28">
        <v>0</v>
      </c>
      <c r="AA195" s="28">
        <v>3.1271735442865911E-3</v>
      </c>
      <c r="AB195" s="28">
        <v>1.1899481848762461E-4</v>
      </c>
      <c r="AC195" s="28">
        <v>1.5438989133449149E-4</v>
      </c>
      <c r="AD195" s="28">
        <v>1.3842316317192141E-4</v>
      </c>
      <c r="AE195" s="28">
        <v>2.9716248226964118E-3</v>
      </c>
      <c r="AF195" s="28">
        <v>6.5106062399770404E-3</v>
      </c>
      <c r="AG195" s="30">
        <v>0</v>
      </c>
      <c r="AH195" s="30">
        <v>1.6491053126472278E-5</v>
      </c>
      <c r="AI195" s="30">
        <v>2.7189071687907281E-4</v>
      </c>
      <c r="AJ195" s="30">
        <v>3.7507357872791961E-4</v>
      </c>
      <c r="AK195" s="30">
        <v>1.877226925951076E-4</v>
      </c>
      <c r="AL195" s="30">
        <v>1.036701087183492E-2</v>
      </c>
      <c r="AM195" s="30">
        <v>1.1218188913163491E-2</v>
      </c>
      <c r="AN195" s="32">
        <v>0</v>
      </c>
      <c r="AO195" s="32">
        <v>1.179775095002105E-5</v>
      </c>
      <c r="AP195" s="32">
        <v>3.4282755259154613E-7</v>
      </c>
      <c r="AQ195" s="32">
        <v>7.4641524221169363E-7</v>
      </c>
      <c r="AR195" s="32">
        <v>7.628973786224294E-7</v>
      </c>
      <c r="AS195" s="32">
        <v>7.6231375717449163E-6</v>
      </c>
      <c r="AT195" s="32">
        <v>2.1273028695191633E-5</v>
      </c>
      <c r="AU195" s="34">
        <v>0</v>
      </c>
      <c r="AV195" s="34">
        <v>0</v>
      </c>
      <c r="AW195" s="34">
        <v>0.17939961470963908</v>
      </c>
      <c r="AX195" s="34">
        <v>0.17647448414364728</v>
      </c>
      <c r="AY195" s="34">
        <v>0.15743071721560767</v>
      </c>
      <c r="AZ195" s="34">
        <v>0.55980468962999508</v>
      </c>
      <c r="BA195" s="34">
        <v>1.0731095056988891</v>
      </c>
      <c r="BB195" s="6"/>
      <c r="BC195" s="6"/>
      <c r="BD195" t="s">
        <v>718</v>
      </c>
      <c r="BF195" s="5">
        <v>6.2386150000000008E-2</v>
      </c>
      <c r="BG195" s="5">
        <f t="shared" si="6"/>
        <v>6.4628324389793407E-4</v>
      </c>
      <c r="BH195" s="2">
        <v>139.80157</v>
      </c>
    </row>
    <row r="196" spans="1:60" x14ac:dyDescent="0.2">
      <c r="A196" t="str">
        <f t="shared" si="8"/>
        <v>Motorbike, battery electric, &lt;4kW - 2030 - LFP - CH</v>
      </c>
      <c r="B196" t="s">
        <v>655</v>
      </c>
      <c r="D196" s="18">
        <v>2030</v>
      </c>
      <c r="E196" t="s">
        <v>37</v>
      </c>
      <c r="F196" t="s">
        <v>136</v>
      </c>
      <c r="G196" t="s">
        <v>39</v>
      </c>
      <c r="H196" t="s">
        <v>32</v>
      </c>
      <c r="I196" t="s">
        <v>43</v>
      </c>
      <c r="J196" t="s">
        <v>136</v>
      </c>
      <c r="L196" s="24">
        <v>0</v>
      </c>
      <c r="M196" s="24">
        <v>0</v>
      </c>
      <c r="N196" s="24">
        <v>3.836250793656903E-3</v>
      </c>
      <c r="O196" s="24">
        <v>1.2306591692257861E-2</v>
      </c>
      <c r="P196" s="24">
        <v>4.5301612011593474E-3</v>
      </c>
      <c r="Q196" s="24">
        <v>4.75079303803492E-2</v>
      </c>
      <c r="R196" s="24">
        <v>6.8180934067423316E-2</v>
      </c>
      <c r="S196" s="26">
        <v>0</v>
      </c>
      <c r="T196" s="26">
        <v>0</v>
      </c>
      <c r="U196" s="26">
        <v>4.0604195360992079E-4</v>
      </c>
      <c r="V196" s="26">
        <v>4.722191823356421E-4</v>
      </c>
      <c r="W196" s="26">
        <v>3.1319585254882521E-4</v>
      </c>
      <c r="X196" s="26">
        <v>2.9825723640247982E-2</v>
      </c>
      <c r="Y196" s="26">
        <v>3.1017180628742369E-2</v>
      </c>
      <c r="Z196" s="28">
        <v>0</v>
      </c>
      <c r="AA196" s="28">
        <v>3.1271735442865911E-3</v>
      </c>
      <c r="AB196" s="28">
        <v>1.1899481848762461E-4</v>
      </c>
      <c r="AC196" s="28">
        <v>1.5438989133449149E-4</v>
      </c>
      <c r="AD196" s="28">
        <v>1.3968839070539819E-4</v>
      </c>
      <c r="AE196" s="28">
        <v>3.506841290186575E-3</v>
      </c>
      <c r="AF196" s="28">
        <v>7.0470879350006807E-3</v>
      </c>
      <c r="AG196" s="30">
        <v>0</v>
      </c>
      <c r="AH196" s="30">
        <v>1.6491053126472278E-5</v>
      </c>
      <c r="AI196" s="30">
        <v>2.7189071687907281E-4</v>
      </c>
      <c r="AJ196" s="30">
        <v>3.7507357872791961E-4</v>
      </c>
      <c r="AK196" s="30">
        <v>1.88903497137402E-4</v>
      </c>
      <c r="AL196" s="30">
        <v>1.2071364092082201E-2</v>
      </c>
      <c r="AM196" s="30">
        <v>1.2923722937953068E-2</v>
      </c>
      <c r="AN196" s="32">
        <v>0</v>
      </c>
      <c r="AO196" s="32">
        <v>1.179775095002105E-5</v>
      </c>
      <c r="AP196" s="32">
        <v>3.4282755259154613E-7</v>
      </c>
      <c r="AQ196" s="32">
        <v>7.4641524221169363E-7</v>
      </c>
      <c r="AR196" s="32">
        <v>7.6755980146942412E-7</v>
      </c>
      <c r="AS196" s="32">
        <v>8.4200885191706454E-6</v>
      </c>
      <c r="AT196" s="32">
        <v>2.207464206546436E-5</v>
      </c>
      <c r="AU196" s="34">
        <v>0</v>
      </c>
      <c r="AV196" s="34">
        <v>0</v>
      </c>
      <c r="AW196" s="34">
        <v>0.17939961470963908</v>
      </c>
      <c r="AX196" s="34">
        <v>0.17647448414364728</v>
      </c>
      <c r="AY196" s="34">
        <v>0.1588737458676765</v>
      </c>
      <c r="AZ196" s="34">
        <v>0.64026126088712587</v>
      </c>
      <c r="BA196" s="34">
        <v>1.1550091056080887</v>
      </c>
      <c r="BB196" s="6"/>
      <c r="BC196" s="6"/>
      <c r="BD196" t="s">
        <v>719</v>
      </c>
      <c r="BF196" s="5">
        <v>6.647777299999999E-2</v>
      </c>
      <c r="BG196" s="5">
        <f t="shared" ref="BG196:BG259" si="9">BF196-R196</f>
        <v>-1.7031610674233255E-3</v>
      </c>
      <c r="BH196" s="2">
        <v>154.17625000000001</v>
      </c>
    </row>
    <row r="197" spans="1:60" x14ac:dyDescent="0.2">
      <c r="A197" t="str">
        <f t="shared" si="8"/>
        <v>Motorbike, battery electric, &lt;4kW - 2040 - LFP - CH</v>
      </c>
      <c r="B197" t="s">
        <v>655</v>
      </c>
      <c r="D197" s="18">
        <v>2040</v>
      </c>
      <c r="E197" t="s">
        <v>37</v>
      </c>
      <c r="F197" t="s">
        <v>136</v>
      </c>
      <c r="G197" t="s">
        <v>39</v>
      </c>
      <c r="H197" t="s">
        <v>32</v>
      </c>
      <c r="I197" t="s">
        <v>43</v>
      </c>
      <c r="J197" t="s">
        <v>136</v>
      </c>
      <c r="L197" s="24">
        <v>0</v>
      </c>
      <c r="M197" s="24">
        <v>0</v>
      </c>
      <c r="N197" s="24">
        <v>3.836250793656903E-3</v>
      </c>
      <c r="O197" s="24">
        <v>1.2306591692257861E-2</v>
      </c>
      <c r="P197" s="24">
        <v>4.5450618147568718E-3</v>
      </c>
      <c r="Q197" s="24">
        <v>4.6796864547578199E-2</v>
      </c>
      <c r="R197" s="24">
        <v>6.7484768848249832E-2</v>
      </c>
      <c r="S197" s="26">
        <v>0</v>
      </c>
      <c r="T197" s="26">
        <v>0</v>
      </c>
      <c r="U197" s="26">
        <v>4.0604195360992079E-4</v>
      </c>
      <c r="V197" s="26">
        <v>4.722191823356421E-4</v>
      </c>
      <c r="W197" s="26">
        <v>3.141373871646032E-4</v>
      </c>
      <c r="X197" s="26">
        <v>2.8608445790044072E-2</v>
      </c>
      <c r="Y197" s="26">
        <v>2.9800844313154239E-2</v>
      </c>
      <c r="Z197" s="28">
        <v>0</v>
      </c>
      <c r="AA197" s="28">
        <v>3.1271735442865911E-3</v>
      </c>
      <c r="AB197" s="28">
        <v>1.1899481848762461E-4</v>
      </c>
      <c r="AC197" s="28">
        <v>1.5438989133449149E-4</v>
      </c>
      <c r="AD197" s="28">
        <v>1.40116380177625E-4</v>
      </c>
      <c r="AE197" s="28">
        <v>3.377910878294295E-3</v>
      </c>
      <c r="AF197" s="28">
        <v>6.9185855125806269E-3</v>
      </c>
      <c r="AG197" s="30">
        <v>0</v>
      </c>
      <c r="AH197" s="30">
        <v>1.6491053126472278E-5</v>
      </c>
      <c r="AI197" s="30">
        <v>2.7189071687907281E-4</v>
      </c>
      <c r="AJ197" s="30">
        <v>3.7507357872791961E-4</v>
      </c>
      <c r="AK197" s="30">
        <v>1.893029287807135E-4</v>
      </c>
      <c r="AL197" s="30">
        <v>1.165886053324375E-2</v>
      </c>
      <c r="AM197" s="30">
        <v>1.2511618810757928E-2</v>
      </c>
      <c r="AN197" s="32">
        <v>0</v>
      </c>
      <c r="AO197" s="32">
        <v>1.179775095002105E-5</v>
      </c>
      <c r="AP197" s="32">
        <v>3.4282755259154613E-7</v>
      </c>
      <c r="AQ197" s="32">
        <v>7.4641524221169363E-7</v>
      </c>
      <c r="AR197" s="32">
        <v>7.6913696276317151E-7</v>
      </c>
      <c r="AS197" s="32">
        <v>8.1443370266732239E-6</v>
      </c>
      <c r="AT197" s="32">
        <v>2.1800467734260687E-5</v>
      </c>
      <c r="AU197" s="34">
        <v>0</v>
      </c>
      <c r="AV197" s="34">
        <v>0</v>
      </c>
      <c r="AW197" s="34">
        <v>0.17939961470963908</v>
      </c>
      <c r="AX197" s="34">
        <v>0.17647448414364728</v>
      </c>
      <c r="AY197" s="34">
        <v>0.1593618802584211</v>
      </c>
      <c r="AZ197" s="34">
        <v>0.62669710475579521</v>
      </c>
      <c r="BA197" s="34">
        <v>1.1419330838675026</v>
      </c>
      <c r="BB197" s="6"/>
      <c r="BC197" s="6"/>
      <c r="BD197" t="s">
        <v>720</v>
      </c>
      <c r="BF197" s="5">
        <v>6.5515749999999998E-2</v>
      </c>
      <c r="BG197" s="5">
        <f t="shared" si="9"/>
        <v>-1.9690188482498344E-3</v>
      </c>
      <c r="BH197" s="2">
        <v>147.53152</v>
      </c>
    </row>
    <row r="198" spans="1:60" x14ac:dyDescent="0.2">
      <c r="A198" t="str">
        <f t="shared" si="8"/>
        <v>Motorbike, battery electric, &lt;4kW - 2050 - LFP - CH</v>
      </c>
      <c r="B198" t="s">
        <v>655</v>
      </c>
      <c r="D198" s="18">
        <v>2050</v>
      </c>
      <c r="E198" t="s">
        <v>37</v>
      </c>
      <c r="F198" t="s">
        <v>136</v>
      </c>
      <c r="G198" t="s">
        <v>39</v>
      </c>
      <c r="H198" t="s">
        <v>32</v>
      </c>
      <c r="I198" t="s">
        <v>43</v>
      </c>
      <c r="J198" t="s">
        <v>136</v>
      </c>
      <c r="L198" s="24">
        <v>0</v>
      </c>
      <c r="M198" s="24">
        <v>0</v>
      </c>
      <c r="N198" s="24">
        <v>3.836250793656903E-3</v>
      </c>
      <c r="O198" s="24">
        <v>1.2306591692257861E-2</v>
      </c>
      <c r="P198" s="24">
        <v>4.5402365651397514E-3</v>
      </c>
      <c r="Q198" s="24">
        <v>6.9008180263948865E-2</v>
      </c>
      <c r="R198" s="24">
        <v>8.969125931500338E-2</v>
      </c>
      <c r="S198" s="26">
        <v>0</v>
      </c>
      <c r="T198" s="26">
        <v>0</v>
      </c>
      <c r="U198" s="26">
        <v>4.0604195360992079E-4</v>
      </c>
      <c r="V198" s="26">
        <v>4.722191823356421E-4</v>
      </c>
      <c r="W198" s="26">
        <v>3.1383249102629628E-4</v>
      </c>
      <c r="X198" s="26">
        <v>4.2336184318943468E-2</v>
      </c>
      <c r="Y198" s="26">
        <v>4.3528277945915329E-2</v>
      </c>
      <c r="Z198" s="28">
        <v>0</v>
      </c>
      <c r="AA198" s="28">
        <v>3.1271735442865911E-3</v>
      </c>
      <c r="AB198" s="28">
        <v>1.1899481848762461E-4</v>
      </c>
      <c r="AC198" s="28">
        <v>1.5438989133449149E-4</v>
      </c>
      <c r="AD198" s="28">
        <v>1.3997778480881839E-4</v>
      </c>
      <c r="AE198" s="28">
        <v>5.4447083172171054E-3</v>
      </c>
      <c r="AF198" s="28">
        <v>8.9852443561346321E-3</v>
      </c>
      <c r="AG198" s="30">
        <v>0</v>
      </c>
      <c r="AH198" s="30">
        <v>1.6491053126472278E-5</v>
      </c>
      <c r="AI198" s="30">
        <v>2.7189071687907281E-4</v>
      </c>
      <c r="AJ198" s="30">
        <v>3.7507357872791961E-4</v>
      </c>
      <c r="AK198" s="30">
        <v>1.8917358126281831E-4</v>
      </c>
      <c r="AL198" s="30">
        <v>1.8299791000723119E-2</v>
      </c>
      <c r="AM198" s="30">
        <v>1.9152419930719401E-2</v>
      </c>
      <c r="AN198" s="32">
        <v>0</v>
      </c>
      <c r="AO198" s="32">
        <v>1.179775095002105E-5</v>
      </c>
      <c r="AP198" s="32">
        <v>3.4282755259154613E-7</v>
      </c>
      <c r="AQ198" s="32">
        <v>7.4641524221169363E-7</v>
      </c>
      <c r="AR198" s="32">
        <v>7.6862623232385205E-7</v>
      </c>
      <c r="AS198" s="32">
        <v>1.1430833375483671E-5</v>
      </c>
      <c r="AT198" s="32">
        <v>2.5086453352631813E-5</v>
      </c>
      <c r="AU198" s="34">
        <v>0</v>
      </c>
      <c r="AV198" s="34">
        <v>0</v>
      </c>
      <c r="AW198" s="34">
        <v>0.17939961470963908</v>
      </c>
      <c r="AX198" s="34">
        <v>0.17647448414364728</v>
      </c>
      <c r="AY198" s="34">
        <v>0.15920380822557306</v>
      </c>
      <c r="AZ198" s="34">
        <v>0.91912155040929444</v>
      </c>
      <c r="BA198" s="34">
        <v>1.4341994574881538</v>
      </c>
      <c r="BB198" s="6"/>
      <c r="BC198" s="6"/>
      <c r="BD198" t="s">
        <v>721</v>
      </c>
      <c r="BF198" s="5">
        <v>8.0933736000000006E-2</v>
      </c>
      <c r="BG198" s="5">
        <f t="shared" si="9"/>
        <v>-8.7575233150033738E-3</v>
      </c>
      <c r="BH198" s="2">
        <v>212.02798000000001</v>
      </c>
    </row>
    <row r="199" spans="1:60" x14ac:dyDescent="0.2">
      <c r="A199" t="str">
        <f t="shared" si="8"/>
        <v>Motorbike, battery electric, 4-11kW - 2020 - LFP - CH</v>
      </c>
      <c r="B199" t="s">
        <v>656</v>
      </c>
      <c r="D199" s="18">
        <v>2020</v>
      </c>
      <c r="E199" t="s">
        <v>37</v>
      </c>
      <c r="F199" t="s">
        <v>136</v>
      </c>
      <c r="G199" t="s">
        <v>39</v>
      </c>
      <c r="H199" t="s">
        <v>32</v>
      </c>
      <c r="I199" t="s">
        <v>43</v>
      </c>
      <c r="J199" t="s">
        <v>136</v>
      </c>
      <c r="L199" s="24">
        <v>0</v>
      </c>
      <c r="M199" s="24">
        <v>0</v>
      </c>
      <c r="N199" s="24">
        <v>5.7702284664922004E-3</v>
      </c>
      <c r="O199" s="24">
        <v>1.2306591692257861E-2</v>
      </c>
      <c r="P199" s="24">
        <v>4.6478661566374943E-3</v>
      </c>
      <c r="Q199" s="24">
        <v>6.0166914792213623E-2</v>
      </c>
      <c r="R199" s="24">
        <v>8.2891601107601187E-2</v>
      </c>
      <c r="S199" s="26">
        <v>0</v>
      </c>
      <c r="T199" s="26">
        <v>0</v>
      </c>
      <c r="U199" s="26">
        <v>6.1074078972731883E-4</v>
      </c>
      <c r="V199" s="26">
        <v>4.722191823356421E-4</v>
      </c>
      <c r="W199" s="26">
        <v>3.2063335096497683E-4</v>
      </c>
      <c r="X199" s="26">
        <v>3.9490957233663602E-2</v>
      </c>
      <c r="Y199" s="26">
        <v>4.0894550556691542E-2</v>
      </c>
      <c r="Z199" s="28">
        <v>0</v>
      </c>
      <c r="AA199" s="28">
        <v>3.1271735442865911E-3</v>
      </c>
      <c r="AB199" s="28">
        <v>1.789839418574189E-4</v>
      </c>
      <c r="AC199" s="28">
        <v>1.5438989133449149E-4</v>
      </c>
      <c r="AD199" s="28">
        <v>1.430692234102964E-4</v>
      </c>
      <c r="AE199" s="28">
        <v>4.4948481190346338E-3</v>
      </c>
      <c r="AF199" s="28">
        <v>8.0984647199234313E-3</v>
      </c>
      <c r="AG199" s="30">
        <v>0</v>
      </c>
      <c r="AH199" s="30">
        <v>1.6491053126472278E-5</v>
      </c>
      <c r="AI199" s="30">
        <v>4.0895959067761362E-4</v>
      </c>
      <c r="AJ199" s="30">
        <v>3.7507357872791961E-4</v>
      </c>
      <c r="AK199" s="30">
        <v>1.9205874195230989E-4</v>
      </c>
      <c r="AL199" s="30">
        <v>1.5668035078712901E-2</v>
      </c>
      <c r="AM199" s="30">
        <v>1.6660618043197215E-2</v>
      </c>
      <c r="AN199" s="32">
        <v>0</v>
      </c>
      <c r="AO199" s="32">
        <v>1.179775095002105E-5</v>
      </c>
      <c r="AP199" s="32">
        <v>5.1565797166662308E-7</v>
      </c>
      <c r="AQ199" s="32">
        <v>7.4641524221169363E-7</v>
      </c>
      <c r="AR199" s="32">
        <v>7.8001832867351342E-7</v>
      </c>
      <c r="AS199" s="32">
        <v>1.0964793461513329E-5</v>
      </c>
      <c r="AT199" s="32">
        <v>2.4804635954086208E-5</v>
      </c>
      <c r="AU199" s="34">
        <v>0</v>
      </c>
      <c r="AV199" s="34">
        <v>0</v>
      </c>
      <c r="AW199" s="34">
        <v>0.2698407427863993</v>
      </c>
      <c r="AX199" s="34">
        <v>0.17647448414364728</v>
      </c>
      <c r="AY199" s="34">
        <v>0.16272968350097558</v>
      </c>
      <c r="AZ199" s="34">
        <v>0.81809342477055513</v>
      </c>
      <c r="BA199" s="34">
        <v>1.4271383352015774</v>
      </c>
      <c r="BB199" s="6"/>
      <c r="BC199" s="6"/>
      <c r="BD199" t="s">
        <v>722</v>
      </c>
      <c r="BF199" s="5">
        <v>8.0712766999999991E-2</v>
      </c>
      <c r="BG199" s="5">
        <f t="shared" si="9"/>
        <v>-2.1788341076011963E-3</v>
      </c>
      <c r="BH199" s="2">
        <v>192.73079000000001</v>
      </c>
    </row>
    <row r="200" spans="1:60" x14ac:dyDescent="0.2">
      <c r="A200" t="str">
        <f t="shared" si="8"/>
        <v>Motorbike, battery electric, 4-11kW - 2030 - LFP - CH</v>
      </c>
      <c r="B200" t="s">
        <v>656</v>
      </c>
      <c r="D200" s="18">
        <v>2030</v>
      </c>
      <c r="E200" t="s">
        <v>37</v>
      </c>
      <c r="F200" t="s">
        <v>136</v>
      </c>
      <c r="G200" t="s">
        <v>39</v>
      </c>
      <c r="H200" t="s">
        <v>32</v>
      </c>
      <c r="I200" t="s">
        <v>43</v>
      </c>
      <c r="J200" t="s">
        <v>136</v>
      </c>
      <c r="L200" s="24">
        <v>0</v>
      </c>
      <c r="M200" s="24">
        <v>0</v>
      </c>
      <c r="N200" s="24">
        <v>5.7702284664922004E-3</v>
      </c>
      <c r="O200" s="24">
        <v>1.2306591692257861E-2</v>
      </c>
      <c r="P200" s="24">
        <v>4.7138885534054042E-3</v>
      </c>
      <c r="Q200" s="24">
        <v>6.8592959457134478E-2</v>
      </c>
      <c r="R200" s="24">
        <v>9.1383668169289944E-2</v>
      </c>
      <c r="S200" s="26">
        <v>0</v>
      </c>
      <c r="T200" s="26">
        <v>0</v>
      </c>
      <c r="U200" s="26">
        <v>6.1074078972731883E-4</v>
      </c>
      <c r="V200" s="26">
        <v>4.722191823356421E-4</v>
      </c>
      <c r="W200" s="26">
        <v>3.2480515043932452E-4</v>
      </c>
      <c r="X200" s="26">
        <v>4.3762123079620782E-2</v>
      </c>
      <c r="Y200" s="26">
        <v>4.5169888202123067E-2</v>
      </c>
      <c r="Z200" s="28">
        <v>0</v>
      </c>
      <c r="AA200" s="28">
        <v>3.1271735442865911E-3</v>
      </c>
      <c r="AB200" s="28">
        <v>1.789839418574189E-4</v>
      </c>
      <c r="AC200" s="28">
        <v>1.5438989133449149E-4</v>
      </c>
      <c r="AD200" s="28">
        <v>1.4496558093697801E-4</v>
      </c>
      <c r="AE200" s="28">
        <v>5.206504781361798E-3</v>
      </c>
      <c r="AF200" s="28">
        <v>8.8120177397772777E-3</v>
      </c>
      <c r="AG200" s="30">
        <v>0</v>
      </c>
      <c r="AH200" s="30">
        <v>1.6491053126472278E-5</v>
      </c>
      <c r="AI200" s="30">
        <v>4.0895959067761362E-4</v>
      </c>
      <c r="AJ200" s="30">
        <v>3.7507357872791961E-4</v>
      </c>
      <c r="AK200" s="30">
        <v>1.938285639978091E-4</v>
      </c>
      <c r="AL200" s="30">
        <v>1.7929034225557239E-2</v>
      </c>
      <c r="AM200" s="30">
        <v>1.8923387012087053E-2</v>
      </c>
      <c r="AN200" s="32">
        <v>0</v>
      </c>
      <c r="AO200" s="32">
        <v>1.179775095002105E-5</v>
      </c>
      <c r="AP200" s="32">
        <v>5.1565797166662308E-7</v>
      </c>
      <c r="AQ200" s="32">
        <v>7.4641524221169363E-7</v>
      </c>
      <c r="AR200" s="32">
        <v>7.8700649516889011E-7</v>
      </c>
      <c r="AS200" s="32">
        <v>1.2036811311451539E-5</v>
      </c>
      <c r="AT200" s="32">
        <v>2.5883641970519796E-5</v>
      </c>
      <c r="AU200" s="34">
        <v>0</v>
      </c>
      <c r="AV200" s="34">
        <v>0</v>
      </c>
      <c r="AW200" s="34">
        <v>0.2698407427863993</v>
      </c>
      <c r="AX200" s="34">
        <v>0.17647448414364728</v>
      </c>
      <c r="AY200" s="34">
        <v>0.16489253419238295</v>
      </c>
      <c r="AZ200" s="34">
        <v>0.92459491856329112</v>
      </c>
      <c r="BA200" s="34">
        <v>1.5358026796857205</v>
      </c>
      <c r="BB200" s="6"/>
      <c r="BC200" s="6"/>
      <c r="BD200" t="s">
        <v>723</v>
      </c>
      <c r="BF200" s="5">
        <v>8.6189918000000004E-2</v>
      </c>
      <c r="BG200" s="5">
        <f t="shared" si="9"/>
        <v>-5.1937501692899402E-3</v>
      </c>
      <c r="BH200" s="2">
        <v>212.22203999999999</v>
      </c>
    </row>
    <row r="201" spans="1:60" x14ac:dyDescent="0.2">
      <c r="A201" t="str">
        <f t="shared" si="8"/>
        <v>Motorbike, battery electric, 4-11kW - 2040 - LFP - CH</v>
      </c>
      <c r="B201" t="s">
        <v>656</v>
      </c>
      <c r="D201" s="18">
        <v>2040</v>
      </c>
      <c r="E201" t="s">
        <v>37</v>
      </c>
      <c r="F201" t="s">
        <v>136</v>
      </c>
      <c r="G201" t="s">
        <v>39</v>
      </c>
      <c r="H201" t="s">
        <v>32</v>
      </c>
      <c r="I201" t="s">
        <v>43</v>
      </c>
      <c r="J201" t="s">
        <v>136</v>
      </c>
      <c r="L201" s="24">
        <v>0</v>
      </c>
      <c r="M201" s="24">
        <v>0</v>
      </c>
      <c r="N201" s="24">
        <v>5.7702284664922004E-3</v>
      </c>
      <c r="O201" s="24">
        <v>1.2306591692257861E-2</v>
      </c>
      <c r="P201" s="24">
        <v>4.7375200925955426E-3</v>
      </c>
      <c r="Q201" s="24">
        <v>6.687707536082832E-2</v>
      </c>
      <c r="R201" s="24">
        <v>8.9691415612173919E-2</v>
      </c>
      <c r="S201" s="26">
        <v>0</v>
      </c>
      <c r="T201" s="26">
        <v>0</v>
      </c>
      <c r="U201" s="26">
        <v>6.1074078972731883E-4</v>
      </c>
      <c r="V201" s="26">
        <v>4.722191823356421E-4</v>
      </c>
      <c r="W201" s="26">
        <v>3.2629837164300189E-4</v>
      </c>
      <c r="X201" s="26">
        <v>4.1684236209189512E-2</v>
      </c>
      <c r="Y201" s="26">
        <v>4.3093494552895475E-2</v>
      </c>
      <c r="Z201" s="28">
        <v>0</v>
      </c>
      <c r="AA201" s="28">
        <v>3.1271735442865911E-3</v>
      </c>
      <c r="AB201" s="28">
        <v>1.789839418574189E-4</v>
      </c>
      <c r="AC201" s="28">
        <v>1.5438989133449149E-4</v>
      </c>
      <c r="AD201" s="28">
        <v>1.45644348285698E-4</v>
      </c>
      <c r="AE201" s="28">
        <v>4.9649931298987376E-3</v>
      </c>
      <c r="AF201" s="28">
        <v>8.5711848556629371E-3</v>
      </c>
      <c r="AG201" s="30">
        <v>0</v>
      </c>
      <c r="AH201" s="30">
        <v>1.6491053126472278E-5</v>
      </c>
      <c r="AI201" s="30">
        <v>4.0895959067761362E-4</v>
      </c>
      <c r="AJ201" s="30">
        <v>3.7507357872791961E-4</v>
      </c>
      <c r="AK201" s="30">
        <v>1.944620402282285E-4</v>
      </c>
      <c r="AL201" s="30">
        <v>1.7153130356584612E-2</v>
      </c>
      <c r="AM201" s="30">
        <v>1.8148116619344845E-2</v>
      </c>
      <c r="AN201" s="32">
        <v>0</v>
      </c>
      <c r="AO201" s="32">
        <v>1.179775095002105E-5</v>
      </c>
      <c r="AP201" s="32">
        <v>5.1565797166662308E-7</v>
      </c>
      <c r="AQ201" s="32">
        <v>7.4641524221169363E-7</v>
      </c>
      <c r="AR201" s="32">
        <v>7.8950778470830546E-7</v>
      </c>
      <c r="AS201" s="32">
        <v>1.156228107659039E-5</v>
      </c>
      <c r="AT201" s="32">
        <v>2.5411613025198063E-5</v>
      </c>
      <c r="AU201" s="34">
        <v>0</v>
      </c>
      <c r="AV201" s="34">
        <v>0</v>
      </c>
      <c r="AW201" s="34">
        <v>0.2698407427863993</v>
      </c>
      <c r="AX201" s="34">
        <v>0.17647448414364728</v>
      </c>
      <c r="AY201" s="34">
        <v>0.1656666880156088</v>
      </c>
      <c r="AZ201" s="34">
        <v>0.89655709371977155</v>
      </c>
      <c r="BA201" s="34">
        <v>1.5085390086654269</v>
      </c>
      <c r="BB201" s="6"/>
      <c r="BC201" s="6"/>
      <c r="BD201" t="s">
        <v>724</v>
      </c>
      <c r="BF201" s="5">
        <v>8.4405950999999993E-2</v>
      </c>
      <c r="BG201" s="5">
        <f t="shared" si="9"/>
        <v>-5.2854646121739263E-3</v>
      </c>
      <c r="BH201" s="2">
        <v>201.29917</v>
      </c>
    </row>
    <row r="202" spans="1:60" x14ac:dyDescent="0.2">
      <c r="A202" t="str">
        <f t="shared" si="8"/>
        <v>Motorbike, battery electric, 4-11kW - 2050 - LFP - CH</v>
      </c>
      <c r="B202" t="s">
        <v>656</v>
      </c>
      <c r="D202" s="18">
        <v>2050</v>
      </c>
      <c r="E202" t="s">
        <v>37</v>
      </c>
      <c r="F202" t="s">
        <v>136</v>
      </c>
      <c r="G202" t="s">
        <v>39</v>
      </c>
      <c r="H202" t="s">
        <v>32</v>
      </c>
      <c r="I202" t="s">
        <v>43</v>
      </c>
      <c r="J202" t="s">
        <v>136</v>
      </c>
      <c r="L202" s="24">
        <v>0</v>
      </c>
      <c r="M202" s="24">
        <v>0</v>
      </c>
      <c r="N202" s="24">
        <v>5.7702284664922004E-3</v>
      </c>
      <c r="O202" s="24">
        <v>7.9912933066609501E-3</v>
      </c>
      <c r="P202" s="24">
        <v>4.7364943027673728E-3</v>
      </c>
      <c r="Q202" s="24">
        <v>0.1017170859595791</v>
      </c>
      <c r="R202" s="24">
        <v>0.12021510203549962</v>
      </c>
      <c r="S202" s="26">
        <v>0</v>
      </c>
      <c r="T202" s="26">
        <v>0</v>
      </c>
      <c r="U202" s="26">
        <v>6.1074078972731883E-4</v>
      </c>
      <c r="V202" s="26">
        <v>3.0663583268548191E-4</v>
      </c>
      <c r="W202" s="26">
        <v>3.2623355440407321E-4</v>
      </c>
      <c r="X202" s="26">
        <v>6.3629859579012252E-2</v>
      </c>
      <c r="Y202" s="26">
        <v>6.4873469755829125E-2</v>
      </c>
      <c r="Z202" s="28">
        <v>0</v>
      </c>
      <c r="AA202" s="28">
        <v>3.1271735442865911E-3</v>
      </c>
      <c r="AB202" s="28">
        <v>1.789839418574189E-4</v>
      </c>
      <c r="AC202" s="28">
        <v>1.002531761912283E-4</v>
      </c>
      <c r="AD202" s="28">
        <v>1.456148845831262E-4</v>
      </c>
      <c r="AE202" s="28">
        <v>8.2411244600989631E-3</v>
      </c>
      <c r="AF202" s="28">
        <v>1.1793150007017328E-2</v>
      </c>
      <c r="AG202" s="30">
        <v>0</v>
      </c>
      <c r="AH202" s="30">
        <v>1.6491053126472278E-5</v>
      </c>
      <c r="AI202" s="30">
        <v>4.0895959067761362E-4</v>
      </c>
      <c r="AJ202" s="30">
        <v>2.4355427190124649E-4</v>
      </c>
      <c r="AK202" s="30">
        <v>1.9443454250713961E-4</v>
      </c>
      <c r="AL202" s="30">
        <v>2.767092933666445E-2</v>
      </c>
      <c r="AM202" s="30">
        <v>2.8534368794876922E-2</v>
      </c>
      <c r="AN202" s="32">
        <v>0</v>
      </c>
      <c r="AO202" s="32">
        <v>1.179775095002105E-5</v>
      </c>
      <c r="AP202" s="32">
        <v>5.1565797166662308E-7</v>
      </c>
      <c r="AQ202" s="32">
        <v>4.8468522221538551E-7</v>
      </c>
      <c r="AR202" s="32">
        <v>7.8939920958138722E-7</v>
      </c>
      <c r="AS202" s="32">
        <v>1.6816639145392912E-5</v>
      </c>
      <c r="AT202" s="32">
        <v>3.0404132498877358E-5</v>
      </c>
      <c r="AU202" s="34">
        <v>0</v>
      </c>
      <c r="AV202" s="34">
        <v>0</v>
      </c>
      <c r="AW202" s="34">
        <v>0.2698407427863993</v>
      </c>
      <c r="AX202" s="34">
        <v>0.1145938208724982</v>
      </c>
      <c r="AY202" s="34">
        <v>0.16563308380934377</v>
      </c>
      <c r="AZ202" s="34">
        <v>1.3576554164716295</v>
      </c>
      <c r="BA202" s="34">
        <v>1.9077230639398708</v>
      </c>
      <c r="BB202" s="6"/>
      <c r="BC202" s="6"/>
      <c r="BD202" t="s">
        <v>725</v>
      </c>
      <c r="BF202" s="5">
        <v>0.10549116</v>
      </c>
      <c r="BG202" s="5">
        <f t="shared" si="9"/>
        <v>-1.4723942035499621E-2</v>
      </c>
      <c r="BH202" s="2">
        <v>301.55876000000001</v>
      </c>
    </row>
    <row r="203" spans="1:60" x14ac:dyDescent="0.2">
      <c r="A203" t="str">
        <f t="shared" si="8"/>
        <v>Motorbike, battery electric, 11-35kW - 2020 - LFP - CH</v>
      </c>
      <c r="B203" t="s">
        <v>657</v>
      </c>
      <c r="D203" s="18">
        <v>2020</v>
      </c>
      <c r="E203" t="s">
        <v>37</v>
      </c>
      <c r="F203" t="s">
        <v>136</v>
      </c>
      <c r="G203" t="s">
        <v>39</v>
      </c>
      <c r="H203" t="s">
        <v>32</v>
      </c>
      <c r="I203" t="s">
        <v>43</v>
      </c>
      <c r="J203" t="s">
        <v>136</v>
      </c>
      <c r="L203" s="24">
        <v>0</v>
      </c>
      <c r="M203" s="24">
        <v>0</v>
      </c>
      <c r="N203" s="24">
        <v>7.8106002476236447E-3</v>
      </c>
      <c r="O203" s="24">
        <v>1.2306591692257861E-2</v>
      </c>
      <c r="P203" s="24">
        <v>5.0774325154383246E-3</v>
      </c>
      <c r="Q203" s="24">
        <v>7.8967146486972686E-2</v>
      </c>
      <c r="R203" s="24">
        <v>0.10416177094229251</v>
      </c>
      <c r="S203" s="26">
        <v>0</v>
      </c>
      <c r="T203" s="26">
        <v>0</v>
      </c>
      <c r="U203" s="26">
        <v>8.2670074351110705E-4</v>
      </c>
      <c r="V203" s="26">
        <v>4.722191823356421E-4</v>
      </c>
      <c r="W203" s="26">
        <v>3.4777663563157938E-4</v>
      </c>
      <c r="X203" s="26">
        <v>5.2084956482867491E-2</v>
      </c>
      <c r="Y203" s="26">
        <v>5.3731653044345816E-2</v>
      </c>
      <c r="Z203" s="28">
        <v>0</v>
      </c>
      <c r="AA203" s="28">
        <v>3.1271735442865911E-3</v>
      </c>
      <c r="AB203" s="28">
        <v>2.422732529067532E-4</v>
      </c>
      <c r="AC203" s="28">
        <v>1.5438989133449149E-4</v>
      </c>
      <c r="AD203" s="28">
        <v>1.554076333681293E-4</v>
      </c>
      <c r="AE203" s="28">
        <v>6.542119057818362E-3</v>
      </c>
      <c r="AF203" s="28">
        <v>1.0221363379714327E-2</v>
      </c>
      <c r="AG203" s="30">
        <v>0</v>
      </c>
      <c r="AH203" s="30">
        <v>1.6491053126472278E-5</v>
      </c>
      <c r="AI203" s="30">
        <v>5.5356904822114297E-4</v>
      </c>
      <c r="AJ203" s="30">
        <v>3.7507357872791961E-4</v>
      </c>
      <c r="AK203" s="30">
        <v>2.0357386483527791E-4</v>
      </c>
      <c r="AL203" s="30">
        <v>2.2010172648530679E-2</v>
      </c>
      <c r="AM203" s="30">
        <v>2.3158880193441492E-2</v>
      </c>
      <c r="AN203" s="32">
        <v>0</v>
      </c>
      <c r="AO203" s="32">
        <v>1.179775095002105E-5</v>
      </c>
      <c r="AP203" s="32">
        <v>6.9799632797501057E-7</v>
      </c>
      <c r="AQ203" s="32">
        <v>7.4641524221169363E-7</v>
      </c>
      <c r="AR203" s="32">
        <v>8.2548594849751754E-7</v>
      </c>
      <c r="AS203" s="32">
        <v>1.384164295195637E-5</v>
      </c>
      <c r="AT203" s="32">
        <v>2.7909291420661643E-5</v>
      </c>
      <c r="AU203" s="34">
        <v>0</v>
      </c>
      <c r="AV203" s="34">
        <v>0</v>
      </c>
      <c r="AW203" s="34">
        <v>0.36525731774146686</v>
      </c>
      <c r="AX203" s="34">
        <v>0.17647448414364728</v>
      </c>
      <c r="AY203" s="34">
        <v>0.17680199746745828</v>
      </c>
      <c r="AZ203" s="34">
        <v>1.0710949563184369</v>
      </c>
      <c r="BA203" s="34">
        <v>1.7896287556710093</v>
      </c>
      <c r="BB203" s="6"/>
      <c r="BC203" s="6"/>
      <c r="BD203" t="s">
        <v>726</v>
      </c>
      <c r="BF203" s="5">
        <v>9.6879242000000004E-2</v>
      </c>
      <c r="BG203" s="5">
        <f t="shared" si="9"/>
        <v>-7.2825289422925044E-3</v>
      </c>
      <c r="BH203" s="2">
        <v>268.19369999999998</v>
      </c>
    </row>
    <row r="204" spans="1:60" x14ac:dyDescent="0.2">
      <c r="A204" t="str">
        <f t="shared" si="8"/>
        <v>Motorbike, battery electric, 11-35kW - 2030 - LFP - CH</v>
      </c>
      <c r="B204" t="s">
        <v>657</v>
      </c>
      <c r="D204" s="18">
        <v>2030</v>
      </c>
      <c r="E204" t="s">
        <v>37</v>
      </c>
      <c r="F204" t="s">
        <v>136</v>
      </c>
      <c r="G204" t="s">
        <v>39</v>
      </c>
      <c r="H204" t="s">
        <v>32</v>
      </c>
      <c r="I204" t="s">
        <v>43</v>
      </c>
      <c r="J204" t="s">
        <v>136</v>
      </c>
      <c r="L204" s="24">
        <v>0</v>
      </c>
      <c r="M204" s="24">
        <v>0</v>
      </c>
      <c r="N204" s="24">
        <v>7.8106002476236447E-3</v>
      </c>
      <c r="O204" s="24">
        <v>1.2306591692257861E-2</v>
      </c>
      <c r="P204" s="24">
        <v>5.2182600050499706E-3</v>
      </c>
      <c r="Q204" s="24">
        <v>8.6347492782024776E-2</v>
      </c>
      <c r="R204" s="24">
        <v>0.11168294472695625</v>
      </c>
      <c r="S204" s="26">
        <v>0</v>
      </c>
      <c r="T204" s="26">
        <v>0</v>
      </c>
      <c r="U204" s="26">
        <v>8.2670074351110705E-4</v>
      </c>
      <c r="V204" s="26">
        <v>4.722191823356421E-4</v>
      </c>
      <c r="W204" s="26">
        <v>3.5667519242285801E-4</v>
      </c>
      <c r="X204" s="26">
        <v>5.5866949265579051E-2</v>
      </c>
      <c r="Y204" s="26">
        <v>5.7522544383848656E-2</v>
      </c>
      <c r="Z204" s="28">
        <v>0</v>
      </c>
      <c r="AA204" s="28">
        <v>3.1271735442865911E-3</v>
      </c>
      <c r="AB204" s="28">
        <v>2.422732529067532E-4</v>
      </c>
      <c r="AC204" s="28">
        <v>1.5438989133449149E-4</v>
      </c>
      <c r="AD204" s="28">
        <v>1.5945261329861451E-4</v>
      </c>
      <c r="AE204" s="28">
        <v>7.1709361070833276E-3</v>
      </c>
      <c r="AF204" s="28">
        <v>1.0854225408909778E-2</v>
      </c>
      <c r="AG204" s="30">
        <v>0</v>
      </c>
      <c r="AH204" s="30">
        <v>1.6491053126472278E-5</v>
      </c>
      <c r="AI204" s="30">
        <v>5.5356904822114297E-4</v>
      </c>
      <c r="AJ204" s="30">
        <v>3.7507357872791961E-4</v>
      </c>
      <c r="AK204" s="30">
        <v>2.073489412930921E-4</v>
      </c>
      <c r="AL204" s="30">
        <v>2.398899846098413E-2</v>
      </c>
      <c r="AM204" s="30">
        <v>2.5141481082352757E-2</v>
      </c>
      <c r="AN204" s="32">
        <v>0</v>
      </c>
      <c r="AO204" s="32">
        <v>1.179775095002105E-5</v>
      </c>
      <c r="AP204" s="32">
        <v>6.9799632797501057E-7</v>
      </c>
      <c r="AQ204" s="32">
        <v>7.4641524221169363E-7</v>
      </c>
      <c r="AR204" s="32">
        <v>8.4039188940105098E-7</v>
      </c>
      <c r="AS204" s="32">
        <v>1.481061050017246E-5</v>
      </c>
      <c r="AT204" s="32">
        <v>2.8893164909781265E-5</v>
      </c>
      <c r="AU204" s="34">
        <v>0</v>
      </c>
      <c r="AV204" s="34">
        <v>0</v>
      </c>
      <c r="AW204" s="34">
        <v>0.36525731774146686</v>
      </c>
      <c r="AX204" s="34">
        <v>0.17647448414364728</v>
      </c>
      <c r="AY204" s="34">
        <v>0.18141541425004556</v>
      </c>
      <c r="AZ204" s="34">
        <v>1.1650316173815727</v>
      </c>
      <c r="BA204" s="34">
        <v>1.8881788335167324</v>
      </c>
      <c r="BB204" s="6"/>
      <c r="BC204" s="6"/>
      <c r="BD204" t="s">
        <v>727</v>
      </c>
      <c r="BF204" s="5">
        <v>0.10189909</v>
      </c>
      <c r="BG204" s="5">
        <f t="shared" si="9"/>
        <v>-9.7838547269562537E-3</v>
      </c>
      <c r="BH204" s="2">
        <v>285.96847000000002</v>
      </c>
    </row>
    <row r="205" spans="1:60" x14ac:dyDescent="0.2">
      <c r="A205" t="str">
        <f t="shared" si="8"/>
        <v>Motorbike, battery electric, 11-35kW - 2040 - LFP - CH</v>
      </c>
      <c r="B205" t="s">
        <v>657</v>
      </c>
      <c r="D205" s="18">
        <v>2040</v>
      </c>
      <c r="E205" t="s">
        <v>37</v>
      </c>
      <c r="F205" t="s">
        <v>136</v>
      </c>
      <c r="G205" t="s">
        <v>39</v>
      </c>
      <c r="H205" t="s">
        <v>32</v>
      </c>
      <c r="I205" t="s">
        <v>43</v>
      </c>
      <c r="J205" t="s">
        <v>136</v>
      </c>
      <c r="L205" s="24">
        <v>0</v>
      </c>
      <c r="M205" s="24">
        <v>0</v>
      </c>
      <c r="N205" s="24">
        <v>7.8106002476236447E-3</v>
      </c>
      <c r="O205" s="24">
        <v>1.2306591692257861E-2</v>
      </c>
      <c r="P205" s="24">
        <v>5.2818986745286093E-3</v>
      </c>
      <c r="Q205" s="24">
        <v>8.1642883107063025E-2</v>
      </c>
      <c r="R205" s="24">
        <v>0.10704197372147314</v>
      </c>
      <c r="S205" s="26">
        <v>0</v>
      </c>
      <c r="T205" s="26">
        <v>0</v>
      </c>
      <c r="U205" s="26">
        <v>8.2670074351110705E-4</v>
      </c>
      <c r="V205" s="26">
        <v>4.722191823356421E-4</v>
      </c>
      <c r="W205" s="26">
        <v>3.6069636979411338E-4</v>
      </c>
      <c r="X205" s="26">
        <v>5.1912344210703731E-2</v>
      </c>
      <c r="Y205" s="26">
        <v>5.3571960506344593E-2</v>
      </c>
      <c r="Z205" s="28">
        <v>0</v>
      </c>
      <c r="AA205" s="28">
        <v>3.1271735442865911E-3</v>
      </c>
      <c r="AB205" s="28">
        <v>2.422732529067532E-4</v>
      </c>
      <c r="AC205" s="28">
        <v>1.5438989133449149E-4</v>
      </c>
      <c r="AD205" s="28">
        <v>1.612805031626867E-4</v>
      </c>
      <c r="AE205" s="28">
        <v>6.6499799372623288E-3</v>
      </c>
      <c r="AF205" s="28">
        <v>1.0335097128952852E-2</v>
      </c>
      <c r="AG205" s="30">
        <v>0</v>
      </c>
      <c r="AH205" s="30">
        <v>1.6491053126472278E-5</v>
      </c>
      <c r="AI205" s="30">
        <v>5.5356904822114297E-4</v>
      </c>
      <c r="AJ205" s="30">
        <v>3.7507357872791961E-4</v>
      </c>
      <c r="AK205" s="30">
        <v>2.0905486421778481E-4</v>
      </c>
      <c r="AL205" s="30">
        <v>2.2306111618354049E-2</v>
      </c>
      <c r="AM205" s="30">
        <v>2.3460300162647368E-2</v>
      </c>
      <c r="AN205" s="32">
        <v>0</v>
      </c>
      <c r="AO205" s="32">
        <v>1.179775095002105E-5</v>
      </c>
      <c r="AP205" s="32">
        <v>6.9799632797501057E-7</v>
      </c>
      <c r="AQ205" s="32">
        <v>7.4641524221169363E-7</v>
      </c>
      <c r="AR205" s="32">
        <v>8.4712774934603729E-7</v>
      </c>
      <c r="AS205" s="32">
        <v>1.3897460589459601E-5</v>
      </c>
      <c r="AT205" s="32">
        <v>2.7986750859013392E-5</v>
      </c>
      <c r="AU205" s="34">
        <v>0</v>
      </c>
      <c r="AV205" s="34">
        <v>0</v>
      </c>
      <c r="AW205" s="34">
        <v>0.36525731774146686</v>
      </c>
      <c r="AX205" s="34">
        <v>0.17647448414364728</v>
      </c>
      <c r="AY205" s="34">
        <v>0.18350017558892837</v>
      </c>
      <c r="AZ205" s="34">
        <v>1.0976927569590764</v>
      </c>
      <c r="BA205" s="34">
        <v>1.822924734433119</v>
      </c>
      <c r="BB205" s="6"/>
      <c r="BC205" s="6"/>
      <c r="BD205" t="s">
        <v>728</v>
      </c>
      <c r="BF205" s="5">
        <v>9.8140874000000003E-2</v>
      </c>
      <c r="BG205" s="5">
        <f t="shared" si="9"/>
        <v>-8.9010997214731408E-3</v>
      </c>
      <c r="BH205" s="2">
        <v>266.51056999999997</v>
      </c>
    </row>
    <row r="206" spans="1:60" x14ac:dyDescent="0.2">
      <c r="A206" t="str">
        <f t="shared" si="8"/>
        <v>Motorbike, battery electric, 11-35kW - 2050 - LFP - CH</v>
      </c>
      <c r="B206" t="s">
        <v>657</v>
      </c>
      <c r="D206" s="18">
        <v>2050</v>
      </c>
      <c r="E206" t="s">
        <v>37</v>
      </c>
      <c r="F206" t="s">
        <v>136</v>
      </c>
      <c r="G206" t="s">
        <v>39</v>
      </c>
      <c r="H206" t="s">
        <v>32</v>
      </c>
      <c r="I206" t="s">
        <v>43</v>
      </c>
      <c r="J206" t="s">
        <v>136</v>
      </c>
      <c r="L206" s="24">
        <v>0</v>
      </c>
      <c r="M206" s="24">
        <v>0</v>
      </c>
      <c r="N206" s="24">
        <v>7.8106002476236447E-3</v>
      </c>
      <c r="O206" s="24">
        <v>1.16988587691834E-2</v>
      </c>
      <c r="P206" s="24">
        <v>5.2469080279340134E-3</v>
      </c>
      <c r="Q206" s="24">
        <v>0.1312707064103128</v>
      </c>
      <c r="R206" s="24">
        <v>0.15602707345505384</v>
      </c>
      <c r="S206" s="26">
        <v>0</v>
      </c>
      <c r="T206" s="26">
        <v>0</v>
      </c>
      <c r="U206" s="26">
        <v>8.2670074351110705E-4</v>
      </c>
      <c r="V206" s="26">
        <v>4.4889971654128941E-4</v>
      </c>
      <c r="W206" s="26">
        <v>3.5848539339494441E-4</v>
      </c>
      <c r="X206" s="26">
        <v>8.3879698628234439E-2</v>
      </c>
      <c r="Y206" s="26">
        <v>8.5513784481681773E-2</v>
      </c>
      <c r="Z206" s="28">
        <v>0</v>
      </c>
      <c r="AA206" s="28">
        <v>3.1271735442865911E-3</v>
      </c>
      <c r="AB206" s="28">
        <v>2.422732529067532E-4</v>
      </c>
      <c r="AC206" s="28">
        <v>1.4676569916982529E-4</v>
      </c>
      <c r="AD206" s="28">
        <v>1.602754688215921E-4</v>
      </c>
      <c r="AE206" s="28">
        <v>1.137321068335082E-2</v>
      </c>
      <c r="AF206" s="28">
        <v>1.5049698648535583E-2</v>
      </c>
      <c r="AG206" s="30">
        <v>0</v>
      </c>
      <c r="AH206" s="30">
        <v>1.6491053126472278E-5</v>
      </c>
      <c r="AI206" s="30">
        <v>5.5356904822114297E-4</v>
      </c>
      <c r="AJ206" s="30">
        <v>3.5655142669197291E-4</v>
      </c>
      <c r="AK206" s="30">
        <v>2.081168913364444E-4</v>
      </c>
      <c r="AL206" s="30">
        <v>3.7472638859565532E-2</v>
      </c>
      <c r="AM206" s="30">
        <v>3.8607367278941568E-2</v>
      </c>
      <c r="AN206" s="32">
        <v>0</v>
      </c>
      <c r="AO206" s="32">
        <v>1.179775095002105E-5</v>
      </c>
      <c r="AP206" s="32">
        <v>6.9799632797501057E-7</v>
      </c>
      <c r="AQ206" s="32">
        <v>7.095552302506223E-7</v>
      </c>
      <c r="AR206" s="32">
        <v>8.4342415062568946E-7</v>
      </c>
      <c r="AS206" s="32">
        <v>2.153221439947024E-5</v>
      </c>
      <c r="AT206" s="32">
        <v>3.5580941058342615E-5</v>
      </c>
      <c r="AU206" s="34">
        <v>0</v>
      </c>
      <c r="AV206" s="34">
        <v>0</v>
      </c>
      <c r="AW206" s="34">
        <v>0.36525731774146686</v>
      </c>
      <c r="AX206" s="34">
        <v>0.16775969480322017</v>
      </c>
      <c r="AY206" s="34">
        <v>0.18235390480984784</v>
      </c>
      <c r="AZ206" s="34">
        <v>1.7582249094146232</v>
      </c>
      <c r="BA206" s="34">
        <v>2.473595826769158</v>
      </c>
      <c r="BB206" s="6"/>
      <c r="BC206" s="6"/>
      <c r="BD206" t="s">
        <v>729</v>
      </c>
      <c r="BF206" s="5">
        <v>0.13288534999999999</v>
      </c>
      <c r="BG206" s="5">
        <f t="shared" si="9"/>
        <v>-2.3141723455053859E-2</v>
      </c>
      <c r="BH206" s="2">
        <v>417.77733999999998</v>
      </c>
    </row>
    <row r="207" spans="1:60" x14ac:dyDescent="0.2">
      <c r="A207" t="str">
        <f t="shared" si="8"/>
        <v>Motorbike, battery electric, &gt;35kW - 2020 - LFP - CH</v>
      </c>
      <c r="B207" t="s">
        <v>658</v>
      </c>
      <c r="D207" s="18">
        <v>2020</v>
      </c>
      <c r="E207" t="s">
        <v>37</v>
      </c>
      <c r="F207" t="s">
        <v>136</v>
      </c>
      <c r="G207" t="s">
        <v>39</v>
      </c>
      <c r="H207" t="s">
        <v>32</v>
      </c>
      <c r="I207" t="s">
        <v>43</v>
      </c>
      <c r="J207" t="s">
        <v>136</v>
      </c>
      <c r="L207" s="24">
        <v>0</v>
      </c>
      <c r="M207" s="24">
        <v>0</v>
      </c>
      <c r="N207" s="24">
        <v>8.710249309141712E-3</v>
      </c>
      <c r="O207" s="24">
        <v>1.2306591692257861E-2</v>
      </c>
      <c r="P207" s="24">
        <v>5.7322097842371321E-3</v>
      </c>
      <c r="Q207" s="24">
        <v>0.1330489585066062</v>
      </c>
      <c r="R207" s="24">
        <v>0.15979800929224292</v>
      </c>
      <c r="S207" s="26">
        <v>0</v>
      </c>
      <c r="T207" s="26">
        <v>0</v>
      </c>
      <c r="U207" s="26">
        <v>9.2192268862119461E-4</v>
      </c>
      <c r="V207" s="26">
        <v>4.722191823356421E-4</v>
      </c>
      <c r="W207" s="26">
        <v>3.8915046632409652E-4</v>
      </c>
      <c r="X207" s="26">
        <v>8.6893962416245196E-2</v>
      </c>
      <c r="Y207" s="26">
        <v>8.8677254753526127E-2</v>
      </c>
      <c r="Z207" s="28">
        <v>0</v>
      </c>
      <c r="AA207" s="28">
        <v>3.1271735442865911E-3</v>
      </c>
      <c r="AB207" s="28">
        <v>2.7017903449822622E-4</v>
      </c>
      <c r="AC207" s="28">
        <v>1.5438989133449149E-4</v>
      </c>
      <c r="AD207" s="28">
        <v>1.742147634144923E-4</v>
      </c>
      <c r="AE207" s="28">
        <v>1.1580690453615769E-2</v>
      </c>
      <c r="AF207" s="28">
        <v>1.5306647687149569E-2</v>
      </c>
      <c r="AG207" s="30">
        <v>0</v>
      </c>
      <c r="AH207" s="30">
        <v>1.6491053126472278E-5</v>
      </c>
      <c r="AI207" s="30">
        <v>6.1733084103202476E-4</v>
      </c>
      <c r="AJ207" s="30">
        <v>3.7507357872791961E-4</v>
      </c>
      <c r="AK207" s="30">
        <v>2.2112607896172969E-4</v>
      </c>
      <c r="AL207" s="30">
        <v>3.8191506964006042E-2</v>
      </c>
      <c r="AM207" s="30">
        <v>3.942152851585419E-2</v>
      </c>
      <c r="AN207" s="32">
        <v>0</v>
      </c>
      <c r="AO207" s="32">
        <v>1.179775095002105E-5</v>
      </c>
      <c r="AP207" s="32">
        <v>7.7839370096780042E-7</v>
      </c>
      <c r="AQ207" s="32">
        <v>7.4641524221169363E-7</v>
      </c>
      <c r="AR207" s="32">
        <v>8.947911054708254E-7</v>
      </c>
      <c r="AS207" s="32">
        <v>2.298482768960763E-5</v>
      </c>
      <c r="AT207" s="32">
        <v>3.7202178688278997E-5</v>
      </c>
      <c r="AU207" s="34">
        <v>0</v>
      </c>
      <c r="AV207" s="34">
        <v>0</v>
      </c>
      <c r="AW207" s="34">
        <v>0.40732878378771509</v>
      </c>
      <c r="AX207" s="34">
        <v>0.17647448414364728</v>
      </c>
      <c r="AY207" s="34">
        <v>0.1982520740758201</v>
      </c>
      <c r="AZ207" s="34">
        <v>1.8026418530543371</v>
      </c>
      <c r="BA207" s="34">
        <v>2.5846971950615196</v>
      </c>
      <c r="BB207" s="6"/>
      <c r="BC207" s="6"/>
      <c r="BD207" t="s">
        <v>730</v>
      </c>
      <c r="BF207" s="5">
        <v>0.14028905999999999</v>
      </c>
      <c r="BG207" s="5">
        <f t="shared" si="9"/>
        <v>-1.9508949292242922E-2</v>
      </c>
      <c r="BH207" s="2">
        <v>438.60674999999998</v>
      </c>
    </row>
    <row r="208" spans="1:60" x14ac:dyDescent="0.2">
      <c r="A208" t="str">
        <f t="shared" si="8"/>
        <v>Motorbike, battery electric, &gt;35kW - 2030 - LFP - CH</v>
      </c>
      <c r="B208" t="s">
        <v>658</v>
      </c>
      <c r="D208" s="18">
        <v>2030</v>
      </c>
      <c r="E208" t="s">
        <v>37</v>
      </c>
      <c r="F208" t="s">
        <v>136</v>
      </c>
      <c r="G208" t="s">
        <v>39</v>
      </c>
      <c r="H208" t="s">
        <v>32</v>
      </c>
      <c r="I208" t="s">
        <v>43</v>
      </c>
      <c r="J208" t="s">
        <v>136</v>
      </c>
      <c r="L208" s="24">
        <v>0</v>
      </c>
      <c r="M208" s="24">
        <v>0</v>
      </c>
      <c r="N208" s="24">
        <v>8.710249309141712E-3</v>
      </c>
      <c r="O208" s="24">
        <v>1.2306591692257861E-2</v>
      </c>
      <c r="P208" s="24">
        <v>6.0030762336561044E-3</v>
      </c>
      <c r="Q208" s="24">
        <v>0.14397240586620499</v>
      </c>
      <c r="R208" s="24">
        <v>0.17099232310126067</v>
      </c>
      <c r="S208" s="26">
        <v>0</v>
      </c>
      <c r="T208" s="26">
        <v>0</v>
      </c>
      <c r="U208" s="26">
        <v>9.2192268862119461E-4</v>
      </c>
      <c r="V208" s="26">
        <v>4.722191823356421E-4</v>
      </c>
      <c r="W208" s="26">
        <v>4.0626587816345781E-4</v>
      </c>
      <c r="X208" s="26">
        <v>9.2628351819699223E-2</v>
      </c>
      <c r="Y208" s="26">
        <v>9.442875956881952E-2</v>
      </c>
      <c r="Z208" s="28">
        <v>0</v>
      </c>
      <c r="AA208" s="28">
        <v>3.1271735442865911E-3</v>
      </c>
      <c r="AB208" s="28">
        <v>2.7017903449822622E-4</v>
      </c>
      <c r="AC208" s="28">
        <v>1.5438989133449149E-4</v>
      </c>
      <c r="AD208" s="28">
        <v>1.8199484495086659E-4</v>
      </c>
      <c r="AE208" s="28">
        <v>1.2524604404161629E-2</v>
      </c>
      <c r="AF208" s="28">
        <v>1.6258341719231805E-2</v>
      </c>
      <c r="AG208" s="30">
        <v>0</v>
      </c>
      <c r="AH208" s="30">
        <v>1.6491053126472278E-5</v>
      </c>
      <c r="AI208" s="30">
        <v>6.1733084103202476E-4</v>
      </c>
      <c r="AJ208" s="30">
        <v>3.7507357872791961E-4</v>
      </c>
      <c r="AK208" s="30">
        <v>2.283870303514982E-4</v>
      </c>
      <c r="AL208" s="30">
        <v>4.1143357581012688E-2</v>
      </c>
      <c r="AM208" s="30">
        <v>4.2380640084250604E-2</v>
      </c>
      <c r="AN208" s="32">
        <v>0</v>
      </c>
      <c r="AO208" s="32">
        <v>1.179775095002105E-5</v>
      </c>
      <c r="AP208" s="32">
        <v>7.7839370096780042E-7</v>
      </c>
      <c r="AQ208" s="32">
        <v>7.4641524221169363E-7</v>
      </c>
      <c r="AR208" s="32">
        <v>9.2346107110696084E-7</v>
      </c>
      <c r="AS208" s="32">
        <v>2.4470014700998951E-5</v>
      </c>
      <c r="AT208" s="32">
        <v>3.8716035665306456E-5</v>
      </c>
      <c r="AU208" s="34">
        <v>0</v>
      </c>
      <c r="AV208" s="34">
        <v>0</v>
      </c>
      <c r="AW208" s="34">
        <v>0.40732878378771509</v>
      </c>
      <c r="AX208" s="34">
        <v>0.17647448414364728</v>
      </c>
      <c r="AY208" s="34">
        <v>0.20712548243547596</v>
      </c>
      <c r="AZ208" s="34">
        <v>1.9428459549765458</v>
      </c>
      <c r="BA208" s="34">
        <v>2.7337747053433841</v>
      </c>
      <c r="BB208" s="6"/>
      <c r="BC208" s="6"/>
      <c r="BD208" t="s">
        <v>731</v>
      </c>
      <c r="BF208" s="5">
        <v>0.14800218000000001</v>
      </c>
      <c r="BG208" s="5">
        <f t="shared" si="9"/>
        <v>-2.2990143101260657E-2</v>
      </c>
      <c r="BH208" s="2">
        <v>466.27882</v>
      </c>
    </row>
    <row r="209" spans="1:60" x14ac:dyDescent="0.2">
      <c r="A209" t="str">
        <f t="shared" si="8"/>
        <v>Motorbike, battery electric, &gt;35kW - 2040 - LFP - CH</v>
      </c>
      <c r="B209" t="s">
        <v>658</v>
      </c>
      <c r="D209" s="18">
        <v>2040</v>
      </c>
      <c r="E209" t="s">
        <v>37</v>
      </c>
      <c r="F209" t="s">
        <v>136</v>
      </c>
      <c r="G209" t="s">
        <v>39</v>
      </c>
      <c r="H209" t="s">
        <v>32</v>
      </c>
      <c r="I209" t="s">
        <v>43</v>
      </c>
      <c r="J209" t="s">
        <v>136</v>
      </c>
      <c r="L209" s="24">
        <v>0</v>
      </c>
      <c r="M209" s="24">
        <v>0</v>
      </c>
      <c r="N209" s="24">
        <v>8.710249309141712E-3</v>
      </c>
      <c r="O209" s="24">
        <v>1.2306591692257861E-2</v>
      </c>
      <c r="P209" s="24">
        <v>6.1113257014817129E-3</v>
      </c>
      <c r="Q209" s="24">
        <v>0.13253405494445991</v>
      </c>
      <c r="R209" s="24">
        <v>0.1596622216473412</v>
      </c>
      <c r="S209" s="26">
        <v>0</v>
      </c>
      <c r="T209" s="26">
        <v>0</v>
      </c>
      <c r="U209" s="26">
        <v>9.2192268862119461E-4</v>
      </c>
      <c r="V209" s="26">
        <v>4.722191823356421E-4</v>
      </c>
      <c r="W209" s="26">
        <v>4.131059066247207E-4</v>
      </c>
      <c r="X209" s="26">
        <v>8.3865754159344025E-2</v>
      </c>
      <c r="Y209" s="26">
        <v>8.5673001936925577E-2</v>
      </c>
      <c r="Z209" s="28">
        <v>0</v>
      </c>
      <c r="AA209" s="28">
        <v>3.1271735442865911E-3</v>
      </c>
      <c r="AB209" s="28">
        <v>2.7017903449822622E-4</v>
      </c>
      <c r="AC209" s="28">
        <v>1.5438989133449149E-4</v>
      </c>
      <c r="AD209" s="28">
        <v>1.851040882246605E-4</v>
      </c>
      <c r="AE209" s="28">
        <v>1.1325664435950089E-2</v>
      </c>
      <c r="AF209" s="28">
        <v>1.5062510994294058E-2</v>
      </c>
      <c r="AG209" s="30">
        <v>0</v>
      </c>
      <c r="AH209" s="30">
        <v>1.6491053126472278E-5</v>
      </c>
      <c r="AI209" s="30">
        <v>6.1733084103202476E-4</v>
      </c>
      <c r="AJ209" s="30">
        <v>3.7507357872791961E-4</v>
      </c>
      <c r="AK209" s="30">
        <v>2.3128880768691969E-4</v>
      </c>
      <c r="AL209" s="30">
        <v>3.7276927745773153E-2</v>
      </c>
      <c r="AM209" s="30">
        <v>3.8517112026346487E-2</v>
      </c>
      <c r="AN209" s="32">
        <v>0</v>
      </c>
      <c r="AO209" s="32">
        <v>1.179775095002105E-5</v>
      </c>
      <c r="AP209" s="32">
        <v>7.7839370096780042E-7</v>
      </c>
      <c r="AQ209" s="32">
        <v>7.4641524221169363E-7</v>
      </c>
      <c r="AR209" s="32">
        <v>9.3491877850980613E-7</v>
      </c>
      <c r="AS209" s="32">
        <v>2.2426039524605921E-5</v>
      </c>
      <c r="AT209" s="32">
        <v>3.6683518196316268E-5</v>
      </c>
      <c r="AU209" s="34">
        <v>0</v>
      </c>
      <c r="AV209" s="34">
        <v>0</v>
      </c>
      <c r="AW209" s="34">
        <v>0.40732878378771509</v>
      </c>
      <c r="AX209" s="34">
        <v>0.17647448414364728</v>
      </c>
      <c r="AY209" s="34">
        <v>0.21067166445540664</v>
      </c>
      <c r="AZ209" s="34">
        <v>1.7835099942552901</v>
      </c>
      <c r="BA209" s="34">
        <v>2.5779849266420589</v>
      </c>
      <c r="BB209" s="6"/>
      <c r="BC209" s="6"/>
      <c r="BD209" t="s">
        <v>732</v>
      </c>
      <c r="BF209" s="5">
        <v>0.13923536</v>
      </c>
      <c r="BG209" s="5">
        <f t="shared" si="9"/>
        <v>-2.0426861647341199E-2</v>
      </c>
      <c r="BH209" s="2">
        <v>423.48725999999999</v>
      </c>
    </row>
    <row r="210" spans="1:60" x14ac:dyDescent="0.2">
      <c r="A210" t="str">
        <f t="shared" si="8"/>
        <v>Motorbike, battery electric, &gt;35kW - 2050 - LFP - CH</v>
      </c>
      <c r="B210" t="s">
        <v>658</v>
      </c>
      <c r="D210" s="18">
        <v>2050</v>
      </c>
      <c r="E210" t="s">
        <v>37</v>
      </c>
      <c r="F210" t="s">
        <v>136</v>
      </c>
      <c r="G210" t="s">
        <v>39</v>
      </c>
      <c r="H210" t="s">
        <v>32</v>
      </c>
      <c r="I210" t="s">
        <v>43</v>
      </c>
      <c r="J210" t="s">
        <v>136</v>
      </c>
      <c r="L210" s="24">
        <v>0</v>
      </c>
      <c r="M210" s="24">
        <v>0</v>
      </c>
      <c r="N210" s="24">
        <v>8.710249309141712E-3</v>
      </c>
      <c r="O210" s="24">
        <v>1.9936678541457739E-2</v>
      </c>
      <c r="P210" s="24">
        <v>6.0371109345718366E-3</v>
      </c>
      <c r="Q210" s="24">
        <v>0.21631706785528021</v>
      </c>
      <c r="R210" s="24">
        <v>0.2510011066404515</v>
      </c>
      <c r="S210" s="26">
        <v>0</v>
      </c>
      <c r="T210" s="26">
        <v>0</v>
      </c>
      <c r="U210" s="26">
        <v>9.2192268862119461E-4</v>
      </c>
      <c r="V210" s="26">
        <v>7.6499507538374024E-4</v>
      </c>
      <c r="W210" s="26">
        <v>4.0841645061069821E-4</v>
      </c>
      <c r="X210" s="26">
        <v>0.14135138537870459</v>
      </c>
      <c r="Y210" s="26">
        <v>0.14344671959332023</v>
      </c>
      <c r="Z210" s="28">
        <v>0</v>
      </c>
      <c r="AA210" s="28">
        <v>3.1271735442865911E-3</v>
      </c>
      <c r="AB210" s="28">
        <v>2.7017903449822622E-4</v>
      </c>
      <c r="AC210" s="28">
        <v>2.5011162396187633E-4</v>
      </c>
      <c r="AD210" s="28">
        <v>1.8297242171889569E-4</v>
      </c>
      <c r="AE210" s="28">
        <v>1.9587163637120739E-2</v>
      </c>
      <c r="AF210" s="28">
        <v>2.3417600261586329E-2</v>
      </c>
      <c r="AG210" s="30">
        <v>0</v>
      </c>
      <c r="AH210" s="30">
        <v>1.6491053126472278E-5</v>
      </c>
      <c r="AI210" s="30">
        <v>6.1733084103202476E-4</v>
      </c>
      <c r="AJ210" s="30">
        <v>6.0761919753922976E-4</v>
      </c>
      <c r="AK210" s="30">
        <v>2.2929937778118001E-4</v>
      </c>
      <c r="AL210" s="30">
        <v>6.3764916319348358E-2</v>
      </c>
      <c r="AM210" s="30">
        <v>6.523565678882727E-2</v>
      </c>
      <c r="AN210" s="32">
        <v>0</v>
      </c>
      <c r="AO210" s="32">
        <v>1.179775095002105E-5</v>
      </c>
      <c r="AP210" s="32">
        <v>7.7839370096780042E-7</v>
      </c>
      <c r="AQ210" s="32">
        <v>1.209192692382944E-6</v>
      </c>
      <c r="AR210" s="32">
        <v>9.2706348738178315E-7</v>
      </c>
      <c r="AS210" s="32">
        <v>3.6122450707167833E-5</v>
      </c>
      <c r="AT210" s="32">
        <v>5.0834851537921408E-5</v>
      </c>
      <c r="AU210" s="34">
        <v>0</v>
      </c>
      <c r="AV210" s="34">
        <v>0</v>
      </c>
      <c r="AW210" s="34">
        <v>0.40732878378771509</v>
      </c>
      <c r="AX210" s="34">
        <v>0.28588866431270848</v>
      </c>
      <c r="AY210" s="34">
        <v>0.20824043705710535</v>
      </c>
      <c r="AZ210" s="34">
        <v>2.9183852236892727</v>
      </c>
      <c r="BA210" s="34">
        <v>3.8198431088468014</v>
      </c>
      <c r="BB210" s="6"/>
      <c r="BC210" s="6"/>
      <c r="BD210" t="s">
        <v>733</v>
      </c>
      <c r="BF210" s="5">
        <v>0.20685503</v>
      </c>
      <c r="BG210" s="5">
        <f t="shared" si="9"/>
        <v>-4.4146076640451504E-2</v>
      </c>
      <c r="BH210" s="2">
        <v>707.16159000000005</v>
      </c>
    </row>
    <row r="211" spans="1:60" x14ac:dyDescent="0.2">
      <c r="A211" t="str">
        <f t="shared" si="8"/>
        <v>Motorbike, battery electric, &lt;4kW - 2020 - NCA - CH</v>
      </c>
      <c r="B211" t="s">
        <v>655</v>
      </c>
      <c r="D211" s="18">
        <v>2020</v>
      </c>
      <c r="E211" t="s">
        <v>37</v>
      </c>
      <c r="F211" t="s">
        <v>136</v>
      </c>
      <c r="G211" t="s">
        <v>39</v>
      </c>
      <c r="H211" t="s">
        <v>32</v>
      </c>
      <c r="I211" t="s">
        <v>44</v>
      </c>
      <c r="J211" t="s">
        <v>136</v>
      </c>
      <c r="L211" s="24">
        <v>0</v>
      </c>
      <c r="M211" s="24">
        <v>0</v>
      </c>
      <c r="N211" s="24">
        <v>3.836250793656903E-3</v>
      </c>
      <c r="O211" s="24">
        <v>1.2306591692257861E-2</v>
      </c>
      <c r="P211" s="24">
        <v>4.425905066110937E-3</v>
      </c>
      <c r="Q211" s="24">
        <v>3.3902437426259507E-2</v>
      </c>
      <c r="R211" s="24">
        <v>5.4471184978285209E-2</v>
      </c>
      <c r="S211" s="26">
        <v>0</v>
      </c>
      <c r="T211" s="26">
        <v>0</v>
      </c>
      <c r="U211" s="26">
        <v>4.0604195360992079E-4</v>
      </c>
      <c r="V211" s="26">
        <v>4.722191823356421E-4</v>
      </c>
      <c r="W211" s="26">
        <v>3.0660815336363168E-4</v>
      </c>
      <c r="X211" s="26">
        <v>2.47414493231328E-2</v>
      </c>
      <c r="Y211" s="26">
        <v>2.5926318612441997E-2</v>
      </c>
      <c r="Z211" s="28">
        <v>0</v>
      </c>
      <c r="AA211" s="28">
        <v>3.1271735442865911E-3</v>
      </c>
      <c r="AB211" s="28">
        <v>1.1899481848762461E-4</v>
      </c>
      <c r="AC211" s="28">
        <v>1.5438989133449149E-4</v>
      </c>
      <c r="AD211" s="28">
        <v>1.3669384770059349E-4</v>
      </c>
      <c r="AE211" s="28">
        <v>2.475333254355087E-3</v>
      </c>
      <c r="AF211" s="28">
        <v>6.0125853561643879E-3</v>
      </c>
      <c r="AG211" s="30">
        <v>0</v>
      </c>
      <c r="AH211" s="30">
        <v>1.6491053126472278E-5</v>
      </c>
      <c r="AI211" s="30">
        <v>2.7189071687907281E-4</v>
      </c>
      <c r="AJ211" s="30">
        <v>3.7507357872791961E-4</v>
      </c>
      <c r="AK211" s="30">
        <v>1.8610876663351179E-4</v>
      </c>
      <c r="AL211" s="30">
        <v>8.5929110963679396E-3</v>
      </c>
      <c r="AM211" s="30">
        <v>9.4424752117349166E-3</v>
      </c>
      <c r="AN211" s="32">
        <v>0</v>
      </c>
      <c r="AO211" s="32">
        <v>1.179775095002105E-5</v>
      </c>
      <c r="AP211" s="32">
        <v>3.4282755259154613E-7</v>
      </c>
      <c r="AQ211" s="32">
        <v>7.4641524221169363E-7</v>
      </c>
      <c r="AR211" s="32">
        <v>7.5652476994150374E-7</v>
      </c>
      <c r="AS211" s="32">
        <v>7.2500144535867421E-6</v>
      </c>
      <c r="AT211" s="32">
        <v>2.0893532968352534E-5</v>
      </c>
      <c r="AU211" s="34">
        <v>0</v>
      </c>
      <c r="AV211" s="34">
        <v>0</v>
      </c>
      <c r="AW211" s="34">
        <v>0.17939961470963908</v>
      </c>
      <c r="AX211" s="34">
        <v>0.17647448414364728</v>
      </c>
      <c r="AY211" s="34">
        <v>0.15545838282707702</v>
      </c>
      <c r="AZ211" s="34">
        <v>0.47060080427472312</v>
      </c>
      <c r="BA211" s="34">
        <v>0.98193328595508644</v>
      </c>
      <c r="BB211" s="6"/>
      <c r="BC211" s="6"/>
      <c r="BD211" t="s">
        <v>734</v>
      </c>
      <c r="BF211" s="5">
        <v>5.7712445000000001E-2</v>
      </c>
      <c r="BG211" s="5">
        <f t="shared" si="9"/>
        <v>3.2412600217147924E-3</v>
      </c>
      <c r="BH211" s="2">
        <v>126.37596000000001</v>
      </c>
    </row>
    <row r="212" spans="1:60" x14ac:dyDescent="0.2">
      <c r="A212" t="str">
        <f t="shared" si="8"/>
        <v>Motorbike, battery electric, &lt;4kW - 2030 - NCA - CH</v>
      </c>
      <c r="B212" t="s">
        <v>655</v>
      </c>
      <c r="D212" s="18">
        <v>2030</v>
      </c>
      <c r="E212" t="s">
        <v>37</v>
      </c>
      <c r="F212" t="s">
        <v>136</v>
      </c>
      <c r="G212" t="s">
        <v>39</v>
      </c>
      <c r="H212" t="s">
        <v>32</v>
      </c>
      <c r="I212" t="s">
        <v>44</v>
      </c>
      <c r="J212" t="s">
        <v>136</v>
      </c>
      <c r="L212" s="24">
        <v>0</v>
      </c>
      <c r="M212" s="24">
        <v>0</v>
      </c>
      <c r="N212" s="24">
        <v>3.836250793656903E-3</v>
      </c>
      <c r="O212" s="24">
        <v>1.2306591692257861E-2</v>
      </c>
      <c r="P212" s="24">
        <v>4.4354770577290396E-3</v>
      </c>
      <c r="Q212" s="24">
        <v>3.6309068769588608E-2</v>
      </c>
      <c r="R212" s="24">
        <v>5.6887388313232409E-2</v>
      </c>
      <c r="S212" s="26">
        <v>0</v>
      </c>
      <c r="T212" s="26">
        <v>0</v>
      </c>
      <c r="U212" s="26">
        <v>4.0604195360992079E-4</v>
      </c>
      <c r="V212" s="26">
        <v>4.722191823356421E-4</v>
      </c>
      <c r="W212" s="26">
        <v>3.0721298492921762E-4</v>
      </c>
      <c r="X212" s="26">
        <v>2.5348429635311379E-2</v>
      </c>
      <c r="Y212" s="26">
        <v>2.653390375618616E-2</v>
      </c>
      <c r="Z212" s="28">
        <v>0</v>
      </c>
      <c r="AA212" s="28">
        <v>3.1271735442865911E-3</v>
      </c>
      <c r="AB212" s="28">
        <v>1.1899481848762461E-4</v>
      </c>
      <c r="AC212" s="28">
        <v>1.5438989133449149E-4</v>
      </c>
      <c r="AD212" s="28">
        <v>1.3696878346843811E-4</v>
      </c>
      <c r="AE212" s="28">
        <v>2.6271210559094798E-3</v>
      </c>
      <c r="AF212" s="28">
        <v>6.1646480934866247E-3</v>
      </c>
      <c r="AG212" s="30">
        <v>0</v>
      </c>
      <c r="AH212" s="30">
        <v>1.6491053126472278E-5</v>
      </c>
      <c r="AI212" s="30">
        <v>2.7189071687907281E-4</v>
      </c>
      <c r="AJ212" s="30">
        <v>3.7507357872791961E-4</v>
      </c>
      <c r="AK212" s="30">
        <v>1.863653571636104E-4</v>
      </c>
      <c r="AL212" s="30">
        <v>9.0822750147208746E-3</v>
      </c>
      <c r="AM212" s="30">
        <v>9.9320957206179492E-3</v>
      </c>
      <c r="AN212" s="32">
        <v>0</v>
      </c>
      <c r="AO212" s="32">
        <v>1.179775095002105E-5</v>
      </c>
      <c r="AP212" s="32">
        <v>3.4282755259154613E-7</v>
      </c>
      <c r="AQ212" s="32">
        <v>7.4641524221169363E-7</v>
      </c>
      <c r="AR212" s="32">
        <v>7.5753792115070333E-7</v>
      </c>
      <c r="AS212" s="32">
        <v>7.4121647405551788E-6</v>
      </c>
      <c r="AT212" s="32">
        <v>2.1056696406530173E-5</v>
      </c>
      <c r="AU212" s="34">
        <v>0</v>
      </c>
      <c r="AV212" s="34">
        <v>0</v>
      </c>
      <c r="AW212" s="34">
        <v>0.17939961470963908</v>
      </c>
      <c r="AX212" s="34">
        <v>0.17647448414364728</v>
      </c>
      <c r="AY212" s="34">
        <v>0.15577195503443175</v>
      </c>
      <c r="AZ212" s="34">
        <v>0.49726894951311434</v>
      </c>
      <c r="BA212" s="34">
        <v>1.0089150034008325</v>
      </c>
      <c r="BB212" s="6"/>
      <c r="BC212" s="6"/>
      <c r="BD212" t="s">
        <v>735</v>
      </c>
      <c r="BF212" s="5">
        <v>5.8793456000000001E-2</v>
      </c>
      <c r="BG212" s="5">
        <f t="shared" si="9"/>
        <v>1.9060676867675916E-3</v>
      </c>
      <c r="BH212" s="2">
        <v>127.93600000000001</v>
      </c>
    </row>
    <row r="213" spans="1:60" x14ac:dyDescent="0.2">
      <c r="A213" t="str">
        <f t="shared" si="8"/>
        <v>Motorbike, battery electric, &lt;4kW - 2040 - NCA - CH</v>
      </c>
      <c r="B213" t="s">
        <v>655</v>
      </c>
      <c r="D213" s="18">
        <v>2040</v>
      </c>
      <c r="E213" t="s">
        <v>37</v>
      </c>
      <c r="F213" t="s">
        <v>136</v>
      </c>
      <c r="G213" t="s">
        <v>39</v>
      </c>
      <c r="H213" t="s">
        <v>32</v>
      </c>
      <c r="I213" t="s">
        <v>44</v>
      </c>
      <c r="J213" t="s">
        <v>136</v>
      </c>
      <c r="L213" s="24">
        <v>0</v>
      </c>
      <c r="M213" s="24">
        <v>0</v>
      </c>
      <c r="N213" s="24">
        <v>3.836250793656903E-3</v>
      </c>
      <c r="O213" s="24">
        <v>1.2306591692257861E-2</v>
      </c>
      <c r="P213" s="24">
        <v>4.434103834174483E-3</v>
      </c>
      <c r="Q213" s="24">
        <v>3.6426180899513397E-2</v>
      </c>
      <c r="R213" s="24">
        <v>5.7003127219602642E-2</v>
      </c>
      <c r="S213" s="26">
        <v>0</v>
      </c>
      <c r="T213" s="26">
        <v>0</v>
      </c>
      <c r="U213" s="26">
        <v>4.0604195360992079E-4</v>
      </c>
      <c r="V213" s="26">
        <v>4.722191823356421E-4</v>
      </c>
      <c r="W213" s="26">
        <v>3.0712621417287557E-4</v>
      </c>
      <c r="X213" s="26">
        <v>2.436109907006942E-2</v>
      </c>
      <c r="Y213" s="26">
        <v>2.5546486420187857E-2</v>
      </c>
      <c r="Z213" s="28">
        <v>0</v>
      </c>
      <c r="AA213" s="28">
        <v>3.1271735442865911E-3</v>
      </c>
      <c r="AB213" s="28">
        <v>1.1899481848762461E-4</v>
      </c>
      <c r="AC213" s="28">
        <v>1.5438989133449149E-4</v>
      </c>
      <c r="AD213" s="28">
        <v>1.3692934044681231E-4</v>
      </c>
      <c r="AE213" s="28">
        <v>2.5549809065749198E-3</v>
      </c>
      <c r="AF213" s="28">
        <v>6.0924685011304394E-3</v>
      </c>
      <c r="AG213" s="30">
        <v>0</v>
      </c>
      <c r="AH213" s="30">
        <v>1.6491053126472278E-5</v>
      </c>
      <c r="AI213" s="30">
        <v>2.7189071687907281E-4</v>
      </c>
      <c r="AJ213" s="30">
        <v>3.7507357872791961E-4</v>
      </c>
      <c r="AK213" s="30">
        <v>1.8632854599892639E-4</v>
      </c>
      <c r="AL213" s="30">
        <v>8.8871934464291071E-3</v>
      </c>
      <c r="AM213" s="30">
        <v>9.7369773411614974E-3</v>
      </c>
      <c r="AN213" s="32">
        <v>0</v>
      </c>
      <c r="AO213" s="32">
        <v>1.179775095002105E-5</v>
      </c>
      <c r="AP213" s="32">
        <v>3.4282755259154613E-7</v>
      </c>
      <c r="AQ213" s="32">
        <v>7.4641524221169363E-7</v>
      </c>
      <c r="AR213" s="32">
        <v>7.5739257176467052E-7</v>
      </c>
      <c r="AS213" s="32">
        <v>7.1665713461865727E-6</v>
      </c>
      <c r="AT213" s="32">
        <v>2.0810957662775533E-5</v>
      </c>
      <c r="AU213" s="34">
        <v>0</v>
      </c>
      <c r="AV213" s="34">
        <v>0</v>
      </c>
      <c r="AW213" s="34">
        <v>0.17939961470963908</v>
      </c>
      <c r="AX213" s="34">
        <v>0.17647448414364728</v>
      </c>
      <c r="AY213" s="34">
        <v>0.15572696912571241</v>
      </c>
      <c r="AZ213" s="34">
        <v>0.4937996919474914</v>
      </c>
      <c r="BA213" s="34">
        <v>1.00540075992649</v>
      </c>
      <c r="BB213" s="6"/>
      <c r="BC213" s="6"/>
      <c r="BD213" t="s">
        <v>736</v>
      </c>
      <c r="BF213" s="5">
        <v>5.8287747000000001E-2</v>
      </c>
      <c r="BG213" s="5">
        <f t="shared" si="9"/>
        <v>1.2846197803973586E-3</v>
      </c>
      <c r="BH213" s="2">
        <v>122.69869</v>
      </c>
    </row>
    <row r="214" spans="1:60" x14ac:dyDescent="0.2">
      <c r="A214" t="str">
        <f t="shared" si="8"/>
        <v>Motorbike, battery electric, &lt;4kW - 2050 - NCA - CH</v>
      </c>
      <c r="B214" t="s">
        <v>655</v>
      </c>
      <c r="D214" s="18">
        <v>2050</v>
      </c>
      <c r="E214" t="s">
        <v>37</v>
      </c>
      <c r="F214" t="s">
        <v>136</v>
      </c>
      <c r="G214" t="s">
        <v>39</v>
      </c>
      <c r="H214" t="s">
        <v>32</v>
      </c>
      <c r="I214" t="s">
        <v>44</v>
      </c>
      <c r="J214" t="s">
        <v>136</v>
      </c>
      <c r="L214" s="24">
        <v>0</v>
      </c>
      <c r="M214" s="24">
        <v>0</v>
      </c>
      <c r="N214" s="24">
        <v>3.836250793656903E-3</v>
      </c>
      <c r="O214" s="24">
        <v>1.2306591692257861E-2</v>
      </c>
      <c r="P214" s="24">
        <v>4.433716903780657E-3</v>
      </c>
      <c r="Q214" s="24">
        <v>3.6461117411092113E-2</v>
      </c>
      <c r="R214" s="24">
        <v>5.7037676800787536E-2</v>
      </c>
      <c r="S214" s="26">
        <v>0</v>
      </c>
      <c r="T214" s="26">
        <v>0</v>
      </c>
      <c r="U214" s="26">
        <v>4.0604195360992079E-4</v>
      </c>
      <c r="V214" s="26">
        <v>4.722191823356421E-4</v>
      </c>
      <c r="W214" s="26">
        <v>3.0710176495423781E-4</v>
      </c>
      <c r="X214" s="26">
        <v>2.3293633872741179E-2</v>
      </c>
      <c r="Y214" s="26">
        <v>2.4478996773640981E-2</v>
      </c>
      <c r="Z214" s="28">
        <v>0</v>
      </c>
      <c r="AA214" s="28">
        <v>3.1271735442865911E-3</v>
      </c>
      <c r="AB214" s="28">
        <v>1.1899481848762461E-4</v>
      </c>
      <c r="AC214" s="28">
        <v>1.5438989133449149E-4</v>
      </c>
      <c r="AD214" s="28">
        <v>1.3691822666723821E-4</v>
      </c>
      <c r="AE214" s="28">
        <v>2.473099587364041E-3</v>
      </c>
      <c r="AF214" s="28">
        <v>6.0105760681399868E-3</v>
      </c>
      <c r="AG214" s="30">
        <v>0</v>
      </c>
      <c r="AH214" s="30">
        <v>1.6491053126472278E-5</v>
      </c>
      <c r="AI214" s="30">
        <v>2.7189071687907281E-4</v>
      </c>
      <c r="AJ214" s="30">
        <v>3.7507357872791961E-4</v>
      </c>
      <c r="AK214" s="30">
        <v>1.8631817379230269E-4</v>
      </c>
      <c r="AL214" s="30">
        <v>8.6620954539759192E-3</v>
      </c>
      <c r="AM214" s="30">
        <v>9.5118689765016865E-3</v>
      </c>
      <c r="AN214" s="32">
        <v>0</v>
      </c>
      <c r="AO214" s="32">
        <v>1.179775095002105E-5</v>
      </c>
      <c r="AP214" s="32">
        <v>3.4282755259154613E-7</v>
      </c>
      <c r="AQ214" s="32">
        <v>7.4641524221169363E-7</v>
      </c>
      <c r="AR214" s="32">
        <v>7.5735161696529122E-7</v>
      </c>
      <c r="AS214" s="32">
        <v>6.9015097879473733E-6</v>
      </c>
      <c r="AT214" s="32">
        <v>2.0545855149736956E-5</v>
      </c>
      <c r="AU214" s="34">
        <v>0</v>
      </c>
      <c r="AV214" s="34">
        <v>0</v>
      </c>
      <c r="AW214" s="34">
        <v>0.17939961470963908</v>
      </c>
      <c r="AX214" s="34">
        <v>0.17647448414364728</v>
      </c>
      <c r="AY214" s="34">
        <v>0.15571429353817273</v>
      </c>
      <c r="AZ214" s="34">
        <v>0.48915861261981258</v>
      </c>
      <c r="BA214" s="34">
        <v>1.0007470050112717</v>
      </c>
      <c r="BB214" s="6"/>
      <c r="BC214" s="6"/>
      <c r="BD214" t="s">
        <v>737</v>
      </c>
      <c r="BF214" s="5">
        <v>5.7721350999999997E-2</v>
      </c>
      <c r="BG214" s="5">
        <f t="shared" si="9"/>
        <v>6.836741992124612E-4</v>
      </c>
      <c r="BH214" s="2">
        <v>117.12768</v>
      </c>
    </row>
    <row r="215" spans="1:60" x14ac:dyDescent="0.2">
      <c r="A215" t="str">
        <f t="shared" si="8"/>
        <v>Motorbike, battery electric, 4-11kW - 2020 - NCA - CH</v>
      </c>
      <c r="B215" t="s">
        <v>656</v>
      </c>
      <c r="D215" s="18">
        <v>2020</v>
      </c>
      <c r="E215" t="s">
        <v>37</v>
      </c>
      <c r="F215" t="s">
        <v>136</v>
      </c>
      <c r="G215" t="s">
        <v>39</v>
      </c>
      <c r="H215" t="s">
        <v>32</v>
      </c>
      <c r="I215" t="s">
        <v>44</v>
      </c>
      <c r="J215" t="s">
        <v>136</v>
      </c>
      <c r="L215" s="24">
        <v>0</v>
      </c>
      <c r="M215" s="24">
        <v>0</v>
      </c>
      <c r="N215" s="24">
        <v>5.7702284664922004E-3</v>
      </c>
      <c r="O215" s="24">
        <v>1.2306591692257861E-2</v>
      </c>
      <c r="P215" s="24">
        <v>4.5508663683950347E-3</v>
      </c>
      <c r="Q215" s="24">
        <v>4.8553261164789127E-2</v>
      </c>
      <c r="R215" s="24">
        <v>7.1180947691934227E-2</v>
      </c>
      <c r="S215" s="26">
        <v>0</v>
      </c>
      <c r="T215" s="26">
        <v>0</v>
      </c>
      <c r="U215" s="26">
        <v>6.1074078972731883E-4</v>
      </c>
      <c r="V215" s="26">
        <v>4.722191823356421E-4</v>
      </c>
      <c r="W215" s="26">
        <v>3.1450416321336791E-4</v>
      </c>
      <c r="X215" s="26">
        <v>3.6431725005103548E-2</v>
      </c>
      <c r="Y215" s="26">
        <v>3.7829189140379874E-2</v>
      </c>
      <c r="Z215" s="28">
        <v>0</v>
      </c>
      <c r="AA215" s="28">
        <v>3.1271735442865911E-3</v>
      </c>
      <c r="AB215" s="28">
        <v>1.789839418574189E-4</v>
      </c>
      <c r="AC215" s="28">
        <v>1.5438989133449149E-4</v>
      </c>
      <c r="AD215" s="28">
        <v>1.402831040398236E-4</v>
      </c>
      <c r="AE215" s="28">
        <v>3.6952673073236482E-3</v>
      </c>
      <c r="AF215" s="28">
        <v>7.296097788841974E-3</v>
      </c>
      <c r="AG215" s="30">
        <v>0</v>
      </c>
      <c r="AH215" s="30">
        <v>1.6491053126472278E-5</v>
      </c>
      <c r="AI215" s="30">
        <v>4.0895959067761362E-4</v>
      </c>
      <c r="AJ215" s="30">
        <v>3.7507357872791961E-4</v>
      </c>
      <c r="AK215" s="30">
        <v>1.8945852790307221E-4</v>
      </c>
      <c r="AL215" s="30">
        <v>1.2809763384019179E-2</v>
      </c>
      <c r="AM215" s="30">
        <v>1.3799746134454257E-2</v>
      </c>
      <c r="AN215" s="32">
        <v>0</v>
      </c>
      <c r="AO215" s="32">
        <v>1.179775095002105E-5</v>
      </c>
      <c r="AP215" s="32">
        <v>5.1565797166662308E-7</v>
      </c>
      <c r="AQ215" s="32">
        <v>7.4641524221169363E-7</v>
      </c>
      <c r="AR215" s="32">
        <v>7.6975134802091085E-7</v>
      </c>
      <c r="AS215" s="32">
        <v>1.0363650731582819E-5</v>
      </c>
      <c r="AT215" s="32">
        <v>2.4193226243503096E-5</v>
      </c>
      <c r="AU215" s="34">
        <v>0</v>
      </c>
      <c r="AV215" s="34">
        <v>0</v>
      </c>
      <c r="AW215" s="34">
        <v>0.2698407427863993</v>
      </c>
      <c r="AX215" s="34">
        <v>0.17647448414364728</v>
      </c>
      <c r="AY215" s="34">
        <v>0.15955203365278733</v>
      </c>
      <c r="AZ215" s="34">
        <v>0.67437606148485696</v>
      </c>
      <c r="BA215" s="34">
        <v>1.2802433220676908</v>
      </c>
      <c r="BB215" s="6"/>
      <c r="BC215" s="6"/>
      <c r="BD215" t="s">
        <v>738</v>
      </c>
      <c r="BF215" s="5">
        <v>7.3185236000000001E-2</v>
      </c>
      <c r="BG215" s="5">
        <f t="shared" si="9"/>
        <v>2.0042883080657742E-3</v>
      </c>
      <c r="BH215" s="2">
        <v>171.11628999999999</v>
      </c>
    </row>
    <row r="216" spans="1:60" x14ac:dyDescent="0.2">
      <c r="A216" t="str">
        <f t="shared" si="8"/>
        <v>Motorbike, battery electric, 4-11kW - 2030 - NCA - CH</v>
      </c>
      <c r="B216" t="s">
        <v>656</v>
      </c>
      <c r="D216" s="18">
        <v>2030</v>
      </c>
      <c r="E216" t="s">
        <v>37</v>
      </c>
      <c r="F216" t="s">
        <v>136</v>
      </c>
      <c r="G216" t="s">
        <v>39</v>
      </c>
      <c r="H216" t="s">
        <v>32</v>
      </c>
      <c r="I216" t="s">
        <v>44</v>
      </c>
      <c r="J216" t="s">
        <v>136</v>
      </c>
      <c r="L216" s="24">
        <v>0</v>
      </c>
      <c r="M216" s="24">
        <v>0</v>
      </c>
      <c r="N216" s="24">
        <v>5.7702284664922004E-3</v>
      </c>
      <c r="O216" s="24">
        <v>1.2306591692257861E-2</v>
      </c>
      <c r="P216" s="24">
        <v>4.5659445792955522E-3</v>
      </c>
      <c r="Q216" s="24">
        <v>5.1094737487802327E-2</v>
      </c>
      <c r="R216" s="24">
        <v>7.3737502225847934E-2</v>
      </c>
      <c r="S216" s="26">
        <v>0</v>
      </c>
      <c r="T216" s="26">
        <v>0</v>
      </c>
      <c r="U216" s="26">
        <v>6.1074078972731883E-4</v>
      </c>
      <c r="V216" s="26">
        <v>4.722191823356421E-4</v>
      </c>
      <c r="W216" s="26">
        <v>3.1545691978368762E-4</v>
      </c>
      <c r="X216" s="26">
        <v>3.6766350851257339E-2</v>
      </c>
      <c r="Y216" s="26">
        <v>3.816476774310399E-2</v>
      </c>
      <c r="Z216" s="28">
        <v>0</v>
      </c>
      <c r="AA216" s="28">
        <v>3.1271735442865911E-3</v>
      </c>
      <c r="AB216" s="28">
        <v>1.789839418574189E-4</v>
      </c>
      <c r="AC216" s="28">
        <v>1.5438989133449149E-4</v>
      </c>
      <c r="AD216" s="28">
        <v>1.4071619462922781E-4</v>
      </c>
      <c r="AE216" s="28">
        <v>3.831941856794318E-3</v>
      </c>
      <c r="AF216" s="28">
        <v>7.4332054289020476E-3</v>
      </c>
      <c r="AG216" s="30">
        <v>0</v>
      </c>
      <c r="AH216" s="30">
        <v>1.6491053126472278E-5</v>
      </c>
      <c r="AI216" s="30">
        <v>4.0895959067761362E-4</v>
      </c>
      <c r="AJ216" s="30">
        <v>3.7507357872791961E-4</v>
      </c>
      <c r="AK216" s="30">
        <v>1.8986272028875961E-4</v>
      </c>
      <c r="AL216" s="30">
        <v>1.325858238507989E-2</v>
      </c>
      <c r="AM216" s="30">
        <v>1.4248969327900655E-2</v>
      </c>
      <c r="AN216" s="32">
        <v>0</v>
      </c>
      <c r="AO216" s="32">
        <v>1.179775095002105E-5</v>
      </c>
      <c r="AP216" s="32">
        <v>5.1565797166662308E-7</v>
      </c>
      <c r="AQ216" s="32">
        <v>7.4641524221169363E-7</v>
      </c>
      <c r="AR216" s="32">
        <v>7.713473071708888E-7</v>
      </c>
      <c r="AS216" s="32">
        <v>1.04619302838531E-5</v>
      </c>
      <c r="AT216" s="32">
        <v>2.4293101754923355E-5</v>
      </c>
      <c r="AU216" s="34">
        <v>0</v>
      </c>
      <c r="AV216" s="34">
        <v>0</v>
      </c>
      <c r="AW216" s="34">
        <v>0.2698407427863993</v>
      </c>
      <c r="AX216" s="34">
        <v>0.17647448414364728</v>
      </c>
      <c r="AY216" s="34">
        <v>0.16004598601543801</v>
      </c>
      <c r="AZ216" s="34">
        <v>0.70116942273056115</v>
      </c>
      <c r="BA216" s="34">
        <v>1.3075306356760457</v>
      </c>
      <c r="BB216" s="6"/>
      <c r="BC216" s="6"/>
      <c r="BD216" t="s">
        <v>739</v>
      </c>
      <c r="BF216" s="5">
        <v>7.417971000000001E-2</v>
      </c>
      <c r="BG216" s="5">
        <f t="shared" si="9"/>
        <v>4.4220777415207579E-4</v>
      </c>
      <c r="BH216" s="2">
        <v>171.21178</v>
      </c>
    </row>
    <row r="217" spans="1:60" x14ac:dyDescent="0.2">
      <c r="A217" t="str">
        <f t="shared" si="8"/>
        <v>Motorbike, battery electric, 4-11kW - 2040 - NCA - CH</v>
      </c>
      <c r="B217" t="s">
        <v>656</v>
      </c>
      <c r="D217" s="18">
        <v>2040</v>
      </c>
      <c r="E217" t="s">
        <v>37</v>
      </c>
      <c r="F217" t="s">
        <v>136</v>
      </c>
      <c r="G217" t="s">
        <v>39</v>
      </c>
      <c r="H217" t="s">
        <v>32</v>
      </c>
      <c r="I217" t="s">
        <v>44</v>
      </c>
      <c r="J217" t="s">
        <v>136</v>
      </c>
      <c r="L217" s="24">
        <v>0</v>
      </c>
      <c r="M217" s="24">
        <v>0</v>
      </c>
      <c r="N217" s="24">
        <v>5.7702284664922004E-3</v>
      </c>
      <c r="O217" s="24">
        <v>1.2306591692257861E-2</v>
      </c>
      <c r="P217" s="24">
        <v>4.5649187894673806E-3</v>
      </c>
      <c r="Q217" s="24">
        <v>5.074490019026609E-2</v>
      </c>
      <c r="R217" s="24">
        <v>7.3386639138483534E-2</v>
      </c>
      <c r="S217" s="26">
        <v>0</v>
      </c>
      <c r="T217" s="26">
        <v>0</v>
      </c>
      <c r="U217" s="26">
        <v>6.1074078972731883E-4</v>
      </c>
      <c r="V217" s="26">
        <v>4.722191823356421E-4</v>
      </c>
      <c r="W217" s="26">
        <v>3.1539210254475888E-4</v>
      </c>
      <c r="X217" s="26">
        <v>3.5077251963654868E-2</v>
      </c>
      <c r="Y217" s="26">
        <v>3.6475604038262589E-2</v>
      </c>
      <c r="Z217" s="28">
        <v>0</v>
      </c>
      <c r="AA217" s="28">
        <v>3.1271735442865911E-3</v>
      </c>
      <c r="AB217" s="28">
        <v>1.789839418574189E-4</v>
      </c>
      <c r="AC217" s="28">
        <v>1.5438989133449149E-4</v>
      </c>
      <c r="AD217" s="28">
        <v>1.4068673092665601E-4</v>
      </c>
      <c r="AE217" s="28">
        <v>3.684879772258432E-3</v>
      </c>
      <c r="AF217" s="28">
        <v>7.2861138806635892E-3</v>
      </c>
      <c r="AG217" s="30">
        <v>0</v>
      </c>
      <c r="AH217" s="30">
        <v>1.6491053126472278E-5</v>
      </c>
      <c r="AI217" s="30">
        <v>4.0895959067761362E-4</v>
      </c>
      <c r="AJ217" s="30">
        <v>3.7507357872791961E-4</v>
      </c>
      <c r="AK217" s="30">
        <v>1.8983522256767069E-4</v>
      </c>
      <c r="AL217" s="30">
        <v>1.284164798792508E-2</v>
      </c>
      <c r="AM217" s="30">
        <v>1.3832007433024755E-2</v>
      </c>
      <c r="AN217" s="32">
        <v>0</v>
      </c>
      <c r="AO217" s="32">
        <v>1.179775095002105E-5</v>
      </c>
      <c r="AP217" s="32">
        <v>5.1565797166662308E-7</v>
      </c>
      <c r="AQ217" s="32">
        <v>7.4641524221169363E-7</v>
      </c>
      <c r="AR217" s="32">
        <v>7.7123873204397056E-7</v>
      </c>
      <c r="AS217" s="32">
        <v>1.0041312134937471E-5</v>
      </c>
      <c r="AT217" s="32">
        <v>2.3872375030880806E-5</v>
      </c>
      <c r="AU217" s="34">
        <v>0</v>
      </c>
      <c r="AV217" s="34">
        <v>0</v>
      </c>
      <c r="AW217" s="34">
        <v>0.2698407427863993</v>
      </c>
      <c r="AX217" s="34">
        <v>0.17647448414364728</v>
      </c>
      <c r="AY217" s="34">
        <v>0.16001238180917302</v>
      </c>
      <c r="AZ217" s="34">
        <v>0.68982777645569626</v>
      </c>
      <c r="BA217" s="34">
        <v>1.2961553851949157</v>
      </c>
      <c r="BB217" s="6"/>
      <c r="BC217" s="6"/>
      <c r="BD217" t="s">
        <v>740</v>
      </c>
      <c r="BF217" s="5">
        <v>7.3162528000000004E-2</v>
      </c>
      <c r="BG217" s="5">
        <f t="shared" si="9"/>
        <v>-2.2411113848352926E-4</v>
      </c>
      <c r="BH217" s="2">
        <v>162.68235000000001</v>
      </c>
    </row>
    <row r="218" spans="1:60" x14ac:dyDescent="0.2">
      <c r="A218" t="str">
        <f t="shared" si="8"/>
        <v>Motorbike, battery electric, 4-11kW - 2050 - NCA - CH</v>
      </c>
      <c r="B218" t="s">
        <v>656</v>
      </c>
      <c r="D218" s="18">
        <v>2050</v>
      </c>
      <c r="E218" t="s">
        <v>37</v>
      </c>
      <c r="F218" t="s">
        <v>136</v>
      </c>
      <c r="G218" t="s">
        <v>39</v>
      </c>
      <c r="H218" t="s">
        <v>32</v>
      </c>
      <c r="I218" t="s">
        <v>44</v>
      </c>
      <c r="J218" t="s">
        <v>136</v>
      </c>
      <c r="L218" s="24">
        <v>0</v>
      </c>
      <c r="M218" s="24">
        <v>0</v>
      </c>
      <c r="N218" s="24">
        <v>5.7702284664922004E-3</v>
      </c>
      <c r="O218" s="24">
        <v>1.2306591692257861E-2</v>
      </c>
      <c r="P218" s="24">
        <v>4.5678381722821411E-3</v>
      </c>
      <c r="Q218" s="24">
        <v>5.0573962850989043E-2</v>
      </c>
      <c r="R218" s="24">
        <v>7.3218621182021243E-2</v>
      </c>
      <c r="S218" s="26">
        <v>0</v>
      </c>
      <c r="T218" s="26">
        <v>0</v>
      </c>
      <c r="U218" s="26">
        <v>6.1074078972731883E-4</v>
      </c>
      <c r="V218" s="26">
        <v>4.722191823356421E-4</v>
      </c>
      <c r="W218" s="26">
        <v>3.1557657145664722E-4</v>
      </c>
      <c r="X218" s="26">
        <v>3.3548717791256621E-2</v>
      </c>
      <c r="Y218" s="26">
        <v>3.4947254334776232E-2</v>
      </c>
      <c r="Z218" s="28">
        <v>0</v>
      </c>
      <c r="AA218" s="28">
        <v>3.1271735442865911E-3</v>
      </c>
      <c r="AB218" s="28">
        <v>1.789839418574189E-4</v>
      </c>
      <c r="AC218" s="28">
        <v>1.5438989133449149E-4</v>
      </c>
      <c r="AD218" s="28">
        <v>1.4077058419229089E-4</v>
      </c>
      <c r="AE218" s="28">
        <v>3.5583168130120541E-3</v>
      </c>
      <c r="AF218" s="28">
        <v>7.1596347746828472E-3</v>
      </c>
      <c r="AG218" s="30">
        <v>0</v>
      </c>
      <c r="AH218" s="30">
        <v>1.6491053126472278E-5</v>
      </c>
      <c r="AI218" s="30">
        <v>4.0895959067761362E-4</v>
      </c>
      <c r="AJ218" s="30">
        <v>3.7507357872791961E-4</v>
      </c>
      <c r="AK218" s="30">
        <v>1.899134806788231E-4</v>
      </c>
      <c r="AL218" s="30">
        <v>1.248483860956842E-2</v>
      </c>
      <c r="AM218" s="30">
        <v>1.3475276312779248E-2</v>
      </c>
      <c r="AN218" s="32">
        <v>0</v>
      </c>
      <c r="AO218" s="32">
        <v>1.179775095002105E-5</v>
      </c>
      <c r="AP218" s="32">
        <v>5.1565797166662308E-7</v>
      </c>
      <c r="AQ218" s="32">
        <v>7.4641524221169363E-7</v>
      </c>
      <c r="AR218" s="32">
        <v>7.7154773526366578E-7</v>
      </c>
      <c r="AS218" s="32">
        <v>9.6633949398180357E-6</v>
      </c>
      <c r="AT218" s="32">
        <v>2.349476683898107E-5</v>
      </c>
      <c r="AU218" s="34">
        <v>0</v>
      </c>
      <c r="AV218" s="34">
        <v>0</v>
      </c>
      <c r="AW218" s="34">
        <v>0.2698407427863993</v>
      </c>
      <c r="AX218" s="34">
        <v>0.17647448414364728</v>
      </c>
      <c r="AY218" s="34">
        <v>0.16010801888762657</v>
      </c>
      <c r="AZ218" s="34">
        <v>0.68104652589301906</v>
      </c>
      <c r="BA218" s="34">
        <v>1.2874697717106922</v>
      </c>
      <c r="BB218" s="6"/>
      <c r="BC218" s="6"/>
      <c r="BD218" t="s">
        <v>741</v>
      </c>
      <c r="BF218" s="5">
        <v>7.2295390000000001E-2</v>
      </c>
      <c r="BG218" s="5">
        <f t="shared" si="9"/>
        <v>-9.2323118202124188E-4</v>
      </c>
      <c r="BH218" s="2">
        <v>154.87563</v>
      </c>
    </row>
    <row r="219" spans="1:60" x14ac:dyDescent="0.2">
      <c r="A219" t="str">
        <f t="shared" si="8"/>
        <v>Motorbike, battery electric, 11-35kW - 2020 - NCA - CH</v>
      </c>
      <c r="B219" t="s">
        <v>657</v>
      </c>
      <c r="D219" s="18">
        <v>2020</v>
      </c>
      <c r="E219" t="s">
        <v>37</v>
      </c>
      <c r="F219" t="s">
        <v>136</v>
      </c>
      <c r="G219" t="s">
        <v>39</v>
      </c>
      <c r="H219" t="s">
        <v>32</v>
      </c>
      <c r="I219" t="s">
        <v>44</v>
      </c>
      <c r="J219" t="s">
        <v>136</v>
      </c>
      <c r="L219" s="24">
        <v>0</v>
      </c>
      <c r="M219" s="24">
        <v>0</v>
      </c>
      <c r="N219" s="24">
        <v>7.8106002476236447E-3</v>
      </c>
      <c r="O219" s="24">
        <v>1.2306591692257861E-2</v>
      </c>
      <c r="P219" s="24">
        <v>4.8065020724162829E-3</v>
      </c>
      <c r="Q219" s="24">
        <v>5.790342132339036E-2</v>
      </c>
      <c r="R219" s="24">
        <v>8.2827115335688151E-2</v>
      </c>
      <c r="S219" s="26">
        <v>0</v>
      </c>
      <c r="T219" s="26">
        <v>0</v>
      </c>
      <c r="U219" s="26">
        <v>8.2670074351110705E-4</v>
      </c>
      <c r="V219" s="26">
        <v>4.722191823356421E-4</v>
      </c>
      <c r="W219" s="26">
        <v>3.3065718018743061E-4</v>
      </c>
      <c r="X219" s="26">
        <v>4.6536415758903452E-2</v>
      </c>
      <c r="Y219" s="26">
        <v>4.8165992864937633E-2</v>
      </c>
      <c r="Z219" s="28">
        <v>0</v>
      </c>
      <c r="AA219" s="28">
        <v>3.1271735442865911E-3</v>
      </c>
      <c r="AB219" s="28">
        <v>2.422732529067532E-4</v>
      </c>
      <c r="AC219" s="28">
        <v>1.5438989133449149E-4</v>
      </c>
      <c r="AD219" s="28">
        <v>1.4762571374715369E-4</v>
      </c>
      <c r="AE219" s="28">
        <v>5.0919164744505554E-3</v>
      </c>
      <c r="AF219" s="28">
        <v>8.7633788767255451E-3</v>
      </c>
      <c r="AG219" s="30">
        <v>0</v>
      </c>
      <c r="AH219" s="30">
        <v>1.6491053126472278E-5</v>
      </c>
      <c r="AI219" s="30">
        <v>5.5356904822114297E-4</v>
      </c>
      <c r="AJ219" s="30">
        <v>3.7507357872791961E-4</v>
      </c>
      <c r="AK219" s="30">
        <v>1.9631119800809669E-4</v>
      </c>
      <c r="AL219" s="30">
        <v>1.6826115035017911E-2</v>
      </c>
      <c r="AM219" s="30">
        <v>1.7967559913101543E-2</v>
      </c>
      <c r="AN219" s="32">
        <v>0</v>
      </c>
      <c r="AO219" s="32">
        <v>1.179775095002105E-5</v>
      </c>
      <c r="AP219" s="32">
        <v>6.9799632797501057E-7</v>
      </c>
      <c r="AQ219" s="32">
        <v>7.4641524221169363E-7</v>
      </c>
      <c r="AR219" s="32">
        <v>7.9680920943335179E-7</v>
      </c>
      <c r="AS219" s="32">
        <v>1.2751348205433231E-5</v>
      </c>
      <c r="AT219" s="32">
        <v>2.6790319935074336E-5</v>
      </c>
      <c r="AU219" s="34">
        <v>0</v>
      </c>
      <c r="AV219" s="34">
        <v>0</v>
      </c>
      <c r="AW219" s="34">
        <v>0.36525731774146686</v>
      </c>
      <c r="AX219" s="34">
        <v>0.17647448414364728</v>
      </c>
      <c r="AY219" s="34">
        <v>0.16792649271907048</v>
      </c>
      <c r="AZ219" s="34">
        <v>0.8104342597733819</v>
      </c>
      <c r="BA219" s="34">
        <v>1.5200925543775665</v>
      </c>
      <c r="BB219" s="6"/>
      <c r="BC219" s="6"/>
      <c r="BD219" t="s">
        <v>742</v>
      </c>
      <c r="BF219" s="5">
        <v>8.3109875E-2</v>
      </c>
      <c r="BG219" s="5">
        <f t="shared" si="9"/>
        <v>2.8275966431184907E-4</v>
      </c>
      <c r="BH219" s="2">
        <v>228.76056</v>
      </c>
    </row>
    <row r="220" spans="1:60" x14ac:dyDescent="0.2">
      <c r="A220" t="str">
        <f t="shared" si="8"/>
        <v>Motorbike, battery electric, 11-35kW - 2030 - NCA - CH</v>
      </c>
      <c r="B220" t="s">
        <v>657</v>
      </c>
      <c r="D220" s="18">
        <v>2030</v>
      </c>
      <c r="E220" t="s">
        <v>37</v>
      </c>
      <c r="F220" t="s">
        <v>136</v>
      </c>
      <c r="G220" t="s">
        <v>39</v>
      </c>
      <c r="H220" t="s">
        <v>32</v>
      </c>
      <c r="I220" t="s">
        <v>44</v>
      </c>
      <c r="J220" t="s">
        <v>136</v>
      </c>
      <c r="L220" s="24">
        <v>0</v>
      </c>
      <c r="M220" s="24">
        <v>0</v>
      </c>
      <c r="N220" s="24">
        <v>7.8106002476236447E-3</v>
      </c>
      <c r="O220" s="24">
        <v>1.2306591692257861E-2</v>
      </c>
      <c r="P220" s="24">
        <v>4.8395234313287488E-3</v>
      </c>
      <c r="Q220" s="24">
        <v>5.7259540538852488E-2</v>
      </c>
      <c r="R220" s="24">
        <v>8.2216255910062735E-2</v>
      </c>
      <c r="S220" s="26">
        <v>0</v>
      </c>
      <c r="T220" s="26">
        <v>0</v>
      </c>
      <c r="U220" s="26">
        <v>8.2670074351110705E-4</v>
      </c>
      <c r="V220" s="26">
        <v>4.722191823356421E-4</v>
      </c>
      <c r="W220" s="26">
        <v>3.3274372194442772E-4</v>
      </c>
      <c r="X220" s="26">
        <v>4.4237614187522832E-2</v>
      </c>
      <c r="Y220" s="26">
        <v>4.5869277835314012E-2</v>
      </c>
      <c r="Z220" s="28">
        <v>0</v>
      </c>
      <c r="AA220" s="28">
        <v>3.1271735442865911E-3</v>
      </c>
      <c r="AB220" s="28">
        <v>2.422732529067532E-4</v>
      </c>
      <c r="AC220" s="28">
        <v>1.5438989133449149E-4</v>
      </c>
      <c r="AD220" s="28">
        <v>1.4857418435077391E-4</v>
      </c>
      <c r="AE220" s="28">
        <v>4.8859484923827476E-3</v>
      </c>
      <c r="AF220" s="28">
        <v>8.5583593652613574E-3</v>
      </c>
      <c r="AG220" s="30">
        <v>0</v>
      </c>
      <c r="AH220" s="30">
        <v>1.6491053126472278E-5</v>
      </c>
      <c r="AI220" s="30">
        <v>5.5356904822114297E-4</v>
      </c>
      <c r="AJ220" s="30">
        <v>3.7507357872791961E-4</v>
      </c>
      <c r="AK220" s="30">
        <v>1.971963813979253E-4</v>
      </c>
      <c r="AL220" s="30">
        <v>1.6225130727688001E-2</v>
      </c>
      <c r="AM220" s="30">
        <v>1.736746078916146E-2</v>
      </c>
      <c r="AN220" s="32">
        <v>0</v>
      </c>
      <c r="AO220" s="32">
        <v>1.179775095002105E-5</v>
      </c>
      <c r="AP220" s="32">
        <v>6.9799632797501057E-7</v>
      </c>
      <c r="AQ220" s="32">
        <v>7.4641524221169363E-7</v>
      </c>
      <c r="AR220" s="32">
        <v>8.0030436812616762E-7</v>
      </c>
      <c r="AS220" s="32">
        <v>1.21926266825028E-5</v>
      </c>
      <c r="AT220" s="32">
        <v>2.6235093570836723E-5</v>
      </c>
      <c r="AU220" s="34">
        <v>0</v>
      </c>
      <c r="AV220" s="34">
        <v>0</v>
      </c>
      <c r="AW220" s="34">
        <v>0.36525731774146686</v>
      </c>
      <c r="AX220" s="34">
        <v>0.17647448414364728</v>
      </c>
      <c r="AY220" s="34">
        <v>0.16900825091706656</v>
      </c>
      <c r="AZ220" s="34">
        <v>0.79362301645070976</v>
      </c>
      <c r="BA220" s="34">
        <v>1.5043630692528907</v>
      </c>
      <c r="BB220" s="6"/>
      <c r="BC220" s="6"/>
      <c r="BD220" t="s">
        <v>743</v>
      </c>
      <c r="BF220" s="5">
        <v>8.1781859999999998E-2</v>
      </c>
      <c r="BG220" s="5">
        <f t="shared" si="9"/>
        <v>-4.3439591006273759E-4</v>
      </c>
      <c r="BH220" s="2">
        <v>217.53666999999999</v>
      </c>
    </row>
    <row r="221" spans="1:60" x14ac:dyDescent="0.2">
      <c r="A221" t="str">
        <f t="shared" si="8"/>
        <v>Motorbike, battery electric, 11-35kW - 2040 - NCA - CH</v>
      </c>
      <c r="B221" t="s">
        <v>657</v>
      </c>
      <c r="D221" s="18">
        <v>2040</v>
      </c>
      <c r="E221" t="s">
        <v>37</v>
      </c>
      <c r="F221" t="s">
        <v>136</v>
      </c>
      <c r="G221" t="s">
        <v>39</v>
      </c>
      <c r="H221" t="s">
        <v>32</v>
      </c>
      <c r="I221" t="s">
        <v>44</v>
      </c>
      <c r="J221" t="s">
        <v>136</v>
      </c>
      <c r="L221" s="24">
        <v>0</v>
      </c>
      <c r="M221" s="24">
        <v>0</v>
      </c>
      <c r="N221" s="24">
        <v>7.8106002476236447E-3</v>
      </c>
      <c r="O221" s="24">
        <v>1.2306591692257861E-2</v>
      </c>
      <c r="P221" s="24">
        <v>4.8429982180027134E-3</v>
      </c>
      <c r="Q221" s="24">
        <v>5.5005342052566707E-2</v>
      </c>
      <c r="R221" s="24">
        <v>7.9965532210450926E-2</v>
      </c>
      <c r="S221" s="26">
        <v>0</v>
      </c>
      <c r="T221" s="26">
        <v>0</v>
      </c>
      <c r="U221" s="26">
        <v>8.2670074351110705E-4</v>
      </c>
      <c r="V221" s="26">
        <v>4.722191823356421E-4</v>
      </c>
      <c r="W221" s="26">
        <v>3.3296328551572421E-4</v>
      </c>
      <c r="X221" s="26">
        <v>4.1002854221061542E-2</v>
      </c>
      <c r="Y221" s="26">
        <v>4.2634737432424019E-2</v>
      </c>
      <c r="Z221" s="28">
        <v>0</v>
      </c>
      <c r="AA221" s="28">
        <v>3.1271735442865911E-3</v>
      </c>
      <c r="AB221" s="28">
        <v>2.422732529067532E-4</v>
      </c>
      <c r="AC221" s="28">
        <v>1.5438989133449149E-4</v>
      </c>
      <c r="AD221" s="28">
        <v>1.4867399044969431E-4</v>
      </c>
      <c r="AE221" s="28">
        <v>4.5362493918582594E-3</v>
      </c>
      <c r="AF221" s="28">
        <v>8.2087600708357893E-3</v>
      </c>
      <c r="AG221" s="30">
        <v>0</v>
      </c>
      <c r="AH221" s="30">
        <v>1.6491053126472278E-5</v>
      </c>
      <c r="AI221" s="30">
        <v>5.5356904822114297E-4</v>
      </c>
      <c r="AJ221" s="30">
        <v>3.7507357872791961E-4</v>
      </c>
      <c r="AK221" s="30">
        <v>1.9728952788093779E-4</v>
      </c>
      <c r="AL221" s="30">
        <v>1.51869670933979E-2</v>
      </c>
      <c r="AM221" s="30">
        <v>1.6329390301354371E-2</v>
      </c>
      <c r="AN221" s="32">
        <v>0</v>
      </c>
      <c r="AO221" s="32">
        <v>1.179775095002105E-5</v>
      </c>
      <c r="AP221" s="32">
        <v>6.9799632797501057E-7</v>
      </c>
      <c r="AQ221" s="32">
        <v>7.4641524221169363E-7</v>
      </c>
      <c r="AR221" s="32">
        <v>8.0067215828530021E-7</v>
      </c>
      <c r="AS221" s="32">
        <v>1.1386028012994291E-5</v>
      </c>
      <c r="AT221" s="32">
        <v>2.5428862691487346E-5</v>
      </c>
      <c r="AU221" s="34">
        <v>0</v>
      </c>
      <c r="AV221" s="34">
        <v>0</v>
      </c>
      <c r="AW221" s="34">
        <v>0.36525731774146686</v>
      </c>
      <c r="AX221" s="34">
        <v>0.17647448414364728</v>
      </c>
      <c r="AY221" s="34">
        <v>0.16912208266399173</v>
      </c>
      <c r="AZ221" s="34">
        <v>0.75634011283807412</v>
      </c>
      <c r="BA221" s="34">
        <v>1.4671939973871799</v>
      </c>
      <c r="BB221" s="6"/>
      <c r="BC221" s="6"/>
      <c r="BD221" t="s">
        <v>744</v>
      </c>
      <c r="BF221" s="5">
        <v>7.937733000000001E-2</v>
      </c>
      <c r="BG221" s="5">
        <f t="shared" si="9"/>
        <v>-5.8820221045091658E-4</v>
      </c>
      <c r="BH221" s="2">
        <v>202.34105</v>
      </c>
    </row>
    <row r="222" spans="1:60" x14ac:dyDescent="0.2">
      <c r="A222" t="str">
        <f t="shared" si="8"/>
        <v>Motorbike, battery electric, 11-35kW - 2050 - NCA - CH</v>
      </c>
      <c r="B222" t="s">
        <v>657</v>
      </c>
      <c r="D222" s="18">
        <v>2050</v>
      </c>
      <c r="E222" t="s">
        <v>37</v>
      </c>
      <c r="F222" t="s">
        <v>136</v>
      </c>
      <c r="G222" t="s">
        <v>39</v>
      </c>
      <c r="H222" t="s">
        <v>32</v>
      </c>
      <c r="I222" t="s">
        <v>44</v>
      </c>
      <c r="J222" t="s">
        <v>136</v>
      </c>
      <c r="L222" s="24">
        <v>0</v>
      </c>
      <c r="M222" s="24">
        <v>0</v>
      </c>
      <c r="N222" s="24">
        <v>7.8106002476236447E-3</v>
      </c>
      <c r="O222" s="24">
        <v>1.2306591692257861E-2</v>
      </c>
      <c r="P222" s="24">
        <v>4.8421333147694546E-3</v>
      </c>
      <c r="Q222" s="24">
        <v>5.2019069693802697E-2</v>
      </c>
      <c r="R222" s="24">
        <v>7.6978394948453654E-2</v>
      </c>
      <c r="S222" s="26">
        <v>0</v>
      </c>
      <c r="T222" s="26">
        <v>0</v>
      </c>
      <c r="U222" s="26">
        <v>8.2670074351110705E-4</v>
      </c>
      <c r="V222" s="26">
        <v>4.722191823356421E-4</v>
      </c>
      <c r="W222" s="26">
        <v>3.3290863432112197E-4</v>
      </c>
      <c r="X222" s="26">
        <v>3.7080662833818043E-2</v>
      </c>
      <c r="Y222" s="26">
        <v>3.8712491393985915E-2</v>
      </c>
      <c r="Z222" s="28">
        <v>0</v>
      </c>
      <c r="AA222" s="28">
        <v>3.1271735442865911E-3</v>
      </c>
      <c r="AB222" s="28">
        <v>2.422732529067532E-4</v>
      </c>
      <c r="AC222" s="28">
        <v>1.5438989133449149E-4</v>
      </c>
      <c r="AD222" s="28">
        <v>1.486491478835875E-4</v>
      </c>
      <c r="AE222" s="28">
        <v>4.1011178103285131E-3</v>
      </c>
      <c r="AF222" s="28">
        <v>7.7736036467399364E-3</v>
      </c>
      <c r="AG222" s="30">
        <v>0</v>
      </c>
      <c r="AH222" s="30">
        <v>1.6491053126472278E-5</v>
      </c>
      <c r="AI222" s="30">
        <v>5.5356904822114297E-4</v>
      </c>
      <c r="AJ222" s="30">
        <v>3.7507357872791961E-4</v>
      </c>
      <c r="AK222" s="30">
        <v>1.9726634294848491E-4</v>
      </c>
      <c r="AL222" s="30">
        <v>1.389134425749195E-2</v>
      </c>
      <c r="AM222" s="30">
        <v>1.503374428051597E-2</v>
      </c>
      <c r="AN222" s="32">
        <v>0</v>
      </c>
      <c r="AO222" s="32">
        <v>1.179775095002105E-5</v>
      </c>
      <c r="AP222" s="32">
        <v>6.9799632797501057E-7</v>
      </c>
      <c r="AQ222" s="32">
        <v>7.4641524221169363E-7</v>
      </c>
      <c r="AR222" s="32">
        <v>8.0058061226315808E-7</v>
      </c>
      <c r="AS222" s="32">
        <v>1.0405388561626171E-5</v>
      </c>
      <c r="AT222" s="32">
        <v>2.4448131694097082E-5</v>
      </c>
      <c r="AU222" s="34">
        <v>0</v>
      </c>
      <c r="AV222" s="34">
        <v>0</v>
      </c>
      <c r="AW222" s="34">
        <v>0.36525731774146686</v>
      </c>
      <c r="AX222" s="34">
        <v>0.17647448414364728</v>
      </c>
      <c r="AY222" s="34">
        <v>0.16909374899772653</v>
      </c>
      <c r="AZ222" s="34">
        <v>0.70860016296227279</v>
      </c>
      <c r="BA222" s="34">
        <v>1.4194257138451136</v>
      </c>
      <c r="BB222" s="6"/>
      <c r="BC222" s="6"/>
      <c r="BD222" t="s">
        <v>745</v>
      </c>
      <c r="BF222" s="5">
        <v>7.6373137000000008E-2</v>
      </c>
      <c r="BG222" s="5">
        <f t="shared" si="9"/>
        <v>-6.0525794845364689E-4</v>
      </c>
      <c r="BH222" s="2">
        <v>184.07173</v>
      </c>
    </row>
    <row r="223" spans="1:60" x14ac:dyDescent="0.2">
      <c r="A223" t="str">
        <f t="shared" si="8"/>
        <v>Motorbike, battery electric, &gt;35kW - 2020 - NCA - CH</v>
      </c>
      <c r="B223" t="s">
        <v>658</v>
      </c>
      <c r="D223" s="18">
        <v>2020</v>
      </c>
      <c r="E223" t="s">
        <v>37</v>
      </c>
      <c r="F223" t="s">
        <v>136</v>
      </c>
      <c r="G223" t="s">
        <v>39</v>
      </c>
      <c r="H223" t="s">
        <v>32</v>
      </c>
      <c r="I223" t="s">
        <v>44</v>
      </c>
      <c r="J223" t="s">
        <v>136</v>
      </c>
      <c r="L223" s="24">
        <v>0</v>
      </c>
      <c r="M223" s="24">
        <v>0</v>
      </c>
      <c r="N223" s="24">
        <v>8.710249309141712E-3</v>
      </c>
      <c r="O223" s="24">
        <v>1.2306591692257861E-2</v>
      </c>
      <c r="P223" s="24">
        <v>5.1803144373403784E-3</v>
      </c>
      <c r="Q223" s="24">
        <v>9.226026278512707E-2</v>
      </c>
      <c r="R223" s="24">
        <v>0.11845741822386702</v>
      </c>
      <c r="S223" s="26">
        <v>0</v>
      </c>
      <c r="T223" s="26">
        <v>0</v>
      </c>
      <c r="U223" s="26">
        <v>9.2192268862119461E-4</v>
      </c>
      <c r="V223" s="26">
        <v>4.722191823356421E-4</v>
      </c>
      <c r="W223" s="26">
        <v>3.5427750153045991E-4</v>
      </c>
      <c r="X223" s="26">
        <v>7.6149529955145595E-2</v>
      </c>
      <c r="Y223" s="26">
        <v>7.7897949327632887E-2</v>
      </c>
      <c r="Z223" s="28">
        <v>0</v>
      </c>
      <c r="AA223" s="28">
        <v>3.1271735442865911E-3</v>
      </c>
      <c r="AB223" s="28">
        <v>2.7017903449822622E-4</v>
      </c>
      <c r="AC223" s="28">
        <v>1.5438989133449149E-4</v>
      </c>
      <c r="AD223" s="28">
        <v>1.5836270492731959E-4</v>
      </c>
      <c r="AE223" s="28">
        <v>8.7724561373138318E-3</v>
      </c>
      <c r="AF223" s="28">
        <v>1.248256131236046E-2</v>
      </c>
      <c r="AG223" s="30">
        <v>0</v>
      </c>
      <c r="AH223" s="30">
        <v>1.6491053126472278E-5</v>
      </c>
      <c r="AI223" s="30">
        <v>6.1733084103202476E-4</v>
      </c>
      <c r="AJ223" s="30">
        <v>3.7507357872791961E-4</v>
      </c>
      <c r="AK223" s="30">
        <v>2.0633175764710139E-4</v>
      </c>
      <c r="AL223" s="30">
        <v>2.8152876096115151E-2</v>
      </c>
      <c r="AM223" s="30">
        <v>2.9368103326648669E-2</v>
      </c>
      <c r="AN223" s="32">
        <v>0</v>
      </c>
      <c r="AO223" s="32">
        <v>1.179775095002105E-5</v>
      </c>
      <c r="AP223" s="32">
        <v>7.7839370096780042E-7</v>
      </c>
      <c r="AQ223" s="32">
        <v>7.4641524221169363E-7</v>
      </c>
      <c r="AR223" s="32">
        <v>8.3637552589567275E-7</v>
      </c>
      <c r="AS223" s="32">
        <v>2.0873534009772648E-5</v>
      </c>
      <c r="AT223" s="32">
        <v>3.5032469428868864E-5</v>
      </c>
      <c r="AU223" s="34">
        <v>0</v>
      </c>
      <c r="AV223" s="34">
        <v>0</v>
      </c>
      <c r="AW223" s="34">
        <v>0.40732878378771509</v>
      </c>
      <c r="AX223" s="34">
        <v>0.17647448414364728</v>
      </c>
      <c r="AY223" s="34">
        <v>0.18017234218095599</v>
      </c>
      <c r="AZ223" s="34">
        <v>1.2978873569553775</v>
      </c>
      <c r="BA223" s="34">
        <v>2.0618629670676958</v>
      </c>
      <c r="BB223" s="6"/>
      <c r="BC223" s="6"/>
      <c r="BD223" t="s">
        <v>746</v>
      </c>
      <c r="BF223" s="5">
        <v>0.11359316000000001</v>
      </c>
      <c r="BG223" s="5">
        <f t="shared" si="9"/>
        <v>-4.8642582238670046E-3</v>
      </c>
      <c r="BH223" s="2">
        <v>362.22152</v>
      </c>
    </row>
    <row r="224" spans="1:60" x14ac:dyDescent="0.2">
      <c r="A224" t="str">
        <f t="shared" si="8"/>
        <v>Motorbike, battery electric, &gt;35kW - 2030 - NCA - CH</v>
      </c>
      <c r="B224" t="s">
        <v>658</v>
      </c>
      <c r="D224" s="18">
        <v>2030</v>
      </c>
      <c r="E224" t="s">
        <v>37</v>
      </c>
      <c r="F224" t="s">
        <v>136</v>
      </c>
      <c r="G224" t="s">
        <v>39</v>
      </c>
      <c r="H224" t="s">
        <v>32</v>
      </c>
      <c r="I224" t="s">
        <v>44</v>
      </c>
      <c r="J224" t="s">
        <v>136</v>
      </c>
      <c r="L224" s="24">
        <v>0</v>
      </c>
      <c r="M224" s="24">
        <v>0</v>
      </c>
      <c r="N224" s="24">
        <v>8.710249309141712E-3</v>
      </c>
      <c r="O224" s="24">
        <v>1.2306591692257861E-2</v>
      </c>
      <c r="P224" s="24">
        <v>5.2456030862136592E-3</v>
      </c>
      <c r="Q224" s="24">
        <v>8.8669385559089264E-2</v>
      </c>
      <c r="R224" s="24">
        <v>0.1149318296467025</v>
      </c>
      <c r="S224" s="26">
        <v>0</v>
      </c>
      <c r="T224" s="26">
        <v>0</v>
      </c>
      <c r="U224" s="26">
        <v>9.2192268862119461E-4</v>
      </c>
      <c r="V224" s="26">
        <v>4.722191823356421E-4</v>
      </c>
      <c r="W224" s="26">
        <v>3.5840293720659718E-4</v>
      </c>
      <c r="X224" s="26">
        <v>7.0518257967876377E-2</v>
      </c>
      <c r="Y224" s="26">
        <v>7.2270802776039811E-2</v>
      </c>
      <c r="Z224" s="28">
        <v>0</v>
      </c>
      <c r="AA224" s="28">
        <v>3.1271735442865911E-3</v>
      </c>
      <c r="AB224" s="28">
        <v>2.7017903449822622E-4</v>
      </c>
      <c r="AC224" s="28">
        <v>1.5438989133449149E-4</v>
      </c>
      <c r="AD224" s="28">
        <v>1.6023798705518531E-4</v>
      </c>
      <c r="AE224" s="28">
        <v>8.1803069574040623E-3</v>
      </c>
      <c r="AF224" s="28">
        <v>1.1892287414578557E-2</v>
      </c>
      <c r="AG224" s="30">
        <v>0</v>
      </c>
      <c r="AH224" s="30">
        <v>1.6491053126472278E-5</v>
      </c>
      <c r="AI224" s="30">
        <v>6.1733084103202476E-4</v>
      </c>
      <c r="AJ224" s="30">
        <v>3.7507357872791961E-4</v>
      </c>
      <c r="AK224" s="30">
        <v>2.080819105611646E-4</v>
      </c>
      <c r="AL224" s="30">
        <v>2.6382423865752638E-2</v>
      </c>
      <c r="AM224" s="30">
        <v>2.7599401249200219E-2</v>
      </c>
      <c r="AN224" s="32">
        <v>0</v>
      </c>
      <c r="AO224" s="32">
        <v>1.179775095002105E-5</v>
      </c>
      <c r="AP224" s="32">
        <v>7.7839370096780042E-7</v>
      </c>
      <c r="AQ224" s="32">
        <v>7.4641524221169363E-7</v>
      </c>
      <c r="AR224" s="32">
        <v>8.4328602855719433E-7</v>
      </c>
      <c r="AS224" s="32">
        <v>1.9492613346882631E-5</v>
      </c>
      <c r="AT224" s="32">
        <v>3.3658459268640366E-5</v>
      </c>
      <c r="AU224" s="34">
        <v>0</v>
      </c>
      <c r="AV224" s="34">
        <v>0</v>
      </c>
      <c r="AW224" s="34">
        <v>0.40732878378771509</v>
      </c>
      <c r="AX224" s="34">
        <v>0.17647448414364728</v>
      </c>
      <c r="AY224" s="34">
        <v>0.18231115576951787</v>
      </c>
      <c r="AZ224" s="34">
        <v>1.2367110840323652</v>
      </c>
      <c r="BA224" s="34">
        <v>2.0028255077332453</v>
      </c>
      <c r="BB224" s="6"/>
      <c r="BC224" s="6"/>
      <c r="BD224" t="s">
        <v>747</v>
      </c>
      <c r="BF224" s="5">
        <v>0.10968169</v>
      </c>
      <c r="BG224" s="5">
        <f t="shared" si="9"/>
        <v>-5.250139646702498E-3</v>
      </c>
      <c r="BH224" s="2">
        <v>335.95848000000001</v>
      </c>
    </row>
    <row r="225" spans="1:60" x14ac:dyDescent="0.2">
      <c r="A225" t="str">
        <f t="shared" si="8"/>
        <v>Motorbike, battery electric, &gt;35kW - 2040 - NCA - CH</v>
      </c>
      <c r="B225" t="s">
        <v>658</v>
      </c>
      <c r="D225" s="18">
        <v>2040</v>
      </c>
      <c r="E225" t="s">
        <v>37</v>
      </c>
      <c r="F225" t="s">
        <v>136</v>
      </c>
      <c r="G225" t="s">
        <v>39</v>
      </c>
      <c r="H225" t="s">
        <v>32</v>
      </c>
      <c r="I225" t="s">
        <v>44</v>
      </c>
      <c r="J225" t="s">
        <v>136</v>
      </c>
      <c r="L225" s="24">
        <v>0</v>
      </c>
      <c r="M225" s="24">
        <v>0</v>
      </c>
      <c r="N225" s="24">
        <v>8.710249309141712E-3</v>
      </c>
      <c r="O225" s="24">
        <v>1.2306591692257861E-2</v>
      </c>
      <c r="P225" s="24">
        <v>5.2483191858409056E-3</v>
      </c>
      <c r="Q225" s="24">
        <v>8.2743393760394676E-2</v>
      </c>
      <c r="R225" s="24">
        <v>0.10900855394763516</v>
      </c>
      <c r="S225" s="26">
        <v>0</v>
      </c>
      <c r="T225" s="26">
        <v>0</v>
      </c>
      <c r="U225" s="26">
        <v>9.2192268862119461E-4</v>
      </c>
      <c r="V225" s="26">
        <v>4.722191823356421E-4</v>
      </c>
      <c r="W225" s="26">
        <v>3.5857456113350578E-4</v>
      </c>
      <c r="X225" s="26">
        <v>6.3473830003672987E-2</v>
      </c>
      <c r="Y225" s="26">
        <v>6.5226546435763325E-2</v>
      </c>
      <c r="Z225" s="28">
        <v>0</v>
      </c>
      <c r="AA225" s="28">
        <v>3.1271735442865911E-3</v>
      </c>
      <c r="AB225" s="28">
        <v>2.7017903449822622E-4</v>
      </c>
      <c r="AC225" s="28">
        <v>1.5438989133449149E-4</v>
      </c>
      <c r="AD225" s="28">
        <v>1.6031600142945069E-4</v>
      </c>
      <c r="AE225" s="28">
        <v>7.3746976309239194E-3</v>
      </c>
      <c r="AF225" s="28">
        <v>1.1086756102472679E-2</v>
      </c>
      <c r="AG225" s="30">
        <v>0</v>
      </c>
      <c r="AH225" s="30">
        <v>1.6491053126472278E-5</v>
      </c>
      <c r="AI225" s="30">
        <v>6.1733084103202476E-4</v>
      </c>
      <c r="AJ225" s="30">
        <v>3.7507357872791961E-4</v>
      </c>
      <c r="AK225" s="30">
        <v>2.081547193841308E-4</v>
      </c>
      <c r="AL225" s="30">
        <v>2.3969884678922589E-2</v>
      </c>
      <c r="AM225" s="30">
        <v>2.5186934871193136E-2</v>
      </c>
      <c r="AN225" s="32">
        <v>0</v>
      </c>
      <c r="AO225" s="32">
        <v>1.179775095002105E-5</v>
      </c>
      <c r="AP225" s="32">
        <v>7.7839370096780042E-7</v>
      </c>
      <c r="AQ225" s="32">
        <v>7.4641524221169363E-7</v>
      </c>
      <c r="AR225" s="32">
        <v>8.4357351518813197E-7</v>
      </c>
      <c r="AS225" s="32">
        <v>1.7731691392513211E-5</v>
      </c>
      <c r="AT225" s="32">
        <v>3.189782480090189E-5</v>
      </c>
      <c r="AU225" s="34">
        <v>0</v>
      </c>
      <c r="AV225" s="34">
        <v>0</v>
      </c>
      <c r="AW225" s="34">
        <v>0.40732878378771509</v>
      </c>
      <c r="AX225" s="34">
        <v>0.17647448414364728</v>
      </c>
      <c r="AY225" s="34">
        <v>0.18240013342322792</v>
      </c>
      <c r="AZ225" s="34">
        <v>1.1454565874296407</v>
      </c>
      <c r="BA225" s="34">
        <v>1.9116599887842312</v>
      </c>
      <c r="BB225" s="6"/>
      <c r="BC225" s="6"/>
      <c r="BD225" t="s">
        <v>748</v>
      </c>
      <c r="BF225" s="5">
        <v>0.10413846</v>
      </c>
      <c r="BG225" s="5">
        <f t="shared" si="9"/>
        <v>-4.8700939476351568E-3</v>
      </c>
      <c r="BH225" s="2">
        <v>303.60194000000001</v>
      </c>
    </row>
    <row r="226" spans="1:60" x14ac:dyDescent="0.2">
      <c r="A226" t="str">
        <f t="shared" si="8"/>
        <v>Motorbike, battery electric, &gt;35kW - 2050 - NCA - CH</v>
      </c>
      <c r="B226" t="s">
        <v>658</v>
      </c>
      <c r="D226" s="18">
        <v>2050</v>
      </c>
      <c r="E226" t="s">
        <v>37</v>
      </c>
      <c r="F226" t="s">
        <v>136</v>
      </c>
      <c r="G226" t="s">
        <v>39</v>
      </c>
      <c r="H226" t="s">
        <v>32</v>
      </c>
      <c r="I226" t="s">
        <v>44</v>
      </c>
      <c r="J226" t="s">
        <v>136</v>
      </c>
      <c r="L226" s="24">
        <v>0</v>
      </c>
      <c r="M226" s="24">
        <v>0</v>
      </c>
      <c r="N226" s="24">
        <v>8.710249309141712E-3</v>
      </c>
      <c r="O226" s="24">
        <v>1.2306591692257861E-2</v>
      </c>
      <c r="P226" s="24">
        <v>5.2470901128252243E-3</v>
      </c>
      <c r="Q226" s="24">
        <v>7.6080301246672824E-2</v>
      </c>
      <c r="R226" s="24">
        <v>0.10234423236089762</v>
      </c>
      <c r="S226" s="26">
        <v>0</v>
      </c>
      <c r="T226" s="26">
        <v>0</v>
      </c>
      <c r="U226" s="26">
        <v>9.2192268862119461E-4</v>
      </c>
      <c r="V226" s="26">
        <v>4.722191823356421E-4</v>
      </c>
      <c r="W226" s="26">
        <v>3.5849689890959751E-4</v>
      </c>
      <c r="X226" s="26">
        <v>5.5736333721866087E-2</v>
      </c>
      <c r="Y226" s="26">
        <v>5.7488972491732522E-2</v>
      </c>
      <c r="Z226" s="28">
        <v>0</v>
      </c>
      <c r="AA226" s="28">
        <v>3.1271735442865911E-3</v>
      </c>
      <c r="AB226" s="28">
        <v>2.7017903449822622E-4</v>
      </c>
      <c r="AC226" s="28">
        <v>1.5438989133449149E-4</v>
      </c>
      <c r="AD226" s="28">
        <v>1.602806988355094E-4</v>
      </c>
      <c r="AE226" s="28">
        <v>6.4830224880350574E-3</v>
      </c>
      <c r="AF226" s="28">
        <v>1.0195045656989875E-2</v>
      </c>
      <c r="AG226" s="30">
        <v>0</v>
      </c>
      <c r="AH226" s="30">
        <v>1.6491053126472278E-5</v>
      </c>
      <c r="AI226" s="30">
        <v>6.1733084103202476E-4</v>
      </c>
      <c r="AJ226" s="30">
        <v>3.7507357872791961E-4</v>
      </c>
      <c r="AK226" s="30">
        <v>2.0812177237485561E-4</v>
      </c>
      <c r="AL226" s="30">
        <v>2.129777383274865E-2</v>
      </c>
      <c r="AM226" s="30">
        <v>2.2514791078009924E-2</v>
      </c>
      <c r="AN226" s="32">
        <v>0</v>
      </c>
      <c r="AO226" s="32">
        <v>1.179775095002105E-5</v>
      </c>
      <c r="AP226" s="32">
        <v>7.7839370096780042E-7</v>
      </c>
      <c r="AQ226" s="32">
        <v>7.4641524221169363E-7</v>
      </c>
      <c r="AR226" s="32">
        <v>8.4344342347245625E-7</v>
      </c>
      <c r="AS226" s="32">
        <v>1.5795554570516991E-5</v>
      </c>
      <c r="AT226" s="32">
        <v>2.996155788718999E-5</v>
      </c>
      <c r="AU226" s="34">
        <v>0</v>
      </c>
      <c r="AV226" s="34">
        <v>0</v>
      </c>
      <c r="AW226" s="34">
        <v>0.40732878378771509</v>
      </c>
      <c r="AX226" s="34">
        <v>0.17647448414364728</v>
      </c>
      <c r="AY226" s="34">
        <v>0.18235986979221949</v>
      </c>
      <c r="AZ226" s="34">
        <v>1.0436738540823072</v>
      </c>
      <c r="BA226" s="34">
        <v>1.8098369918058892</v>
      </c>
      <c r="BB226" s="6"/>
      <c r="BC226" s="6"/>
      <c r="BD226" t="s">
        <v>749</v>
      </c>
      <c r="BF226" s="5">
        <v>9.7976305E-2</v>
      </c>
      <c r="BG226" s="5">
        <f t="shared" si="9"/>
        <v>-4.3679273608976249E-3</v>
      </c>
      <c r="BH226" s="2">
        <v>268.05585000000002</v>
      </c>
    </row>
    <row r="227" spans="1:60" x14ac:dyDescent="0.2">
      <c r="A227" t="str">
        <f t="shared" ref="A227:A274" si="10">B227&amp;" - "&amp;D227&amp;" - "&amp;IF(I227&lt;&gt;"",I227&amp;" - "&amp;E227,E227)</f>
        <v>Motorbike, battery electric, &lt;4kW - 2020 - NMC - CH</v>
      </c>
      <c r="B227" t="s">
        <v>655</v>
      </c>
      <c r="D227" s="18">
        <v>2020</v>
      </c>
      <c r="E227" t="s">
        <v>37</v>
      </c>
      <c r="F227" t="s">
        <v>136</v>
      </c>
      <c r="G227" t="s">
        <v>39</v>
      </c>
      <c r="H227" t="s">
        <v>32</v>
      </c>
      <c r="I227" t="s">
        <v>42</v>
      </c>
      <c r="J227" t="s">
        <v>464</v>
      </c>
      <c r="L227" s="24">
        <v>0</v>
      </c>
      <c r="M227" s="24">
        <v>0</v>
      </c>
      <c r="N227" s="24">
        <v>7.4420517119050845E-4</v>
      </c>
      <c r="O227" s="24">
        <v>1.2306591692257861E-2</v>
      </c>
      <c r="P227" s="24">
        <v>4.4328520005473991E-3</v>
      </c>
      <c r="Q227" s="24">
        <v>3.7731612714263563E-2</v>
      </c>
      <c r="R227" s="24">
        <v>5.5215261578259331E-2</v>
      </c>
      <c r="S227" s="26">
        <v>0</v>
      </c>
      <c r="T227" s="26">
        <v>0</v>
      </c>
      <c r="U227" s="26">
        <v>4.2420634240975051E-4</v>
      </c>
      <c r="V227" s="26">
        <v>4.722191823356421E-4</v>
      </c>
      <c r="W227" s="26">
        <v>3.0704711375963563E-4</v>
      </c>
      <c r="X227" s="26">
        <v>4.3073131220721143E-2</v>
      </c>
      <c r="Y227" s="26">
        <v>4.4276603859226174E-2</v>
      </c>
      <c r="Z227" s="28">
        <v>0</v>
      </c>
      <c r="AA227" s="28">
        <v>3.1271735442865911E-3</v>
      </c>
      <c r="AB227" s="28">
        <v>7.4854103306236475E-5</v>
      </c>
      <c r="AC227" s="28">
        <v>1.5438989133449149E-4</v>
      </c>
      <c r="AD227" s="28">
        <v>1.3689338410113129E-4</v>
      </c>
      <c r="AE227" s="28">
        <v>3.5131444674290678E-3</v>
      </c>
      <c r="AF227" s="28">
        <v>7.0064553904575187E-3</v>
      </c>
      <c r="AG227" s="30">
        <v>0</v>
      </c>
      <c r="AH227" s="30">
        <v>1.6491053126472278E-5</v>
      </c>
      <c r="AI227" s="30">
        <v>2.805230458570776E-4</v>
      </c>
      <c r="AJ227" s="30">
        <v>3.7507357872791961E-4</v>
      </c>
      <c r="AK227" s="30">
        <v>1.8629498885984979E-4</v>
      </c>
      <c r="AL227" s="30">
        <v>1.0620833379668831E-2</v>
      </c>
      <c r="AM227" s="30">
        <v>1.1479216046240149E-2</v>
      </c>
      <c r="AN227" s="32">
        <v>0</v>
      </c>
      <c r="AO227" s="32">
        <v>1.179775095002105E-5</v>
      </c>
      <c r="AP227" s="32">
        <v>6.6275283726653284E-7</v>
      </c>
      <c r="AQ227" s="32">
        <v>7.4641524221169363E-7</v>
      </c>
      <c r="AR227" s="32">
        <v>7.5726007094314899E-7</v>
      </c>
      <c r="AS227" s="32">
        <v>9.874007547004985E-6</v>
      </c>
      <c r="AT227" s="32">
        <v>2.3838186647447407E-5</v>
      </c>
      <c r="AU227" s="34">
        <v>0</v>
      </c>
      <c r="AV227" s="34">
        <v>0</v>
      </c>
      <c r="AW227" s="34">
        <v>7.4146077341334599E-3</v>
      </c>
      <c r="AX227" s="34">
        <v>0.17647448414364728</v>
      </c>
      <c r="AY227" s="34">
        <v>0.1556859598719075</v>
      </c>
      <c r="AZ227" s="34">
        <v>0.54370848778751379</v>
      </c>
      <c r="BA227" s="34">
        <v>0.88328353953720207</v>
      </c>
      <c r="BB227" s="6"/>
      <c r="BC227" s="6"/>
      <c r="BD227" t="s">
        <v>947</v>
      </c>
      <c r="BF227" s="5">
        <v>5.3352997999999999E-2</v>
      </c>
      <c r="BG227" s="5">
        <f t="shared" si="9"/>
        <v>-1.8622635782593322E-3</v>
      </c>
      <c r="BH227" s="2">
        <v>125.24818999999999</v>
      </c>
    </row>
    <row r="228" spans="1:60" x14ac:dyDescent="0.2">
      <c r="A228" t="str">
        <f t="shared" si="10"/>
        <v>Motorbike, battery electric, &lt;4kW - 2030 - NMC - CH</v>
      </c>
      <c r="B228" t="s">
        <v>655</v>
      </c>
      <c r="D228" s="18">
        <v>2030</v>
      </c>
      <c r="E228" t="s">
        <v>37</v>
      </c>
      <c r="F228" t="s">
        <v>136</v>
      </c>
      <c r="G228" t="s">
        <v>39</v>
      </c>
      <c r="H228" t="s">
        <v>32</v>
      </c>
      <c r="I228" t="s">
        <v>42</v>
      </c>
      <c r="J228" t="s">
        <v>464</v>
      </c>
      <c r="L228" s="24">
        <v>0</v>
      </c>
      <c r="M228" s="24">
        <v>0</v>
      </c>
      <c r="N228" s="24">
        <v>7.4420517119050845E-4</v>
      </c>
      <c r="O228" s="24">
        <v>1.2306591692257861E-2</v>
      </c>
      <c r="P228" s="24">
        <v>4.4354770577290396E-3</v>
      </c>
      <c r="Q228" s="24">
        <v>3.6150989630984988E-2</v>
      </c>
      <c r="R228" s="24">
        <v>5.3637263552162397E-2</v>
      </c>
      <c r="S228" s="26">
        <v>0</v>
      </c>
      <c r="T228" s="26">
        <v>0</v>
      </c>
      <c r="U228" s="26">
        <v>4.2420634240975051E-4</v>
      </c>
      <c r="V228" s="26">
        <v>4.722191823356421E-4</v>
      </c>
      <c r="W228" s="26">
        <v>3.0721298492921762E-4</v>
      </c>
      <c r="X228" s="26">
        <v>3.6101004899327008E-2</v>
      </c>
      <c r="Y228" s="26">
        <v>3.7304643409001616E-2</v>
      </c>
      <c r="Z228" s="28">
        <v>0</v>
      </c>
      <c r="AA228" s="28">
        <v>3.1271735442865911E-3</v>
      </c>
      <c r="AB228" s="28">
        <v>7.4854103306236475E-5</v>
      </c>
      <c r="AC228" s="28">
        <v>1.5438989133449149E-4</v>
      </c>
      <c r="AD228" s="28">
        <v>1.3696878346843811E-4</v>
      </c>
      <c r="AE228" s="28">
        <v>3.045672236259228E-3</v>
      </c>
      <c r="AF228" s="28">
        <v>6.5390585586549855E-3</v>
      </c>
      <c r="AG228" s="30">
        <v>0</v>
      </c>
      <c r="AH228" s="30">
        <v>1.6491053126472278E-5</v>
      </c>
      <c r="AI228" s="30">
        <v>2.805230458570776E-4</v>
      </c>
      <c r="AJ228" s="30">
        <v>3.7507357872791961E-4</v>
      </c>
      <c r="AK228" s="30">
        <v>1.863653571636104E-4</v>
      </c>
      <c r="AL228" s="30">
        <v>9.5258486340622749E-3</v>
      </c>
      <c r="AM228" s="30">
        <v>1.0384301668937355E-2</v>
      </c>
      <c r="AN228" s="32">
        <v>0</v>
      </c>
      <c r="AO228" s="32">
        <v>1.179775095002105E-5</v>
      </c>
      <c r="AP228" s="32">
        <v>6.6275283726653284E-7</v>
      </c>
      <c r="AQ228" s="32">
        <v>7.4641524221169363E-7</v>
      </c>
      <c r="AR228" s="32">
        <v>7.5753792115070333E-7</v>
      </c>
      <c r="AS228" s="32">
        <v>8.6442927998933472E-6</v>
      </c>
      <c r="AT228" s="32">
        <v>2.2608749750543325E-5</v>
      </c>
      <c r="AU228" s="34">
        <v>0</v>
      </c>
      <c r="AV228" s="34">
        <v>0</v>
      </c>
      <c r="AW228" s="34">
        <v>7.4146077341334599E-3</v>
      </c>
      <c r="AX228" s="34">
        <v>0.17647448414364728</v>
      </c>
      <c r="AY228" s="34">
        <v>0.15577195503443175</v>
      </c>
      <c r="AZ228" s="34">
        <v>0.50865858246692519</v>
      </c>
      <c r="BA228" s="34">
        <v>0.84831962937913774</v>
      </c>
      <c r="BB228" s="6"/>
      <c r="BC228" s="6"/>
      <c r="BD228" t="s">
        <v>948</v>
      </c>
      <c r="BF228" s="5">
        <v>5.193979E-2</v>
      </c>
      <c r="BG228" s="5">
        <f t="shared" si="9"/>
        <v>-1.6974735521623971E-3</v>
      </c>
      <c r="BH228" s="2">
        <v>112.24854999999999</v>
      </c>
    </row>
    <row r="229" spans="1:60" x14ac:dyDescent="0.2">
      <c r="A229" t="str">
        <f t="shared" si="10"/>
        <v>Motorbike, battery electric, &lt;4kW - 2040 - NMC - CH</v>
      </c>
      <c r="B229" t="s">
        <v>655</v>
      </c>
      <c r="D229" s="18">
        <v>2040</v>
      </c>
      <c r="E229" t="s">
        <v>37</v>
      </c>
      <c r="F229" t="s">
        <v>136</v>
      </c>
      <c r="G229" t="s">
        <v>39</v>
      </c>
      <c r="H229" t="s">
        <v>32</v>
      </c>
      <c r="I229" t="s">
        <v>42</v>
      </c>
      <c r="J229" t="s">
        <v>464</v>
      </c>
      <c r="L229" s="24">
        <v>0</v>
      </c>
      <c r="M229" s="24">
        <v>0</v>
      </c>
      <c r="N229" s="24">
        <v>7.4420517119050845E-4</v>
      </c>
      <c r="O229" s="24">
        <v>1.2306591692257861E-2</v>
      </c>
      <c r="P229" s="24">
        <v>4.434103834174483E-3</v>
      </c>
      <c r="Q229" s="24">
        <v>3.5912100467703358E-2</v>
      </c>
      <c r="R229" s="24">
        <v>5.3397001165326211E-2</v>
      </c>
      <c r="S229" s="26">
        <v>0</v>
      </c>
      <c r="T229" s="26">
        <v>0</v>
      </c>
      <c r="U229" s="26">
        <v>4.2420634240975051E-4</v>
      </c>
      <c r="V229" s="26">
        <v>4.722191823356421E-4</v>
      </c>
      <c r="W229" s="26">
        <v>3.0712621417287557E-4</v>
      </c>
      <c r="X229" s="26">
        <v>3.3072757472973058E-2</v>
      </c>
      <c r="Y229" s="26">
        <v>3.4276309211891329E-2</v>
      </c>
      <c r="Z229" s="28">
        <v>0</v>
      </c>
      <c r="AA229" s="28">
        <v>3.1271735442865911E-3</v>
      </c>
      <c r="AB229" s="28">
        <v>7.4854103306236475E-5</v>
      </c>
      <c r="AC229" s="28">
        <v>1.5438989133449149E-4</v>
      </c>
      <c r="AD229" s="28">
        <v>1.3692934044681231E-4</v>
      </c>
      <c r="AE229" s="28">
        <v>2.8635356772810571E-3</v>
      </c>
      <c r="AF229" s="28">
        <v>6.3568825566551884E-3</v>
      </c>
      <c r="AG229" s="30">
        <v>0</v>
      </c>
      <c r="AH229" s="30">
        <v>1.6491053126472278E-5</v>
      </c>
      <c r="AI229" s="30">
        <v>2.805230458570776E-4</v>
      </c>
      <c r="AJ229" s="30">
        <v>3.7507357872791961E-4</v>
      </c>
      <c r="AK229" s="30">
        <v>1.8632854599892639E-4</v>
      </c>
      <c r="AL229" s="30">
        <v>9.1263158500380914E-3</v>
      </c>
      <c r="AM229" s="30">
        <v>9.9847320737484879E-3</v>
      </c>
      <c r="AN229" s="32">
        <v>0</v>
      </c>
      <c r="AO229" s="32">
        <v>1.179775095002105E-5</v>
      </c>
      <c r="AP229" s="32">
        <v>6.6275283726653284E-7</v>
      </c>
      <c r="AQ229" s="32">
        <v>7.4641524221169363E-7</v>
      </c>
      <c r="AR229" s="32">
        <v>7.5739257176467052E-7</v>
      </c>
      <c r="AS229" s="32">
        <v>8.1157492810330466E-6</v>
      </c>
      <c r="AT229" s="32">
        <v>2.2080060882296992E-5</v>
      </c>
      <c r="AU229" s="34">
        <v>0</v>
      </c>
      <c r="AV229" s="34">
        <v>0</v>
      </c>
      <c r="AW229" s="34">
        <v>7.4146077341334599E-3</v>
      </c>
      <c r="AX229" s="34">
        <v>0.17647448414364728</v>
      </c>
      <c r="AY229" s="34">
        <v>0.15572696912571241</v>
      </c>
      <c r="AZ229" s="34">
        <v>0.49797394030048725</v>
      </c>
      <c r="BA229" s="34">
        <v>0.83759000130398042</v>
      </c>
      <c r="BB229" s="6"/>
      <c r="BC229" s="6"/>
      <c r="BD229" t="s">
        <v>949</v>
      </c>
      <c r="BF229" s="5">
        <v>5.1483592999999994E-2</v>
      </c>
      <c r="BG229" s="5">
        <f t="shared" si="9"/>
        <v>-1.9134081653262164E-3</v>
      </c>
      <c r="BH229" s="2">
        <v>106.53724</v>
      </c>
    </row>
    <row r="230" spans="1:60" x14ac:dyDescent="0.2">
      <c r="A230" t="str">
        <f t="shared" si="10"/>
        <v>Motorbike, battery electric, &lt;4kW - 2050 - NMC - CH</v>
      </c>
      <c r="B230" t="s">
        <v>655</v>
      </c>
      <c r="D230" s="18">
        <v>2050</v>
      </c>
      <c r="E230" t="s">
        <v>37</v>
      </c>
      <c r="F230" t="s">
        <v>136</v>
      </c>
      <c r="G230" t="s">
        <v>39</v>
      </c>
      <c r="H230" t="s">
        <v>32</v>
      </c>
      <c r="I230" t="s">
        <v>42</v>
      </c>
      <c r="J230" t="s">
        <v>464</v>
      </c>
      <c r="L230" s="24">
        <v>0</v>
      </c>
      <c r="M230" s="24">
        <v>0</v>
      </c>
      <c r="N230" s="24">
        <v>7.4420517119050845E-4</v>
      </c>
      <c r="O230" s="24">
        <v>1.2306591692257861E-2</v>
      </c>
      <c r="P230" s="24">
        <v>4.433716903780657E-3</v>
      </c>
      <c r="Q230" s="24">
        <v>4.8722811857781059E-2</v>
      </c>
      <c r="R230" s="24">
        <v>6.6207325625010083E-2</v>
      </c>
      <c r="S230" s="26">
        <v>0</v>
      </c>
      <c r="T230" s="26">
        <v>0</v>
      </c>
      <c r="U230" s="26">
        <v>4.2420634240975051E-4</v>
      </c>
      <c r="V230" s="26">
        <v>4.722191823356421E-4</v>
      </c>
      <c r="W230" s="26">
        <v>3.0710176495423781E-4</v>
      </c>
      <c r="X230" s="26">
        <v>5.3634881422349651E-2</v>
      </c>
      <c r="Y230" s="26">
        <v>5.4838408712049279E-2</v>
      </c>
      <c r="Z230" s="28">
        <v>0</v>
      </c>
      <c r="AA230" s="28">
        <v>3.1271735442865911E-3</v>
      </c>
      <c r="AB230" s="28">
        <v>7.4854103306236475E-5</v>
      </c>
      <c r="AC230" s="28">
        <v>1.5438989133449149E-4</v>
      </c>
      <c r="AD230" s="28">
        <v>1.3691822666723821E-4</v>
      </c>
      <c r="AE230" s="28">
        <v>4.6255852130350772E-3</v>
      </c>
      <c r="AF230" s="28">
        <v>8.1189209786296339E-3</v>
      </c>
      <c r="AG230" s="30">
        <v>0</v>
      </c>
      <c r="AH230" s="30">
        <v>1.6491053126472278E-5</v>
      </c>
      <c r="AI230" s="30">
        <v>2.805230458570776E-4</v>
      </c>
      <c r="AJ230" s="30">
        <v>3.7507357872791961E-4</v>
      </c>
      <c r="AK230" s="30">
        <v>1.8631817379230269E-4</v>
      </c>
      <c r="AL230" s="30">
        <v>1.371885835088588E-2</v>
      </c>
      <c r="AM230" s="30">
        <v>1.4577264202389651E-2</v>
      </c>
      <c r="AN230" s="32">
        <v>0</v>
      </c>
      <c r="AO230" s="32">
        <v>1.179775095002105E-5</v>
      </c>
      <c r="AP230" s="32">
        <v>6.6275283726653284E-7</v>
      </c>
      <c r="AQ230" s="32">
        <v>7.4641524221169363E-7</v>
      </c>
      <c r="AR230" s="32">
        <v>7.5735161696529122E-7</v>
      </c>
      <c r="AS230" s="32">
        <v>1.187505888308293E-5</v>
      </c>
      <c r="AT230" s="32">
        <v>2.5839329529547497E-5</v>
      </c>
      <c r="AU230" s="34">
        <v>0</v>
      </c>
      <c r="AV230" s="34">
        <v>0</v>
      </c>
      <c r="AW230" s="34">
        <v>7.4146077341334599E-3</v>
      </c>
      <c r="AX230" s="34">
        <v>0.17647448414364728</v>
      </c>
      <c r="AY230" s="34">
        <v>0.15571429353817273</v>
      </c>
      <c r="AZ230" s="34">
        <v>0.68457763636854829</v>
      </c>
      <c r="BA230" s="34">
        <v>1.0241810217845018</v>
      </c>
      <c r="BB230" s="6"/>
      <c r="BC230" s="6"/>
      <c r="BD230" t="s">
        <v>950</v>
      </c>
      <c r="BF230" s="5">
        <v>5.8742284999999998E-2</v>
      </c>
      <c r="BG230" s="5">
        <f t="shared" si="9"/>
        <v>-7.4650406250100845E-3</v>
      </c>
      <c r="BH230" s="2">
        <v>143.98715000000001</v>
      </c>
    </row>
    <row r="231" spans="1:60" x14ac:dyDescent="0.2">
      <c r="A231" t="str">
        <f t="shared" si="10"/>
        <v>Motorbike, battery electric, 4-11kW - 2020 - NMC - CH</v>
      </c>
      <c r="B231" t="s">
        <v>656</v>
      </c>
      <c r="D231" s="18">
        <v>2020</v>
      </c>
      <c r="E231" t="s">
        <v>37</v>
      </c>
      <c r="F231" t="s">
        <v>136</v>
      </c>
      <c r="G231" t="s">
        <v>39</v>
      </c>
      <c r="H231" t="s">
        <v>32</v>
      </c>
      <c r="I231" t="s">
        <v>42</v>
      </c>
      <c r="J231" t="s">
        <v>464</v>
      </c>
      <c r="L231" s="24">
        <v>0</v>
      </c>
      <c r="M231" s="24">
        <v>0</v>
      </c>
      <c r="N231" s="24">
        <v>1.119382984765889E-3</v>
      </c>
      <c r="O231" s="24">
        <v>1.2306591692257861E-2</v>
      </c>
      <c r="P231" s="24">
        <v>4.5620586516537803E-3</v>
      </c>
      <c r="Q231" s="24">
        <v>4.8920262282214709E-2</v>
      </c>
      <c r="R231" s="24">
        <v>6.6908295610892232E-2</v>
      </c>
      <c r="S231" s="26">
        <v>0</v>
      </c>
      <c r="T231" s="26">
        <v>0</v>
      </c>
      <c r="U231" s="26">
        <v>6.380624323849139E-4</v>
      </c>
      <c r="V231" s="26">
        <v>4.722191823356421E-4</v>
      </c>
      <c r="W231" s="26">
        <v>3.1521137718470738E-4</v>
      </c>
      <c r="X231" s="26">
        <v>5.4538590521143467E-2</v>
      </c>
      <c r="Y231" s="26">
        <v>5.5964083513048733E-2</v>
      </c>
      <c r="Z231" s="28">
        <v>0</v>
      </c>
      <c r="AA231" s="28">
        <v>3.1271735442865911E-3</v>
      </c>
      <c r="AB231" s="28">
        <v>1.125904694358268E-4</v>
      </c>
      <c r="AC231" s="28">
        <v>1.5438989133449149E-4</v>
      </c>
      <c r="AD231" s="28">
        <v>1.406045793518013E-4</v>
      </c>
      <c r="AE231" s="28">
        <v>4.4499296217063557E-3</v>
      </c>
      <c r="AF231" s="28">
        <v>7.9846881061150666E-3</v>
      </c>
      <c r="AG231" s="30">
        <v>0</v>
      </c>
      <c r="AH231" s="30">
        <v>1.6491053126472278E-5</v>
      </c>
      <c r="AI231" s="30">
        <v>4.2194375492552171E-4</v>
      </c>
      <c r="AJ231" s="30">
        <v>3.7507357872791961E-4</v>
      </c>
      <c r="AK231" s="30">
        <v>1.897585526010612E-4</v>
      </c>
      <c r="AL231" s="30">
        <v>1.374556755101566E-2</v>
      </c>
      <c r="AM231" s="30">
        <v>1.4748834490396635E-2</v>
      </c>
      <c r="AN231" s="32">
        <v>0</v>
      </c>
      <c r="AO231" s="32">
        <v>1.179775095002105E-5</v>
      </c>
      <c r="AP231" s="32">
        <v>9.9686790398767734E-7</v>
      </c>
      <c r="AQ231" s="32">
        <v>7.4641524221169363E-7</v>
      </c>
      <c r="AR231" s="32">
        <v>7.7093599963467272E-7</v>
      </c>
      <c r="AS231" s="32">
        <v>1.2522572062321821E-5</v>
      </c>
      <c r="AT231" s="32">
        <v>2.6834542158176915E-5</v>
      </c>
      <c r="AU231" s="34">
        <v>0</v>
      </c>
      <c r="AV231" s="34">
        <v>0</v>
      </c>
      <c r="AW231" s="34">
        <v>1.1152550476134624E-2</v>
      </c>
      <c r="AX231" s="34">
        <v>0.17647448414364728</v>
      </c>
      <c r="AY231" s="34">
        <v>0.15991868555834748</v>
      </c>
      <c r="AZ231" s="34">
        <v>0.7018944944193094</v>
      </c>
      <c r="BA231" s="34">
        <v>1.0494402145974386</v>
      </c>
      <c r="BB231" s="6"/>
      <c r="BC231" s="6"/>
      <c r="BD231" t="s">
        <v>951</v>
      </c>
      <c r="BF231" s="5">
        <v>6.3126831000000008E-2</v>
      </c>
      <c r="BG231" s="5">
        <f t="shared" si="9"/>
        <v>-3.781464610892224E-3</v>
      </c>
      <c r="BH231" s="2">
        <v>149.24486999999999</v>
      </c>
    </row>
    <row r="232" spans="1:60" x14ac:dyDescent="0.2">
      <c r="A232" t="str">
        <f t="shared" si="10"/>
        <v>Motorbike, battery electric, 4-11kW - 2030 - NMC - CH</v>
      </c>
      <c r="B232" t="s">
        <v>656</v>
      </c>
      <c r="D232" s="18">
        <v>2030</v>
      </c>
      <c r="E232" t="s">
        <v>37</v>
      </c>
      <c r="F232" t="s">
        <v>136</v>
      </c>
      <c r="G232" t="s">
        <v>39</v>
      </c>
      <c r="H232" t="s">
        <v>32</v>
      </c>
      <c r="I232" t="s">
        <v>42</v>
      </c>
      <c r="J232" t="s">
        <v>464</v>
      </c>
      <c r="L232" s="24">
        <v>0</v>
      </c>
      <c r="M232" s="24">
        <v>0</v>
      </c>
      <c r="N232" s="24">
        <v>1.119382984765889E-3</v>
      </c>
      <c r="O232" s="24">
        <v>1.2306591692257861E-2</v>
      </c>
      <c r="P232" s="24">
        <v>4.5659445792955522E-3</v>
      </c>
      <c r="Q232" s="24">
        <v>5.0847739574879709E-2</v>
      </c>
      <c r="R232" s="24">
        <v>6.883965883119901E-2</v>
      </c>
      <c r="S232" s="26">
        <v>0</v>
      </c>
      <c r="T232" s="26">
        <v>0</v>
      </c>
      <c r="U232" s="26">
        <v>6.380624323849139E-4</v>
      </c>
      <c r="V232" s="26">
        <v>4.722191823356421E-4</v>
      </c>
      <c r="W232" s="26">
        <v>3.1545691978368762E-4</v>
      </c>
      <c r="X232" s="26">
        <v>5.3567251468282361E-2</v>
      </c>
      <c r="Y232" s="26">
        <v>5.4992990002786603E-2</v>
      </c>
      <c r="Z232" s="28">
        <v>0</v>
      </c>
      <c r="AA232" s="28">
        <v>3.1271735442865911E-3</v>
      </c>
      <c r="AB232" s="28">
        <v>1.125904694358268E-4</v>
      </c>
      <c r="AC232" s="28">
        <v>1.5438989133449149E-4</v>
      </c>
      <c r="AD232" s="28">
        <v>1.4071619462922781E-4</v>
      </c>
      <c r="AE232" s="28">
        <v>4.485928208278203E-3</v>
      </c>
      <c r="AF232" s="28">
        <v>8.0207983079643407E-3</v>
      </c>
      <c r="AG232" s="30">
        <v>0</v>
      </c>
      <c r="AH232" s="30">
        <v>1.6491053126472278E-5</v>
      </c>
      <c r="AI232" s="30">
        <v>4.2194375492552171E-4</v>
      </c>
      <c r="AJ232" s="30">
        <v>3.7507357872791961E-4</v>
      </c>
      <c r="AK232" s="30">
        <v>1.8986272028875961E-4</v>
      </c>
      <c r="AL232" s="30">
        <v>1.395166652116028E-2</v>
      </c>
      <c r="AM232" s="30">
        <v>1.4955037628228952E-2</v>
      </c>
      <c r="AN232" s="32">
        <v>0</v>
      </c>
      <c r="AO232" s="32">
        <v>1.179775095002105E-5</v>
      </c>
      <c r="AP232" s="32">
        <v>9.9686790398767734E-7</v>
      </c>
      <c r="AQ232" s="32">
        <v>7.4641524221169363E-7</v>
      </c>
      <c r="AR232" s="32">
        <v>7.713473071708888E-7</v>
      </c>
      <c r="AS232" s="32">
        <v>1.2387130655504919E-5</v>
      </c>
      <c r="AT232" s="32">
        <v>2.6699512058896227E-5</v>
      </c>
      <c r="AU232" s="34">
        <v>0</v>
      </c>
      <c r="AV232" s="34">
        <v>0</v>
      </c>
      <c r="AW232" s="34">
        <v>1.1152550476134624E-2</v>
      </c>
      <c r="AX232" s="34">
        <v>0.17647448414364728</v>
      </c>
      <c r="AY232" s="34">
        <v>0.16004598601543801</v>
      </c>
      <c r="AZ232" s="34">
        <v>0.71896573632358329</v>
      </c>
      <c r="BA232" s="34">
        <v>1.0666387569588032</v>
      </c>
      <c r="BB232" s="6"/>
      <c r="BC232" s="6"/>
      <c r="BD232" t="s">
        <v>952</v>
      </c>
      <c r="BF232" s="5">
        <v>6.3738665E-2</v>
      </c>
      <c r="BG232" s="5">
        <f t="shared" si="9"/>
        <v>-5.1009938311990105E-3</v>
      </c>
      <c r="BH232" s="2">
        <v>147.20254</v>
      </c>
    </row>
    <row r="233" spans="1:60" x14ac:dyDescent="0.2">
      <c r="A233" t="str">
        <f t="shared" si="10"/>
        <v>Motorbike, battery electric, 4-11kW - 2040 - NMC - CH</v>
      </c>
      <c r="B233" t="s">
        <v>656</v>
      </c>
      <c r="D233" s="18">
        <v>2040</v>
      </c>
      <c r="E233" t="s">
        <v>37</v>
      </c>
      <c r="F233" t="s">
        <v>136</v>
      </c>
      <c r="G233" t="s">
        <v>39</v>
      </c>
      <c r="H233" t="s">
        <v>32</v>
      </c>
      <c r="I233" t="s">
        <v>42</v>
      </c>
      <c r="J233" t="s">
        <v>464</v>
      </c>
      <c r="L233" s="24">
        <v>0</v>
      </c>
      <c r="M233" s="24">
        <v>0</v>
      </c>
      <c r="N233" s="24">
        <v>1.119382984765889E-3</v>
      </c>
      <c r="O233" s="24">
        <v>1.2306591692257861E-2</v>
      </c>
      <c r="P233" s="24">
        <v>4.5649187894673806E-3</v>
      </c>
      <c r="Q233" s="24">
        <v>4.9945219518561797E-2</v>
      </c>
      <c r="R233" s="24">
        <v>6.7936112985052921E-2</v>
      </c>
      <c r="S233" s="26">
        <v>0</v>
      </c>
      <c r="T233" s="26">
        <v>0</v>
      </c>
      <c r="U233" s="26">
        <v>6.380624323849139E-4</v>
      </c>
      <c r="V233" s="26">
        <v>4.722191823356421E-4</v>
      </c>
      <c r="W233" s="26">
        <v>3.1539210254475888E-4</v>
      </c>
      <c r="X233" s="26">
        <v>4.8628720590393887E-2</v>
      </c>
      <c r="Y233" s="26">
        <v>5.0054394307659199E-2</v>
      </c>
      <c r="Z233" s="28">
        <v>0</v>
      </c>
      <c r="AA233" s="28">
        <v>3.1271735442865911E-3</v>
      </c>
      <c r="AB233" s="28">
        <v>1.125904694358268E-4</v>
      </c>
      <c r="AC233" s="28">
        <v>1.5438989133449149E-4</v>
      </c>
      <c r="AD233" s="28">
        <v>1.4068673092665601E-4</v>
      </c>
      <c r="AE233" s="28">
        <v>4.164853860023532E-3</v>
      </c>
      <c r="AF233" s="28">
        <v>7.6996944960070974E-3</v>
      </c>
      <c r="AG233" s="30">
        <v>0</v>
      </c>
      <c r="AH233" s="30">
        <v>1.6491053126472278E-5</v>
      </c>
      <c r="AI233" s="30">
        <v>4.2194375492552171E-4</v>
      </c>
      <c r="AJ233" s="30">
        <v>3.7507357872791961E-4</v>
      </c>
      <c r="AK233" s="30">
        <v>1.8983522256767069E-4</v>
      </c>
      <c r="AL233" s="30">
        <v>1.321361617131683E-2</v>
      </c>
      <c r="AM233" s="30">
        <v>1.4216959780664415E-2</v>
      </c>
      <c r="AN233" s="32">
        <v>0</v>
      </c>
      <c r="AO233" s="32">
        <v>1.179775095002105E-5</v>
      </c>
      <c r="AP233" s="32">
        <v>9.9686790398767734E-7</v>
      </c>
      <c r="AQ233" s="32">
        <v>7.4641524221169363E-7</v>
      </c>
      <c r="AR233" s="32">
        <v>7.7123873204397056E-7</v>
      </c>
      <c r="AS233" s="32">
        <v>1.1517811144698971E-5</v>
      </c>
      <c r="AT233" s="32">
        <v>2.583008397296336E-5</v>
      </c>
      <c r="AU233" s="34">
        <v>0</v>
      </c>
      <c r="AV233" s="34">
        <v>0</v>
      </c>
      <c r="AW233" s="34">
        <v>1.1152550476134624E-2</v>
      </c>
      <c r="AX233" s="34">
        <v>0.17647448414364728</v>
      </c>
      <c r="AY233" s="34">
        <v>0.16001238180917302</v>
      </c>
      <c r="AZ233" s="34">
        <v>0.69632105167146874</v>
      </c>
      <c r="BA233" s="34">
        <v>1.0439604681004235</v>
      </c>
      <c r="BB233" s="6"/>
      <c r="BC233" s="6"/>
      <c r="BD233" t="s">
        <v>953</v>
      </c>
      <c r="BF233" s="5">
        <v>6.2810210000000005E-2</v>
      </c>
      <c r="BG233" s="5">
        <f t="shared" si="9"/>
        <v>-5.1259029850529159E-3</v>
      </c>
      <c r="BH233" s="2">
        <v>137.95820000000001</v>
      </c>
    </row>
    <row r="234" spans="1:60" x14ac:dyDescent="0.2">
      <c r="A234" t="str">
        <f t="shared" si="10"/>
        <v>Motorbike, battery electric, 4-11kW - 2050 - NMC - CH</v>
      </c>
      <c r="B234" t="s">
        <v>656</v>
      </c>
      <c r="D234" s="18">
        <v>2050</v>
      </c>
      <c r="E234" t="s">
        <v>37</v>
      </c>
      <c r="F234" t="s">
        <v>136</v>
      </c>
      <c r="G234" t="s">
        <v>39</v>
      </c>
      <c r="H234" t="s">
        <v>32</v>
      </c>
      <c r="I234" t="s">
        <v>42</v>
      </c>
      <c r="J234" t="s">
        <v>464</v>
      </c>
      <c r="L234" s="24">
        <v>0</v>
      </c>
      <c r="M234" s="24">
        <v>0</v>
      </c>
      <c r="N234" s="24">
        <v>1.119382984765889E-3</v>
      </c>
      <c r="O234" s="24">
        <v>7.9912933066609501E-3</v>
      </c>
      <c r="P234" s="24">
        <v>4.5678381722821411E-3</v>
      </c>
      <c r="Q234" s="24">
        <v>6.9598585968083854E-2</v>
      </c>
      <c r="R234" s="24">
        <v>8.327710043179283E-2</v>
      </c>
      <c r="S234" s="26">
        <v>0</v>
      </c>
      <c r="T234" s="26">
        <v>0</v>
      </c>
      <c r="U234" s="26">
        <v>6.380624323849139E-4</v>
      </c>
      <c r="V234" s="26">
        <v>3.0663583268548191E-4</v>
      </c>
      <c r="W234" s="26">
        <v>3.1557657145664722E-4</v>
      </c>
      <c r="X234" s="26">
        <v>8.1519463305638695E-2</v>
      </c>
      <c r="Y234" s="26">
        <v>8.2779738142165743E-2</v>
      </c>
      <c r="Z234" s="28">
        <v>0</v>
      </c>
      <c r="AA234" s="28">
        <v>3.1271735442865911E-3</v>
      </c>
      <c r="AB234" s="28">
        <v>1.125904694358268E-4</v>
      </c>
      <c r="AC234" s="28">
        <v>1.002531761912283E-4</v>
      </c>
      <c r="AD234" s="28">
        <v>1.4077058419229089E-4</v>
      </c>
      <c r="AE234" s="28">
        <v>6.9441795490579172E-3</v>
      </c>
      <c r="AF234" s="28">
        <v>1.0424967323163854E-2</v>
      </c>
      <c r="AG234" s="30">
        <v>0</v>
      </c>
      <c r="AH234" s="30">
        <v>1.6491053126472278E-5</v>
      </c>
      <c r="AI234" s="30">
        <v>4.2194375492552171E-4</v>
      </c>
      <c r="AJ234" s="30">
        <v>2.4355427190124649E-4</v>
      </c>
      <c r="AK234" s="30">
        <v>1.899134806788231E-4</v>
      </c>
      <c r="AL234" s="30">
        <v>2.0417785969691168E-2</v>
      </c>
      <c r="AM234" s="30">
        <v>2.1289688530323231E-2</v>
      </c>
      <c r="AN234" s="32">
        <v>0</v>
      </c>
      <c r="AO234" s="32">
        <v>1.179775095002105E-5</v>
      </c>
      <c r="AP234" s="32">
        <v>9.9686790398767734E-7</v>
      </c>
      <c r="AQ234" s="32">
        <v>4.8468522221538551E-7</v>
      </c>
      <c r="AR234" s="32">
        <v>7.7154773526366578E-7</v>
      </c>
      <c r="AS234" s="32">
        <v>1.751999621691411E-5</v>
      </c>
      <c r="AT234" s="32">
        <v>3.1570848028401886E-5</v>
      </c>
      <c r="AU234" s="34">
        <v>0</v>
      </c>
      <c r="AV234" s="34">
        <v>0</v>
      </c>
      <c r="AW234" s="34">
        <v>1.1152550476134624E-2</v>
      </c>
      <c r="AX234" s="34">
        <v>0.1145938208724982</v>
      </c>
      <c r="AY234" s="34">
        <v>0.16010801888762657</v>
      </c>
      <c r="AZ234" s="34">
        <v>0.98629421917407689</v>
      </c>
      <c r="BA234" s="34">
        <v>1.2721486094103363</v>
      </c>
      <c r="BB234" s="6"/>
      <c r="BC234" s="6"/>
      <c r="BD234" t="s">
        <v>954</v>
      </c>
      <c r="BF234" s="5">
        <v>7.0718003999999987E-2</v>
      </c>
      <c r="BG234" s="5">
        <f t="shared" si="9"/>
        <v>-1.2559096431792843E-2</v>
      </c>
      <c r="BH234" s="2">
        <v>194.50388000000001</v>
      </c>
    </row>
    <row r="235" spans="1:60" x14ac:dyDescent="0.2">
      <c r="A235" t="str">
        <f t="shared" si="10"/>
        <v>Motorbike, battery electric, 11-35kW - 2020 - NMC - CH</v>
      </c>
      <c r="B235" t="s">
        <v>657</v>
      </c>
      <c r="D235" s="18">
        <v>2020</v>
      </c>
      <c r="E235" t="s">
        <v>37</v>
      </c>
      <c r="F235" t="s">
        <v>136</v>
      </c>
      <c r="G235" t="s">
        <v>39</v>
      </c>
      <c r="H235" t="s">
        <v>32</v>
      </c>
      <c r="I235" t="s">
        <v>42</v>
      </c>
      <c r="J235" t="s">
        <v>464</v>
      </c>
      <c r="L235" s="24">
        <v>0</v>
      </c>
      <c r="M235" s="24">
        <v>0</v>
      </c>
      <c r="N235" s="24">
        <v>1.5152004931467059E-3</v>
      </c>
      <c r="O235" s="24">
        <v>1.2306591692257861E-2</v>
      </c>
      <c r="P235" s="24">
        <v>4.8377632773803636E-3</v>
      </c>
      <c r="Q235" s="24">
        <v>5.8569053018428567E-2</v>
      </c>
      <c r="R235" s="24">
        <v>7.722860848121349E-2</v>
      </c>
      <c r="S235" s="26">
        <v>0</v>
      </c>
      <c r="T235" s="26">
        <v>0</v>
      </c>
      <c r="U235" s="26">
        <v>8.6368340895427004E-4</v>
      </c>
      <c r="V235" s="26">
        <v>4.722191823356421E-4</v>
      </c>
      <c r="W235" s="26">
        <v>3.3263250196944769E-4</v>
      </c>
      <c r="X235" s="26">
        <v>7.9376902193139781E-2</v>
      </c>
      <c r="Y235" s="26">
        <v>8.1045437286399138E-2</v>
      </c>
      <c r="Z235" s="28">
        <v>0</v>
      </c>
      <c r="AA235" s="28">
        <v>3.1271735442865911E-3</v>
      </c>
      <c r="AB235" s="28">
        <v>1.5240283007201779E-4</v>
      </c>
      <c r="AC235" s="28">
        <v>1.5438989133449149E-4</v>
      </c>
      <c r="AD235" s="28">
        <v>1.4852362754957401E-4</v>
      </c>
      <c r="AE235" s="28">
        <v>6.4606502229099154E-3</v>
      </c>
      <c r="AF235" s="28">
        <v>1.004314011615259E-2</v>
      </c>
      <c r="AG235" s="30">
        <v>0</v>
      </c>
      <c r="AH235" s="30">
        <v>1.6491053126472278E-5</v>
      </c>
      <c r="AI235" s="30">
        <v>5.7114445569050236E-4</v>
      </c>
      <c r="AJ235" s="30">
        <v>3.7507357872791961E-4</v>
      </c>
      <c r="AK235" s="30">
        <v>1.971491980266176E-4</v>
      </c>
      <c r="AL235" s="30">
        <v>1.8523386487649372E-2</v>
      </c>
      <c r="AM235" s="30">
        <v>1.9683244773220882E-2</v>
      </c>
      <c r="AN235" s="32">
        <v>0</v>
      </c>
      <c r="AO235" s="32">
        <v>1.179775095002105E-5</v>
      </c>
      <c r="AP235" s="32">
        <v>1.349363676490181E-6</v>
      </c>
      <c r="AQ235" s="32">
        <v>7.4641524221169363E-7</v>
      </c>
      <c r="AR235" s="32">
        <v>8.0011806394075551E-7</v>
      </c>
      <c r="AS235" s="32">
        <v>1.666699152436914E-5</v>
      </c>
      <c r="AT235" s="32">
        <v>3.1360639457032821E-5</v>
      </c>
      <c r="AU235" s="34">
        <v>0</v>
      </c>
      <c r="AV235" s="34">
        <v>0</v>
      </c>
      <c r="AW235" s="34">
        <v>1.5096129038281648E-2</v>
      </c>
      <c r="AX235" s="34">
        <v>0.17647448414364728</v>
      </c>
      <c r="AY235" s="34">
        <v>0.16895058942080754</v>
      </c>
      <c r="AZ235" s="34">
        <v>0.86034454505320113</v>
      </c>
      <c r="BA235" s="34">
        <v>1.2208657476559375</v>
      </c>
      <c r="BB235" s="6"/>
      <c r="BC235" s="6"/>
      <c r="BD235" t="s">
        <v>955</v>
      </c>
      <c r="BF235" s="5">
        <v>6.8050756000000004E-2</v>
      </c>
      <c r="BG235" s="5">
        <f t="shared" si="9"/>
        <v>-9.177852481213486E-3</v>
      </c>
      <c r="BH235" s="2">
        <v>195.03688</v>
      </c>
    </row>
    <row r="236" spans="1:60" x14ac:dyDescent="0.2">
      <c r="A236" t="str">
        <f t="shared" si="10"/>
        <v>Motorbike, battery electric, 11-35kW - 2030 - NMC - CH</v>
      </c>
      <c r="B236" t="s">
        <v>657</v>
      </c>
      <c r="D236" s="18">
        <v>2030</v>
      </c>
      <c r="E236" t="s">
        <v>37</v>
      </c>
      <c r="F236" t="s">
        <v>136</v>
      </c>
      <c r="G236" t="s">
        <v>39</v>
      </c>
      <c r="H236" t="s">
        <v>32</v>
      </c>
      <c r="I236" t="s">
        <v>42</v>
      </c>
      <c r="J236" t="s">
        <v>464</v>
      </c>
      <c r="L236" s="24">
        <v>0</v>
      </c>
      <c r="M236" s="24">
        <v>0</v>
      </c>
      <c r="N236" s="24">
        <v>1.5152004931467059E-3</v>
      </c>
      <c r="O236" s="24">
        <v>1.2306591692257861E-2</v>
      </c>
      <c r="P236" s="24">
        <v>4.8395234313287488E-3</v>
      </c>
      <c r="Q236" s="24">
        <v>5.6848945373648319E-2</v>
      </c>
      <c r="R236" s="24">
        <v>7.5510260990381634E-2</v>
      </c>
      <c r="S236" s="26">
        <v>0</v>
      </c>
      <c r="T236" s="26">
        <v>0</v>
      </c>
      <c r="U236" s="26">
        <v>8.6368340895427004E-4</v>
      </c>
      <c r="V236" s="26">
        <v>4.722191823356421E-4</v>
      </c>
      <c r="W236" s="26">
        <v>3.3274372194442772E-4</v>
      </c>
      <c r="X236" s="26">
        <v>7.2166381107043945E-2</v>
      </c>
      <c r="Y236" s="26">
        <v>7.3835027420278282E-2</v>
      </c>
      <c r="Z236" s="28">
        <v>0</v>
      </c>
      <c r="AA236" s="28">
        <v>3.1271735442865911E-3</v>
      </c>
      <c r="AB236" s="28">
        <v>1.5240283007201779E-4</v>
      </c>
      <c r="AC236" s="28">
        <v>1.5438989133449149E-4</v>
      </c>
      <c r="AD236" s="28">
        <v>1.4857418435077391E-4</v>
      </c>
      <c r="AE236" s="28">
        <v>5.9730944153691054E-3</v>
      </c>
      <c r="AF236" s="28">
        <v>9.5556348654129795E-3</v>
      </c>
      <c r="AG236" s="30">
        <v>0</v>
      </c>
      <c r="AH236" s="30">
        <v>1.6491053126472278E-5</v>
      </c>
      <c r="AI236" s="30">
        <v>5.7114445569050236E-4</v>
      </c>
      <c r="AJ236" s="30">
        <v>3.7507357872791961E-4</v>
      </c>
      <c r="AK236" s="30">
        <v>1.971963813979253E-4</v>
      </c>
      <c r="AL236" s="30">
        <v>1.7377269998704599E-2</v>
      </c>
      <c r="AM236" s="30">
        <v>1.8537175467647417E-2</v>
      </c>
      <c r="AN236" s="32">
        <v>0</v>
      </c>
      <c r="AO236" s="32">
        <v>1.179775095002105E-5</v>
      </c>
      <c r="AP236" s="32">
        <v>1.349363676490181E-6</v>
      </c>
      <c r="AQ236" s="32">
        <v>7.4641524221169363E-7</v>
      </c>
      <c r="AR236" s="32">
        <v>8.0030436812616762E-7</v>
      </c>
      <c r="AS236" s="32">
        <v>1.5392959304160391E-5</v>
      </c>
      <c r="AT236" s="32">
        <v>3.0086793541009483E-5</v>
      </c>
      <c r="AU236" s="34">
        <v>0</v>
      </c>
      <c r="AV236" s="34">
        <v>0</v>
      </c>
      <c r="AW236" s="34">
        <v>1.5096129038281648E-2</v>
      </c>
      <c r="AX236" s="34">
        <v>0.17647448414364728</v>
      </c>
      <c r="AY236" s="34">
        <v>0.16900825091706656</v>
      </c>
      <c r="AZ236" s="34">
        <v>0.82320647866840024</v>
      </c>
      <c r="BA236" s="34">
        <v>1.1837853427673957</v>
      </c>
      <c r="BB236" s="6"/>
      <c r="BC236" s="6"/>
      <c r="BD236" t="s">
        <v>956</v>
      </c>
      <c r="BF236" s="5">
        <v>6.6553926999999999E-2</v>
      </c>
      <c r="BG236" s="5">
        <f t="shared" si="9"/>
        <v>-8.9563339903816347E-3</v>
      </c>
      <c r="BH236" s="2">
        <v>181.59727000000001</v>
      </c>
    </row>
    <row r="237" spans="1:60" x14ac:dyDescent="0.2">
      <c r="A237" t="str">
        <f t="shared" si="10"/>
        <v>Motorbike, battery electric, 11-35kW - 2040 - NMC - CH</v>
      </c>
      <c r="B237" t="s">
        <v>657</v>
      </c>
      <c r="D237" s="18">
        <v>2040</v>
      </c>
      <c r="E237" t="s">
        <v>37</v>
      </c>
      <c r="F237" t="s">
        <v>136</v>
      </c>
      <c r="G237" t="s">
        <v>39</v>
      </c>
      <c r="H237" t="s">
        <v>32</v>
      </c>
      <c r="I237" t="s">
        <v>42</v>
      </c>
      <c r="J237" t="s">
        <v>464</v>
      </c>
      <c r="L237" s="24">
        <v>0</v>
      </c>
      <c r="M237" s="24">
        <v>0</v>
      </c>
      <c r="N237" s="24">
        <v>1.5152004931467059E-3</v>
      </c>
      <c r="O237" s="24">
        <v>1.2306591692257861E-2</v>
      </c>
      <c r="P237" s="24">
        <v>4.8429982180027134E-3</v>
      </c>
      <c r="Q237" s="24">
        <v>5.3684904657885529E-2</v>
      </c>
      <c r="R237" s="24">
        <v>7.234969506129281E-2</v>
      </c>
      <c r="S237" s="26">
        <v>0</v>
      </c>
      <c r="T237" s="26">
        <v>0</v>
      </c>
      <c r="U237" s="26">
        <v>8.6368340895427004E-4</v>
      </c>
      <c r="V237" s="26">
        <v>4.722191823356421E-4</v>
      </c>
      <c r="W237" s="26">
        <v>3.3296328551572421E-4</v>
      </c>
      <c r="X237" s="26">
        <v>6.337911973557539E-2</v>
      </c>
      <c r="Y237" s="26">
        <v>6.5047985612381024E-2</v>
      </c>
      <c r="Z237" s="28">
        <v>0</v>
      </c>
      <c r="AA237" s="28">
        <v>3.1271735442865911E-3</v>
      </c>
      <c r="AB237" s="28">
        <v>1.5240283007201779E-4</v>
      </c>
      <c r="AC237" s="28">
        <v>1.5438989133449149E-4</v>
      </c>
      <c r="AD237" s="28">
        <v>1.4867399044969431E-4</v>
      </c>
      <c r="AE237" s="28">
        <v>5.3287854582830261E-3</v>
      </c>
      <c r="AF237" s="28">
        <v>8.9114257144258212E-3</v>
      </c>
      <c r="AG237" s="30">
        <v>0</v>
      </c>
      <c r="AH237" s="30">
        <v>1.6491053126472278E-5</v>
      </c>
      <c r="AI237" s="30">
        <v>5.7114445569050236E-4</v>
      </c>
      <c r="AJ237" s="30">
        <v>3.7507357872791961E-4</v>
      </c>
      <c r="AK237" s="30">
        <v>1.9728952788093779E-4</v>
      </c>
      <c r="AL237" s="30">
        <v>1.5801163181385459E-2</v>
      </c>
      <c r="AM237" s="30">
        <v>1.6961161796811289E-2</v>
      </c>
      <c r="AN237" s="32">
        <v>0</v>
      </c>
      <c r="AO237" s="32">
        <v>1.179775095002105E-5</v>
      </c>
      <c r="AP237" s="32">
        <v>1.349363676490181E-6</v>
      </c>
      <c r="AQ237" s="32">
        <v>7.4641524221169363E-7</v>
      </c>
      <c r="AR237" s="32">
        <v>8.0067215828530021E-7</v>
      </c>
      <c r="AS237" s="32">
        <v>1.382403194090753E-5</v>
      </c>
      <c r="AT237" s="32">
        <v>2.8518233967915754E-5</v>
      </c>
      <c r="AU237" s="34">
        <v>0</v>
      </c>
      <c r="AV237" s="34">
        <v>0</v>
      </c>
      <c r="AW237" s="34">
        <v>1.5096129038281648E-2</v>
      </c>
      <c r="AX237" s="34">
        <v>0.17647448414364728</v>
      </c>
      <c r="AY237" s="34">
        <v>0.16912208266399173</v>
      </c>
      <c r="AZ237" s="34">
        <v>0.76706184836719249</v>
      </c>
      <c r="BA237" s="34">
        <v>1.1277545442131132</v>
      </c>
      <c r="BB237" s="6"/>
      <c r="BC237" s="6"/>
      <c r="BD237" t="s">
        <v>957</v>
      </c>
      <c r="BF237" s="5">
        <v>6.4338407E-2</v>
      </c>
      <c r="BG237" s="5">
        <f t="shared" si="9"/>
        <v>-8.0112880612928095E-3</v>
      </c>
      <c r="BH237" s="2">
        <v>165.36508000000001</v>
      </c>
    </row>
    <row r="238" spans="1:60" x14ac:dyDescent="0.2">
      <c r="A238" t="str">
        <f t="shared" si="10"/>
        <v>Motorbike, battery electric, 11-35kW - 2050 - NMC - CH</v>
      </c>
      <c r="B238" t="s">
        <v>657</v>
      </c>
      <c r="D238" s="18">
        <v>2050</v>
      </c>
      <c r="E238" t="s">
        <v>37</v>
      </c>
      <c r="F238" t="s">
        <v>136</v>
      </c>
      <c r="G238" t="s">
        <v>39</v>
      </c>
      <c r="H238" t="s">
        <v>32</v>
      </c>
      <c r="I238" t="s">
        <v>42</v>
      </c>
      <c r="J238" t="s">
        <v>464</v>
      </c>
      <c r="L238" s="24">
        <v>0</v>
      </c>
      <c r="M238" s="24">
        <v>0</v>
      </c>
      <c r="N238" s="24">
        <v>1.5152004931467059E-3</v>
      </c>
      <c r="O238" s="24">
        <v>1.16988587691834E-2</v>
      </c>
      <c r="P238" s="24">
        <v>4.8421333147694546E-3</v>
      </c>
      <c r="Q238" s="24">
        <v>8.1215900047141174E-2</v>
      </c>
      <c r="R238" s="24">
        <v>9.9272092624240735E-2</v>
      </c>
      <c r="S238" s="26">
        <v>0</v>
      </c>
      <c r="T238" s="26">
        <v>0</v>
      </c>
      <c r="U238" s="26">
        <v>8.6368340895427004E-4</v>
      </c>
      <c r="V238" s="26">
        <v>4.4889971654128941E-4</v>
      </c>
      <c r="W238" s="26">
        <v>3.3290863432112197E-4</v>
      </c>
      <c r="X238" s="26">
        <v>0.1117595975810074</v>
      </c>
      <c r="Y238" s="26">
        <v>0.11340508934082408</v>
      </c>
      <c r="Z238" s="28">
        <v>0</v>
      </c>
      <c r="AA238" s="28">
        <v>3.1271735442865911E-3</v>
      </c>
      <c r="AB238" s="28">
        <v>1.5240283007201779E-4</v>
      </c>
      <c r="AC238" s="28">
        <v>1.4676569916982529E-4</v>
      </c>
      <c r="AD238" s="28">
        <v>1.486491478835875E-4</v>
      </c>
      <c r="AE238" s="28">
        <v>9.3519976039321637E-3</v>
      </c>
      <c r="AF238" s="28">
        <v>1.2926988825344186E-2</v>
      </c>
      <c r="AG238" s="30">
        <v>0</v>
      </c>
      <c r="AH238" s="30">
        <v>1.6491053126472278E-5</v>
      </c>
      <c r="AI238" s="30">
        <v>5.7114445569050236E-4</v>
      </c>
      <c r="AJ238" s="30">
        <v>3.5655142669197291E-4</v>
      </c>
      <c r="AK238" s="30">
        <v>1.9726634294848491E-4</v>
      </c>
      <c r="AL238" s="30">
        <v>2.6169038215186489E-2</v>
      </c>
      <c r="AM238" s="30">
        <v>2.731049149364392E-2</v>
      </c>
      <c r="AN238" s="32">
        <v>0</v>
      </c>
      <c r="AO238" s="32">
        <v>1.179775095002105E-5</v>
      </c>
      <c r="AP238" s="32">
        <v>1.349363676490181E-6</v>
      </c>
      <c r="AQ238" s="32">
        <v>7.095552302506223E-7</v>
      </c>
      <c r="AR238" s="32">
        <v>8.0058061226315808E-7</v>
      </c>
      <c r="AS238" s="32">
        <v>2.2628354772369259E-5</v>
      </c>
      <c r="AT238" s="32">
        <v>3.7285605241394268E-5</v>
      </c>
      <c r="AU238" s="34">
        <v>0</v>
      </c>
      <c r="AV238" s="34">
        <v>0</v>
      </c>
      <c r="AW238" s="34">
        <v>1.5096129038281648E-2</v>
      </c>
      <c r="AX238" s="34">
        <v>0.16775969480322017</v>
      </c>
      <c r="AY238" s="34">
        <v>0.16909374899772653</v>
      </c>
      <c r="AZ238" s="34">
        <v>1.1794801664521959</v>
      </c>
      <c r="BA238" s="34">
        <v>1.5314297392914242</v>
      </c>
      <c r="BB238" s="6"/>
      <c r="BC238" s="6"/>
      <c r="BD238" t="s">
        <v>958</v>
      </c>
      <c r="BF238" s="5">
        <v>7.9935365000000008E-2</v>
      </c>
      <c r="BG238" s="5">
        <f t="shared" si="9"/>
        <v>-1.9336727624240727E-2</v>
      </c>
      <c r="BH238" s="2">
        <v>253.26034000000001</v>
      </c>
    </row>
    <row r="239" spans="1:60" x14ac:dyDescent="0.2">
      <c r="A239" t="str">
        <f t="shared" si="10"/>
        <v>Motorbike, battery electric, &gt;35kW - 2020 - NMC - CH</v>
      </c>
      <c r="B239" t="s">
        <v>658</v>
      </c>
      <c r="D239" s="18">
        <v>2020</v>
      </c>
      <c r="E239" t="s">
        <v>37</v>
      </c>
      <c r="F239" t="s">
        <v>136</v>
      </c>
      <c r="G239" t="s">
        <v>39</v>
      </c>
      <c r="H239" t="s">
        <v>32</v>
      </c>
      <c r="I239" t="s">
        <v>42</v>
      </c>
      <c r="J239" t="s">
        <v>464</v>
      </c>
      <c r="L239" s="24">
        <v>0</v>
      </c>
      <c r="M239" s="24">
        <v>0</v>
      </c>
      <c r="N239" s="24">
        <v>1.689725966023888E-3</v>
      </c>
      <c r="O239" s="24">
        <v>1.2306591692257861E-2</v>
      </c>
      <c r="P239" s="24">
        <v>5.2439946696746179E-3</v>
      </c>
      <c r="Q239" s="24">
        <v>9.3549221229405455E-2</v>
      </c>
      <c r="R239" s="24">
        <v>0.11278953355736182</v>
      </c>
      <c r="S239" s="26">
        <v>0</v>
      </c>
      <c r="T239" s="26">
        <v>0</v>
      </c>
      <c r="U239" s="26">
        <v>9.63165131700334E-4</v>
      </c>
      <c r="V239" s="26">
        <v>4.722191823356421E-4</v>
      </c>
      <c r="W239" s="26">
        <v>3.5830130516049491E-4</v>
      </c>
      <c r="X239" s="26">
        <v>0.13974324927312981</v>
      </c>
      <c r="Y239" s="26">
        <v>0.14153693489232627</v>
      </c>
      <c r="Z239" s="28">
        <v>0</v>
      </c>
      <c r="AA239" s="28">
        <v>3.1271735442865911E-3</v>
      </c>
      <c r="AB239" s="28">
        <v>1.699570587740569E-4</v>
      </c>
      <c r="AC239" s="28">
        <v>1.5438989133449149E-4</v>
      </c>
      <c r="AD239" s="28">
        <v>1.6019178859891651E-4</v>
      </c>
      <c r="AE239" s="28">
        <v>1.1422930737701731E-2</v>
      </c>
      <c r="AF239" s="28">
        <v>1.5034643020695787E-2</v>
      </c>
      <c r="AG239" s="30">
        <v>0</v>
      </c>
      <c r="AH239" s="30">
        <v>1.6491053126472278E-5</v>
      </c>
      <c r="AI239" s="30">
        <v>6.3693063821975663E-4</v>
      </c>
      <c r="AJ239" s="30">
        <v>3.7507357872791961E-4</v>
      </c>
      <c r="AK239" s="30">
        <v>2.0803879472186621E-4</v>
      </c>
      <c r="AL239" s="30">
        <v>3.1439545680802601E-2</v>
      </c>
      <c r="AM239" s="30">
        <v>3.2676079745598614E-2</v>
      </c>
      <c r="AN239" s="32">
        <v>0</v>
      </c>
      <c r="AO239" s="32">
        <v>1.179775095002105E-5</v>
      </c>
      <c r="AP239" s="32">
        <v>1.5047875525962851E-6</v>
      </c>
      <c r="AQ239" s="32">
        <v>7.4641524221169363E-7</v>
      </c>
      <c r="AR239" s="32">
        <v>8.4311578507742115E-7</v>
      </c>
      <c r="AS239" s="32">
        <v>2.8455953069981901E-5</v>
      </c>
      <c r="AT239" s="32">
        <v>4.334802259988835E-5</v>
      </c>
      <c r="AU239" s="34">
        <v>0</v>
      </c>
      <c r="AV239" s="34">
        <v>0</v>
      </c>
      <c r="AW239" s="34">
        <v>1.6834947809089666E-2</v>
      </c>
      <c r="AX239" s="34">
        <v>0.17647448414364728</v>
      </c>
      <c r="AY239" s="34">
        <v>0.18225846509190186</v>
      </c>
      <c r="AZ239" s="34">
        <v>1.3945357778305667</v>
      </c>
      <c r="BA239" s="34">
        <v>1.7701036748752055</v>
      </c>
      <c r="BB239" s="6"/>
      <c r="BC239" s="6"/>
      <c r="BD239" t="s">
        <v>959</v>
      </c>
      <c r="BF239" s="5">
        <v>9.2101022000000005E-2</v>
      </c>
      <c r="BG239" s="5">
        <f t="shared" si="9"/>
        <v>-2.0688511557361816E-2</v>
      </c>
      <c r="BH239" s="2">
        <v>311.22433999999998</v>
      </c>
    </row>
    <row r="240" spans="1:60" x14ac:dyDescent="0.2">
      <c r="A240" t="str">
        <f t="shared" si="10"/>
        <v>Motorbike, battery electric, &gt;35kW - 2030 - NMC - CH</v>
      </c>
      <c r="B240" t="s">
        <v>658</v>
      </c>
      <c r="D240" s="18">
        <v>2030</v>
      </c>
      <c r="E240" t="s">
        <v>37</v>
      </c>
      <c r="F240" t="s">
        <v>136</v>
      </c>
      <c r="G240" t="s">
        <v>39</v>
      </c>
      <c r="H240" t="s">
        <v>32</v>
      </c>
      <c r="I240" t="s">
        <v>42</v>
      </c>
      <c r="J240" t="s">
        <v>464</v>
      </c>
      <c r="L240" s="24">
        <v>0</v>
      </c>
      <c r="M240" s="24">
        <v>0</v>
      </c>
      <c r="N240" s="24">
        <v>1.689725966023888E-3</v>
      </c>
      <c r="O240" s="24">
        <v>1.2306591692257861E-2</v>
      </c>
      <c r="P240" s="24">
        <v>5.2456030862136592E-3</v>
      </c>
      <c r="Q240" s="24">
        <v>8.7888747837589959E-2</v>
      </c>
      <c r="R240" s="24">
        <v>0.10713066858208536</v>
      </c>
      <c r="S240" s="26">
        <v>0</v>
      </c>
      <c r="T240" s="26">
        <v>0</v>
      </c>
      <c r="U240" s="26">
        <v>9.63165131700334E-4</v>
      </c>
      <c r="V240" s="26">
        <v>4.722191823356421E-4</v>
      </c>
      <c r="W240" s="26">
        <v>3.5840293720659718E-4</v>
      </c>
      <c r="X240" s="26">
        <v>0.1236173950741264</v>
      </c>
      <c r="Y240" s="26">
        <v>0.12541118232536896</v>
      </c>
      <c r="Z240" s="28">
        <v>0</v>
      </c>
      <c r="AA240" s="28">
        <v>3.1271735442865911E-3</v>
      </c>
      <c r="AB240" s="28">
        <v>1.699570587740569E-4</v>
      </c>
      <c r="AC240" s="28">
        <v>1.5438989133449149E-4</v>
      </c>
      <c r="AD240" s="28">
        <v>1.6023798705518531E-4</v>
      </c>
      <c r="AE240" s="28">
        <v>1.0247226366538621E-2</v>
      </c>
      <c r="AF240" s="28">
        <v>1.3858984847988944E-2</v>
      </c>
      <c r="AG240" s="30">
        <v>0</v>
      </c>
      <c r="AH240" s="30">
        <v>1.6491053126472278E-5</v>
      </c>
      <c r="AI240" s="30">
        <v>6.3693063821975663E-4</v>
      </c>
      <c r="AJ240" s="30">
        <v>3.7507357872791961E-4</v>
      </c>
      <c r="AK240" s="30">
        <v>2.080819105611646E-4</v>
      </c>
      <c r="AL240" s="30">
        <v>2.8572910874845901E-2</v>
      </c>
      <c r="AM240" s="30">
        <v>2.9809488055481212E-2</v>
      </c>
      <c r="AN240" s="32">
        <v>0</v>
      </c>
      <c r="AO240" s="32">
        <v>1.179775095002105E-5</v>
      </c>
      <c r="AP240" s="32">
        <v>1.5047875525962851E-6</v>
      </c>
      <c r="AQ240" s="32">
        <v>7.4641524221169363E-7</v>
      </c>
      <c r="AR240" s="32">
        <v>8.4328602855719433E-7</v>
      </c>
      <c r="AS240" s="32">
        <v>2.5577196355962291E-5</v>
      </c>
      <c r="AT240" s="32">
        <v>4.0469436129348512E-5</v>
      </c>
      <c r="AU240" s="34">
        <v>0</v>
      </c>
      <c r="AV240" s="34">
        <v>0</v>
      </c>
      <c r="AW240" s="34">
        <v>1.6834947809089666E-2</v>
      </c>
      <c r="AX240" s="34">
        <v>0.17647448414364728</v>
      </c>
      <c r="AY240" s="34">
        <v>0.18231115576951787</v>
      </c>
      <c r="AZ240" s="34">
        <v>1.292956185038838</v>
      </c>
      <c r="BA240" s="34">
        <v>1.6685767727610927</v>
      </c>
      <c r="BB240" s="6"/>
      <c r="BC240" s="6"/>
      <c r="BD240" t="s">
        <v>960</v>
      </c>
      <c r="BF240" s="5">
        <v>8.8069887000000013E-2</v>
      </c>
      <c r="BG240" s="5">
        <f t="shared" si="9"/>
        <v>-1.9060781582085351E-2</v>
      </c>
      <c r="BH240" s="2">
        <v>281.34589999999997</v>
      </c>
    </row>
    <row r="241" spans="1:60" x14ac:dyDescent="0.2">
      <c r="A241" t="str">
        <f t="shared" si="10"/>
        <v>Motorbike, battery electric, &gt;35kW - 2040 - NMC - CH</v>
      </c>
      <c r="B241" t="s">
        <v>658</v>
      </c>
      <c r="D241" s="18">
        <v>2040</v>
      </c>
      <c r="E241" t="s">
        <v>37</v>
      </c>
      <c r="F241" t="s">
        <v>136</v>
      </c>
      <c r="G241" t="s">
        <v>39</v>
      </c>
      <c r="H241" t="s">
        <v>32</v>
      </c>
      <c r="I241" t="s">
        <v>42</v>
      </c>
      <c r="J241" t="s">
        <v>464</v>
      </c>
      <c r="L241" s="24">
        <v>0</v>
      </c>
      <c r="M241" s="24">
        <v>0</v>
      </c>
      <c r="N241" s="24">
        <v>1.689725966023888E-3</v>
      </c>
      <c r="O241" s="24">
        <v>1.2306591692257861E-2</v>
      </c>
      <c r="P241" s="24">
        <v>5.2483191858409056E-3</v>
      </c>
      <c r="Q241" s="24">
        <v>8.0275243539084731E-2</v>
      </c>
      <c r="R241" s="24">
        <v>9.9519880383207387E-2</v>
      </c>
      <c r="S241" s="26">
        <v>0</v>
      </c>
      <c r="T241" s="26">
        <v>0</v>
      </c>
      <c r="U241" s="26">
        <v>9.63165131700334E-4</v>
      </c>
      <c r="V241" s="26">
        <v>4.722191823356421E-4</v>
      </c>
      <c r="W241" s="26">
        <v>3.5857456113350578E-4</v>
      </c>
      <c r="X241" s="26">
        <v>0.1052993504565712</v>
      </c>
      <c r="Y241" s="26">
        <v>0.10709330933174067</v>
      </c>
      <c r="Z241" s="28">
        <v>0</v>
      </c>
      <c r="AA241" s="28">
        <v>3.1271735442865911E-3</v>
      </c>
      <c r="AB241" s="28">
        <v>1.699570587740569E-4</v>
      </c>
      <c r="AC241" s="28">
        <v>1.5438989133449149E-4</v>
      </c>
      <c r="AD241" s="28">
        <v>1.6031600142945069E-4</v>
      </c>
      <c r="AE241" s="28">
        <v>8.8560991363717499E-3</v>
      </c>
      <c r="AF241" s="28">
        <v>1.246793563219634E-2</v>
      </c>
      <c r="AG241" s="30">
        <v>0</v>
      </c>
      <c r="AH241" s="30">
        <v>1.6491053126472278E-5</v>
      </c>
      <c r="AI241" s="30">
        <v>6.3693063821975663E-4</v>
      </c>
      <c r="AJ241" s="30">
        <v>3.7507357872791961E-4</v>
      </c>
      <c r="AK241" s="30">
        <v>2.081547193841308E-4</v>
      </c>
      <c r="AL241" s="30">
        <v>2.511793462766259E-2</v>
      </c>
      <c r="AM241" s="30">
        <v>2.6354584617120869E-2</v>
      </c>
      <c r="AN241" s="32">
        <v>0</v>
      </c>
      <c r="AO241" s="32">
        <v>1.179775095002105E-5</v>
      </c>
      <c r="AP241" s="32">
        <v>1.5047875525962851E-6</v>
      </c>
      <c r="AQ241" s="32">
        <v>7.4641524221169363E-7</v>
      </c>
      <c r="AR241" s="32">
        <v>8.4357351518813197E-7</v>
      </c>
      <c r="AS241" s="32">
        <v>2.228878710164987E-5</v>
      </c>
      <c r="AT241" s="32">
        <v>3.718131436166703E-5</v>
      </c>
      <c r="AU241" s="34">
        <v>0</v>
      </c>
      <c r="AV241" s="34">
        <v>0</v>
      </c>
      <c r="AW241" s="34">
        <v>1.6834947809089666E-2</v>
      </c>
      <c r="AX241" s="34">
        <v>0.17647448414364728</v>
      </c>
      <c r="AY241" s="34">
        <v>0.18240013342322792</v>
      </c>
      <c r="AZ241" s="34">
        <v>1.1654975603178257</v>
      </c>
      <c r="BA241" s="34">
        <v>1.5412071256937905</v>
      </c>
      <c r="BB241" s="6"/>
      <c r="BC241" s="6"/>
      <c r="BD241" t="s">
        <v>961</v>
      </c>
      <c r="BF241" s="5">
        <v>8.3052434999999994E-2</v>
      </c>
      <c r="BG241" s="5">
        <f t="shared" si="9"/>
        <v>-1.6467445383207394E-2</v>
      </c>
      <c r="BH241" s="2">
        <v>247.52912000000001</v>
      </c>
    </row>
    <row r="242" spans="1:60" x14ac:dyDescent="0.2">
      <c r="A242" t="str">
        <f t="shared" si="10"/>
        <v>Motorbike, battery electric, &gt;35kW - 2050 - NMC - CH</v>
      </c>
      <c r="B242" t="s">
        <v>658</v>
      </c>
      <c r="D242" s="18">
        <v>2050</v>
      </c>
      <c r="E242" t="s">
        <v>37</v>
      </c>
      <c r="F242" t="s">
        <v>136</v>
      </c>
      <c r="G242" t="s">
        <v>39</v>
      </c>
      <c r="H242" t="s">
        <v>32</v>
      </c>
      <c r="I242" t="s">
        <v>42</v>
      </c>
      <c r="J242" t="s">
        <v>464</v>
      </c>
      <c r="L242" s="24">
        <v>0</v>
      </c>
      <c r="M242" s="24">
        <v>0</v>
      </c>
      <c r="N242" s="24">
        <v>1.689725966023888E-3</v>
      </c>
      <c r="O242" s="24">
        <v>1.9936678541457739E-2</v>
      </c>
      <c r="P242" s="24">
        <v>5.2470901128252243E-3</v>
      </c>
      <c r="Q242" s="24">
        <v>0.1234468118432987</v>
      </c>
      <c r="R242" s="24">
        <v>0.15032030646360556</v>
      </c>
      <c r="S242" s="26">
        <v>0</v>
      </c>
      <c r="T242" s="26">
        <v>0</v>
      </c>
      <c r="U242" s="26">
        <v>9.63165131700334E-4</v>
      </c>
      <c r="V242" s="26">
        <v>7.6499507538374024E-4</v>
      </c>
      <c r="W242" s="26">
        <v>3.5849689890959751E-4</v>
      </c>
      <c r="X242" s="26">
        <v>0.19307896003544581</v>
      </c>
      <c r="Y242" s="26">
        <v>0.19516561714143948</v>
      </c>
      <c r="Z242" s="28">
        <v>0</v>
      </c>
      <c r="AA242" s="28">
        <v>3.1271735442865911E-3</v>
      </c>
      <c r="AB242" s="28">
        <v>1.699570587740569E-4</v>
      </c>
      <c r="AC242" s="28">
        <v>2.5011162396187633E-4</v>
      </c>
      <c r="AD242" s="28">
        <v>1.602806988355094E-4</v>
      </c>
      <c r="AE242" s="28">
        <v>1.5837063038951899E-2</v>
      </c>
      <c r="AF242" s="28">
        <v>1.9544585964809933E-2</v>
      </c>
      <c r="AG242" s="30">
        <v>0</v>
      </c>
      <c r="AH242" s="30">
        <v>1.6491053126472278E-5</v>
      </c>
      <c r="AI242" s="30">
        <v>6.3693063821975663E-4</v>
      </c>
      <c r="AJ242" s="30">
        <v>6.0761919753922976E-4</v>
      </c>
      <c r="AK242" s="30">
        <v>2.0812177237485561E-4</v>
      </c>
      <c r="AL242" s="30">
        <v>4.2792539587781897E-2</v>
      </c>
      <c r="AM242" s="30">
        <v>4.426170224904221E-2</v>
      </c>
      <c r="AN242" s="32">
        <v>0</v>
      </c>
      <c r="AO242" s="32">
        <v>1.179775095002105E-5</v>
      </c>
      <c r="AP242" s="32">
        <v>1.5047875525962851E-6</v>
      </c>
      <c r="AQ242" s="32">
        <v>1.209192692382944E-6</v>
      </c>
      <c r="AR242" s="32">
        <v>8.4344342347245625E-7</v>
      </c>
      <c r="AS242" s="32">
        <v>3.8156199186523163E-5</v>
      </c>
      <c r="AT242" s="32">
        <v>5.3511373804995898E-5</v>
      </c>
      <c r="AU242" s="34">
        <v>0</v>
      </c>
      <c r="AV242" s="34">
        <v>0</v>
      </c>
      <c r="AW242" s="34">
        <v>1.6834947809089666E-2</v>
      </c>
      <c r="AX242" s="34">
        <v>0.28588866431270848</v>
      </c>
      <c r="AY242" s="34">
        <v>0.18235986979221949</v>
      </c>
      <c r="AZ242" s="34">
        <v>1.8445987931752665</v>
      </c>
      <c r="BA242" s="34">
        <v>2.3296822750892843</v>
      </c>
      <c r="BB242" s="6"/>
      <c r="BC242" s="6"/>
      <c r="BD242" t="s">
        <v>962</v>
      </c>
      <c r="BF242" s="5">
        <v>0.11545806</v>
      </c>
      <c r="BG242" s="5">
        <f t="shared" si="9"/>
        <v>-3.4862246463605556E-2</v>
      </c>
      <c r="BH242" s="2">
        <v>414.65843000000001</v>
      </c>
    </row>
    <row r="243" spans="1:60" x14ac:dyDescent="0.2">
      <c r="A243" t="str">
        <f t="shared" si="10"/>
        <v>Motorbike, battery electric, &lt;4kW - 2020 - LFP - CH</v>
      </c>
      <c r="B243" t="s">
        <v>655</v>
      </c>
      <c r="D243" s="18">
        <v>2020</v>
      </c>
      <c r="E243" t="s">
        <v>37</v>
      </c>
      <c r="F243" t="s">
        <v>136</v>
      </c>
      <c r="G243" t="s">
        <v>39</v>
      </c>
      <c r="H243" t="s">
        <v>32</v>
      </c>
      <c r="I243" t="s">
        <v>43</v>
      </c>
      <c r="J243" t="s">
        <v>464</v>
      </c>
      <c r="L243" s="24">
        <v>0</v>
      </c>
      <c r="M243" s="24">
        <v>0</v>
      </c>
      <c r="N243" s="24">
        <v>7.4420517119050845E-4</v>
      </c>
      <c r="O243" s="24">
        <v>1.2306591692257861E-2</v>
      </c>
      <c r="P243" s="24">
        <v>4.4861118312269459E-3</v>
      </c>
      <c r="Q243" s="24">
        <v>4.1110912438960361E-2</v>
      </c>
      <c r="R243" s="24">
        <v>5.8647821133635675E-2</v>
      </c>
      <c r="S243" s="26">
        <v>0</v>
      </c>
      <c r="T243" s="26">
        <v>0</v>
      </c>
      <c r="U243" s="26">
        <v>4.2420634240975051E-4</v>
      </c>
      <c r="V243" s="26">
        <v>4.722191823356421E-4</v>
      </c>
      <c r="W243" s="26">
        <v>3.1041247679566478E-4</v>
      </c>
      <c r="X243" s="26">
        <v>2.664028343289539E-2</v>
      </c>
      <c r="Y243" s="26">
        <v>2.7847121434436448E-2</v>
      </c>
      <c r="Z243" s="28">
        <v>0</v>
      </c>
      <c r="AA243" s="28">
        <v>3.1271735442865911E-3</v>
      </c>
      <c r="AB243" s="28">
        <v>7.4854103306236475E-5</v>
      </c>
      <c r="AC243" s="28">
        <v>1.5438989133449149E-4</v>
      </c>
      <c r="AD243" s="28">
        <v>1.3842316317192141E-4</v>
      </c>
      <c r="AE243" s="28">
        <v>2.9716248226964118E-3</v>
      </c>
      <c r="AF243" s="28">
        <v>6.4664655247956525E-3</v>
      </c>
      <c r="AG243" s="30">
        <v>0</v>
      </c>
      <c r="AH243" s="30">
        <v>1.6491053126472278E-5</v>
      </c>
      <c r="AI243" s="30">
        <v>2.805230458570776E-4</v>
      </c>
      <c r="AJ243" s="30">
        <v>3.7507357872791961E-4</v>
      </c>
      <c r="AK243" s="30">
        <v>1.877226925951076E-4</v>
      </c>
      <c r="AL243" s="30">
        <v>1.036701087183492E-2</v>
      </c>
      <c r="AM243" s="30">
        <v>1.1226821242141496E-2</v>
      </c>
      <c r="AN243" s="32">
        <v>0</v>
      </c>
      <c r="AO243" s="32">
        <v>1.179775095002105E-5</v>
      </c>
      <c r="AP243" s="32">
        <v>6.6275283726653284E-7</v>
      </c>
      <c r="AQ243" s="32">
        <v>7.4641524221169363E-7</v>
      </c>
      <c r="AR243" s="32">
        <v>7.628973786224294E-7</v>
      </c>
      <c r="AS243" s="32">
        <v>7.6231375717449163E-6</v>
      </c>
      <c r="AT243" s="32">
        <v>2.1592953979866619E-5</v>
      </c>
      <c r="AU243" s="34">
        <v>0</v>
      </c>
      <c r="AV243" s="34">
        <v>0</v>
      </c>
      <c r="AW243" s="34">
        <v>7.4146077341334599E-3</v>
      </c>
      <c r="AX243" s="34">
        <v>0.17647448414364728</v>
      </c>
      <c r="AY243" s="34">
        <v>0.15743071721560767</v>
      </c>
      <c r="AZ243" s="34">
        <v>0.55980468962999508</v>
      </c>
      <c r="BA243" s="34">
        <v>0.90112449872338352</v>
      </c>
      <c r="BB243" s="6"/>
      <c r="BC243" s="6"/>
      <c r="BD243" t="s">
        <v>750</v>
      </c>
      <c r="BF243" s="5">
        <v>5.7805730999999999E-2</v>
      </c>
      <c r="BG243" s="5">
        <f t="shared" si="9"/>
        <v>-8.4209013363567564E-4</v>
      </c>
      <c r="BH243" s="2">
        <v>131.27092999999999</v>
      </c>
    </row>
    <row r="244" spans="1:60" x14ac:dyDescent="0.2">
      <c r="A244" t="str">
        <f t="shared" si="10"/>
        <v>Motorbike, battery electric, &lt;4kW - 2030 - LFP - CH</v>
      </c>
      <c r="B244" t="s">
        <v>655</v>
      </c>
      <c r="D244" s="18">
        <v>2030</v>
      </c>
      <c r="E244" t="s">
        <v>37</v>
      </c>
      <c r="F244" t="s">
        <v>136</v>
      </c>
      <c r="G244" t="s">
        <v>39</v>
      </c>
      <c r="H244" t="s">
        <v>32</v>
      </c>
      <c r="I244" t="s">
        <v>43</v>
      </c>
      <c r="J244" t="s">
        <v>464</v>
      </c>
      <c r="L244" s="24">
        <v>0</v>
      </c>
      <c r="M244" s="24">
        <v>0</v>
      </c>
      <c r="N244" s="24">
        <v>7.4420517119050845E-4</v>
      </c>
      <c r="O244" s="24">
        <v>1.2306591692257861E-2</v>
      </c>
      <c r="P244" s="24">
        <v>4.5301612011593474E-3</v>
      </c>
      <c r="Q244" s="24">
        <v>4.75079303803492E-2</v>
      </c>
      <c r="R244" s="24">
        <v>6.5088888444956916E-2</v>
      </c>
      <c r="S244" s="26">
        <v>0</v>
      </c>
      <c r="T244" s="26">
        <v>0</v>
      </c>
      <c r="U244" s="26">
        <v>4.2420634240975051E-4</v>
      </c>
      <c r="V244" s="26">
        <v>4.722191823356421E-4</v>
      </c>
      <c r="W244" s="26">
        <v>3.1319585254882521E-4</v>
      </c>
      <c r="X244" s="26">
        <v>2.9825723640247982E-2</v>
      </c>
      <c r="Y244" s="26">
        <v>3.1035345017542199E-2</v>
      </c>
      <c r="Z244" s="28">
        <v>0</v>
      </c>
      <c r="AA244" s="28">
        <v>3.1271735442865911E-3</v>
      </c>
      <c r="AB244" s="28">
        <v>7.4854103306236475E-5</v>
      </c>
      <c r="AC244" s="28">
        <v>1.5438989133449149E-4</v>
      </c>
      <c r="AD244" s="28">
        <v>1.3968839070539819E-4</v>
      </c>
      <c r="AE244" s="28">
        <v>3.506841290186575E-3</v>
      </c>
      <c r="AF244" s="28">
        <v>7.0029472198192919E-3</v>
      </c>
      <c r="AG244" s="30">
        <v>0</v>
      </c>
      <c r="AH244" s="30">
        <v>1.6491053126472278E-5</v>
      </c>
      <c r="AI244" s="30">
        <v>2.805230458570776E-4</v>
      </c>
      <c r="AJ244" s="30">
        <v>3.7507357872791961E-4</v>
      </c>
      <c r="AK244" s="30">
        <v>1.88903497137402E-4</v>
      </c>
      <c r="AL244" s="30">
        <v>1.2071364092082201E-2</v>
      </c>
      <c r="AM244" s="30">
        <v>1.2932355266931072E-2</v>
      </c>
      <c r="AN244" s="32">
        <v>0</v>
      </c>
      <c r="AO244" s="32">
        <v>1.179775095002105E-5</v>
      </c>
      <c r="AP244" s="32">
        <v>6.6275283726653284E-7</v>
      </c>
      <c r="AQ244" s="32">
        <v>7.4641524221169363E-7</v>
      </c>
      <c r="AR244" s="32">
        <v>7.6755980146942412E-7</v>
      </c>
      <c r="AS244" s="32">
        <v>8.4200885191706454E-6</v>
      </c>
      <c r="AT244" s="32">
        <v>2.2394567350139345E-5</v>
      </c>
      <c r="AU244" s="34">
        <v>0</v>
      </c>
      <c r="AV244" s="34">
        <v>0</v>
      </c>
      <c r="AW244" s="34">
        <v>7.4146077341334599E-3</v>
      </c>
      <c r="AX244" s="34">
        <v>0.17647448414364728</v>
      </c>
      <c r="AY244" s="34">
        <v>0.1588737458676765</v>
      </c>
      <c r="AZ244" s="34">
        <v>0.64026126088712587</v>
      </c>
      <c r="BA244" s="34">
        <v>0.98302409863258311</v>
      </c>
      <c r="BB244" s="6"/>
      <c r="BC244" s="6"/>
      <c r="BD244" t="s">
        <v>751</v>
      </c>
      <c r="BF244" s="5">
        <v>6.1897354000000002E-2</v>
      </c>
      <c r="BG244" s="5">
        <f t="shared" si="9"/>
        <v>-3.1915344449569144E-3</v>
      </c>
      <c r="BH244" s="2">
        <v>145.64561</v>
      </c>
    </row>
    <row r="245" spans="1:60" x14ac:dyDescent="0.2">
      <c r="A245" t="str">
        <f t="shared" si="10"/>
        <v>Motorbike, battery electric, &lt;4kW - 2040 - LFP - CH</v>
      </c>
      <c r="B245" t="s">
        <v>655</v>
      </c>
      <c r="D245" s="18">
        <v>2040</v>
      </c>
      <c r="E245" t="s">
        <v>37</v>
      </c>
      <c r="F245" t="s">
        <v>136</v>
      </c>
      <c r="G245" t="s">
        <v>39</v>
      </c>
      <c r="H245" t="s">
        <v>32</v>
      </c>
      <c r="I245" t="s">
        <v>43</v>
      </c>
      <c r="J245" t="s">
        <v>464</v>
      </c>
      <c r="L245" s="24">
        <v>0</v>
      </c>
      <c r="M245" s="24">
        <v>0</v>
      </c>
      <c r="N245" s="24">
        <v>7.4420517119050845E-4</v>
      </c>
      <c r="O245" s="24">
        <v>1.2306591692257861E-2</v>
      </c>
      <c r="P245" s="24">
        <v>4.5450618147568718E-3</v>
      </c>
      <c r="Q245" s="24">
        <v>4.6796864547578199E-2</v>
      </c>
      <c r="R245" s="24">
        <v>6.4392723225783433E-2</v>
      </c>
      <c r="S245" s="26">
        <v>0</v>
      </c>
      <c r="T245" s="26">
        <v>0</v>
      </c>
      <c r="U245" s="26">
        <v>4.2420634240975051E-4</v>
      </c>
      <c r="V245" s="26">
        <v>4.722191823356421E-4</v>
      </c>
      <c r="W245" s="26">
        <v>3.141373871646032E-4</v>
      </c>
      <c r="X245" s="26">
        <v>2.8608445790044072E-2</v>
      </c>
      <c r="Y245" s="26">
        <v>2.9819008701954069E-2</v>
      </c>
      <c r="Z245" s="28">
        <v>0</v>
      </c>
      <c r="AA245" s="28">
        <v>3.1271735442865911E-3</v>
      </c>
      <c r="AB245" s="28">
        <v>7.4854103306236475E-5</v>
      </c>
      <c r="AC245" s="28">
        <v>1.5438989133449149E-4</v>
      </c>
      <c r="AD245" s="28">
        <v>1.40116380177625E-4</v>
      </c>
      <c r="AE245" s="28">
        <v>3.377910878294295E-3</v>
      </c>
      <c r="AF245" s="28">
        <v>6.874444797399239E-3</v>
      </c>
      <c r="AG245" s="30">
        <v>0</v>
      </c>
      <c r="AH245" s="30">
        <v>1.6491053126472278E-5</v>
      </c>
      <c r="AI245" s="30">
        <v>2.805230458570776E-4</v>
      </c>
      <c r="AJ245" s="30">
        <v>3.7507357872791961E-4</v>
      </c>
      <c r="AK245" s="30">
        <v>1.893029287807135E-4</v>
      </c>
      <c r="AL245" s="30">
        <v>1.165886053324375E-2</v>
      </c>
      <c r="AM245" s="30">
        <v>1.2520251139735932E-2</v>
      </c>
      <c r="AN245" s="32">
        <v>0</v>
      </c>
      <c r="AO245" s="32">
        <v>1.179775095002105E-5</v>
      </c>
      <c r="AP245" s="32">
        <v>6.6275283726653284E-7</v>
      </c>
      <c r="AQ245" s="32">
        <v>7.4641524221169363E-7</v>
      </c>
      <c r="AR245" s="32">
        <v>7.6913696276317151E-7</v>
      </c>
      <c r="AS245" s="32">
        <v>8.1443370266732239E-6</v>
      </c>
      <c r="AT245" s="32">
        <v>2.2120393018935672E-5</v>
      </c>
      <c r="AU245" s="34">
        <v>0</v>
      </c>
      <c r="AV245" s="34">
        <v>0</v>
      </c>
      <c r="AW245" s="34">
        <v>7.4146077341334599E-3</v>
      </c>
      <c r="AX245" s="34">
        <v>0.17647448414364728</v>
      </c>
      <c r="AY245" s="34">
        <v>0.1593618802584211</v>
      </c>
      <c r="AZ245" s="34">
        <v>0.62669710475579521</v>
      </c>
      <c r="BA245" s="34">
        <v>0.96994807689199702</v>
      </c>
      <c r="BB245" s="6"/>
      <c r="BC245" s="6"/>
      <c r="BD245" t="s">
        <v>752</v>
      </c>
      <c r="BF245" s="5">
        <v>6.0935330999999995E-2</v>
      </c>
      <c r="BG245" s="5">
        <f t="shared" si="9"/>
        <v>-3.4573922257834372E-3</v>
      </c>
      <c r="BH245" s="2">
        <v>139.00088</v>
      </c>
    </row>
    <row r="246" spans="1:60" x14ac:dyDescent="0.2">
      <c r="A246" t="str">
        <f t="shared" si="10"/>
        <v>Motorbike, battery electric, &lt;4kW - 2050 - LFP - CH</v>
      </c>
      <c r="B246" t="s">
        <v>655</v>
      </c>
      <c r="D246" s="18">
        <v>2050</v>
      </c>
      <c r="E246" t="s">
        <v>37</v>
      </c>
      <c r="F246" t="s">
        <v>136</v>
      </c>
      <c r="G246" t="s">
        <v>39</v>
      </c>
      <c r="H246" t="s">
        <v>32</v>
      </c>
      <c r="I246" t="s">
        <v>43</v>
      </c>
      <c r="J246" t="s">
        <v>464</v>
      </c>
      <c r="L246" s="24">
        <v>0</v>
      </c>
      <c r="M246" s="24">
        <v>0</v>
      </c>
      <c r="N246" s="24">
        <v>7.4420517119050845E-4</v>
      </c>
      <c r="O246" s="24">
        <v>1.2306591692257861E-2</v>
      </c>
      <c r="P246" s="24">
        <v>4.5402365651397514E-3</v>
      </c>
      <c r="Q246" s="24">
        <v>6.9008180263948865E-2</v>
      </c>
      <c r="R246" s="24">
        <v>8.659921369253698E-2</v>
      </c>
      <c r="S246" s="26">
        <v>0</v>
      </c>
      <c r="T246" s="26">
        <v>0</v>
      </c>
      <c r="U246" s="26">
        <v>4.2420634240975051E-4</v>
      </c>
      <c r="V246" s="26">
        <v>4.722191823356421E-4</v>
      </c>
      <c r="W246" s="26">
        <v>3.1383249102629628E-4</v>
      </c>
      <c r="X246" s="26">
        <v>4.2336184318943468E-2</v>
      </c>
      <c r="Y246" s="26">
        <v>4.3546442334715156E-2</v>
      </c>
      <c r="Z246" s="28">
        <v>0</v>
      </c>
      <c r="AA246" s="28">
        <v>3.1271735442865911E-3</v>
      </c>
      <c r="AB246" s="28">
        <v>7.4854103306236475E-5</v>
      </c>
      <c r="AC246" s="28">
        <v>1.5438989133449149E-4</v>
      </c>
      <c r="AD246" s="28">
        <v>1.3997778480881839E-4</v>
      </c>
      <c r="AE246" s="28">
        <v>5.4447083172171054E-3</v>
      </c>
      <c r="AF246" s="28">
        <v>8.9411036409532425E-3</v>
      </c>
      <c r="AG246" s="30">
        <v>0</v>
      </c>
      <c r="AH246" s="30">
        <v>1.6491053126472278E-5</v>
      </c>
      <c r="AI246" s="30">
        <v>2.805230458570776E-4</v>
      </c>
      <c r="AJ246" s="30">
        <v>3.7507357872791961E-4</v>
      </c>
      <c r="AK246" s="30">
        <v>1.8917358126281831E-4</v>
      </c>
      <c r="AL246" s="30">
        <v>1.8299791000723119E-2</v>
      </c>
      <c r="AM246" s="30">
        <v>1.9161052259697407E-2</v>
      </c>
      <c r="AN246" s="32">
        <v>0</v>
      </c>
      <c r="AO246" s="32">
        <v>1.179775095002105E-5</v>
      </c>
      <c r="AP246" s="32">
        <v>6.6275283726653284E-7</v>
      </c>
      <c r="AQ246" s="32">
        <v>7.4641524221169363E-7</v>
      </c>
      <c r="AR246" s="32">
        <v>7.6862623232385205E-7</v>
      </c>
      <c r="AS246" s="32">
        <v>1.1430833375483671E-5</v>
      </c>
      <c r="AT246" s="32">
        <v>2.5406378637306798E-5</v>
      </c>
      <c r="AU246" s="34">
        <v>0</v>
      </c>
      <c r="AV246" s="34">
        <v>0</v>
      </c>
      <c r="AW246" s="34">
        <v>7.4146077341334599E-3</v>
      </c>
      <c r="AX246" s="34">
        <v>0.17647448414364728</v>
      </c>
      <c r="AY246" s="34">
        <v>0.15920380822557306</v>
      </c>
      <c r="AZ246" s="34">
        <v>0.91912155040929444</v>
      </c>
      <c r="BA246" s="34">
        <v>1.2622144505126482</v>
      </c>
      <c r="BB246" s="6"/>
      <c r="BC246" s="6"/>
      <c r="BD246" t="s">
        <v>753</v>
      </c>
      <c r="BF246" s="5">
        <v>7.6353316000000004E-2</v>
      </c>
      <c r="BG246" s="5">
        <f t="shared" si="9"/>
        <v>-1.0245897692536976E-2</v>
      </c>
      <c r="BH246" s="2">
        <v>203.49734000000001</v>
      </c>
    </row>
    <row r="247" spans="1:60" x14ac:dyDescent="0.2">
      <c r="A247" t="str">
        <f t="shared" si="10"/>
        <v>Motorbike, battery electric, 4-11kW - 2020 - LFP - CH</v>
      </c>
      <c r="B247" t="s">
        <v>656</v>
      </c>
      <c r="D247" s="18">
        <v>2020</v>
      </c>
      <c r="E247" t="s">
        <v>37</v>
      </c>
      <c r="F247" t="s">
        <v>136</v>
      </c>
      <c r="G247" t="s">
        <v>39</v>
      </c>
      <c r="H247" t="s">
        <v>32</v>
      </c>
      <c r="I247" t="s">
        <v>43</v>
      </c>
      <c r="J247" t="s">
        <v>464</v>
      </c>
      <c r="L247" s="24">
        <v>0</v>
      </c>
      <c r="M247" s="24">
        <v>0</v>
      </c>
      <c r="N247" s="24">
        <v>1.119382984765889E-3</v>
      </c>
      <c r="O247" s="24">
        <v>1.2306591692257861E-2</v>
      </c>
      <c r="P247" s="24">
        <v>4.6478661566374943E-3</v>
      </c>
      <c r="Q247" s="24">
        <v>6.0166914792213623E-2</v>
      </c>
      <c r="R247" s="24">
        <v>7.8240755625874875E-2</v>
      </c>
      <c r="S247" s="26">
        <v>0</v>
      </c>
      <c r="T247" s="26">
        <v>0</v>
      </c>
      <c r="U247" s="26">
        <v>6.380624323849139E-4</v>
      </c>
      <c r="V247" s="26">
        <v>4.722191823356421E-4</v>
      </c>
      <c r="W247" s="26">
        <v>3.2063335096497683E-4</v>
      </c>
      <c r="X247" s="26">
        <v>3.9490957233663602E-2</v>
      </c>
      <c r="Y247" s="26">
        <v>4.0921872199349132E-2</v>
      </c>
      <c r="Z247" s="28">
        <v>0</v>
      </c>
      <c r="AA247" s="28">
        <v>3.1271735442865911E-3</v>
      </c>
      <c r="AB247" s="28">
        <v>1.125904694358268E-4</v>
      </c>
      <c r="AC247" s="28">
        <v>1.5438989133449149E-4</v>
      </c>
      <c r="AD247" s="28">
        <v>1.430692234102964E-4</v>
      </c>
      <c r="AE247" s="28">
        <v>4.4948481190346338E-3</v>
      </c>
      <c r="AF247" s="28">
        <v>8.0320712475018402E-3</v>
      </c>
      <c r="AG247" s="30">
        <v>0</v>
      </c>
      <c r="AH247" s="30">
        <v>1.6491053126472278E-5</v>
      </c>
      <c r="AI247" s="30">
        <v>4.2194375492552171E-4</v>
      </c>
      <c r="AJ247" s="30">
        <v>3.7507357872791961E-4</v>
      </c>
      <c r="AK247" s="30">
        <v>1.9205874195230989E-4</v>
      </c>
      <c r="AL247" s="30">
        <v>1.5668035078712901E-2</v>
      </c>
      <c r="AM247" s="30">
        <v>1.6673602207445126E-2</v>
      </c>
      <c r="AN247" s="32">
        <v>0</v>
      </c>
      <c r="AO247" s="32">
        <v>1.179775095002105E-5</v>
      </c>
      <c r="AP247" s="32">
        <v>9.9686790398767734E-7</v>
      </c>
      <c r="AQ247" s="32">
        <v>7.4641524221169363E-7</v>
      </c>
      <c r="AR247" s="32">
        <v>7.8001832867351342E-7</v>
      </c>
      <c r="AS247" s="32">
        <v>1.0964793461513329E-5</v>
      </c>
      <c r="AT247" s="32">
        <v>2.5285845886407264E-5</v>
      </c>
      <c r="AU247" s="34">
        <v>0</v>
      </c>
      <c r="AV247" s="34">
        <v>0</v>
      </c>
      <c r="AW247" s="34">
        <v>1.1152550476134624E-2</v>
      </c>
      <c r="AX247" s="34">
        <v>0.17647448414364728</v>
      </c>
      <c r="AY247" s="34">
        <v>0.16272968350097558</v>
      </c>
      <c r="AZ247" s="34">
        <v>0.81809342477055513</v>
      </c>
      <c r="BA247" s="34">
        <v>1.1684501428913125</v>
      </c>
      <c r="BB247" s="6"/>
      <c r="BC247" s="6"/>
      <c r="BD247" t="s">
        <v>754</v>
      </c>
      <c r="BF247" s="5">
        <v>7.3822935000000006E-2</v>
      </c>
      <c r="BG247" s="5">
        <f t="shared" si="9"/>
        <v>-4.4178206258748687E-3</v>
      </c>
      <c r="BH247" s="2">
        <v>179.89905999999999</v>
      </c>
    </row>
    <row r="248" spans="1:60" x14ac:dyDescent="0.2">
      <c r="A248" t="str">
        <f t="shared" si="10"/>
        <v>Motorbike, battery electric, 4-11kW - 2030 - LFP - CH</v>
      </c>
      <c r="B248" t="s">
        <v>656</v>
      </c>
      <c r="D248" s="18">
        <v>2030</v>
      </c>
      <c r="E248" t="s">
        <v>37</v>
      </c>
      <c r="F248" t="s">
        <v>136</v>
      </c>
      <c r="G248" t="s">
        <v>39</v>
      </c>
      <c r="H248" t="s">
        <v>32</v>
      </c>
      <c r="I248" t="s">
        <v>43</v>
      </c>
      <c r="J248" t="s">
        <v>464</v>
      </c>
      <c r="L248" s="24">
        <v>0</v>
      </c>
      <c r="M248" s="24">
        <v>0</v>
      </c>
      <c r="N248" s="24">
        <v>1.119382984765889E-3</v>
      </c>
      <c r="O248" s="24">
        <v>1.2306591692257861E-2</v>
      </c>
      <c r="P248" s="24">
        <v>4.7138885534054042E-3</v>
      </c>
      <c r="Q248" s="24">
        <v>6.8592959457134478E-2</v>
      </c>
      <c r="R248" s="24">
        <v>8.6732822687563632E-2</v>
      </c>
      <c r="S248" s="26">
        <v>0</v>
      </c>
      <c r="T248" s="26">
        <v>0</v>
      </c>
      <c r="U248" s="26">
        <v>6.380624323849139E-4</v>
      </c>
      <c r="V248" s="26">
        <v>4.722191823356421E-4</v>
      </c>
      <c r="W248" s="26">
        <v>3.2480515043932452E-4</v>
      </c>
      <c r="X248" s="26">
        <v>4.3762123079620782E-2</v>
      </c>
      <c r="Y248" s="26">
        <v>4.5197209844780664E-2</v>
      </c>
      <c r="Z248" s="28">
        <v>0</v>
      </c>
      <c r="AA248" s="28">
        <v>3.1271735442865911E-3</v>
      </c>
      <c r="AB248" s="28">
        <v>1.125904694358268E-4</v>
      </c>
      <c r="AC248" s="28">
        <v>1.5438989133449149E-4</v>
      </c>
      <c r="AD248" s="28">
        <v>1.4496558093697801E-4</v>
      </c>
      <c r="AE248" s="28">
        <v>5.206504781361798E-3</v>
      </c>
      <c r="AF248" s="28">
        <v>8.7456242673556849E-3</v>
      </c>
      <c r="AG248" s="30">
        <v>0</v>
      </c>
      <c r="AH248" s="30">
        <v>1.6491053126472278E-5</v>
      </c>
      <c r="AI248" s="30">
        <v>4.2194375492552171E-4</v>
      </c>
      <c r="AJ248" s="30">
        <v>3.7507357872791961E-4</v>
      </c>
      <c r="AK248" s="30">
        <v>1.938285639978091E-4</v>
      </c>
      <c r="AL248" s="30">
        <v>1.7929034225557239E-2</v>
      </c>
      <c r="AM248" s="30">
        <v>1.8936371176334961E-2</v>
      </c>
      <c r="AN248" s="32">
        <v>0</v>
      </c>
      <c r="AO248" s="32">
        <v>1.179775095002105E-5</v>
      </c>
      <c r="AP248" s="32">
        <v>9.9686790398767734E-7</v>
      </c>
      <c r="AQ248" s="32">
        <v>7.4641524221169363E-7</v>
      </c>
      <c r="AR248" s="32">
        <v>7.8700649516889011E-7</v>
      </c>
      <c r="AS248" s="32">
        <v>1.2036811311451539E-5</v>
      </c>
      <c r="AT248" s="32">
        <v>2.636485190284085E-5</v>
      </c>
      <c r="AU248" s="34">
        <v>0</v>
      </c>
      <c r="AV248" s="34">
        <v>0</v>
      </c>
      <c r="AW248" s="34">
        <v>1.1152550476134624E-2</v>
      </c>
      <c r="AX248" s="34">
        <v>0.17647448414364728</v>
      </c>
      <c r="AY248" s="34">
        <v>0.16489253419238295</v>
      </c>
      <c r="AZ248" s="34">
        <v>0.92459491856329112</v>
      </c>
      <c r="BA248" s="34">
        <v>1.2771144873754561</v>
      </c>
      <c r="BB248" s="6"/>
      <c r="BC248" s="6"/>
      <c r="BD248" t="s">
        <v>755</v>
      </c>
      <c r="BF248" s="5">
        <v>7.9300085000000006E-2</v>
      </c>
      <c r="BG248" s="5">
        <f t="shared" si="9"/>
        <v>-7.4327376875636259E-3</v>
      </c>
      <c r="BH248" s="2">
        <v>199.39031</v>
      </c>
    </row>
    <row r="249" spans="1:60" x14ac:dyDescent="0.2">
      <c r="A249" t="str">
        <f t="shared" si="10"/>
        <v>Motorbike, battery electric, 4-11kW - 2040 - LFP - CH</v>
      </c>
      <c r="B249" t="s">
        <v>656</v>
      </c>
      <c r="D249" s="18">
        <v>2040</v>
      </c>
      <c r="E249" t="s">
        <v>37</v>
      </c>
      <c r="F249" t="s">
        <v>136</v>
      </c>
      <c r="G249" t="s">
        <v>39</v>
      </c>
      <c r="H249" t="s">
        <v>32</v>
      </c>
      <c r="I249" t="s">
        <v>43</v>
      </c>
      <c r="J249" t="s">
        <v>464</v>
      </c>
      <c r="L249" s="24">
        <v>0</v>
      </c>
      <c r="M249" s="24">
        <v>0</v>
      </c>
      <c r="N249" s="24">
        <v>1.119382984765889E-3</v>
      </c>
      <c r="O249" s="24">
        <v>1.2306591692257861E-2</v>
      </c>
      <c r="P249" s="24">
        <v>4.7375200925955426E-3</v>
      </c>
      <c r="Q249" s="24">
        <v>6.687707536082832E-2</v>
      </c>
      <c r="R249" s="24">
        <v>8.5040570130447607E-2</v>
      </c>
      <c r="S249" s="26">
        <v>0</v>
      </c>
      <c r="T249" s="26">
        <v>0</v>
      </c>
      <c r="U249" s="26">
        <v>6.380624323849139E-4</v>
      </c>
      <c r="V249" s="26">
        <v>4.722191823356421E-4</v>
      </c>
      <c r="W249" s="26">
        <v>3.2629837164300189E-4</v>
      </c>
      <c r="X249" s="26">
        <v>4.1684236209189512E-2</v>
      </c>
      <c r="Y249" s="26">
        <v>4.3120816195553073E-2</v>
      </c>
      <c r="Z249" s="28">
        <v>0</v>
      </c>
      <c r="AA249" s="28">
        <v>3.1271735442865911E-3</v>
      </c>
      <c r="AB249" s="28">
        <v>1.125904694358268E-4</v>
      </c>
      <c r="AC249" s="28">
        <v>1.5438989133449149E-4</v>
      </c>
      <c r="AD249" s="28">
        <v>1.45644348285698E-4</v>
      </c>
      <c r="AE249" s="28">
        <v>4.9649931298987376E-3</v>
      </c>
      <c r="AF249" s="28">
        <v>8.5047913832413443E-3</v>
      </c>
      <c r="AG249" s="30">
        <v>0</v>
      </c>
      <c r="AH249" s="30">
        <v>1.6491053126472278E-5</v>
      </c>
      <c r="AI249" s="30">
        <v>4.2194375492552171E-4</v>
      </c>
      <c r="AJ249" s="30">
        <v>3.7507357872791961E-4</v>
      </c>
      <c r="AK249" s="30">
        <v>1.944620402282285E-4</v>
      </c>
      <c r="AL249" s="30">
        <v>1.7153130356584612E-2</v>
      </c>
      <c r="AM249" s="30">
        <v>1.8161100783592753E-2</v>
      </c>
      <c r="AN249" s="32">
        <v>0</v>
      </c>
      <c r="AO249" s="32">
        <v>1.179775095002105E-5</v>
      </c>
      <c r="AP249" s="32">
        <v>9.9686790398767734E-7</v>
      </c>
      <c r="AQ249" s="32">
        <v>7.4641524221169363E-7</v>
      </c>
      <c r="AR249" s="32">
        <v>7.8950778470830546E-7</v>
      </c>
      <c r="AS249" s="32">
        <v>1.156228107659039E-5</v>
      </c>
      <c r="AT249" s="32">
        <v>2.5892822957519116E-5</v>
      </c>
      <c r="AU249" s="34">
        <v>0</v>
      </c>
      <c r="AV249" s="34">
        <v>0</v>
      </c>
      <c r="AW249" s="34">
        <v>1.1152550476134624E-2</v>
      </c>
      <c r="AX249" s="34">
        <v>0.17647448414364728</v>
      </c>
      <c r="AY249" s="34">
        <v>0.1656666880156088</v>
      </c>
      <c r="AZ249" s="34">
        <v>0.89655709371977155</v>
      </c>
      <c r="BA249" s="34">
        <v>1.2498508163551623</v>
      </c>
      <c r="BB249" s="6"/>
      <c r="BC249" s="6"/>
      <c r="BD249" t="s">
        <v>756</v>
      </c>
      <c r="BF249" s="5">
        <v>7.7516117999999995E-2</v>
      </c>
      <c r="BG249" s="5">
        <f t="shared" si="9"/>
        <v>-7.524452130447612E-3</v>
      </c>
      <c r="BH249" s="2">
        <v>188.46744000000001</v>
      </c>
    </row>
    <row r="250" spans="1:60" x14ac:dyDescent="0.2">
      <c r="A250" t="str">
        <f t="shared" si="10"/>
        <v>Motorbike, battery electric, 4-11kW - 2050 - LFP - CH</v>
      </c>
      <c r="B250" t="s">
        <v>656</v>
      </c>
      <c r="D250" s="18">
        <v>2050</v>
      </c>
      <c r="E250" t="s">
        <v>37</v>
      </c>
      <c r="F250" t="s">
        <v>136</v>
      </c>
      <c r="G250" t="s">
        <v>39</v>
      </c>
      <c r="H250" t="s">
        <v>32</v>
      </c>
      <c r="I250" t="s">
        <v>43</v>
      </c>
      <c r="J250" t="s">
        <v>464</v>
      </c>
      <c r="L250" s="24">
        <v>0</v>
      </c>
      <c r="M250" s="24">
        <v>0</v>
      </c>
      <c r="N250" s="24">
        <v>1.119382984765889E-3</v>
      </c>
      <c r="O250" s="24">
        <v>7.9912933066609501E-3</v>
      </c>
      <c r="P250" s="24">
        <v>4.7364943027673728E-3</v>
      </c>
      <c r="Q250" s="24">
        <v>0.1017170859595791</v>
      </c>
      <c r="R250" s="24">
        <v>0.11556425655377331</v>
      </c>
      <c r="S250" s="26">
        <v>0</v>
      </c>
      <c r="T250" s="26">
        <v>0</v>
      </c>
      <c r="U250" s="26">
        <v>6.380624323849139E-4</v>
      </c>
      <c r="V250" s="26">
        <v>3.0663583268548191E-4</v>
      </c>
      <c r="W250" s="26">
        <v>3.2623355440407321E-4</v>
      </c>
      <c r="X250" s="26">
        <v>6.3629859579012252E-2</v>
      </c>
      <c r="Y250" s="26">
        <v>6.4900791398486715E-2</v>
      </c>
      <c r="Z250" s="28">
        <v>0</v>
      </c>
      <c r="AA250" s="28">
        <v>3.1271735442865911E-3</v>
      </c>
      <c r="AB250" s="28">
        <v>1.125904694358268E-4</v>
      </c>
      <c r="AC250" s="28">
        <v>1.002531761912283E-4</v>
      </c>
      <c r="AD250" s="28">
        <v>1.456148845831262E-4</v>
      </c>
      <c r="AE250" s="28">
        <v>8.2411244600989631E-3</v>
      </c>
      <c r="AF250" s="28">
        <v>1.1726756534595735E-2</v>
      </c>
      <c r="AG250" s="30">
        <v>0</v>
      </c>
      <c r="AH250" s="30">
        <v>1.6491053126472278E-5</v>
      </c>
      <c r="AI250" s="30">
        <v>4.2194375492552171E-4</v>
      </c>
      <c r="AJ250" s="30">
        <v>2.4355427190124649E-4</v>
      </c>
      <c r="AK250" s="30">
        <v>1.9443454250713961E-4</v>
      </c>
      <c r="AL250" s="30">
        <v>2.767092933666445E-2</v>
      </c>
      <c r="AM250" s="30">
        <v>2.854735295912483E-2</v>
      </c>
      <c r="AN250" s="32">
        <v>0</v>
      </c>
      <c r="AO250" s="32">
        <v>1.179775095002105E-5</v>
      </c>
      <c r="AP250" s="32">
        <v>9.9686790398767734E-7</v>
      </c>
      <c r="AQ250" s="32">
        <v>4.8468522221538551E-7</v>
      </c>
      <c r="AR250" s="32">
        <v>7.8939920958138722E-7</v>
      </c>
      <c r="AS250" s="32">
        <v>1.6816639145392912E-5</v>
      </c>
      <c r="AT250" s="32">
        <v>3.0885342431198414E-5</v>
      </c>
      <c r="AU250" s="34">
        <v>0</v>
      </c>
      <c r="AV250" s="34">
        <v>0</v>
      </c>
      <c r="AW250" s="34">
        <v>1.1152550476134624E-2</v>
      </c>
      <c r="AX250" s="34">
        <v>0.1145938208724982</v>
      </c>
      <c r="AY250" s="34">
        <v>0.16563308380934377</v>
      </c>
      <c r="AZ250" s="34">
        <v>1.3576554164716295</v>
      </c>
      <c r="BA250" s="34">
        <v>1.6490348716296062</v>
      </c>
      <c r="BB250" s="6"/>
      <c r="BC250" s="6"/>
      <c r="BD250" t="s">
        <v>757</v>
      </c>
      <c r="BF250" s="5">
        <v>9.8601325000000004E-2</v>
      </c>
      <c r="BG250" s="5">
        <f t="shared" si="9"/>
        <v>-1.6962931553773306E-2</v>
      </c>
      <c r="BH250" s="2">
        <v>288.72703000000001</v>
      </c>
    </row>
    <row r="251" spans="1:60" x14ac:dyDescent="0.2">
      <c r="A251" t="str">
        <f t="shared" si="10"/>
        <v>Motorbike, battery electric, 11-35kW - 2020 - LFP - CH</v>
      </c>
      <c r="B251" t="s">
        <v>657</v>
      </c>
      <c r="D251" s="18">
        <v>2020</v>
      </c>
      <c r="E251" t="s">
        <v>37</v>
      </c>
      <c r="F251" t="s">
        <v>136</v>
      </c>
      <c r="G251" t="s">
        <v>39</v>
      </c>
      <c r="H251" t="s">
        <v>32</v>
      </c>
      <c r="I251" t="s">
        <v>43</v>
      </c>
      <c r="J251" t="s">
        <v>464</v>
      </c>
      <c r="L251" s="24">
        <v>0</v>
      </c>
      <c r="M251" s="24">
        <v>0</v>
      </c>
      <c r="N251" s="24">
        <v>1.5152004931467059E-3</v>
      </c>
      <c r="O251" s="24">
        <v>1.2306591692257861E-2</v>
      </c>
      <c r="P251" s="24">
        <v>5.0774325154383246E-3</v>
      </c>
      <c r="Q251" s="24">
        <v>7.8967146486972686E-2</v>
      </c>
      <c r="R251" s="24">
        <v>9.7866371187815576E-2</v>
      </c>
      <c r="S251" s="26">
        <v>0</v>
      </c>
      <c r="T251" s="26">
        <v>0</v>
      </c>
      <c r="U251" s="26">
        <v>8.6368340895427004E-4</v>
      </c>
      <c r="V251" s="26">
        <v>4.722191823356421E-4</v>
      </c>
      <c r="W251" s="26">
        <v>3.4777663563157938E-4</v>
      </c>
      <c r="X251" s="26">
        <v>5.2084956482867491E-2</v>
      </c>
      <c r="Y251" s="26">
        <v>5.376863570978898E-2</v>
      </c>
      <c r="Z251" s="28">
        <v>0</v>
      </c>
      <c r="AA251" s="28">
        <v>3.1271735442865911E-3</v>
      </c>
      <c r="AB251" s="28">
        <v>1.5240283007201779E-4</v>
      </c>
      <c r="AC251" s="28">
        <v>1.5438989133449149E-4</v>
      </c>
      <c r="AD251" s="28">
        <v>1.554076333681293E-4</v>
      </c>
      <c r="AE251" s="28">
        <v>6.542119057818362E-3</v>
      </c>
      <c r="AF251" s="28">
        <v>1.0131492956879592E-2</v>
      </c>
      <c r="AG251" s="30">
        <v>0</v>
      </c>
      <c r="AH251" s="30">
        <v>1.6491053126472278E-5</v>
      </c>
      <c r="AI251" s="30">
        <v>5.7114445569050236E-4</v>
      </c>
      <c r="AJ251" s="30">
        <v>3.7507357872791961E-4</v>
      </c>
      <c r="AK251" s="30">
        <v>2.0357386483527791E-4</v>
      </c>
      <c r="AL251" s="30">
        <v>2.2010172648530679E-2</v>
      </c>
      <c r="AM251" s="30">
        <v>2.3176455600910851E-2</v>
      </c>
      <c r="AN251" s="32">
        <v>0</v>
      </c>
      <c r="AO251" s="32">
        <v>1.179775095002105E-5</v>
      </c>
      <c r="AP251" s="32">
        <v>1.349363676490181E-6</v>
      </c>
      <c r="AQ251" s="32">
        <v>7.4641524221169363E-7</v>
      </c>
      <c r="AR251" s="32">
        <v>8.2548594849751754E-7</v>
      </c>
      <c r="AS251" s="32">
        <v>1.384164295195637E-5</v>
      </c>
      <c r="AT251" s="32">
        <v>2.8560658769176814E-5</v>
      </c>
      <c r="AU251" s="34">
        <v>0</v>
      </c>
      <c r="AV251" s="34">
        <v>0</v>
      </c>
      <c r="AW251" s="34">
        <v>1.5096129038281648E-2</v>
      </c>
      <c r="AX251" s="34">
        <v>0.17647448414364728</v>
      </c>
      <c r="AY251" s="34">
        <v>0.17680199746745828</v>
      </c>
      <c r="AZ251" s="34">
        <v>1.0710949563184369</v>
      </c>
      <c r="BA251" s="34">
        <v>1.4394675669678241</v>
      </c>
      <c r="BB251" s="6"/>
      <c r="BC251" s="6"/>
      <c r="BD251" t="s">
        <v>758</v>
      </c>
      <c r="BF251" s="5">
        <v>8.7552383000000011E-2</v>
      </c>
      <c r="BG251" s="5">
        <f t="shared" si="9"/>
        <v>-1.0313988187815565E-2</v>
      </c>
      <c r="BH251" s="2">
        <v>250.82320999999999</v>
      </c>
    </row>
    <row r="252" spans="1:60" x14ac:dyDescent="0.2">
      <c r="A252" t="str">
        <f t="shared" si="10"/>
        <v>Motorbike, battery electric, 11-35kW - 2030 - LFP - CH</v>
      </c>
      <c r="B252" t="s">
        <v>657</v>
      </c>
      <c r="D252" s="18">
        <v>2030</v>
      </c>
      <c r="E252" t="s">
        <v>37</v>
      </c>
      <c r="F252" t="s">
        <v>136</v>
      </c>
      <c r="G252" t="s">
        <v>39</v>
      </c>
      <c r="H252" t="s">
        <v>32</v>
      </c>
      <c r="I252" t="s">
        <v>43</v>
      </c>
      <c r="J252" t="s">
        <v>464</v>
      </c>
      <c r="L252" s="24">
        <v>0</v>
      </c>
      <c r="M252" s="24">
        <v>0</v>
      </c>
      <c r="N252" s="24">
        <v>1.5152004931467059E-3</v>
      </c>
      <c r="O252" s="24">
        <v>1.2306591692257861E-2</v>
      </c>
      <c r="P252" s="24">
        <v>5.2182600050499706E-3</v>
      </c>
      <c r="Q252" s="24">
        <v>8.6347492782024776E-2</v>
      </c>
      <c r="R252" s="24">
        <v>0.10538754497247932</v>
      </c>
      <c r="S252" s="26">
        <v>0</v>
      </c>
      <c r="T252" s="26">
        <v>0</v>
      </c>
      <c r="U252" s="26">
        <v>8.6368340895427004E-4</v>
      </c>
      <c r="V252" s="26">
        <v>4.722191823356421E-4</v>
      </c>
      <c r="W252" s="26">
        <v>3.5667519242285801E-4</v>
      </c>
      <c r="X252" s="26">
        <v>5.5866949265579051E-2</v>
      </c>
      <c r="Y252" s="26">
        <v>5.755952704929182E-2</v>
      </c>
      <c r="Z252" s="28">
        <v>0</v>
      </c>
      <c r="AA252" s="28">
        <v>3.1271735442865911E-3</v>
      </c>
      <c r="AB252" s="28">
        <v>1.5240283007201779E-4</v>
      </c>
      <c r="AC252" s="28">
        <v>1.5438989133449149E-4</v>
      </c>
      <c r="AD252" s="28">
        <v>1.5945261329861451E-4</v>
      </c>
      <c r="AE252" s="28">
        <v>7.1709361070833276E-3</v>
      </c>
      <c r="AF252" s="28">
        <v>1.0764354986075043E-2</v>
      </c>
      <c r="AG252" s="30">
        <v>0</v>
      </c>
      <c r="AH252" s="30">
        <v>1.6491053126472278E-5</v>
      </c>
      <c r="AI252" s="30">
        <v>5.7114445569050236E-4</v>
      </c>
      <c r="AJ252" s="30">
        <v>3.7507357872791961E-4</v>
      </c>
      <c r="AK252" s="30">
        <v>2.073489412930921E-4</v>
      </c>
      <c r="AL252" s="30">
        <v>2.398899846098413E-2</v>
      </c>
      <c r="AM252" s="30">
        <v>2.5159056489822116E-2</v>
      </c>
      <c r="AN252" s="32">
        <v>0</v>
      </c>
      <c r="AO252" s="32">
        <v>1.179775095002105E-5</v>
      </c>
      <c r="AP252" s="32">
        <v>1.349363676490181E-6</v>
      </c>
      <c r="AQ252" s="32">
        <v>7.4641524221169363E-7</v>
      </c>
      <c r="AR252" s="32">
        <v>8.4039188940105098E-7</v>
      </c>
      <c r="AS252" s="32">
        <v>1.481061050017246E-5</v>
      </c>
      <c r="AT252" s="32">
        <v>2.9544532258296435E-5</v>
      </c>
      <c r="AU252" s="34">
        <v>0</v>
      </c>
      <c r="AV252" s="34">
        <v>0</v>
      </c>
      <c r="AW252" s="34">
        <v>1.5096129038281648E-2</v>
      </c>
      <c r="AX252" s="34">
        <v>0.17647448414364728</v>
      </c>
      <c r="AY252" s="34">
        <v>0.18141541425004556</v>
      </c>
      <c r="AZ252" s="34">
        <v>1.1650316173815727</v>
      </c>
      <c r="BA252" s="34">
        <v>1.5380176448135472</v>
      </c>
      <c r="BB252" s="6"/>
      <c r="BC252" s="6"/>
      <c r="BD252" t="s">
        <v>759</v>
      </c>
      <c r="BF252" s="5">
        <v>9.2572226999999993E-2</v>
      </c>
      <c r="BG252" s="5">
        <f t="shared" si="9"/>
        <v>-1.2815317972479326E-2</v>
      </c>
      <c r="BH252" s="2">
        <v>268.59798999999998</v>
      </c>
    </row>
    <row r="253" spans="1:60" x14ac:dyDescent="0.2">
      <c r="A253" t="str">
        <f t="shared" si="10"/>
        <v>Motorbike, battery electric, 11-35kW - 2040 - LFP - CH</v>
      </c>
      <c r="B253" t="s">
        <v>657</v>
      </c>
      <c r="D253" s="18">
        <v>2040</v>
      </c>
      <c r="E253" t="s">
        <v>37</v>
      </c>
      <c r="F253" t="s">
        <v>136</v>
      </c>
      <c r="G253" t="s">
        <v>39</v>
      </c>
      <c r="H253" t="s">
        <v>32</v>
      </c>
      <c r="I253" t="s">
        <v>43</v>
      </c>
      <c r="J253" t="s">
        <v>464</v>
      </c>
      <c r="L253" s="24">
        <v>0</v>
      </c>
      <c r="M253" s="24">
        <v>0</v>
      </c>
      <c r="N253" s="24">
        <v>1.5152004931467059E-3</v>
      </c>
      <c r="O253" s="24">
        <v>1.2306591692257861E-2</v>
      </c>
      <c r="P253" s="24">
        <v>5.2818986745286093E-3</v>
      </c>
      <c r="Q253" s="24">
        <v>8.1642883107063025E-2</v>
      </c>
      <c r="R253" s="24">
        <v>0.1007465739669962</v>
      </c>
      <c r="S253" s="26">
        <v>0</v>
      </c>
      <c r="T253" s="26">
        <v>0</v>
      </c>
      <c r="U253" s="26">
        <v>8.6368340895427004E-4</v>
      </c>
      <c r="V253" s="26">
        <v>4.722191823356421E-4</v>
      </c>
      <c r="W253" s="26">
        <v>3.6069636979411338E-4</v>
      </c>
      <c r="X253" s="26">
        <v>5.1912344210703731E-2</v>
      </c>
      <c r="Y253" s="26">
        <v>5.3608943171787757E-2</v>
      </c>
      <c r="Z253" s="28">
        <v>0</v>
      </c>
      <c r="AA253" s="28">
        <v>3.1271735442865911E-3</v>
      </c>
      <c r="AB253" s="28">
        <v>1.5240283007201779E-4</v>
      </c>
      <c r="AC253" s="28">
        <v>1.5438989133449149E-4</v>
      </c>
      <c r="AD253" s="28">
        <v>1.612805031626867E-4</v>
      </c>
      <c r="AE253" s="28">
        <v>6.6499799372623288E-3</v>
      </c>
      <c r="AF253" s="28">
        <v>1.0245226706118115E-2</v>
      </c>
      <c r="AG253" s="30">
        <v>0</v>
      </c>
      <c r="AH253" s="30">
        <v>1.6491053126472278E-5</v>
      </c>
      <c r="AI253" s="30">
        <v>5.7114445569050236E-4</v>
      </c>
      <c r="AJ253" s="30">
        <v>3.7507357872791961E-4</v>
      </c>
      <c r="AK253" s="30">
        <v>2.0905486421778481E-4</v>
      </c>
      <c r="AL253" s="30">
        <v>2.2306111618354049E-2</v>
      </c>
      <c r="AM253" s="30">
        <v>2.3477875570116727E-2</v>
      </c>
      <c r="AN253" s="32">
        <v>0</v>
      </c>
      <c r="AO253" s="32">
        <v>1.179775095002105E-5</v>
      </c>
      <c r="AP253" s="32">
        <v>1.349363676490181E-6</v>
      </c>
      <c r="AQ253" s="32">
        <v>7.4641524221169363E-7</v>
      </c>
      <c r="AR253" s="32">
        <v>8.4712774934603729E-7</v>
      </c>
      <c r="AS253" s="32">
        <v>1.3897460589459601E-5</v>
      </c>
      <c r="AT253" s="32">
        <v>2.8638118207528563E-5</v>
      </c>
      <c r="AU253" s="34">
        <v>0</v>
      </c>
      <c r="AV253" s="34">
        <v>0</v>
      </c>
      <c r="AW253" s="34">
        <v>1.5096129038281648E-2</v>
      </c>
      <c r="AX253" s="34">
        <v>0.17647448414364728</v>
      </c>
      <c r="AY253" s="34">
        <v>0.18350017558892837</v>
      </c>
      <c r="AZ253" s="34">
        <v>1.0976927569590764</v>
      </c>
      <c r="BA253" s="34">
        <v>1.4727635457299337</v>
      </c>
      <c r="BB253" s="6"/>
      <c r="BC253" s="6"/>
      <c r="BD253" t="s">
        <v>760</v>
      </c>
      <c r="BF253" s="5">
        <v>8.8814014999999996E-2</v>
      </c>
      <c r="BG253" s="5">
        <f t="shared" si="9"/>
        <v>-1.1932558966996201E-2</v>
      </c>
      <c r="BH253" s="2">
        <v>249.14008999999999</v>
      </c>
    </row>
    <row r="254" spans="1:60" x14ac:dyDescent="0.2">
      <c r="A254" t="str">
        <f t="shared" si="10"/>
        <v>Motorbike, battery electric, 11-35kW - 2050 - LFP - CH</v>
      </c>
      <c r="B254" t="s">
        <v>657</v>
      </c>
      <c r="D254" s="18">
        <v>2050</v>
      </c>
      <c r="E254" t="s">
        <v>37</v>
      </c>
      <c r="F254" t="s">
        <v>136</v>
      </c>
      <c r="G254" t="s">
        <v>39</v>
      </c>
      <c r="H254" t="s">
        <v>32</v>
      </c>
      <c r="I254" t="s">
        <v>43</v>
      </c>
      <c r="J254" t="s">
        <v>464</v>
      </c>
      <c r="L254" s="24">
        <v>0</v>
      </c>
      <c r="M254" s="24">
        <v>0</v>
      </c>
      <c r="N254" s="24">
        <v>1.5152004931467059E-3</v>
      </c>
      <c r="O254" s="24">
        <v>1.16988587691834E-2</v>
      </c>
      <c r="P254" s="24">
        <v>5.2469080279340134E-3</v>
      </c>
      <c r="Q254" s="24">
        <v>0.1312707064103128</v>
      </c>
      <c r="R254" s="24">
        <v>0.14973167370057691</v>
      </c>
      <c r="S254" s="26">
        <v>0</v>
      </c>
      <c r="T254" s="26">
        <v>0</v>
      </c>
      <c r="U254" s="26">
        <v>8.6368340895427004E-4</v>
      </c>
      <c r="V254" s="26">
        <v>4.4889971654128941E-4</v>
      </c>
      <c r="W254" s="26">
        <v>3.5848539339494441E-4</v>
      </c>
      <c r="X254" s="26">
        <v>8.3879698628234439E-2</v>
      </c>
      <c r="Y254" s="26">
        <v>8.5550767147124937E-2</v>
      </c>
      <c r="Z254" s="28">
        <v>0</v>
      </c>
      <c r="AA254" s="28">
        <v>3.1271735442865911E-3</v>
      </c>
      <c r="AB254" s="28">
        <v>1.5240283007201779E-4</v>
      </c>
      <c r="AC254" s="28">
        <v>1.4676569916982529E-4</v>
      </c>
      <c r="AD254" s="28">
        <v>1.602754688215921E-4</v>
      </c>
      <c r="AE254" s="28">
        <v>1.137321068335082E-2</v>
      </c>
      <c r="AF254" s="28">
        <v>1.4959828225700847E-2</v>
      </c>
      <c r="AG254" s="30">
        <v>0</v>
      </c>
      <c r="AH254" s="30">
        <v>1.6491053126472278E-5</v>
      </c>
      <c r="AI254" s="30">
        <v>5.7114445569050236E-4</v>
      </c>
      <c r="AJ254" s="30">
        <v>3.5655142669197291E-4</v>
      </c>
      <c r="AK254" s="30">
        <v>2.081168913364444E-4</v>
      </c>
      <c r="AL254" s="30">
        <v>3.7472638859565532E-2</v>
      </c>
      <c r="AM254" s="30">
        <v>3.8624942686410924E-2</v>
      </c>
      <c r="AN254" s="32">
        <v>0</v>
      </c>
      <c r="AO254" s="32">
        <v>1.179775095002105E-5</v>
      </c>
      <c r="AP254" s="32">
        <v>1.349363676490181E-6</v>
      </c>
      <c r="AQ254" s="32">
        <v>7.095552302506223E-7</v>
      </c>
      <c r="AR254" s="32">
        <v>8.4342415062568946E-7</v>
      </c>
      <c r="AS254" s="32">
        <v>2.153221439947024E-5</v>
      </c>
      <c r="AT254" s="32">
        <v>3.6232308406857779E-5</v>
      </c>
      <c r="AU254" s="34">
        <v>0</v>
      </c>
      <c r="AV254" s="34">
        <v>0</v>
      </c>
      <c r="AW254" s="34">
        <v>1.5096129038281648E-2</v>
      </c>
      <c r="AX254" s="34">
        <v>0.16775969480322017</v>
      </c>
      <c r="AY254" s="34">
        <v>0.18235390480984784</v>
      </c>
      <c r="AZ254" s="34">
        <v>1.7582249094146232</v>
      </c>
      <c r="BA254" s="34">
        <v>2.123434638065973</v>
      </c>
      <c r="BB254" s="6"/>
      <c r="BC254" s="6"/>
      <c r="BD254" t="s">
        <v>761</v>
      </c>
      <c r="BF254" s="5">
        <v>0.12355849000000001</v>
      </c>
      <c r="BG254" s="5">
        <f t="shared" si="9"/>
        <v>-2.6173183700576905E-2</v>
      </c>
      <c r="BH254" s="2">
        <v>400.40685999999999</v>
      </c>
    </row>
    <row r="255" spans="1:60" x14ac:dyDescent="0.2">
      <c r="A255" t="str">
        <f t="shared" si="10"/>
        <v>Motorbike, battery electric, &gt;35kW - 2020 - LFP - CH</v>
      </c>
      <c r="B255" t="s">
        <v>658</v>
      </c>
      <c r="D255" s="18">
        <v>2020</v>
      </c>
      <c r="E255" t="s">
        <v>37</v>
      </c>
      <c r="F255" t="s">
        <v>136</v>
      </c>
      <c r="G255" t="s">
        <v>39</v>
      </c>
      <c r="H255" t="s">
        <v>32</v>
      </c>
      <c r="I255" t="s">
        <v>43</v>
      </c>
      <c r="J255" t="s">
        <v>464</v>
      </c>
      <c r="L255" s="24">
        <v>0</v>
      </c>
      <c r="M255" s="24">
        <v>0</v>
      </c>
      <c r="N255" s="24">
        <v>1.689725966023888E-3</v>
      </c>
      <c r="O255" s="24">
        <v>1.2306591692257861E-2</v>
      </c>
      <c r="P255" s="24">
        <v>5.7322097842371321E-3</v>
      </c>
      <c r="Q255" s="24">
        <v>0.1330489585066062</v>
      </c>
      <c r="R255" s="24">
        <v>0.15277748594912507</v>
      </c>
      <c r="S255" s="26">
        <v>0</v>
      </c>
      <c r="T255" s="26">
        <v>0</v>
      </c>
      <c r="U255" s="26">
        <v>9.63165131700334E-4</v>
      </c>
      <c r="V255" s="26">
        <v>4.722191823356421E-4</v>
      </c>
      <c r="W255" s="26">
        <v>3.8915046632409652E-4</v>
      </c>
      <c r="X255" s="26">
        <v>8.6893962416245196E-2</v>
      </c>
      <c r="Y255" s="26">
        <v>8.8718497196605267E-2</v>
      </c>
      <c r="Z255" s="28">
        <v>0</v>
      </c>
      <c r="AA255" s="28">
        <v>3.1271735442865911E-3</v>
      </c>
      <c r="AB255" s="28">
        <v>1.699570587740569E-4</v>
      </c>
      <c r="AC255" s="28">
        <v>1.5438989133449149E-4</v>
      </c>
      <c r="AD255" s="28">
        <v>1.742147634144923E-4</v>
      </c>
      <c r="AE255" s="28">
        <v>1.1580690453615769E-2</v>
      </c>
      <c r="AF255" s="28">
        <v>1.52064257114254E-2</v>
      </c>
      <c r="AG255" s="30">
        <v>0</v>
      </c>
      <c r="AH255" s="30">
        <v>1.6491053126472278E-5</v>
      </c>
      <c r="AI255" s="30">
        <v>6.3693063821975663E-4</v>
      </c>
      <c r="AJ255" s="30">
        <v>3.7507357872791961E-4</v>
      </c>
      <c r="AK255" s="30">
        <v>2.2112607896172969E-4</v>
      </c>
      <c r="AL255" s="30">
        <v>3.8191506964006042E-2</v>
      </c>
      <c r="AM255" s="30">
        <v>3.9441128313041918E-2</v>
      </c>
      <c r="AN255" s="32">
        <v>0</v>
      </c>
      <c r="AO255" s="32">
        <v>1.179775095002105E-5</v>
      </c>
      <c r="AP255" s="32">
        <v>1.5047875525962851E-6</v>
      </c>
      <c r="AQ255" s="32">
        <v>7.4641524221169363E-7</v>
      </c>
      <c r="AR255" s="32">
        <v>8.947911054708254E-7</v>
      </c>
      <c r="AS255" s="32">
        <v>2.298482768960763E-5</v>
      </c>
      <c r="AT255" s="32">
        <v>3.7928572539907486E-5</v>
      </c>
      <c r="AU255" s="34">
        <v>0</v>
      </c>
      <c r="AV255" s="34">
        <v>0</v>
      </c>
      <c r="AW255" s="34">
        <v>1.6834947809089666E-2</v>
      </c>
      <c r="AX255" s="34">
        <v>0.17647448414364728</v>
      </c>
      <c r="AY255" s="34">
        <v>0.1982520740758201</v>
      </c>
      <c r="AZ255" s="34">
        <v>1.8026418530543371</v>
      </c>
      <c r="BA255" s="34">
        <v>2.194203359082894</v>
      </c>
      <c r="BB255" s="6"/>
      <c r="BC255" s="6"/>
      <c r="BD255" t="s">
        <v>762</v>
      </c>
      <c r="BF255" s="5">
        <v>0.12988803000000002</v>
      </c>
      <c r="BG255" s="5">
        <f t="shared" si="9"/>
        <v>-2.2889455949125059E-2</v>
      </c>
      <c r="BH255" s="2">
        <v>419.23570999999998</v>
      </c>
    </row>
    <row r="256" spans="1:60" x14ac:dyDescent="0.2">
      <c r="A256" t="str">
        <f t="shared" si="10"/>
        <v>Motorbike, battery electric, &gt;35kW - 2030 - LFP - CH</v>
      </c>
      <c r="B256" t="s">
        <v>658</v>
      </c>
      <c r="D256" s="18">
        <v>2030</v>
      </c>
      <c r="E256" t="s">
        <v>37</v>
      </c>
      <c r="F256" t="s">
        <v>136</v>
      </c>
      <c r="G256" t="s">
        <v>39</v>
      </c>
      <c r="H256" t="s">
        <v>32</v>
      </c>
      <c r="I256" t="s">
        <v>43</v>
      </c>
      <c r="J256" t="s">
        <v>464</v>
      </c>
      <c r="L256" s="24">
        <v>0</v>
      </c>
      <c r="M256" s="24">
        <v>0</v>
      </c>
      <c r="N256" s="24">
        <v>1.689725966023888E-3</v>
      </c>
      <c r="O256" s="24">
        <v>1.2306591692257861E-2</v>
      </c>
      <c r="P256" s="24">
        <v>6.0030762336561044E-3</v>
      </c>
      <c r="Q256" s="24">
        <v>0.14397240586620499</v>
      </c>
      <c r="R256" s="24">
        <v>0.16397179975814286</v>
      </c>
      <c r="S256" s="26">
        <v>0</v>
      </c>
      <c r="T256" s="26">
        <v>0</v>
      </c>
      <c r="U256" s="26">
        <v>9.63165131700334E-4</v>
      </c>
      <c r="V256" s="26">
        <v>4.722191823356421E-4</v>
      </c>
      <c r="W256" s="26">
        <v>4.0626587816345781E-4</v>
      </c>
      <c r="X256" s="26">
        <v>9.2628351819699223E-2</v>
      </c>
      <c r="Y256" s="26">
        <v>9.447000201189866E-2</v>
      </c>
      <c r="Z256" s="28">
        <v>0</v>
      </c>
      <c r="AA256" s="28">
        <v>3.1271735442865911E-3</v>
      </c>
      <c r="AB256" s="28">
        <v>1.699570587740569E-4</v>
      </c>
      <c r="AC256" s="28">
        <v>1.5438989133449149E-4</v>
      </c>
      <c r="AD256" s="28">
        <v>1.8199484495086659E-4</v>
      </c>
      <c r="AE256" s="28">
        <v>1.2524604404161629E-2</v>
      </c>
      <c r="AF256" s="28">
        <v>1.6158119743507636E-2</v>
      </c>
      <c r="AG256" s="30">
        <v>0</v>
      </c>
      <c r="AH256" s="30">
        <v>1.6491053126472278E-5</v>
      </c>
      <c r="AI256" s="30">
        <v>6.3693063821975663E-4</v>
      </c>
      <c r="AJ256" s="30">
        <v>3.7507357872791961E-4</v>
      </c>
      <c r="AK256" s="30">
        <v>2.283870303514982E-4</v>
      </c>
      <c r="AL256" s="30">
        <v>4.1143357581012688E-2</v>
      </c>
      <c r="AM256" s="30">
        <v>4.2400239881438331E-2</v>
      </c>
      <c r="AN256" s="32">
        <v>0</v>
      </c>
      <c r="AO256" s="32">
        <v>1.179775095002105E-5</v>
      </c>
      <c r="AP256" s="32">
        <v>1.5047875525962851E-6</v>
      </c>
      <c r="AQ256" s="32">
        <v>7.4641524221169363E-7</v>
      </c>
      <c r="AR256" s="32">
        <v>9.2346107110696084E-7</v>
      </c>
      <c r="AS256" s="32">
        <v>2.4470014700998951E-5</v>
      </c>
      <c r="AT256" s="32">
        <v>3.9442429516934937E-5</v>
      </c>
      <c r="AU256" s="34">
        <v>0</v>
      </c>
      <c r="AV256" s="34">
        <v>0</v>
      </c>
      <c r="AW256" s="34">
        <v>1.6834947809089666E-2</v>
      </c>
      <c r="AX256" s="34">
        <v>0.17647448414364728</v>
      </c>
      <c r="AY256" s="34">
        <v>0.20712548243547596</v>
      </c>
      <c r="AZ256" s="34">
        <v>1.9428459549765458</v>
      </c>
      <c r="BA256" s="34">
        <v>2.3432808693647589</v>
      </c>
      <c r="BB256" s="6"/>
      <c r="BC256" s="6"/>
      <c r="BD256" t="s">
        <v>763</v>
      </c>
      <c r="BF256" s="5">
        <v>0.13760115000000001</v>
      </c>
      <c r="BG256" s="5">
        <f t="shared" si="9"/>
        <v>-2.637064975814285E-2</v>
      </c>
      <c r="BH256" s="2">
        <v>446.90778</v>
      </c>
    </row>
    <row r="257" spans="1:60" x14ac:dyDescent="0.2">
      <c r="A257" t="str">
        <f t="shared" si="10"/>
        <v>Motorbike, battery electric, &gt;35kW - 2040 - LFP - CH</v>
      </c>
      <c r="B257" t="s">
        <v>658</v>
      </c>
      <c r="D257" s="18">
        <v>2040</v>
      </c>
      <c r="E257" t="s">
        <v>37</v>
      </c>
      <c r="F257" t="s">
        <v>136</v>
      </c>
      <c r="G257" t="s">
        <v>39</v>
      </c>
      <c r="H257" t="s">
        <v>32</v>
      </c>
      <c r="I257" t="s">
        <v>43</v>
      </c>
      <c r="J257" t="s">
        <v>464</v>
      </c>
      <c r="L257" s="24">
        <v>0</v>
      </c>
      <c r="M257" s="24">
        <v>0</v>
      </c>
      <c r="N257" s="24">
        <v>1.689725966023888E-3</v>
      </c>
      <c r="O257" s="24">
        <v>1.2306591692257861E-2</v>
      </c>
      <c r="P257" s="24">
        <v>6.1113257014817129E-3</v>
      </c>
      <c r="Q257" s="24">
        <v>0.13253405494445991</v>
      </c>
      <c r="R257" s="24">
        <v>0.15264169830422336</v>
      </c>
      <c r="S257" s="26">
        <v>0</v>
      </c>
      <c r="T257" s="26">
        <v>0</v>
      </c>
      <c r="U257" s="26">
        <v>9.63165131700334E-4</v>
      </c>
      <c r="V257" s="26">
        <v>4.722191823356421E-4</v>
      </c>
      <c r="W257" s="26">
        <v>4.131059066247207E-4</v>
      </c>
      <c r="X257" s="26">
        <v>8.3865754159344025E-2</v>
      </c>
      <c r="Y257" s="26">
        <v>8.5714244380004717E-2</v>
      </c>
      <c r="Z257" s="28">
        <v>0</v>
      </c>
      <c r="AA257" s="28">
        <v>3.1271735442865911E-3</v>
      </c>
      <c r="AB257" s="28">
        <v>1.699570587740569E-4</v>
      </c>
      <c r="AC257" s="28">
        <v>1.5438989133449149E-4</v>
      </c>
      <c r="AD257" s="28">
        <v>1.851040882246605E-4</v>
      </c>
      <c r="AE257" s="28">
        <v>1.1325664435950089E-2</v>
      </c>
      <c r="AF257" s="28">
        <v>1.4962289018569889E-2</v>
      </c>
      <c r="AG257" s="30">
        <v>0</v>
      </c>
      <c r="AH257" s="30">
        <v>1.6491053126472278E-5</v>
      </c>
      <c r="AI257" s="30">
        <v>6.3693063821975663E-4</v>
      </c>
      <c r="AJ257" s="30">
        <v>3.7507357872791961E-4</v>
      </c>
      <c r="AK257" s="30">
        <v>2.3128880768691969E-4</v>
      </c>
      <c r="AL257" s="30">
        <v>3.7276927745773153E-2</v>
      </c>
      <c r="AM257" s="30">
        <v>3.8536711823534221E-2</v>
      </c>
      <c r="AN257" s="32">
        <v>0</v>
      </c>
      <c r="AO257" s="32">
        <v>1.179775095002105E-5</v>
      </c>
      <c r="AP257" s="32">
        <v>1.5047875525962851E-6</v>
      </c>
      <c r="AQ257" s="32">
        <v>7.4641524221169363E-7</v>
      </c>
      <c r="AR257" s="32">
        <v>9.3491877850980613E-7</v>
      </c>
      <c r="AS257" s="32">
        <v>2.2426039524605921E-5</v>
      </c>
      <c r="AT257" s="32">
        <v>3.7409912047944757E-5</v>
      </c>
      <c r="AU257" s="34">
        <v>0</v>
      </c>
      <c r="AV257" s="34">
        <v>0</v>
      </c>
      <c r="AW257" s="34">
        <v>1.6834947809089666E-2</v>
      </c>
      <c r="AX257" s="34">
        <v>0.17647448414364728</v>
      </c>
      <c r="AY257" s="34">
        <v>0.21067166445540664</v>
      </c>
      <c r="AZ257" s="34">
        <v>1.7835099942552901</v>
      </c>
      <c r="BA257" s="34">
        <v>2.1874910906634337</v>
      </c>
      <c r="BB257" s="6"/>
      <c r="BC257" s="6"/>
      <c r="BD257" t="s">
        <v>764</v>
      </c>
      <c r="BF257" s="5">
        <v>0.12883433</v>
      </c>
      <c r="BG257" s="5">
        <f t="shared" si="9"/>
        <v>-2.3807368304223364E-2</v>
      </c>
      <c r="BH257" s="2">
        <v>404.11622</v>
      </c>
    </row>
    <row r="258" spans="1:60" x14ac:dyDescent="0.2">
      <c r="A258" t="str">
        <f t="shared" si="10"/>
        <v>Motorbike, battery electric, &gt;35kW - 2050 - LFP - CH</v>
      </c>
      <c r="B258" t="s">
        <v>658</v>
      </c>
      <c r="D258" s="18">
        <v>2050</v>
      </c>
      <c r="E258" t="s">
        <v>37</v>
      </c>
      <c r="F258" t="s">
        <v>136</v>
      </c>
      <c r="G258" t="s">
        <v>39</v>
      </c>
      <c r="H258" t="s">
        <v>32</v>
      </c>
      <c r="I258" t="s">
        <v>43</v>
      </c>
      <c r="J258" t="s">
        <v>464</v>
      </c>
      <c r="L258" s="24">
        <v>0</v>
      </c>
      <c r="M258" s="24">
        <v>0</v>
      </c>
      <c r="N258" s="24">
        <v>1.689725966023888E-3</v>
      </c>
      <c r="O258" s="24">
        <v>1.9936678541457739E-2</v>
      </c>
      <c r="P258" s="24">
        <v>6.0371109345718366E-3</v>
      </c>
      <c r="Q258" s="24">
        <v>0.21631706785528021</v>
      </c>
      <c r="R258" s="24">
        <v>0.24398058329733369</v>
      </c>
      <c r="S258" s="26">
        <v>0</v>
      </c>
      <c r="T258" s="26">
        <v>0</v>
      </c>
      <c r="U258" s="26">
        <v>9.63165131700334E-4</v>
      </c>
      <c r="V258" s="26">
        <v>7.6499507538374024E-4</v>
      </c>
      <c r="W258" s="26">
        <v>4.0841645061069821E-4</v>
      </c>
      <c r="X258" s="26">
        <v>0.14135138537870459</v>
      </c>
      <c r="Y258" s="26">
        <v>0.14348796203639935</v>
      </c>
      <c r="Z258" s="28">
        <v>0</v>
      </c>
      <c r="AA258" s="28">
        <v>3.1271735442865911E-3</v>
      </c>
      <c r="AB258" s="28">
        <v>1.699570587740569E-4</v>
      </c>
      <c r="AC258" s="28">
        <v>2.5011162396187633E-4</v>
      </c>
      <c r="AD258" s="28">
        <v>1.8297242171889569E-4</v>
      </c>
      <c r="AE258" s="28">
        <v>1.9587163637120739E-2</v>
      </c>
      <c r="AF258" s="28">
        <v>2.331737828586216E-2</v>
      </c>
      <c r="AG258" s="30">
        <v>0</v>
      </c>
      <c r="AH258" s="30">
        <v>1.6491053126472278E-5</v>
      </c>
      <c r="AI258" s="30">
        <v>6.3693063821975663E-4</v>
      </c>
      <c r="AJ258" s="30">
        <v>6.0761919753922976E-4</v>
      </c>
      <c r="AK258" s="30">
        <v>2.2929937778118001E-4</v>
      </c>
      <c r="AL258" s="30">
        <v>6.3764916319348358E-2</v>
      </c>
      <c r="AM258" s="30">
        <v>6.5255256586014998E-2</v>
      </c>
      <c r="AN258" s="32">
        <v>0</v>
      </c>
      <c r="AO258" s="32">
        <v>1.179775095002105E-5</v>
      </c>
      <c r="AP258" s="32">
        <v>1.5047875525962851E-6</v>
      </c>
      <c r="AQ258" s="32">
        <v>1.209192692382944E-6</v>
      </c>
      <c r="AR258" s="32">
        <v>9.2706348738178315E-7</v>
      </c>
      <c r="AS258" s="32">
        <v>3.6122450707167833E-5</v>
      </c>
      <c r="AT258" s="32">
        <v>5.1561245389549897E-5</v>
      </c>
      <c r="AU258" s="34">
        <v>0</v>
      </c>
      <c r="AV258" s="34">
        <v>0</v>
      </c>
      <c r="AW258" s="34">
        <v>1.6834947809089666E-2</v>
      </c>
      <c r="AX258" s="34">
        <v>0.28588866431270848</v>
      </c>
      <c r="AY258" s="34">
        <v>0.20824043705710535</v>
      </c>
      <c r="AZ258" s="34">
        <v>2.9183852236892727</v>
      </c>
      <c r="BA258" s="34">
        <v>3.4293492728681763</v>
      </c>
      <c r="BB258" s="6"/>
      <c r="BC258" s="6"/>
      <c r="BD258" t="s">
        <v>765</v>
      </c>
      <c r="BF258" s="5">
        <v>0.19645399</v>
      </c>
      <c r="BG258" s="5">
        <f t="shared" si="9"/>
        <v>-4.7526593297333691E-2</v>
      </c>
      <c r="BH258" s="2">
        <v>687.79053999999996</v>
      </c>
    </row>
    <row r="259" spans="1:60" x14ac:dyDescent="0.2">
      <c r="A259" t="str">
        <f t="shared" si="10"/>
        <v>Motorbike, battery electric, &lt;4kW - 2020 - NCA - CH</v>
      </c>
      <c r="B259" t="s">
        <v>655</v>
      </c>
      <c r="D259" s="18">
        <v>2020</v>
      </c>
      <c r="E259" t="s">
        <v>37</v>
      </c>
      <c r="F259" t="s">
        <v>136</v>
      </c>
      <c r="G259" t="s">
        <v>39</v>
      </c>
      <c r="H259" t="s">
        <v>32</v>
      </c>
      <c r="I259" t="s">
        <v>44</v>
      </c>
      <c r="J259" t="s">
        <v>464</v>
      </c>
      <c r="L259" s="24">
        <v>0</v>
      </c>
      <c r="M259" s="24">
        <v>0</v>
      </c>
      <c r="N259" s="24">
        <v>7.4420517119050845E-4</v>
      </c>
      <c r="O259" s="24">
        <v>1.2306591692257861E-2</v>
      </c>
      <c r="P259" s="24">
        <v>4.425905066110937E-3</v>
      </c>
      <c r="Q259" s="24">
        <v>3.3902437426259507E-2</v>
      </c>
      <c r="R259" s="24">
        <v>5.1379139355818816E-2</v>
      </c>
      <c r="S259" s="26">
        <v>0</v>
      </c>
      <c r="T259" s="26">
        <v>0</v>
      </c>
      <c r="U259" s="26">
        <v>4.2420634240975051E-4</v>
      </c>
      <c r="V259" s="26">
        <v>4.722191823356421E-4</v>
      </c>
      <c r="W259" s="26">
        <v>3.0660815336363168E-4</v>
      </c>
      <c r="X259" s="26">
        <v>2.47414493231328E-2</v>
      </c>
      <c r="Y259" s="26">
        <v>2.5944483001241823E-2</v>
      </c>
      <c r="Z259" s="28">
        <v>0</v>
      </c>
      <c r="AA259" s="28">
        <v>3.1271735442865911E-3</v>
      </c>
      <c r="AB259" s="28">
        <v>7.4854103306236475E-5</v>
      </c>
      <c r="AC259" s="28">
        <v>1.5438989133449149E-4</v>
      </c>
      <c r="AD259" s="28">
        <v>1.3669384770059349E-4</v>
      </c>
      <c r="AE259" s="28">
        <v>2.475333254355087E-3</v>
      </c>
      <c r="AF259" s="28">
        <v>5.9684446409829991E-3</v>
      </c>
      <c r="AG259" s="30">
        <v>0</v>
      </c>
      <c r="AH259" s="30">
        <v>1.6491053126472278E-5</v>
      </c>
      <c r="AI259" s="30">
        <v>2.805230458570776E-4</v>
      </c>
      <c r="AJ259" s="30">
        <v>3.7507357872791961E-4</v>
      </c>
      <c r="AK259" s="30">
        <v>1.8610876663351179E-4</v>
      </c>
      <c r="AL259" s="30">
        <v>8.5929110963679396E-3</v>
      </c>
      <c r="AM259" s="30">
        <v>9.4511075407129209E-3</v>
      </c>
      <c r="AN259" s="32">
        <v>0</v>
      </c>
      <c r="AO259" s="32">
        <v>1.179775095002105E-5</v>
      </c>
      <c r="AP259" s="32">
        <v>6.6275283726653284E-7</v>
      </c>
      <c r="AQ259" s="32">
        <v>7.4641524221169363E-7</v>
      </c>
      <c r="AR259" s="32">
        <v>7.5652476994150374E-7</v>
      </c>
      <c r="AS259" s="32">
        <v>7.2500144535867421E-6</v>
      </c>
      <c r="AT259" s="32">
        <v>2.121345825302752E-5</v>
      </c>
      <c r="AU259" s="34">
        <v>0</v>
      </c>
      <c r="AV259" s="34">
        <v>0</v>
      </c>
      <c r="AW259" s="34">
        <v>7.4146077341334599E-3</v>
      </c>
      <c r="AX259" s="34">
        <v>0.17647448414364728</v>
      </c>
      <c r="AY259" s="34">
        <v>0.15545838282707702</v>
      </c>
      <c r="AZ259" s="34">
        <v>0.47060080427472312</v>
      </c>
      <c r="BA259" s="34">
        <v>0.80994827897958088</v>
      </c>
      <c r="BB259" s="6"/>
      <c r="BC259" s="6"/>
      <c r="BD259" t="s">
        <v>766</v>
      </c>
      <c r="BF259" s="5">
        <v>5.3132026000000006E-2</v>
      </c>
      <c r="BG259" s="5">
        <f t="shared" si="9"/>
        <v>1.7528866441811897E-3</v>
      </c>
      <c r="BH259" s="2">
        <v>117.84532</v>
      </c>
    </row>
    <row r="260" spans="1:60" x14ac:dyDescent="0.2">
      <c r="A260" t="str">
        <f t="shared" si="10"/>
        <v>Motorbike, battery electric, &lt;4kW - 2030 - NCA - CH</v>
      </c>
      <c r="B260" t="s">
        <v>655</v>
      </c>
      <c r="D260" s="18">
        <v>2030</v>
      </c>
      <c r="E260" t="s">
        <v>37</v>
      </c>
      <c r="F260" t="s">
        <v>136</v>
      </c>
      <c r="G260" t="s">
        <v>39</v>
      </c>
      <c r="H260" t="s">
        <v>32</v>
      </c>
      <c r="I260" t="s">
        <v>44</v>
      </c>
      <c r="J260" t="s">
        <v>464</v>
      </c>
      <c r="L260" s="24">
        <v>0</v>
      </c>
      <c r="M260" s="24">
        <v>0</v>
      </c>
      <c r="N260" s="24">
        <v>7.4420517119050845E-4</v>
      </c>
      <c r="O260" s="24">
        <v>1.2306591692257861E-2</v>
      </c>
      <c r="P260" s="24">
        <v>4.4354770577290396E-3</v>
      </c>
      <c r="Q260" s="24">
        <v>3.6309068769588608E-2</v>
      </c>
      <c r="R260" s="24">
        <v>5.3795342690766017E-2</v>
      </c>
      <c r="S260" s="26">
        <v>0</v>
      </c>
      <c r="T260" s="26">
        <v>0</v>
      </c>
      <c r="U260" s="26">
        <v>4.2420634240975051E-4</v>
      </c>
      <c r="V260" s="26">
        <v>4.722191823356421E-4</v>
      </c>
      <c r="W260" s="26">
        <v>3.0721298492921762E-4</v>
      </c>
      <c r="X260" s="26">
        <v>2.5348429635311379E-2</v>
      </c>
      <c r="Y260" s="26">
        <v>2.655206814498599E-2</v>
      </c>
      <c r="Z260" s="28">
        <v>0</v>
      </c>
      <c r="AA260" s="28">
        <v>3.1271735442865911E-3</v>
      </c>
      <c r="AB260" s="28">
        <v>7.4854103306236475E-5</v>
      </c>
      <c r="AC260" s="28">
        <v>1.5438989133449149E-4</v>
      </c>
      <c r="AD260" s="28">
        <v>1.3696878346843811E-4</v>
      </c>
      <c r="AE260" s="28">
        <v>2.6271210559094798E-3</v>
      </c>
      <c r="AF260" s="28">
        <v>6.1205073783052368E-3</v>
      </c>
      <c r="AG260" s="30">
        <v>0</v>
      </c>
      <c r="AH260" s="30">
        <v>1.6491053126472278E-5</v>
      </c>
      <c r="AI260" s="30">
        <v>2.805230458570776E-4</v>
      </c>
      <c r="AJ260" s="30">
        <v>3.7507357872791961E-4</v>
      </c>
      <c r="AK260" s="30">
        <v>1.863653571636104E-4</v>
      </c>
      <c r="AL260" s="30">
        <v>9.0822750147208746E-3</v>
      </c>
      <c r="AM260" s="30">
        <v>9.9407280495959552E-3</v>
      </c>
      <c r="AN260" s="32">
        <v>0</v>
      </c>
      <c r="AO260" s="32">
        <v>1.179775095002105E-5</v>
      </c>
      <c r="AP260" s="32">
        <v>6.6275283726653284E-7</v>
      </c>
      <c r="AQ260" s="32">
        <v>7.4641524221169363E-7</v>
      </c>
      <c r="AR260" s="32">
        <v>7.5753792115070333E-7</v>
      </c>
      <c r="AS260" s="32">
        <v>7.4121647405551788E-6</v>
      </c>
      <c r="AT260" s="32">
        <v>2.1376621691205159E-5</v>
      </c>
      <c r="AU260" s="34">
        <v>0</v>
      </c>
      <c r="AV260" s="34">
        <v>0</v>
      </c>
      <c r="AW260" s="34">
        <v>7.4146077341334599E-3</v>
      </c>
      <c r="AX260" s="34">
        <v>0.17647448414364728</v>
      </c>
      <c r="AY260" s="34">
        <v>0.15577195503443175</v>
      </c>
      <c r="AZ260" s="34">
        <v>0.49726894951311434</v>
      </c>
      <c r="BA260" s="34">
        <v>0.83692999642532684</v>
      </c>
      <c r="BB260" s="6"/>
      <c r="BC260" s="6"/>
      <c r="BD260" t="s">
        <v>767</v>
      </c>
      <c r="BF260" s="5">
        <v>5.4213036000000006E-2</v>
      </c>
      <c r="BG260" s="5">
        <f t="shared" ref="BG260:BG274" si="11">BF260-R260</f>
        <v>4.1769330923398934E-4</v>
      </c>
      <c r="BH260" s="2">
        <v>119.40535</v>
      </c>
    </row>
    <row r="261" spans="1:60" x14ac:dyDescent="0.2">
      <c r="A261" t="str">
        <f t="shared" si="10"/>
        <v>Motorbike, battery electric, &lt;4kW - 2040 - NCA - CH</v>
      </c>
      <c r="B261" t="s">
        <v>655</v>
      </c>
      <c r="D261" s="18">
        <v>2040</v>
      </c>
      <c r="E261" t="s">
        <v>37</v>
      </c>
      <c r="F261" t="s">
        <v>136</v>
      </c>
      <c r="G261" t="s">
        <v>39</v>
      </c>
      <c r="H261" t="s">
        <v>32</v>
      </c>
      <c r="I261" t="s">
        <v>44</v>
      </c>
      <c r="J261" t="s">
        <v>464</v>
      </c>
      <c r="L261" s="24">
        <v>0</v>
      </c>
      <c r="M261" s="24">
        <v>0</v>
      </c>
      <c r="N261" s="24">
        <v>7.4420517119050845E-4</v>
      </c>
      <c r="O261" s="24">
        <v>1.2306591692257861E-2</v>
      </c>
      <c r="P261" s="24">
        <v>4.434103834174483E-3</v>
      </c>
      <c r="Q261" s="24">
        <v>3.6426180899513397E-2</v>
      </c>
      <c r="R261" s="24">
        <v>5.391108159713625E-2</v>
      </c>
      <c r="S261" s="26">
        <v>0</v>
      </c>
      <c r="T261" s="26">
        <v>0</v>
      </c>
      <c r="U261" s="26">
        <v>4.2420634240975051E-4</v>
      </c>
      <c r="V261" s="26">
        <v>4.722191823356421E-4</v>
      </c>
      <c r="W261" s="26">
        <v>3.0712621417287557E-4</v>
      </c>
      <c r="X261" s="26">
        <v>2.436109907006942E-2</v>
      </c>
      <c r="Y261" s="26">
        <v>2.5564650808987687E-2</v>
      </c>
      <c r="Z261" s="28">
        <v>0</v>
      </c>
      <c r="AA261" s="28">
        <v>3.1271735442865911E-3</v>
      </c>
      <c r="AB261" s="28">
        <v>7.4854103306236475E-5</v>
      </c>
      <c r="AC261" s="28">
        <v>1.5438989133449149E-4</v>
      </c>
      <c r="AD261" s="28">
        <v>1.3692934044681231E-4</v>
      </c>
      <c r="AE261" s="28">
        <v>2.5549809065749198E-3</v>
      </c>
      <c r="AF261" s="28">
        <v>6.0483277859490515E-3</v>
      </c>
      <c r="AG261" s="30">
        <v>0</v>
      </c>
      <c r="AH261" s="30">
        <v>1.6491053126472278E-5</v>
      </c>
      <c r="AI261" s="30">
        <v>2.805230458570776E-4</v>
      </c>
      <c r="AJ261" s="30">
        <v>3.7507357872791961E-4</v>
      </c>
      <c r="AK261" s="30">
        <v>1.8632854599892639E-4</v>
      </c>
      <c r="AL261" s="30">
        <v>8.8871934464291071E-3</v>
      </c>
      <c r="AM261" s="30">
        <v>9.7456096701395035E-3</v>
      </c>
      <c r="AN261" s="32">
        <v>0</v>
      </c>
      <c r="AO261" s="32">
        <v>1.179775095002105E-5</v>
      </c>
      <c r="AP261" s="32">
        <v>6.6275283726653284E-7</v>
      </c>
      <c r="AQ261" s="32">
        <v>7.4641524221169363E-7</v>
      </c>
      <c r="AR261" s="32">
        <v>7.5739257176467052E-7</v>
      </c>
      <c r="AS261" s="32">
        <v>7.1665713461865727E-6</v>
      </c>
      <c r="AT261" s="32">
        <v>2.1130882947450518E-5</v>
      </c>
      <c r="AU261" s="34">
        <v>0</v>
      </c>
      <c r="AV261" s="34">
        <v>0</v>
      </c>
      <c r="AW261" s="34">
        <v>7.4146077341334599E-3</v>
      </c>
      <c r="AX261" s="34">
        <v>0.17647448414364728</v>
      </c>
      <c r="AY261" s="34">
        <v>0.15572696912571241</v>
      </c>
      <c r="AZ261" s="34">
        <v>0.4937996919474914</v>
      </c>
      <c r="BA261" s="34">
        <v>0.83341575295098458</v>
      </c>
      <c r="BB261" s="6"/>
      <c r="BC261" s="6"/>
      <c r="BD261" t="s">
        <v>768</v>
      </c>
      <c r="BF261" s="5">
        <v>5.3707326999999999E-2</v>
      </c>
      <c r="BG261" s="5">
        <f t="shared" si="11"/>
        <v>-2.037545971362506E-4</v>
      </c>
      <c r="BH261" s="2">
        <v>114.16804999999999</v>
      </c>
    </row>
    <row r="262" spans="1:60" x14ac:dyDescent="0.2">
      <c r="A262" t="str">
        <f t="shared" si="10"/>
        <v>Motorbike, battery electric, &lt;4kW - 2050 - NCA - CH</v>
      </c>
      <c r="B262" t="s">
        <v>655</v>
      </c>
      <c r="D262" s="18">
        <v>2050</v>
      </c>
      <c r="E262" t="s">
        <v>37</v>
      </c>
      <c r="F262" t="s">
        <v>136</v>
      </c>
      <c r="G262" t="s">
        <v>39</v>
      </c>
      <c r="H262" t="s">
        <v>32</v>
      </c>
      <c r="I262" t="s">
        <v>44</v>
      </c>
      <c r="J262" t="s">
        <v>464</v>
      </c>
      <c r="L262" s="24">
        <v>0</v>
      </c>
      <c r="M262" s="24">
        <v>0</v>
      </c>
      <c r="N262" s="24">
        <v>7.4420517119050845E-4</v>
      </c>
      <c r="O262" s="24">
        <v>1.2306591692257861E-2</v>
      </c>
      <c r="P262" s="24">
        <v>4.433716903780657E-3</v>
      </c>
      <c r="Q262" s="24">
        <v>3.6461117411092113E-2</v>
      </c>
      <c r="R262" s="24">
        <v>5.3945631178321143E-2</v>
      </c>
      <c r="S262" s="26">
        <v>0</v>
      </c>
      <c r="T262" s="26">
        <v>0</v>
      </c>
      <c r="U262" s="26">
        <v>4.2420634240975051E-4</v>
      </c>
      <c r="V262" s="26">
        <v>4.722191823356421E-4</v>
      </c>
      <c r="W262" s="26">
        <v>3.0710176495423781E-4</v>
      </c>
      <c r="X262" s="26">
        <v>2.3293633872741179E-2</v>
      </c>
      <c r="Y262" s="26">
        <v>2.4497161162440811E-2</v>
      </c>
      <c r="Z262" s="28">
        <v>0</v>
      </c>
      <c r="AA262" s="28">
        <v>3.1271735442865911E-3</v>
      </c>
      <c r="AB262" s="28">
        <v>7.4854103306236475E-5</v>
      </c>
      <c r="AC262" s="28">
        <v>1.5438989133449149E-4</v>
      </c>
      <c r="AD262" s="28">
        <v>1.3691822666723821E-4</v>
      </c>
      <c r="AE262" s="28">
        <v>2.473099587364041E-3</v>
      </c>
      <c r="AF262" s="28">
        <v>5.9664353529585981E-3</v>
      </c>
      <c r="AG262" s="30">
        <v>0</v>
      </c>
      <c r="AH262" s="30">
        <v>1.6491053126472278E-5</v>
      </c>
      <c r="AI262" s="30">
        <v>2.805230458570776E-4</v>
      </c>
      <c r="AJ262" s="30">
        <v>3.7507357872791961E-4</v>
      </c>
      <c r="AK262" s="30">
        <v>1.8631817379230269E-4</v>
      </c>
      <c r="AL262" s="30">
        <v>8.6620954539759192E-3</v>
      </c>
      <c r="AM262" s="30">
        <v>9.5205013054796908E-3</v>
      </c>
      <c r="AN262" s="32">
        <v>0</v>
      </c>
      <c r="AO262" s="32">
        <v>1.179775095002105E-5</v>
      </c>
      <c r="AP262" s="32">
        <v>6.6275283726653284E-7</v>
      </c>
      <c r="AQ262" s="32">
        <v>7.4641524221169363E-7</v>
      </c>
      <c r="AR262" s="32">
        <v>7.5735161696529122E-7</v>
      </c>
      <c r="AS262" s="32">
        <v>6.9015097879473733E-6</v>
      </c>
      <c r="AT262" s="32">
        <v>2.0865780434411941E-5</v>
      </c>
      <c r="AU262" s="34">
        <v>0</v>
      </c>
      <c r="AV262" s="34">
        <v>0</v>
      </c>
      <c r="AW262" s="34">
        <v>7.4146077341334599E-3</v>
      </c>
      <c r="AX262" s="34">
        <v>0.17647448414364728</v>
      </c>
      <c r="AY262" s="34">
        <v>0.15571429353817273</v>
      </c>
      <c r="AZ262" s="34">
        <v>0.48915861261981258</v>
      </c>
      <c r="BA262" s="34">
        <v>0.82876199803576611</v>
      </c>
      <c r="BB262" s="6"/>
      <c r="BC262" s="6"/>
      <c r="BD262" t="s">
        <v>769</v>
      </c>
      <c r="BF262" s="5">
        <v>5.3140931000000002E-2</v>
      </c>
      <c r="BG262" s="5">
        <f t="shared" si="11"/>
        <v>-8.0470017832114105E-4</v>
      </c>
      <c r="BH262" s="2">
        <v>108.59704000000001</v>
      </c>
    </row>
    <row r="263" spans="1:60" x14ac:dyDescent="0.2">
      <c r="A263" t="str">
        <f t="shared" si="10"/>
        <v>Motorbike, battery electric, 4-11kW - 2020 - NCA - CH</v>
      </c>
      <c r="B263" t="s">
        <v>656</v>
      </c>
      <c r="D263" s="18">
        <v>2020</v>
      </c>
      <c r="E263" t="s">
        <v>37</v>
      </c>
      <c r="F263" t="s">
        <v>136</v>
      </c>
      <c r="G263" t="s">
        <v>39</v>
      </c>
      <c r="H263" t="s">
        <v>32</v>
      </c>
      <c r="I263" t="s">
        <v>44</v>
      </c>
      <c r="J263" t="s">
        <v>464</v>
      </c>
      <c r="L263" s="24">
        <v>0</v>
      </c>
      <c r="M263" s="24">
        <v>0</v>
      </c>
      <c r="N263" s="24">
        <v>1.119382984765889E-3</v>
      </c>
      <c r="O263" s="24">
        <v>1.2306591692257861E-2</v>
      </c>
      <c r="P263" s="24">
        <v>4.5508663683950347E-3</v>
      </c>
      <c r="Q263" s="24">
        <v>4.8553261164789127E-2</v>
      </c>
      <c r="R263" s="24">
        <v>6.6530102210207914E-2</v>
      </c>
      <c r="S263" s="26">
        <v>0</v>
      </c>
      <c r="T263" s="26">
        <v>0</v>
      </c>
      <c r="U263" s="26">
        <v>6.380624323849139E-4</v>
      </c>
      <c r="V263" s="26">
        <v>4.722191823356421E-4</v>
      </c>
      <c r="W263" s="26">
        <v>3.1450416321336791E-4</v>
      </c>
      <c r="X263" s="26">
        <v>3.6431725005103548E-2</v>
      </c>
      <c r="Y263" s="26">
        <v>3.7856510783037471E-2</v>
      </c>
      <c r="Z263" s="28">
        <v>0</v>
      </c>
      <c r="AA263" s="28">
        <v>3.1271735442865911E-3</v>
      </c>
      <c r="AB263" s="28">
        <v>1.125904694358268E-4</v>
      </c>
      <c r="AC263" s="28">
        <v>1.5438989133449149E-4</v>
      </c>
      <c r="AD263" s="28">
        <v>1.402831040398236E-4</v>
      </c>
      <c r="AE263" s="28">
        <v>3.6952673073236482E-3</v>
      </c>
      <c r="AF263" s="28">
        <v>7.2297043164203812E-3</v>
      </c>
      <c r="AG263" s="30">
        <v>0</v>
      </c>
      <c r="AH263" s="30">
        <v>1.6491053126472278E-5</v>
      </c>
      <c r="AI263" s="30">
        <v>4.2194375492552171E-4</v>
      </c>
      <c r="AJ263" s="30">
        <v>3.7507357872791961E-4</v>
      </c>
      <c r="AK263" s="30">
        <v>1.8945852790307221E-4</v>
      </c>
      <c r="AL263" s="30">
        <v>1.2809763384019179E-2</v>
      </c>
      <c r="AM263" s="30">
        <v>1.3812730298702166E-2</v>
      </c>
      <c r="AN263" s="32">
        <v>0</v>
      </c>
      <c r="AO263" s="32">
        <v>1.179775095002105E-5</v>
      </c>
      <c r="AP263" s="32">
        <v>9.9686790398767734E-7</v>
      </c>
      <c r="AQ263" s="32">
        <v>7.4641524221169363E-7</v>
      </c>
      <c r="AR263" s="32">
        <v>7.6975134802091085E-7</v>
      </c>
      <c r="AS263" s="32">
        <v>1.0363650731582819E-5</v>
      </c>
      <c r="AT263" s="32">
        <v>2.4674436175824152E-5</v>
      </c>
      <c r="AU263" s="34">
        <v>0</v>
      </c>
      <c r="AV263" s="34">
        <v>0</v>
      </c>
      <c r="AW263" s="34">
        <v>1.1152550476134624E-2</v>
      </c>
      <c r="AX263" s="34">
        <v>0.17647448414364728</v>
      </c>
      <c r="AY263" s="34">
        <v>0.15955203365278733</v>
      </c>
      <c r="AZ263" s="34">
        <v>0.67437606148485696</v>
      </c>
      <c r="BA263" s="34">
        <v>1.0215551297574261</v>
      </c>
      <c r="BB263" s="6"/>
      <c r="BC263" s="6"/>
      <c r="BD263" t="s">
        <v>770</v>
      </c>
      <c r="BF263" s="5">
        <v>6.6295403000000003E-2</v>
      </c>
      <c r="BG263" s="5">
        <f t="shared" si="11"/>
        <v>-2.3469921020791151E-4</v>
      </c>
      <c r="BH263" s="2">
        <v>158.28456</v>
      </c>
    </row>
    <row r="264" spans="1:60" x14ac:dyDescent="0.2">
      <c r="A264" t="str">
        <f t="shared" si="10"/>
        <v>Motorbike, battery electric, 4-11kW - 2030 - NCA - CH</v>
      </c>
      <c r="B264" t="s">
        <v>656</v>
      </c>
      <c r="D264" s="18">
        <v>2030</v>
      </c>
      <c r="E264" t="s">
        <v>37</v>
      </c>
      <c r="F264" t="s">
        <v>136</v>
      </c>
      <c r="G264" t="s">
        <v>39</v>
      </c>
      <c r="H264" t="s">
        <v>32</v>
      </c>
      <c r="I264" t="s">
        <v>44</v>
      </c>
      <c r="J264" t="s">
        <v>464</v>
      </c>
      <c r="L264" s="24">
        <v>0</v>
      </c>
      <c r="M264" s="24">
        <v>0</v>
      </c>
      <c r="N264" s="24">
        <v>1.119382984765889E-3</v>
      </c>
      <c r="O264" s="24">
        <v>1.2306591692257861E-2</v>
      </c>
      <c r="P264" s="24">
        <v>4.5659445792955522E-3</v>
      </c>
      <c r="Q264" s="24">
        <v>5.1094737487802327E-2</v>
      </c>
      <c r="R264" s="24">
        <v>6.9086656744121622E-2</v>
      </c>
      <c r="S264" s="26">
        <v>0</v>
      </c>
      <c r="T264" s="26">
        <v>0</v>
      </c>
      <c r="U264" s="26">
        <v>6.380624323849139E-4</v>
      </c>
      <c r="V264" s="26">
        <v>4.722191823356421E-4</v>
      </c>
      <c r="W264" s="26">
        <v>3.1545691978368762E-4</v>
      </c>
      <c r="X264" s="26">
        <v>3.6766350851257339E-2</v>
      </c>
      <c r="Y264" s="26">
        <v>3.8192089385761581E-2</v>
      </c>
      <c r="Z264" s="28">
        <v>0</v>
      </c>
      <c r="AA264" s="28">
        <v>3.1271735442865911E-3</v>
      </c>
      <c r="AB264" s="28">
        <v>1.125904694358268E-4</v>
      </c>
      <c r="AC264" s="28">
        <v>1.5438989133449149E-4</v>
      </c>
      <c r="AD264" s="28">
        <v>1.4071619462922781E-4</v>
      </c>
      <c r="AE264" s="28">
        <v>3.831941856794318E-3</v>
      </c>
      <c r="AF264" s="28">
        <v>7.3668119564804548E-3</v>
      </c>
      <c r="AG264" s="30">
        <v>0</v>
      </c>
      <c r="AH264" s="30">
        <v>1.6491053126472278E-5</v>
      </c>
      <c r="AI264" s="30">
        <v>4.2194375492552171E-4</v>
      </c>
      <c r="AJ264" s="30">
        <v>3.7507357872791961E-4</v>
      </c>
      <c r="AK264" s="30">
        <v>1.8986272028875961E-4</v>
      </c>
      <c r="AL264" s="30">
        <v>1.325858238507989E-2</v>
      </c>
      <c r="AM264" s="30">
        <v>1.4261953492148562E-2</v>
      </c>
      <c r="AN264" s="32">
        <v>0</v>
      </c>
      <c r="AO264" s="32">
        <v>1.179775095002105E-5</v>
      </c>
      <c r="AP264" s="32">
        <v>9.9686790398767734E-7</v>
      </c>
      <c r="AQ264" s="32">
        <v>7.4641524221169363E-7</v>
      </c>
      <c r="AR264" s="32">
        <v>7.713473071708888E-7</v>
      </c>
      <c r="AS264" s="32">
        <v>1.04619302838531E-5</v>
      </c>
      <c r="AT264" s="32">
        <v>2.4774311687244408E-5</v>
      </c>
      <c r="AU264" s="34">
        <v>0</v>
      </c>
      <c r="AV264" s="34">
        <v>0</v>
      </c>
      <c r="AW264" s="34">
        <v>1.1152550476134624E-2</v>
      </c>
      <c r="AX264" s="34">
        <v>0.17647448414364728</v>
      </c>
      <c r="AY264" s="34">
        <v>0.16004598601543801</v>
      </c>
      <c r="AZ264" s="34">
        <v>0.70116942273056115</v>
      </c>
      <c r="BA264" s="34">
        <v>1.048842443365781</v>
      </c>
      <c r="BB264" s="6"/>
      <c r="BC264" s="6"/>
      <c r="BD264" t="s">
        <v>771</v>
      </c>
      <c r="BF264" s="5">
        <v>6.7289876999999998E-2</v>
      </c>
      <c r="BG264" s="5">
        <f t="shared" si="11"/>
        <v>-1.7967797441216238E-3</v>
      </c>
      <c r="BH264" s="2">
        <v>158.38005000000001</v>
      </c>
    </row>
    <row r="265" spans="1:60" x14ac:dyDescent="0.2">
      <c r="A265" t="str">
        <f t="shared" si="10"/>
        <v>Motorbike, battery electric, 4-11kW - 2040 - NCA - CH</v>
      </c>
      <c r="B265" t="s">
        <v>656</v>
      </c>
      <c r="D265" s="18">
        <v>2040</v>
      </c>
      <c r="E265" t="s">
        <v>37</v>
      </c>
      <c r="F265" t="s">
        <v>136</v>
      </c>
      <c r="G265" t="s">
        <v>39</v>
      </c>
      <c r="H265" t="s">
        <v>32</v>
      </c>
      <c r="I265" t="s">
        <v>44</v>
      </c>
      <c r="J265" t="s">
        <v>464</v>
      </c>
      <c r="L265" s="24">
        <v>0</v>
      </c>
      <c r="M265" s="24">
        <v>0</v>
      </c>
      <c r="N265" s="24">
        <v>1.119382984765889E-3</v>
      </c>
      <c r="O265" s="24">
        <v>1.2306591692257861E-2</v>
      </c>
      <c r="P265" s="24">
        <v>4.5649187894673806E-3</v>
      </c>
      <c r="Q265" s="24">
        <v>5.074490019026609E-2</v>
      </c>
      <c r="R265" s="24">
        <v>6.8735793656757221E-2</v>
      </c>
      <c r="S265" s="26">
        <v>0</v>
      </c>
      <c r="T265" s="26">
        <v>0</v>
      </c>
      <c r="U265" s="26">
        <v>6.380624323849139E-4</v>
      </c>
      <c r="V265" s="26">
        <v>4.722191823356421E-4</v>
      </c>
      <c r="W265" s="26">
        <v>3.1539210254475888E-4</v>
      </c>
      <c r="X265" s="26">
        <v>3.5077251963654868E-2</v>
      </c>
      <c r="Y265" s="26">
        <v>3.650292568092018E-2</v>
      </c>
      <c r="Z265" s="28">
        <v>0</v>
      </c>
      <c r="AA265" s="28">
        <v>3.1271735442865911E-3</v>
      </c>
      <c r="AB265" s="28">
        <v>1.125904694358268E-4</v>
      </c>
      <c r="AC265" s="28">
        <v>1.5438989133449149E-4</v>
      </c>
      <c r="AD265" s="28">
        <v>1.4068673092665601E-4</v>
      </c>
      <c r="AE265" s="28">
        <v>3.684879772258432E-3</v>
      </c>
      <c r="AF265" s="28">
        <v>7.2197204082419973E-3</v>
      </c>
      <c r="AG265" s="30">
        <v>0</v>
      </c>
      <c r="AH265" s="30">
        <v>1.6491053126472278E-5</v>
      </c>
      <c r="AI265" s="30">
        <v>4.2194375492552171E-4</v>
      </c>
      <c r="AJ265" s="30">
        <v>3.7507357872791961E-4</v>
      </c>
      <c r="AK265" s="30">
        <v>1.8983522256767069E-4</v>
      </c>
      <c r="AL265" s="30">
        <v>1.284164798792508E-2</v>
      </c>
      <c r="AM265" s="30">
        <v>1.3844991597272665E-2</v>
      </c>
      <c r="AN265" s="32">
        <v>0</v>
      </c>
      <c r="AO265" s="32">
        <v>1.179775095002105E-5</v>
      </c>
      <c r="AP265" s="32">
        <v>9.9686790398767734E-7</v>
      </c>
      <c r="AQ265" s="32">
        <v>7.4641524221169363E-7</v>
      </c>
      <c r="AR265" s="32">
        <v>7.7123873204397056E-7</v>
      </c>
      <c r="AS265" s="32">
        <v>1.0041312134937471E-5</v>
      </c>
      <c r="AT265" s="32">
        <v>2.4353584963201862E-5</v>
      </c>
      <c r="AU265" s="34">
        <v>0</v>
      </c>
      <c r="AV265" s="34">
        <v>0</v>
      </c>
      <c r="AW265" s="34">
        <v>1.1152550476134624E-2</v>
      </c>
      <c r="AX265" s="34">
        <v>0.17647448414364728</v>
      </c>
      <c r="AY265" s="34">
        <v>0.16001238180917302</v>
      </c>
      <c r="AZ265" s="34">
        <v>0.68982777645569626</v>
      </c>
      <c r="BA265" s="34">
        <v>1.0374671928846513</v>
      </c>
      <c r="BB265" s="6"/>
      <c r="BC265" s="6"/>
      <c r="BD265" t="s">
        <v>772</v>
      </c>
      <c r="BF265" s="5">
        <v>6.6272695000000006E-2</v>
      </c>
      <c r="BG265" s="5">
        <f t="shared" si="11"/>
        <v>-2.463098656757215E-3</v>
      </c>
      <c r="BH265" s="2">
        <v>149.85061999999999</v>
      </c>
    </row>
    <row r="266" spans="1:60" x14ac:dyDescent="0.2">
      <c r="A266" t="str">
        <f t="shared" si="10"/>
        <v>Motorbike, battery electric, 4-11kW - 2050 - NCA - CH</v>
      </c>
      <c r="B266" t="s">
        <v>656</v>
      </c>
      <c r="D266" s="18">
        <v>2050</v>
      </c>
      <c r="E266" t="s">
        <v>37</v>
      </c>
      <c r="F266" t="s">
        <v>136</v>
      </c>
      <c r="G266" t="s">
        <v>39</v>
      </c>
      <c r="H266" t="s">
        <v>32</v>
      </c>
      <c r="I266" t="s">
        <v>44</v>
      </c>
      <c r="J266" t="s">
        <v>464</v>
      </c>
      <c r="L266" s="24">
        <v>0</v>
      </c>
      <c r="M266" s="24">
        <v>0</v>
      </c>
      <c r="N266" s="24">
        <v>1.119382984765889E-3</v>
      </c>
      <c r="O266" s="24">
        <v>1.2306591692257861E-2</v>
      </c>
      <c r="P266" s="24">
        <v>4.5678381722821411E-3</v>
      </c>
      <c r="Q266" s="24">
        <v>5.0573962850989043E-2</v>
      </c>
      <c r="R266" s="24">
        <v>6.8567775700294931E-2</v>
      </c>
      <c r="S266" s="26">
        <v>0</v>
      </c>
      <c r="T266" s="26">
        <v>0</v>
      </c>
      <c r="U266" s="26">
        <v>6.380624323849139E-4</v>
      </c>
      <c r="V266" s="26">
        <v>4.722191823356421E-4</v>
      </c>
      <c r="W266" s="26">
        <v>3.1557657145664722E-4</v>
      </c>
      <c r="X266" s="26">
        <v>3.3548717791256621E-2</v>
      </c>
      <c r="Y266" s="26">
        <v>3.4974575977433822E-2</v>
      </c>
      <c r="Z266" s="28">
        <v>0</v>
      </c>
      <c r="AA266" s="28">
        <v>3.1271735442865911E-3</v>
      </c>
      <c r="AB266" s="28">
        <v>1.125904694358268E-4</v>
      </c>
      <c r="AC266" s="28">
        <v>1.5438989133449149E-4</v>
      </c>
      <c r="AD266" s="28">
        <v>1.4077058419229089E-4</v>
      </c>
      <c r="AE266" s="28">
        <v>3.5583168130120541E-3</v>
      </c>
      <c r="AF266" s="28">
        <v>7.0932413022612543E-3</v>
      </c>
      <c r="AG266" s="30">
        <v>0</v>
      </c>
      <c r="AH266" s="30">
        <v>1.6491053126472278E-5</v>
      </c>
      <c r="AI266" s="30">
        <v>4.2194375492552171E-4</v>
      </c>
      <c r="AJ266" s="30">
        <v>3.7507357872791961E-4</v>
      </c>
      <c r="AK266" s="30">
        <v>1.899134806788231E-4</v>
      </c>
      <c r="AL266" s="30">
        <v>1.248483860956842E-2</v>
      </c>
      <c r="AM266" s="30">
        <v>1.3488260477027156E-2</v>
      </c>
      <c r="AN266" s="32">
        <v>0</v>
      </c>
      <c r="AO266" s="32">
        <v>1.179775095002105E-5</v>
      </c>
      <c r="AP266" s="32">
        <v>9.9686790398767734E-7</v>
      </c>
      <c r="AQ266" s="32">
        <v>7.4641524221169363E-7</v>
      </c>
      <c r="AR266" s="32">
        <v>7.7154773526366578E-7</v>
      </c>
      <c r="AS266" s="32">
        <v>9.6633949398180357E-6</v>
      </c>
      <c r="AT266" s="32">
        <v>2.397597677130212E-5</v>
      </c>
      <c r="AU266" s="34">
        <v>0</v>
      </c>
      <c r="AV266" s="34">
        <v>0</v>
      </c>
      <c r="AW266" s="34">
        <v>1.1152550476134624E-2</v>
      </c>
      <c r="AX266" s="34">
        <v>0.17647448414364728</v>
      </c>
      <c r="AY266" s="34">
        <v>0.16010801888762657</v>
      </c>
      <c r="AZ266" s="34">
        <v>0.68104652589301906</v>
      </c>
      <c r="BA266" s="34">
        <v>1.0287815794004276</v>
      </c>
      <c r="BB266" s="6"/>
      <c r="BC266" s="6"/>
      <c r="BD266" t="s">
        <v>773</v>
      </c>
      <c r="BF266" s="5">
        <v>6.5405557000000003E-2</v>
      </c>
      <c r="BG266" s="5">
        <f t="shared" si="11"/>
        <v>-3.1622187002949276E-3</v>
      </c>
      <c r="BH266" s="2">
        <v>142.04390000000001</v>
      </c>
    </row>
    <row r="267" spans="1:60" x14ac:dyDescent="0.2">
      <c r="A267" t="str">
        <f t="shared" si="10"/>
        <v>Motorbike, battery electric, 11-35kW - 2020 - NCA - CH</v>
      </c>
      <c r="B267" t="s">
        <v>657</v>
      </c>
      <c r="D267" s="18">
        <v>2020</v>
      </c>
      <c r="E267" t="s">
        <v>37</v>
      </c>
      <c r="F267" t="s">
        <v>136</v>
      </c>
      <c r="G267" t="s">
        <v>39</v>
      </c>
      <c r="H267" t="s">
        <v>32</v>
      </c>
      <c r="I267" t="s">
        <v>44</v>
      </c>
      <c r="J267" t="s">
        <v>464</v>
      </c>
      <c r="L267" s="24">
        <v>0</v>
      </c>
      <c r="M267" s="24">
        <v>0</v>
      </c>
      <c r="N267" s="24">
        <v>1.5152004931467059E-3</v>
      </c>
      <c r="O267" s="24">
        <v>1.2306591692257861E-2</v>
      </c>
      <c r="P267" s="24">
        <v>4.8065020724162829E-3</v>
      </c>
      <c r="Q267" s="24">
        <v>5.790342132339036E-2</v>
      </c>
      <c r="R267" s="24">
        <v>7.6531715581211204E-2</v>
      </c>
      <c r="S267" s="26">
        <v>0</v>
      </c>
      <c r="T267" s="26">
        <v>0</v>
      </c>
      <c r="U267" s="26">
        <v>8.6368340895427004E-4</v>
      </c>
      <c r="V267" s="26">
        <v>4.722191823356421E-4</v>
      </c>
      <c r="W267" s="26">
        <v>3.3065718018743061E-4</v>
      </c>
      <c r="X267" s="26">
        <v>4.6536415758903452E-2</v>
      </c>
      <c r="Y267" s="26">
        <v>4.8202975530380797E-2</v>
      </c>
      <c r="Z267" s="28">
        <v>0</v>
      </c>
      <c r="AA267" s="28">
        <v>3.1271735442865911E-3</v>
      </c>
      <c r="AB267" s="28">
        <v>1.5240283007201779E-4</v>
      </c>
      <c r="AC267" s="28">
        <v>1.5438989133449149E-4</v>
      </c>
      <c r="AD267" s="28">
        <v>1.4762571374715369E-4</v>
      </c>
      <c r="AE267" s="28">
        <v>5.0919164744505554E-3</v>
      </c>
      <c r="AF267" s="28">
        <v>8.6735084538908103E-3</v>
      </c>
      <c r="AG267" s="30">
        <v>0</v>
      </c>
      <c r="AH267" s="30">
        <v>1.6491053126472278E-5</v>
      </c>
      <c r="AI267" s="30">
        <v>5.7114445569050236E-4</v>
      </c>
      <c r="AJ267" s="30">
        <v>3.7507357872791961E-4</v>
      </c>
      <c r="AK267" s="30">
        <v>1.9631119800809669E-4</v>
      </c>
      <c r="AL267" s="30">
        <v>1.6826115035017911E-2</v>
      </c>
      <c r="AM267" s="30">
        <v>1.7985135320570902E-2</v>
      </c>
      <c r="AN267" s="32">
        <v>0</v>
      </c>
      <c r="AO267" s="32">
        <v>1.179775095002105E-5</v>
      </c>
      <c r="AP267" s="32">
        <v>1.349363676490181E-6</v>
      </c>
      <c r="AQ267" s="32">
        <v>7.4641524221169363E-7</v>
      </c>
      <c r="AR267" s="32">
        <v>7.9680920943335179E-7</v>
      </c>
      <c r="AS267" s="32">
        <v>1.2751348205433231E-5</v>
      </c>
      <c r="AT267" s="32">
        <v>2.7441687283589507E-5</v>
      </c>
      <c r="AU267" s="34">
        <v>0</v>
      </c>
      <c r="AV267" s="34">
        <v>0</v>
      </c>
      <c r="AW267" s="34">
        <v>1.5096129038281648E-2</v>
      </c>
      <c r="AX267" s="34">
        <v>0.17647448414364728</v>
      </c>
      <c r="AY267" s="34">
        <v>0.16792649271907048</v>
      </c>
      <c r="AZ267" s="34">
        <v>0.8104342597733819</v>
      </c>
      <c r="BA267" s="34">
        <v>1.1699313656743813</v>
      </c>
      <c r="BB267" s="6"/>
      <c r="BC267" s="6"/>
      <c r="BD267" t="s">
        <v>774</v>
      </c>
      <c r="BF267" s="5">
        <v>7.3783015999999993E-2</v>
      </c>
      <c r="BG267" s="5">
        <f t="shared" si="11"/>
        <v>-2.7486995812112114E-3</v>
      </c>
      <c r="BH267" s="2">
        <v>211.39007000000001</v>
      </c>
    </row>
    <row r="268" spans="1:60" x14ac:dyDescent="0.2">
      <c r="A268" t="str">
        <f t="shared" si="10"/>
        <v>Motorbike, battery electric, 11-35kW - 2030 - NCA - CH</v>
      </c>
      <c r="B268" t="s">
        <v>657</v>
      </c>
      <c r="D268" s="18">
        <v>2030</v>
      </c>
      <c r="E268" t="s">
        <v>37</v>
      </c>
      <c r="F268" t="s">
        <v>136</v>
      </c>
      <c r="G268" t="s">
        <v>39</v>
      </c>
      <c r="H268" t="s">
        <v>32</v>
      </c>
      <c r="I268" t="s">
        <v>44</v>
      </c>
      <c r="J268" t="s">
        <v>464</v>
      </c>
      <c r="L268" s="24">
        <v>0</v>
      </c>
      <c r="M268" s="24">
        <v>0</v>
      </c>
      <c r="N268" s="24">
        <v>1.5152004931467059E-3</v>
      </c>
      <c r="O268" s="24">
        <v>1.2306591692257861E-2</v>
      </c>
      <c r="P268" s="24">
        <v>4.8395234313287488E-3</v>
      </c>
      <c r="Q268" s="24">
        <v>5.7259540538852488E-2</v>
      </c>
      <c r="R268" s="24">
        <v>7.5920856155585803E-2</v>
      </c>
      <c r="S268" s="26">
        <v>0</v>
      </c>
      <c r="T268" s="26">
        <v>0</v>
      </c>
      <c r="U268" s="26">
        <v>8.6368340895427004E-4</v>
      </c>
      <c r="V268" s="26">
        <v>4.722191823356421E-4</v>
      </c>
      <c r="W268" s="26">
        <v>3.3274372194442772E-4</v>
      </c>
      <c r="X268" s="26">
        <v>4.4237614187522832E-2</v>
      </c>
      <c r="Y268" s="26">
        <v>4.5906260500757169E-2</v>
      </c>
      <c r="Z268" s="28">
        <v>0</v>
      </c>
      <c r="AA268" s="28">
        <v>3.1271735442865911E-3</v>
      </c>
      <c r="AB268" s="28">
        <v>1.5240283007201779E-4</v>
      </c>
      <c r="AC268" s="28">
        <v>1.5438989133449149E-4</v>
      </c>
      <c r="AD268" s="28">
        <v>1.4857418435077391E-4</v>
      </c>
      <c r="AE268" s="28">
        <v>4.8859484923827476E-3</v>
      </c>
      <c r="AF268" s="28">
        <v>8.4684889424266226E-3</v>
      </c>
      <c r="AG268" s="30">
        <v>0</v>
      </c>
      <c r="AH268" s="30">
        <v>1.6491053126472278E-5</v>
      </c>
      <c r="AI268" s="30">
        <v>5.7114445569050236E-4</v>
      </c>
      <c r="AJ268" s="30">
        <v>3.7507357872791961E-4</v>
      </c>
      <c r="AK268" s="30">
        <v>1.971963813979253E-4</v>
      </c>
      <c r="AL268" s="30">
        <v>1.6225130727688001E-2</v>
      </c>
      <c r="AM268" s="30">
        <v>1.7385036196630822E-2</v>
      </c>
      <c r="AN268" s="32">
        <v>0</v>
      </c>
      <c r="AO268" s="32">
        <v>1.179775095002105E-5</v>
      </c>
      <c r="AP268" s="32">
        <v>1.349363676490181E-6</v>
      </c>
      <c r="AQ268" s="32">
        <v>7.4641524221169363E-7</v>
      </c>
      <c r="AR268" s="32">
        <v>8.0030436812616762E-7</v>
      </c>
      <c r="AS268" s="32">
        <v>1.21926266825028E-5</v>
      </c>
      <c r="AT268" s="32">
        <v>2.6886460919351893E-5</v>
      </c>
      <c r="AU268" s="34">
        <v>0</v>
      </c>
      <c r="AV268" s="34">
        <v>0</v>
      </c>
      <c r="AW268" s="34">
        <v>1.5096129038281648E-2</v>
      </c>
      <c r="AX268" s="34">
        <v>0.17647448414364728</v>
      </c>
      <c r="AY268" s="34">
        <v>0.16900825091706656</v>
      </c>
      <c r="AZ268" s="34">
        <v>0.79362301645070976</v>
      </c>
      <c r="BA268" s="34">
        <v>1.1542018805497052</v>
      </c>
      <c r="BB268" s="6"/>
      <c r="BC268" s="6"/>
      <c r="BD268" t="s">
        <v>775</v>
      </c>
      <c r="BF268" s="5">
        <v>7.2455001000000005E-2</v>
      </c>
      <c r="BG268" s="5">
        <f t="shared" si="11"/>
        <v>-3.465855155585798E-3</v>
      </c>
      <c r="BH268" s="2">
        <v>200.16619</v>
      </c>
    </row>
    <row r="269" spans="1:60" x14ac:dyDescent="0.2">
      <c r="A269" t="str">
        <f t="shared" si="10"/>
        <v>Motorbike, battery electric, 11-35kW - 2040 - NCA - CH</v>
      </c>
      <c r="B269" t="s">
        <v>657</v>
      </c>
      <c r="D269" s="18">
        <v>2040</v>
      </c>
      <c r="E269" t="s">
        <v>37</v>
      </c>
      <c r="F269" t="s">
        <v>136</v>
      </c>
      <c r="G269" t="s">
        <v>39</v>
      </c>
      <c r="H269" t="s">
        <v>32</v>
      </c>
      <c r="I269" t="s">
        <v>44</v>
      </c>
      <c r="J269" t="s">
        <v>464</v>
      </c>
      <c r="L269" s="24">
        <v>0</v>
      </c>
      <c r="M269" s="24">
        <v>0</v>
      </c>
      <c r="N269" s="24">
        <v>1.5152004931467059E-3</v>
      </c>
      <c r="O269" s="24">
        <v>1.2306591692257861E-2</v>
      </c>
      <c r="P269" s="24">
        <v>4.8429982180027134E-3</v>
      </c>
      <c r="Q269" s="24">
        <v>5.5005342052566707E-2</v>
      </c>
      <c r="R269" s="24">
        <v>7.367013245597398E-2</v>
      </c>
      <c r="S269" s="26">
        <v>0</v>
      </c>
      <c r="T269" s="26">
        <v>0</v>
      </c>
      <c r="U269" s="26">
        <v>8.6368340895427004E-4</v>
      </c>
      <c r="V269" s="26">
        <v>4.722191823356421E-4</v>
      </c>
      <c r="W269" s="26">
        <v>3.3296328551572421E-4</v>
      </c>
      <c r="X269" s="26">
        <v>4.1002854221061542E-2</v>
      </c>
      <c r="Y269" s="26">
        <v>4.2671720097867176E-2</v>
      </c>
      <c r="Z269" s="28">
        <v>0</v>
      </c>
      <c r="AA269" s="28">
        <v>3.1271735442865911E-3</v>
      </c>
      <c r="AB269" s="28">
        <v>1.5240283007201779E-4</v>
      </c>
      <c r="AC269" s="28">
        <v>1.5438989133449149E-4</v>
      </c>
      <c r="AD269" s="28">
        <v>1.4867399044969431E-4</v>
      </c>
      <c r="AE269" s="28">
        <v>4.5362493918582594E-3</v>
      </c>
      <c r="AF269" s="28">
        <v>8.1188896480010545E-3</v>
      </c>
      <c r="AG269" s="30">
        <v>0</v>
      </c>
      <c r="AH269" s="30">
        <v>1.6491053126472278E-5</v>
      </c>
      <c r="AI269" s="30">
        <v>5.7114445569050236E-4</v>
      </c>
      <c r="AJ269" s="30">
        <v>3.7507357872791961E-4</v>
      </c>
      <c r="AK269" s="30">
        <v>1.9728952788093779E-4</v>
      </c>
      <c r="AL269" s="30">
        <v>1.51869670933979E-2</v>
      </c>
      <c r="AM269" s="30">
        <v>1.634696570882373E-2</v>
      </c>
      <c r="AN269" s="32">
        <v>0</v>
      </c>
      <c r="AO269" s="32">
        <v>1.179775095002105E-5</v>
      </c>
      <c r="AP269" s="32">
        <v>1.349363676490181E-6</v>
      </c>
      <c r="AQ269" s="32">
        <v>7.4641524221169363E-7</v>
      </c>
      <c r="AR269" s="32">
        <v>8.0067215828530021E-7</v>
      </c>
      <c r="AS269" s="32">
        <v>1.1386028012994291E-5</v>
      </c>
      <c r="AT269" s="32">
        <v>2.6080230040002517E-5</v>
      </c>
      <c r="AU269" s="34">
        <v>0</v>
      </c>
      <c r="AV269" s="34">
        <v>0</v>
      </c>
      <c r="AW269" s="34">
        <v>1.5096129038281648E-2</v>
      </c>
      <c r="AX269" s="34">
        <v>0.17647448414364728</v>
      </c>
      <c r="AY269" s="34">
        <v>0.16912208266399173</v>
      </c>
      <c r="AZ269" s="34">
        <v>0.75634011283807412</v>
      </c>
      <c r="BA269" s="34">
        <v>1.1170328086839949</v>
      </c>
      <c r="BB269" s="6"/>
      <c r="BC269" s="6"/>
      <c r="BD269" t="s">
        <v>776</v>
      </c>
      <c r="BF269" s="5">
        <v>7.0050471000000003E-2</v>
      </c>
      <c r="BG269" s="5">
        <f t="shared" si="11"/>
        <v>-3.619661455973977E-3</v>
      </c>
      <c r="BH269" s="2">
        <v>184.97057000000001</v>
      </c>
    </row>
    <row r="270" spans="1:60" x14ac:dyDescent="0.2">
      <c r="A270" t="str">
        <f t="shared" si="10"/>
        <v>Motorbike, battery electric, 11-35kW - 2050 - NCA - CH</v>
      </c>
      <c r="B270" t="s">
        <v>657</v>
      </c>
      <c r="D270" s="18">
        <v>2050</v>
      </c>
      <c r="E270" t="s">
        <v>37</v>
      </c>
      <c r="F270" t="s">
        <v>136</v>
      </c>
      <c r="G270" t="s">
        <v>39</v>
      </c>
      <c r="H270" t="s">
        <v>32</v>
      </c>
      <c r="I270" t="s">
        <v>44</v>
      </c>
      <c r="J270" t="s">
        <v>464</v>
      </c>
      <c r="L270" s="24">
        <v>0</v>
      </c>
      <c r="M270" s="24">
        <v>0</v>
      </c>
      <c r="N270" s="24">
        <v>1.5152004931467059E-3</v>
      </c>
      <c r="O270" s="24">
        <v>1.2306591692257861E-2</v>
      </c>
      <c r="P270" s="24">
        <v>4.8421333147694546E-3</v>
      </c>
      <c r="Q270" s="24">
        <v>5.2019069693802697E-2</v>
      </c>
      <c r="R270" s="24">
        <v>7.0682995193976722E-2</v>
      </c>
      <c r="S270" s="26">
        <v>0</v>
      </c>
      <c r="T270" s="26">
        <v>0</v>
      </c>
      <c r="U270" s="26">
        <v>8.6368340895427004E-4</v>
      </c>
      <c r="V270" s="26">
        <v>4.722191823356421E-4</v>
      </c>
      <c r="W270" s="26">
        <v>3.3290863432112197E-4</v>
      </c>
      <c r="X270" s="26">
        <v>3.7080662833818043E-2</v>
      </c>
      <c r="Y270" s="26">
        <v>3.8749474059429079E-2</v>
      </c>
      <c r="Z270" s="28">
        <v>0</v>
      </c>
      <c r="AA270" s="28">
        <v>3.1271735442865911E-3</v>
      </c>
      <c r="AB270" s="28">
        <v>1.5240283007201779E-4</v>
      </c>
      <c r="AC270" s="28">
        <v>1.5438989133449149E-4</v>
      </c>
      <c r="AD270" s="28">
        <v>1.486491478835875E-4</v>
      </c>
      <c r="AE270" s="28">
        <v>4.1011178103285131E-3</v>
      </c>
      <c r="AF270" s="28">
        <v>7.6837332239052016E-3</v>
      </c>
      <c r="AG270" s="30">
        <v>0</v>
      </c>
      <c r="AH270" s="30">
        <v>1.6491053126472278E-5</v>
      </c>
      <c r="AI270" s="30">
        <v>5.7114445569050236E-4</v>
      </c>
      <c r="AJ270" s="30">
        <v>3.7507357872791961E-4</v>
      </c>
      <c r="AK270" s="30">
        <v>1.9726634294848491E-4</v>
      </c>
      <c r="AL270" s="30">
        <v>1.389134425749195E-2</v>
      </c>
      <c r="AM270" s="30">
        <v>1.5051319687985329E-2</v>
      </c>
      <c r="AN270" s="32">
        <v>0</v>
      </c>
      <c r="AO270" s="32">
        <v>1.179775095002105E-5</v>
      </c>
      <c r="AP270" s="32">
        <v>1.349363676490181E-6</v>
      </c>
      <c r="AQ270" s="32">
        <v>7.4641524221169363E-7</v>
      </c>
      <c r="AR270" s="32">
        <v>8.0058061226315808E-7</v>
      </c>
      <c r="AS270" s="32">
        <v>1.0405388561626171E-5</v>
      </c>
      <c r="AT270" s="32">
        <v>2.5099499042612252E-5</v>
      </c>
      <c r="AU270" s="34">
        <v>0</v>
      </c>
      <c r="AV270" s="34">
        <v>0</v>
      </c>
      <c r="AW270" s="34">
        <v>1.5096129038281648E-2</v>
      </c>
      <c r="AX270" s="34">
        <v>0.17647448414364728</v>
      </c>
      <c r="AY270" s="34">
        <v>0.16909374899772653</v>
      </c>
      <c r="AZ270" s="34">
        <v>0.70860016296227279</v>
      </c>
      <c r="BA270" s="34">
        <v>1.0692645251419282</v>
      </c>
      <c r="BB270" s="6"/>
      <c r="BC270" s="6"/>
      <c r="BD270" t="s">
        <v>777</v>
      </c>
      <c r="BF270" s="5">
        <v>6.7046278000000001E-2</v>
      </c>
      <c r="BG270" s="5">
        <f t="shared" si="11"/>
        <v>-3.6367171939767212E-3</v>
      </c>
      <c r="BH270" s="2">
        <v>166.70124999999999</v>
      </c>
    </row>
    <row r="271" spans="1:60" x14ac:dyDescent="0.2">
      <c r="A271" t="str">
        <f t="shared" si="10"/>
        <v>Motorbike, battery electric, &gt;35kW - 2020 - NCA - CH</v>
      </c>
      <c r="B271" t="s">
        <v>658</v>
      </c>
      <c r="D271" s="18">
        <v>2020</v>
      </c>
      <c r="E271" t="s">
        <v>37</v>
      </c>
      <c r="F271" t="s">
        <v>136</v>
      </c>
      <c r="G271" t="s">
        <v>39</v>
      </c>
      <c r="H271" t="s">
        <v>32</v>
      </c>
      <c r="I271" t="s">
        <v>44</v>
      </c>
      <c r="J271" t="s">
        <v>464</v>
      </c>
      <c r="L271" s="24">
        <v>0</v>
      </c>
      <c r="M271" s="24">
        <v>0</v>
      </c>
      <c r="N271" s="24">
        <v>1.689725966023888E-3</v>
      </c>
      <c r="O271" s="24">
        <v>1.2306591692257861E-2</v>
      </c>
      <c r="P271" s="24">
        <v>5.1803144373403784E-3</v>
      </c>
      <c r="Q271" s="24">
        <v>9.226026278512707E-2</v>
      </c>
      <c r="R271" s="24">
        <v>0.1114368948807492</v>
      </c>
      <c r="S271" s="26">
        <v>0</v>
      </c>
      <c r="T271" s="26">
        <v>0</v>
      </c>
      <c r="U271" s="26">
        <v>9.63165131700334E-4</v>
      </c>
      <c r="V271" s="26">
        <v>4.722191823356421E-4</v>
      </c>
      <c r="W271" s="26">
        <v>3.5427750153045991E-4</v>
      </c>
      <c r="X271" s="26">
        <v>7.6149529955145595E-2</v>
      </c>
      <c r="Y271" s="26">
        <v>7.7939191770712027E-2</v>
      </c>
      <c r="Z271" s="28">
        <v>0</v>
      </c>
      <c r="AA271" s="28">
        <v>3.1271735442865911E-3</v>
      </c>
      <c r="AB271" s="28">
        <v>1.699570587740569E-4</v>
      </c>
      <c r="AC271" s="28">
        <v>1.5438989133449149E-4</v>
      </c>
      <c r="AD271" s="28">
        <v>1.5836270492731959E-4</v>
      </c>
      <c r="AE271" s="28">
        <v>8.7724561373138318E-3</v>
      </c>
      <c r="AF271" s="28">
        <v>1.2382339336636291E-2</v>
      </c>
      <c r="AG271" s="30">
        <v>0</v>
      </c>
      <c r="AH271" s="30">
        <v>1.6491053126472278E-5</v>
      </c>
      <c r="AI271" s="30">
        <v>6.3693063821975663E-4</v>
      </c>
      <c r="AJ271" s="30">
        <v>3.7507357872791961E-4</v>
      </c>
      <c r="AK271" s="30">
        <v>2.0633175764710139E-4</v>
      </c>
      <c r="AL271" s="30">
        <v>2.8152876096115151E-2</v>
      </c>
      <c r="AM271" s="30">
        <v>2.9387703123836401E-2</v>
      </c>
      <c r="AN271" s="32">
        <v>0</v>
      </c>
      <c r="AO271" s="32">
        <v>1.179775095002105E-5</v>
      </c>
      <c r="AP271" s="32">
        <v>1.5047875525962851E-6</v>
      </c>
      <c r="AQ271" s="32">
        <v>7.4641524221169363E-7</v>
      </c>
      <c r="AR271" s="32">
        <v>8.3637552589567275E-7</v>
      </c>
      <c r="AS271" s="32">
        <v>2.0873534009772648E-5</v>
      </c>
      <c r="AT271" s="32">
        <v>3.5758863280497345E-5</v>
      </c>
      <c r="AU271" s="34">
        <v>0</v>
      </c>
      <c r="AV271" s="34">
        <v>0</v>
      </c>
      <c r="AW271" s="34">
        <v>1.6834947809089666E-2</v>
      </c>
      <c r="AX271" s="34">
        <v>0.17647448414364728</v>
      </c>
      <c r="AY271" s="34">
        <v>0.18017234218095599</v>
      </c>
      <c r="AZ271" s="34">
        <v>1.2978873569553775</v>
      </c>
      <c r="BA271" s="34">
        <v>1.6713691310890704</v>
      </c>
      <c r="BB271" s="6"/>
      <c r="BC271" s="6"/>
      <c r="BD271" t="s">
        <v>778</v>
      </c>
      <c r="BF271" s="5">
        <v>0.10319212000000001</v>
      </c>
      <c r="BG271" s="5">
        <f t="shared" si="11"/>
        <v>-8.2447748807491922E-3</v>
      </c>
      <c r="BH271" s="2">
        <v>342.85048</v>
      </c>
    </row>
    <row r="272" spans="1:60" x14ac:dyDescent="0.2">
      <c r="A272" t="str">
        <f t="shared" si="10"/>
        <v>Motorbike, battery electric, &gt;35kW - 2030 - NCA - CH</v>
      </c>
      <c r="B272" t="s">
        <v>658</v>
      </c>
      <c r="D272" s="18">
        <v>2030</v>
      </c>
      <c r="E272" t="s">
        <v>37</v>
      </c>
      <c r="F272" t="s">
        <v>136</v>
      </c>
      <c r="G272" t="s">
        <v>39</v>
      </c>
      <c r="H272" t="s">
        <v>32</v>
      </c>
      <c r="I272" t="s">
        <v>44</v>
      </c>
      <c r="J272" t="s">
        <v>464</v>
      </c>
      <c r="L272" s="24">
        <v>0</v>
      </c>
      <c r="M272" s="24">
        <v>0</v>
      </c>
      <c r="N272" s="24">
        <v>1.689725966023888E-3</v>
      </c>
      <c r="O272" s="24">
        <v>1.2306591692257861E-2</v>
      </c>
      <c r="P272" s="24">
        <v>5.2456030862136592E-3</v>
      </c>
      <c r="Q272" s="24">
        <v>8.8669385559089264E-2</v>
      </c>
      <c r="R272" s="24">
        <v>0.10791130630358467</v>
      </c>
      <c r="S272" s="26">
        <v>0</v>
      </c>
      <c r="T272" s="26">
        <v>0</v>
      </c>
      <c r="U272" s="26">
        <v>9.63165131700334E-4</v>
      </c>
      <c r="V272" s="26">
        <v>4.722191823356421E-4</v>
      </c>
      <c r="W272" s="26">
        <v>3.5840293720659718E-4</v>
      </c>
      <c r="X272" s="26">
        <v>7.0518257967876377E-2</v>
      </c>
      <c r="Y272" s="26">
        <v>7.2312045219118951E-2</v>
      </c>
      <c r="Z272" s="28">
        <v>0</v>
      </c>
      <c r="AA272" s="28">
        <v>3.1271735442865911E-3</v>
      </c>
      <c r="AB272" s="28">
        <v>1.699570587740569E-4</v>
      </c>
      <c r="AC272" s="28">
        <v>1.5438989133449149E-4</v>
      </c>
      <c r="AD272" s="28">
        <v>1.6023798705518531E-4</v>
      </c>
      <c r="AE272" s="28">
        <v>8.1803069574040623E-3</v>
      </c>
      <c r="AF272" s="28">
        <v>1.1792065438854388E-2</v>
      </c>
      <c r="AG272" s="30">
        <v>0</v>
      </c>
      <c r="AH272" s="30">
        <v>1.6491053126472278E-5</v>
      </c>
      <c r="AI272" s="30">
        <v>6.3693063821975663E-4</v>
      </c>
      <c r="AJ272" s="30">
        <v>3.7507357872791961E-4</v>
      </c>
      <c r="AK272" s="30">
        <v>2.080819105611646E-4</v>
      </c>
      <c r="AL272" s="30">
        <v>2.6382423865752638E-2</v>
      </c>
      <c r="AM272" s="30">
        <v>2.7619001046387953E-2</v>
      </c>
      <c r="AN272" s="32">
        <v>0</v>
      </c>
      <c r="AO272" s="32">
        <v>1.179775095002105E-5</v>
      </c>
      <c r="AP272" s="32">
        <v>1.5047875525962851E-6</v>
      </c>
      <c r="AQ272" s="32">
        <v>7.4641524221169363E-7</v>
      </c>
      <c r="AR272" s="32">
        <v>8.4328602855719433E-7</v>
      </c>
      <c r="AS272" s="32">
        <v>1.9492613346882631E-5</v>
      </c>
      <c r="AT272" s="32">
        <v>3.4384853120268854E-5</v>
      </c>
      <c r="AU272" s="34">
        <v>0</v>
      </c>
      <c r="AV272" s="34">
        <v>0</v>
      </c>
      <c r="AW272" s="34">
        <v>1.6834947809089666E-2</v>
      </c>
      <c r="AX272" s="34">
        <v>0.17647448414364728</v>
      </c>
      <c r="AY272" s="34">
        <v>0.18231115576951787</v>
      </c>
      <c r="AZ272" s="34">
        <v>1.2367110840323652</v>
      </c>
      <c r="BA272" s="34">
        <v>1.6123316717546201</v>
      </c>
      <c r="BB272" s="6"/>
      <c r="BC272" s="6"/>
      <c r="BD272" t="s">
        <v>779</v>
      </c>
      <c r="BF272" s="5">
        <v>9.9280656000000009E-2</v>
      </c>
      <c r="BG272" s="5">
        <f t="shared" si="11"/>
        <v>-8.630650303584661E-3</v>
      </c>
      <c r="BH272" s="2">
        <v>316.58744000000002</v>
      </c>
    </row>
    <row r="273" spans="1:60" x14ac:dyDescent="0.2">
      <c r="A273" t="str">
        <f t="shared" si="10"/>
        <v>Motorbike, battery electric, &gt;35kW - 2040 - NCA - CH</v>
      </c>
      <c r="B273" t="s">
        <v>658</v>
      </c>
      <c r="D273" s="18">
        <v>2040</v>
      </c>
      <c r="E273" t="s">
        <v>37</v>
      </c>
      <c r="F273" t="s">
        <v>136</v>
      </c>
      <c r="G273" t="s">
        <v>39</v>
      </c>
      <c r="H273" t="s">
        <v>32</v>
      </c>
      <c r="I273" t="s">
        <v>44</v>
      </c>
      <c r="J273" t="s">
        <v>464</v>
      </c>
      <c r="L273" s="24">
        <v>0</v>
      </c>
      <c r="M273" s="24">
        <v>0</v>
      </c>
      <c r="N273" s="24">
        <v>1.689725966023888E-3</v>
      </c>
      <c r="O273" s="24">
        <v>1.2306591692257861E-2</v>
      </c>
      <c r="P273" s="24">
        <v>5.2483191858409056E-3</v>
      </c>
      <c r="Q273" s="24">
        <v>8.2743393760394676E-2</v>
      </c>
      <c r="R273" s="24">
        <v>0.10198803060451733</v>
      </c>
      <c r="S273" s="26">
        <v>0</v>
      </c>
      <c r="T273" s="26">
        <v>0</v>
      </c>
      <c r="U273" s="26">
        <v>9.63165131700334E-4</v>
      </c>
      <c r="V273" s="26">
        <v>4.722191823356421E-4</v>
      </c>
      <c r="W273" s="26">
        <v>3.5857456113350578E-4</v>
      </c>
      <c r="X273" s="26">
        <v>6.3473830003672987E-2</v>
      </c>
      <c r="Y273" s="26">
        <v>6.5267788878842464E-2</v>
      </c>
      <c r="Z273" s="28">
        <v>0</v>
      </c>
      <c r="AA273" s="28">
        <v>3.1271735442865911E-3</v>
      </c>
      <c r="AB273" s="28">
        <v>1.699570587740569E-4</v>
      </c>
      <c r="AC273" s="28">
        <v>1.5438989133449149E-4</v>
      </c>
      <c r="AD273" s="28">
        <v>1.6031600142945069E-4</v>
      </c>
      <c r="AE273" s="28">
        <v>7.3746976309239194E-3</v>
      </c>
      <c r="AF273" s="28">
        <v>1.098653412674851E-2</v>
      </c>
      <c r="AG273" s="30">
        <v>0</v>
      </c>
      <c r="AH273" s="30">
        <v>1.6491053126472278E-5</v>
      </c>
      <c r="AI273" s="30">
        <v>6.3693063821975663E-4</v>
      </c>
      <c r="AJ273" s="30">
        <v>3.7507357872791961E-4</v>
      </c>
      <c r="AK273" s="30">
        <v>2.081547193841308E-4</v>
      </c>
      <c r="AL273" s="30">
        <v>2.3969884678922589E-2</v>
      </c>
      <c r="AM273" s="30">
        <v>2.5206534668380867E-2</v>
      </c>
      <c r="AN273" s="32">
        <v>0</v>
      </c>
      <c r="AO273" s="32">
        <v>1.179775095002105E-5</v>
      </c>
      <c r="AP273" s="32">
        <v>1.5047875525962851E-6</v>
      </c>
      <c r="AQ273" s="32">
        <v>7.4641524221169363E-7</v>
      </c>
      <c r="AR273" s="32">
        <v>8.4357351518813197E-7</v>
      </c>
      <c r="AS273" s="32">
        <v>1.7731691392513211E-5</v>
      </c>
      <c r="AT273" s="32">
        <v>3.2624218652530372E-5</v>
      </c>
      <c r="AU273" s="34">
        <v>0</v>
      </c>
      <c r="AV273" s="34">
        <v>0</v>
      </c>
      <c r="AW273" s="34">
        <v>1.6834947809089666E-2</v>
      </c>
      <c r="AX273" s="34">
        <v>0.17647448414364728</v>
      </c>
      <c r="AY273" s="34">
        <v>0.18240013342322792</v>
      </c>
      <c r="AZ273" s="34">
        <v>1.1454565874296407</v>
      </c>
      <c r="BA273" s="34">
        <v>1.5211661528056055</v>
      </c>
      <c r="BB273" s="6"/>
      <c r="BC273" s="6"/>
      <c r="BD273" t="s">
        <v>780</v>
      </c>
      <c r="BF273" s="5">
        <v>9.3737426000000013E-2</v>
      </c>
      <c r="BG273" s="5">
        <f t="shared" si="11"/>
        <v>-8.2506046045173198E-3</v>
      </c>
      <c r="BH273" s="2">
        <v>284.23088999999999</v>
      </c>
    </row>
    <row r="274" spans="1:60" x14ac:dyDescent="0.2">
      <c r="A274" t="str">
        <f t="shared" si="10"/>
        <v>Motorbike, battery electric, &gt;35kW - 2050 - NCA - CH</v>
      </c>
      <c r="B274" t="s">
        <v>658</v>
      </c>
      <c r="D274" s="18">
        <v>2050</v>
      </c>
      <c r="E274" t="s">
        <v>37</v>
      </c>
      <c r="F274" t="s">
        <v>136</v>
      </c>
      <c r="G274" t="s">
        <v>39</v>
      </c>
      <c r="H274" t="s">
        <v>32</v>
      </c>
      <c r="I274" t="s">
        <v>44</v>
      </c>
      <c r="J274" t="s">
        <v>464</v>
      </c>
      <c r="L274" s="24">
        <v>0</v>
      </c>
      <c r="M274" s="24">
        <v>0</v>
      </c>
      <c r="N274" s="24">
        <v>1.689725966023888E-3</v>
      </c>
      <c r="O274" s="24">
        <v>1.2306591692257861E-2</v>
      </c>
      <c r="P274" s="24">
        <v>5.2470901128252243E-3</v>
      </c>
      <c r="Q274" s="24">
        <v>7.6080301246672824E-2</v>
      </c>
      <c r="R274" s="24">
        <v>9.5323709017779798E-2</v>
      </c>
      <c r="S274" s="26">
        <v>0</v>
      </c>
      <c r="T274" s="26">
        <v>0</v>
      </c>
      <c r="U274" s="26">
        <v>9.63165131700334E-4</v>
      </c>
      <c r="V274" s="26">
        <v>4.722191823356421E-4</v>
      </c>
      <c r="W274" s="26">
        <v>3.5849689890959751E-4</v>
      </c>
      <c r="X274" s="26">
        <v>5.5736333721866087E-2</v>
      </c>
      <c r="Y274" s="26">
        <v>5.7530214934811662E-2</v>
      </c>
      <c r="Z274" s="28">
        <v>0</v>
      </c>
      <c r="AA274" s="28">
        <v>3.1271735442865911E-3</v>
      </c>
      <c r="AB274" s="28">
        <v>1.699570587740569E-4</v>
      </c>
      <c r="AC274" s="28">
        <v>1.5438989133449149E-4</v>
      </c>
      <c r="AD274" s="28">
        <v>1.602806988355094E-4</v>
      </c>
      <c r="AE274" s="28">
        <v>6.4830224880350574E-3</v>
      </c>
      <c r="AF274" s="28">
        <v>1.0094823681265706E-2</v>
      </c>
      <c r="AG274" s="30">
        <v>0</v>
      </c>
      <c r="AH274" s="30">
        <v>1.6491053126472278E-5</v>
      </c>
      <c r="AI274" s="30">
        <v>6.3693063821975663E-4</v>
      </c>
      <c r="AJ274" s="30">
        <v>3.7507357872791961E-4</v>
      </c>
      <c r="AK274" s="30">
        <v>2.0812177237485561E-4</v>
      </c>
      <c r="AL274" s="30">
        <v>2.129777383274865E-2</v>
      </c>
      <c r="AM274" s="30">
        <v>2.2534390875197655E-2</v>
      </c>
      <c r="AN274" s="32">
        <v>0</v>
      </c>
      <c r="AO274" s="32">
        <v>1.179775095002105E-5</v>
      </c>
      <c r="AP274" s="32">
        <v>1.5047875525962851E-6</v>
      </c>
      <c r="AQ274" s="32">
        <v>7.4641524221169363E-7</v>
      </c>
      <c r="AR274" s="32">
        <v>8.4344342347245625E-7</v>
      </c>
      <c r="AS274" s="32">
        <v>1.5795554570516991E-5</v>
      </c>
      <c r="AT274" s="32">
        <v>3.0687951738818479E-5</v>
      </c>
      <c r="AU274" s="34">
        <v>0</v>
      </c>
      <c r="AV274" s="34">
        <v>0</v>
      </c>
      <c r="AW274" s="34">
        <v>1.6834947809089666E-2</v>
      </c>
      <c r="AX274" s="34">
        <v>0.17647448414364728</v>
      </c>
      <c r="AY274" s="34">
        <v>0.18235986979221949</v>
      </c>
      <c r="AZ274" s="34">
        <v>1.0436738540823072</v>
      </c>
      <c r="BA274" s="34">
        <v>1.4193431558272636</v>
      </c>
      <c r="BB274" s="6"/>
      <c r="BC274" s="6"/>
      <c r="BD274" t="s">
        <v>781</v>
      </c>
      <c r="BF274" s="5">
        <v>8.7575270999999996E-2</v>
      </c>
      <c r="BG274" s="5">
        <f t="shared" si="11"/>
        <v>-7.7484380177798018E-3</v>
      </c>
      <c r="BH274" s="2">
        <v>248.68481</v>
      </c>
    </row>
    <row r="275" spans="1:60" x14ac:dyDescent="0.2">
      <c r="A275" t="s">
        <v>638</v>
      </c>
      <c r="B275" t="s">
        <v>638</v>
      </c>
      <c r="D275" s="18">
        <v>2020</v>
      </c>
      <c r="E275" t="s">
        <v>37</v>
      </c>
      <c r="F275" t="s">
        <v>136</v>
      </c>
      <c r="G275" t="s">
        <v>39</v>
      </c>
      <c r="I275" t="s">
        <v>136</v>
      </c>
      <c r="J275" t="s">
        <v>136</v>
      </c>
      <c r="L275" s="24">
        <v>0.1523460930814716</v>
      </c>
      <c r="M275" s="24">
        <v>0</v>
      </c>
      <c r="N275" s="24">
        <v>0</v>
      </c>
      <c r="O275" s="24">
        <v>0</v>
      </c>
      <c r="P275" s="24">
        <v>0</v>
      </c>
      <c r="Q275" s="24">
        <v>0</v>
      </c>
      <c r="R275" s="24">
        <v>0.1523460930814716</v>
      </c>
      <c r="S275" s="26">
        <v>5.9362122354178967E-3</v>
      </c>
      <c r="T275" s="26">
        <v>0</v>
      </c>
      <c r="U275" s="26">
        <v>0</v>
      </c>
      <c r="V275" s="26">
        <v>0</v>
      </c>
      <c r="W275" s="26">
        <v>0</v>
      </c>
      <c r="X275" s="26">
        <v>0</v>
      </c>
      <c r="Y275" s="26">
        <v>5.9362122354178967E-3</v>
      </c>
      <c r="Z275" s="28">
        <v>9.5941544037531461E-3</v>
      </c>
      <c r="AA275" s="28">
        <v>0</v>
      </c>
      <c r="AB275" s="28">
        <v>0</v>
      </c>
      <c r="AC275" s="28">
        <v>0</v>
      </c>
      <c r="AD275" s="28">
        <v>0</v>
      </c>
      <c r="AE275" s="28">
        <v>0</v>
      </c>
      <c r="AF275" s="28">
        <v>9.5941544037531461E-3</v>
      </c>
      <c r="AG275" s="30">
        <v>2.906181003084271E-3</v>
      </c>
      <c r="AH275" s="30">
        <v>0</v>
      </c>
      <c r="AI275" s="30">
        <v>0</v>
      </c>
      <c r="AJ275" s="30">
        <v>0</v>
      </c>
      <c r="AK275" s="30">
        <v>0</v>
      </c>
      <c r="AL275" s="30">
        <v>0</v>
      </c>
      <c r="AM275" s="30">
        <v>2.906181003084271E-3</v>
      </c>
      <c r="AN275" s="32">
        <v>3.2838154623116922E-5</v>
      </c>
      <c r="AO275" s="32">
        <v>0</v>
      </c>
      <c r="AP275" s="32">
        <v>0</v>
      </c>
      <c r="AQ275" s="32">
        <v>0</v>
      </c>
      <c r="AR275" s="32">
        <v>0</v>
      </c>
      <c r="AS275" s="32">
        <v>0</v>
      </c>
      <c r="AT275" s="32">
        <v>3.2838154623116922E-5</v>
      </c>
      <c r="AU275" s="34">
        <v>2.3550164837955734</v>
      </c>
      <c r="AV275" s="34">
        <v>0</v>
      </c>
      <c r="AW275" s="34">
        <v>0</v>
      </c>
      <c r="AX275" s="34">
        <v>0</v>
      </c>
      <c r="AY275" s="34">
        <v>0</v>
      </c>
      <c r="AZ275" s="34">
        <v>0</v>
      </c>
      <c r="BA275" s="34">
        <v>2.3550164837955734</v>
      </c>
      <c r="BB275" s="6"/>
      <c r="BC275" s="6"/>
      <c r="BD275" s="6"/>
      <c r="BF275" s="5">
        <v>0.16200000000000001</v>
      </c>
      <c r="BG275" s="5"/>
      <c r="BH275" s="2">
        <v>161</v>
      </c>
    </row>
  </sheetData>
  <autoFilter ref="A2:BA275" xr:uid="{00000000-0009-0000-0000-000002000000}"/>
  <mergeCells count="6">
    <mergeCell ref="AN1:AT1"/>
    <mergeCell ref="AU1:BA1"/>
    <mergeCell ref="L1:R1"/>
    <mergeCell ref="S1:Y1"/>
    <mergeCell ref="Z1:AF1"/>
    <mergeCell ref="AG1:AM1"/>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35"/>
  <sheetViews>
    <sheetView zoomScale="70" zoomScaleNormal="70" workbookViewId="0">
      <selection activeCell="E33" sqref="E33"/>
    </sheetView>
  </sheetViews>
  <sheetFormatPr baseColWidth="10" defaultColWidth="8.83203125" defaultRowHeight="15" x14ac:dyDescent="0.2"/>
  <cols>
    <col min="1" max="1" width="67.33203125" bestFit="1" customWidth="1"/>
    <col min="2" max="2" width="49.5" bestFit="1" customWidth="1"/>
    <col min="3" max="3" width="29.5" customWidth="1"/>
    <col min="4" max="4" width="28.33203125" bestFit="1" customWidth="1"/>
    <col min="5" max="5" width="27.33203125" bestFit="1" customWidth="1"/>
    <col min="6" max="6" width="21.33203125" bestFit="1" customWidth="1"/>
    <col min="7" max="7" width="21.33203125" customWidth="1"/>
    <col min="8" max="8" width="12.5" bestFit="1" customWidth="1"/>
    <col min="9" max="9" width="16.5" bestFit="1" customWidth="1"/>
    <col min="10" max="10" width="24.5" bestFit="1" customWidth="1"/>
    <col min="11" max="11" width="26.6640625" bestFit="1" customWidth="1"/>
    <col min="12" max="12" width="19.6640625" customWidth="1"/>
    <col min="13" max="13" width="39.5" bestFit="1" customWidth="1"/>
    <col min="14" max="14" width="33.6640625" bestFit="1" customWidth="1"/>
    <col min="15" max="15" width="30.33203125" bestFit="1" customWidth="1"/>
    <col min="16" max="16" width="22" bestFit="1" customWidth="1"/>
    <col min="17" max="17" width="22.6640625" bestFit="1" customWidth="1"/>
    <col min="18" max="18" width="25.6640625" bestFit="1" customWidth="1"/>
    <col min="20" max="20" width="8.6640625"/>
    <col min="30" max="61" width="8.6640625"/>
  </cols>
  <sheetData>
    <row r="1" spans="1:64" x14ac:dyDescent="0.2">
      <c r="A1" t="s">
        <v>67</v>
      </c>
    </row>
    <row r="2" spans="1:64" x14ac:dyDescent="0.2">
      <c r="A2" t="s">
        <v>89</v>
      </c>
    </row>
    <row r="3" spans="1:64" x14ac:dyDescent="0.2">
      <c r="B3" t="s">
        <v>15</v>
      </c>
      <c r="C3" t="s">
        <v>14</v>
      </c>
      <c r="D3" t="s">
        <v>16</v>
      </c>
      <c r="E3" t="s">
        <v>269</v>
      </c>
      <c r="F3" t="s">
        <v>19</v>
      </c>
      <c r="G3" t="s">
        <v>20</v>
      </c>
      <c r="H3" t="s">
        <v>22</v>
      </c>
      <c r="I3" t="s">
        <v>24</v>
      </c>
      <c r="J3" t="s">
        <v>51</v>
      </c>
      <c r="K3" t="s">
        <v>27</v>
      </c>
      <c r="L3" t="s">
        <v>28</v>
      </c>
      <c r="M3" t="s">
        <v>115</v>
      </c>
      <c r="N3" t="s">
        <v>102</v>
      </c>
      <c r="O3" t="s">
        <v>109</v>
      </c>
      <c r="P3" t="s">
        <v>140</v>
      </c>
      <c r="Q3" t="s">
        <v>141</v>
      </c>
      <c r="R3" t="s">
        <v>142</v>
      </c>
      <c r="S3" t="s">
        <v>65</v>
      </c>
      <c r="T3" t="s">
        <v>446</v>
      </c>
      <c r="U3" t="s">
        <v>66</v>
      </c>
      <c r="V3" t="s">
        <v>54</v>
      </c>
      <c r="W3" t="s">
        <v>55</v>
      </c>
      <c r="X3" t="s">
        <v>56</v>
      </c>
      <c r="Y3" t="s">
        <v>57</v>
      </c>
      <c r="Z3" t="s">
        <v>58</v>
      </c>
      <c r="AA3" t="s">
        <v>60</v>
      </c>
      <c r="AB3" t="s">
        <v>59</v>
      </c>
      <c r="AC3" t="s">
        <v>61</v>
      </c>
      <c r="AD3" t="s">
        <v>360</v>
      </c>
      <c r="AE3" t="s">
        <v>309</v>
      </c>
      <c r="AF3" t="s">
        <v>310</v>
      </c>
      <c r="AG3" t="s">
        <v>311</v>
      </c>
      <c r="AH3" t="s">
        <v>312</v>
      </c>
      <c r="AI3" t="s">
        <v>313</v>
      </c>
      <c r="AJ3" t="s">
        <v>314</v>
      </c>
      <c r="AK3" t="s">
        <v>315</v>
      </c>
      <c r="AL3" t="s">
        <v>316</v>
      </c>
      <c r="AM3" t="s">
        <v>317</v>
      </c>
      <c r="AN3" t="s">
        <v>318</v>
      </c>
      <c r="AO3" t="s">
        <v>54</v>
      </c>
      <c r="AP3" t="s">
        <v>319</v>
      </c>
      <c r="AQ3" t="s">
        <v>320</v>
      </c>
      <c r="AR3" t="s">
        <v>321</v>
      </c>
      <c r="AS3" t="s">
        <v>322</v>
      </c>
      <c r="AT3" t="s">
        <v>323</v>
      </c>
      <c r="AU3" t="s">
        <v>324</v>
      </c>
      <c r="AV3" t="s">
        <v>325</v>
      </c>
      <c r="AW3" t="s">
        <v>328</v>
      </c>
      <c r="AX3" t="s">
        <v>326</v>
      </c>
      <c r="AY3" t="s">
        <v>327</v>
      </c>
      <c r="AZ3" t="s">
        <v>329</v>
      </c>
      <c r="BA3" t="s">
        <v>330</v>
      </c>
      <c r="BB3" t="s">
        <v>331</v>
      </c>
      <c r="BC3" t="s">
        <v>332</v>
      </c>
      <c r="BD3" t="s">
        <v>290</v>
      </c>
      <c r="BE3" t="s">
        <v>292</v>
      </c>
      <c r="BF3" t="s">
        <v>291</v>
      </c>
      <c r="BG3" t="s">
        <v>335</v>
      </c>
      <c r="BH3" t="s">
        <v>333</v>
      </c>
      <c r="BI3" t="s">
        <v>334</v>
      </c>
      <c r="BJ3" t="s">
        <v>29</v>
      </c>
      <c r="BK3" t="s">
        <v>30</v>
      </c>
      <c r="BL3" t="s">
        <v>31</v>
      </c>
    </row>
    <row r="4" spans="1:64" x14ac:dyDescent="0.2">
      <c r="A4" t="s">
        <v>651</v>
      </c>
      <c r="B4" t="s">
        <v>90</v>
      </c>
      <c r="C4" t="s">
        <v>540</v>
      </c>
      <c r="D4" t="s">
        <v>90</v>
      </c>
      <c r="E4" t="s">
        <v>225</v>
      </c>
      <c r="F4" t="s">
        <v>541</v>
      </c>
      <c r="G4" t="s">
        <v>543</v>
      </c>
      <c r="J4" t="s">
        <v>358</v>
      </c>
      <c r="L4" t="s">
        <v>97</v>
      </c>
      <c r="M4" t="s">
        <v>116</v>
      </c>
      <c r="N4" t="s">
        <v>106</v>
      </c>
      <c r="O4" t="s">
        <v>110</v>
      </c>
      <c r="P4" t="s">
        <v>282</v>
      </c>
      <c r="Q4" t="s">
        <v>145</v>
      </c>
      <c r="R4" t="s">
        <v>143</v>
      </c>
      <c r="S4" t="s">
        <v>150</v>
      </c>
      <c r="T4" t="s">
        <v>448</v>
      </c>
      <c r="U4" t="s">
        <v>210</v>
      </c>
      <c r="V4" t="s">
        <v>54</v>
      </c>
      <c r="W4" t="s">
        <v>151</v>
      </c>
      <c r="X4" t="s">
        <v>152</v>
      </c>
      <c r="Y4" t="s">
        <v>211</v>
      </c>
      <c r="Z4" t="s">
        <v>153</v>
      </c>
      <c r="AB4" t="s">
        <v>154</v>
      </c>
      <c r="AC4" t="s">
        <v>212</v>
      </c>
      <c r="AD4" t="s">
        <v>207</v>
      </c>
      <c r="AE4" t="s">
        <v>309</v>
      </c>
      <c r="AF4" t="s">
        <v>310</v>
      </c>
      <c r="AG4" t="s">
        <v>311</v>
      </c>
      <c r="AH4" t="s">
        <v>312</v>
      </c>
      <c r="AI4" t="s">
        <v>313</v>
      </c>
      <c r="AJ4" t="s">
        <v>314</v>
      </c>
      <c r="AK4" t="s">
        <v>315</v>
      </c>
      <c r="AL4" t="s">
        <v>316</v>
      </c>
      <c r="AM4" t="s">
        <v>317</v>
      </c>
      <c r="AN4" t="s">
        <v>318</v>
      </c>
      <c r="AO4" t="s">
        <v>54</v>
      </c>
      <c r="AP4" t="s">
        <v>319</v>
      </c>
      <c r="AQ4" t="s">
        <v>320</v>
      </c>
      <c r="AR4" t="s">
        <v>321</v>
      </c>
      <c r="AS4" t="s">
        <v>322</v>
      </c>
      <c r="AT4" t="s">
        <v>323</v>
      </c>
      <c r="AU4" t="s">
        <v>324</v>
      </c>
      <c r="AV4" t="s">
        <v>325</v>
      </c>
      <c r="AW4" t="s">
        <v>328</v>
      </c>
      <c r="AX4" t="s">
        <v>326</v>
      </c>
      <c r="AY4" t="s">
        <v>327</v>
      </c>
      <c r="AZ4" t="s">
        <v>336</v>
      </c>
      <c r="BA4" t="s">
        <v>330</v>
      </c>
      <c r="BB4" t="s">
        <v>331</v>
      </c>
      <c r="BC4" t="s">
        <v>332</v>
      </c>
      <c r="BD4" t="s">
        <v>290</v>
      </c>
      <c r="BE4" t="s">
        <v>292</v>
      </c>
      <c r="BF4" t="s">
        <v>291</v>
      </c>
      <c r="BG4" t="s">
        <v>335</v>
      </c>
      <c r="BH4" t="s">
        <v>333</v>
      </c>
      <c r="BI4" t="s">
        <v>334</v>
      </c>
      <c r="BJ4" t="s">
        <v>155</v>
      </c>
      <c r="BK4" t="s">
        <v>156</v>
      </c>
      <c r="BL4" t="s">
        <v>164</v>
      </c>
    </row>
    <row r="5" spans="1:64" x14ac:dyDescent="0.2">
      <c r="A5" t="s">
        <v>33</v>
      </c>
      <c r="B5" t="s">
        <v>90</v>
      </c>
      <c r="C5" t="s">
        <v>540</v>
      </c>
      <c r="D5" t="s">
        <v>90</v>
      </c>
      <c r="F5" t="s">
        <v>541</v>
      </c>
      <c r="G5" t="s">
        <v>543</v>
      </c>
      <c r="J5" t="s">
        <v>184</v>
      </c>
      <c r="L5" t="s">
        <v>97</v>
      </c>
      <c r="M5" t="s">
        <v>116</v>
      </c>
      <c r="N5" t="s">
        <v>106</v>
      </c>
      <c r="O5" t="s">
        <v>110</v>
      </c>
      <c r="P5" t="s">
        <v>282</v>
      </c>
      <c r="R5" t="s">
        <v>143</v>
      </c>
      <c r="S5" t="s">
        <v>150</v>
      </c>
      <c r="T5" t="s">
        <v>448</v>
      </c>
      <c r="U5" t="s">
        <v>210</v>
      </c>
      <c r="V5" t="s">
        <v>54</v>
      </c>
      <c r="W5" t="s">
        <v>151</v>
      </c>
      <c r="X5" t="s">
        <v>152</v>
      </c>
      <c r="Y5" t="s">
        <v>211</v>
      </c>
      <c r="Z5" t="s">
        <v>153</v>
      </c>
      <c r="AB5" t="s">
        <v>154</v>
      </c>
      <c r="AC5" t="s">
        <v>212</v>
      </c>
      <c r="AD5" t="s">
        <v>207</v>
      </c>
      <c r="AE5" t="s">
        <v>309</v>
      </c>
      <c r="AF5" t="s">
        <v>310</v>
      </c>
      <c r="AG5" t="s">
        <v>311</v>
      </c>
      <c r="AH5" t="s">
        <v>312</v>
      </c>
      <c r="AI5" t="s">
        <v>313</v>
      </c>
      <c r="AJ5" t="s">
        <v>314</v>
      </c>
      <c r="AK5" t="s">
        <v>315</v>
      </c>
      <c r="AL5" t="s">
        <v>316</v>
      </c>
      <c r="AM5" t="s">
        <v>317</v>
      </c>
      <c r="AN5" t="s">
        <v>318</v>
      </c>
      <c r="AO5" t="s">
        <v>54</v>
      </c>
      <c r="AP5" t="s">
        <v>319</v>
      </c>
      <c r="AQ5" t="s">
        <v>320</v>
      </c>
      <c r="AR5" t="s">
        <v>321</v>
      </c>
      <c r="AS5" t="s">
        <v>322</v>
      </c>
      <c r="AT5" t="s">
        <v>323</v>
      </c>
      <c r="AU5" t="s">
        <v>324</v>
      </c>
      <c r="AV5" t="s">
        <v>325</v>
      </c>
      <c r="AW5" t="s">
        <v>328</v>
      </c>
      <c r="AX5" t="s">
        <v>326</v>
      </c>
      <c r="AY5" t="s">
        <v>327</v>
      </c>
      <c r="AZ5" t="s">
        <v>336</v>
      </c>
      <c r="BA5" t="s">
        <v>330</v>
      </c>
      <c r="BB5" t="s">
        <v>331</v>
      </c>
      <c r="BC5" t="s">
        <v>332</v>
      </c>
      <c r="BD5" t="s">
        <v>290</v>
      </c>
      <c r="BE5" t="s">
        <v>292</v>
      </c>
      <c r="BF5" t="s">
        <v>291</v>
      </c>
      <c r="BG5" t="s">
        <v>335</v>
      </c>
      <c r="BH5" t="s">
        <v>333</v>
      </c>
      <c r="BI5" t="s">
        <v>334</v>
      </c>
      <c r="BJ5" t="s">
        <v>155</v>
      </c>
      <c r="BK5" t="s">
        <v>156</v>
      </c>
      <c r="BL5" t="s">
        <v>164</v>
      </c>
    </row>
    <row r="6" spans="1:64" x14ac:dyDescent="0.2">
      <c r="A6" t="s">
        <v>262</v>
      </c>
      <c r="B6" t="s">
        <v>247</v>
      </c>
      <c r="C6" t="s">
        <v>540</v>
      </c>
      <c r="D6" t="s">
        <v>247</v>
      </c>
      <c r="E6" t="s">
        <v>225</v>
      </c>
      <c r="F6" t="s">
        <v>541</v>
      </c>
      <c r="G6" t="s">
        <v>543</v>
      </c>
      <c r="J6" t="s">
        <v>184</v>
      </c>
      <c r="L6" t="s">
        <v>97</v>
      </c>
      <c r="M6" t="s">
        <v>248</v>
      </c>
      <c r="N6" t="s">
        <v>106</v>
      </c>
      <c r="O6" t="s">
        <v>110</v>
      </c>
      <c r="P6" t="s">
        <v>145</v>
      </c>
      <c r="Q6" t="s">
        <v>145</v>
      </c>
      <c r="R6" t="s">
        <v>143</v>
      </c>
      <c r="S6" t="s">
        <v>150</v>
      </c>
      <c r="T6" t="s">
        <v>448</v>
      </c>
      <c r="U6" t="s">
        <v>210</v>
      </c>
      <c r="V6" t="s">
        <v>54</v>
      </c>
      <c r="W6" t="s">
        <v>151</v>
      </c>
      <c r="X6" t="s">
        <v>152</v>
      </c>
      <c r="Y6" t="s">
        <v>211</v>
      </c>
      <c r="Z6" t="s">
        <v>153</v>
      </c>
      <c r="AB6" t="s">
        <v>154</v>
      </c>
      <c r="AC6" t="s">
        <v>212</v>
      </c>
      <c r="AD6" t="s">
        <v>207</v>
      </c>
      <c r="AE6" t="s">
        <v>309</v>
      </c>
      <c r="AF6" t="s">
        <v>310</v>
      </c>
      <c r="AG6" t="s">
        <v>311</v>
      </c>
      <c r="AH6" t="s">
        <v>312</v>
      </c>
      <c r="AI6" t="s">
        <v>313</v>
      </c>
      <c r="AJ6" t="s">
        <v>314</v>
      </c>
      <c r="AK6" t="s">
        <v>315</v>
      </c>
      <c r="AL6" t="s">
        <v>316</v>
      </c>
      <c r="AM6" t="s">
        <v>317</v>
      </c>
      <c r="AN6" t="s">
        <v>318</v>
      </c>
      <c r="AO6" t="s">
        <v>54</v>
      </c>
      <c r="AP6" t="s">
        <v>319</v>
      </c>
      <c r="AQ6" t="s">
        <v>320</v>
      </c>
      <c r="AR6" t="s">
        <v>321</v>
      </c>
      <c r="AS6" t="s">
        <v>322</v>
      </c>
      <c r="AT6" t="s">
        <v>323</v>
      </c>
      <c r="AU6" t="s">
        <v>324</v>
      </c>
      <c r="AV6" t="s">
        <v>325</v>
      </c>
      <c r="AW6" t="s">
        <v>328</v>
      </c>
      <c r="AX6" t="s">
        <v>326</v>
      </c>
      <c r="AY6" t="s">
        <v>327</v>
      </c>
      <c r="AZ6" t="s">
        <v>336</v>
      </c>
      <c r="BA6" t="s">
        <v>330</v>
      </c>
      <c r="BB6" t="s">
        <v>331</v>
      </c>
      <c r="BC6" t="s">
        <v>332</v>
      </c>
      <c r="BD6" t="s">
        <v>290</v>
      </c>
      <c r="BE6" t="s">
        <v>292</v>
      </c>
      <c r="BF6" t="s">
        <v>291</v>
      </c>
      <c r="BG6" t="s">
        <v>335</v>
      </c>
      <c r="BH6" t="s">
        <v>333</v>
      </c>
      <c r="BI6" t="s">
        <v>334</v>
      </c>
      <c r="BJ6" t="s">
        <v>155</v>
      </c>
      <c r="BK6" t="s">
        <v>156</v>
      </c>
      <c r="BL6" t="s">
        <v>164</v>
      </c>
    </row>
    <row r="7" spans="1:64" x14ac:dyDescent="0.2">
      <c r="A7" t="s">
        <v>263</v>
      </c>
      <c r="B7" t="s">
        <v>247</v>
      </c>
      <c r="C7" t="s">
        <v>540</v>
      </c>
      <c r="D7" t="s">
        <v>247</v>
      </c>
      <c r="E7" t="s">
        <v>225</v>
      </c>
      <c r="F7" t="s">
        <v>541</v>
      </c>
      <c r="G7" t="s">
        <v>543</v>
      </c>
      <c r="J7" t="s">
        <v>184</v>
      </c>
      <c r="L7" t="s">
        <v>97</v>
      </c>
      <c r="M7" t="s">
        <v>248</v>
      </c>
      <c r="N7" t="s">
        <v>106</v>
      </c>
      <c r="O7" t="s">
        <v>110</v>
      </c>
      <c r="P7" t="s">
        <v>145</v>
      </c>
      <c r="Q7" t="s">
        <v>145</v>
      </c>
      <c r="R7" t="s">
        <v>143</v>
      </c>
      <c r="S7" t="s">
        <v>150</v>
      </c>
      <c r="T7" t="s">
        <v>448</v>
      </c>
      <c r="U7" t="s">
        <v>210</v>
      </c>
      <c r="V7" t="s">
        <v>54</v>
      </c>
      <c r="W7" t="s">
        <v>151</v>
      </c>
      <c r="X7" t="s">
        <v>152</v>
      </c>
      <c r="Y7" t="s">
        <v>211</v>
      </c>
      <c r="Z7" t="s">
        <v>153</v>
      </c>
      <c r="AB7" t="s">
        <v>154</v>
      </c>
      <c r="AC7" t="s">
        <v>212</v>
      </c>
      <c r="AD7" t="s">
        <v>207</v>
      </c>
      <c r="AE7" t="s">
        <v>309</v>
      </c>
      <c r="AF7" t="s">
        <v>310</v>
      </c>
      <c r="AG7" t="s">
        <v>311</v>
      </c>
      <c r="AH7" t="s">
        <v>312</v>
      </c>
      <c r="AI7" t="s">
        <v>313</v>
      </c>
      <c r="AJ7" t="s">
        <v>314</v>
      </c>
      <c r="AK7" t="s">
        <v>315</v>
      </c>
      <c r="AL7" t="s">
        <v>316</v>
      </c>
      <c r="AM7" t="s">
        <v>317</v>
      </c>
      <c r="AN7" t="s">
        <v>318</v>
      </c>
      <c r="AO7" t="s">
        <v>54</v>
      </c>
      <c r="AP7" t="s">
        <v>319</v>
      </c>
      <c r="AQ7" t="s">
        <v>320</v>
      </c>
      <c r="AR7" t="s">
        <v>321</v>
      </c>
      <c r="AS7" t="s">
        <v>322</v>
      </c>
      <c r="AT7" t="s">
        <v>323</v>
      </c>
      <c r="AU7" t="s">
        <v>324</v>
      </c>
      <c r="AV7" t="s">
        <v>325</v>
      </c>
      <c r="AW7" t="s">
        <v>328</v>
      </c>
      <c r="AX7" t="s">
        <v>326</v>
      </c>
      <c r="AY7" t="s">
        <v>327</v>
      </c>
      <c r="AZ7" t="s">
        <v>336</v>
      </c>
      <c r="BA7" t="s">
        <v>330</v>
      </c>
      <c r="BB7" t="s">
        <v>331</v>
      </c>
      <c r="BC7" t="s">
        <v>332</v>
      </c>
      <c r="BD7" t="s">
        <v>290</v>
      </c>
      <c r="BE7" t="s">
        <v>292</v>
      </c>
      <c r="BF7" t="s">
        <v>291</v>
      </c>
      <c r="BG7" t="s">
        <v>335</v>
      </c>
      <c r="BH7" t="s">
        <v>333</v>
      </c>
      <c r="BI7" t="s">
        <v>334</v>
      </c>
      <c r="BJ7" t="s">
        <v>155</v>
      </c>
      <c r="BK7" t="s">
        <v>156</v>
      </c>
      <c r="BL7" t="s">
        <v>164</v>
      </c>
    </row>
    <row r="8" spans="1:64" x14ac:dyDescent="0.2">
      <c r="A8" t="s">
        <v>652</v>
      </c>
      <c r="B8" t="s">
        <v>247</v>
      </c>
      <c r="C8" t="s">
        <v>540</v>
      </c>
      <c r="D8" t="s">
        <v>247</v>
      </c>
      <c r="E8" t="s">
        <v>225</v>
      </c>
      <c r="F8" t="s">
        <v>541</v>
      </c>
      <c r="G8" t="s">
        <v>543</v>
      </c>
      <c r="J8" t="s">
        <v>184</v>
      </c>
      <c r="L8" t="s">
        <v>97</v>
      </c>
      <c r="M8" t="s">
        <v>248</v>
      </c>
      <c r="N8" t="s">
        <v>106</v>
      </c>
      <c r="O8" t="s">
        <v>110</v>
      </c>
      <c r="P8" t="s">
        <v>145</v>
      </c>
      <c r="Q8" t="s">
        <v>145</v>
      </c>
      <c r="R8" t="s">
        <v>143</v>
      </c>
      <c r="S8" t="s">
        <v>150</v>
      </c>
      <c r="T8" t="s">
        <v>448</v>
      </c>
      <c r="U8" t="s">
        <v>210</v>
      </c>
      <c r="V8" t="s">
        <v>54</v>
      </c>
      <c r="W8" t="s">
        <v>151</v>
      </c>
      <c r="X8" t="s">
        <v>152</v>
      </c>
      <c r="Y8" t="s">
        <v>211</v>
      </c>
      <c r="Z8" t="s">
        <v>153</v>
      </c>
      <c r="AB8" t="s">
        <v>154</v>
      </c>
      <c r="AC8" t="s">
        <v>212</v>
      </c>
      <c r="AD8" t="s">
        <v>207</v>
      </c>
      <c r="AE8" t="s">
        <v>309</v>
      </c>
      <c r="AF8" t="s">
        <v>310</v>
      </c>
      <c r="AG8" t="s">
        <v>311</v>
      </c>
      <c r="AH8" t="s">
        <v>312</v>
      </c>
      <c r="AI8" t="s">
        <v>313</v>
      </c>
      <c r="AJ8" t="s">
        <v>314</v>
      </c>
      <c r="AK8" t="s">
        <v>315</v>
      </c>
      <c r="AL8" t="s">
        <v>316</v>
      </c>
      <c r="AM8" t="s">
        <v>317</v>
      </c>
      <c r="AN8" t="s">
        <v>318</v>
      </c>
      <c r="AO8" t="s">
        <v>54</v>
      </c>
      <c r="AP8" t="s">
        <v>319</v>
      </c>
      <c r="AQ8" t="s">
        <v>320</v>
      </c>
      <c r="AR8" t="s">
        <v>321</v>
      </c>
      <c r="AS8" t="s">
        <v>322</v>
      </c>
      <c r="AT8" t="s">
        <v>323</v>
      </c>
      <c r="AU8" t="s">
        <v>324</v>
      </c>
      <c r="AV8" t="s">
        <v>325</v>
      </c>
      <c r="AW8" t="s">
        <v>328</v>
      </c>
      <c r="AX8" t="s">
        <v>326</v>
      </c>
      <c r="AY8" t="s">
        <v>327</v>
      </c>
      <c r="AZ8" t="s">
        <v>336</v>
      </c>
      <c r="BA8" t="s">
        <v>330</v>
      </c>
      <c r="BB8" t="s">
        <v>331</v>
      </c>
      <c r="BC8" t="s">
        <v>332</v>
      </c>
      <c r="BD8" t="s">
        <v>290</v>
      </c>
      <c r="BE8" t="s">
        <v>292</v>
      </c>
      <c r="BF8" t="s">
        <v>291</v>
      </c>
      <c r="BG8" t="s">
        <v>335</v>
      </c>
      <c r="BH8" t="s">
        <v>333</v>
      </c>
      <c r="BI8" t="s">
        <v>334</v>
      </c>
      <c r="BJ8" t="s">
        <v>155</v>
      </c>
      <c r="BK8" t="s">
        <v>156</v>
      </c>
      <c r="BL8" t="s">
        <v>164</v>
      </c>
    </row>
    <row r="9" spans="1:64" x14ac:dyDescent="0.2">
      <c r="A9" t="s">
        <v>264</v>
      </c>
      <c r="B9" t="s">
        <v>101</v>
      </c>
      <c r="C9" t="s">
        <v>540</v>
      </c>
      <c r="D9" t="s">
        <v>101</v>
      </c>
      <c r="E9" t="s">
        <v>101</v>
      </c>
      <c r="F9" t="s">
        <v>541</v>
      </c>
      <c r="G9" t="s">
        <v>543</v>
      </c>
      <c r="L9" t="s">
        <v>108</v>
      </c>
      <c r="M9" t="s">
        <v>117</v>
      </c>
      <c r="N9" t="s">
        <v>103</v>
      </c>
      <c r="P9" t="s">
        <v>277</v>
      </c>
      <c r="Q9" t="s">
        <v>277</v>
      </c>
      <c r="R9" t="s">
        <v>143</v>
      </c>
      <c r="S9" t="s">
        <v>150</v>
      </c>
      <c r="T9" t="s">
        <v>448</v>
      </c>
      <c r="U9" t="s">
        <v>210</v>
      </c>
      <c r="V9" t="s">
        <v>54</v>
      </c>
      <c r="W9" t="s">
        <v>151</v>
      </c>
      <c r="X9" t="s">
        <v>152</v>
      </c>
      <c r="Y9" t="s">
        <v>211</v>
      </c>
      <c r="Z9" t="s">
        <v>153</v>
      </c>
      <c r="AB9" t="s">
        <v>154</v>
      </c>
      <c r="AC9" t="s">
        <v>212</v>
      </c>
      <c r="AD9" t="s">
        <v>207</v>
      </c>
      <c r="AE9" t="s">
        <v>309</v>
      </c>
      <c r="AF9" t="s">
        <v>310</v>
      </c>
      <c r="AG9" t="s">
        <v>311</v>
      </c>
      <c r="AH9" t="s">
        <v>312</v>
      </c>
      <c r="AI9" t="s">
        <v>313</v>
      </c>
      <c r="AJ9" t="s">
        <v>314</v>
      </c>
      <c r="AK9" t="s">
        <v>315</v>
      </c>
      <c r="AL9" t="s">
        <v>316</v>
      </c>
      <c r="AM9" t="s">
        <v>317</v>
      </c>
      <c r="AN9" t="s">
        <v>318</v>
      </c>
      <c r="AO9" t="s">
        <v>54</v>
      </c>
      <c r="AP9" t="s">
        <v>319</v>
      </c>
      <c r="AQ9" t="s">
        <v>320</v>
      </c>
      <c r="AR9" t="s">
        <v>321</v>
      </c>
      <c r="AS9" t="s">
        <v>322</v>
      </c>
      <c r="AT9" t="s">
        <v>323</v>
      </c>
      <c r="AU9" t="s">
        <v>324</v>
      </c>
      <c r="AV9" t="s">
        <v>325</v>
      </c>
      <c r="AW9" t="s">
        <v>328</v>
      </c>
      <c r="AX9" t="s">
        <v>326</v>
      </c>
      <c r="AY9" t="s">
        <v>327</v>
      </c>
      <c r="AZ9" t="s">
        <v>336</v>
      </c>
      <c r="BA9" t="s">
        <v>330</v>
      </c>
      <c r="BB9" t="s">
        <v>331</v>
      </c>
      <c r="BC9" t="s">
        <v>332</v>
      </c>
      <c r="BD9" t="s">
        <v>290</v>
      </c>
      <c r="BE9" t="s">
        <v>292</v>
      </c>
      <c r="BF9" t="s">
        <v>291</v>
      </c>
      <c r="BG9" t="s">
        <v>335</v>
      </c>
      <c r="BH9" t="s">
        <v>333</v>
      </c>
      <c r="BI9" t="s">
        <v>334</v>
      </c>
      <c r="BJ9" t="s">
        <v>155</v>
      </c>
      <c r="BK9" t="s">
        <v>156</v>
      </c>
      <c r="BL9" t="s">
        <v>164</v>
      </c>
    </row>
    <row r="10" spans="1:64" x14ac:dyDescent="0.2">
      <c r="A10" t="s">
        <v>346</v>
      </c>
      <c r="B10" t="s">
        <v>111</v>
      </c>
      <c r="C10" t="s">
        <v>540</v>
      </c>
      <c r="D10" t="s">
        <v>111</v>
      </c>
      <c r="I10" t="s">
        <v>113</v>
      </c>
      <c r="K10" t="s">
        <v>356</v>
      </c>
      <c r="M10" t="s">
        <v>118</v>
      </c>
      <c r="N10" t="s">
        <v>106</v>
      </c>
      <c r="O10" t="s">
        <v>110</v>
      </c>
      <c r="S10" t="s">
        <v>150</v>
      </c>
      <c r="T10" t="s">
        <v>448</v>
      </c>
      <c r="U10" t="s">
        <v>210</v>
      </c>
      <c r="V10" t="s">
        <v>54</v>
      </c>
      <c r="W10" t="s">
        <v>151</v>
      </c>
      <c r="X10" t="s">
        <v>152</v>
      </c>
      <c r="Y10" t="s">
        <v>211</v>
      </c>
      <c r="Z10" t="s">
        <v>153</v>
      </c>
      <c r="AB10" t="s">
        <v>154</v>
      </c>
      <c r="AC10" t="s">
        <v>212</v>
      </c>
      <c r="AD10" t="s">
        <v>207</v>
      </c>
      <c r="AE10" t="s">
        <v>309</v>
      </c>
      <c r="AF10" t="s">
        <v>310</v>
      </c>
      <c r="AG10" t="s">
        <v>311</v>
      </c>
      <c r="AH10" t="s">
        <v>312</v>
      </c>
      <c r="AI10" t="s">
        <v>313</v>
      </c>
      <c r="AJ10" t="s">
        <v>314</v>
      </c>
      <c r="AK10" t="s">
        <v>315</v>
      </c>
      <c r="AL10" t="s">
        <v>316</v>
      </c>
      <c r="AM10" t="s">
        <v>317</v>
      </c>
      <c r="AN10" t="s">
        <v>318</v>
      </c>
      <c r="AO10" t="s">
        <v>54</v>
      </c>
      <c r="AP10" t="s">
        <v>319</v>
      </c>
      <c r="AQ10" t="s">
        <v>320</v>
      </c>
      <c r="AR10" t="s">
        <v>321</v>
      </c>
      <c r="AS10" t="s">
        <v>322</v>
      </c>
      <c r="AT10" t="s">
        <v>323</v>
      </c>
      <c r="AU10" t="s">
        <v>324</v>
      </c>
      <c r="AV10" t="s">
        <v>325</v>
      </c>
      <c r="AW10" t="s">
        <v>328</v>
      </c>
      <c r="AX10" t="s">
        <v>326</v>
      </c>
      <c r="AY10" t="s">
        <v>327</v>
      </c>
      <c r="AZ10" t="s">
        <v>336</v>
      </c>
      <c r="BA10" t="s">
        <v>330</v>
      </c>
      <c r="BB10" t="s">
        <v>331</v>
      </c>
      <c r="BC10" t="s">
        <v>332</v>
      </c>
      <c r="BD10" t="s">
        <v>290</v>
      </c>
      <c r="BE10" t="s">
        <v>292</v>
      </c>
      <c r="BF10" t="s">
        <v>291</v>
      </c>
      <c r="BG10" t="s">
        <v>335</v>
      </c>
      <c r="BH10" t="s">
        <v>333</v>
      </c>
      <c r="BI10" t="s">
        <v>334</v>
      </c>
      <c r="BJ10" t="s">
        <v>155</v>
      </c>
      <c r="BK10" t="s">
        <v>156</v>
      </c>
      <c r="BL10" t="s">
        <v>164</v>
      </c>
    </row>
    <row r="11" spans="1:64" x14ac:dyDescent="0.2">
      <c r="A11" t="s">
        <v>347</v>
      </c>
      <c r="B11" t="s">
        <v>111</v>
      </c>
      <c r="C11" t="s">
        <v>540</v>
      </c>
      <c r="D11" t="s">
        <v>111</v>
      </c>
      <c r="I11" t="s">
        <v>113</v>
      </c>
      <c r="K11" t="s">
        <v>356</v>
      </c>
      <c r="M11" t="s">
        <v>118</v>
      </c>
      <c r="N11" t="s">
        <v>106</v>
      </c>
      <c r="O11" t="s">
        <v>110</v>
      </c>
      <c r="S11" t="s">
        <v>150</v>
      </c>
      <c r="T11" t="s">
        <v>448</v>
      </c>
      <c r="U11" t="s">
        <v>210</v>
      </c>
      <c r="V11" t="s">
        <v>54</v>
      </c>
      <c r="W11" t="s">
        <v>151</v>
      </c>
      <c r="X11" t="s">
        <v>152</v>
      </c>
      <c r="Y11" t="s">
        <v>211</v>
      </c>
      <c r="Z11" t="s">
        <v>153</v>
      </c>
      <c r="AB11" t="s">
        <v>154</v>
      </c>
      <c r="AC11" t="s">
        <v>212</v>
      </c>
      <c r="AD11" t="s">
        <v>207</v>
      </c>
      <c r="AE11" t="s">
        <v>309</v>
      </c>
      <c r="AF11" t="s">
        <v>310</v>
      </c>
      <c r="AG11" t="s">
        <v>311</v>
      </c>
      <c r="AH11" t="s">
        <v>312</v>
      </c>
      <c r="AI11" t="s">
        <v>313</v>
      </c>
      <c r="AJ11" t="s">
        <v>314</v>
      </c>
      <c r="AK11" t="s">
        <v>315</v>
      </c>
      <c r="AL11" t="s">
        <v>316</v>
      </c>
      <c r="AM11" t="s">
        <v>317</v>
      </c>
      <c r="AN11" t="s">
        <v>318</v>
      </c>
      <c r="AO11" t="s">
        <v>54</v>
      </c>
      <c r="AP11" t="s">
        <v>319</v>
      </c>
      <c r="AQ11" t="s">
        <v>320</v>
      </c>
      <c r="AR11" t="s">
        <v>321</v>
      </c>
      <c r="AS11" t="s">
        <v>322</v>
      </c>
      <c r="AT11" t="s">
        <v>323</v>
      </c>
      <c r="AU11" t="s">
        <v>324</v>
      </c>
      <c r="AV11" t="s">
        <v>325</v>
      </c>
      <c r="AW11" t="s">
        <v>328</v>
      </c>
      <c r="AX11" t="s">
        <v>326</v>
      </c>
      <c r="AY11" t="s">
        <v>327</v>
      </c>
      <c r="AZ11" t="s">
        <v>336</v>
      </c>
      <c r="BA11" t="s">
        <v>330</v>
      </c>
      <c r="BB11" t="s">
        <v>331</v>
      </c>
      <c r="BC11" t="s">
        <v>332</v>
      </c>
      <c r="BD11" t="s">
        <v>290</v>
      </c>
      <c r="BE11" t="s">
        <v>292</v>
      </c>
      <c r="BF11" t="s">
        <v>291</v>
      </c>
      <c r="BG11" t="s">
        <v>335</v>
      </c>
      <c r="BH11" t="s">
        <v>333</v>
      </c>
      <c r="BI11" t="s">
        <v>334</v>
      </c>
      <c r="BJ11" t="s">
        <v>155</v>
      </c>
      <c r="BK11" t="s">
        <v>156</v>
      </c>
      <c r="BL11" t="s">
        <v>164</v>
      </c>
    </row>
    <row r="12" spans="1:64" x14ac:dyDescent="0.2">
      <c r="A12" t="s">
        <v>348</v>
      </c>
      <c r="B12" t="s">
        <v>111</v>
      </c>
      <c r="C12" t="s">
        <v>540</v>
      </c>
      <c r="D12" t="s">
        <v>111</v>
      </c>
      <c r="I12" t="s">
        <v>113</v>
      </c>
      <c r="K12" t="s">
        <v>356</v>
      </c>
      <c r="M12" t="s">
        <v>118</v>
      </c>
      <c r="N12" t="s">
        <v>106</v>
      </c>
      <c r="O12" t="s">
        <v>110</v>
      </c>
      <c r="S12" t="s">
        <v>150</v>
      </c>
      <c r="T12" t="s">
        <v>448</v>
      </c>
      <c r="U12" t="s">
        <v>210</v>
      </c>
      <c r="V12" t="s">
        <v>54</v>
      </c>
      <c r="W12" t="s">
        <v>151</v>
      </c>
      <c r="X12" t="s">
        <v>152</v>
      </c>
      <c r="Y12" t="s">
        <v>211</v>
      </c>
      <c r="Z12" t="s">
        <v>153</v>
      </c>
      <c r="AB12" t="s">
        <v>154</v>
      </c>
      <c r="AC12" t="s">
        <v>212</v>
      </c>
      <c r="AD12" t="s">
        <v>207</v>
      </c>
      <c r="AE12" t="s">
        <v>309</v>
      </c>
      <c r="AF12" t="s">
        <v>310</v>
      </c>
      <c r="AG12" t="s">
        <v>311</v>
      </c>
      <c r="AH12" t="s">
        <v>312</v>
      </c>
      <c r="AI12" t="s">
        <v>313</v>
      </c>
      <c r="AJ12" t="s">
        <v>314</v>
      </c>
      <c r="AK12" t="s">
        <v>315</v>
      </c>
      <c r="AL12" t="s">
        <v>316</v>
      </c>
      <c r="AM12" t="s">
        <v>317</v>
      </c>
      <c r="AN12" t="s">
        <v>318</v>
      </c>
      <c r="AO12" t="s">
        <v>54</v>
      </c>
      <c r="AP12" t="s">
        <v>319</v>
      </c>
      <c r="AQ12" t="s">
        <v>320</v>
      </c>
      <c r="AR12" t="s">
        <v>321</v>
      </c>
      <c r="AS12" t="s">
        <v>322</v>
      </c>
      <c r="AT12" t="s">
        <v>323</v>
      </c>
      <c r="AU12" t="s">
        <v>324</v>
      </c>
      <c r="AV12" t="s">
        <v>325</v>
      </c>
      <c r="AW12" t="s">
        <v>328</v>
      </c>
      <c r="AX12" t="s">
        <v>326</v>
      </c>
      <c r="AY12" t="s">
        <v>327</v>
      </c>
      <c r="AZ12" t="s">
        <v>336</v>
      </c>
      <c r="BA12" t="s">
        <v>330</v>
      </c>
      <c r="BB12" t="s">
        <v>331</v>
      </c>
      <c r="BC12" t="s">
        <v>332</v>
      </c>
      <c r="BD12" t="s">
        <v>290</v>
      </c>
      <c r="BE12" t="s">
        <v>292</v>
      </c>
      <c r="BF12" t="s">
        <v>291</v>
      </c>
      <c r="BG12" t="s">
        <v>335</v>
      </c>
      <c r="BH12" t="s">
        <v>333</v>
      </c>
      <c r="BI12" t="s">
        <v>334</v>
      </c>
      <c r="BJ12" t="s">
        <v>155</v>
      </c>
      <c r="BK12" t="s">
        <v>156</v>
      </c>
      <c r="BL12" t="s">
        <v>164</v>
      </c>
    </row>
    <row r="13" spans="1:64" x14ac:dyDescent="0.2">
      <c r="A13" t="s">
        <v>375</v>
      </c>
      <c r="B13" t="s">
        <v>111</v>
      </c>
      <c r="C13" t="s">
        <v>540</v>
      </c>
      <c r="D13" t="s">
        <v>111</v>
      </c>
      <c r="I13" t="s">
        <v>113</v>
      </c>
      <c r="K13" t="s">
        <v>356</v>
      </c>
      <c r="M13" t="s">
        <v>118</v>
      </c>
      <c r="N13" t="s">
        <v>106</v>
      </c>
      <c r="O13" t="s">
        <v>110</v>
      </c>
      <c r="S13" t="s">
        <v>150</v>
      </c>
      <c r="T13" t="s">
        <v>448</v>
      </c>
      <c r="U13" t="s">
        <v>210</v>
      </c>
      <c r="V13" t="s">
        <v>54</v>
      </c>
      <c r="W13" t="s">
        <v>151</v>
      </c>
      <c r="X13" t="s">
        <v>152</v>
      </c>
      <c r="Y13" t="s">
        <v>211</v>
      </c>
      <c r="Z13" t="s">
        <v>153</v>
      </c>
      <c r="AB13" t="s">
        <v>154</v>
      </c>
      <c r="AC13" t="s">
        <v>212</v>
      </c>
      <c r="AD13" t="s">
        <v>207</v>
      </c>
      <c r="AE13" t="s">
        <v>309</v>
      </c>
      <c r="AF13" t="s">
        <v>310</v>
      </c>
      <c r="AG13" t="s">
        <v>311</v>
      </c>
      <c r="AH13" t="s">
        <v>312</v>
      </c>
      <c r="AI13" t="s">
        <v>313</v>
      </c>
      <c r="AJ13" t="s">
        <v>314</v>
      </c>
      <c r="AK13" t="s">
        <v>315</v>
      </c>
      <c r="AL13" t="s">
        <v>316</v>
      </c>
      <c r="AM13" t="s">
        <v>317</v>
      </c>
      <c r="AN13" t="s">
        <v>318</v>
      </c>
      <c r="AO13" t="s">
        <v>54</v>
      </c>
      <c r="AP13" t="s">
        <v>319</v>
      </c>
      <c r="AQ13" t="s">
        <v>320</v>
      </c>
      <c r="AR13" t="s">
        <v>321</v>
      </c>
      <c r="AS13" t="s">
        <v>322</v>
      </c>
      <c r="AT13" t="s">
        <v>323</v>
      </c>
      <c r="AU13" t="s">
        <v>324</v>
      </c>
      <c r="AV13" t="s">
        <v>325</v>
      </c>
      <c r="AW13" t="s">
        <v>328</v>
      </c>
      <c r="AX13" t="s">
        <v>326</v>
      </c>
      <c r="AY13" t="s">
        <v>327</v>
      </c>
      <c r="AZ13" t="s">
        <v>336</v>
      </c>
      <c r="BA13" t="s">
        <v>330</v>
      </c>
      <c r="BB13" t="s">
        <v>331</v>
      </c>
      <c r="BC13" t="s">
        <v>332</v>
      </c>
      <c r="BD13" t="s">
        <v>290</v>
      </c>
      <c r="BE13" t="s">
        <v>292</v>
      </c>
      <c r="BF13" t="s">
        <v>291</v>
      </c>
      <c r="BG13" t="s">
        <v>335</v>
      </c>
      <c r="BH13" t="s">
        <v>333</v>
      </c>
      <c r="BI13" t="s">
        <v>334</v>
      </c>
      <c r="BJ13" t="s">
        <v>155</v>
      </c>
      <c r="BK13" t="s">
        <v>156</v>
      </c>
      <c r="BL13" t="s">
        <v>164</v>
      </c>
    </row>
    <row r="14" spans="1:64" x14ac:dyDescent="0.2">
      <c r="A14" t="s">
        <v>376</v>
      </c>
      <c r="B14" t="s">
        <v>111</v>
      </c>
      <c r="C14" t="s">
        <v>540</v>
      </c>
      <c r="D14" t="s">
        <v>111</v>
      </c>
      <c r="I14" t="s">
        <v>113</v>
      </c>
      <c r="K14" t="s">
        <v>356</v>
      </c>
      <c r="M14" t="s">
        <v>118</v>
      </c>
      <c r="N14" t="s">
        <v>106</v>
      </c>
      <c r="O14" t="s">
        <v>110</v>
      </c>
      <c r="S14" t="s">
        <v>150</v>
      </c>
      <c r="T14" t="s">
        <v>448</v>
      </c>
      <c r="U14" t="s">
        <v>210</v>
      </c>
      <c r="V14" t="s">
        <v>54</v>
      </c>
      <c r="W14" t="s">
        <v>151</v>
      </c>
      <c r="X14" t="s">
        <v>152</v>
      </c>
      <c r="Y14" t="s">
        <v>211</v>
      </c>
      <c r="Z14" t="s">
        <v>153</v>
      </c>
      <c r="AB14" t="s">
        <v>154</v>
      </c>
      <c r="AC14" t="s">
        <v>212</v>
      </c>
      <c r="AD14" t="s">
        <v>207</v>
      </c>
      <c r="AE14" t="s">
        <v>309</v>
      </c>
      <c r="AF14" t="s">
        <v>310</v>
      </c>
      <c r="AG14" t="s">
        <v>311</v>
      </c>
      <c r="AH14" t="s">
        <v>312</v>
      </c>
      <c r="AI14" t="s">
        <v>313</v>
      </c>
      <c r="AJ14" t="s">
        <v>314</v>
      </c>
      <c r="AK14" t="s">
        <v>315</v>
      </c>
      <c r="AL14" t="s">
        <v>316</v>
      </c>
      <c r="AM14" t="s">
        <v>317</v>
      </c>
      <c r="AN14" t="s">
        <v>318</v>
      </c>
      <c r="AO14" t="s">
        <v>54</v>
      </c>
      <c r="AP14" t="s">
        <v>319</v>
      </c>
      <c r="AQ14" t="s">
        <v>320</v>
      </c>
      <c r="AR14" t="s">
        <v>321</v>
      </c>
      <c r="AS14" t="s">
        <v>322</v>
      </c>
      <c r="AT14" t="s">
        <v>323</v>
      </c>
      <c r="AU14" t="s">
        <v>324</v>
      </c>
      <c r="AV14" t="s">
        <v>325</v>
      </c>
      <c r="AW14" t="s">
        <v>328</v>
      </c>
      <c r="AX14" t="s">
        <v>326</v>
      </c>
      <c r="AY14" t="s">
        <v>327</v>
      </c>
      <c r="AZ14" t="s">
        <v>336</v>
      </c>
      <c r="BA14" t="s">
        <v>330</v>
      </c>
      <c r="BB14" t="s">
        <v>331</v>
      </c>
      <c r="BC14" t="s">
        <v>332</v>
      </c>
      <c r="BD14" t="s">
        <v>290</v>
      </c>
      <c r="BE14" t="s">
        <v>292</v>
      </c>
      <c r="BF14" t="s">
        <v>291</v>
      </c>
      <c r="BG14" t="s">
        <v>335</v>
      </c>
      <c r="BH14" t="s">
        <v>333</v>
      </c>
      <c r="BI14" t="s">
        <v>334</v>
      </c>
      <c r="BJ14" t="s">
        <v>155</v>
      </c>
      <c r="BK14" t="s">
        <v>156</v>
      </c>
      <c r="BL14" t="s">
        <v>164</v>
      </c>
    </row>
    <row r="15" spans="1:64" x14ac:dyDescent="0.2">
      <c r="A15" t="s">
        <v>377</v>
      </c>
      <c r="B15" t="s">
        <v>111</v>
      </c>
      <c r="C15" t="s">
        <v>540</v>
      </c>
      <c r="D15" t="s">
        <v>111</v>
      </c>
      <c r="I15" t="s">
        <v>113</v>
      </c>
      <c r="K15" t="s">
        <v>356</v>
      </c>
      <c r="M15" t="s">
        <v>118</v>
      </c>
      <c r="N15" t="s">
        <v>106</v>
      </c>
      <c r="O15" t="s">
        <v>110</v>
      </c>
      <c r="S15" t="s">
        <v>150</v>
      </c>
      <c r="T15" t="s">
        <v>448</v>
      </c>
      <c r="U15" t="s">
        <v>210</v>
      </c>
      <c r="V15" t="s">
        <v>54</v>
      </c>
      <c r="W15" t="s">
        <v>151</v>
      </c>
      <c r="X15" t="s">
        <v>152</v>
      </c>
      <c r="Y15" t="s">
        <v>211</v>
      </c>
      <c r="Z15" t="s">
        <v>153</v>
      </c>
      <c r="AB15" t="s">
        <v>154</v>
      </c>
      <c r="AC15" t="s">
        <v>212</v>
      </c>
      <c r="AD15" t="s">
        <v>207</v>
      </c>
      <c r="AE15" t="s">
        <v>309</v>
      </c>
      <c r="AF15" t="s">
        <v>310</v>
      </c>
      <c r="AG15" t="s">
        <v>311</v>
      </c>
      <c r="AH15" t="s">
        <v>312</v>
      </c>
      <c r="AI15" t="s">
        <v>313</v>
      </c>
      <c r="AJ15" t="s">
        <v>314</v>
      </c>
      <c r="AK15" t="s">
        <v>315</v>
      </c>
      <c r="AL15" t="s">
        <v>316</v>
      </c>
      <c r="AM15" t="s">
        <v>317</v>
      </c>
      <c r="AN15" t="s">
        <v>318</v>
      </c>
      <c r="AO15" t="s">
        <v>54</v>
      </c>
      <c r="AP15" t="s">
        <v>319</v>
      </c>
      <c r="AQ15" t="s">
        <v>320</v>
      </c>
      <c r="AR15" t="s">
        <v>321</v>
      </c>
      <c r="AS15" t="s">
        <v>322</v>
      </c>
      <c r="AT15" t="s">
        <v>323</v>
      </c>
      <c r="AU15" t="s">
        <v>324</v>
      </c>
      <c r="AV15" t="s">
        <v>325</v>
      </c>
      <c r="AW15" t="s">
        <v>328</v>
      </c>
      <c r="AX15" t="s">
        <v>326</v>
      </c>
      <c r="AY15" t="s">
        <v>327</v>
      </c>
      <c r="AZ15" t="s">
        <v>336</v>
      </c>
      <c r="BA15" t="s">
        <v>330</v>
      </c>
      <c r="BB15" t="s">
        <v>331</v>
      </c>
      <c r="BC15" t="s">
        <v>332</v>
      </c>
      <c r="BD15" t="s">
        <v>290</v>
      </c>
      <c r="BE15" t="s">
        <v>292</v>
      </c>
      <c r="BF15" t="s">
        <v>291</v>
      </c>
      <c r="BG15" t="s">
        <v>335</v>
      </c>
      <c r="BH15" t="s">
        <v>333</v>
      </c>
      <c r="BI15" t="s">
        <v>334</v>
      </c>
      <c r="BJ15" t="s">
        <v>155</v>
      </c>
      <c r="BK15" t="s">
        <v>156</v>
      </c>
      <c r="BL15" t="s">
        <v>164</v>
      </c>
    </row>
    <row r="16" spans="1:64" x14ac:dyDescent="0.2">
      <c r="A16" t="s">
        <v>337</v>
      </c>
      <c r="B16" t="s">
        <v>111</v>
      </c>
      <c r="C16" t="s">
        <v>540</v>
      </c>
      <c r="D16" t="s">
        <v>111</v>
      </c>
      <c r="I16" t="s">
        <v>113</v>
      </c>
      <c r="K16" t="s">
        <v>451</v>
      </c>
      <c r="M16" t="s">
        <v>118</v>
      </c>
      <c r="N16" t="s">
        <v>106</v>
      </c>
      <c r="O16" t="s">
        <v>110</v>
      </c>
      <c r="S16" t="s">
        <v>150</v>
      </c>
      <c r="T16" t="s">
        <v>448</v>
      </c>
      <c r="U16" t="s">
        <v>210</v>
      </c>
      <c r="V16" t="s">
        <v>54</v>
      </c>
      <c r="W16" t="s">
        <v>151</v>
      </c>
      <c r="X16" t="s">
        <v>152</v>
      </c>
      <c r="Y16" t="s">
        <v>211</v>
      </c>
      <c r="Z16" t="s">
        <v>153</v>
      </c>
      <c r="AB16" t="s">
        <v>154</v>
      </c>
      <c r="AC16" t="s">
        <v>212</v>
      </c>
      <c r="AD16" t="s">
        <v>207</v>
      </c>
      <c r="AE16" t="s">
        <v>309</v>
      </c>
      <c r="AF16" t="s">
        <v>310</v>
      </c>
      <c r="AG16" t="s">
        <v>311</v>
      </c>
      <c r="AH16" t="s">
        <v>312</v>
      </c>
      <c r="AI16" t="s">
        <v>313</v>
      </c>
      <c r="AJ16" t="s">
        <v>314</v>
      </c>
      <c r="AK16" t="s">
        <v>315</v>
      </c>
      <c r="AL16" t="s">
        <v>316</v>
      </c>
      <c r="AM16" t="s">
        <v>317</v>
      </c>
      <c r="AN16" t="s">
        <v>318</v>
      </c>
      <c r="AO16" t="s">
        <v>54</v>
      </c>
      <c r="AP16" t="s">
        <v>319</v>
      </c>
      <c r="AQ16" t="s">
        <v>320</v>
      </c>
      <c r="AR16" t="s">
        <v>321</v>
      </c>
      <c r="AS16" t="s">
        <v>322</v>
      </c>
      <c r="AT16" t="s">
        <v>323</v>
      </c>
      <c r="AU16" t="s">
        <v>324</v>
      </c>
      <c r="AV16" t="s">
        <v>325</v>
      </c>
      <c r="AW16" t="s">
        <v>328</v>
      </c>
      <c r="AX16" t="s">
        <v>326</v>
      </c>
      <c r="AY16" t="s">
        <v>327</v>
      </c>
      <c r="AZ16" t="s">
        <v>336</v>
      </c>
      <c r="BA16" t="s">
        <v>330</v>
      </c>
      <c r="BB16" t="s">
        <v>331</v>
      </c>
      <c r="BC16" t="s">
        <v>332</v>
      </c>
      <c r="BD16" t="s">
        <v>290</v>
      </c>
      <c r="BE16" t="s">
        <v>292</v>
      </c>
      <c r="BF16" t="s">
        <v>291</v>
      </c>
      <c r="BG16" t="s">
        <v>335</v>
      </c>
      <c r="BH16" t="s">
        <v>333</v>
      </c>
      <c r="BI16" t="s">
        <v>334</v>
      </c>
      <c r="BJ16" t="s">
        <v>155</v>
      </c>
      <c r="BK16" t="s">
        <v>156</v>
      </c>
      <c r="BL16" t="s">
        <v>164</v>
      </c>
    </row>
    <row r="17" spans="1:64" x14ac:dyDescent="0.2">
      <c r="A17" t="s">
        <v>338</v>
      </c>
      <c r="B17" t="s">
        <v>111</v>
      </c>
      <c r="C17" t="s">
        <v>540</v>
      </c>
      <c r="D17" t="s">
        <v>111</v>
      </c>
      <c r="I17" t="s">
        <v>113</v>
      </c>
      <c r="K17" t="s">
        <v>451</v>
      </c>
      <c r="M17" t="s">
        <v>118</v>
      </c>
      <c r="N17" t="s">
        <v>106</v>
      </c>
      <c r="O17" t="s">
        <v>110</v>
      </c>
      <c r="S17" t="s">
        <v>150</v>
      </c>
      <c r="T17" t="s">
        <v>448</v>
      </c>
      <c r="U17" t="s">
        <v>210</v>
      </c>
      <c r="V17" t="s">
        <v>54</v>
      </c>
      <c r="W17" t="s">
        <v>151</v>
      </c>
      <c r="X17" t="s">
        <v>152</v>
      </c>
      <c r="Y17" t="s">
        <v>211</v>
      </c>
      <c r="Z17" t="s">
        <v>153</v>
      </c>
      <c r="AB17" t="s">
        <v>154</v>
      </c>
      <c r="AC17" t="s">
        <v>212</v>
      </c>
      <c r="AD17" t="s">
        <v>207</v>
      </c>
      <c r="AE17" t="s">
        <v>309</v>
      </c>
      <c r="AF17" t="s">
        <v>310</v>
      </c>
      <c r="AG17" t="s">
        <v>311</v>
      </c>
      <c r="AH17" t="s">
        <v>312</v>
      </c>
      <c r="AI17" t="s">
        <v>313</v>
      </c>
      <c r="AJ17" t="s">
        <v>314</v>
      </c>
      <c r="AK17" t="s">
        <v>315</v>
      </c>
      <c r="AL17" t="s">
        <v>316</v>
      </c>
      <c r="AM17" t="s">
        <v>317</v>
      </c>
      <c r="AN17" t="s">
        <v>318</v>
      </c>
      <c r="AO17" t="s">
        <v>54</v>
      </c>
      <c r="AP17" t="s">
        <v>319</v>
      </c>
      <c r="AQ17" t="s">
        <v>320</v>
      </c>
      <c r="AR17" t="s">
        <v>321</v>
      </c>
      <c r="AS17" t="s">
        <v>322</v>
      </c>
      <c r="AT17" t="s">
        <v>323</v>
      </c>
      <c r="AU17" t="s">
        <v>324</v>
      </c>
      <c r="AV17" t="s">
        <v>325</v>
      </c>
      <c r="AW17" t="s">
        <v>328</v>
      </c>
      <c r="AX17" t="s">
        <v>326</v>
      </c>
      <c r="AY17" t="s">
        <v>327</v>
      </c>
      <c r="AZ17" t="s">
        <v>336</v>
      </c>
      <c r="BA17" t="s">
        <v>330</v>
      </c>
      <c r="BB17" t="s">
        <v>331</v>
      </c>
      <c r="BC17" t="s">
        <v>332</v>
      </c>
      <c r="BD17" t="s">
        <v>290</v>
      </c>
      <c r="BE17" t="s">
        <v>292</v>
      </c>
      <c r="BF17" t="s">
        <v>291</v>
      </c>
      <c r="BG17" t="s">
        <v>335</v>
      </c>
      <c r="BH17" t="s">
        <v>333</v>
      </c>
      <c r="BI17" t="s">
        <v>334</v>
      </c>
      <c r="BJ17" t="s">
        <v>155</v>
      </c>
      <c r="BK17" t="s">
        <v>156</v>
      </c>
      <c r="BL17" t="s">
        <v>164</v>
      </c>
    </row>
    <row r="18" spans="1:64" x14ac:dyDescent="0.2">
      <c r="A18" t="s">
        <v>339</v>
      </c>
      <c r="B18" t="s">
        <v>111</v>
      </c>
      <c r="C18" t="s">
        <v>540</v>
      </c>
      <c r="D18" t="s">
        <v>111</v>
      </c>
      <c r="I18" t="s">
        <v>113</v>
      </c>
      <c r="K18" t="s">
        <v>451</v>
      </c>
      <c r="M18" t="s">
        <v>118</v>
      </c>
      <c r="N18" t="s">
        <v>106</v>
      </c>
      <c r="O18" t="s">
        <v>110</v>
      </c>
      <c r="S18" t="s">
        <v>150</v>
      </c>
      <c r="T18" t="s">
        <v>448</v>
      </c>
      <c r="U18" t="s">
        <v>210</v>
      </c>
      <c r="V18" t="s">
        <v>54</v>
      </c>
      <c r="W18" t="s">
        <v>151</v>
      </c>
      <c r="X18" t="s">
        <v>152</v>
      </c>
      <c r="Y18" t="s">
        <v>211</v>
      </c>
      <c r="Z18" t="s">
        <v>153</v>
      </c>
      <c r="AB18" t="s">
        <v>154</v>
      </c>
      <c r="AC18" t="s">
        <v>212</v>
      </c>
      <c r="AD18" t="s">
        <v>207</v>
      </c>
      <c r="AE18" t="s">
        <v>309</v>
      </c>
      <c r="AF18" t="s">
        <v>310</v>
      </c>
      <c r="AG18" t="s">
        <v>311</v>
      </c>
      <c r="AH18" t="s">
        <v>312</v>
      </c>
      <c r="AI18" t="s">
        <v>313</v>
      </c>
      <c r="AJ18" t="s">
        <v>314</v>
      </c>
      <c r="AK18" t="s">
        <v>315</v>
      </c>
      <c r="AL18" t="s">
        <v>316</v>
      </c>
      <c r="AM18" t="s">
        <v>317</v>
      </c>
      <c r="AN18" t="s">
        <v>318</v>
      </c>
      <c r="AO18" t="s">
        <v>54</v>
      </c>
      <c r="AP18" t="s">
        <v>319</v>
      </c>
      <c r="AQ18" t="s">
        <v>320</v>
      </c>
      <c r="AR18" t="s">
        <v>321</v>
      </c>
      <c r="AS18" t="s">
        <v>322</v>
      </c>
      <c r="AT18" t="s">
        <v>323</v>
      </c>
      <c r="AU18" t="s">
        <v>324</v>
      </c>
      <c r="AV18" t="s">
        <v>325</v>
      </c>
      <c r="AW18" t="s">
        <v>328</v>
      </c>
      <c r="AX18" t="s">
        <v>326</v>
      </c>
      <c r="AY18" t="s">
        <v>327</v>
      </c>
      <c r="AZ18" t="s">
        <v>336</v>
      </c>
      <c r="BA18" t="s">
        <v>330</v>
      </c>
      <c r="BB18" t="s">
        <v>331</v>
      </c>
      <c r="BC18" t="s">
        <v>332</v>
      </c>
      <c r="BD18" t="s">
        <v>290</v>
      </c>
      <c r="BE18" t="s">
        <v>292</v>
      </c>
      <c r="BF18" t="s">
        <v>291</v>
      </c>
      <c r="BG18" t="s">
        <v>335</v>
      </c>
      <c r="BH18" t="s">
        <v>333</v>
      </c>
      <c r="BI18" t="s">
        <v>334</v>
      </c>
      <c r="BJ18" t="s">
        <v>155</v>
      </c>
      <c r="BK18" t="s">
        <v>156</v>
      </c>
      <c r="BL18" t="s">
        <v>164</v>
      </c>
    </row>
    <row r="19" spans="1:64" x14ac:dyDescent="0.2">
      <c r="A19" t="s">
        <v>653</v>
      </c>
      <c r="B19" t="s">
        <v>187</v>
      </c>
      <c r="C19" t="s">
        <v>540</v>
      </c>
      <c r="D19" t="s">
        <v>187</v>
      </c>
      <c r="E19" t="s">
        <v>186</v>
      </c>
      <c r="F19" t="s">
        <v>541</v>
      </c>
      <c r="G19" t="s">
        <v>543</v>
      </c>
      <c r="J19" t="s">
        <v>185</v>
      </c>
      <c r="L19" t="s">
        <v>97</v>
      </c>
      <c r="M19" t="s">
        <v>188</v>
      </c>
      <c r="N19" t="s">
        <v>106</v>
      </c>
      <c r="O19" t="s">
        <v>110</v>
      </c>
      <c r="P19" t="s">
        <v>149</v>
      </c>
      <c r="Q19" t="s">
        <v>149</v>
      </c>
      <c r="R19" t="s">
        <v>143</v>
      </c>
      <c r="S19" t="s">
        <v>150</v>
      </c>
      <c r="T19" t="s">
        <v>448</v>
      </c>
      <c r="U19" t="s">
        <v>210</v>
      </c>
      <c r="V19" t="s">
        <v>54</v>
      </c>
      <c r="W19" t="s">
        <v>151</v>
      </c>
      <c r="X19" t="s">
        <v>152</v>
      </c>
      <c r="Y19" t="s">
        <v>211</v>
      </c>
      <c r="Z19" t="s">
        <v>153</v>
      </c>
      <c r="AB19" t="s">
        <v>154</v>
      </c>
      <c r="AC19" t="s">
        <v>212</v>
      </c>
      <c r="AD19" t="s">
        <v>207</v>
      </c>
      <c r="AE19" t="s">
        <v>309</v>
      </c>
      <c r="AF19" t="s">
        <v>310</v>
      </c>
      <c r="AG19" t="s">
        <v>311</v>
      </c>
      <c r="AH19" t="s">
        <v>312</v>
      </c>
      <c r="AI19" t="s">
        <v>313</v>
      </c>
      <c r="AJ19" t="s">
        <v>314</v>
      </c>
      <c r="AK19" t="s">
        <v>315</v>
      </c>
      <c r="AL19" t="s">
        <v>316</v>
      </c>
      <c r="AM19" t="s">
        <v>317</v>
      </c>
      <c r="AN19" t="s">
        <v>318</v>
      </c>
      <c r="AO19" t="s">
        <v>54</v>
      </c>
      <c r="AP19" t="s">
        <v>319</v>
      </c>
      <c r="AQ19" t="s">
        <v>320</v>
      </c>
      <c r="AR19" t="s">
        <v>321</v>
      </c>
      <c r="AS19" t="s">
        <v>322</v>
      </c>
      <c r="AT19" t="s">
        <v>323</v>
      </c>
      <c r="AU19" t="s">
        <v>324</v>
      </c>
      <c r="AV19" t="s">
        <v>325</v>
      </c>
      <c r="AW19" t="s">
        <v>328</v>
      </c>
      <c r="AX19" t="s">
        <v>326</v>
      </c>
      <c r="AY19" t="s">
        <v>327</v>
      </c>
      <c r="AZ19" t="s">
        <v>336</v>
      </c>
      <c r="BA19" t="s">
        <v>330</v>
      </c>
      <c r="BB19" t="s">
        <v>331</v>
      </c>
      <c r="BC19" t="s">
        <v>332</v>
      </c>
      <c r="BD19" t="s">
        <v>290</v>
      </c>
      <c r="BE19" t="s">
        <v>292</v>
      </c>
      <c r="BF19" t="s">
        <v>291</v>
      </c>
      <c r="BG19" t="s">
        <v>335</v>
      </c>
      <c r="BH19" t="s">
        <v>333</v>
      </c>
      <c r="BI19" t="s">
        <v>334</v>
      </c>
      <c r="BJ19" t="s">
        <v>155</v>
      </c>
      <c r="BK19" t="s">
        <v>156</v>
      </c>
      <c r="BL19" t="s">
        <v>164</v>
      </c>
    </row>
    <row r="20" spans="1:64" x14ac:dyDescent="0.2">
      <c r="A20" t="s">
        <v>654</v>
      </c>
      <c r="B20" t="s">
        <v>187</v>
      </c>
      <c r="C20" t="s">
        <v>540</v>
      </c>
      <c r="D20" t="s">
        <v>187</v>
      </c>
      <c r="E20" t="s">
        <v>186</v>
      </c>
      <c r="F20" t="s">
        <v>541</v>
      </c>
      <c r="G20" t="s">
        <v>543</v>
      </c>
      <c r="J20" t="s">
        <v>185</v>
      </c>
      <c r="L20" t="s">
        <v>97</v>
      </c>
      <c r="M20" t="s">
        <v>188</v>
      </c>
      <c r="N20" t="s">
        <v>106</v>
      </c>
      <c r="O20" t="s">
        <v>110</v>
      </c>
      <c r="P20" t="s">
        <v>149</v>
      </c>
      <c r="Q20" t="s">
        <v>149</v>
      </c>
      <c r="R20" t="s">
        <v>143</v>
      </c>
      <c r="S20" t="s">
        <v>150</v>
      </c>
      <c r="T20" t="s">
        <v>448</v>
      </c>
      <c r="U20" t="s">
        <v>210</v>
      </c>
      <c r="V20" t="s">
        <v>54</v>
      </c>
      <c r="W20" t="s">
        <v>151</v>
      </c>
      <c r="X20" t="s">
        <v>152</v>
      </c>
      <c r="Y20" t="s">
        <v>211</v>
      </c>
      <c r="Z20" t="s">
        <v>153</v>
      </c>
      <c r="AB20" t="s">
        <v>154</v>
      </c>
      <c r="AC20" t="s">
        <v>212</v>
      </c>
      <c r="AD20" t="s">
        <v>207</v>
      </c>
      <c r="AE20" t="s">
        <v>309</v>
      </c>
      <c r="AF20" t="s">
        <v>310</v>
      </c>
      <c r="AG20" t="s">
        <v>311</v>
      </c>
      <c r="AH20" t="s">
        <v>312</v>
      </c>
      <c r="AI20" t="s">
        <v>313</v>
      </c>
      <c r="AJ20" t="s">
        <v>314</v>
      </c>
      <c r="AK20" t="s">
        <v>315</v>
      </c>
      <c r="AL20" t="s">
        <v>316</v>
      </c>
      <c r="AM20" t="s">
        <v>317</v>
      </c>
      <c r="AN20" t="s">
        <v>318</v>
      </c>
      <c r="AO20" t="s">
        <v>54</v>
      </c>
      <c r="AP20" t="s">
        <v>319</v>
      </c>
      <c r="AQ20" t="s">
        <v>320</v>
      </c>
      <c r="AR20" t="s">
        <v>321</v>
      </c>
      <c r="AS20" t="s">
        <v>322</v>
      </c>
      <c r="AT20" t="s">
        <v>323</v>
      </c>
      <c r="AU20" t="s">
        <v>324</v>
      </c>
      <c r="AV20" t="s">
        <v>325</v>
      </c>
      <c r="AW20" t="s">
        <v>328</v>
      </c>
      <c r="AX20" t="s">
        <v>326</v>
      </c>
      <c r="AY20" t="s">
        <v>327</v>
      </c>
      <c r="AZ20" t="s">
        <v>336</v>
      </c>
      <c r="BA20" t="s">
        <v>330</v>
      </c>
      <c r="BB20" t="s">
        <v>331</v>
      </c>
      <c r="BC20" t="s">
        <v>332</v>
      </c>
      <c r="BD20" t="s">
        <v>290</v>
      </c>
      <c r="BE20" t="s">
        <v>292</v>
      </c>
      <c r="BF20" t="s">
        <v>291</v>
      </c>
      <c r="BG20" t="s">
        <v>335</v>
      </c>
      <c r="BH20" t="s">
        <v>333</v>
      </c>
      <c r="BI20" t="s">
        <v>334</v>
      </c>
      <c r="BJ20" t="s">
        <v>155</v>
      </c>
      <c r="BK20" t="s">
        <v>156</v>
      </c>
      <c r="BL20" t="s">
        <v>164</v>
      </c>
    </row>
    <row r="21" spans="1:64" x14ac:dyDescent="0.2">
      <c r="A21" t="s">
        <v>403</v>
      </c>
      <c r="B21" t="s">
        <v>111</v>
      </c>
      <c r="C21" t="s">
        <v>540</v>
      </c>
      <c r="D21" t="s">
        <v>111</v>
      </c>
      <c r="I21" t="s">
        <v>113</v>
      </c>
      <c r="K21" t="s">
        <v>451</v>
      </c>
      <c r="M21" t="s">
        <v>118</v>
      </c>
      <c r="N21" t="s">
        <v>106</v>
      </c>
      <c r="O21" t="s">
        <v>110</v>
      </c>
      <c r="S21" t="s">
        <v>150</v>
      </c>
      <c r="T21" t="s">
        <v>448</v>
      </c>
      <c r="U21" t="s">
        <v>210</v>
      </c>
      <c r="V21" t="s">
        <v>54</v>
      </c>
      <c r="W21" t="s">
        <v>151</v>
      </c>
      <c r="X21" t="s">
        <v>152</v>
      </c>
      <c r="Y21" t="s">
        <v>211</v>
      </c>
      <c r="Z21" t="s">
        <v>153</v>
      </c>
      <c r="AB21" t="s">
        <v>154</v>
      </c>
      <c r="AC21" t="s">
        <v>212</v>
      </c>
      <c r="AD21" t="s">
        <v>207</v>
      </c>
      <c r="AE21" t="s">
        <v>309</v>
      </c>
      <c r="AF21" t="s">
        <v>310</v>
      </c>
      <c r="AG21" t="s">
        <v>311</v>
      </c>
      <c r="AH21" t="s">
        <v>312</v>
      </c>
      <c r="AI21" t="s">
        <v>313</v>
      </c>
      <c r="AJ21" t="s">
        <v>314</v>
      </c>
      <c r="AK21" t="s">
        <v>315</v>
      </c>
      <c r="AL21" t="s">
        <v>316</v>
      </c>
      <c r="AM21" t="s">
        <v>317</v>
      </c>
      <c r="AN21" t="s">
        <v>318</v>
      </c>
      <c r="AO21" t="s">
        <v>54</v>
      </c>
      <c r="AP21" t="s">
        <v>319</v>
      </c>
      <c r="AQ21" t="s">
        <v>320</v>
      </c>
      <c r="AR21" t="s">
        <v>321</v>
      </c>
      <c r="AS21" t="s">
        <v>322</v>
      </c>
      <c r="AT21" t="s">
        <v>323</v>
      </c>
      <c r="AU21" t="s">
        <v>324</v>
      </c>
      <c r="AV21" t="s">
        <v>325</v>
      </c>
      <c r="AW21" t="s">
        <v>328</v>
      </c>
      <c r="AX21" t="s">
        <v>326</v>
      </c>
      <c r="AY21" t="s">
        <v>327</v>
      </c>
      <c r="AZ21" t="s">
        <v>336</v>
      </c>
      <c r="BA21" t="s">
        <v>330</v>
      </c>
      <c r="BB21" t="s">
        <v>331</v>
      </c>
      <c r="BC21" t="s">
        <v>332</v>
      </c>
      <c r="BD21" t="s">
        <v>290</v>
      </c>
      <c r="BE21" t="s">
        <v>292</v>
      </c>
      <c r="BF21" t="s">
        <v>291</v>
      </c>
      <c r="BG21" t="s">
        <v>335</v>
      </c>
      <c r="BH21" t="s">
        <v>333</v>
      </c>
      <c r="BI21" t="s">
        <v>334</v>
      </c>
      <c r="BJ21" t="s">
        <v>155</v>
      </c>
      <c r="BK21" t="s">
        <v>156</v>
      </c>
      <c r="BL21" t="s">
        <v>164</v>
      </c>
    </row>
    <row r="22" spans="1:64" x14ac:dyDescent="0.2">
      <c r="A22" t="s">
        <v>404</v>
      </c>
      <c r="B22" t="s">
        <v>111</v>
      </c>
      <c r="C22" t="s">
        <v>540</v>
      </c>
      <c r="D22" t="s">
        <v>111</v>
      </c>
      <c r="I22" t="s">
        <v>113</v>
      </c>
      <c r="K22" t="s">
        <v>451</v>
      </c>
      <c r="M22" t="s">
        <v>118</v>
      </c>
      <c r="N22" t="s">
        <v>106</v>
      </c>
      <c r="O22" t="s">
        <v>110</v>
      </c>
      <c r="S22" t="s">
        <v>150</v>
      </c>
      <c r="T22" t="s">
        <v>448</v>
      </c>
      <c r="U22" t="s">
        <v>210</v>
      </c>
      <c r="V22" t="s">
        <v>54</v>
      </c>
      <c r="W22" t="s">
        <v>151</v>
      </c>
      <c r="X22" t="s">
        <v>152</v>
      </c>
      <c r="Y22" t="s">
        <v>211</v>
      </c>
      <c r="Z22" t="s">
        <v>153</v>
      </c>
      <c r="AB22" t="s">
        <v>154</v>
      </c>
      <c r="AC22" t="s">
        <v>212</v>
      </c>
      <c r="AD22" t="s">
        <v>207</v>
      </c>
      <c r="AE22" t="s">
        <v>309</v>
      </c>
      <c r="AF22" t="s">
        <v>310</v>
      </c>
      <c r="AG22" t="s">
        <v>311</v>
      </c>
      <c r="AH22" t="s">
        <v>312</v>
      </c>
      <c r="AI22" t="s">
        <v>313</v>
      </c>
      <c r="AJ22" t="s">
        <v>314</v>
      </c>
      <c r="AK22" t="s">
        <v>315</v>
      </c>
      <c r="AL22" t="s">
        <v>316</v>
      </c>
      <c r="AM22" t="s">
        <v>317</v>
      </c>
      <c r="AN22" t="s">
        <v>318</v>
      </c>
      <c r="AO22" t="s">
        <v>54</v>
      </c>
      <c r="AP22" t="s">
        <v>319</v>
      </c>
      <c r="AQ22" t="s">
        <v>320</v>
      </c>
      <c r="AR22" t="s">
        <v>321</v>
      </c>
      <c r="AS22" t="s">
        <v>322</v>
      </c>
      <c r="AT22" t="s">
        <v>323</v>
      </c>
      <c r="AU22" t="s">
        <v>324</v>
      </c>
      <c r="AV22" t="s">
        <v>325</v>
      </c>
      <c r="AW22" t="s">
        <v>328</v>
      </c>
      <c r="AX22" t="s">
        <v>326</v>
      </c>
      <c r="AY22" t="s">
        <v>327</v>
      </c>
      <c r="AZ22" t="s">
        <v>336</v>
      </c>
      <c r="BA22" t="s">
        <v>330</v>
      </c>
      <c r="BB22" t="s">
        <v>331</v>
      </c>
      <c r="BC22" t="s">
        <v>332</v>
      </c>
      <c r="BD22" t="s">
        <v>290</v>
      </c>
      <c r="BE22" t="s">
        <v>292</v>
      </c>
      <c r="BF22" t="s">
        <v>291</v>
      </c>
      <c r="BG22" t="s">
        <v>335</v>
      </c>
      <c r="BH22" t="s">
        <v>333</v>
      </c>
      <c r="BI22" t="s">
        <v>334</v>
      </c>
      <c r="BJ22" t="s">
        <v>155</v>
      </c>
      <c r="BK22" t="s">
        <v>156</v>
      </c>
      <c r="BL22" t="s">
        <v>164</v>
      </c>
    </row>
    <row r="23" spans="1:64" x14ac:dyDescent="0.2">
      <c r="A23" t="s">
        <v>405</v>
      </c>
      <c r="B23" t="s">
        <v>111</v>
      </c>
      <c r="C23" t="s">
        <v>540</v>
      </c>
      <c r="D23" t="s">
        <v>111</v>
      </c>
      <c r="I23" t="s">
        <v>113</v>
      </c>
      <c r="K23" t="s">
        <v>451</v>
      </c>
      <c r="M23" t="s">
        <v>118</v>
      </c>
      <c r="N23" t="s">
        <v>106</v>
      </c>
      <c r="O23" t="s">
        <v>110</v>
      </c>
      <c r="S23" t="s">
        <v>150</v>
      </c>
      <c r="T23" t="s">
        <v>448</v>
      </c>
      <c r="U23" t="s">
        <v>210</v>
      </c>
      <c r="V23" t="s">
        <v>54</v>
      </c>
      <c r="W23" t="s">
        <v>151</v>
      </c>
      <c r="X23" t="s">
        <v>152</v>
      </c>
      <c r="Y23" t="s">
        <v>211</v>
      </c>
      <c r="Z23" t="s">
        <v>153</v>
      </c>
      <c r="AB23" t="s">
        <v>154</v>
      </c>
      <c r="AC23" t="s">
        <v>212</v>
      </c>
      <c r="AD23" t="s">
        <v>207</v>
      </c>
      <c r="AE23" t="s">
        <v>309</v>
      </c>
      <c r="AF23" t="s">
        <v>310</v>
      </c>
      <c r="AG23" t="s">
        <v>311</v>
      </c>
      <c r="AH23" t="s">
        <v>312</v>
      </c>
      <c r="AI23" t="s">
        <v>313</v>
      </c>
      <c r="AJ23" t="s">
        <v>314</v>
      </c>
      <c r="AK23" t="s">
        <v>315</v>
      </c>
      <c r="AL23" t="s">
        <v>316</v>
      </c>
      <c r="AM23" t="s">
        <v>317</v>
      </c>
      <c r="AN23" t="s">
        <v>318</v>
      </c>
      <c r="AO23" t="s">
        <v>54</v>
      </c>
      <c r="AP23" t="s">
        <v>319</v>
      </c>
      <c r="AQ23" t="s">
        <v>320</v>
      </c>
      <c r="AR23" t="s">
        <v>321</v>
      </c>
      <c r="AS23" t="s">
        <v>322</v>
      </c>
      <c r="AT23" t="s">
        <v>323</v>
      </c>
      <c r="AU23" t="s">
        <v>324</v>
      </c>
      <c r="AV23" t="s">
        <v>325</v>
      </c>
      <c r="AW23" t="s">
        <v>328</v>
      </c>
      <c r="AX23" t="s">
        <v>326</v>
      </c>
      <c r="AY23" t="s">
        <v>327</v>
      </c>
      <c r="AZ23" t="s">
        <v>336</v>
      </c>
      <c r="BA23" t="s">
        <v>330</v>
      </c>
      <c r="BB23" t="s">
        <v>331</v>
      </c>
      <c r="BC23" t="s">
        <v>332</v>
      </c>
      <c r="BD23" t="s">
        <v>290</v>
      </c>
      <c r="BE23" t="s">
        <v>292</v>
      </c>
      <c r="BF23" t="s">
        <v>291</v>
      </c>
      <c r="BG23" t="s">
        <v>335</v>
      </c>
      <c r="BH23" t="s">
        <v>333</v>
      </c>
      <c r="BI23" t="s">
        <v>334</v>
      </c>
      <c r="BJ23" t="s">
        <v>155</v>
      </c>
      <c r="BK23" t="s">
        <v>156</v>
      </c>
      <c r="BL23" t="s">
        <v>164</v>
      </c>
    </row>
    <row r="24" spans="1:64" x14ac:dyDescent="0.2">
      <c r="A24" t="s">
        <v>385</v>
      </c>
      <c r="B24" t="s">
        <v>111</v>
      </c>
      <c r="C24" t="s">
        <v>540</v>
      </c>
      <c r="D24" t="s">
        <v>111</v>
      </c>
      <c r="I24" t="s">
        <v>113</v>
      </c>
      <c r="K24" t="s">
        <v>451</v>
      </c>
      <c r="M24" t="s">
        <v>118</v>
      </c>
      <c r="N24" t="s">
        <v>106</v>
      </c>
      <c r="O24" t="s">
        <v>110</v>
      </c>
      <c r="S24" t="s">
        <v>150</v>
      </c>
      <c r="T24" t="s">
        <v>448</v>
      </c>
      <c r="U24" t="s">
        <v>210</v>
      </c>
      <c r="V24" t="s">
        <v>54</v>
      </c>
      <c r="W24" t="s">
        <v>151</v>
      </c>
      <c r="X24" t="s">
        <v>152</v>
      </c>
      <c r="Y24" t="s">
        <v>211</v>
      </c>
      <c r="Z24" t="s">
        <v>153</v>
      </c>
      <c r="AB24" t="s">
        <v>154</v>
      </c>
      <c r="AC24" t="s">
        <v>212</v>
      </c>
      <c r="AD24" t="s">
        <v>207</v>
      </c>
      <c r="AE24" t="s">
        <v>309</v>
      </c>
      <c r="AF24" t="s">
        <v>310</v>
      </c>
      <c r="AG24" t="s">
        <v>311</v>
      </c>
      <c r="AH24" t="s">
        <v>312</v>
      </c>
      <c r="AI24" t="s">
        <v>313</v>
      </c>
      <c r="AJ24" t="s">
        <v>314</v>
      </c>
      <c r="AK24" t="s">
        <v>315</v>
      </c>
      <c r="AL24" t="s">
        <v>316</v>
      </c>
      <c r="AM24" t="s">
        <v>317</v>
      </c>
      <c r="AN24" t="s">
        <v>318</v>
      </c>
      <c r="AO24" t="s">
        <v>54</v>
      </c>
      <c r="AP24" t="s">
        <v>319</v>
      </c>
      <c r="AQ24" t="s">
        <v>320</v>
      </c>
      <c r="AR24" t="s">
        <v>321</v>
      </c>
      <c r="AS24" t="s">
        <v>322</v>
      </c>
      <c r="AT24" t="s">
        <v>323</v>
      </c>
      <c r="AU24" t="s">
        <v>324</v>
      </c>
      <c r="AV24" t="s">
        <v>325</v>
      </c>
      <c r="AW24" t="s">
        <v>328</v>
      </c>
      <c r="AX24" t="s">
        <v>326</v>
      </c>
      <c r="AY24" t="s">
        <v>327</v>
      </c>
      <c r="AZ24" t="s">
        <v>336</v>
      </c>
      <c r="BA24" t="s">
        <v>330</v>
      </c>
      <c r="BB24" t="s">
        <v>331</v>
      </c>
      <c r="BC24" t="s">
        <v>332</v>
      </c>
      <c r="BD24" t="s">
        <v>290</v>
      </c>
      <c r="BE24" t="s">
        <v>292</v>
      </c>
      <c r="BF24" t="s">
        <v>291</v>
      </c>
      <c r="BG24" t="s">
        <v>335</v>
      </c>
      <c r="BH24" t="s">
        <v>333</v>
      </c>
      <c r="BI24" t="s">
        <v>334</v>
      </c>
      <c r="BJ24" t="s">
        <v>155</v>
      </c>
      <c r="BK24" t="s">
        <v>156</v>
      </c>
      <c r="BL24" t="s">
        <v>164</v>
      </c>
    </row>
    <row r="25" spans="1:64" x14ac:dyDescent="0.2">
      <c r="A25" t="s">
        <v>386</v>
      </c>
      <c r="B25" t="s">
        <v>111</v>
      </c>
      <c r="C25" t="s">
        <v>540</v>
      </c>
      <c r="D25" t="s">
        <v>111</v>
      </c>
      <c r="I25" t="s">
        <v>113</v>
      </c>
      <c r="K25" t="s">
        <v>451</v>
      </c>
      <c r="M25" t="s">
        <v>118</v>
      </c>
      <c r="N25" t="s">
        <v>106</v>
      </c>
      <c r="O25" t="s">
        <v>110</v>
      </c>
      <c r="S25" t="s">
        <v>150</v>
      </c>
      <c r="T25" t="s">
        <v>448</v>
      </c>
      <c r="U25" t="s">
        <v>210</v>
      </c>
      <c r="V25" t="s">
        <v>54</v>
      </c>
      <c r="W25" t="s">
        <v>151</v>
      </c>
      <c r="X25" t="s">
        <v>152</v>
      </c>
      <c r="Y25" t="s">
        <v>211</v>
      </c>
      <c r="Z25" t="s">
        <v>153</v>
      </c>
      <c r="AB25" t="s">
        <v>154</v>
      </c>
      <c r="AC25" t="s">
        <v>212</v>
      </c>
      <c r="AD25" t="s">
        <v>207</v>
      </c>
      <c r="AE25" t="s">
        <v>309</v>
      </c>
      <c r="AF25" t="s">
        <v>310</v>
      </c>
      <c r="AG25" t="s">
        <v>311</v>
      </c>
      <c r="AH25" t="s">
        <v>312</v>
      </c>
      <c r="AI25" t="s">
        <v>313</v>
      </c>
      <c r="AJ25" t="s">
        <v>314</v>
      </c>
      <c r="AK25" t="s">
        <v>315</v>
      </c>
      <c r="AL25" t="s">
        <v>316</v>
      </c>
      <c r="AM25" t="s">
        <v>317</v>
      </c>
      <c r="AN25" t="s">
        <v>318</v>
      </c>
      <c r="AO25" t="s">
        <v>54</v>
      </c>
      <c r="AP25" t="s">
        <v>319</v>
      </c>
      <c r="AQ25" t="s">
        <v>320</v>
      </c>
      <c r="AR25" t="s">
        <v>321</v>
      </c>
      <c r="AS25" t="s">
        <v>322</v>
      </c>
      <c r="AT25" t="s">
        <v>323</v>
      </c>
      <c r="AU25" t="s">
        <v>324</v>
      </c>
      <c r="AV25" t="s">
        <v>325</v>
      </c>
      <c r="AW25" t="s">
        <v>328</v>
      </c>
      <c r="AX25" t="s">
        <v>326</v>
      </c>
      <c r="AY25" t="s">
        <v>327</v>
      </c>
      <c r="AZ25" t="s">
        <v>336</v>
      </c>
      <c r="BA25" t="s">
        <v>330</v>
      </c>
      <c r="BB25" t="s">
        <v>331</v>
      </c>
      <c r="BC25" t="s">
        <v>332</v>
      </c>
      <c r="BD25" t="s">
        <v>290</v>
      </c>
      <c r="BE25" t="s">
        <v>292</v>
      </c>
      <c r="BF25" t="s">
        <v>291</v>
      </c>
      <c r="BG25" t="s">
        <v>335</v>
      </c>
      <c r="BH25" t="s">
        <v>333</v>
      </c>
      <c r="BI25" t="s">
        <v>334</v>
      </c>
      <c r="BJ25" t="s">
        <v>155</v>
      </c>
      <c r="BK25" t="s">
        <v>156</v>
      </c>
      <c r="BL25" t="s">
        <v>164</v>
      </c>
    </row>
    <row r="26" spans="1:64" x14ac:dyDescent="0.2">
      <c r="A26" t="s">
        <v>387</v>
      </c>
      <c r="B26" t="s">
        <v>111</v>
      </c>
      <c r="C26" t="s">
        <v>540</v>
      </c>
      <c r="D26" t="s">
        <v>111</v>
      </c>
      <c r="I26" t="s">
        <v>113</v>
      </c>
      <c r="K26" t="s">
        <v>451</v>
      </c>
      <c r="M26" t="s">
        <v>118</v>
      </c>
      <c r="N26" t="s">
        <v>106</v>
      </c>
      <c r="O26" t="s">
        <v>110</v>
      </c>
      <c r="S26" t="s">
        <v>150</v>
      </c>
      <c r="T26" t="s">
        <v>448</v>
      </c>
      <c r="U26" t="s">
        <v>210</v>
      </c>
      <c r="V26" t="s">
        <v>54</v>
      </c>
      <c r="W26" t="s">
        <v>151</v>
      </c>
      <c r="X26" t="s">
        <v>152</v>
      </c>
      <c r="Y26" t="s">
        <v>211</v>
      </c>
      <c r="Z26" t="s">
        <v>153</v>
      </c>
      <c r="AB26" t="s">
        <v>154</v>
      </c>
      <c r="AC26" t="s">
        <v>212</v>
      </c>
      <c r="AD26" t="s">
        <v>207</v>
      </c>
      <c r="AE26" t="s">
        <v>309</v>
      </c>
      <c r="AF26" t="s">
        <v>310</v>
      </c>
      <c r="AG26" t="s">
        <v>311</v>
      </c>
      <c r="AH26" t="s">
        <v>312</v>
      </c>
      <c r="AI26" t="s">
        <v>313</v>
      </c>
      <c r="AJ26" t="s">
        <v>314</v>
      </c>
      <c r="AK26" t="s">
        <v>315</v>
      </c>
      <c r="AL26" t="s">
        <v>316</v>
      </c>
      <c r="AM26" t="s">
        <v>317</v>
      </c>
      <c r="AN26" t="s">
        <v>318</v>
      </c>
      <c r="AO26" t="s">
        <v>54</v>
      </c>
      <c r="AP26" t="s">
        <v>319</v>
      </c>
      <c r="AQ26" t="s">
        <v>320</v>
      </c>
      <c r="AR26" t="s">
        <v>321</v>
      </c>
      <c r="AS26" t="s">
        <v>322</v>
      </c>
      <c r="AT26" t="s">
        <v>323</v>
      </c>
      <c r="AU26" t="s">
        <v>324</v>
      </c>
      <c r="AV26" t="s">
        <v>325</v>
      </c>
      <c r="AW26" t="s">
        <v>328</v>
      </c>
      <c r="AX26" t="s">
        <v>326</v>
      </c>
      <c r="AY26" t="s">
        <v>327</v>
      </c>
      <c r="AZ26" t="s">
        <v>336</v>
      </c>
      <c r="BA26" t="s">
        <v>330</v>
      </c>
      <c r="BB26" t="s">
        <v>331</v>
      </c>
      <c r="BC26" t="s">
        <v>332</v>
      </c>
      <c r="BD26" t="s">
        <v>290</v>
      </c>
      <c r="BE26" t="s">
        <v>292</v>
      </c>
      <c r="BF26" t="s">
        <v>291</v>
      </c>
      <c r="BG26" t="s">
        <v>335</v>
      </c>
      <c r="BH26" t="s">
        <v>333</v>
      </c>
      <c r="BI26" t="s">
        <v>334</v>
      </c>
      <c r="BJ26" t="s">
        <v>155</v>
      </c>
      <c r="BK26" t="s">
        <v>156</v>
      </c>
      <c r="BL26" t="s">
        <v>164</v>
      </c>
    </row>
    <row r="27" spans="1:64" x14ac:dyDescent="0.2">
      <c r="A27" t="s">
        <v>394</v>
      </c>
      <c r="B27" t="s">
        <v>111</v>
      </c>
      <c r="C27" t="s">
        <v>540</v>
      </c>
      <c r="D27" t="s">
        <v>111</v>
      </c>
      <c r="I27" t="s">
        <v>113</v>
      </c>
      <c r="K27" t="s">
        <v>451</v>
      </c>
      <c r="M27" t="s">
        <v>118</v>
      </c>
      <c r="N27" t="s">
        <v>106</v>
      </c>
      <c r="O27" t="s">
        <v>110</v>
      </c>
      <c r="S27" t="s">
        <v>150</v>
      </c>
      <c r="T27" t="s">
        <v>448</v>
      </c>
      <c r="U27" t="s">
        <v>210</v>
      </c>
      <c r="V27" t="s">
        <v>54</v>
      </c>
      <c r="W27" t="s">
        <v>151</v>
      </c>
      <c r="X27" t="s">
        <v>152</v>
      </c>
      <c r="Y27" t="s">
        <v>211</v>
      </c>
      <c r="Z27" t="s">
        <v>153</v>
      </c>
      <c r="AB27" t="s">
        <v>154</v>
      </c>
      <c r="AC27" t="s">
        <v>212</v>
      </c>
      <c r="AD27" t="s">
        <v>207</v>
      </c>
      <c r="AE27" t="s">
        <v>309</v>
      </c>
      <c r="AF27" t="s">
        <v>310</v>
      </c>
      <c r="AG27" t="s">
        <v>311</v>
      </c>
      <c r="AH27" t="s">
        <v>312</v>
      </c>
      <c r="AI27" t="s">
        <v>313</v>
      </c>
      <c r="AJ27" t="s">
        <v>314</v>
      </c>
      <c r="AK27" t="s">
        <v>315</v>
      </c>
      <c r="AL27" t="s">
        <v>316</v>
      </c>
      <c r="AM27" t="s">
        <v>317</v>
      </c>
      <c r="AN27" t="s">
        <v>318</v>
      </c>
      <c r="AO27" t="s">
        <v>54</v>
      </c>
      <c r="AP27" t="s">
        <v>319</v>
      </c>
      <c r="AQ27" t="s">
        <v>320</v>
      </c>
      <c r="AR27" t="s">
        <v>321</v>
      </c>
      <c r="AS27" t="s">
        <v>322</v>
      </c>
      <c r="AT27" t="s">
        <v>323</v>
      </c>
      <c r="AU27" t="s">
        <v>324</v>
      </c>
      <c r="AV27" t="s">
        <v>325</v>
      </c>
      <c r="AW27" t="s">
        <v>328</v>
      </c>
      <c r="AX27" t="s">
        <v>326</v>
      </c>
      <c r="AY27" t="s">
        <v>327</v>
      </c>
      <c r="AZ27" t="s">
        <v>336</v>
      </c>
      <c r="BA27" t="s">
        <v>330</v>
      </c>
      <c r="BB27" t="s">
        <v>331</v>
      </c>
      <c r="BC27" t="s">
        <v>332</v>
      </c>
      <c r="BD27" t="s">
        <v>290</v>
      </c>
      <c r="BE27" t="s">
        <v>292</v>
      </c>
      <c r="BF27" t="s">
        <v>291</v>
      </c>
      <c r="BG27" t="s">
        <v>335</v>
      </c>
      <c r="BH27" t="s">
        <v>333</v>
      </c>
      <c r="BI27" t="s">
        <v>334</v>
      </c>
      <c r="BJ27" t="s">
        <v>155</v>
      </c>
      <c r="BK27" t="s">
        <v>156</v>
      </c>
      <c r="BL27" t="s">
        <v>164</v>
      </c>
    </row>
    <row r="28" spans="1:64" x14ac:dyDescent="0.2">
      <c r="A28" t="s">
        <v>395</v>
      </c>
      <c r="B28" t="s">
        <v>111</v>
      </c>
      <c r="C28" t="s">
        <v>540</v>
      </c>
      <c r="D28" t="s">
        <v>111</v>
      </c>
      <c r="I28" t="s">
        <v>113</v>
      </c>
      <c r="K28" t="s">
        <v>451</v>
      </c>
      <c r="M28" t="s">
        <v>118</v>
      </c>
      <c r="N28" t="s">
        <v>106</v>
      </c>
      <c r="O28" t="s">
        <v>110</v>
      </c>
      <c r="S28" t="s">
        <v>150</v>
      </c>
      <c r="T28" t="s">
        <v>448</v>
      </c>
      <c r="U28" t="s">
        <v>210</v>
      </c>
      <c r="V28" t="s">
        <v>54</v>
      </c>
      <c r="W28" t="s">
        <v>151</v>
      </c>
      <c r="X28" t="s">
        <v>152</v>
      </c>
      <c r="Y28" t="s">
        <v>211</v>
      </c>
      <c r="Z28" t="s">
        <v>153</v>
      </c>
      <c r="AB28" t="s">
        <v>154</v>
      </c>
      <c r="AC28" t="s">
        <v>212</v>
      </c>
      <c r="AD28" t="s">
        <v>207</v>
      </c>
      <c r="AE28" t="s">
        <v>309</v>
      </c>
      <c r="AF28" t="s">
        <v>310</v>
      </c>
      <c r="AG28" t="s">
        <v>311</v>
      </c>
      <c r="AH28" t="s">
        <v>312</v>
      </c>
      <c r="AI28" t="s">
        <v>313</v>
      </c>
      <c r="AJ28" t="s">
        <v>314</v>
      </c>
      <c r="AK28" t="s">
        <v>315</v>
      </c>
      <c r="AL28" t="s">
        <v>316</v>
      </c>
      <c r="AM28" t="s">
        <v>317</v>
      </c>
      <c r="AN28" t="s">
        <v>318</v>
      </c>
      <c r="AO28" t="s">
        <v>54</v>
      </c>
      <c r="AP28" t="s">
        <v>319</v>
      </c>
      <c r="AQ28" t="s">
        <v>320</v>
      </c>
      <c r="AR28" t="s">
        <v>321</v>
      </c>
      <c r="AS28" t="s">
        <v>322</v>
      </c>
      <c r="AT28" t="s">
        <v>323</v>
      </c>
      <c r="AU28" t="s">
        <v>324</v>
      </c>
      <c r="AV28" t="s">
        <v>325</v>
      </c>
      <c r="AW28" t="s">
        <v>328</v>
      </c>
      <c r="AX28" t="s">
        <v>326</v>
      </c>
      <c r="AY28" t="s">
        <v>327</v>
      </c>
      <c r="AZ28" t="s">
        <v>336</v>
      </c>
      <c r="BA28" t="s">
        <v>330</v>
      </c>
      <c r="BB28" t="s">
        <v>331</v>
      </c>
      <c r="BC28" t="s">
        <v>332</v>
      </c>
      <c r="BD28" t="s">
        <v>290</v>
      </c>
      <c r="BE28" t="s">
        <v>292</v>
      </c>
      <c r="BF28" t="s">
        <v>291</v>
      </c>
      <c r="BG28" t="s">
        <v>335</v>
      </c>
      <c r="BH28" t="s">
        <v>333</v>
      </c>
      <c r="BI28" t="s">
        <v>334</v>
      </c>
      <c r="BJ28" t="s">
        <v>155</v>
      </c>
      <c r="BK28" t="s">
        <v>156</v>
      </c>
      <c r="BL28" t="s">
        <v>164</v>
      </c>
    </row>
    <row r="29" spans="1:64" x14ac:dyDescent="0.2">
      <c r="A29" t="s">
        <v>396</v>
      </c>
      <c r="B29" t="s">
        <v>111</v>
      </c>
      <c r="C29" t="s">
        <v>540</v>
      </c>
      <c r="D29" t="s">
        <v>111</v>
      </c>
      <c r="I29" t="s">
        <v>113</v>
      </c>
      <c r="K29" t="s">
        <v>451</v>
      </c>
      <c r="M29" t="s">
        <v>118</v>
      </c>
      <c r="N29" t="s">
        <v>106</v>
      </c>
      <c r="O29" t="s">
        <v>110</v>
      </c>
      <c r="S29" t="s">
        <v>150</v>
      </c>
      <c r="T29" t="s">
        <v>448</v>
      </c>
      <c r="U29" t="s">
        <v>210</v>
      </c>
      <c r="V29" t="s">
        <v>54</v>
      </c>
      <c r="W29" t="s">
        <v>151</v>
      </c>
      <c r="X29" t="s">
        <v>152</v>
      </c>
      <c r="Y29" t="s">
        <v>211</v>
      </c>
      <c r="Z29" t="s">
        <v>153</v>
      </c>
      <c r="AB29" t="s">
        <v>154</v>
      </c>
      <c r="AC29" t="s">
        <v>212</v>
      </c>
      <c r="AD29" t="s">
        <v>207</v>
      </c>
      <c r="AE29" t="s">
        <v>309</v>
      </c>
      <c r="AF29" t="s">
        <v>310</v>
      </c>
      <c r="AG29" t="s">
        <v>311</v>
      </c>
      <c r="AH29" t="s">
        <v>312</v>
      </c>
      <c r="AI29" t="s">
        <v>313</v>
      </c>
      <c r="AJ29" t="s">
        <v>314</v>
      </c>
      <c r="AK29" t="s">
        <v>315</v>
      </c>
      <c r="AL29" t="s">
        <v>316</v>
      </c>
      <c r="AM29" t="s">
        <v>317</v>
      </c>
      <c r="AN29" t="s">
        <v>318</v>
      </c>
      <c r="AO29" t="s">
        <v>54</v>
      </c>
      <c r="AP29" t="s">
        <v>319</v>
      </c>
      <c r="AQ29" t="s">
        <v>320</v>
      </c>
      <c r="AR29" t="s">
        <v>321</v>
      </c>
      <c r="AS29" t="s">
        <v>322</v>
      </c>
      <c r="AT29" t="s">
        <v>323</v>
      </c>
      <c r="AU29" t="s">
        <v>324</v>
      </c>
      <c r="AV29" t="s">
        <v>325</v>
      </c>
      <c r="AW29" t="s">
        <v>328</v>
      </c>
      <c r="AX29" t="s">
        <v>326</v>
      </c>
      <c r="AY29" t="s">
        <v>327</v>
      </c>
      <c r="AZ29" t="s">
        <v>336</v>
      </c>
      <c r="BA29" t="s">
        <v>330</v>
      </c>
      <c r="BB29" t="s">
        <v>331</v>
      </c>
      <c r="BC29" t="s">
        <v>332</v>
      </c>
      <c r="BD29" t="s">
        <v>290</v>
      </c>
      <c r="BE29" t="s">
        <v>292</v>
      </c>
      <c r="BF29" t="s">
        <v>291</v>
      </c>
      <c r="BG29" t="s">
        <v>335</v>
      </c>
      <c r="BH29" t="s">
        <v>333</v>
      </c>
      <c r="BI29" t="s">
        <v>334</v>
      </c>
      <c r="BJ29" t="s">
        <v>155</v>
      </c>
      <c r="BK29" t="s">
        <v>156</v>
      </c>
      <c r="BL29" t="s">
        <v>164</v>
      </c>
    </row>
    <row r="30" spans="1:64" x14ac:dyDescent="0.2">
      <c r="A30" t="s">
        <v>655</v>
      </c>
      <c r="B30" t="s">
        <v>187</v>
      </c>
      <c r="C30" t="s">
        <v>540</v>
      </c>
      <c r="D30" t="s">
        <v>187</v>
      </c>
      <c r="E30" t="s">
        <v>186</v>
      </c>
      <c r="F30" t="s">
        <v>541</v>
      </c>
      <c r="G30" t="s">
        <v>543</v>
      </c>
      <c r="J30" t="s">
        <v>185</v>
      </c>
      <c r="L30" t="s">
        <v>97</v>
      </c>
      <c r="M30" t="s">
        <v>188</v>
      </c>
      <c r="N30" t="s">
        <v>106</v>
      </c>
      <c r="O30" t="s">
        <v>110</v>
      </c>
      <c r="P30" t="s">
        <v>149</v>
      </c>
      <c r="Q30" t="s">
        <v>149</v>
      </c>
      <c r="R30" t="s">
        <v>143</v>
      </c>
      <c r="S30" t="s">
        <v>150</v>
      </c>
      <c r="T30" t="s">
        <v>448</v>
      </c>
      <c r="U30" t="s">
        <v>210</v>
      </c>
      <c r="V30" t="s">
        <v>54</v>
      </c>
      <c r="W30" t="s">
        <v>151</v>
      </c>
      <c r="X30" t="s">
        <v>152</v>
      </c>
      <c r="Y30" t="s">
        <v>211</v>
      </c>
      <c r="Z30" t="s">
        <v>153</v>
      </c>
      <c r="AB30" t="s">
        <v>154</v>
      </c>
      <c r="AC30" t="s">
        <v>212</v>
      </c>
      <c r="AD30" t="s">
        <v>207</v>
      </c>
      <c r="AE30" t="s">
        <v>309</v>
      </c>
      <c r="AF30" t="s">
        <v>310</v>
      </c>
      <c r="AG30" t="s">
        <v>311</v>
      </c>
      <c r="AH30" t="s">
        <v>312</v>
      </c>
      <c r="AI30" t="s">
        <v>313</v>
      </c>
      <c r="AJ30" t="s">
        <v>314</v>
      </c>
      <c r="AK30" t="s">
        <v>315</v>
      </c>
      <c r="AL30" t="s">
        <v>316</v>
      </c>
      <c r="AM30" t="s">
        <v>317</v>
      </c>
      <c r="AN30" t="s">
        <v>318</v>
      </c>
      <c r="AO30" t="s">
        <v>54</v>
      </c>
      <c r="AP30" t="s">
        <v>319</v>
      </c>
      <c r="AQ30" t="s">
        <v>320</v>
      </c>
      <c r="AR30" t="s">
        <v>321</v>
      </c>
      <c r="AS30" t="s">
        <v>322</v>
      </c>
      <c r="AT30" t="s">
        <v>323</v>
      </c>
      <c r="AU30" t="s">
        <v>324</v>
      </c>
      <c r="AV30" t="s">
        <v>325</v>
      </c>
      <c r="AW30" t="s">
        <v>328</v>
      </c>
      <c r="AX30" t="s">
        <v>326</v>
      </c>
      <c r="AY30" t="s">
        <v>327</v>
      </c>
      <c r="AZ30" t="s">
        <v>336</v>
      </c>
      <c r="BA30" t="s">
        <v>330</v>
      </c>
      <c r="BB30" t="s">
        <v>331</v>
      </c>
      <c r="BC30" t="s">
        <v>332</v>
      </c>
      <c r="BD30" t="s">
        <v>290</v>
      </c>
      <c r="BE30" t="s">
        <v>292</v>
      </c>
      <c r="BF30" t="s">
        <v>291</v>
      </c>
      <c r="BG30" t="s">
        <v>335</v>
      </c>
      <c r="BH30" t="s">
        <v>333</v>
      </c>
      <c r="BI30" t="s">
        <v>334</v>
      </c>
      <c r="BJ30" t="s">
        <v>155</v>
      </c>
      <c r="BK30" t="s">
        <v>156</v>
      </c>
      <c r="BL30" t="s">
        <v>164</v>
      </c>
    </row>
    <row r="31" spans="1:64" x14ac:dyDescent="0.2">
      <c r="A31" t="s">
        <v>656</v>
      </c>
      <c r="B31" t="s">
        <v>187</v>
      </c>
      <c r="C31" t="s">
        <v>540</v>
      </c>
      <c r="D31" t="s">
        <v>187</v>
      </c>
      <c r="E31" t="s">
        <v>186</v>
      </c>
      <c r="F31" t="s">
        <v>541</v>
      </c>
      <c r="G31" t="s">
        <v>543</v>
      </c>
      <c r="J31" t="s">
        <v>185</v>
      </c>
      <c r="L31" t="s">
        <v>97</v>
      </c>
      <c r="M31" t="s">
        <v>188</v>
      </c>
      <c r="N31" t="s">
        <v>106</v>
      </c>
      <c r="O31" t="s">
        <v>110</v>
      </c>
      <c r="P31" t="s">
        <v>149</v>
      </c>
      <c r="Q31" t="s">
        <v>149</v>
      </c>
      <c r="R31" t="s">
        <v>143</v>
      </c>
      <c r="S31" t="s">
        <v>150</v>
      </c>
      <c r="T31" t="s">
        <v>448</v>
      </c>
      <c r="U31" t="s">
        <v>210</v>
      </c>
      <c r="V31" t="s">
        <v>54</v>
      </c>
      <c r="W31" t="s">
        <v>151</v>
      </c>
      <c r="X31" t="s">
        <v>152</v>
      </c>
      <c r="Y31" t="s">
        <v>211</v>
      </c>
      <c r="Z31" t="s">
        <v>153</v>
      </c>
      <c r="AB31" t="s">
        <v>154</v>
      </c>
      <c r="AC31" t="s">
        <v>212</v>
      </c>
      <c r="AD31" t="s">
        <v>207</v>
      </c>
      <c r="AE31" t="s">
        <v>309</v>
      </c>
      <c r="AF31" t="s">
        <v>310</v>
      </c>
      <c r="AG31" t="s">
        <v>311</v>
      </c>
      <c r="AH31" t="s">
        <v>312</v>
      </c>
      <c r="AI31" t="s">
        <v>313</v>
      </c>
      <c r="AJ31" t="s">
        <v>314</v>
      </c>
      <c r="AK31" t="s">
        <v>315</v>
      </c>
      <c r="AL31" t="s">
        <v>316</v>
      </c>
      <c r="AM31" t="s">
        <v>317</v>
      </c>
      <c r="AN31" t="s">
        <v>318</v>
      </c>
      <c r="AO31" t="s">
        <v>54</v>
      </c>
      <c r="AP31" t="s">
        <v>319</v>
      </c>
      <c r="AQ31" t="s">
        <v>320</v>
      </c>
      <c r="AR31" t="s">
        <v>321</v>
      </c>
      <c r="AS31" t="s">
        <v>322</v>
      </c>
      <c r="AT31" t="s">
        <v>323</v>
      </c>
      <c r="AU31" t="s">
        <v>324</v>
      </c>
      <c r="AV31" t="s">
        <v>325</v>
      </c>
      <c r="AW31" t="s">
        <v>328</v>
      </c>
      <c r="AX31" t="s">
        <v>326</v>
      </c>
      <c r="AY31" t="s">
        <v>327</v>
      </c>
      <c r="AZ31" t="s">
        <v>336</v>
      </c>
      <c r="BA31" t="s">
        <v>330</v>
      </c>
      <c r="BB31" t="s">
        <v>331</v>
      </c>
      <c r="BC31" t="s">
        <v>332</v>
      </c>
      <c r="BD31" t="s">
        <v>290</v>
      </c>
      <c r="BE31" t="s">
        <v>292</v>
      </c>
      <c r="BF31" t="s">
        <v>291</v>
      </c>
      <c r="BG31" t="s">
        <v>335</v>
      </c>
      <c r="BH31" t="s">
        <v>333</v>
      </c>
      <c r="BI31" t="s">
        <v>334</v>
      </c>
      <c r="BJ31" t="s">
        <v>155</v>
      </c>
      <c r="BK31" t="s">
        <v>156</v>
      </c>
      <c r="BL31" t="s">
        <v>164</v>
      </c>
    </row>
    <row r="32" spans="1:64" x14ac:dyDescent="0.2">
      <c r="A32" t="s">
        <v>657</v>
      </c>
      <c r="B32" t="s">
        <v>187</v>
      </c>
      <c r="C32" t="s">
        <v>540</v>
      </c>
      <c r="D32" t="s">
        <v>187</v>
      </c>
      <c r="E32" t="s">
        <v>186</v>
      </c>
      <c r="F32" t="s">
        <v>541</v>
      </c>
      <c r="G32" t="s">
        <v>543</v>
      </c>
      <c r="J32" t="s">
        <v>185</v>
      </c>
      <c r="L32" t="s">
        <v>97</v>
      </c>
      <c r="M32" t="s">
        <v>188</v>
      </c>
      <c r="N32" t="s">
        <v>106</v>
      </c>
      <c r="O32" t="s">
        <v>110</v>
      </c>
      <c r="P32" t="s">
        <v>149</v>
      </c>
      <c r="Q32" t="s">
        <v>149</v>
      </c>
      <c r="R32" t="s">
        <v>143</v>
      </c>
      <c r="S32" t="s">
        <v>150</v>
      </c>
      <c r="T32" t="s">
        <v>448</v>
      </c>
      <c r="U32" t="s">
        <v>210</v>
      </c>
      <c r="V32" t="s">
        <v>54</v>
      </c>
      <c r="W32" t="s">
        <v>151</v>
      </c>
      <c r="X32" t="s">
        <v>152</v>
      </c>
      <c r="Y32" t="s">
        <v>211</v>
      </c>
      <c r="Z32" t="s">
        <v>153</v>
      </c>
      <c r="AB32" t="s">
        <v>154</v>
      </c>
      <c r="AC32" t="s">
        <v>212</v>
      </c>
      <c r="AD32" t="s">
        <v>207</v>
      </c>
      <c r="AE32" t="s">
        <v>309</v>
      </c>
      <c r="AF32" t="s">
        <v>310</v>
      </c>
      <c r="AG32" t="s">
        <v>311</v>
      </c>
      <c r="AH32" t="s">
        <v>312</v>
      </c>
      <c r="AI32" t="s">
        <v>313</v>
      </c>
      <c r="AJ32" t="s">
        <v>314</v>
      </c>
      <c r="AK32" t="s">
        <v>315</v>
      </c>
      <c r="AL32" t="s">
        <v>316</v>
      </c>
      <c r="AM32" t="s">
        <v>317</v>
      </c>
      <c r="AN32" t="s">
        <v>318</v>
      </c>
      <c r="AO32" t="s">
        <v>54</v>
      </c>
      <c r="AP32" t="s">
        <v>319</v>
      </c>
      <c r="AQ32" t="s">
        <v>320</v>
      </c>
      <c r="AR32" t="s">
        <v>321</v>
      </c>
      <c r="AS32" t="s">
        <v>322</v>
      </c>
      <c r="AT32" t="s">
        <v>323</v>
      </c>
      <c r="AU32" t="s">
        <v>324</v>
      </c>
      <c r="AV32" t="s">
        <v>325</v>
      </c>
      <c r="AW32" t="s">
        <v>328</v>
      </c>
      <c r="AX32" t="s">
        <v>326</v>
      </c>
      <c r="AY32" t="s">
        <v>327</v>
      </c>
      <c r="AZ32" t="s">
        <v>336</v>
      </c>
      <c r="BA32" t="s">
        <v>330</v>
      </c>
      <c r="BB32" t="s">
        <v>331</v>
      </c>
      <c r="BC32" t="s">
        <v>332</v>
      </c>
      <c r="BD32" t="s">
        <v>290</v>
      </c>
      <c r="BE32" t="s">
        <v>292</v>
      </c>
      <c r="BF32" t="s">
        <v>291</v>
      </c>
      <c r="BG32" t="s">
        <v>335</v>
      </c>
      <c r="BH32" t="s">
        <v>333</v>
      </c>
      <c r="BI32" t="s">
        <v>334</v>
      </c>
      <c r="BJ32" t="s">
        <v>155</v>
      </c>
      <c r="BK32" t="s">
        <v>156</v>
      </c>
      <c r="BL32" t="s">
        <v>164</v>
      </c>
    </row>
    <row r="33" spans="1:64" x14ac:dyDescent="0.2">
      <c r="A33" t="s">
        <v>658</v>
      </c>
      <c r="B33" t="s">
        <v>187</v>
      </c>
      <c r="C33" t="s">
        <v>540</v>
      </c>
      <c r="D33" t="s">
        <v>187</v>
      </c>
      <c r="E33" t="s">
        <v>186</v>
      </c>
      <c r="F33" t="s">
        <v>541</v>
      </c>
      <c r="G33" t="s">
        <v>543</v>
      </c>
      <c r="J33" t="s">
        <v>185</v>
      </c>
      <c r="L33" t="s">
        <v>97</v>
      </c>
      <c r="M33" t="s">
        <v>188</v>
      </c>
      <c r="N33" t="s">
        <v>106</v>
      </c>
      <c r="O33" t="s">
        <v>110</v>
      </c>
      <c r="P33" t="s">
        <v>149</v>
      </c>
      <c r="Q33" t="s">
        <v>149</v>
      </c>
      <c r="R33" t="s">
        <v>143</v>
      </c>
      <c r="S33" t="s">
        <v>150</v>
      </c>
      <c r="T33" t="s">
        <v>448</v>
      </c>
      <c r="U33" t="s">
        <v>210</v>
      </c>
      <c r="V33" t="s">
        <v>54</v>
      </c>
      <c r="W33" t="s">
        <v>151</v>
      </c>
      <c r="X33" t="s">
        <v>152</v>
      </c>
      <c r="Y33" t="s">
        <v>211</v>
      </c>
      <c r="Z33" t="s">
        <v>153</v>
      </c>
      <c r="AB33" t="s">
        <v>154</v>
      </c>
      <c r="AC33" t="s">
        <v>212</v>
      </c>
      <c r="AD33" t="s">
        <v>207</v>
      </c>
      <c r="AE33" t="s">
        <v>309</v>
      </c>
      <c r="AF33" t="s">
        <v>310</v>
      </c>
      <c r="AG33" t="s">
        <v>311</v>
      </c>
      <c r="AH33" t="s">
        <v>312</v>
      </c>
      <c r="AI33" t="s">
        <v>313</v>
      </c>
      <c r="AJ33" t="s">
        <v>314</v>
      </c>
      <c r="AK33" t="s">
        <v>315</v>
      </c>
      <c r="AL33" t="s">
        <v>316</v>
      </c>
      <c r="AM33" t="s">
        <v>317</v>
      </c>
      <c r="AN33" t="s">
        <v>318</v>
      </c>
      <c r="AO33" t="s">
        <v>54</v>
      </c>
      <c r="AP33" t="s">
        <v>319</v>
      </c>
      <c r="AQ33" t="s">
        <v>320</v>
      </c>
      <c r="AR33" t="s">
        <v>321</v>
      </c>
      <c r="AS33" t="s">
        <v>322</v>
      </c>
      <c r="AT33" t="s">
        <v>323</v>
      </c>
      <c r="AU33" t="s">
        <v>324</v>
      </c>
      <c r="AV33" t="s">
        <v>325</v>
      </c>
      <c r="AW33" t="s">
        <v>328</v>
      </c>
      <c r="AX33" t="s">
        <v>326</v>
      </c>
      <c r="AY33" t="s">
        <v>327</v>
      </c>
      <c r="AZ33" t="s">
        <v>336</v>
      </c>
      <c r="BA33" t="s">
        <v>330</v>
      </c>
      <c r="BB33" t="s">
        <v>331</v>
      </c>
      <c r="BC33" t="s">
        <v>332</v>
      </c>
      <c r="BD33" t="s">
        <v>290</v>
      </c>
      <c r="BE33" t="s">
        <v>292</v>
      </c>
      <c r="BF33" t="s">
        <v>291</v>
      </c>
      <c r="BG33" t="s">
        <v>335</v>
      </c>
      <c r="BH33" t="s">
        <v>333</v>
      </c>
      <c r="BI33" t="s">
        <v>334</v>
      </c>
      <c r="BJ33" t="s">
        <v>155</v>
      </c>
      <c r="BK33" t="s">
        <v>156</v>
      </c>
      <c r="BL33" t="s">
        <v>164</v>
      </c>
    </row>
    <row r="36" spans="1:64" x14ac:dyDescent="0.2">
      <c r="A36" t="s">
        <v>71</v>
      </c>
    </row>
    <row r="37" spans="1:64" x14ac:dyDescent="0.2">
      <c r="B37" t="s">
        <v>15</v>
      </c>
      <c r="C37" t="s">
        <v>14</v>
      </c>
      <c r="D37" t="s">
        <v>16</v>
      </c>
      <c r="E37" t="s">
        <v>269</v>
      </c>
      <c r="F37" t="s">
        <v>19</v>
      </c>
      <c r="G37" t="s">
        <v>20</v>
      </c>
      <c r="H37" t="s">
        <v>22</v>
      </c>
      <c r="I37" t="s">
        <v>24</v>
      </c>
      <c r="J37" t="s">
        <v>51</v>
      </c>
      <c r="K37" t="s">
        <v>27</v>
      </c>
      <c r="L37" t="s">
        <v>28</v>
      </c>
      <c r="M37" t="s">
        <v>115</v>
      </c>
      <c r="N37" t="s">
        <v>102</v>
      </c>
      <c r="O37" t="s">
        <v>109</v>
      </c>
      <c r="P37" t="s">
        <v>140</v>
      </c>
      <c r="Q37" t="s">
        <v>141</v>
      </c>
      <c r="R37" t="s">
        <v>142</v>
      </c>
      <c r="S37" t="s">
        <v>65</v>
      </c>
      <c r="T37" t="s">
        <v>446</v>
      </c>
      <c r="U37" t="s">
        <v>66</v>
      </c>
      <c r="V37" t="s">
        <v>54</v>
      </c>
      <c r="W37" t="s">
        <v>55</v>
      </c>
      <c r="X37" t="s">
        <v>56</v>
      </c>
      <c r="Y37" t="s">
        <v>57</v>
      </c>
      <c r="Z37" t="s">
        <v>58</v>
      </c>
      <c r="AA37" t="s">
        <v>60</v>
      </c>
      <c r="AB37" t="s">
        <v>59</v>
      </c>
      <c r="AC37" t="s">
        <v>61</v>
      </c>
      <c r="AD37" t="s">
        <v>360</v>
      </c>
      <c r="AE37" t="s">
        <v>309</v>
      </c>
      <c r="AF37" t="s">
        <v>310</v>
      </c>
      <c r="AG37" t="s">
        <v>311</v>
      </c>
      <c r="AH37" t="s">
        <v>312</v>
      </c>
      <c r="AI37" t="s">
        <v>313</v>
      </c>
      <c r="AJ37" t="s">
        <v>314</v>
      </c>
      <c r="AK37" t="s">
        <v>315</v>
      </c>
      <c r="AL37" t="s">
        <v>316</v>
      </c>
      <c r="AM37" t="s">
        <v>317</v>
      </c>
      <c r="AN37" t="s">
        <v>318</v>
      </c>
      <c r="AO37" t="s">
        <v>54</v>
      </c>
      <c r="AP37" t="s">
        <v>319</v>
      </c>
      <c r="AQ37" t="s">
        <v>320</v>
      </c>
      <c r="AR37" t="s">
        <v>321</v>
      </c>
      <c r="AS37" t="s">
        <v>322</v>
      </c>
      <c r="AT37" t="s">
        <v>323</v>
      </c>
      <c r="AU37" t="s">
        <v>324</v>
      </c>
      <c r="AV37" t="s">
        <v>325</v>
      </c>
      <c r="AW37" t="s">
        <v>328</v>
      </c>
      <c r="AX37" t="s">
        <v>326</v>
      </c>
      <c r="AY37" t="s">
        <v>327</v>
      </c>
      <c r="AZ37" t="s">
        <v>329</v>
      </c>
      <c r="BA37" t="s">
        <v>330</v>
      </c>
      <c r="BB37" t="s">
        <v>331</v>
      </c>
      <c r="BC37" t="s">
        <v>332</v>
      </c>
      <c r="BD37" t="s">
        <v>290</v>
      </c>
      <c r="BE37" t="s">
        <v>292</v>
      </c>
      <c r="BF37" t="s">
        <v>291</v>
      </c>
      <c r="BG37" t="s">
        <v>335</v>
      </c>
      <c r="BH37" t="s">
        <v>333</v>
      </c>
      <c r="BI37" t="s">
        <v>334</v>
      </c>
      <c r="BJ37" t="s">
        <v>29</v>
      </c>
      <c r="BK37" t="s">
        <v>30</v>
      </c>
      <c r="BL37" t="s">
        <v>31</v>
      </c>
    </row>
    <row r="38" spans="1:64" x14ac:dyDescent="0.2">
      <c r="A38" t="s">
        <v>651</v>
      </c>
      <c r="B38" t="s">
        <v>91</v>
      </c>
      <c r="C38" t="s">
        <v>94</v>
      </c>
      <c r="D38" t="s">
        <v>91</v>
      </c>
      <c r="E38" t="s">
        <v>94</v>
      </c>
      <c r="F38" t="s">
        <v>94</v>
      </c>
      <c r="G38" t="s">
        <v>94</v>
      </c>
      <c r="J38" t="s">
        <v>94</v>
      </c>
      <c r="L38" t="s">
        <v>37</v>
      </c>
      <c r="M38" t="s">
        <v>37</v>
      </c>
      <c r="N38" t="s">
        <v>37</v>
      </c>
      <c r="O38" t="s">
        <v>37</v>
      </c>
      <c r="P38" t="s">
        <v>37</v>
      </c>
      <c r="Q38" t="s">
        <v>37</v>
      </c>
      <c r="R38" t="s">
        <v>94</v>
      </c>
      <c r="BJ38" t="s">
        <v>91</v>
      </c>
      <c r="BK38" t="s">
        <v>91</v>
      </c>
      <c r="BL38" t="s">
        <v>91</v>
      </c>
    </row>
    <row r="39" spans="1:64" x14ac:dyDescent="0.2">
      <c r="A39" t="s">
        <v>33</v>
      </c>
      <c r="B39" t="s">
        <v>91</v>
      </c>
      <c r="C39" t="s">
        <v>94</v>
      </c>
      <c r="D39" t="s">
        <v>91</v>
      </c>
      <c r="F39" t="s">
        <v>94</v>
      </c>
      <c r="G39" t="s">
        <v>94</v>
      </c>
      <c r="J39" t="s">
        <v>94</v>
      </c>
      <c r="L39" t="s">
        <v>37</v>
      </c>
      <c r="M39" t="s">
        <v>37</v>
      </c>
      <c r="N39" t="s">
        <v>37</v>
      </c>
      <c r="O39" t="s">
        <v>37</v>
      </c>
      <c r="P39" t="s">
        <v>37</v>
      </c>
      <c r="R39" t="s">
        <v>94</v>
      </c>
      <c r="BJ39" t="s">
        <v>91</v>
      </c>
      <c r="BK39" t="s">
        <v>91</v>
      </c>
      <c r="BL39" t="s">
        <v>91</v>
      </c>
    </row>
    <row r="40" spans="1:64" x14ac:dyDescent="0.2">
      <c r="A40" t="s">
        <v>262</v>
      </c>
      <c r="B40" t="s">
        <v>91</v>
      </c>
      <c r="C40" t="s">
        <v>94</v>
      </c>
      <c r="D40" t="s">
        <v>91</v>
      </c>
      <c r="E40" t="s">
        <v>94</v>
      </c>
      <c r="F40" t="s">
        <v>94</v>
      </c>
      <c r="G40" t="s">
        <v>94</v>
      </c>
      <c r="J40" t="s">
        <v>94</v>
      </c>
      <c r="L40" t="s">
        <v>37</v>
      </c>
      <c r="M40" t="s">
        <v>37</v>
      </c>
      <c r="N40" t="s">
        <v>37</v>
      </c>
      <c r="O40" t="s">
        <v>37</v>
      </c>
      <c r="P40" t="s">
        <v>37</v>
      </c>
      <c r="Q40" t="s">
        <v>37</v>
      </c>
      <c r="R40" t="s">
        <v>94</v>
      </c>
      <c r="BJ40" t="s">
        <v>91</v>
      </c>
      <c r="BK40" t="s">
        <v>91</v>
      </c>
      <c r="BL40" t="s">
        <v>91</v>
      </c>
    </row>
    <row r="41" spans="1:64" x14ac:dyDescent="0.2">
      <c r="A41" t="s">
        <v>263</v>
      </c>
      <c r="B41" t="s">
        <v>91</v>
      </c>
      <c r="C41" t="s">
        <v>94</v>
      </c>
      <c r="D41" t="s">
        <v>91</v>
      </c>
      <c r="E41" t="s">
        <v>94</v>
      </c>
      <c r="F41" t="s">
        <v>94</v>
      </c>
      <c r="G41" t="s">
        <v>94</v>
      </c>
      <c r="J41" t="s">
        <v>94</v>
      </c>
      <c r="L41" t="s">
        <v>37</v>
      </c>
      <c r="M41" t="s">
        <v>37</v>
      </c>
      <c r="N41" t="s">
        <v>37</v>
      </c>
      <c r="O41" t="s">
        <v>37</v>
      </c>
      <c r="P41" t="s">
        <v>37</v>
      </c>
      <c r="Q41" t="s">
        <v>37</v>
      </c>
      <c r="R41" t="s">
        <v>94</v>
      </c>
      <c r="BJ41" t="s">
        <v>91</v>
      </c>
      <c r="BK41" t="s">
        <v>91</v>
      </c>
      <c r="BL41" t="s">
        <v>91</v>
      </c>
    </row>
    <row r="42" spans="1:64" x14ac:dyDescent="0.2">
      <c r="A42" t="s">
        <v>652</v>
      </c>
      <c r="B42" t="s">
        <v>91</v>
      </c>
      <c r="C42" t="s">
        <v>94</v>
      </c>
      <c r="D42" t="s">
        <v>91</v>
      </c>
      <c r="E42" t="s">
        <v>94</v>
      </c>
      <c r="F42" t="s">
        <v>94</v>
      </c>
      <c r="G42" t="s">
        <v>94</v>
      </c>
      <c r="J42" t="s">
        <v>94</v>
      </c>
      <c r="L42" t="s">
        <v>37</v>
      </c>
      <c r="M42" t="s">
        <v>37</v>
      </c>
      <c r="N42" t="s">
        <v>37</v>
      </c>
      <c r="O42" t="s">
        <v>37</v>
      </c>
      <c r="P42" t="s">
        <v>37</v>
      </c>
      <c r="Q42" t="s">
        <v>37</v>
      </c>
      <c r="R42" t="s">
        <v>94</v>
      </c>
      <c r="BJ42" t="s">
        <v>91</v>
      </c>
      <c r="BK42" t="s">
        <v>91</v>
      </c>
      <c r="BL42" t="s">
        <v>91</v>
      </c>
    </row>
    <row r="43" spans="1:64" x14ac:dyDescent="0.2">
      <c r="A43" t="s">
        <v>264</v>
      </c>
      <c r="B43" t="s">
        <v>91</v>
      </c>
      <c r="C43" t="s">
        <v>94</v>
      </c>
      <c r="D43" t="s">
        <v>91</v>
      </c>
      <c r="E43" t="s">
        <v>91</v>
      </c>
      <c r="F43" t="s">
        <v>94</v>
      </c>
      <c r="G43" t="s">
        <v>94</v>
      </c>
      <c r="L43" t="s">
        <v>37</v>
      </c>
      <c r="M43" t="s">
        <v>37</v>
      </c>
      <c r="N43" t="s">
        <v>37</v>
      </c>
      <c r="O43" t="s">
        <v>37</v>
      </c>
      <c r="P43" t="s">
        <v>37</v>
      </c>
      <c r="Q43" t="s">
        <v>37</v>
      </c>
      <c r="R43" t="s">
        <v>94</v>
      </c>
      <c r="BJ43" t="s">
        <v>91</v>
      </c>
      <c r="BK43" t="s">
        <v>91</v>
      </c>
      <c r="BL43" t="s">
        <v>91</v>
      </c>
    </row>
    <row r="44" spans="1:64" x14ac:dyDescent="0.2">
      <c r="A44" t="s">
        <v>346</v>
      </c>
      <c r="B44" t="s">
        <v>91</v>
      </c>
      <c r="C44" t="s">
        <v>94</v>
      </c>
      <c r="D44" t="s">
        <v>91</v>
      </c>
      <c r="I44" t="s">
        <v>91</v>
      </c>
      <c r="K44" t="s">
        <v>37</v>
      </c>
      <c r="M44" t="s">
        <v>37</v>
      </c>
      <c r="N44" t="s">
        <v>37</v>
      </c>
      <c r="O44" t="s">
        <v>37</v>
      </c>
      <c r="R44" t="s">
        <v>94</v>
      </c>
      <c r="BJ44" t="s">
        <v>91</v>
      </c>
      <c r="BK44" t="s">
        <v>91</v>
      </c>
      <c r="BL44" t="s">
        <v>91</v>
      </c>
    </row>
    <row r="45" spans="1:64" x14ac:dyDescent="0.2">
      <c r="A45" t="s">
        <v>347</v>
      </c>
      <c r="B45" t="s">
        <v>91</v>
      </c>
      <c r="C45" t="s">
        <v>94</v>
      </c>
      <c r="D45" t="s">
        <v>91</v>
      </c>
      <c r="I45" t="s">
        <v>91</v>
      </c>
      <c r="K45" t="s">
        <v>37</v>
      </c>
      <c r="M45" t="s">
        <v>37</v>
      </c>
      <c r="N45" t="s">
        <v>37</v>
      </c>
      <c r="O45" t="s">
        <v>37</v>
      </c>
      <c r="R45" t="s">
        <v>94</v>
      </c>
      <c r="BJ45" t="s">
        <v>91</v>
      </c>
      <c r="BK45" t="s">
        <v>91</v>
      </c>
      <c r="BL45" t="s">
        <v>91</v>
      </c>
    </row>
    <row r="46" spans="1:64" x14ac:dyDescent="0.2">
      <c r="A46" t="s">
        <v>348</v>
      </c>
      <c r="B46" t="s">
        <v>91</v>
      </c>
      <c r="C46" t="s">
        <v>94</v>
      </c>
      <c r="D46" t="s">
        <v>91</v>
      </c>
      <c r="I46" t="s">
        <v>91</v>
      </c>
      <c r="K46" t="s">
        <v>37</v>
      </c>
      <c r="M46" t="s">
        <v>37</v>
      </c>
      <c r="N46" t="s">
        <v>37</v>
      </c>
      <c r="O46" t="s">
        <v>37</v>
      </c>
      <c r="R46" t="s">
        <v>94</v>
      </c>
      <c r="BJ46" t="s">
        <v>91</v>
      </c>
      <c r="BK46" t="s">
        <v>91</v>
      </c>
      <c r="BL46" t="s">
        <v>91</v>
      </c>
    </row>
    <row r="47" spans="1:64" x14ac:dyDescent="0.2">
      <c r="A47" t="s">
        <v>375</v>
      </c>
      <c r="B47" t="s">
        <v>91</v>
      </c>
      <c r="C47" t="s">
        <v>94</v>
      </c>
      <c r="D47" t="s">
        <v>91</v>
      </c>
      <c r="I47" t="s">
        <v>91</v>
      </c>
      <c r="K47" t="s">
        <v>37</v>
      </c>
      <c r="M47" t="s">
        <v>37</v>
      </c>
      <c r="N47" t="s">
        <v>37</v>
      </c>
      <c r="O47" t="s">
        <v>37</v>
      </c>
      <c r="R47" t="s">
        <v>94</v>
      </c>
      <c r="BJ47" t="s">
        <v>91</v>
      </c>
      <c r="BK47" t="s">
        <v>91</v>
      </c>
      <c r="BL47" t="s">
        <v>91</v>
      </c>
    </row>
    <row r="48" spans="1:64" x14ac:dyDescent="0.2">
      <c r="A48" t="s">
        <v>376</v>
      </c>
      <c r="B48" t="s">
        <v>91</v>
      </c>
      <c r="C48" t="s">
        <v>94</v>
      </c>
      <c r="D48" t="s">
        <v>91</v>
      </c>
      <c r="I48" t="s">
        <v>91</v>
      </c>
      <c r="K48" t="s">
        <v>37</v>
      </c>
      <c r="M48" t="s">
        <v>37</v>
      </c>
      <c r="N48" t="s">
        <v>37</v>
      </c>
      <c r="O48" t="s">
        <v>37</v>
      </c>
      <c r="R48" t="s">
        <v>94</v>
      </c>
      <c r="BJ48" t="s">
        <v>91</v>
      </c>
      <c r="BK48" t="s">
        <v>91</v>
      </c>
      <c r="BL48" t="s">
        <v>91</v>
      </c>
    </row>
    <row r="49" spans="1:64" x14ac:dyDescent="0.2">
      <c r="A49" t="s">
        <v>377</v>
      </c>
      <c r="B49" t="s">
        <v>91</v>
      </c>
      <c r="C49" t="s">
        <v>94</v>
      </c>
      <c r="D49" t="s">
        <v>91</v>
      </c>
      <c r="I49" t="s">
        <v>91</v>
      </c>
      <c r="K49" t="s">
        <v>37</v>
      </c>
      <c r="M49" t="s">
        <v>37</v>
      </c>
      <c r="N49" t="s">
        <v>37</v>
      </c>
      <c r="O49" t="s">
        <v>37</v>
      </c>
      <c r="R49" t="s">
        <v>94</v>
      </c>
      <c r="BJ49" t="s">
        <v>91</v>
      </c>
      <c r="BK49" t="s">
        <v>91</v>
      </c>
      <c r="BL49" t="s">
        <v>91</v>
      </c>
    </row>
    <row r="50" spans="1:64" x14ac:dyDescent="0.2">
      <c r="A50" t="s">
        <v>337</v>
      </c>
      <c r="B50" t="s">
        <v>91</v>
      </c>
      <c r="C50" t="s">
        <v>94</v>
      </c>
      <c r="D50" t="s">
        <v>91</v>
      </c>
      <c r="I50" t="s">
        <v>91</v>
      </c>
      <c r="K50" t="s">
        <v>37</v>
      </c>
      <c r="M50" t="s">
        <v>37</v>
      </c>
      <c r="N50" t="s">
        <v>37</v>
      </c>
      <c r="O50" t="s">
        <v>37</v>
      </c>
      <c r="R50" t="s">
        <v>94</v>
      </c>
      <c r="BJ50" t="s">
        <v>91</v>
      </c>
      <c r="BK50" t="s">
        <v>91</v>
      </c>
      <c r="BL50" t="s">
        <v>91</v>
      </c>
    </row>
    <row r="51" spans="1:64" x14ac:dyDescent="0.2">
      <c r="A51" t="s">
        <v>338</v>
      </c>
      <c r="B51" t="s">
        <v>91</v>
      </c>
      <c r="C51" t="s">
        <v>94</v>
      </c>
      <c r="D51" t="s">
        <v>91</v>
      </c>
      <c r="I51" t="s">
        <v>91</v>
      </c>
      <c r="K51" t="s">
        <v>37</v>
      </c>
      <c r="M51" t="s">
        <v>37</v>
      </c>
      <c r="N51" t="s">
        <v>37</v>
      </c>
      <c r="O51" t="s">
        <v>37</v>
      </c>
      <c r="R51" t="s">
        <v>94</v>
      </c>
      <c r="BJ51" t="s">
        <v>91</v>
      </c>
      <c r="BK51" t="s">
        <v>91</v>
      </c>
      <c r="BL51" t="s">
        <v>91</v>
      </c>
    </row>
    <row r="52" spans="1:64" x14ac:dyDescent="0.2">
      <c r="A52" t="s">
        <v>339</v>
      </c>
      <c r="B52" t="s">
        <v>91</v>
      </c>
      <c r="C52" t="s">
        <v>94</v>
      </c>
      <c r="D52" t="s">
        <v>91</v>
      </c>
      <c r="I52" t="s">
        <v>91</v>
      </c>
      <c r="K52" t="s">
        <v>37</v>
      </c>
      <c r="M52" t="s">
        <v>37</v>
      </c>
      <c r="N52" t="s">
        <v>37</v>
      </c>
      <c r="O52" t="s">
        <v>37</v>
      </c>
      <c r="R52" t="s">
        <v>94</v>
      </c>
      <c r="BJ52" t="s">
        <v>91</v>
      </c>
      <c r="BK52" t="s">
        <v>91</v>
      </c>
      <c r="BL52" t="s">
        <v>91</v>
      </c>
    </row>
    <row r="53" spans="1:64" x14ac:dyDescent="0.2">
      <c r="A53" t="s">
        <v>653</v>
      </c>
      <c r="B53" t="s">
        <v>94</v>
      </c>
      <c r="C53" t="s">
        <v>94</v>
      </c>
      <c r="D53" t="s">
        <v>94</v>
      </c>
      <c r="E53" t="s">
        <v>94</v>
      </c>
      <c r="F53" t="s">
        <v>94</v>
      </c>
      <c r="G53" t="s">
        <v>94</v>
      </c>
      <c r="J53" t="s">
        <v>94</v>
      </c>
      <c r="L53" t="s">
        <v>37</v>
      </c>
      <c r="M53" t="s">
        <v>94</v>
      </c>
      <c r="N53" t="s">
        <v>37</v>
      </c>
      <c r="O53" t="s">
        <v>37</v>
      </c>
      <c r="P53" t="s">
        <v>94</v>
      </c>
      <c r="Q53" t="s">
        <v>94</v>
      </c>
      <c r="R53" t="s">
        <v>94</v>
      </c>
      <c r="BJ53" t="s">
        <v>91</v>
      </c>
      <c r="BK53" t="s">
        <v>91</v>
      </c>
      <c r="BL53" t="s">
        <v>91</v>
      </c>
    </row>
    <row r="54" spans="1:64" x14ac:dyDescent="0.2">
      <c r="A54" t="s">
        <v>654</v>
      </c>
      <c r="B54" t="s">
        <v>94</v>
      </c>
      <c r="C54" t="s">
        <v>94</v>
      </c>
      <c r="D54" t="s">
        <v>94</v>
      </c>
      <c r="E54" t="s">
        <v>94</v>
      </c>
      <c r="F54" t="s">
        <v>94</v>
      </c>
      <c r="G54" t="s">
        <v>94</v>
      </c>
      <c r="J54" t="s">
        <v>94</v>
      </c>
      <c r="L54" t="s">
        <v>37</v>
      </c>
      <c r="M54" t="s">
        <v>94</v>
      </c>
      <c r="N54" t="s">
        <v>37</v>
      </c>
      <c r="O54" t="s">
        <v>37</v>
      </c>
      <c r="P54" t="s">
        <v>94</v>
      </c>
      <c r="Q54" t="s">
        <v>94</v>
      </c>
      <c r="R54" t="s">
        <v>94</v>
      </c>
      <c r="BJ54" t="s">
        <v>91</v>
      </c>
      <c r="BK54" t="s">
        <v>91</v>
      </c>
      <c r="BL54" t="s">
        <v>91</v>
      </c>
    </row>
    <row r="55" spans="1:64" x14ac:dyDescent="0.2">
      <c r="A55" t="s">
        <v>403</v>
      </c>
      <c r="B55" t="s">
        <v>91</v>
      </c>
      <c r="C55" t="s">
        <v>94</v>
      </c>
      <c r="D55" t="s">
        <v>91</v>
      </c>
      <c r="I55" t="s">
        <v>91</v>
      </c>
      <c r="K55" t="s">
        <v>37</v>
      </c>
      <c r="M55" t="s">
        <v>37</v>
      </c>
      <c r="N55" t="s">
        <v>37</v>
      </c>
      <c r="O55" t="s">
        <v>37</v>
      </c>
      <c r="R55" t="s">
        <v>94</v>
      </c>
      <c r="BJ55" t="s">
        <v>91</v>
      </c>
      <c r="BK55" t="s">
        <v>91</v>
      </c>
      <c r="BL55" t="s">
        <v>91</v>
      </c>
    </row>
    <row r="56" spans="1:64" x14ac:dyDescent="0.2">
      <c r="A56" t="s">
        <v>404</v>
      </c>
      <c r="B56" t="s">
        <v>91</v>
      </c>
      <c r="C56" t="s">
        <v>94</v>
      </c>
      <c r="D56" t="s">
        <v>91</v>
      </c>
      <c r="I56" t="s">
        <v>91</v>
      </c>
      <c r="K56" t="s">
        <v>37</v>
      </c>
      <c r="M56" t="s">
        <v>37</v>
      </c>
      <c r="N56" t="s">
        <v>37</v>
      </c>
      <c r="O56" t="s">
        <v>37</v>
      </c>
      <c r="R56" t="s">
        <v>94</v>
      </c>
      <c r="BJ56" t="s">
        <v>91</v>
      </c>
      <c r="BK56" t="s">
        <v>91</v>
      </c>
      <c r="BL56" t="s">
        <v>91</v>
      </c>
    </row>
    <row r="57" spans="1:64" x14ac:dyDescent="0.2">
      <c r="A57" t="s">
        <v>405</v>
      </c>
      <c r="B57" t="s">
        <v>91</v>
      </c>
      <c r="C57" t="s">
        <v>94</v>
      </c>
      <c r="D57" t="s">
        <v>91</v>
      </c>
      <c r="I57" t="s">
        <v>91</v>
      </c>
      <c r="K57" t="s">
        <v>37</v>
      </c>
      <c r="M57" t="s">
        <v>37</v>
      </c>
      <c r="N57" t="s">
        <v>37</v>
      </c>
      <c r="O57" t="s">
        <v>37</v>
      </c>
      <c r="R57" t="s">
        <v>94</v>
      </c>
      <c r="BJ57" t="s">
        <v>91</v>
      </c>
      <c r="BK57" t="s">
        <v>91</v>
      </c>
      <c r="BL57" t="s">
        <v>91</v>
      </c>
    </row>
    <row r="58" spans="1:64" x14ac:dyDescent="0.2">
      <c r="A58" t="s">
        <v>385</v>
      </c>
      <c r="B58" t="s">
        <v>91</v>
      </c>
      <c r="C58" t="s">
        <v>94</v>
      </c>
      <c r="D58" t="s">
        <v>91</v>
      </c>
      <c r="I58" t="s">
        <v>91</v>
      </c>
      <c r="K58" t="s">
        <v>37</v>
      </c>
      <c r="M58" t="s">
        <v>37</v>
      </c>
      <c r="N58" t="s">
        <v>37</v>
      </c>
      <c r="O58" t="s">
        <v>37</v>
      </c>
      <c r="R58" t="s">
        <v>94</v>
      </c>
      <c r="BJ58" t="s">
        <v>91</v>
      </c>
      <c r="BK58" t="s">
        <v>91</v>
      </c>
      <c r="BL58" t="s">
        <v>91</v>
      </c>
    </row>
    <row r="59" spans="1:64" x14ac:dyDescent="0.2">
      <c r="A59" t="s">
        <v>386</v>
      </c>
      <c r="B59" t="s">
        <v>91</v>
      </c>
      <c r="C59" t="s">
        <v>94</v>
      </c>
      <c r="D59" t="s">
        <v>91</v>
      </c>
      <c r="I59" t="s">
        <v>91</v>
      </c>
      <c r="K59" t="s">
        <v>37</v>
      </c>
      <c r="M59" t="s">
        <v>37</v>
      </c>
      <c r="N59" t="s">
        <v>37</v>
      </c>
      <c r="O59" t="s">
        <v>37</v>
      </c>
      <c r="R59" t="s">
        <v>94</v>
      </c>
      <c r="BJ59" t="s">
        <v>91</v>
      </c>
      <c r="BK59" t="s">
        <v>91</v>
      </c>
      <c r="BL59" t="s">
        <v>91</v>
      </c>
    </row>
    <row r="60" spans="1:64" x14ac:dyDescent="0.2">
      <c r="A60" t="s">
        <v>387</v>
      </c>
      <c r="B60" t="s">
        <v>91</v>
      </c>
      <c r="C60" t="s">
        <v>94</v>
      </c>
      <c r="D60" t="s">
        <v>91</v>
      </c>
      <c r="I60" t="s">
        <v>91</v>
      </c>
      <c r="K60" t="s">
        <v>37</v>
      </c>
      <c r="M60" t="s">
        <v>37</v>
      </c>
      <c r="N60" t="s">
        <v>37</v>
      </c>
      <c r="O60" t="s">
        <v>37</v>
      </c>
      <c r="R60" t="s">
        <v>94</v>
      </c>
      <c r="BJ60" t="s">
        <v>91</v>
      </c>
      <c r="BK60" t="s">
        <v>91</v>
      </c>
      <c r="BL60" t="s">
        <v>91</v>
      </c>
    </row>
    <row r="61" spans="1:64" x14ac:dyDescent="0.2">
      <c r="A61" t="s">
        <v>394</v>
      </c>
      <c r="B61" t="s">
        <v>91</v>
      </c>
      <c r="C61" t="s">
        <v>94</v>
      </c>
      <c r="D61" t="s">
        <v>91</v>
      </c>
      <c r="I61" t="s">
        <v>91</v>
      </c>
      <c r="K61" t="s">
        <v>37</v>
      </c>
      <c r="M61" t="s">
        <v>37</v>
      </c>
      <c r="N61" t="s">
        <v>37</v>
      </c>
      <c r="O61" t="s">
        <v>37</v>
      </c>
      <c r="R61" t="s">
        <v>94</v>
      </c>
      <c r="BJ61" t="s">
        <v>91</v>
      </c>
      <c r="BK61" t="s">
        <v>91</v>
      </c>
      <c r="BL61" t="s">
        <v>91</v>
      </c>
    </row>
    <row r="62" spans="1:64" x14ac:dyDescent="0.2">
      <c r="A62" t="s">
        <v>395</v>
      </c>
      <c r="B62" t="s">
        <v>91</v>
      </c>
      <c r="C62" t="s">
        <v>94</v>
      </c>
      <c r="D62" t="s">
        <v>91</v>
      </c>
      <c r="I62" t="s">
        <v>91</v>
      </c>
      <c r="K62" t="s">
        <v>37</v>
      </c>
      <c r="M62" t="s">
        <v>37</v>
      </c>
      <c r="N62" t="s">
        <v>37</v>
      </c>
      <c r="O62" t="s">
        <v>37</v>
      </c>
      <c r="R62" t="s">
        <v>94</v>
      </c>
      <c r="BJ62" t="s">
        <v>91</v>
      </c>
      <c r="BK62" t="s">
        <v>91</v>
      </c>
      <c r="BL62" t="s">
        <v>91</v>
      </c>
    </row>
    <row r="63" spans="1:64" x14ac:dyDescent="0.2">
      <c r="A63" t="s">
        <v>396</v>
      </c>
      <c r="B63" t="s">
        <v>91</v>
      </c>
      <c r="C63" t="s">
        <v>94</v>
      </c>
      <c r="D63" t="s">
        <v>91</v>
      </c>
      <c r="I63" t="s">
        <v>91</v>
      </c>
      <c r="K63" t="s">
        <v>37</v>
      </c>
      <c r="M63" t="s">
        <v>37</v>
      </c>
      <c r="N63" t="s">
        <v>37</v>
      </c>
      <c r="O63" t="s">
        <v>37</v>
      </c>
      <c r="R63" t="s">
        <v>94</v>
      </c>
      <c r="BJ63" t="s">
        <v>91</v>
      </c>
      <c r="BK63" t="s">
        <v>91</v>
      </c>
      <c r="BL63" t="s">
        <v>91</v>
      </c>
    </row>
    <row r="64" spans="1:64" x14ac:dyDescent="0.2">
      <c r="A64" t="s">
        <v>655</v>
      </c>
      <c r="B64" t="s">
        <v>94</v>
      </c>
      <c r="C64" t="s">
        <v>94</v>
      </c>
      <c r="D64" t="s">
        <v>94</v>
      </c>
      <c r="E64" t="s">
        <v>94</v>
      </c>
      <c r="F64" t="s">
        <v>94</v>
      </c>
      <c r="G64" t="s">
        <v>94</v>
      </c>
      <c r="J64" t="s">
        <v>94</v>
      </c>
      <c r="L64" t="s">
        <v>37</v>
      </c>
      <c r="M64" t="s">
        <v>94</v>
      </c>
      <c r="N64" t="s">
        <v>37</v>
      </c>
      <c r="O64" t="s">
        <v>37</v>
      </c>
      <c r="P64" t="s">
        <v>94</v>
      </c>
      <c r="Q64" t="s">
        <v>94</v>
      </c>
      <c r="R64" t="s">
        <v>94</v>
      </c>
      <c r="BJ64" t="s">
        <v>91</v>
      </c>
      <c r="BK64" t="s">
        <v>91</v>
      </c>
      <c r="BL64" t="s">
        <v>91</v>
      </c>
    </row>
    <row r="65" spans="1:64" x14ac:dyDescent="0.2">
      <c r="A65" t="s">
        <v>656</v>
      </c>
      <c r="B65" t="s">
        <v>94</v>
      </c>
      <c r="C65" t="s">
        <v>94</v>
      </c>
      <c r="D65" t="s">
        <v>94</v>
      </c>
      <c r="E65" t="s">
        <v>94</v>
      </c>
      <c r="F65" t="s">
        <v>94</v>
      </c>
      <c r="G65" t="s">
        <v>94</v>
      </c>
      <c r="J65" t="s">
        <v>94</v>
      </c>
      <c r="L65" t="s">
        <v>37</v>
      </c>
      <c r="M65" t="s">
        <v>94</v>
      </c>
      <c r="N65" t="s">
        <v>37</v>
      </c>
      <c r="O65" t="s">
        <v>37</v>
      </c>
      <c r="P65" t="s">
        <v>94</v>
      </c>
      <c r="Q65" t="s">
        <v>94</v>
      </c>
      <c r="R65" t="s">
        <v>94</v>
      </c>
      <c r="BJ65" t="s">
        <v>91</v>
      </c>
      <c r="BK65" t="s">
        <v>91</v>
      </c>
      <c r="BL65" t="s">
        <v>91</v>
      </c>
    </row>
    <row r="66" spans="1:64" x14ac:dyDescent="0.2">
      <c r="A66" t="s">
        <v>657</v>
      </c>
      <c r="B66" t="s">
        <v>94</v>
      </c>
      <c r="C66" t="s">
        <v>94</v>
      </c>
      <c r="D66" t="s">
        <v>94</v>
      </c>
      <c r="E66" t="s">
        <v>94</v>
      </c>
      <c r="F66" t="s">
        <v>94</v>
      </c>
      <c r="G66" t="s">
        <v>94</v>
      </c>
      <c r="J66" t="s">
        <v>94</v>
      </c>
      <c r="L66" t="s">
        <v>37</v>
      </c>
      <c r="M66" t="s">
        <v>94</v>
      </c>
      <c r="N66" t="s">
        <v>37</v>
      </c>
      <c r="O66" t="s">
        <v>37</v>
      </c>
      <c r="P66" t="s">
        <v>94</v>
      </c>
      <c r="Q66" t="s">
        <v>94</v>
      </c>
      <c r="R66" t="s">
        <v>94</v>
      </c>
      <c r="BJ66" t="s">
        <v>91</v>
      </c>
      <c r="BK66" t="s">
        <v>91</v>
      </c>
      <c r="BL66" t="s">
        <v>91</v>
      </c>
    </row>
    <row r="67" spans="1:64" x14ac:dyDescent="0.2">
      <c r="A67" t="s">
        <v>658</v>
      </c>
      <c r="B67" t="s">
        <v>94</v>
      </c>
      <c r="C67" t="s">
        <v>94</v>
      </c>
      <c r="D67" t="s">
        <v>94</v>
      </c>
      <c r="E67" t="s">
        <v>94</v>
      </c>
      <c r="F67" t="s">
        <v>94</v>
      </c>
      <c r="G67" t="s">
        <v>94</v>
      </c>
      <c r="J67" t="s">
        <v>94</v>
      </c>
      <c r="L67" t="s">
        <v>37</v>
      </c>
      <c r="M67" t="s">
        <v>94</v>
      </c>
      <c r="N67" t="s">
        <v>37</v>
      </c>
      <c r="O67" t="s">
        <v>37</v>
      </c>
      <c r="P67" t="s">
        <v>94</v>
      </c>
      <c r="Q67" t="s">
        <v>94</v>
      </c>
      <c r="R67" t="s">
        <v>94</v>
      </c>
      <c r="BJ67" t="s">
        <v>91</v>
      </c>
      <c r="BK67" t="s">
        <v>91</v>
      </c>
      <c r="BL67" t="s">
        <v>91</v>
      </c>
    </row>
    <row r="69" spans="1:64" x14ac:dyDescent="0.2">
      <c r="A69" t="s">
        <v>72</v>
      </c>
    </row>
    <row r="70" spans="1:64" x14ac:dyDescent="0.2">
      <c r="B70" t="s">
        <v>15</v>
      </c>
      <c r="C70" t="s">
        <v>14</v>
      </c>
      <c r="D70" t="s">
        <v>16</v>
      </c>
      <c r="E70" t="s">
        <v>269</v>
      </c>
      <c r="F70" t="s">
        <v>19</v>
      </c>
      <c r="G70" t="s">
        <v>20</v>
      </c>
      <c r="H70" t="s">
        <v>22</v>
      </c>
      <c r="I70" t="s">
        <v>24</v>
      </c>
      <c r="J70" t="s">
        <v>51</v>
      </c>
      <c r="K70" t="s">
        <v>27</v>
      </c>
      <c r="L70" t="s">
        <v>28</v>
      </c>
      <c r="M70" t="s">
        <v>115</v>
      </c>
      <c r="N70" t="s">
        <v>102</v>
      </c>
      <c r="O70" t="s">
        <v>109</v>
      </c>
      <c r="P70" t="s">
        <v>140</v>
      </c>
      <c r="Q70" t="s">
        <v>141</v>
      </c>
      <c r="R70" t="s">
        <v>142</v>
      </c>
      <c r="S70" t="s">
        <v>65</v>
      </c>
      <c r="T70" t="s">
        <v>446</v>
      </c>
      <c r="U70" t="s">
        <v>66</v>
      </c>
      <c r="V70" t="s">
        <v>54</v>
      </c>
      <c r="W70" t="s">
        <v>55</v>
      </c>
      <c r="X70" t="s">
        <v>56</v>
      </c>
      <c r="Y70" t="s">
        <v>57</v>
      </c>
      <c r="Z70" t="s">
        <v>58</v>
      </c>
      <c r="AA70" t="s">
        <v>60</v>
      </c>
      <c r="AB70" t="s">
        <v>59</v>
      </c>
      <c r="AC70" t="s">
        <v>61</v>
      </c>
      <c r="AD70" t="s">
        <v>360</v>
      </c>
      <c r="AE70" t="s">
        <v>309</v>
      </c>
      <c r="AF70" t="s">
        <v>310</v>
      </c>
      <c r="AG70" t="s">
        <v>311</v>
      </c>
      <c r="AH70" t="s">
        <v>312</v>
      </c>
      <c r="AI70" t="s">
        <v>313</v>
      </c>
      <c r="AJ70" t="s">
        <v>314</v>
      </c>
      <c r="AK70" t="s">
        <v>315</v>
      </c>
      <c r="AL70" t="s">
        <v>316</v>
      </c>
      <c r="AM70" t="s">
        <v>317</v>
      </c>
      <c r="AN70" t="s">
        <v>318</v>
      </c>
      <c r="AO70" t="s">
        <v>54</v>
      </c>
      <c r="AP70" t="s">
        <v>319</v>
      </c>
      <c r="AQ70" t="s">
        <v>320</v>
      </c>
      <c r="AR70" t="s">
        <v>321</v>
      </c>
      <c r="AS70" t="s">
        <v>322</v>
      </c>
      <c r="AT70" t="s">
        <v>323</v>
      </c>
      <c r="AU70" t="s">
        <v>324</v>
      </c>
      <c r="AV70" t="s">
        <v>325</v>
      </c>
      <c r="AW70" t="s">
        <v>328</v>
      </c>
      <c r="AX70" t="s">
        <v>326</v>
      </c>
      <c r="AY70" t="s">
        <v>327</v>
      </c>
      <c r="AZ70" t="s">
        <v>329</v>
      </c>
      <c r="BA70" t="s">
        <v>330</v>
      </c>
      <c r="BB70" t="s">
        <v>331</v>
      </c>
      <c r="BC70" t="s">
        <v>332</v>
      </c>
      <c r="BD70" t="s">
        <v>290</v>
      </c>
      <c r="BE70" t="s">
        <v>292</v>
      </c>
      <c r="BF70" t="s">
        <v>291</v>
      </c>
      <c r="BG70" t="s">
        <v>335</v>
      </c>
      <c r="BH70" t="s">
        <v>333</v>
      </c>
      <c r="BI70" t="s">
        <v>334</v>
      </c>
      <c r="BJ70" t="s">
        <v>29</v>
      </c>
      <c r="BK70" t="s">
        <v>30</v>
      </c>
      <c r="BL70" t="s">
        <v>31</v>
      </c>
    </row>
    <row r="71" spans="1:64" x14ac:dyDescent="0.2">
      <c r="A71" t="s">
        <v>651</v>
      </c>
      <c r="B71" t="s">
        <v>92</v>
      </c>
      <c r="C71" t="s">
        <v>540</v>
      </c>
      <c r="D71" t="s">
        <v>92</v>
      </c>
      <c r="E71" t="s">
        <v>224</v>
      </c>
      <c r="F71" t="s">
        <v>542</v>
      </c>
      <c r="G71" t="s">
        <v>544</v>
      </c>
      <c r="J71" t="s">
        <v>358</v>
      </c>
      <c r="L71" t="s">
        <v>99</v>
      </c>
      <c r="M71" t="s">
        <v>116</v>
      </c>
      <c r="N71" t="s">
        <v>107</v>
      </c>
      <c r="O71" t="s">
        <v>110</v>
      </c>
      <c r="P71" t="s">
        <v>283</v>
      </c>
      <c r="Q71" t="s">
        <v>146</v>
      </c>
      <c r="R71" t="s">
        <v>144</v>
      </c>
      <c r="BJ71" t="s">
        <v>157</v>
      </c>
      <c r="BK71" t="s">
        <v>158</v>
      </c>
      <c r="BL71" t="s">
        <v>159</v>
      </c>
    </row>
    <row r="72" spans="1:64" x14ac:dyDescent="0.2">
      <c r="A72" t="s">
        <v>33</v>
      </c>
      <c r="B72" t="s">
        <v>92</v>
      </c>
      <c r="C72" t="s">
        <v>540</v>
      </c>
      <c r="D72" t="s">
        <v>92</v>
      </c>
      <c r="E72" s="13"/>
      <c r="F72" t="s">
        <v>542</v>
      </c>
      <c r="G72" t="s">
        <v>544</v>
      </c>
      <c r="J72" t="s">
        <v>184</v>
      </c>
      <c r="L72" t="s">
        <v>99</v>
      </c>
      <c r="M72" t="s">
        <v>116</v>
      </c>
      <c r="N72" t="s">
        <v>107</v>
      </c>
      <c r="O72" t="s">
        <v>110</v>
      </c>
      <c r="P72" t="s">
        <v>283</v>
      </c>
      <c r="R72" t="s">
        <v>144</v>
      </c>
      <c r="BJ72" t="s">
        <v>157</v>
      </c>
      <c r="BK72" t="s">
        <v>158</v>
      </c>
      <c r="BL72" t="s">
        <v>159</v>
      </c>
    </row>
    <row r="73" spans="1:64" x14ac:dyDescent="0.2">
      <c r="A73" t="s">
        <v>262</v>
      </c>
      <c r="B73" s="13" t="s">
        <v>246</v>
      </c>
      <c r="C73" t="s">
        <v>540</v>
      </c>
      <c r="D73" s="13" t="s">
        <v>246</v>
      </c>
      <c r="E73" t="s">
        <v>224</v>
      </c>
      <c r="F73" t="s">
        <v>542</v>
      </c>
      <c r="G73" t="s">
        <v>544</v>
      </c>
      <c r="J73" t="s">
        <v>184</v>
      </c>
      <c r="L73" t="s">
        <v>99</v>
      </c>
      <c r="M73" t="s">
        <v>248</v>
      </c>
      <c r="N73" t="s">
        <v>107</v>
      </c>
      <c r="O73" t="s">
        <v>110</v>
      </c>
      <c r="P73" t="s">
        <v>146</v>
      </c>
      <c r="Q73" t="s">
        <v>146</v>
      </c>
      <c r="R73" t="s">
        <v>144</v>
      </c>
      <c r="BJ73" t="s">
        <v>157</v>
      </c>
      <c r="BK73" t="s">
        <v>158</v>
      </c>
      <c r="BL73" t="s">
        <v>159</v>
      </c>
    </row>
    <row r="74" spans="1:64" x14ac:dyDescent="0.2">
      <c r="A74" t="s">
        <v>263</v>
      </c>
      <c r="B74" s="13" t="s">
        <v>246</v>
      </c>
      <c r="C74" t="s">
        <v>540</v>
      </c>
      <c r="D74" s="13" t="s">
        <v>246</v>
      </c>
      <c r="E74" t="s">
        <v>224</v>
      </c>
      <c r="F74" t="s">
        <v>542</v>
      </c>
      <c r="G74" t="s">
        <v>544</v>
      </c>
      <c r="J74" t="s">
        <v>184</v>
      </c>
      <c r="L74" t="s">
        <v>99</v>
      </c>
      <c r="M74" t="s">
        <v>248</v>
      </c>
      <c r="N74" t="s">
        <v>107</v>
      </c>
      <c r="O74" t="s">
        <v>110</v>
      </c>
      <c r="P74" t="s">
        <v>146</v>
      </c>
      <c r="Q74" t="s">
        <v>146</v>
      </c>
      <c r="R74" t="s">
        <v>144</v>
      </c>
      <c r="BJ74" t="s">
        <v>157</v>
      </c>
      <c r="BK74" t="s">
        <v>158</v>
      </c>
      <c r="BL74" t="s">
        <v>159</v>
      </c>
    </row>
    <row r="75" spans="1:64" x14ac:dyDescent="0.2">
      <c r="A75" t="s">
        <v>652</v>
      </c>
      <c r="B75" s="13" t="s">
        <v>246</v>
      </c>
      <c r="C75" t="s">
        <v>540</v>
      </c>
      <c r="D75" s="13" t="s">
        <v>246</v>
      </c>
      <c r="E75" t="s">
        <v>224</v>
      </c>
      <c r="F75" t="s">
        <v>542</v>
      </c>
      <c r="G75" t="s">
        <v>544</v>
      </c>
      <c r="J75" t="s">
        <v>184</v>
      </c>
      <c r="L75" t="s">
        <v>99</v>
      </c>
      <c r="M75" t="s">
        <v>248</v>
      </c>
      <c r="N75" t="s">
        <v>107</v>
      </c>
      <c r="O75" t="s">
        <v>110</v>
      </c>
      <c r="P75" t="s">
        <v>146</v>
      </c>
      <c r="Q75" t="s">
        <v>146</v>
      </c>
      <c r="R75" t="s">
        <v>144</v>
      </c>
      <c r="BJ75" t="s">
        <v>157</v>
      </c>
      <c r="BK75" t="s">
        <v>158</v>
      </c>
      <c r="BL75" t="s">
        <v>159</v>
      </c>
    </row>
    <row r="76" spans="1:64" x14ac:dyDescent="0.2">
      <c r="A76" t="s">
        <v>264</v>
      </c>
      <c r="B76" t="s">
        <v>100</v>
      </c>
      <c r="C76" t="s">
        <v>540</v>
      </c>
      <c r="D76" t="s">
        <v>100</v>
      </c>
      <c r="E76" t="s">
        <v>100</v>
      </c>
      <c r="F76" t="s">
        <v>542</v>
      </c>
      <c r="G76" t="s">
        <v>544</v>
      </c>
      <c r="L76" t="s">
        <v>121</v>
      </c>
      <c r="M76" t="s">
        <v>117</v>
      </c>
      <c r="N76" t="s">
        <v>105</v>
      </c>
      <c r="P76" t="s">
        <v>278</v>
      </c>
      <c r="Q76" t="s">
        <v>278</v>
      </c>
      <c r="R76" t="s">
        <v>144</v>
      </c>
      <c r="BJ76" t="s">
        <v>157</v>
      </c>
      <c r="BK76" t="s">
        <v>158</v>
      </c>
      <c r="BL76" t="s">
        <v>159</v>
      </c>
    </row>
    <row r="77" spans="1:64" x14ac:dyDescent="0.2">
      <c r="A77" t="s">
        <v>346</v>
      </c>
      <c r="B77" t="s">
        <v>112</v>
      </c>
      <c r="C77" t="s">
        <v>540</v>
      </c>
      <c r="D77" t="s">
        <v>112</v>
      </c>
      <c r="I77" t="s">
        <v>114</v>
      </c>
      <c r="K77" t="s">
        <v>357</v>
      </c>
      <c r="M77" t="s">
        <v>118</v>
      </c>
      <c r="N77" t="s">
        <v>107</v>
      </c>
      <c r="O77" t="s">
        <v>110</v>
      </c>
      <c r="R77" t="s">
        <v>144</v>
      </c>
      <c r="BJ77" t="s">
        <v>157</v>
      </c>
      <c r="BK77" t="s">
        <v>158</v>
      </c>
      <c r="BL77" t="s">
        <v>159</v>
      </c>
    </row>
    <row r="78" spans="1:64" x14ac:dyDescent="0.2">
      <c r="A78" t="s">
        <v>347</v>
      </c>
      <c r="B78" t="s">
        <v>112</v>
      </c>
      <c r="C78" t="s">
        <v>540</v>
      </c>
      <c r="D78" t="s">
        <v>112</v>
      </c>
      <c r="I78" t="s">
        <v>114</v>
      </c>
      <c r="K78" t="s">
        <v>357</v>
      </c>
      <c r="M78" t="s">
        <v>118</v>
      </c>
      <c r="N78" t="s">
        <v>107</v>
      </c>
      <c r="O78" t="s">
        <v>110</v>
      </c>
      <c r="R78" t="s">
        <v>144</v>
      </c>
      <c r="BJ78" t="s">
        <v>157</v>
      </c>
      <c r="BK78" t="s">
        <v>158</v>
      </c>
      <c r="BL78" t="s">
        <v>159</v>
      </c>
    </row>
    <row r="79" spans="1:64" x14ac:dyDescent="0.2">
      <c r="A79" t="s">
        <v>348</v>
      </c>
      <c r="B79" t="s">
        <v>112</v>
      </c>
      <c r="C79" t="s">
        <v>540</v>
      </c>
      <c r="D79" t="s">
        <v>112</v>
      </c>
      <c r="I79" t="s">
        <v>114</v>
      </c>
      <c r="K79" t="s">
        <v>357</v>
      </c>
      <c r="M79" t="s">
        <v>118</v>
      </c>
      <c r="N79" t="s">
        <v>107</v>
      </c>
      <c r="O79" t="s">
        <v>110</v>
      </c>
      <c r="R79" t="s">
        <v>144</v>
      </c>
      <c r="BJ79" t="s">
        <v>157</v>
      </c>
      <c r="BK79" t="s">
        <v>158</v>
      </c>
      <c r="BL79" t="s">
        <v>159</v>
      </c>
    </row>
    <row r="80" spans="1:64" x14ac:dyDescent="0.2">
      <c r="A80" t="s">
        <v>375</v>
      </c>
      <c r="B80" t="s">
        <v>112</v>
      </c>
      <c r="C80" t="s">
        <v>540</v>
      </c>
      <c r="D80" t="s">
        <v>112</v>
      </c>
      <c r="I80" t="s">
        <v>114</v>
      </c>
      <c r="K80" t="s">
        <v>357</v>
      </c>
      <c r="M80" t="s">
        <v>118</v>
      </c>
      <c r="N80" t="s">
        <v>107</v>
      </c>
      <c r="O80" t="s">
        <v>110</v>
      </c>
      <c r="R80" t="s">
        <v>144</v>
      </c>
      <c r="BJ80" t="s">
        <v>157</v>
      </c>
      <c r="BK80" t="s">
        <v>158</v>
      </c>
      <c r="BL80" t="s">
        <v>159</v>
      </c>
    </row>
    <row r="81" spans="1:64" x14ac:dyDescent="0.2">
      <c r="A81" t="s">
        <v>376</v>
      </c>
      <c r="B81" t="s">
        <v>112</v>
      </c>
      <c r="C81" t="s">
        <v>540</v>
      </c>
      <c r="D81" t="s">
        <v>112</v>
      </c>
      <c r="I81" t="s">
        <v>114</v>
      </c>
      <c r="K81" t="s">
        <v>357</v>
      </c>
      <c r="M81" t="s">
        <v>118</v>
      </c>
      <c r="N81" t="s">
        <v>107</v>
      </c>
      <c r="O81" t="s">
        <v>110</v>
      </c>
      <c r="R81" t="s">
        <v>144</v>
      </c>
      <c r="BJ81" t="s">
        <v>157</v>
      </c>
      <c r="BK81" t="s">
        <v>158</v>
      </c>
      <c r="BL81" t="s">
        <v>159</v>
      </c>
    </row>
    <row r="82" spans="1:64" x14ac:dyDescent="0.2">
      <c r="A82" t="s">
        <v>377</v>
      </c>
      <c r="B82" t="s">
        <v>112</v>
      </c>
      <c r="C82" t="s">
        <v>540</v>
      </c>
      <c r="D82" t="s">
        <v>112</v>
      </c>
      <c r="I82" t="s">
        <v>114</v>
      </c>
      <c r="K82" t="s">
        <v>357</v>
      </c>
      <c r="M82" t="s">
        <v>118</v>
      </c>
      <c r="N82" t="s">
        <v>107</v>
      </c>
      <c r="O82" t="s">
        <v>110</v>
      </c>
      <c r="R82" t="s">
        <v>144</v>
      </c>
      <c r="BJ82" t="s">
        <v>157</v>
      </c>
      <c r="BK82" t="s">
        <v>158</v>
      </c>
      <c r="BL82" t="s">
        <v>159</v>
      </c>
    </row>
    <row r="83" spans="1:64" x14ac:dyDescent="0.2">
      <c r="A83" t="s">
        <v>337</v>
      </c>
      <c r="B83" t="s">
        <v>112</v>
      </c>
      <c r="C83" t="s">
        <v>540</v>
      </c>
      <c r="D83" t="s">
        <v>112</v>
      </c>
      <c r="I83" t="s">
        <v>114</v>
      </c>
      <c r="K83" t="s">
        <v>452</v>
      </c>
      <c r="M83" t="s">
        <v>118</v>
      </c>
      <c r="N83" t="s">
        <v>107</v>
      </c>
      <c r="O83" t="s">
        <v>110</v>
      </c>
      <c r="R83" t="s">
        <v>144</v>
      </c>
      <c r="BJ83" t="s">
        <v>157</v>
      </c>
      <c r="BK83" t="s">
        <v>158</v>
      </c>
      <c r="BL83" t="s">
        <v>159</v>
      </c>
    </row>
    <row r="84" spans="1:64" x14ac:dyDescent="0.2">
      <c r="A84" t="s">
        <v>338</v>
      </c>
      <c r="B84" t="s">
        <v>112</v>
      </c>
      <c r="C84" t="s">
        <v>540</v>
      </c>
      <c r="D84" t="s">
        <v>112</v>
      </c>
      <c r="I84" t="s">
        <v>114</v>
      </c>
      <c r="K84" t="s">
        <v>452</v>
      </c>
      <c r="M84" t="s">
        <v>118</v>
      </c>
      <c r="N84" t="s">
        <v>107</v>
      </c>
      <c r="O84" t="s">
        <v>110</v>
      </c>
      <c r="R84" t="s">
        <v>144</v>
      </c>
      <c r="BJ84" t="s">
        <v>157</v>
      </c>
      <c r="BK84" t="s">
        <v>158</v>
      </c>
      <c r="BL84" t="s">
        <v>159</v>
      </c>
    </row>
    <row r="85" spans="1:64" x14ac:dyDescent="0.2">
      <c r="A85" t="s">
        <v>339</v>
      </c>
      <c r="B85" t="s">
        <v>112</v>
      </c>
      <c r="C85" t="s">
        <v>540</v>
      </c>
      <c r="D85" t="s">
        <v>112</v>
      </c>
      <c r="I85" t="s">
        <v>114</v>
      </c>
      <c r="K85" t="s">
        <v>452</v>
      </c>
      <c r="M85" t="s">
        <v>118</v>
      </c>
      <c r="N85" t="s">
        <v>107</v>
      </c>
      <c r="O85" t="s">
        <v>110</v>
      </c>
      <c r="R85" t="s">
        <v>144</v>
      </c>
      <c r="BJ85" t="s">
        <v>157</v>
      </c>
      <c r="BK85" t="s">
        <v>158</v>
      </c>
      <c r="BL85" t="s">
        <v>159</v>
      </c>
    </row>
    <row r="86" spans="1:64" x14ac:dyDescent="0.2">
      <c r="A86" t="s">
        <v>653</v>
      </c>
      <c r="B86" t="s">
        <v>120</v>
      </c>
      <c r="C86" t="s">
        <v>540</v>
      </c>
      <c r="D86" t="s">
        <v>120</v>
      </c>
      <c r="E86" t="s">
        <v>147</v>
      </c>
      <c r="F86" t="s">
        <v>542</v>
      </c>
      <c r="G86" t="s">
        <v>544</v>
      </c>
      <c r="J86" t="s">
        <v>185</v>
      </c>
      <c r="L86" t="s">
        <v>99</v>
      </c>
      <c r="M86" t="s">
        <v>119</v>
      </c>
      <c r="N86" t="s">
        <v>107</v>
      </c>
      <c r="O86" t="s">
        <v>110</v>
      </c>
      <c r="P86" t="s">
        <v>148</v>
      </c>
      <c r="Q86" t="s">
        <v>148</v>
      </c>
      <c r="R86" t="s">
        <v>144</v>
      </c>
      <c r="BJ86" t="s">
        <v>157</v>
      </c>
      <c r="BK86" t="s">
        <v>158</v>
      </c>
      <c r="BL86" t="s">
        <v>159</v>
      </c>
    </row>
    <row r="87" spans="1:64" x14ac:dyDescent="0.2">
      <c r="A87" t="s">
        <v>654</v>
      </c>
      <c r="B87" t="s">
        <v>120</v>
      </c>
      <c r="C87" t="s">
        <v>540</v>
      </c>
      <c r="D87" t="s">
        <v>120</v>
      </c>
      <c r="E87" t="s">
        <v>147</v>
      </c>
      <c r="F87" t="s">
        <v>542</v>
      </c>
      <c r="G87" t="s">
        <v>544</v>
      </c>
      <c r="J87" t="s">
        <v>185</v>
      </c>
      <c r="L87" t="s">
        <v>99</v>
      </c>
      <c r="M87" t="s">
        <v>119</v>
      </c>
      <c r="N87" t="s">
        <v>107</v>
      </c>
      <c r="O87" t="s">
        <v>110</v>
      </c>
      <c r="P87" t="s">
        <v>148</v>
      </c>
      <c r="Q87" t="s">
        <v>148</v>
      </c>
      <c r="R87" t="s">
        <v>144</v>
      </c>
      <c r="BJ87" t="s">
        <v>157</v>
      </c>
      <c r="BK87" t="s">
        <v>158</v>
      </c>
      <c r="BL87" t="s">
        <v>159</v>
      </c>
    </row>
    <row r="88" spans="1:64" x14ac:dyDescent="0.2">
      <c r="A88" t="s">
        <v>403</v>
      </c>
      <c r="B88" t="s">
        <v>112</v>
      </c>
      <c r="C88" t="s">
        <v>540</v>
      </c>
      <c r="D88" t="s">
        <v>112</v>
      </c>
      <c r="I88" t="s">
        <v>114</v>
      </c>
      <c r="K88" t="s">
        <v>452</v>
      </c>
      <c r="M88" t="s">
        <v>118</v>
      </c>
      <c r="N88" t="s">
        <v>107</v>
      </c>
      <c r="O88" t="s">
        <v>110</v>
      </c>
      <c r="R88" t="s">
        <v>144</v>
      </c>
      <c r="BJ88" t="s">
        <v>157</v>
      </c>
      <c r="BK88" t="s">
        <v>158</v>
      </c>
      <c r="BL88" t="s">
        <v>159</v>
      </c>
    </row>
    <row r="89" spans="1:64" x14ac:dyDescent="0.2">
      <c r="A89" t="s">
        <v>404</v>
      </c>
      <c r="B89" t="s">
        <v>112</v>
      </c>
      <c r="C89" t="s">
        <v>540</v>
      </c>
      <c r="D89" t="s">
        <v>112</v>
      </c>
      <c r="I89" t="s">
        <v>114</v>
      </c>
      <c r="K89" t="s">
        <v>452</v>
      </c>
      <c r="M89" t="s">
        <v>118</v>
      </c>
      <c r="N89" t="s">
        <v>107</v>
      </c>
      <c r="O89" t="s">
        <v>110</v>
      </c>
      <c r="R89" t="s">
        <v>144</v>
      </c>
      <c r="BJ89" t="s">
        <v>157</v>
      </c>
      <c r="BK89" t="s">
        <v>158</v>
      </c>
      <c r="BL89" t="s">
        <v>159</v>
      </c>
    </row>
    <row r="90" spans="1:64" x14ac:dyDescent="0.2">
      <c r="A90" t="s">
        <v>405</v>
      </c>
      <c r="B90" t="s">
        <v>112</v>
      </c>
      <c r="C90" t="s">
        <v>540</v>
      </c>
      <c r="D90" t="s">
        <v>112</v>
      </c>
      <c r="I90" t="s">
        <v>114</v>
      </c>
      <c r="K90" t="s">
        <v>452</v>
      </c>
      <c r="M90" t="s">
        <v>118</v>
      </c>
      <c r="N90" t="s">
        <v>107</v>
      </c>
      <c r="O90" t="s">
        <v>110</v>
      </c>
      <c r="R90" t="s">
        <v>144</v>
      </c>
      <c r="BJ90" t="s">
        <v>157</v>
      </c>
      <c r="BK90" t="s">
        <v>158</v>
      </c>
      <c r="BL90" t="s">
        <v>159</v>
      </c>
    </row>
    <row r="91" spans="1:64" x14ac:dyDescent="0.2">
      <c r="A91" t="s">
        <v>385</v>
      </c>
      <c r="B91" t="s">
        <v>112</v>
      </c>
      <c r="C91" t="s">
        <v>540</v>
      </c>
      <c r="D91" t="s">
        <v>112</v>
      </c>
      <c r="I91" t="s">
        <v>114</v>
      </c>
      <c r="K91" t="s">
        <v>452</v>
      </c>
      <c r="M91" t="s">
        <v>118</v>
      </c>
      <c r="N91" t="s">
        <v>107</v>
      </c>
      <c r="O91" t="s">
        <v>110</v>
      </c>
      <c r="R91" t="s">
        <v>144</v>
      </c>
      <c r="BJ91" t="s">
        <v>157</v>
      </c>
      <c r="BK91" t="s">
        <v>158</v>
      </c>
      <c r="BL91" t="s">
        <v>159</v>
      </c>
    </row>
    <row r="92" spans="1:64" x14ac:dyDescent="0.2">
      <c r="A92" t="s">
        <v>386</v>
      </c>
      <c r="B92" t="s">
        <v>112</v>
      </c>
      <c r="C92" t="s">
        <v>540</v>
      </c>
      <c r="D92" t="s">
        <v>112</v>
      </c>
      <c r="I92" t="s">
        <v>114</v>
      </c>
      <c r="K92" t="s">
        <v>452</v>
      </c>
      <c r="M92" t="s">
        <v>118</v>
      </c>
      <c r="N92" t="s">
        <v>107</v>
      </c>
      <c r="O92" t="s">
        <v>110</v>
      </c>
      <c r="R92" t="s">
        <v>144</v>
      </c>
      <c r="BJ92" t="s">
        <v>157</v>
      </c>
      <c r="BK92" t="s">
        <v>158</v>
      </c>
      <c r="BL92" t="s">
        <v>159</v>
      </c>
    </row>
    <row r="93" spans="1:64" x14ac:dyDescent="0.2">
      <c r="A93" t="s">
        <v>387</v>
      </c>
      <c r="B93" t="s">
        <v>112</v>
      </c>
      <c r="C93" t="s">
        <v>540</v>
      </c>
      <c r="D93" t="s">
        <v>112</v>
      </c>
      <c r="I93" t="s">
        <v>114</v>
      </c>
      <c r="K93" t="s">
        <v>452</v>
      </c>
      <c r="M93" t="s">
        <v>118</v>
      </c>
      <c r="N93" t="s">
        <v>107</v>
      </c>
      <c r="O93" t="s">
        <v>110</v>
      </c>
      <c r="R93" t="s">
        <v>144</v>
      </c>
      <c r="BJ93" t="s">
        <v>157</v>
      </c>
      <c r="BK93" t="s">
        <v>158</v>
      </c>
      <c r="BL93" t="s">
        <v>159</v>
      </c>
    </row>
    <row r="94" spans="1:64" x14ac:dyDescent="0.2">
      <c r="A94" t="s">
        <v>394</v>
      </c>
      <c r="B94" t="s">
        <v>112</v>
      </c>
      <c r="C94" t="s">
        <v>540</v>
      </c>
      <c r="D94" t="s">
        <v>112</v>
      </c>
      <c r="I94" t="s">
        <v>114</v>
      </c>
      <c r="K94" t="s">
        <v>452</v>
      </c>
      <c r="M94" t="s">
        <v>118</v>
      </c>
      <c r="N94" t="s">
        <v>107</v>
      </c>
      <c r="O94" t="s">
        <v>110</v>
      </c>
      <c r="R94" t="s">
        <v>144</v>
      </c>
      <c r="BJ94" t="s">
        <v>157</v>
      </c>
      <c r="BK94" t="s">
        <v>158</v>
      </c>
      <c r="BL94" t="s">
        <v>159</v>
      </c>
    </row>
    <row r="95" spans="1:64" x14ac:dyDescent="0.2">
      <c r="A95" t="s">
        <v>395</v>
      </c>
      <c r="B95" t="s">
        <v>112</v>
      </c>
      <c r="C95" t="s">
        <v>540</v>
      </c>
      <c r="D95" t="s">
        <v>112</v>
      </c>
      <c r="I95" t="s">
        <v>114</v>
      </c>
      <c r="K95" t="s">
        <v>452</v>
      </c>
      <c r="M95" t="s">
        <v>118</v>
      </c>
      <c r="N95" t="s">
        <v>107</v>
      </c>
      <c r="O95" t="s">
        <v>110</v>
      </c>
      <c r="R95" t="s">
        <v>144</v>
      </c>
      <c r="BJ95" t="s">
        <v>157</v>
      </c>
      <c r="BK95" t="s">
        <v>158</v>
      </c>
      <c r="BL95" t="s">
        <v>159</v>
      </c>
    </row>
    <row r="96" spans="1:64" x14ac:dyDescent="0.2">
      <c r="A96" t="s">
        <v>396</v>
      </c>
      <c r="B96" t="s">
        <v>112</v>
      </c>
      <c r="C96" t="s">
        <v>540</v>
      </c>
      <c r="D96" t="s">
        <v>112</v>
      </c>
      <c r="I96" t="s">
        <v>114</v>
      </c>
      <c r="K96" t="s">
        <v>452</v>
      </c>
      <c r="M96" t="s">
        <v>118</v>
      </c>
      <c r="N96" t="s">
        <v>107</v>
      </c>
      <c r="O96" t="s">
        <v>110</v>
      </c>
      <c r="R96" t="s">
        <v>144</v>
      </c>
      <c r="BJ96" t="s">
        <v>157</v>
      </c>
      <c r="BK96" t="s">
        <v>158</v>
      </c>
      <c r="BL96" t="s">
        <v>159</v>
      </c>
    </row>
    <row r="97" spans="1:64" x14ac:dyDescent="0.2">
      <c r="A97" t="s">
        <v>655</v>
      </c>
      <c r="B97" t="s">
        <v>120</v>
      </c>
      <c r="C97" t="s">
        <v>540</v>
      </c>
      <c r="D97" t="s">
        <v>120</v>
      </c>
      <c r="E97" t="s">
        <v>147</v>
      </c>
      <c r="F97" t="s">
        <v>542</v>
      </c>
      <c r="G97" t="s">
        <v>544</v>
      </c>
      <c r="J97" t="s">
        <v>185</v>
      </c>
      <c r="L97" t="s">
        <v>99</v>
      </c>
      <c r="M97" t="s">
        <v>119</v>
      </c>
      <c r="N97" t="s">
        <v>107</v>
      </c>
      <c r="O97" t="s">
        <v>110</v>
      </c>
      <c r="P97" t="s">
        <v>148</v>
      </c>
      <c r="Q97" t="s">
        <v>148</v>
      </c>
      <c r="R97" t="s">
        <v>144</v>
      </c>
      <c r="BJ97" t="s">
        <v>157</v>
      </c>
      <c r="BK97" t="s">
        <v>158</v>
      </c>
      <c r="BL97" t="s">
        <v>159</v>
      </c>
    </row>
    <row r="98" spans="1:64" x14ac:dyDescent="0.2">
      <c r="A98" t="s">
        <v>656</v>
      </c>
      <c r="B98" t="s">
        <v>120</v>
      </c>
      <c r="C98" t="s">
        <v>540</v>
      </c>
      <c r="D98" t="s">
        <v>120</v>
      </c>
      <c r="E98" t="s">
        <v>147</v>
      </c>
      <c r="F98" t="s">
        <v>542</v>
      </c>
      <c r="G98" t="s">
        <v>544</v>
      </c>
      <c r="J98" t="s">
        <v>185</v>
      </c>
      <c r="L98" t="s">
        <v>99</v>
      </c>
      <c r="M98" t="s">
        <v>119</v>
      </c>
      <c r="N98" t="s">
        <v>107</v>
      </c>
      <c r="O98" t="s">
        <v>110</v>
      </c>
      <c r="P98" t="s">
        <v>148</v>
      </c>
      <c r="Q98" t="s">
        <v>148</v>
      </c>
      <c r="R98" t="s">
        <v>144</v>
      </c>
      <c r="BJ98" t="s">
        <v>157</v>
      </c>
      <c r="BK98" t="s">
        <v>158</v>
      </c>
      <c r="BL98" t="s">
        <v>159</v>
      </c>
    </row>
    <row r="99" spans="1:64" x14ac:dyDescent="0.2">
      <c r="A99" t="s">
        <v>657</v>
      </c>
      <c r="B99" t="s">
        <v>120</v>
      </c>
      <c r="C99" t="s">
        <v>540</v>
      </c>
      <c r="D99" t="s">
        <v>120</v>
      </c>
      <c r="E99" t="s">
        <v>147</v>
      </c>
      <c r="F99" t="s">
        <v>542</v>
      </c>
      <c r="G99" t="s">
        <v>544</v>
      </c>
      <c r="J99" t="s">
        <v>185</v>
      </c>
      <c r="L99" t="s">
        <v>99</v>
      </c>
      <c r="M99" t="s">
        <v>119</v>
      </c>
      <c r="N99" t="s">
        <v>107</v>
      </c>
      <c r="O99" t="s">
        <v>110</v>
      </c>
      <c r="P99" t="s">
        <v>148</v>
      </c>
      <c r="Q99" t="s">
        <v>148</v>
      </c>
      <c r="R99" t="s">
        <v>144</v>
      </c>
      <c r="BJ99" t="s">
        <v>157</v>
      </c>
      <c r="BK99" t="s">
        <v>158</v>
      </c>
      <c r="BL99" t="s">
        <v>159</v>
      </c>
    </row>
    <row r="100" spans="1:64" x14ac:dyDescent="0.2">
      <c r="A100" t="s">
        <v>658</v>
      </c>
      <c r="B100" t="s">
        <v>120</v>
      </c>
      <c r="C100" t="s">
        <v>540</v>
      </c>
      <c r="D100" t="s">
        <v>120</v>
      </c>
      <c r="E100" t="s">
        <v>147</v>
      </c>
      <c r="F100" t="s">
        <v>542</v>
      </c>
      <c r="G100" t="s">
        <v>544</v>
      </c>
      <c r="J100" t="s">
        <v>185</v>
      </c>
      <c r="L100" t="s">
        <v>99</v>
      </c>
      <c r="M100" t="s">
        <v>119</v>
      </c>
      <c r="N100" t="s">
        <v>107</v>
      </c>
      <c r="O100" t="s">
        <v>110</v>
      </c>
      <c r="P100" t="s">
        <v>148</v>
      </c>
      <c r="Q100" t="s">
        <v>148</v>
      </c>
      <c r="R100" t="s">
        <v>144</v>
      </c>
      <c r="BJ100" t="s">
        <v>157</v>
      </c>
      <c r="BK100" t="s">
        <v>158</v>
      </c>
      <c r="BL100" t="s">
        <v>159</v>
      </c>
    </row>
    <row r="102" spans="1:64" x14ac:dyDescent="0.2">
      <c r="A102" t="s">
        <v>75</v>
      </c>
    </row>
    <row r="103" spans="1:64" x14ac:dyDescent="0.2">
      <c r="B103" t="s">
        <v>15</v>
      </c>
      <c r="C103" t="s">
        <v>14</v>
      </c>
      <c r="D103" t="s">
        <v>16</v>
      </c>
      <c r="E103" t="s">
        <v>269</v>
      </c>
      <c r="F103" t="s">
        <v>19</v>
      </c>
      <c r="G103" t="s">
        <v>20</v>
      </c>
      <c r="H103" t="s">
        <v>22</v>
      </c>
      <c r="I103" t="s">
        <v>24</v>
      </c>
      <c r="J103" t="s">
        <v>51</v>
      </c>
      <c r="K103" t="s">
        <v>27</v>
      </c>
      <c r="L103" t="s">
        <v>28</v>
      </c>
      <c r="M103" t="s">
        <v>115</v>
      </c>
      <c r="N103" t="s">
        <v>102</v>
      </c>
      <c r="O103" t="s">
        <v>109</v>
      </c>
      <c r="P103" t="s">
        <v>140</v>
      </c>
      <c r="Q103" t="s">
        <v>141</v>
      </c>
      <c r="R103" t="s">
        <v>142</v>
      </c>
      <c r="S103" t="s">
        <v>65</v>
      </c>
      <c r="T103" t="s">
        <v>446</v>
      </c>
      <c r="U103" t="s">
        <v>66</v>
      </c>
      <c r="V103" t="s">
        <v>54</v>
      </c>
      <c r="W103" t="s">
        <v>55</v>
      </c>
      <c r="X103" t="s">
        <v>56</v>
      </c>
      <c r="Y103" t="s">
        <v>57</v>
      </c>
      <c r="Z103" t="s">
        <v>58</v>
      </c>
      <c r="AA103" t="s">
        <v>60</v>
      </c>
      <c r="AB103" t="s">
        <v>59</v>
      </c>
      <c r="AC103" t="s">
        <v>61</v>
      </c>
      <c r="AD103" t="s">
        <v>360</v>
      </c>
      <c r="AE103" t="s">
        <v>309</v>
      </c>
      <c r="AF103" t="s">
        <v>310</v>
      </c>
      <c r="AG103" t="s">
        <v>311</v>
      </c>
      <c r="AH103" t="s">
        <v>312</v>
      </c>
      <c r="AI103" t="s">
        <v>313</v>
      </c>
      <c r="AJ103" t="s">
        <v>314</v>
      </c>
      <c r="AK103" t="s">
        <v>315</v>
      </c>
      <c r="AL103" t="s">
        <v>316</v>
      </c>
      <c r="AM103" t="s">
        <v>317</v>
      </c>
      <c r="AN103" t="s">
        <v>318</v>
      </c>
      <c r="AO103" t="s">
        <v>54</v>
      </c>
      <c r="AP103" t="s">
        <v>319</v>
      </c>
      <c r="AQ103" t="s">
        <v>320</v>
      </c>
      <c r="AR103" t="s">
        <v>321</v>
      </c>
      <c r="AS103" t="s">
        <v>322</v>
      </c>
      <c r="AT103" t="s">
        <v>323</v>
      </c>
      <c r="AU103" t="s">
        <v>324</v>
      </c>
      <c r="AV103" t="s">
        <v>325</v>
      </c>
      <c r="AW103" t="s">
        <v>328</v>
      </c>
      <c r="AX103" t="s">
        <v>326</v>
      </c>
      <c r="AY103" t="s">
        <v>327</v>
      </c>
      <c r="AZ103" t="s">
        <v>329</v>
      </c>
      <c r="BA103" t="s">
        <v>330</v>
      </c>
      <c r="BB103" t="s">
        <v>331</v>
      </c>
      <c r="BC103" t="s">
        <v>332</v>
      </c>
      <c r="BD103" t="s">
        <v>290</v>
      </c>
      <c r="BE103" t="s">
        <v>292</v>
      </c>
      <c r="BF103" t="s">
        <v>291</v>
      </c>
      <c r="BG103" t="s">
        <v>335</v>
      </c>
      <c r="BH103" t="s">
        <v>333</v>
      </c>
      <c r="BI103" t="s">
        <v>334</v>
      </c>
      <c r="BJ103" t="s">
        <v>29</v>
      </c>
      <c r="BK103" t="s">
        <v>30</v>
      </c>
      <c r="BL103" t="s">
        <v>31</v>
      </c>
    </row>
    <row r="104" spans="1:64" x14ac:dyDescent="0.2">
      <c r="A104" t="s">
        <v>651</v>
      </c>
      <c r="B104" t="s">
        <v>75</v>
      </c>
      <c r="C104" t="s">
        <v>76</v>
      </c>
      <c r="D104" t="s">
        <v>75</v>
      </c>
      <c r="E104" t="s">
        <v>76</v>
      </c>
      <c r="F104" t="s">
        <v>76</v>
      </c>
      <c r="G104" t="s">
        <v>76</v>
      </c>
      <c r="J104" t="s">
        <v>75</v>
      </c>
      <c r="K104" t="s">
        <v>76</v>
      </c>
      <c r="L104" t="s">
        <v>95</v>
      </c>
      <c r="M104" t="s">
        <v>75</v>
      </c>
      <c r="N104" t="s">
        <v>104</v>
      </c>
      <c r="O104" t="s">
        <v>104</v>
      </c>
      <c r="P104" t="s">
        <v>75</v>
      </c>
      <c r="Q104" t="s">
        <v>75</v>
      </c>
      <c r="R104" t="s">
        <v>76</v>
      </c>
      <c r="S104" t="s">
        <v>76</v>
      </c>
      <c r="T104" t="s">
        <v>76</v>
      </c>
      <c r="U104" t="s">
        <v>76</v>
      </c>
      <c r="V104" t="s">
        <v>76</v>
      </c>
      <c r="W104" t="s">
        <v>76</v>
      </c>
      <c r="X104" t="s">
        <v>76</v>
      </c>
      <c r="Y104" t="s">
        <v>76</v>
      </c>
      <c r="Z104" t="s">
        <v>76</v>
      </c>
      <c r="AA104" t="s">
        <v>76</v>
      </c>
      <c r="AB104" t="s">
        <v>76</v>
      </c>
      <c r="AC104" t="s">
        <v>76</v>
      </c>
      <c r="AD104" t="s">
        <v>76</v>
      </c>
      <c r="AE104" t="s">
        <v>76</v>
      </c>
      <c r="AF104" t="s">
        <v>76</v>
      </c>
      <c r="AG104" t="s">
        <v>76</v>
      </c>
      <c r="AH104" t="s">
        <v>76</v>
      </c>
      <c r="AI104" t="s">
        <v>76</v>
      </c>
      <c r="AJ104" t="s">
        <v>76</v>
      </c>
      <c r="AK104" t="s">
        <v>76</v>
      </c>
      <c r="AL104" t="s">
        <v>76</v>
      </c>
      <c r="AM104" t="s">
        <v>76</v>
      </c>
      <c r="AN104" t="s">
        <v>76</v>
      </c>
      <c r="AO104" t="s">
        <v>76</v>
      </c>
      <c r="AP104" t="s">
        <v>76</v>
      </c>
      <c r="AQ104" t="s">
        <v>76</v>
      </c>
      <c r="AR104" t="s">
        <v>76</v>
      </c>
      <c r="AS104" t="s">
        <v>76</v>
      </c>
      <c r="AT104" t="s">
        <v>76</v>
      </c>
      <c r="AU104" t="s">
        <v>76</v>
      </c>
      <c r="AV104" t="s">
        <v>76</v>
      </c>
      <c r="AW104" t="s">
        <v>76</v>
      </c>
      <c r="AX104" t="s">
        <v>76</v>
      </c>
      <c r="AY104" t="s">
        <v>76</v>
      </c>
      <c r="AZ104" t="s">
        <v>76</v>
      </c>
      <c r="BA104" t="s">
        <v>76</v>
      </c>
      <c r="BB104" t="s">
        <v>76</v>
      </c>
      <c r="BC104" t="s">
        <v>76</v>
      </c>
      <c r="BD104" t="s">
        <v>76</v>
      </c>
      <c r="BE104" t="s">
        <v>76</v>
      </c>
      <c r="BF104" t="s">
        <v>76</v>
      </c>
      <c r="BG104" t="s">
        <v>76</v>
      </c>
      <c r="BH104" t="s">
        <v>76</v>
      </c>
      <c r="BI104" t="s">
        <v>76</v>
      </c>
      <c r="BJ104" t="s">
        <v>76</v>
      </c>
      <c r="BK104" t="s">
        <v>76</v>
      </c>
      <c r="BL104" t="s">
        <v>76</v>
      </c>
    </row>
    <row r="105" spans="1:64" x14ac:dyDescent="0.2">
      <c r="A105" t="s">
        <v>33</v>
      </c>
      <c r="B105" t="s">
        <v>75</v>
      </c>
      <c r="C105" t="s">
        <v>76</v>
      </c>
      <c r="D105" t="s">
        <v>75</v>
      </c>
      <c r="F105" t="s">
        <v>76</v>
      </c>
      <c r="G105" t="s">
        <v>76</v>
      </c>
      <c r="J105" t="s">
        <v>75</v>
      </c>
      <c r="K105" t="s">
        <v>76</v>
      </c>
      <c r="L105" t="s">
        <v>95</v>
      </c>
      <c r="M105" t="s">
        <v>75</v>
      </c>
      <c r="N105" t="s">
        <v>104</v>
      </c>
      <c r="O105" t="s">
        <v>104</v>
      </c>
      <c r="P105" t="s">
        <v>75</v>
      </c>
      <c r="R105" t="s">
        <v>76</v>
      </c>
      <c r="S105" t="s">
        <v>76</v>
      </c>
      <c r="T105" t="s">
        <v>76</v>
      </c>
      <c r="U105" t="s">
        <v>76</v>
      </c>
      <c r="V105" t="s">
        <v>76</v>
      </c>
      <c r="W105" t="s">
        <v>76</v>
      </c>
      <c r="X105" t="s">
        <v>76</v>
      </c>
      <c r="Y105" t="s">
        <v>76</v>
      </c>
      <c r="Z105" t="s">
        <v>76</v>
      </c>
      <c r="AA105" t="s">
        <v>76</v>
      </c>
      <c r="AB105" t="s">
        <v>76</v>
      </c>
      <c r="AC105" t="s">
        <v>76</v>
      </c>
      <c r="AD105" t="s">
        <v>76</v>
      </c>
      <c r="AE105" t="s">
        <v>76</v>
      </c>
      <c r="AF105" t="s">
        <v>76</v>
      </c>
      <c r="AG105" t="s">
        <v>76</v>
      </c>
      <c r="AH105" t="s">
        <v>76</v>
      </c>
      <c r="AI105" t="s">
        <v>76</v>
      </c>
      <c r="AJ105" t="s">
        <v>76</v>
      </c>
      <c r="AK105" t="s">
        <v>76</v>
      </c>
      <c r="AL105" t="s">
        <v>76</v>
      </c>
      <c r="AM105" t="s">
        <v>76</v>
      </c>
      <c r="AN105" t="s">
        <v>76</v>
      </c>
      <c r="AO105" t="s">
        <v>76</v>
      </c>
      <c r="AP105" t="s">
        <v>76</v>
      </c>
      <c r="AQ105" t="s">
        <v>76</v>
      </c>
      <c r="AR105" t="s">
        <v>76</v>
      </c>
      <c r="AS105" t="s">
        <v>76</v>
      </c>
      <c r="AT105" t="s">
        <v>76</v>
      </c>
      <c r="AU105" t="s">
        <v>76</v>
      </c>
      <c r="AV105" t="s">
        <v>76</v>
      </c>
      <c r="AW105" t="s">
        <v>76</v>
      </c>
      <c r="AX105" t="s">
        <v>76</v>
      </c>
      <c r="AY105" t="s">
        <v>76</v>
      </c>
      <c r="AZ105" t="s">
        <v>76</v>
      </c>
      <c r="BA105" t="s">
        <v>76</v>
      </c>
      <c r="BB105" t="s">
        <v>76</v>
      </c>
      <c r="BC105" t="s">
        <v>76</v>
      </c>
      <c r="BD105" t="s">
        <v>76</v>
      </c>
      <c r="BE105" t="s">
        <v>76</v>
      </c>
      <c r="BF105" t="s">
        <v>76</v>
      </c>
      <c r="BG105" t="s">
        <v>76</v>
      </c>
      <c r="BH105" t="s">
        <v>76</v>
      </c>
      <c r="BI105" t="s">
        <v>76</v>
      </c>
      <c r="BJ105" t="s">
        <v>76</v>
      </c>
      <c r="BK105" t="s">
        <v>76</v>
      </c>
      <c r="BL105" t="s">
        <v>76</v>
      </c>
    </row>
    <row r="106" spans="1:64" x14ac:dyDescent="0.2">
      <c r="A106" t="s">
        <v>262</v>
      </c>
      <c r="B106" t="s">
        <v>75</v>
      </c>
      <c r="C106" t="s">
        <v>76</v>
      </c>
      <c r="D106" t="s">
        <v>75</v>
      </c>
      <c r="E106" t="s">
        <v>76</v>
      </c>
      <c r="F106" t="s">
        <v>76</v>
      </c>
      <c r="G106" t="s">
        <v>76</v>
      </c>
      <c r="J106" t="s">
        <v>75</v>
      </c>
      <c r="K106" t="s">
        <v>76</v>
      </c>
      <c r="L106" t="s">
        <v>95</v>
      </c>
      <c r="M106" t="s">
        <v>75</v>
      </c>
      <c r="N106" t="s">
        <v>104</v>
      </c>
      <c r="O106" t="s">
        <v>104</v>
      </c>
      <c r="P106" t="s">
        <v>75</v>
      </c>
      <c r="Q106" t="s">
        <v>75</v>
      </c>
      <c r="R106" t="s">
        <v>76</v>
      </c>
      <c r="S106" t="s">
        <v>76</v>
      </c>
      <c r="T106" t="s">
        <v>76</v>
      </c>
      <c r="U106" t="s">
        <v>76</v>
      </c>
      <c r="V106" t="s">
        <v>76</v>
      </c>
      <c r="W106" t="s">
        <v>76</v>
      </c>
      <c r="X106" t="s">
        <v>76</v>
      </c>
      <c r="Y106" t="s">
        <v>76</v>
      </c>
      <c r="Z106" t="s">
        <v>76</v>
      </c>
      <c r="AA106" t="s">
        <v>76</v>
      </c>
      <c r="AB106" t="s">
        <v>76</v>
      </c>
      <c r="AC106" t="s">
        <v>76</v>
      </c>
      <c r="AD106" t="s">
        <v>76</v>
      </c>
      <c r="AE106" t="s">
        <v>76</v>
      </c>
      <c r="AF106" t="s">
        <v>76</v>
      </c>
      <c r="AG106" t="s">
        <v>76</v>
      </c>
      <c r="AH106" t="s">
        <v>76</v>
      </c>
      <c r="AI106" t="s">
        <v>76</v>
      </c>
      <c r="AJ106" t="s">
        <v>76</v>
      </c>
      <c r="AK106" t="s">
        <v>76</v>
      </c>
      <c r="AL106" t="s">
        <v>76</v>
      </c>
      <c r="AM106" t="s">
        <v>76</v>
      </c>
      <c r="AN106" t="s">
        <v>76</v>
      </c>
      <c r="AO106" t="s">
        <v>76</v>
      </c>
      <c r="AP106" t="s">
        <v>76</v>
      </c>
      <c r="AQ106" t="s">
        <v>76</v>
      </c>
      <c r="AR106" t="s">
        <v>76</v>
      </c>
      <c r="AS106" t="s">
        <v>76</v>
      </c>
      <c r="AT106" t="s">
        <v>76</v>
      </c>
      <c r="AU106" t="s">
        <v>76</v>
      </c>
      <c r="AV106" t="s">
        <v>76</v>
      </c>
      <c r="AW106" t="s">
        <v>76</v>
      </c>
      <c r="AX106" t="s">
        <v>76</v>
      </c>
      <c r="AY106" t="s">
        <v>76</v>
      </c>
      <c r="AZ106" t="s">
        <v>76</v>
      </c>
      <c r="BA106" t="s">
        <v>76</v>
      </c>
      <c r="BB106" t="s">
        <v>76</v>
      </c>
      <c r="BC106" t="s">
        <v>76</v>
      </c>
      <c r="BD106" t="s">
        <v>76</v>
      </c>
      <c r="BE106" t="s">
        <v>76</v>
      </c>
      <c r="BF106" t="s">
        <v>76</v>
      </c>
      <c r="BG106" t="s">
        <v>76</v>
      </c>
      <c r="BH106" t="s">
        <v>76</v>
      </c>
      <c r="BI106" t="s">
        <v>76</v>
      </c>
      <c r="BJ106" t="s">
        <v>76</v>
      </c>
      <c r="BK106" t="s">
        <v>76</v>
      </c>
      <c r="BL106" t="s">
        <v>76</v>
      </c>
    </row>
    <row r="107" spans="1:64" x14ac:dyDescent="0.2">
      <c r="A107" t="s">
        <v>263</v>
      </c>
      <c r="B107" t="s">
        <v>75</v>
      </c>
      <c r="C107" t="s">
        <v>76</v>
      </c>
      <c r="D107" t="s">
        <v>75</v>
      </c>
      <c r="E107" t="s">
        <v>76</v>
      </c>
      <c r="F107" t="s">
        <v>76</v>
      </c>
      <c r="G107" t="s">
        <v>76</v>
      </c>
      <c r="J107" t="s">
        <v>75</v>
      </c>
      <c r="K107" t="s">
        <v>76</v>
      </c>
      <c r="L107" t="s">
        <v>95</v>
      </c>
      <c r="M107" t="s">
        <v>75</v>
      </c>
      <c r="N107" t="s">
        <v>104</v>
      </c>
      <c r="O107" t="s">
        <v>104</v>
      </c>
      <c r="P107" t="s">
        <v>75</v>
      </c>
      <c r="Q107" t="s">
        <v>75</v>
      </c>
      <c r="R107" t="s">
        <v>76</v>
      </c>
      <c r="S107" t="s">
        <v>76</v>
      </c>
      <c r="T107" t="s">
        <v>76</v>
      </c>
      <c r="U107" t="s">
        <v>76</v>
      </c>
      <c r="V107" t="s">
        <v>76</v>
      </c>
      <c r="W107" t="s">
        <v>76</v>
      </c>
      <c r="X107" t="s">
        <v>76</v>
      </c>
      <c r="Y107" t="s">
        <v>76</v>
      </c>
      <c r="Z107" t="s">
        <v>76</v>
      </c>
      <c r="AA107" t="s">
        <v>76</v>
      </c>
      <c r="AB107" t="s">
        <v>76</v>
      </c>
      <c r="AC107" t="s">
        <v>76</v>
      </c>
      <c r="AD107" t="s">
        <v>76</v>
      </c>
      <c r="AE107" t="s">
        <v>76</v>
      </c>
      <c r="AF107" t="s">
        <v>76</v>
      </c>
      <c r="AG107" t="s">
        <v>76</v>
      </c>
      <c r="AH107" t="s">
        <v>76</v>
      </c>
      <c r="AI107" t="s">
        <v>76</v>
      </c>
      <c r="AJ107" t="s">
        <v>76</v>
      </c>
      <c r="AK107" t="s">
        <v>76</v>
      </c>
      <c r="AL107" t="s">
        <v>76</v>
      </c>
      <c r="AM107" t="s">
        <v>76</v>
      </c>
      <c r="AN107" t="s">
        <v>76</v>
      </c>
      <c r="AO107" t="s">
        <v>76</v>
      </c>
      <c r="AP107" t="s">
        <v>76</v>
      </c>
      <c r="AQ107" t="s">
        <v>76</v>
      </c>
      <c r="AR107" t="s">
        <v>76</v>
      </c>
      <c r="AS107" t="s">
        <v>76</v>
      </c>
      <c r="AT107" t="s">
        <v>76</v>
      </c>
      <c r="AU107" t="s">
        <v>76</v>
      </c>
      <c r="AV107" t="s">
        <v>76</v>
      </c>
      <c r="AW107" t="s">
        <v>76</v>
      </c>
      <c r="AX107" t="s">
        <v>76</v>
      </c>
      <c r="AY107" t="s">
        <v>76</v>
      </c>
      <c r="AZ107" t="s">
        <v>76</v>
      </c>
      <c r="BA107" t="s">
        <v>76</v>
      </c>
      <c r="BB107" t="s">
        <v>76</v>
      </c>
      <c r="BC107" t="s">
        <v>76</v>
      </c>
      <c r="BD107" t="s">
        <v>76</v>
      </c>
      <c r="BE107" t="s">
        <v>76</v>
      </c>
      <c r="BF107" t="s">
        <v>76</v>
      </c>
      <c r="BG107" t="s">
        <v>76</v>
      </c>
      <c r="BH107" t="s">
        <v>76</v>
      </c>
      <c r="BI107" t="s">
        <v>76</v>
      </c>
      <c r="BJ107" t="s">
        <v>76</v>
      </c>
      <c r="BK107" t="s">
        <v>76</v>
      </c>
      <c r="BL107" t="s">
        <v>76</v>
      </c>
    </row>
    <row r="108" spans="1:64" x14ac:dyDescent="0.2">
      <c r="A108" t="s">
        <v>652</v>
      </c>
      <c r="B108" t="s">
        <v>75</v>
      </c>
      <c r="C108" t="s">
        <v>76</v>
      </c>
      <c r="D108" t="s">
        <v>75</v>
      </c>
      <c r="E108" t="s">
        <v>76</v>
      </c>
      <c r="F108" t="s">
        <v>76</v>
      </c>
      <c r="G108" t="s">
        <v>76</v>
      </c>
      <c r="J108" t="s">
        <v>75</v>
      </c>
      <c r="K108" t="s">
        <v>76</v>
      </c>
      <c r="L108" t="s">
        <v>95</v>
      </c>
      <c r="M108" t="s">
        <v>75</v>
      </c>
      <c r="N108" t="s">
        <v>104</v>
      </c>
      <c r="O108" t="s">
        <v>104</v>
      </c>
      <c r="P108" t="s">
        <v>75</v>
      </c>
      <c r="Q108" t="s">
        <v>75</v>
      </c>
      <c r="R108" t="s">
        <v>76</v>
      </c>
      <c r="S108" t="s">
        <v>76</v>
      </c>
      <c r="T108" t="s">
        <v>76</v>
      </c>
      <c r="U108" t="s">
        <v>76</v>
      </c>
      <c r="V108" t="s">
        <v>76</v>
      </c>
      <c r="W108" t="s">
        <v>76</v>
      </c>
      <c r="X108" t="s">
        <v>76</v>
      </c>
      <c r="Y108" t="s">
        <v>76</v>
      </c>
      <c r="Z108" t="s">
        <v>76</v>
      </c>
      <c r="AA108" t="s">
        <v>76</v>
      </c>
      <c r="AB108" t="s">
        <v>76</v>
      </c>
      <c r="AC108" t="s">
        <v>76</v>
      </c>
      <c r="AD108" t="s">
        <v>76</v>
      </c>
      <c r="AE108" t="s">
        <v>76</v>
      </c>
      <c r="AF108" t="s">
        <v>76</v>
      </c>
      <c r="AG108" t="s">
        <v>76</v>
      </c>
      <c r="AH108" t="s">
        <v>76</v>
      </c>
      <c r="AI108" t="s">
        <v>76</v>
      </c>
      <c r="AJ108" t="s">
        <v>76</v>
      </c>
      <c r="AK108" t="s">
        <v>76</v>
      </c>
      <c r="AL108" t="s">
        <v>76</v>
      </c>
      <c r="AM108" t="s">
        <v>76</v>
      </c>
      <c r="AN108" t="s">
        <v>76</v>
      </c>
      <c r="AO108" t="s">
        <v>76</v>
      </c>
      <c r="AP108" t="s">
        <v>76</v>
      </c>
      <c r="AQ108" t="s">
        <v>76</v>
      </c>
      <c r="AR108" t="s">
        <v>76</v>
      </c>
      <c r="AS108" t="s">
        <v>76</v>
      </c>
      <c r="AT108" t="s">
        <v>76</v>
      </c>
      <c r="AU108" t="s">
        <v>76</v>
      </c>
      <c r="AV108" t="s">
        <v>76</v>
      </c>
      <c r="AW108" t="s">
        <v>76</v>
      </c>
      <c r="AX108" t="s">
        <v>76</v>
      </c>
      <c r="AY108" t="s">
        <v>76</v>
      </c>
      <c r="AZ108" t="s">
        <v>76</v>
      </c>
      <c r="BA108" t="s">
        <v>76</v>
      </c>
      <c r="BB108" t="s">
        <v>76</v>
      </c>
      <c r="BC108" t="s">
        <v>76</v>
      </c>
      <c r="BD108" t="s">
        <v>76</v>
      </c>
      <c r="BE108" t="s">
        <v>76</v>
      </c>
      <c r="BF108" t="s">
        <v>76</v>
      </c>
      <c r="BG108" t="s">
        <v>76</v>
      </c>
      <c r="BH108" t="s">
        <v>76</v>
      </c>
      <c r="BI108" t="s">
        <v>76</v>
      </c>
      <c r="BJ108" t="s">
        <v>76</v>
      </c>
      <c r="BK108" t="s">
        <v>76</v>
      </c>
      <c r="BL108" t="s">
        <v>76</v>
      </c>
    </row>
    <row r="109" spans="1:64" x14ac:dyDescent="0.2">
      <c r="A109" t="s">
        <v>264</v>
      </c>
      <c r="B109" t="s">
        <v>75</v>
      </c>
      <c r="C109" t="s">
        <v>76</v>
      </c>
      <c r="D109" t="s">
        <v>75</v>
      </c>
      <c r="E109" t="s">
        <v>75</v>
      </c>
      <c r="F109" t="s">
        <v>76</v>
      </c>
      <c r="G109" t="s">
        <v>76</v>
      </c>
      <c r="K109" t="s">
        <v>76</v>
      </c>
      <c r="L109" t="s">
        <v>95</v>
      </c>
      <c r="M109" t="s">
        <v>75</v>
      </c>
      <c r="N109" t="s">
        <v>104</v>
      </c>
      <c r="P109" t="s">
        <v>75</v>
      </c>
      <c r="Q109" t="s">
        <v>75</v>
      </c>
      <c r="R109" t="s">
        <v>76</v>
      </c>
      <c r="S109" t="s">
        <v>76</v>
      </c>
      <c r="T109" t="s">
        <v>76</v>
      </c>
      <c r="U109" t="s">
        <v>76</v>
      </c>
      <c r="V109" t="s">
        <v>76</v>
      </c>
      <c r="W109" t="s">
        <v>76</v>
      </c>
      <c r="X109" t="s">
        <v>76</v>
      </c>
      <c r="Y109" t="s">
        <v>76</v>
      </c>
      <c r="Z109" t="s">
        <v>76</v>
      </c>
      <c r="AA109" t="s">
        <v>76</v>
      </c>
      <c r="AB109" t="s">
        <v>76</v>
      </c>
      <c r="AC109" t="s">
        <v>76</v>
      </c>
      <c r="AD109" t="s">
        <v>76</v>
      </c>
      <c r="AE109" t="s">
        <v>76</v>
      </c>
      <c r="AF109" t="s">
        <v>76</v>
      </c>
      <c r="AG109" t="s">
        <v>76</v>
      </c>
      <c r="AH109" t="s">
        <v>76</v>
      </c>
      <c r="AI109" t="s">
        <v>76</v>
      </c>
      <c r="AJ109" t="s">
        <v>76</v>
      </c>
      <c r="AK109" t="s">
        <v>76</v>
      </c>
      <c r="AL109" t="s">
        <v>76</v>
      </c>
      <c r="AM109" t="s">
        <v>76</v>
      </c>
      <c r="AN109" t="s">
        <v>76</v>
      </c>
      <c r="AO109" t="s">
        <v>76</v>
      </c>
      <c r="AP109" t="s">
        <v>76</v>
      </c>
      <c r="AQ109" t="s">
        <v>76</v>
      </c>
      <c r="AR109" t="s">
        <v>76</v>
      </c>
      <c r="AS109" t="s">
        <v>76</v>
      </c>
      <c r="AT109" t="s">
        <v>76</v>
      </c>
      <c r="AU109" t="s">
        <v>76</v>
      </c>
      <c r="AV109" t="s">
        <v>76</v>
      </c>
      <c r="AW109" t="s">
        <v>76</v>
      </c>
      <c r="AX109" t="s">
        <v>76</v>
      </c>
      <c r="AY109" t="s">
        <v>76</v>
      </c>
      <c r="AZ109" t="s">
        <v>76</v>
      </c>
      <c r="BA109" t="s">
        <v>76</v>
      </c>
      <c r="BB109" t="s">
        <v>76</v>
      </c>
      <c r="BC109" t="s">
        <v>76</v>
      </c>
      <c r="BD109" t="s">
        <v>76</v>
      </c>
      <c r="BE109" t="s">
        <v>76</v>
      </c>
      <c r="BF109" t="s">
        <v>76</v>
      </c>
      <c r="BG109" t="s">
        <v>76</v>
      </c>
      <c r="BH109" t="s">
        <v>76</v>
      </c>
      <c r="BI109" t="s">
        <v>76</v>
      </c>
      <c r="BJ109" t="s">
        <v>76</v>
      </c>
      <c r="BK109" t="s">
        <v>76</v>
      </c>
      <c r="BL109" t="s">
        <v>76</v>
      </c>
    </row>
    <row r="110" spans="1:64" x14ac:dyDescent="0.2">
      <c r="A110" t="s">
        <v>346</v>
      </c>
      <c r="B110" t="s">
        <v>75</v>
      </c>
      <c r="C110" t="s">
        <v>76</v>
      </c>
      <c r="D110" t="s">
        <v>75</v>
      </c>
      <c r="I110" t="s">
        <v>76</v>
      </c>
      <c r="K110" t="s">
        <v>76</v>
      </c>
      <c r="L110" t="s">
        <v>95</v>
      </c>
      <c r="M110" t="s">
        <v>75</v>
      </c>
      <c r="N110" t="s">
        <v>104</v>
      </c>
      <c r="O110" t="s">
        <v>104</v>
      </c>
      <c r="R110" t="s">
        <v>76</v>
      </c>
      <c r="S110" t="s">
        <v>76</v>
      </c>
      <c r="T110" t="s">
        <v>76</v>
      </c>
      <c r="U110" t="s">
        <v>76</v>
      </c>
      <c r="V110" t="s">
        <v>76</v>
      </c>
      <c r="W110" t="s">
        <v>76</v>
      </c>
      <c r="X110" t="s">
        <v>76</v>
      </c>
      <c r="Y110" t="s">
        <v>76</v>
      </c>
      <c r="Z110" t="s">
        <v>76</v>
      </c>
      <c r="AA110" t="s">
        <v>76</v>
      </c>
      <c r="AB110" t="s">
        <v>76</v>
      </c>
      <c r="AC110" t="s">
        <v>76</v>
      </c>
      <c r="AD110" t="s">
        <v>76</v>
      </c>
      <c r="AE110" t="s">
        <v>76</v>
      </c>
      <c r="AF110" t="s">
        <v>76</v>
      </c>
      <c r="AG110" t="s">
        <v>76</v>
      </c>
      <c r="AH110" t="s">
        <v>76</v>
      </c>
      <c r="AI110" t="s">
        <v>76</v>
      </c>
      <c r="AJ110" t="s">
        <v>76</v>
      </c>
      <c r="AK110" t="s">
        <v>76</v>
      </c>
      <c r="AL110" t="s">
        <v>76</v>
      </c>
      <c r="AM110" t="s">
        <v>76</v>
      </c>
      <c r="AN110" t="s">
        <v>76</v>
      </c>
      <c r="AO110" t="s">
        <v>76</v>
      </c>
      <c r="AP110" t="s">
        <v>76</v>
      </c>
      <c r="AQ110" t="s">
        <v>76</v>
      </c>
      <c r="AR110" t="s">
        <v>76</v>
      </c>
      <c r="AS110" t="s">
        <v>76</v>
      </c>
      <c r="AT110" t="s">
        <v>76</v>
      </c>
      <c r="AU110" t="s">
        <v>76</v>
      </c>
      <c r="AV110" t="s">
        <v>76</v>
      </c>
      <c r="AW110" t="s">
        <v>76</v>
      </c>
      <c r="AX110" t="s">
        <v>76</v>
      </c>
      <c r="AY110" t="s">
        <v>76</v>
      </c>
      <c r="AZ110" t="s">
        <v>76</v>
      </c>
      <c r="BA110" t="s">
        <v>76</v>
      </c>
      <c r="BB110" t="s">
        <v>76</v>
      </c>
      <c r="BC110" t="s">
        <v>76</v>
      </c>
      <c r="BD110" t="s">
        <v>76</v>
      </c>
      <c r="BE110" t="s">
        <v>76</v>
      </c>
      <c r="BF110" t="s">
        <v>76</v>
      </c>
      <c r="BG110" t="s">
        <v>76</v>
      </c>
      <c r="BH110" t="s">
        <v>76</v>
      </c>
      <c r="BI110" t="s">
        <v>76</v>
      </c>
      <c r="BJ110" t="s">
        <v>76</v>
      </c>
      <c r="BK110" t="s">
        <v>76</v>
      </c>
      <c r="BL110" t="s">
        <v>76</v>
      </c>
    </row>
    <row r="111" spans="1:64" x14ac:dyDescent="0.2">
      <c r="A111" t="s">
        <v>347</v>
      </c>
      <c r="B111" t="s">
        <v>75</v>
      </c>
      <c r="C111" t="s">
        <v>76</v>
      </c>
      <c r="D111" t="s">
        <v>75</v>
      </c>
      <c r="I111" t="s">
        <v>76</v>
      </c>
      <c r="K111" t="s">
        <v>76</v>
      </c>
      <c r="L111" t="s">
        <v>95</v>
      </c>
      <c r="M111" t="s">
        <v>75</v>
      </c>
      <c r="N111" t="s">
        <v>104</v>
      </c>
      <c r="O111" t="s">
        <v>104</v>
      </c>
      <c r="R111" t="s">
        <v>76</v>
      </c>
      <c r="S111" t="s">
        <v>76</v>
      </c>
      <c r="T111" t="s">
        <v>76</v>
      </c>
      <c r="U111" t="s">
        <v>76</v>
      </c>
      <c r="V111" t="s">
        <v>76</v>
      </c>
      <c r="W111" t="s">
        <v>76</v>
      </c>
      <c r="X111" t="s">
        <v>76</v>
      </c>
      <c r="Y111" t="s">
        <v>76</v>
      </c>
      <c r="Z111" t="s">
        <v>76</v>
      </c>
      <c r="AA111" t="s">
        <v>76</v>
      </c>
      <c r="AB111" t="s">
        <v>76</v>
      </c>
      <c r="AC111" t="s">
        <v>76</v>
      </c>
      <c r="AD111" t="s">
        <v>76</v>
      </c>
      <c r="AE111" t="s">
        <v>76</v>
      </c>
      <c r="AF111" t="s">
        <v>76</v>
      </c>
      <c r="AG111" t="s">
        <v>76</v>
      </c>
      <c r="AH111" t="s">
        <v>76</v>
      </c>
      <c r="AI111" t="s">
        <v>76</v>
      </c>
      <c r="AJ111" t="s">
        <v>76</v>
      </c>
      <c r="AK111" t="s">
        <v>76</v>
      </c>
      <c r="AL111" t="s">
        <v>76</v>
      </c>
      <c r="AM111" t="s">
        <v>76</v>
      </c>
      <c r="AN111" t="s">
        <v>76</v>
      </c>
      <c r="AO111" t="s">
        <v>76</v>
      </c>
      <c r="AP111" t="s">
        <v>76</v>
      </c>
      <c r="AQ111" t="s">
        <v>76</v>
      </c>
      <c r="AR111" t="s">
        <v>76</v>
      </c>
      <c r="AS111" t="s">
        <v>76</v>
      </c>
      <c r="AT111" t="s">
        <v>76</v>
      </c>
      <c r="AU111" t="s">
        <v>76</v>
      </c>
      <c r="AV111" t="s">
        <v>76</v>
      </c>
      <c r="AW111" t="s">
        <v>76</v>
      </c>
      <c r="AX111" t="s">
        <v>76</v>
      </c>
      <c r="AY111" t="s">
        <v>76</v>
      </c>
      <c r="AZ111" t="s">
        <v>76</v>
      </c>
      <c r="BA111" t="s">
        <v>76</v>
      </c>
      <c r="BB111" t="s">
        <v>76</v>
      </c>
      <c r="BC111" t="s">
        <v>76</v>
      </c>
      <c r="BD111" t="s">
        <v>76</v>
      </c>
      <c r="BE111" t="s">
        <v>76</v>
      </c>
      <c r="BF111" t="s">
        <v>76</v>
      </c>
      <c r="BG111" t="s">
        <v>76</v>
      </c>
      <c r="BH111" t="s">
        <v>76</v>
      </c>
      <c r="BI111" t="s">
        <v>76</v>
      </c>
      <c r="BJ111" t="s">
        <v>76</v>
      </c>
      <c r="BK111" t="s">
        <v>76</v>
      </c>
      <c r="BL111" t="s">
        <v>76</v>
      </c>
    </row>
    <row r="112" spans="1:64" x14ac:dyDescent="0.2">
      <c r="A112" t="s">
        <v>348</v>
      </c>
      <c r="B112" t="s">
        <v>75</v>
      </c>
      <c r="C112" t="s">
        <v>76</v>
      </c>
      <c r="D112" t="s">
        <v>75</v>
      </c>
      <c r="I112" t="s">
        <v>76</v>
      </c>
      <c r="K112" t="s">
        <v>76</v>
      </c>
      <c r="L112" t="s">
        <v>95</v>
      </c>
      <c r="M112" t="s">
        <v>75</v>
      </c>
      <c r="N112" t="s">
        <v>104</v>
      </c>
      <c r="O112" t="s">
        <v>104</v>
      </c>
      <c r="R112" t="s">
        <v>76</v>
      </c>
      <c r="S112" t="s">
        <v>76</v>
      </c>
      <c r="T112" t="s">
        <v>76</v>
      </c>
      <c r="U112" t="s">
        <v>76</v>
      </c>
      <c r="V112" t="s">
        <v>76</v>
      </c>
      <c r="W112" t="s">
        <v>76</v>
      </c>
      <c r="X112" t="s">
        <v>76</v>
      </c>
      <c r="Y112" t="s">
        <v>76</v>
      </c>
      <c r="Z112" t="s">
        <v>76</v>
      </c>
      <c r="AA112" t="s">
        <v>76</v>
      </c>
      <c r="AB112" t="s">
        <v>76</v>
      </c>
      <c r="AC112" t="s">
        <v>76</v>
      </c>
      <c r="AD112" t="s">
        <v>76</v>
      </c>
      <c r="AE112" t="s">
        <v>76</v>
      </c>
      <c r="AF112" t="s">
        <v>76</v>
      </c>
      <c r="AG112" t="s">
        <v>76</v>
      </c>
      <c r="AH112" t="s">
        <v>76</v>
      </c>
      <c r="AI112" t="s">
        <v>76</v>
      </c>
      <c r="AJ112" t="s">
        <v>76</v>
      </c>
      <c r="AK112" t="s">
        <v>76</v>
      </c>
      <c r="AL112" t="s">
        <v>76</v>
      </c>
      <c r="AM112" t="s">
        <v>76</v>
      </c>
      <c r="AN112" t="s">
        <v>76</v>
      </c>
      <c r="AO112" t="s">
        <v>76</v>
      </c>
      <c r="AP112" t="s">
        <v>76</v>
      </c>
      <c r="AQ112" t="s">
        <v>76</v>
      </c>
      <c r="AR112" t="s">
        <v>76</v>
      </c>
      <c r="AS112" t="s">
        <v>76</v>
      </c>
      <c r="AT112" t="s">
        <v>76</v>
      </c>
      <c r="AU112" t="s">
        <v>76</v>
      </c>
      <c r="AV112" t="s">
        <v>76</v>
      </c>
      <c r="AW112" t="s">
        <v>76</v>
      </c>
      <c r="AX112" t="s">
        <v>76</v>
      </c>
      <c r="AY112" t="s">
        <v>76</v>
      </c>
      <c r="AZ112" t="s">
        <v>76</v>
      </c>
      <c r="BA112" t="s">
        <v>76</v>
      </c>
      <c r="BB112" t="s">
        <v>76</v>
      </c>
      <c r="BC112" t="s">
        <v>76</v>
      </c>
      <c r="BD112" t="s">
        <v>76</v>
      </c>
      <c r="BE112" t="s">
        <v>76</v>
      </c>
      <c r="BF112" t="s">
        <v>76</v>
      </c>
      <c r="BG112" t="s">
        <v>76</v>
      </c>
      <c r="BH112" t="s">
        <v>76</v>
      </c>
      <c r="BI112" t="s">
        <v>76</v>
      </c>
      <c r="BJ112" t="s">
        <v>76</v>
      </c>
      <c r="BK112" t="s">
        <v>76</v>
      </c>
      <c r="BL112" t="s">
        <v>76</v>
      </c>
    </row>
    <row r="113" spans="1:64" x14ac:dyDescent="0.2">
      <c r="A113" t="s">
        <v>375</v>
      </c>
      <c r="B113" t="s">
        <v>75</v>
      </c>
      <c r="C113" t="s">
        <v>76</v>
      </c>
      <c r="D113" t="s">
        <v>75</v>
      </c>
      <c r="I113" t="s">
        <v>76</v>
      </c>
      <c r="K113" t="s">
        <v>76</v>
      </c>
      <c r="L113" t="s">
        <v>95</v>
      </c>
      <c r="M113" t="s">
        <v>75</v>
      </c>
      <c r="N113" t="s">
        <v>104</v>
      </c>
      <c r="O113" t="s">
        <v>104</v>
      </c>
      <c r="R113" t="s">
        <v>76</v>
      </c>
      <c r="S113" t="s">
        <v>76</v>
      </c>
      <c r="T113" t="s">
        <v>76</v>
      </c>
      <c r="U113" t="s">
        <v>76</v>
      </c>
      <c r="V113" t="s">
        <v>76</v>
      </c>
      <c r="W113" t="s">
        <v>76</v>
      </c>
      <c r="X113" t="s">
        <v>76</v>
      </c>
      <c r="Y113" t="s">
        <v>76</v>
      </c>
      <c r="Z113" t="s">
        <v>76</v>
      </c>
      <c r="AA113" t="s">
        <v>76</v>
      </c>
      <c r="AB113" t="s">
        <v>76</v>
      </c>
      <c r="AC113" t="s">
        <v>76</v>
      </c>
      <c r="AD113" t="s">
        <v>76</v>
      </c>
      <c r="AE113" t="s">
        <v>76</v>
      </c>
      <c r="AF113" t="s">
        <v>76</v>
      </c>
      <c r="AG113" t="s">
        <v>76</v>
      </c>
      <c r="AH113" t="s">
        <v>76</v>
      </c>
      <c r="AI113" t="s">
        <v>76</v>
      </c>
      <c r="AJ113" t="s">
        <v>76</v>
      </c>
      <c r="AK113" t="s">
        <v>76</v>
      </c>
      <c r="AL113" t="s">
        <v>76</v>
      </c>
      <c r="AM113" t="s">
        <v>76</v>
      </c>
      <c r="AN113" t="s">
        <v>76</v>
      </c>
      <c r="AO113" t="s">
        <v>76</v>
      </c>
      <c r="AP113" t="s">
        <v>76</v>
      </c>
      <c r="AQ113" t="s">
        <v>76</v>
      </c>
      <c r="AR113" t="s">
        <v>76</v>
      </c>
      <c r="AS113" t="s">
        <v>76</v>
      </c>
      <c r="AT113" t="s">
        <v>76</v>
      </c>
      <c r="AU113" t="s">
        <v>76</v>
      </c>
      <c r="AV113" t="s">
        <v>76</v>
      </c>
      <c r="AW113" t="s">
        <v>76</v>
      </c>
      <c r="AX113" t="s">
        <v>76</v>
      </c>
      <c r="AY113" t="s">
        <v>76</v>
      </c>
      <c r="AZ113" t="s">
        <v>76</v>
      </c>
      <c r="BA113" t="s">
        <v>76</v>
      </c>
      <c r="BB113" t="s">
        <v>76</v>
      </c>
      <c r="BC113" t="s">
        <v>76</v>
      </c>
      <c r="BD113" t="s">
        <v>76</v>
      </c>
      <c r="BE113" t="s">
        <v>76</v>
      </c>
      <c r="BF113" t="s">
        <v>76</v>
      </c>
      <c r="BG113" t="s">
        <v>76</v>
      </c>
      <c r="BH113" t="s">
        <v>76</v>
      </c>
      <c r="BI113" t="s">
        <v>76</v>
      </c>
      <c r="BJ113" t="s">
        <v>76</v>
      </c>
      <c r="BK113" t="s">
        <v>76</v>
      </c>
      <c r="BL113" t="s">
        <v>76</v>
      </c>
    </row>
    <row r="114" spans="1:64" x14ac:dyDescent="0.2">
      <c r="A114" t="s">
        <v>376</v>
      </c>
      <c r="B114" t="s">
        <v>75</v>
      </c>
      <c r="C114" t="s">
        <v>76</v>
      </c>
      <c r="D114" t="s">
        <v>75</v>
      </c>
      <c r="I114" t="s">
        <v>76</v>
      </c>
      <c r="K114" t="s">
        <v>76</v>
      </c>
      <c r="L114" t="s">
        <v>95</v>
      </c>
      <c r="M114" t="s">
        <v>75</v>
      </c>
      <c r="N114" t="s">
        <v>104</v>
      </c>
      <c r="O114" t="s">
        <v>104</v>
      </c>
      <c r="R114" t="s">
        <v>76</v>
      </c>
      <c r="S114" t="s">
        <v>76</v>
      </c>
      <c r="T114" t="s">
        <v>76</v>
      </c>
      <c r="U114" t="s">
        <v>76</v>
      </c>
      <c r="V114" t="s">
        <v>76</v>
      </c>
      <c r="W114" t="s">
        <v>76</v>
      </c>
      <c r="X114" t="s">
        <v>76</v>
      </c>
      <c r="Y114" t="s">
        <v>76</v>
      </c>
      <c r="Z114" t="s">
        <v>76</v>
      </c>
      <c r="AA114" t="s">
        <v>76</v>
      </c>
      <c r="AB114" t="s">
        <v>76</v>
      </c>
      <c r="AC114" t="s">
        <v>76</v>
      </c>
      <c r="AD114" t="s">
        <v>76</v>
      </c>
      <c r="AE114" t="s">
        <v>76</v>
      </c>
      <c r="AF114" t="s">
        <v>76</v>
      </c>
      <c r="AG114" t="s">
        <v>76</v>
      </c>
      <c r="AH114" t="s">
        <v>76</v>
      </c>
      <c r="AI114" t="s">
        <v>76</v>
      </c>
      <c r="AJ114" t="s">
        <v>76</v>
      </c>
      <c r="AK114" t="s">
        <v>76</v>
      </c>
      <c r="AL114" t="s">
        <v>76</v>
      </c>
      <c r="AM114" t="s">
        <v>76</v>
      </c>
      <c r="AN114" t="s">
        <v>76</v>
      </c>
      <c r="AO114" t="s">
        <v>76</v>
      </c>
      <c r="AP114" t="s">
        <v>76</v>
      </c>
      <c r="AQ114" t="s">
        <v>76</v>
      </c>
      <c r="AR114" t="s">
        <v>76</v>
      </c>
      <c r="AS114" t="s">
        <v>76</v>
      </c>
      <c r="AT114" t="s">
        <v>76</v>
      </c>
      <c r="AU114" t="s">
        <v>76</v>
      </c>
      <c r="AV114" t="s">
        <v>76</v>
      </c>
      <c r="AW114" t="s">
        <v>76</v>
      </c>
      <c r="AX114" t="s">
        <v>76</v>
      </c>
      <c r="AY114" t="s">
        <v>76</v>
      </c>
      <c r="AZ114" t="s">
        <v>76</v>
      </c>
      <c r="BA114" t="s">
        <v>76</v>
      </c>
      <c r="BB114" t="s">
        <v>76</v>
      </c>
      <c r="BC114" t="s">
        <v>76</v>
      </c>
      <c r="BD114" t="s">
        <v>76</v>
      </c>
      <c r="BE114" t="s">
        <v>76</v>
      </c>
      <c r="BF114" t="s">
        <v>76</v>
      </c>
      <c r="BG114" t="s">
        <v>76</v>
      </c>
      <c r="BH114" t="s">
        <v>76</v>
      </c>
      <c r="BI114" t="s">
        <v>76</v>
      </c>
      <c r="BJ114" t="s">
        <v>76</v>
      </c>
      <c r="BK114" t="s">
        <v>76</v>
      </c>
      <c r="BL114" t="s">
        <v>76</v>
      </c>
    </row>
    <row r="115" spans="1:64" x14ac:dyDescent="0.2">
      <c r="A115" t="s">
        <v>377</v>
      </c>
      <c r="B115" t="s">
        <v>75</v>
      </c>
      <c r="C115" t="s">
        <v>76</v>
      </c>
      <c r="D115" t="s">
        <v>75</v>
      </c>
      <c r="I115" t="s">
        <v>76</v>
      </c>
      <c r="K115" t="s">
        <v>76</v>
      </c>
      <c r="L115" t="s">
        <v>95</v>
      </c>
      <c r="M115" t="s">
        <v>75</v>
      </c>
      <c r="N115" t="s">
        <v>104</v>
      </c>
      <c r="O115" t="s">
        <v>104</v>
      </c>
      <c r="R115" t="s">
        <v>76</v>
      </c>
      <c r="S115" t="s">
        <v>76</v>
      </c>
      <c r="T115" t="s">
        <v>76</v>
      </c>
      <c r="U115" t="s">
        <v>76</v>
      </c>
      <c r="V115" t="s">
        <v>76</v>
      </c>
      <c r="W115" t="s">
        <v>76</v>
      </c>
      <c r="X115" t="s">
        <v>76</v>
      </c>
      <c r="Y115" t="s">
        <v>76</v>
      </c>
      <c r="Z115" t="s">
        <v>76</v>
      </c>
      <c r="AA115" t="s">
        <v>76</v>
      </c>
      <c r="AB115" t="s">
        <v>76</v>
      </c>
      <c r="AC115" t="s">
        <v>76</v>
      </c>
      <c r="AD115" t="s">
        <v>76</v>
      </c>
      <c r="AE115" t="s">
        <v>76</v>
      </c>
      <c r="AF115" t="s">
        <v>76</v>
      </c>
      <c r="AG115" t="s">
        <v>76</v>
      </c>
      <c r="AH115" t="s">
        <v>76</v>
      </c>
      <c r="AI115" t="s">
        <v>76</v>
      </c>
      <c r="AJ115" t="s">
        <v>76</v>
      </c>
      <c r="AK115" t="s">
        <v>76</v>
      </c>
      <c r="AL115" t="s">
        <v>76</v>
      </c>
      <c r="AM115" t="s">
        <v>76</v>
      </c>
      <c r="AN115" t="s">
        <v>76</v>
      </c>
      <c r="AO115" t="s">
        <v>76</v>
      </c>
      <c r="AP115" t="s">
        <v>76</v>
      </c>
      <c r="AQ115" t="s">
        <v>76</v>
      </c>
      <c r="AR115" t="s">
        <v>76</v>
      </c>
      <c r="AS115" t="s">
        <v>76</v>
      </c>
      <c r="AT115" t="s">
        <v>76</v>
      </c>
      <c r="AU115" t="s">
        <v>76</v>
      </c>
      <c r="AV115" t="s">
        <v>76</v>
      </c>
      <c r="AW115" t="s">
        <v>76</v>
      </c>
      <c r="AX115" t="s">
        <v>76</v>
      </c>
      <c r="AY115" t="s">
        <v>76</v>
      </c>
      <c r="AZ115" t="s">
        <v>76</v>
      </c>
      <c r="BA115" t="s">
        <v>76</v>
      </c>
      <c r="BB115" t="s">
        <v>76</v>
      </c>
      <c r="BC115" t="s">
        <v>76</v>
      </c>
      <c r="BD115" t="s">
        <v>76</v>
      </c>
      <c r="BE115" t="s">
        <v>76</v>
      </c>
      <c r="BF115" t="s">
        <v>76</v>
      </c>
      <c r="BG115" t="s">
        <v>76</v>
      </c>
      <c r="BH115" t="s">
        <v>76</v>
      </c>
      <c r="BI115" t="s">
        <v>76</v>
      </c>
      <c r="BJ115" t="s">
        <v>76</v>
      </c>
      <c r="BK115" t="s">
        <v>76</v>
      </c>
      <c r="BL115" t="s">
        <v>76</v>
      </c>
    </row>
    <row r="116" spans="1:64" x14ac:dyDescent="0.2">
      <c r="A116" t="s">
        <v>337</v>
      </c>
      <c r="B116" t="s">
        <v>75</v>
      </c>
      <c r="C116" t="s">
        <v>76</v>
      </c>
      <c r="D116" t="s">
        <v>75</v>
      </c>
      <c r="I116" t="s">
        <v>76</v>
      </c>
      <c r="K116" t="s">
        <v>76</v>
      </c>
      <c r="L116" t="s">
        <v>95</v>
      </c>
      <c r="M116" t="s">
        <v>75</v>
      </c>
      <c r="N116" t="s">
        <v>104</v>
      </c>
      <c r="O116" t="s">
        <v>104</v>
      </c>
      <c r="R116" t="s">
        <v>76</v>
      </c>
      <c r="S116" t="s">
        <v>76</v>
      </c>
      <c r="T116" t="s">
        <v>76</v>
      </c>
      <c r="U116" t="s">
        <v>76</v>
      </c>
      <c r="V116" t="s">
        <v>76</v>
      </c>
      <c r="W116" t="s">
        <v>76</v>
      </c>
      <c r="X116" t="s">
        <v>76</v>
      </c>
      <c r="Y116" t="s">
        <v>76</v>
      </c>
      <c r="Z116" t="s">
        <v>76</v>
      </c>
      <c r="AA116" t="s">
        <v>76</v>
      </c>
      <c r="AB116" t="s">
        <v>76</v>
      </c>
      <c r="AC116" t="s">
        <v>76</v>
      </c>
      <c r="AD116" t="s">
        <v>76</v>
      </c>
      <c r="AE116" t="s">
        <v>76</v>
      </c>
      <c r="AF116" t="s">
        <v>76</v>
      </c>
      <c r="AG116" t="s">
        <v>76</v>
      </c>
      <c r="AH116" t="s">
        <v>76</v>
      </c>
      <c r="AI116" t="s">
        <v>76</v>
      </c>
      <c r="AJ116" t="s">
        <v>76</v>
      </c>
      <c r="AK116" t="s">
        <v>76</v>
      </c>
      <c r="AL116" t="s">
        <v>76</v>
      </c>
      <c r="AM116" t="s">
        <v>76</v>
      </c>
      <c r="AN116" t="s">
        <v>76</v>
      </c>
      <c r="AO116" t="s">
        <v>76</v>
      </c>
      <c r="AP116" t="s">
        <v>76</v>
      </c>
      <c r="AQ116" t="s">
        <v>76</v>
      </c>
      <c r="AR116" t="s">
        <v>76</v>
      </c>
      <c r="AS116" t="s">
        <v>76</v>
      </c>
      <c r="AT116" t="s">
        <v>76</v>
      </c>
      <c r="AU116" t="s">
        <v>76</v>
      </c>
      <c r="AV116" t="s">
        <v>76</v>
      </c>
      <c r="AW116" t="s">
        <v>76</v>
      </c>
      <c r="AX116" t="s">
        <v>76</v>
      </c>
      <c r="AY116" t="s">
        <v>76</v>
      </c>
      <c r="AZ116" t="s">
        <v>76</v>
      </c>
      <c r="BA116" t="s">
        <v>76</v>
      </c>
      <c r="BB116" t="s">
        <v>76</v>
      </c>
      <c r="BC116" t="s">
        <v>76</v>
      </c>
      <c r="BD116" t="s">
        <v>76</v>
      </c>
      <c r="BE116" t="s">
        <v>76</v>
      </c>
      <c r="BF116" t="s">
        <v>76</v>
      </c>
      <c r="BG116" t="s">
        <v>76</v>
      </c>
      <c r="BH116" t="s">
        <v>76</v>
      </c>
      <c r="BI116" t="s">
        <v>76</v>
      </c>
      <c r="BJ116" t="s">
        <v>76</v>
      </c>
      <c r="BK116" t="s">
        <v>76</v>
      </c>
      <c r="BL116" t="s">
        <v>76</v>
      </c>
    </row>
    <row r="117" spans="1:64" x14ac:dyDescent="0.2">
      <c r="A117" t="s">
        <v>338</v>
      </c>
      <c r="B117" t="s">
        <v>75</v>
      </c>
      <c r="C117" t="s">
        <v>76</v>
      </c>
      <c r="D117" t="s">
        <v>75</v>
      </c>
      <c r="I117" t="s">
        <v>76</v>
      </c>
      <c r="K117" t="s">
        <v>76</v>
      </c>
      <c r="L117" t="s">
        <v>95</v>
      </c>
      <c r="M117" t="s">
        <v>75</v>
      </c>
      <c r="N117" t="s">
        <v>104</v>
      </c>
      <c r="O117" t="s">
        <v>104</v>
      </c>
      <c r="R117" t="s">
        <v>76</v>
      </c>
      <c r="S117" t="s">
        <v>76</v>
      </c>
      <c r="T117" t="s">
        <v>76</v>
      </c>
      <c r="U117" t="s">
        <v>76</v>
      </c>
      <c r="V117" t="s">
        <v>76</v>
      </c>
      <c r="W117" t="s">
        <v>76</v>
      </c>
      <c r="X117" t="s">
        <v>76</v>
      </c>
      <c r="Y117" t="s">
        <v>76</v>
      </c>
      <c r="Z117" t="s">
        <v>76</v>
      </c>
      <c r="AA117" t="s">
        <v>76</v>
      </c>
      <c r="AB117" t="s">
        <v>76</v>
      </c>
      <c r="AC117" t="s">
        <v>76</v>
      </c>
      <c r="AD117" t="s">
        <v>76</v>
      </c>
      <c r="AE117" t="s">
        <v>76</v>
      </c>
      <c r="AF117" t="s">
        <v>76</v>
      </c>
      <c r="AG117" t="s">
        <v>76</v>
      </c>
      <c r="AH117" t="s">
        <v>76</v>
      </c>
      <c r="AI117" t="s">
        <v>76</v>
      </c>
      <c r="AJ117" t="s">
        <v>76</v>
      </c>
      <c r="AK117" t="s">
        <v>76</v>
      </c>
      <c r="AL117" t="s">
        <v>76</v>
      </c>
      <c r="AM117" t="s">
        <v>76</v>
      </c>
      <c r="AN117" t="s">
        <v>76</v>
      </c>
      <c r="AO117" t="s">
        <v>76</v>
      </c>
      <c r="AP117" t="s">
        <v>76</v>
      </c>
      <c r="AQ117" t="s">
        <v>76</v>
      </c>
      <c r="AR117" t="s">
        <v>76</v>
      </c>
      <c r="AS117" t="s">
        <v>76</v>
      </c>
      <c r="AT117" t="s">
        <v>76</v>
      </c>
      <c r="AU117" t="s">
        <v>76</v>
      </c>
      <c r="AV117" t="s">
        <v>76</v>
      </c>
      <c r="AW117" t="s">
        <v>76</v>
      </c>
      <c r="AX117" t="s">
        <v>76</v>
      </c>
      <c r="AY117" t="s">
        <v>76</v>
      </c>
      <c r="AZ117" t="s">
        <v>76</v>
      </c>
      <c r="BA117" t="s">
        <v>76</v>
      </c>
      <c r="BB117" t="s">
        <v>76</v>
      </c>
      <c r="BC117" t="s">
        <v>76</v>
      </c>
      <c r="BD117" t="s">
        <v>76</v>
      </c>
      <c r="BE117" t="s">
        <v>76</v>
      </c>
      <c r="BF117" t="s">
        <v>76</v>
      </c>
      <c r="BG117" t="s">
        <v>76</v>
      </c>
      <c r="BH117" t="s">
        <v>76</v>
      </c>
      <c r="BI117" t="s">
        <v>76</v>
      </c>
      <c r="BJ117" t="s">
        <v>76</v>
      </c>
      <c r="BK117" t="s">
        <v>76</v>
      </c>
      <c r="BL117" t="s">
        <v>76</v>
      </c>
    </row>
    <row r="118" spans="1:64" x14ac:dyDescent="0.2">
      <c r="A118" t="s">
        <v>339</v>
      </c>
      <c r="B118" t="s">
        <v>75</v>
      </c>
      <c r="C118" t="s">
        <v>76</v>
      </c>
      <c r="D118" t="s">
        <v>75</v>
      </c>
      <c r="I118" t="s">
        <v>76</v>
      </c>
      <c r="K118" t="s">
        <v>76</v>
      </c>
      <c r="L118" t="s">
        <v>95</v>
      </c>
      <c r="M118" t="s">
        <v>75</v>
      </c>
      <c r="N118" t="s">
        <v>104</v>
      </c>
      <c r="O118" t="s">
        <v>104</v>
      </c>
      <c r="R118" t="s">
        <v>76</v>
      </c>
      <c r="S118" t="s">
        <v>76</v>
      </c>
      <c r="T118" t="s">
        <v>76</v>
      </c>
      <c r="U118" t="s">
        <v>76</v>
      </c>
      <c r="V118" t="s">
        <v>76</v>
      </c>
      <c r="W118" t="s">
        <v>76</v>
      </c>
      <c r="X118" t="s">
        <v>76</v>
      </c>
      <c r="Y118" t="s">
        <v>76</v>
      </c>
      <c r="Z118" t="s">
        <v>76</v>
      </c>
      <c r="AA118" t="s">
        <v>76</v>
      </c>
      <c r="AB118" t="s">
        <v>76</v>
      </c>
      <c r="AC118" t="s">
        <v>76</v>
      </c>
      <c r="AD118" t="s">
        <v>76</v>
      </c>
      <c r="AE118" t="s">
        <v>76</v>
      </c>
      <c r="AF118" t="s">
        <v>76</v>
      </c>
      <c r="AG118" t="s">
        <v>76</v>
      </c>
      <c r="AH118" t="s">
        <v>76</v>
      </c>
      <c r="AI118" t="s">
        <v>76</v>
      </c>
      <c r="AJ118" t="s">
        <v>76</v>
      </c>
      <c r="AK118" t="s">
        <v>76</v>
      </c>
      <c r="AL118" t="s">
        <v>76</v>
      </c>
      <c r="AM118" t="s">
        <v>76</v>
      </c>
      <c r="AN118" t="s">
        <v>76</v>
      </c>
      <c r="AO118" t="s">
        <v>76</v>
      </c>
      <c r="AP118" t="s">
        <v>76</v>
      </c>
      <c r="AQ118" t="s">
        <v>76</v>
      </c>
      <c r="AR118" t="s">
        <v>76</v>
      </c>
      <c r="AS118" t="s">
        <v>76</v>
      </c>
      <c r="AT118" t="s">
        <v>76</v>
      </c>
      <c r="AU118" t="s">
        <v>76</v>
      </c>
      <c r="AV118" t="s">
        <v>76</v>
      </c>
      <c r="AW118" t="s">
        <v>76</v>
      </c>
      <c r="AX118" t="s">
        <v>76</v>
      </c>
      <c r="AY118" t="s">
        <v>76</v>
      </c>
      <c r="AZ118" t="s">
        <v>76</v>
      </c>
      <c r="BA118" t="s">
        <v>76</v>
      </c>
      <c r="BB118" t="s">
        <v>76</v>
      </c>
      <c r="BC118" t="s">
        <v>76</v>
      </c>
      <c r="BD118" t="s">
        <v>76</v>
      </c>
      <c r="BE118" t="s">
        <v>76</v>
      </c>
      <c r="BF118" t="s">
        <v>76</v>
      </c>
      <c r="BG118" t="s">
        <v>76</v>
      </c>
      <c r="BH118" t="s">
        <v>76</v>
      </c>
      <c r="BI118" t="s">
        <v>76</v>
      </c>
      <c r="BJ118" t="s">
        <v>76</v>
      </c>
      <c r="BK118" t="s">
        <v>76</v>
      </c>
      <c r="BL118" t="s">
        <v>76</v>
      </c>
    </row>
    <row r="119" spans="1:64" x14ac:dyDescent="0.2">
      <c r="A119" t="s">
        <v>653</v>
      </c>
      <c r="B119" t="s">
        <v>76</v>
      </c>
      <c r="C119" t="s">
        <v>76</v>
      </c>
      <c r="D119" t="s">
        <v>76</v>
      </c>
      <c r="E119" t="s">
        <v>76</v>
      </c>
      <c r="F119" t="s">
        <v>76</v>
      </c>
      <c r="G119" t="s">
        <v>76</v>
      </c>
      <c r="J119" t="s">
        <v>75</v>
      </c>
      <c r="K119" t="s">
        <v>76</v>
      </c>
      <c r="L119" t="s">
        <v>95</v>
      </c>
      <c r="M119" t="s">
        <v>75</v>
      </c>
      <c r="N119" t="s">
        <v>104</v>
      </c>
      <c r="O119" t="s">
        <v>104</v>
      </c>
      <c r="P119" t="s">
        <v>75</v>
      </c>
      <c r="Q119" t="s">
        <v>75</v>
      </c>
      <c r="R119" t="s">
        <v>76</v>
      </c>
      <c r="S119" t="s">
        <v>76</v>
      </c>
      <c r="T119" t="s">
        <v>76</v>
      </c>
      <c r="U119" t="s">
        <v>76</v>
      </c>
      <c r="V119" t="s">
        <v>76</v>
      </c>
      <c r="W119" t="s">
        <v>76</v>
      </c>
      <c r="X119" t="s">
        <v>76</v>
      </c>
      <c r="Y119" t="s">
        <v>76</v>
      </c>
      <c r="Z119" t="s">
        <v>76</v>
      </c>
      <c r="AA119" t="s">
        <v>76</v>
      </c>
      <c r="AB119" t="s">
        <v>76</v>
      </c>
      <c r="AC119" t="s">
        <v>76</v>
      </c>
      <c r="AD119" t="s">
        <v>76</v>
      </c>
      <c r="AE119" t="s">
        <v>76</v>
      </c>
      <c r="AF119" t="s">
        <v>76</v>
      </c>
      <c r="AG119" t="s">
        <v>76</v>
      </c>
      <c r="AH119" t="s">
        <v>76</v>
      </c>
      <c r="AI119" t="s">
        <v>76</v>
      </c>
      <c r="AJ119" t="s">
        <v>76</v>
      </c>
      <c r="AK119" t="s">
        <v>76</v>
      </c>
      <c r="AL119" t="s">
        <v>76</v>
      </c>
      <c r="AM119" t="s">
        <v>76</v>
      </c>
      <c r="AN119" t="s">
        <v>76</v>
      </c>
      <c r="AO119" t="s">
        <v>76</v>
      </c>
      <c r="AP119" t="s">
        <v>76</v>
      </c>
      <c r="AQ119" t="s">
        <v>76</v>
      </c>
      <c r="AR119" t="s">
        <v>76</v>
      </c>
      <c r="AS119" t="s">
        <v>76</v>
      </c>
      <c r="AT119" t="s">
        <v>76</v>
      </c>
      <c r="AU119" t="s">
        <v>76</v>
      </c>
      <c r="AV119" t="s">
        <v>76</v>
      </c>
      <c r="AW119" t="s">
        <v>76</v>
      </c>
      <c r="AX119" t="s">
        <v>76</v>
      </c>
      <c r="AY119" t="s">
        <v>76</v>
      </c>
      <c r="AZ119" t="s">
        <v>76</v>
      </c>
      <c r="BA119" t="s">
        <v>76</v>
      </c>
      <c r="BB119" t="s">
        <v>76</v>
      </c>
      <c r="BC119" t="s">
        <v>76</v>
      </c>
      <c r="BD119" t="s">
        <v>76</v>
      </c>
      <c r="BE119" t="s">
        <v>76</v>
      </c>
      <c r="BF119" t="s">
        <v>76</v>
      </c>
      <c r="BG119" t="s">
        <v>76</v>
      </c>
      <c r="BH119" t="s">
        <v>76</v>
      </c>
      <c r="BI119" t="s">
        <v>76</v>
      </c>
      <c r="BJ119" t="s">
        <v>76</v>
      </c>
      <c r="BK119" t="s">
        <v>76</v>
      </c>
      <c r="BL119" t="s">
        <v>76</v>
      </c>
    </row>
    <row r="120" spans="1:64" x14ac:dyDescent="0.2">
      <c r="A120" t="s">
        <v>654</v>
      </c>
      <c r="B120" t="s">
        <v>76</v>
      </c>
      <c r="C120" t="s">
        <v>76</v>
      </c>
      <c r="D120" t="s">
        <v>76</v>
      </c>
      <c r="E120" t="s">
        <v>76</v>
      </c>
      <c r="F120" t="s">
        <v>76</v>
      </c>
      <c r="G120" t="s">
        <v>76</v>
      </c>
      <c r="J120" t="s">
        <v>75</v>
      </c>
      <c r="K120" t="s">
        <v>76</v>
      </c>
      <c r="L120" t="s">
        <v>95</v>
      </c>
      <c r="M120" t="s">
        <v>75</v>
      </c>
      <c r="N120" t="s">
        <v>104</v>
      </c>
      <c r="O120" t="s">
        <v>104</v>
      </c>
      <c r="P120" t="s">
        <v>75</v>
      </c>
      <c r="Q120" t="s">
        <v>75</v>
      </c>
      <c r="R120" t="s">
        <v>76</v>
      </c>
      <c r="S120" t="s">
        <v>76</v>
      </c>
      <c r="T120" t="s">
        <v>76</v>
      </c>
      <c r="U120" t="s">
        <v>76</v>
      </c>
      <c r="V120" t="s">
        <v>76</v>
      </c>
      <c r="W120" t="s">
        <v>76</v>
      </c>
      <c r="X120" t="s">
        <v>76</v>
      </c>
      <c r="Y120" t="s">
        <v>76</v>
      </c>
      <c r="Z120" t="s">
        <v>76</v>
      </c>
      <c r="AA120" t="s">
        <v>76</v>
      </c>
      <c r="AB120" t="s">
        <v>76</v>
      </c>
      <c r="AC120" t="s">
        <v>76</v>
      </c>
      <c r="AD120" t="s">
        <v>76</v>
      </c>
      <c r="AE120" t="s">
        <v>76</v>
      </c>
      <c r="AF120" t="s">
        <v>76</v>
      </c>
      <c r="AG120" t="s">
        <v>76</v>
      </c>
      <c r="AH120" t="s">
        <v>76</v>
      </c>
      <c r="AI120" t="s">
        <v>76</v>
      </c>
      <c r="AJ120" t="s">
        <v>76</v>
      </c>
      <c r="AK120" t="s">
        <v>76</v>
      </c>
      <c r="AL120" t="s">
        <v>76</v>
      </c>
      <c r="AM120" t="s">
        <v>76</v>
      </c>
      <c r="AN120" t="s">
        <v>76</v>
      </c>
      <c r="AO120" t="s">
        <v>76</v>
      </c>
      <c r="AP120" t="s">
        <v>76</v>
      </c>
      <c r="AQ120" t="s">
        <v>76</v>
      </c>
      <c r="AR120" t="s">
        <v>76</v>
      </c>
      <c r="AS120" t="s">
        <v>76</v>
      </c>
      <c r="AT120" t="s">
        <v>76</v>
      </c>
      <c r="AU120" t="s">
        <v>76</v>
      </c>
      <c r="AV120" t="s">
        <v>76</v>
      </c>
      <c r="AW120" t="s">
        <v>76</v>
      </c>
      <c r="AX120" t="s">
        <v>76</v>
      </c>
      <c r="AY120" t="s">
        <v>76</v>
      </c>
      <c r="AZ120" t="s">
        <v>76</v>
      </c>
      <c r="BA120" t="s">
        <v>76</v>
      </c>
      <c r="BB120" t="s">
        <v>76</v>
      </c>
      <c r="BC120" t="s">
        <v>76</v>
      </c>
      <c r="BD120" t="s">
        <v>76</v>
      </c>
      <c r="BE120" t="s">
        <v>76</v>
      </c>
      <c r="BF120" t="s">
        <v>76</v>
      </c>
      <c r="BG120" t="s">
        <v>76</v>
      </c>
      <c r="BH120" t="s">
        <v>76</v>
      </c>
      <c r="BI120" t="s">
        <v>76</v>
      </c>
      <c r="BJ120" t="s">
        <v>76</v>
      </c>
      <c r="BK120" t="s">
        <v>76</v>
      </c>
      <c r="BL120" t="s">
        <v>76</v>
      </c>
    </row>
    <row r="121" spans="1:64" x14ac:dyDescent="0.2">
      <c r="A121" t="s">
        <v>403</v>
      </c>
      <c r="B121" t="s">
        <v>75</v>
      </c>
      <c r="C121" t="s">
        <v>76</v>
      </c>
      <c r="D121" t="s">
        <v>75</v>
      </c>
      <c r="I121" t="s">
        <v>76</v>
      </c>
      <c r="K121" t="s">
        <v>76</v>
      </c>
      <c r="L121" t="s">
        <v>95</v>
      </c>
      <c r="M121" t="s">
        <v>75</v>
      </c>
      <c r="N121" t="s">
        <v>104</v>
      </c>
      <c r="O121" t="s">
        <v>104</v>
      </c>
      <c r="R121" t="s">
        <v>76</v>
      </c>
      <c r="S121" t="s">
        <v>76</v>
      </c>
      <c r="T121" t="s">
        <v>76</v>
      </c>
      <c r="U121" t="s">
        <v>76</v>
      </c>
      <c r="V121" t="s">
        <v>76</v>
      </c>
      <c r="W121" t="s">
        <v>76</v>
      </c>
      <c r="X121" t="s">
        <v>76</v>
      </c>
      <c r="Y121" t="s">
        <v>76</v>
      </c>
      <c r="Z121" t="s">
        <v>76</v>
      </c>
      <c r="AA121" t="s">
        <v>76</v>
      </c>
      <c r="AB121" t="s">
        <v>76</v>
      </c>
      <c r="AC121" t="s">
        <v>76</v>
      </c>
      <c r="AD121" t="s">
        <v>76</v>
      </c>
      <c r="AE121" t="s">
        <v>76</v>
      </c>
      <c r="AF121" t="s">
        <v>76</v>
      </c>
      <c r="AG121" t="s">
        <v>76</v>
      </c>
      <c r="AH121" t="s">
        <v>76</v>
      </c>
      <c r="AI121" t="s">
        <v>76</v>
      </c>
      <c r="AJ121" t="s">
        <v>76</v>
      </c>
      <c r="AK121" t="s">
        <v>76</v>
      </c>
      <c r="AL121" t="s">
        <v>76</v>
      </c>
      <c r="AM121" t="s">
        <v>76</v>
      </c>
      <c r="AN121" t="s">
        <v>76</v>
      </c>
      <c r="AO121" t="s">
        <v>76</v>
      </c>
      <c r="AP121" t="s">
        <v>76</v>
      </c>
      <c r="AQ121" t="s">
        <v>76</v>
      </c>
      <c r="AR121" t="s">
        <v>76</v>
      </c>
      <c r="AS121" t="s">
        <v>76</v>
      </c>
      <c r="AT121" t="s">
        <v>76</v>
      </c>
      <c r="AU121" t="s">
        <v>76</v>
      </c>
      <c r="AV121" t="s">
        <v>76</v>
      </c>
      <c r="AW121" t="s">
        <v>76</v>
      </c>
      <c r="AX121" t="s">
        <v>76</v>
      </c>
      <c r="AY121" t="s">
        <v>76</v>
      </c>
      <c r="AZ121" t="s">
        <v>76</v>
      </c>
      <c r="BA121" t="s">
        <v>76</v>
      </c>
      <c r="BB121" t="s">
        <v>76</v>
      </c>
      <c r="BC121" t="s">
        <v>76</v>
      </c>
      <c r="BD121" t="s">
        <v>76</v>
      </c>
      <c r="BE121" t="s">
        <v>76</v>
      </c>
      <c r="BF121" t="s">
        <v>76</v>
      </c>
      <c r="BG121" t="s">
        <v>76</v>
      </c>
      <c r="BH121" t="s">
        <v>76</v>
      </c>
      <c r="BI121" t="s">
        <v>76</v>
      </c>
      <c r="BJ121" t="s">
        <v>76</v>
      </c>
      <c r="BK121" t="s">
        <v>76</v>
      </c>
      <c r="BL121" t="s">
        <v>76</v>
      </c>
    </row>
    <row r="122" spans="1:64" x14ac:dyDescent="0.2">
      <c r="A122" t="s">
        <v>404</v>
      </c>
      <c r="B122" t="s">
        <v>75</v>
      </c>
      <c r="C122" t="s">
        <v>76</v>
      </c>
      <c r="D122" t="s">
        <v>75</v>
      </c>
      <c r="I122" t="s">
        <v>76</v>
      </c>
      <c r="K122" t="s">
        <v>76</v>
      </c>
      <c r="L122" t="s">
        <v>95</v>
      </c>
      <c r="M122" t="s">
        <v>75</v>
      </c>
      <c r="N122" t="s">
        <v>104</v>
      </c>
      <c r="O122" t="s">
        <v>104</v>
      </c>
      <c r="R122" t="s">
        <v>76</v>
      </c>
      <c r="S122" t="s">
        <v>76</v>
      </c>
      <c r="T122" t="s">
        <v>76</v>
      </c>
      <c r="U122" t="s">
        <v>76</v>
      </c>
      <c r="V122" t="s">
        <v>76</v>
      </c>
      <c r="W122" t="s">
        <v>76</v>
      </c>
      <c r="X122" t="s">
        <v>76</v>
      </c>
      <c r="Y122" t="s">
        <v>76</v>
      </c>
      <c r="Z122" t="s">
        <v>76</v>
      </c>
      <c r="AA122" t="s">
        <v>76</v>
      </c>
      <c r="AB122" t="s">
        <v>76</v>
      </c>
      <c r="AC122" t="s">
        <v>76</v>
      </c>
      <c r="AD122" t="s">
        <v>76</v>
      </c>
      <c r="AE122" t="s">
        <v>76</v>
      </c>
      <c r="AF122" t="s">
        <v>76</v>
      </c>
      <c r="AG122" t="s">
        <v>76</v>
      </c>
      <c r="AH122" t="s">
        <v>76</v>
      </c>
      <c r="AI122" t="s">
        <v>76</v>
      </c>
      <c r="AJ122" t="s">
        <v>76</v>
      </c>
      <c r="AK122" t="s">
        <v>76</v>
      </c>
      <c r="AL122" t="s">
        <v>76</v>
      </c>
      <c r="AM122" t="s">
        <v>76</v>
      </c>
      <c r="AN122" t="s">
        <v>76</v>
      </c>
      <c r="AO122" t="s">
        <v>76</v>
      </c>
      <c r="AP122" t="s">
        <v>76</v>
      </c>
      <c r="AQ122" t="s">
        <v>76</v>
      </c>
      <c r="AR122" t="s">
        <v>76</v>
      </c>
      <c r="AS122" t="s">
        <v>76</v>
      </c>
      <c r="AT122" t="s">
        <v>76</v>
      </c>
      <c r="AU122" t="s">
        <v>76</v>
      </c>
      <c r="AV122" t="s">
        <v>76</v>
      </c>
      <c r="AW122" t="s">
        <v>76</v>
      </c>
      <c r="AX122" t="s">
        <v>76</v>
      </c>
      <c r="AY122" t="s">
        <v>76</v>
      </c>
      <c r="AZ122" t="s">
        <v>76</v>
      </c>
      <c r="BA122" t="s">
        <v>76</v>
      </c>
      <c r="BB122" t="s">
        <v>76</v>
      </c>
      <c r="BC122" t="s">
        <v>76</v>
      </c>
      <c r="BD122" t="s">
        <v>76</v>
      </c>
      <c r="BE122" t="s">
        <v>76</v>
      </c>
      <c r="BF122" t="s">
        <v>76</v>
      </c>
      <c r="BG122" t="s">
        <v>76</v>
      </c>
      <c r="BH122" t="s">
        <v>76</v>
      </c>
      <c r="BI122" t="s">
        <v>76</v>
      </c>
      <c r="BJ122" t="s">
        <v>76</v>
      </c>
      <c r="BK122" t="s">
        <v>76</v>
      </c>
      <c r="BL122" t="s">
        <v>76</v>
      </c>
    </row>
    <row r="123" spans="1:64" x14ac:dyDescent="0.2">
      <c r="A123" t="s">
        <v>405</v>
      </c>
      <c r="B123" t="s">
        <v>75</v>
      </c>
      <c r="C123" t="s">
        <v>76</v>
      </c>
      <c r="D123" t="s">
        <v>75</v>
      </c>
      <c r="I123" t="s">
        <v>76</v>
      </c>
      <c r="K123" t="s">
        <v>76</v>
      </c>
      <c r="L123" t="s">
        <v>95</v>
      </c>
      <c r="M123" t="s">
        <v>75</v>
      </c>
      <c r="N123" t="s">
        <v>104</v>
      </c>
      <c r="O123" t="s">
        <v>104</v>
      </c>
      <c r="R123" t="s">
        <v>76</v>
      </c>
      <c r="S123" t="s">
        <v>76</v>
      </c>
      <c r="T123" t="s">
        <v>76</v>
      </c>
      <c r="U123" t="s">
        <v>76</v>
      </c>
      <c r="V123" t="s">
        <v>76</v>
      </c>
      <c r="W123" t="s">
        <v>76</v>
      </c>
      <c r="X123" t="s">
        <v>76</v>
      </c>
      <c r="Y123" t="s">
        <v>76</v>
      </c>
      <c r="Z123" t="s">
        <v>76</v>
      </c>
      <c r="AA123" t="s">
        <v>76</v>
      </c>
      <c r="AB123" t="s">
        <v>76</v>
      </c>
      <c r="AC123" t="s">
        <v>76</v>
      </c>
      <c r="AD123" t="s">
        <v>76</v>
      </c>
      <c r="AE123" t="s">
        <v>76</v>
      </c>
      <c r="AF123" t="s">
        <v>76</v>
      </c>
      <c r="AG123" t="s">
        <v>76</v>
      </c>
      <c r="AH123" t="s">
        <v>76</v>
      </c>
      <c r="AI123" t="s">
        <v>76</v>
      </c>
      <c r="AJ123" t="s">
        <v>76</v>
      </c>
      <c r="AK123" t="s">
        <v>76</v>
      </c>
      <c r="AL123" t="s">
        <v>76</v>
      </c>
      <c r="AM123" t="s">
        <v>76</v>
      </c>
      <c r="AN123" t="s">
        <v>76</v>
      </c>
      <c r="AO123" t="s">
        <v>76</v>
      </c>
      <c r="AP123" t="s">
        <v>76</v>
      </c>
      <c r="AQ123" t="s">
        <v>76</v>
      </c>
      <c r="AR123" t="s">
        <v>76</v>
      </c>
      <c r="AS123" t="s">
        <v>76</v>
      </c>
      <c r="AT123" t="s">
        <v>76</v>
      </c>
      <c r="AU123" t="s">
        <v>76</v>
      </c>
      <c r="AV123" t="s">
        <v>76</v>
      </c>
      <c r="AW123" t="s">
        <v>76</v>
      </c>
      <c r="AX123" t="s">
        <v>76</v>
      </c>
      <c r="AY123" t="s">
        <v>76</v>
      </c>
      <c r="AZ123" t="s">
        <v>76</v>
      </c>
      <c r="BA123" t="s">
        <v>76</v>
      </c>
      <c r="BB123" t="s">
        <v>76</v>
      </c>
      <c r="BC123" t="s">
        <v>76</v>
      </c>
      <c r="BD123" t="s">
        <v>76</v>
      </c>
      <c r="BE123" t="s">
        <v>76</v>
      </c>
      <c r="BF123" t="s">
        <v>76</v>
      </c>
      <c r="BG123" t="s">
        <v>76</v>
      </c>
      <c r="BH123" t="s">
        <v>76</v>
      </c>
      <c r="BI123" t="s">
        <v>76</v>
      </c>
      <c r="BJ123" t="s">
        <v>76</v>
      </c>
      <c r="BK123" t="s">
        <v>76</v>
      </c>
      <c r="BL123" t="s">
        <v>76</v>
      </c>
    </row>
    <row r="124" spans="1:64" x14ac:dyDescent="0.2">
      <c r="A124" t="s">
        <v>385</v>
      </c>
      <c r="B124" t="s">
        <v>75</v>
      </c>
      <c r="C124" t="s">
        <v>76</v>
      </c>
      <c r="D124" t="s">
        <v>75</v>
      </c>
      <c r="I124" t="s">
        <v>76</v>
      </c>
      <c r="K124" t="s">
        <v>76</v>
      </c>
      <c r="L124" t="s">
        <v>95</v>
      </c>
      <c r="M124" t="s">
        <v>75</v>
      </c>
      <c r="N124" t="s">
        <v>104</v>
      </c>
      <c r="O124" t="s">
        <v>104</v>
      </c>
      <c r="R124" t="s">
        <v>76</v>
      </c>
      <c r="S124" t="s">
        <v>76</v>
      </c>
      <c r="T124" t="s">
        <v>76</v>
      </c>
      <c r="U124" t="s">
        <v>76</v>
      </c>
      <c r="V124" t="s">
        <v>76</v>
      </c>
      <c r="W124" t="s">
        <v>76</v>
      </c>
      <c r="X124" t="s">
        <v>76</v>
      </c>
      <c r="Y124" t="s">
        <v>76</v>
      </c>
      <c r="Z124" t="s">
        <v>76</v>
      </c>
      <c r="AA124" t="s">
        <v>76</v>
      </c>
      <c r="AB124" t="s">
        <v>76</v>
      </c>
      <c r="AC124" t="s">
        <v>76</v>
      </c>
      <c r="AD124" t="s">
        <v>76</v>
      </c>
      <c r="AE124" t="s">
        <v>76</v>
      </c>
      <c r="AF124" t="s">
        <v>76</v>
      </c>
      <c r="AG124" t="s">
        <v>76</v>
      </c>
      <c r="AH124" t="s">
        <v>76</v>
      </c>
      <c r="AI124" t="s">
        <v>76</v>
      </c>
      <c r="AJ124" t="s">
        <v>76</v>
      </c>
      <c r="AK124" t="s">
        <v>76</v>
      </c>
      <c r="AL124" t="s">
        <v>76</v>
      </c>
      <c r="AM124" t="s">
        <v>76</v>
      </c>
      <c r="AN124" t="s">
        <v>76</v>
      </c>
      <c r="AO124" t="s">
        <v>76</v>
      </c>
      <c r="AP124" t="s">
        <v>76</v>
      </c>
      <c r="AQ124" t="s">
        <v>76</v>
      </c>
      <c r="AR124" t="s">
        <v>76</v>
      </c>
      <c r="AS124" t="s">
        <v>76</v>
      </c>
      <c r="AT124" t="s">
        <v>76</v>
      </c>
      <c r="AU124" t="s">
        <v>76</v>
      </c>
      <c r="AV124" t="s">
        <v>76</v>
      </c>
      <c r="AW124" t="s">
        <v>76</v>
      </c>
      <c r="AX124" t="s">
        <v>76</v>
      </c>
      <c r="AY124" t="s">
        <v>76</v>
      </c>
      <c r="AZ124" t="s">
        <v>76</v>
      </c>
      <c r="BA124" t="s">
        <v>76</v>
      </c>
      <c r="BB124" t="s">
        <v>76</v>
      </c>
      <c r="BC124" t="s">
        <v>76</v>
      </c>
      <c r="BD124" t="s">
        <v>76</v>
      </c>
      <c r="BE124" t="s">
        <v>76</v>
      </c>
      <c r="BF124" t="s">
        <v>76</v>
      </c>
      <c r="BG124" t="s">
        <v>76</v>
      </c>
      <c r="BH124" t="s">
        <v>76</v>
      </c>
      <c r="BI124" t="s">
        <v>76</v>
      </c>
      <c r="BJ124" t="s">
        <v>76</v>
      </c>
      <c r="BK124" t="s">
        <v>76</v>
      </c>
      <c r="BL124" t="s">
        <v>76</v>
      </c>
    </row>
    <row r="125" spans="1:64" x14ac:dyDescent="0.2">
      <c r="A125" t="s">
        <v>386</v>
      </c>
      <c r="B125" t="s">
        <v>75</v>
      </c>
      <c r="C125" t="s">
        <v>76</v>
      </c>
      <c r="D125" t="s">
        <v>75</v>
      </c>
      <c r="I125" t="s">
        <v>76</v>
      </c>
      <c r="K125" t="s">
        <v>76</v>
      </c>
      <c r="L125" t="s">
        <v>95</v>
      </c>
      <c r="M125" t="s">
        <v>75</v>
      </c>
      <c r="N125" t="s">
        <v>104</v>
      </c>
      <c r="O125" t="s">
        <v>104</v>
      </c>
      <c r="R125" t="s">
        <v>76</v>
      </c>
      <c r="S125" t="s">
        <v>76</v>
      </c>
      <c r="T125" t="s">
        <v>76</v>
      </c>
      <c r="U125" t="s">
        <v>76</v>
      </c>
      <c r="V125" t="s">
        <v>76</v>
      </c>
      <c r="W125" t="s">
        <v>76</v>
      </c>
      <c r="X125" t="s">
        <v>76</v>
      </c>
      <c r="Y125" t="s">
        <v>76</v>
      </c>
      <c r="Z125" t="s">
        <v>76</v>
      </c>
      <c r="AA125" t="s">
        <v>76</v>
      </c>
      <c r="AB125" t="s">
        <v>76</v>
      </c>
      <c r="AC125" t="s">
        <v>76</v>
      </c>
      <c r="AD125" t="s">
        <v>76</v>
      </c>
      <c r="AE125" t="s">
        <v>76</v>
      </c>
      <c r="AF125" t="s">
        <v>76</v>
      </c>
      <c r="AG125" t="s">
        <v>76</v>
      </c>
      <c r="AH125" t="s">
        <v>76</v>
      </c>
      <c r="AI125" t="s">
        <v>76</v>
      </c>
      <c r="AJ125" t="s">
        <v>76</v>
      </c>
      <c r="AK125" t="s">
        <v>76</v>
      </c>
      <c r="AL125" t="s">
        <v>76</v>
      </c>
      <c r="AM125" t="s">
        <v>76</v>
      </c>
      <c r="AN125" t="s">
        <v>76</v>
      </c>
      <c r="AO125" t="s">
        <v>76</v>
      </c>
      <c r="AP125" t="s">
        <v>76</v>
      </c>
      <c r="AQ125" t="s">
        <v>76</v>
      </c>
      <c r="AR125" t="s">
        <v>76</v>
      </c>
      <c r="AS125" t="s">
        <v>76</v>
      </c>
      <c r="AT125" t="s">
        <v>76</v>
      </c>
      <c r="AU125" t="s">
        <v>76</v>
      </c>
      <c r="AV125" t="s">
        <v>76</v>
      </c>
      <c r="AW125" t="s">
        <v>76</v>
      </c>
      <c r="AX125" t="s">
        <v>76</v>
      </c>
      <c r="AY125" t="s">
        <v>76</v>
      </c>
      <c r="AZ125" t="s">
        <v>76</v>
      </c>
      <c r="BA125" t="s">
        <v>76</v>
      </c>
      <c r="BB125" t="s">
        <v>76</v>
      </c>
      <c r="BC125" t="s">
        <v>76</v>
      </c>
      <c r="BD125" t="s">
        <v>76</v>
      </c>
      <c r="BE125" t="s">
        <v>76</v>
      </c>
      <c r="BF125" t="s">
        <v>76</v>
      </c>
      <c r="BG125" t="s">
        <v>76</v>
      </c>
      <c r="BH125" t="s">
        <v>76</v>
      </c>
      <c r="BI125" t="s">
        <v>76</v>
      </c>
      <c r="BJ125" t="s">
        <v>76</v>
      </c>
      <c r="BK125" t="s">
        <v>76</v>
      </c>
      <c r="BL125" t="s">
        <v>76</v>
      </c>
    </row>
    <row r="126" spans="1:64" x14ac:dyDescent="0.2">
      <c r="A126" t="s">
        <v>387</v>
      </c>
      <c r="B126" t="s">
        <v>75</v>
      </c>
      <c r="C126" t="s">
        <v>76</v>
      </c>
      <c r="D126" t="s">
        <v>75</v>
      </c>
      <c r="I126" t="s">
        <v>76</v>
      </c>
      <c r="K126" t="s">
        <v>76</v>
      </c>
      <c r="L126" t="s">
        <v>95</v>
      </c>
      <c r="M126" t="s">
        <v>75</v>
      </c>
      <c r="N126" t="s">
        <v>104</v>
      </c>
      <c r="O126" t="s">
        <v>104</v>
      </c>
      <c r="R126" t="s">
        <v>76</v>
      </c>
      <c r="S126" t="s">
        <v>76</v>
      </c>
      <c r="T126" t="s">
        <v>76</v>
      </c>
      <c r="U126" t="s">
        <v>76</v>
      </c>
      <c r="V126" t="s">
        <v>76</v>
      </c>
      <c r="W126" t="s">
        <v>76</v>
      </c>
      <c r="X126" t="s">
        <v>76</v>
      </c>
      <c r="Y126" t="s">
        <v>76</v>
      </c>
      <c r="Z126" t="s">
        <v>76</v>
      </c>
      <c r="AA126" t="s">
        <v>76</v>
      </c>
      <c r="AB126" t="s">
        <v>76</v>
      </c>
      <c r="AC126" t="s">
        <v>76</v>
      </c>
      <c r="AD126" t="s">
        <v>76</v>
      </c>
      <c r="AE126" t="s">
        <v>76</v>
      </c>
      <c r="AF126" t="s">
        <v>76</v>
      </c>
      <c r="AG126" t="s">
        <v>76</v>
      </c>
      <c r="AH126" t="s">
        <v>76</v>
      </c>
      <c r="AI126" t="s">
        <v>76</v>
      </c>
      <c r="AJ126" t="s">
        <v>76</v>
      </c>
      <c r="AK126" t="s">
        <v>76</v>
      </c>
      <c r="AL126" t="s">
        <v>76</v>
      </c>
      <c r="AM126" t="s">
        <v>76</v>
      </c>
      <c r="AN126" t="s">
        <v>76</v>
      </c>
      <c r="AO126" t="s">
        <v>76</v>
      </c>
      <c r="AP126" t="s">
        <v>76</v>
      </c>
      <c r="AQ126" t="s">
        <v>76</v>
      </c>
      <c r="AR126" t="s">
        <v>76</v>
      </c>
      <c r="AS126" t="s">
        <v>76</v>
      </c>
      <c r="AT126" t="s">
        <v>76</v>
      </c>
      <c r="AU126" t="s">
        <v>76</v>
      </c>
      <c r="AV126" t="s">
        <v>76</v>
      </c>
      <c r="AW126" t="s">
        <v>76</v>
      </c>
      <c r="AX126" t="s">
        <v>76</v>
      </c>
      <c r="AY126" t="s">
        <v>76</v>
      </c>
      <c r="AZ126" t="s">
        <v>76</v>
      </c>
      <c r="BA126" t="s">
        <v>76</v>
      </c>
      <c r="BB126" t="s">
        <v>76</v>
      </c>
      <c r="BC126" t="s">
        <v>76</v>
      </c>
      <c r="BD126" t="s">
        <v>76</v>
      </c>
      <c r="BE126" t="s">
        <v>76</v>
      </c>
      <c r="BF126" t="s">
        <v>76</v>
      </c>
      <c r="BG126" t="s">
        <v>76</v>
      </c>
      <c r="BH126" t="s">
        <v>76</v>
      </c>
      <c r="BI126" t="s">
        <v>76</v>
      </c>
      <c r="BJ126" t="s">
        <v>76</v>
      </c>
      <c r="BK126" t="s">
        <v>76</v>
      </c>
      <c r="BL126" t="s">
        <v>76</v>
      </c>
    </row>
    <row r="127" spans="1:64" x14ac:dyDescent="0.2">
      <c r="A127" t="s">
        <v>394</v>
      </c>
      <c r="B127" t="s">
        <v>75</v>
      </c>
      <c r="C127" t="s">
        <v>76</v>
      </c>
      <c r="D127" t="s">
        <v>75</v>
      </c>
      <c r="I127" t="s">
        <v>76</v>
      </c>
      <c r="K127" t="s">
        <v>76</v>
      </c>
      <c r="L127" t="s">
        <v>95</v>
      </c>
      <c r="M127" t="s">
        <v>75</v>
      </c>
      <c r="N127" t="s">
        <v>104</v>
      </c>
      <c r="O127" t="s">
        <v>104</v>
      </c>
      <c r="R127" t="s">
        <v>76</v>
      </c>
      <c r="S127" t="s">
        <v>76</v>
      </c>
      <c r="T127" t="s">
        <v>76</v>
      </c>
      <c r="U127" t="s">
        <v>76</v>
      </c>
      <c r="V127" t="s">
        <v>76</v>
      </c>
      <c r="W127" t="s">
        <v>76</v>
      </c>
      <c r="X127" t="s">
        <v>76</v>
      </c>
      <c r="Y127" t="s">
        <v>76</v>
      </c>
      <c r="Z127" t="s">
        <v>76</v>
      </c>
      <c r="AA127" t="s">
        <v>76</v>
      </c>
      <c r="AB127" t="s">
        <v>76</v>
      </c>
      <c r="AC127" t="s">
        <v>76</v>
      </c>
      <c r="AD127" t="s">
        <v>76</v>
      </c>
      <c r="AE127" t="s">
        <v>76</v>
      </c>
      <c r="AF127" t="s">
        <v>76</v>
      </c>
      <c r="AG127" t="s">
        <v>76</v>
      </c>
      <c r="AH127" t="s">
        <v>76</v>
      </c>
      <c r="AI127" t="s">
        <v>76</v>
      </c>
      <c r="AJ127" t="s">
        <v>76</v>
      </c>
      <c r="AK127" t="s">
        <v>76</v>
      </c>
      <c r="AL127" t="s">
        <v>76</v>
      </c>
      <c r="AM127" t="s">
        <v>76</v>
      </c>
      <c r="AN127" t="s">
        <v>76</v>
      </c>
      <c r="AO127" t="s">
        <v>76</v>
      </c>
      <c r="AP127" t="s">
        <v>76</v>
      </c>
      <c r="AQ127" t="s">
        <v>76</v>
      </c>
      <c r="AR127" t="s">
        <v>76</v>
      </c>
      <c r="AS127" t="s">
        <v>76</v>
      </c>
      <c r="AT127" t="s">
        <v>76</v>
      </c>
      <c r="AU127" t="s">
        <v>76</v>
      </c>
      <c r="AV127" t="s">
        <v>76</v>
      </c>
      <c r="AW127" t="s">
        <v>76</v>
      </c>
      <c r="AX127" t="s">
        <v>76</v>
      </c>
      <c r="AY127" t="s">
        <v>76</v>
      </c>
      <c r="AZ127" t="s">
        <v>76</v>
      </c>
      <c r="BA127" t="s">
        <v>76</v>
      </c>
      <c r="BB127" t="s">
        <v>76</v>
      </c>
      <c r="BC127" t="s">
        <v>76</v>
      </c>
      <c r="BD127" t="s">
        <v>76</v>
      </c>
      <c r="BE127" t="s">
        <v>76</v>
      </c>
      <c r="BF127" t="s">
        <v>76</v>
      </c>
      <c r="BG127" t="s">
        <v>76</v>
      </c>
      <c r="BH127" t="s">
        <v>76</v>
      </c>
      <c r="BI127" t="s">
        <v>76</v>
      </c>
      <c r="BJ127" t="s">
        <v>76</v>
      </c>
      <c r="BK127" t="s">
        <v>76</v>
      </c>
      <c r="BL127" t="s">
        <v>76</v>
      </c>
    </row>
    <row r="128" spans="1:64" x14ac:dyDescent="0.2">
      <c r="A128" t="s">
        <v>395</v>
      </c>
      <c r="B128" t="s">
        <v>75</v>
      </c>
      <c r="C128" t="s">
        <v>76</v>
      </c>
      <c r="D128" t="s">
        <v>75</v>
      </c>
      <c r="I128" t="s">
        <v>76</v>
      </c>
      <c r="K128" t="s">
        <v>76</v>
      </c>
      <c r="L128" t="s">
        <v>95</v>
      </c>
      <c r="M128" t="s">
        <v>75</v>
      </c>
      <c r="N128" t="s">
        <v>104</v>
      </c>
      <c r="O128" t="s">
        <v>104</v>
      </c>
      <c r="R128" t="s">
        <v>76</v>
      </c>
      <c r="S128" t="s">
        <v>76</v>
      </c>
      <c r="T128" t="s">
        <v>76</v>
      </c>
      <c r="U128" t="s">
        <v>76</v>
      </c>
      <c r="V128" t="s">
        <v>76</v>
      </c>
      <c r="W128" t="s">
        <v>76</v>
      </c>
      <c r="X128" t="s">
        <v>76</v>
      </c>
      <c r="Y128" t="s">
        <v>76</v>
      </c>
      <c r="Z128" t="s">
        <v>76</v>
      </c>
      <c r="AA128" t="s">
        <v>76</v>
      </c>
      <c r="AB128" t="s">
        <v>76</v>
      </c>
      <c r="AC128" t="s">
        <v>76</v>
      </c>
      <c r="AD128" t="s">
        <v>76</v>
      </c>
      <c r="AE128" t="s">
        <v>76</v>
      </c>
      <c r="AF128" t="s">
        <v>76</v>
      </c>
      <c r="AG128" t="s">
        <v>76</v>
      </c>
      <c r="AH128" t="s">
        <v>76</v>
      </c>
      <c r="AI128" t="s">
        <v>76</v>
      </c>
      <c r="AJ128" t="s">
        <v>76</v>
      </c>
      <c r="AK128" t="s">
        <v>76</v>
      </c>
      <c r="AL128" t="s">
        <v>76</v>
      </c>
      <c r="AM128" t="s">
        <v>76</v>
      </c>
      <c r="AN128" t="s">
        <v>76</v>
      </c>
      <c r="AO128" t="s">
        <v>76</v>
      </c>
      <c r="AP128" t="s">
        <v>76</v>
      </c>
      <c r="AQ128" t="s">
        <v>76</v>
      </c>
      <c r="AR128" t="s">
        <v>76</v>
      </c>
      <c r="AS128" t="s">
        <v>76</v>
      </c>
      <c r="AT128" t="s">
        <v>76</v>
      </c>
      <c r="AU128" t="s">
        <v>76</v>
      </c>
      <c r="AV128" t="s">
        <v>76</v>
      </c>
      <c r="AW128" t="s">
        <v>76</v>
      </c>
      <c r="AX128" t="s">
        <v>76</v>
      </c>
      <c r="AY128" t="s">
        <v>76</v>
      </c>
      <c r="AZ128" t="s">
        <v>76</v>
      </c>
      <c r="BA128" t="s">
        <v>76</v>
      </c>
      <c r="BB128" t="s">
        <v>76</v>
      </c>
      <c r="BC128" t="s">
        <v>76</v>
      </c>
      <c r="BD128" t="s">
        <v>76</v>
      </c>
      <c r="BE128" t="s">
        <v>76</v>
      </c>
      <c r="BF128" t="s">
        <v>76</v>
      </c>
      <c r="BG128" t="s">
        <v>76</v>
      </c>
      <c r="BH128" t="s">
        <v>76</v>
      </c>
      <c r="BI128" t="s">
        <v>76</v>
      </c>
      <c r="BJ128" t="s">
        <v>76</v>
      </c>
      <c r="BK128" t="s">
        <v>76</v>
      </c>
      <c r="BL128" t="s">
        <v>76</v>
      </c>
    </row>
    <row r="129" spans="1:64" x14ac:dyDescent="0.2">
      <c r="A129" t="s">
        <v>396</v>
      </c>
      <c r="B129" t="s">
        <v>75</v>
      </c>
      <c r="C129" t="s">
        <v>76</v>
      </c>
      <c r="D129" t="s">
        <v>75</v>
      </c>
      <c r="I129" t="s">
        <v>76</v>
      </c>
      <c r="K129" t="s">
        <v>76</v>
      </c>
      <c r="L129" t="s">
        <v>95</v>
      </c>
      <c r="M129" t="s">
        <v>75</v>
      </c>
      <c r="N129" t="s">
        <v>104</v>
      </c>
      <c r="O129" t="s">
        <v>104</v>
      </c>
      <c r="R129" t="s">
        <v>76</v>
      </c>
      <c r="S129" t="s">
        <v>76</v>
      </c>
      <c r="T129" t="s">
        <v>76</v>
      </c>
      <c r="U129" t="s">
        <v>76</v>
      </c>
      <c r="V129" t="s">
        <v>76</v>
      </c>
      <c r="W129" t="s">
        <v>76</v>
      </c>
      <c r="X129" t="s">
        <v>76</v>
      </c>
      <c r="Y129" t="s">
        <v>76</v>
      </c>
      <c r="Z129" t="s">
        <v>76</v>
      </c>
      <c r="AA129" t="s">
        <v>76</v>
      </c>
      <c r="AB129" t="s">
        <v>76</v>
      </c>
      <c r="AC129" t="s">
        <v>76</v>
      </c>
      <c r="AD129" t="s">
        <v>76</v>
      </c>
      <c r="AE129" t="s">
        <v>76</v>
      </c>
      <c r="AF129" t="s">
        <v>76</v>
      </c>
      <c r="AG129" t="s">
        <v>76</v>
      </c>
      <c r="AH129" t="s">
        <v>76</v>
      </c>
      <c r="AI129" t="s">
        <v>76</v>
      </c>
      <c r="AJ129" t="s">
        <v>76</v>
      </c>
      <c r="AK129" t="s">
        <v>76</v>
      </c>
      <c r="AL129" t="s">
        <v>76</v>
      </c>
      <c r="AM129" t="s">
        <v>76</v>
      </c>
      <c r="AN129" t="s">
        <v>76</v>
      </c>
      <c r="AO129" t="s">
        <v>76</v>
      </c>
      <c r="AP129" t="s">
        <v>76</v>
      </c>
      <c r="AQ129" t="s">
        <v>76</v>
      </c>
      <c r="AR129" t="s">
        <v>76</v>
      </c>
      <c r="AS129" t="s">
        <v>76</v>
      </c>
      <c r="AT129" t="s">
        <v>76</v>
      </c>
      <c r="AU129" t="s">
        <v>76</v>
      </c>
      <c r="AV129" t="s">
        <v>76</v>
      </c>
      <c r="AW129" t="s">
        <v>76</v>
      </c>
      <c r="AX129" t="s">
        <v>76</v>
      </c>
      <c r="AY129" t="s">
        <v>76</v>
      </c>
      <c r="AZ129" t="s">
        <v>76</v>
      </c>
      <c r="BA129" t="s">
        <v>76</v>
      </c>
      <c r="BB129" t="s">
        <v>76</v>
      </c>
      <c r="BC129" t="s">
        <v>76</v>
      </c>
      <c r="BD129" t="s">
        <v>76</v>
      </c>
      <c r="BE129" t="s">
        <v>76</v>
      </c>
      <c r="BF129" t="s">
        <v>76</v>
      </c>
      <c r="BG129" t="s">
        <v>76</v>
      </c>
      <c r="BH129" t="s">
        <v>76</v>
      </c>
      <c r="BI129" t="s">
        <v>76</v>
      </c>
      <c r="BJ129" t="s">
        <v>76</v>
      </c>
      <c r="BK129" t="s">
        <v>76</v>
      </c>
      <c r="BL129" t="s">
        <v>76</v>
      </c>
    </row>
    <row r="130" spans="1:64" x14ac:dyDescent="0.2">
      <c r="A130" t="s">
        <v>655</v>
      </c>
      <c r="B130" t="s">
        <v>76</v>
      </c>
      <c r="C130" t="s">
        <v>76</v>
      </c>
      <c r="D130" t="s">
        <v>76</v>
      </c>
      <c r="E130" t="s">
        <v>76</v>
      </c>
      <c r="F130" t="s">
        <v>76</v>
      </c>
      <c r="G130" t="s">
        <v>76</v>
      </c>
      <c r="J130" t="s">
        <v>75</v>
      </c>
      <c r="K130" t="s">
        <v>76</v>
      </c>
      <c r="L130" t="s">
        <v>95</v>
      </c>
      <c r="M130" t="s">
        <v>75</v>
      </c>
      <c r="N130" t="s">
        <v>104</v>
      </c>
      <c r="O130" t="s">
        <v>104</v>
      </c>
      <c r="P130" t="s">
        <v>75</v>
      </c>
      <c r="Q130" t="s">
        <v>75</v>
      </c>
      <c r="R130" t="s">
        <v>76</v>
      </c>
      <c r="S130" t="s">
        <v>76</v>
      </c>
      <c r="T130" t="s">
        <v>76</v>
      </c>
      <c r="U130" t="s">
        <v>76</v>
      </c>
      <c r="V130" t="s">
        <v>76</v>
      </c>
      <c r="W130" t="s">
        <v>76</v>
      </c>
      <c r="X130" t="s">
        <v>76</v>
      </c>
      <c r="Y130" t="s">
        <v>76</v>
      </c>
      <c r="Z130" t="s">
        <v>76</v>
      </c>
      <c r="AA130" t="s">
        <v>76</v>
      </c>
      <c r="AB130" t="s">
        <v>76</v>
      </c>
      <c r="AC130" t="s">
        <v>76</v>
      </c>
      <c r="AD130" t="s">
        <v>76</v>
      </c>
      <c r="AE130" t="s">
        <v>76</v>
      </c>
      <c r="AF130" t="s">
        <v>76</v>
      </c>
      <c r="AG130" t="s">
        <v>76</v>
      </c>
      <c r="AH130" t="s">
        <v>76</v>
      </c>
      <c r="AI130" t="s">
        <v>76</v>
      </c>
      <c r="AJ130" t="s">
        <v>76</v>
      </c>
      <c r="AK130" t="s">
        <v>76</v>
      </c>
      <c r="AL130" t="s">
        <v>76</v>
      </c>
      <c r="AM130" t="s">
        <v>76</v>
      </c>
      <c r="AN130" t="s">
        <v>76</v>
      </c>
      <c r="AO130" t="s">
        <v>76</v>
      </c>
      <c r="AP130" t="s">
        <v>76</v>
      </c>
      <c r="AQ130" t="s">
        <v>76</v>
      </c>
      <c r="AR130" t="s">
        <v>76</v>
      </c>
      <c r="AS130" t="s">
        <v>76</v>
      </c>
      <c r="AT130" t="s">
        <v>76</v>
      </c>
      <c r="AU130" t="s">
        <v>76</v>
      </c>
      <c r="AV130" t="s">
        <v>76</v>
      </c>
      <c r="AW130" t="s">
        <v>76</v>
      </c>
      <c r="AX130" t="s">
        <v>76</v>
      </c>
      <c r="AY130" t="s">
        <v>76</v>
      </c>
      <c r="AZ130" t="s">
        <v>76</v>
      </c>
      <c r="BA130" t="s">
        <v>76</v>
      </c>
      <c r="BB130" t="s">
        <v>76</v>
      </c>
      <c r="BC130" t="s">
        <v>76</v>
      </c>
      <c r="BD130" t="s">
        <v>76</v>
      </c>
      <c r="BE130" t="s">
        <v>76</v>
      </c>
      <c r="BF130" t="s">
        <v>76</v>
      </c>
      <c r="BG130" t="s">
        <v>76</v>
      </c>
      <c r="BH130" t="s">
        <v>76</v>
      </c>
      <c r="BI130" t="s">
        <v>76</v>
      </c>
      <c r="BJ130" t="s">
        <v>76</v>
      </c>
      <c r="BK130" t="s">
        <v>76</v>
      </c>
      <c r="BL130" t="s">
        <v>76</v>
      </c>
    </row>
    <row r="131" spans="1:64" x14ac:dyDescent="0.2">
      <c r="A131" t="s">
        <v>656</v>
      </c>
      <c r="B131" t="s">
        <v>76</v>
      </c>
      <c r="C131" t="s">
        <v>76</v>
      </c>
      <c r="D131" t="s">
        <v>76</v>
      </c>
      <c r="E131" t="s">
        <v>76</v>
      </c>
      <c r="F131" t="s">
        <v>76</v>
      </c>
      <c r="G131" t="s">
        <v>76</v>
      </c>
      <c r="J131" t="s">
        <v>75</v>
      </c>
      <c r="K131" t="s">
        <v>76</v>
      </c>
      <c r="L131" t="s">
        <v>95</v>
      </c>
      <c r="M131" t="s">
        <v>75</v>
      </c>
      <c r="N131" t="s">
        <v>104</v>
      </c>
      <c r="O131" t="s">
        <v>104</v>
      </c>
      <c r="P131" t="s">
        <v>75</v>
      </c>
      <c r="Q131" t="s">
        <v>75</v>
      </c>
      <c r="R131" t="s">
        <v>76</v>
      </c>
      <c r="S131" t="s">
        <v>76</v>
      </c>
      <c r="T131" t="s">
        <v>76</v>
      </c>
      <c r="U131" t="s">
        <v>76</v>
      </c>
      <c r="V131" t="s">
        <v>76</v>
      </c>
      <c r="W131" t="s">
        <v>76</v>
      </c>
      <c r="X131" t="s">
        <v>76</v>
      </c>
      <c r="Y131" t="s">
        <v>76</v>
      </c>
      <c r="Z131" t="s">
        <v>76</v>
      </c>
      <c r="AA131" t="s">
        <v>76</v>
      </c>
      <c r="AB131" t="s">
        <v>76</v>
      </c>
      <c r="AC131" t="s">
        <v>76</v>
      </c>
      <c r="AD131" t="s">
        <v>76</v>
      </c>
      <c r="AE131" t="s">
        <v>76</v>
      </c>
      <c r="AF131" t="s">
        <v>76</v>
      </c>
      <c r="AG131" t="s">
        <v>76</v>
      </c>
      <c r="AH131" t="s">
        <v>76</v>
      </c>
      <c r="AI131" t="s">
        <v>76</v>
      </c>
      <c r="AJ131" t="s">
        <v>76</v>
      </c>
      <c r="AK131" t="s">
        <v>76</v>
      </c>
      <c r="AL131" t="s">
        <v>76</v>
      </c>
      <c r="AM131" t="s">
        <v>76</v>
      </c>
      <c r="AN131" t="s">
        <v>76</v>
      </c>
      <c r="AO131" t="s">
        <v>76</v>
      </c>
      <c r="AP131" t="s">
        <v>76</v>
      </c>
      <c r="AQ131" t="s">
        <v>76</v>
      </c>
      <c r="AR131" t="s">
        <v>76</v>
      </c>
      <c r="AS131" t="s">
        <v>76</v>
      </c>
      <c r="AT131" t="s">
        <v>76</v>
      </c>
      <c r="AU131" t="s">
        <v>76</v>
      </c>
      <c r="AV131" t="s">
        <v>76</v>
      </c>
      <c r="AW131" t="s">
        <v>76</v>
      </c>
      <c r="AX131" t="s">
        <v>76</v>
      </c>
      <c r="AY131" t="s">
        <v>76</v>
      </c>
      <c r="AZ131" t="s">
        <v>76</v>
      </c>
      <c r="BA131" t="s">
        <v>76</v>
      </c>
      <c r="BB131" t="s">
        <v>76</v>
      </c>
      <c r="BC131" t="s">
        <v>76</v>
      </c>
      <c r="BD131" t="s">
        <v>76</v>
      </c>
      <c r="BE131" t="s">
        <v>76</v>
      </c>
      <c r="BF131" t="s">
        <v>76</v>
      </c>
      <c r="BG131" t="s">
        <v>76</v>
      </c>
      <c r="BH131" t="s">
        <v>76</v>
      </c>
      <c r="BI131" t="s">
        <v>76</v>
      </c>
      <c r="BJ131" t="s">
        <v>76</v>
      </c>
      <c r="BK131" t="s">
        <v>76</v>
      </c>
      <c r="BL131" t="s">
        <v>76</v>
      </c>
    </row>
    <row r="132" spans="1:64" x14ac:dyDescent="0.2">
      <c r="A132" t="s">
        <v>657</v>
      </c>
      <c r="B132" t="s">
        <v>76</v>
      </c>
      <c r="C132" t="s">
        <v>76</v>
      </c>
      <c r="D132" t="s">
        <v>76</v>
      </c>
      <c r="E132" t="s">
        <v>76</v>
      </c>
      <c r="F132" t="s">
        <v>76</v>
      </c>
      <c r="G132" t="s">
        <v>76</v>
      </c>
      <c r="J132" t="s">
        <v>75</v>
      </c>
      <c r="K132" t="s">
        <v>76</v>
      </c>
      <c r="L132" t="s">
        <v>95</v>
      </c>
      <c r="M132" t="s">
        <v>75</v>
      </c>
      <c r="N132" t="s">
        <v>104</v>
      </c>
      <c r="O132" t="s">
        <v>104</v>
      </c>
      <c r="P132" t="s">
        <v>75</v>
      </c>
      <c r="Q132" t="s">
        <v>75</v>
      </c>
      <c r="R132" t="s">
        <v>76</v>
      </c>
      <c r="S132" t="s">
        <v>76</v>
      </c>
      <c r="T132" t="s">
        <v>76</v>
      </c>
      <c r="U132" t="s">
        <v>76</v>
      </c>
      <c r="V132" t="s">
        <v>76</v>
      </c>
      <c r="W132" t="s">
        <v>76</v>
      </c>
      <c r="X132" t="s">
        <v>76</v>
      </c>
      <c r="Y132" t="s">
        <v>76</v>
      </c>
      <c r="Z132" t="s">
        <v>76</v>
      </c>
      <c r="AA132" t="s">
        <v>76</v>
      </c>
      <c r="AB132" t="s">
        <v>76</v>
      </c>
      <c r="AC132" t="s">
        <v>76</v>
      </c>
      <c r="AD132" t="s">
        <v>76</v>
      </c>
      <c r="AE132" t="s">
        <v>76</v>
      </c>
      <c r="AF132" t="s">
        <v>76</v>
      </c>
      <c r="AG132" t="s">
        <v>76</v>
      </c>
      <c r="AH132" t="s">
        <v>76</v>
      </c>
      <c r="AI132" t="s">
        <v>76</v>
      </c>
      <c r="AJ132" t="s">
        <v>76</v>
      </c>
      <c r="AK132" t="s">
        <v>76</v>
      </c>
      <c r="AL132" t="s">
        <v>76</v>
      </c>
      <c r="AM132" t="s">
        <v>76</v>
      </c>
      <c r="AN132" t="s">
        <v>76</v>
      </c>
      <c r="AO132" t="s">
        <v>76</v>
      </c>
      <c r="AP132" t="s">
        <v>76</v>
      </c>
      <c r="AQ132" t="s">
        <v>76</v>
      </c>
      <c r="AR132" t="s">
        <v>76</v>
      </c>
      <c r="AS132" t="s">
        <v>76</v>
      </c>
      <c r="AT132" t="s">
        <v>76</v>
      </c>
      <c r="AU132" t="s">
        <v>76</v>
      </c>
      <c r="AV132" t="s">
        <v>76</v>
      </c>
      <c r="AW132" t="s">
        <v>76</v>
      </c>
      <c r="AX132" t="s">
        <v>76</v>
      </c>
      <c r="AY132" t="s">
        <v>76</v>
      </c>
      <c r="AZ132" t="s">
        <v>76</v>
      </c>
      <c r="BA132" t="s">
        <v>76</v>
      </c>
      <c r="BB132" t="s">
        <v>76</v>
      </c>
      <c r="BC132" t="s">
        <v>76</v>
      </c>
      <c r="BD132" t="s">
        <v>76</v>
      </c>
      <c r="BE132" t="s">
        <v>76</v>
      </c>
      <c r="BF132" t="s">
        <v>76</v>
      </c>
      <c r="BG132" t="s">
        <v>76</v>
      </c>
      <c r="BH132" t="s">
        <v>76</v>
      </c>
      <c r="BI132" t="s">
        <v>76</v>
      </c>
      <c r="BJ132" t="s">
        <v>76</v>
      </c>
      <c r="BK132" t="s">
        <v>76</v>
      </c>
      <c r="BL132" t="s">
        <v>76</v>
      </c>
    </row>
    <row r="133" spans="1:64" x14ac:dyDescent="0.2">
      <c r="A133" t="s">
        <v>658</v>
      </c>
      <c r="B133" t="s">
        <v>76</v>
      </c>
      <c r="C133" t="s">
        <v>76</v>
      </c>
      <c r="D133" t="s">
        <v>76</v>
      </c>
      <c r="E133" t="s">
        <v>76</v>
      </c>
      <c r="F133" t="s">
        <v>76</v>
      </c>
      <c r="G133" t="s">
        <v>76</v>
      </c>
      <c r="J133" t="s">
        <v>75</v>
      </c>
      <c r="K133" t="s">
        <v>76</v>
      </c>
      <c r="L133" t="s">
        <v>95</v>
      </c>
      <c r="M133" t="s">
        <v>75</v>
      </c>
      <c r="N133" t="s">
        <v>104</v>
      </c>
      <c r="O133" t="s">
        <v>104</v>
      </c>
      <c r="P133" t="s">
        <v>75</v>
      </c>
      <c r="Q133" t="s">
        <v>75</v>
      </c>
      <c r="R133" t="s">
        <v>76</v>
      </c>
      <c r="S133" t="s">
        <v>76</v>
      </c>
      <c r="T133" t="s">
        <v>76</v>
      </c>
      <c r="U133" t="s">
        <v>76</v>
      </c>
      <c r="V133" t="s">
        <v>76</v>
      </c>
      <c r="W133" t="s">
        <v>76</v>
      </c>
      <c r="X133" t="s">
        <v>76</v>
      </c>
      <c r="Y133" t="s">
        <v>76</v>
      </c>
      <c r="Z133" t="s">
        <v>76</v>
      </c>
      <c r="AA133" t="s">
        <v>76</v>
      </c>
      <c r="AB133" t="s">
        <v>76</v>
      </c>
      <c r="AC133" t="s">
        <v>76</v>
      </c>
      <c r="AD133" t="s">
        <v>76</v>
      </c>
      <c r="AE133" t="s">
        <v>76</v>
      </c>
      <c r="AF133" t="s">
        <v>76</v>
      </c>
      <c r="AG133" t="s">
        <v>76</v>
      </c>
      <c r="AH133" t="s">
        <v>76</v>
      </c>
      <c r="AI133" t="s">
        <v>76</v>
      </c>
      <c r="AJ133" t="s">
        <v>76</v>
      </c>
      <c r="AK133" t="s">
        <v>76</v>
      </c>
      <c r="AL133" t="s">
        <v>76</v>
      </c>
      <c r="AM133" t="s">
        <v>76</v>
      </c>
      <c r="AN133" t="s">
        <v>76</v>
      </c>
      <c r="AO133" t="s">
        <v>76</v>
      </c>
      <c r="AP133" t="s">
        <v>76</v>
      </c>
      <c r="AQ133" t="s">
        <v>76</v>
      </c>
      <c r="AR133" t="s">
        <v>76</v>
      </c>
      <c r="AS133" t="s">
        <v>76</v>
      </c>
      <c r="AT133" t="s">
        <v>76</v>
      </c>
      <c r="AU133" t="s">
        <v>76</v>
      </c>
      <c r="AV133" t="s">
        <v>76</v>
      </c>
      <c r="AW133" t="s">
        <v>76</v>
      </c>
      <c r="AX133" t="s">
        <v>76</v>
      </c>
      <c r="AY133" t="s">
        <v>76</v>
      </c>
      <c r="AZ133" t="s">
        <v>76</v>
      </c>
      <c r="BA133" t="s">
        <v>76</v>
      </c>
      <c r="BB133" t="s">
        <v>76</v>
      </c>
      <c r="BC133" t="s">
        <v>76</v>
      </c>
      <c r="BD133" t="s">
        <v>76</v>
      </c>
      <c r="BE133" t="s">
        <v>76</v>
      </c>
      <c r="BF133" t="s">
        <v>76</v>
      </c>
      <c r="BG133" t="s">
        <v>76</v>
      </c>
      <c r="BH133" t="s">
        <v>76</v>
      </c>
      <c r="BI133" t="s">
        <v>76</v>
      </c>
      <c r="BJ133" t="s">
        <v>76</v>
      </c>
      <c r="BK133" t="s">
        <v>76</v>
      </c>
      <c r="BL133" t="s">
        <v>76</v>
      </c>
    </row>
    <row r="135" spans="1:64" x14ac:dyDescent="0.2">
      <c r="A135" t="s">
        <v>93</v>
      </c>
      <c r="B135" t="s">
        <v>85</v>
      </c>
      <c r="C135" t="s">
        <v>85</v>
      </c>
      <c r="D135" t="s">
        <v>85</v>
      </c>
      <c r="E135" t="s">
        <v>85</v>
      </c>
      <c r="F135" t="s">
        <v>85</v>
      </c>
      <c r="G135" t="s">
        <v>85</v>
      </c>
      <c r="H135" t="s">
        <v>85</v>
      </c>
      <c r="I135" t="s">
        <v>85</v>
      </c>
      <c r="J135" t="s">
        <v>85</v>
      </c>
      <c r="K135" t="s">
        <v>170</v>
      </c>
      <c r="L135" t="s">
        <v>170</v>
      </c>
      <c r="M135" t="s">
        <v>170</v>
      </c>
      <c r="N135" t="s">
        <v>85</v>
      </c>
      <c r="O135" t="s">
        <v>170</v>
      </c>
      <c r="P135" t="s">
        <v>85</v>
      </c>
      <c r="Q135" t="s">
        <v>85</v>
      </c>
      <c r="R135" t="s">
        <v>85</v>
      </c>
      <c r="S135" t="s">
        <v>170</v>
      </c>
      <c r="T135" t="s">
        <v>170</v>
      </c>
      <c r="U135" t="s">
        <v>170</v>
      </c>
      <c r="V135" t="s">
        <v>170</v>
      </c>
      <c r="W135" t="s">
        <v>170</v>
      </c>
      <c r="X135" t="s">
        <v>170</v>
      </c>
      <c r="Y135" t="s">
        <v>170</v>
      </c>
      <c r="Z135" t="s">
        <v>170</v>
      </c>
      <c r="AA135" t="s">
        <v>170</v>
      </c>
      <c r="AB135" t="s">
        <v>170</v>
      </c>
      <c r="AC135" t="s">
        <v>170</v>
      </c>
      <c r="BJ135" t="s">
        <v>170</v>
      </c>
      <c r="BK135" t="s">
        <v>170</v>
      </c>
      <c r="BL135" t="s">
        <v>170</v>
      </c>
    </row>
    <row r="136" spans="1:64" x14ac:dyDescent="0.2">
      <c r="B136" t="s">
        <v>15</v>
      </c>
      <c r="C136" t="s">
        <v>14</v>
      </c>
      <c r="D136" t="s">
        <v>16</v>
      </c>
      <c r="E136" t="s">
        <v>269</v>
      </c>
      <c r="F136" t="s">
        <v>19</v>
      </c>
      <c r="G136" t="s">
        <v>20</v>
      </c>
      <c r="H136" t="s">
        <v>22</v>
      </c>
      <c r="I136" t="s">
        <v>24</v>
      </c>
      <c r="J136" t="s">
        <v>51</v>
      </c>
      <c r="K136" t="s">
        <v>27</v>
      </c>
      <c r="L136" t="s">
        <v>28</v>
      </c>
      <c r="M136" t="s">
        <v>115</v>
      </c>
      <c r="N136" t="s">
        <v>102</v>
      </c>
      <c r="O136" t="s">
        <v>109</v>
      </c>
      <c r="P136" t="s">
        <v>140</v>
      </c>
      <c r="Q136" t="s">
        <v>141</v>
      </c>
      <c r="R136" t="s">
        <v>142</v>
      </c>
      <c r="S136" t="s">
        <v>65</v>
      </c>
      <c r="T136" t="s">
        <v>446</v>
      </c>
      <c r="U136" t="s">
        <v>66</v>
      </c>
      <c r="V136" t="s">
        <v>54</v>
      </c>
      <c r="W136" t="s">
        <v>55</v>
      </c>
      <c r="X136" t="s">
        <v>56</v>
      </c>
      <c r="Y136" t="s">
        <v>57</v>
      </c>
      <c r="Z136" t="s">
        <v>58</v>
      </c>
      <c r="AA136" t="s">
        <v>60</v>
      </c>
      <c r="AB136" t="s">
        <v>59</v>
      </c>
      <c r="AC136" t="s">
        <v>61</v>
      </c>
      <c r="AD136" t="s">
        <v>360</v>
      </c>
      <c r="AE136" t="s">
        <v>309</v>
      </c>
      <c r="AF136" t="s">
        <v>310</v>
      </c>
      <c r="AG136" t="s">
        <v>311</v>
      </c>
      <c r="AH136" t="s">
        <v>312</v>
      </c>
      <c r="AI136" t="s">
        <v>313</v>
      </c>
      <c r="AJ136" t="s">
        <v>314</v>
      </c>
      <c r="AK136" t="s">
        <v>315</v>
      </c>
      <c r="AL136" t="s">
        <v>316</v>
      </c>
      <c r="AM136" t="s">
        <v>317</v>
      </c>
      <c r="AN136" t="s">
        <v>318</v>
      </c>
      <c r="AO136" t="s">
        <v>54</v>
      </c>
      <c r="AP136" t="s">
        <v>319</v>
      </c>
      <c r="AQ136" t="s">
        <v>320</v>
      </c>
      <c r="AR136" t="s">
        <v>321</v>
      </c>
      <c r="AS136" t="s">
        <v>322</v>
      </c>
      <c r="AT136" t="s">
        <v>323</v>
      </c>
      <c r="AU136" t="s">
        <v>324</v>
      </c>
      <c r="AV136" t="s">
        <v>325</v>
      </c>
      <c r="AW136" t="s">
        <v>328</v>
      </c>
      <c r="AX136" t="s">
        <v>326</v>
      </c>
      <c r="AY136" t="s">
        <v>327</v>
      </c>
      <c r="AZ136" t="s">
        <v>329</v>
      </c>
      <c r="BA136" t="s">
        <v>330</v>
      </c>
      <c r="BB136" t="s">
        <v>331</v>
      </c>
      <c r="BC136" t="s">
        <v>332</v>
      </c>
      <c r="BD136" t="s">
        <v>290</v>
      </c>
      <c r="BE136" t="s">
        <v>292</v>
      </c>
      <c r="BF136" t="s">
        <v>291</v>
      </c>
      <c r="BG136" t="s">
        <v>335</v>
      </c>
      <c r="BH136" t="s">
        <v>333</v>
      </c>
      <c r="BI136" t="s">
        <v>334</v>
      </c>
      <c r="BJ136" t="s">
        <v>29</v>
      </c>
      <c r="BK136" t="s">
        <v>30</v>
      </c>
      <c r="BL136" t="s">
        <v>31</v>
      </c>
    </row>
    <row r="137" spans="1:64" x14ac:dyDescent="0.2">
      <c r="A137" t="s">
        <v>782</v>
      </c>
      <c r="B137">
        <f t="shared" ref="B137:D165" si="0">1/17</f>
        <v>5.8823529411764705E-2</v>
      </c>
      <c r="C137" s="2">
        <f>'vehicles specifications'!S3</f>
        <v>7</v>
      </c>
      <c r="D137">
        <f t="shared" si="0"/>
        <v>5.8823529411764705E-2</v>
      </c>
      <c r="E137">
        <v>1</v>
      </c>
      <c r="F137">
        <f>1+'vehicles specifications'!AD3</f>
        <v>1</v>
      </c>
      <c r="G137">
        <f>1+'vehicles specifications'!AD3</f>
        <v>1</v>
      </c>
      <c r="J137">
        <v>1</v>
      </c>
      <c r="K137">
        <f>1/('fuels and tailpipe emissions'!$C$3*3.6)</f>
        <v>2.3474178403755867E-2</v>
      </c>
      <c r="L137">
        <f>1/3.6</f>
        <v>0.2777777777777778</v>
      </c>
      <c r="M137">
        <f>1/'vehicles specifications'!J3</f>
        <v>5.602240896358543E-4</v>
      </c>
      <c r="N137">
        <v>1</v>
      </c>
      <c r="O137">
        <f>1</f>
        <v>1</v>
      </c>
      <c r="P137">
        <f>-1/17</f>
        <v>-5.8823529411764705E-2</v>
      </c>
      <c r="Q137">
        <f t="shared" ref="Q137:Q148" si="1">-1/24</f>
        <v>-4.1666666666666664E-2</v>
      </c>
      <c r="R137">
        <f>-1-'vehicles specifications'!AD3</f>
        <v>-1</v>
      </c>
      <c r="S137">
        <v>1</v>
      </c>
      <c r="T137">
        <v>1</v>
      </c>
      <c r="U137">
        <v>1</v>
      </c>
      <c r="V137">
        <v>1</v>
      </c>
      <c r="W137">
        <v>1</v>
      </c>
      <c r="X137">
        <v>1</v>
      </c>
      <c r="Y137">
        <v>1</v>
      </c>
      <c r="Z137">
        <v>1</v>
      </c>
      <c r="AA137">
        <v>1</v>
      </c>
      <c r="AB137">
        <v>1</v>
      </c>
      <c r="AC137">
        <v>1</v>
      </c>
      <c r="AD137">
        <v>1</v>
      </c>
      <c r="AE137">
        <v>1</v>
      </c>
      <c r="AF137">
        <v>1</v>
      </c>
      <c r="AG137">
        <v>1</v>
      </c>
      <c r="AH137">
        <v>1</v>
      </c>
      <c r="AI137">
        <v>1</v>
      </c>
      <c r="AJ137">
        <v>1</v>
      </c>
      <c r="AK137">
        <v>1</v>
      </c>
      <c r="AL137">
        <v>1</v>
      </c>
      <c r="AM137">
        <v>1</v>
      </c>
      <c r="AN137">
        <v>1</v>
      </c>
      <c r="AO137">
        <v>1</v>
      </c>
      <c r="AP137">
        <v>1</v>
      </c>
      <c r="AQ137">
        <v>1</v>
      </c>
      <c r="AR137">
        <v>1</v>
      </c>
      <c r="AS137">
        <v>1</v>
      </c>
      <c r="AT137">
        <v>1</v>
      </c>
      <c r="AU137">
        <v>1</v>
      </c>
      <c r="AV137">
        <v>1</v>
      </c>
      <c r="AW137">
        <v>1</v>
      </c>
      <c r="AX137">
        <v>1</v>
      </c>
      <c r="AY137">
        <v>1</v>
      </c>
      <c r="AZ137">
        <v>1</v>
      </c>
      <c r="BA137">
        <v>1</v>
      </c>
      <c r="BB137">
        <v>1</v>
      </c>
      <c r="BC137">
        <v>1</v>
      </c>
      <c r="BD137">
        <v>1</v>
      </c>
      <c r="BE137">
        <v>1</v>
      </c>
      <c r="BF137">
        <v>1</v>
      </c>
      <c r="BG137">
        <v>1</v>
      </c>
      <c r="BH137">
        <v>1</v>
      </c>
      <c r="BI137">
        <v>1</v>
      </c>
      <c r="BJ137">
        <f>-1/'vehicles specifications'!$M3</f>
        <v>-1</v>
      </c>
      <c r="BK137">
        <f>-1/'vehicles specifications'!$M3</f>
        <v>-1</v>
      </c>
      <c r="BL137">
        <f>-1/'vehicles specifications'!$M3</f>
        <v>-1</v>
      </c>
    </row>
    <row r="138" spans="1:64" x14ac:dyDescent="0.2">
      <c r="A138" t="s">
        <v>783</v>
      </c>
      <c r="B138">
        <f t="shared" si="0"/>
        <v>5.8823529411764705E-2</v>
      </c>
      <c r="C138" s="2">
        <f>'vehicles specifications'!S4</f>
        <v>7</v>
      </c>
      <c r="D138">
        <f t="shared" si="0"/>
        <v>5.8823529411764705E-2</v>
      </c>
      <c r="E138">
        <v>1</v>
      </c>
      <c r="F138">
        <f>1+'vehicles specifications'!AD4</f>
        <v>1</v>
      </c>
      <c r="G138">
        <f>1+'vehicles specifications'!AD4</f>
        <v>1</v>
      </c>
      <c r="J138">
        <v>1</v>
      </c>
      <c r="K138">
        <f>1/('fuels and tailpipe emissions'!$C$3*3.6)</f>
        <v>2.3474178403755867E-2</v>
      </c>
      <c r="L138">
        <f>1/3.6</f>
        <v>0.2777777777777778</v>
      </c>
      <c r="M138">
        <f>1/'vehicles specifications'!J4</f>
        <v>5.602240896358543E-4</v>
      </c>
      <c r="N138">
        <v>1</v>
      </c>
      <c r="O138">
        <f>1</f>
        <v>1</v>
      </c>
      <c r="P138">
        <f>-1/17</f>
        <v>-5.8823529411764705E-2</v>
      </c>
      <c r="Q138">
        <f t="shared" si="1"/>
        <v>-4.1666666666666664E-2</v>
      </c>
      <c r="R138">
        <f>-1-'vehicles specifications'!AD4</f>
        <v>-1</v>
      </c>
      <c r="S138">
        <v>1</v>
      </c>
      <c r="T138">
        <v>1</v>
      </c>
      <c r="U138">
        <v>1</v>
      </c>
      <c r="V138">
        <v>1</v>
      </c>
      <c r="W138">
        <v>1</v>
      </c>
      <c r="X138">
        <v>1</v>
      </c>
      <c r="Y138">
        <v>1</v>
      </c>
      <c r="Z138">
        <v>1</v>
      </c>
      <c r="AA138">
        <v>1</v>
      </c>
      <c r="AB138">
        <v>1</v>
      </c>
      <c r="AC138">
        <v>1</v>
      </c>
      <c r="AD138">
        <v>1</v>
      </c>
      <c r="AE138">
        <v>1</v>
      </c>
      <c r="AF138">
        <v>1</v>
      </c>
      <c r="AG138">
        <v>1</v>
      </c>
      <c r="AH138">
        <v>1</v>
      </c>
      <c r="AI138">
        <v>1</v>
      </c>
      <c r="AJ138">
        <v>1</v>
      </c>
      <c r="AK138">
        <v>1</v>
      </c>
      <c r="AL138">
        <v>1</v>
      </c>
      <c r="AM138">
        <v>1</v>
      </c>
      <c r="AN138">
        <v>1</v>
      </c>
      <c r="AO138">
        <v>1</v>
      </c>
      <c r="AP138">
        <v>1</v>
      </c>
      <c r="AQ138">
        <v>1</v>
      </c>
      <c r="AR138">
        <v>1</v>
      </c>
      <c r="AS138">
        <v>1</v>
      </c>
      <c r="AT138">
        <v>1</v>
      </c>
      <c r="AU138">
        <v>1</v>
      </c>
      <c r="AV138">
        <v>1</v>
      </c>
      <c r="AW138">
        <v>1</v>
      </c>
      <c r="AX138">
        <v>1</v>
      </c>
      <c r="AY138">
        <v>1</v>
      </c>
      <c r="AZ138">
        <v>1</v>
      </c>
      <c r="BA138">
        <v>1</v>
      </c>
      <c r="BB138">
        <v>1</v>
      </c>
      <c r="BC138">
        <v>1</v>
      </c>
      <c r="BD138">
        <v>1</v>
      </c>
      <c r="BE138">
        <v>1</v>
      </c>
      <c r="BF138">
        <v>1</v>
      </c>
      <c r="BG138">
        <v>1</v>
      </c>
      <c r="BH138">
        <v>1</v>
      </c>
      <c r="BI138">
        <v>1</v>
      </c>
      <c r="BJ138">
        <f>-1/'vehicles specifications'!$M4</f>
        <v>-1</v>
      </c>
      <c r="BK138">
        <f>-1/'vehicles specifications'!$M4</f>
        <v>-1</v>
      </c>
      <c r="BL138">
        <f>-1/'vehicles specifications'!$M4</f>
        <v>-1</v>
      </c>
    </row>
    <row r="139" spans="1:64" x14ac:dyDescent="0.2">
      <c r="A139" t="s">
        <v>784</v>
      </c>
      <c r="B139">
        <f t="shared" si="0"/>
        <v>5.8823529411764705E-2</v>
      </c>
      <c r="C139" s="2">
        <f>'vehicles specifications'!S5</f>
        <v>7</v>
      </c>
      <c r="D139">
        <f t="shared" si="0"/>
        <v>5.8823529411764705E-2</v>
      </c>
      <c r="E139">
        <v>1</v>
      </c>
      <c r="F139">
        <f>1+'vehicles specifications'!AD5</f>
        <v>1</v>
      </c>
      <c r="G139">
        <f>1+'vehicles specifications'!AD5</f>
        <v>1</v>
      </c>
      <c r="J139">
        <v>1</v>
      </c>
      <c r="K139">
        <f>1/('fuels and tailpipe emissions'!$C$3*3.6)</f>
        <v>2.3474178403755867E-2</v>
      </c>
      <c r="L139">
        <f>1/3.6</f>
        <v>0.2777777777777778</v>
      </c>
      <c r="M139">
        <f>1/'vehicles specifications'!J5</f>
        <v>5.602240896358543E-4</v>
      </c>
      <c r="N139">
        <v>1</v>
      </c>
      <c r="O139">
        <f>1</f>
        <v>1</v>
      </c>
      <c r="P139">
        <f t="shared" ref="P139:P152" si="3">-1/17</f>
        <v>-5.8823529411764705E-2</v>
      </c>
      <c r="Q139">
        <f t="shared" si="1"/>
        <v>-4.1666666666666664E-2</v>
      </c>
      <c r="R139">
        <f>-1-'vehicles specifications'!AD5</f>
        <v>-1</v>
      </c>
      <c r="S139">
        <v>1</v>
      </c>
      <c r="T139">
        <v>1</v>
      </c>
      <c r="U139">
        <v>1</v>
      </c>
      <c r="V139">
        <v>1</v>
      </c>
      <c r="W139">
        <v>1</v>
      </c>
      <c r="X139">
        <v>1</v>
      </c>
      <c r="Y139">
        <v>1</v>
      </c>
      <c r="Z139">
        <v>1</v>
      </c>
      <c r="AA139">
        <v>1</v>
      </c>
      <c r="AB139">
        <v>1</v>
      </c>
      <c r="AC139">
        <v>1</v>
      </c>
      <c r="AD139">
        <v>1</v>
      </c>
      <c r="AE139">
        <v>1</v>
      </c>
      <c r="AF139">
        <v>1</v>
      </c>
      <c r="AG139">
        <v>1</v>
      </c>
      <c r="AH139">
        <v>1</v>
      </c>
      <c r="AI139">
        <v>1</v>
      </c>
      <c r="AJ139">
        <v>1</v>
      </c>
      <c r="AK139">
        <v>1</v>
      </c>
      <c r="AL139">
        <v>1</v>
      </c>
      <c r="AM139">
        <v>1</v>
      </c>
      <c r="AN139">
        <v>1</v>
      </c>
      <c r="AO139">
        <v>1</v>
      </c>
      <c r="AP139">
        <v>1</v>
      </c>
      <c r="AQ139">
        <v>1</v>
      </c>
      <c r="AR139">
        <v>1</v>
      </c>
      <c r="AS139">
        <v>1</v>
      </c>
      <c r="AT139">
        <v>1</v>
      </c>
      <c r="AU139">
        <v>1</v>
      </c>
      <c r="AV139">
        <v>1</v>
      </c>
      <c r="AW139">
        <v>1</v>
      </c>
      <c r="AX139">
        <v>1</v>
      </c>
      <c r="AY139">
        <v>1</v>
      </c>
      <c r="AZ139">
        <v>1</v>
      </c>
      <c r="BA139">
        <v>1</v>
      </c>
      <c r="BB139">
        <v>1</v>
      </c>
      <c r="BC139">
        <v>1</v>
      </c>
      <c r="BD139">
        <v>1</v>
      </c>
      <c r="BE139">
        <v>1</v>
      </c>
      <c r="BF139">
        <v>1</v>
      </c>
      <c r="BG139">
        <v>1</v>
      </c>
      <c r="BH139">
        <v>1</v>
      </c>
      <c r="BI139">
        <v>1</v>
      </c>
      <c r="BJ139">
        <f>-1/'vehicles specifications'!$M5</f>
        <v>-1</v>
      </c>
      <c r="BK139">
        <f>-1/'vehicles specifications'!$M5</f>
        <v>-1</v>
      </c>
      <c r="BL139">
        <f>-1/'vehicles specifications'!$M5</f>
        <v>-1</v>
      </c>
    </row>
    <row r="140" spans="1:64" x14ac:dyDescent="0.2">
      <c r="A140" t="s">
        <v>785</v>
      </c>
      <c r="B140">
        <f t="shared" si="0"/>
        <v>5.8823529411764705E-2</v>
      </c>
      <c r="C140" s="2">
        <f>'vehicles specifications'!S6</f>
        <v>7</v>
      </c>
      <c r="D140">
        <f t="shared" si="0"/>
        <v>5.8823529411764705E-2</v>
      </c>
      <c r="E140">
        <v>1</v>
      </c>
      <c r="F140">
        <f>1+'vehicles specifications'!AD6</f>
        <v>1</v>
      </c>
      <c r="G140">
        <f>1+'vehicles specifications'!AD6</f>
        <v>1</v>
      </c>
      <c r="J140">
        <v>1</v>
      </c>
      <c r="K140">
        <f>1/('fuels and tailpipe emissions'!$C$3*3.6)</f>
        <v>2.3474178403755867E-2</v>
      </c>
      <c r="L140">
        <f>1/3.6</f>
        <v>0.2777777777777778</v>
      </c>
      <c r="M140">
        <f>1/'vehicles specifications'!J6</f>
        <v>5.602240896358543E-4</v>
      </c>
      <c r="N140">
        <v>1</v>
      </c>
      <c r="O140">
        <f>1</f>
        <v>1</v>
      </c>
      <c r="P140">
        <f t="shared" si="3"/>
        <v>-5.8823529411764705E-2</v>
      </c>
      <c r="Q140">
        <f t="shared" si="1"/>
        <v>-4.1666666666666664E-2</v>
      </c>
      <c r="R140">
        <f>-1-'vehicles specifications'!AD6</f>
        <v>-1</v>
      </c>
      <c r="S140">
        <v>1</v>
      </c>
      <c r="T140">
        <v>1</v>
      </c>
      <c r="U140">
        <v>1</v>
      </c>
      <c r="V140">
        <v>1</v>
      </c>
      <c r="W140">
        <v>1</v>
      </c>
      <c r="X140">
        <v>1</v>
      </c>
      <c r="Y140">
        <v>1</v>
      </c>
      <c r="Z140">
        <v>1</v>
      </c>
      <c r="AA140">
        <v>1</v>
      </c>
      <c r="AB140">
        <v>1</v>
      </c>
      <c r="AC140">
        <v>1</v>
      </c>
      <c r="AD140">
        <v>1</v>
      </c>
      <c r="AE140">
        <v>1</v>
      </c>
      <c r="AF140">
        <v>1</v>
      </c>
      <c r="AG140">
        <v>1</v>
      </c>
      <c r="AH140">
        <v>1</v>
      </c>
      <c r="AI140">
        <v>1</v>
      </c>
      <c r="AJ140">
        <v>1</v>
      </c>
      <c r="AK140">
        <v>1</v>
      </c>
      <c r="AL140">
        <v>1</v>
      </c>
      <c r="AM140">
        <v>1</v>
      </c>
      <c r="AN140">
        <v>1</v>
      </c>
      <c r="AO140">
        <v>1</v>
      </c>
      <c r="AP140">
        <v>1</v>
      </c>
      <c r="AQ140">
        <v>1</v>
      </c>
      <c r="AR140">
        <v>1</v>
      </c>
      <c r="AS140">
        <v>1</v>
      </c>
      <c r="AT140">
        <v>1</v>
      </c>
      <c r="AU140">
        <v>1</v>
      </c>
      <c r="AV140">
        <v>1</v>
      </c>
      <c r="AW140">
        <v>1</v>
      </c>
      <c r="AX140">
        <v>1</v>
      </c>
      <c r="AY140">
        <v>1</v>
      </c>
      <c r="AZ140">
        <v>1</v>
      </c>
      <c r="BA140">
        <v>1</v>
      </c>
      <c r="BB140">
        <v>1</v>
      </c>
      <c r="BC140">
        <v>1</v>
      </c>
      <c r="BD140">
        <v>1</v>
      </c>
      <c r="BE140">
        <v>1</v>
      </c>
      <c r="BF140">
        <v>1</v>
      </c>
      <c r="BG140">
        <v>1</v>
      </c>
      <c r="BH140">
        <v>1</v>
      </c>
      <c r="BI140">
        <v>1</v>
      </c>
      <c r="BJ140">
        <f>-1/'vehicles specifications'!$M6</f>
        <v>-1</v>
      </c>
      <c r="BK140">
        <f>-1/'vehicles specifications'!$M6</f>
        <v>-1</v>
      </c>
      <c r="BL140">
        <f>-1/'vehicles specifications'!$M6</f>
        <v>-1</v>
      </c>
    </row>
    <row r="141" spans="1:64" x14ac:dyDescent="0.2">
      <c r="A141" t="s">
        <v>786</v>
      </c>
      <c r="B141">
        <f t="shared" si="0"/>
        <v>5.8823529411764705E-2</v>
      </c>
      <c r="C141" s="2">
        <f>'vehicles specifications'!S7</f>
        <v>7</v>
      </c>
      <c r="D141">
        <f t="shared" si="0"/>
        <v>5.8823529411764705E-2</v>
      </c>
      <c r="E141">
        <v>1</v>
      </c>
      <c r="F141">
        <f>1+'vehicles specifications'!AD7</f>
        <v>1</v>
      </c>
      <c r="G141">
        <f>1+'vehicles specifications'!AD7</f>
        <v>1</v>
      </c>
      <c r="J141">
        <v>1</v>
      </c>
      <c r="K141">
        <f>1/('fuels and tailpipe emissions'!$C$3*3.6)</f>
        <v>2.3474178403755867E-2</v>
      </c>
      <c r="L141">
        <f>1/3.6</f>
        <v>0.2777777777777778</v>
      </c>
      <c r="M141">
        <f>1/'vehicles specifications'!J7</f>
        <v>5.602240896358543E-4</v>
      </c>
      <c r="N141">
        <v>1</v>
      </c>
      <c r="O141">
        <f>1</f>
        <v>1</v>
      </c>
      <c r="P141">
        <f>-1/17</f>
        <v>-5.8823529411764705E-2</v>
      </c>
      <c r="Q141">
        <f t="shared" si="1"/>
        <v>-4.1666666666666664E-2</v>
      </c>
      <c r="R141">
        <f>-1-'vehicles specifications'!AD7</f>
        <v>-1</v>
      </c>
      <c r="S141">
        <v>1</v>
      </c>
      <c r="T141">
        <v>1</v>
      </c>
      <c r="U141">
        <v>1</v>
      </c>
      <c r="V141">
        <v>1</v>
      </c>
      <c r="W141">
        <v>1</v>
      </c>
      <c r="X141">
        <v>1</v>
      </c>
      <c r="Y141">
        <v>1</v>
      </c>
      <c r="Z141">
        <v>1</v>
      </c>
      <c r="AA141">
        <v>1</v>
      </c>
      <c r="AB141">
        <v>1</v>
      </c>
      <c r="AC141">
        <v>1</v>
      </c>
      <c r="AD141">
        <v>1</v>
      </c>
      <c r="AE141">
        <v>1</v>
      </c>
      <c r="AF141">
        <v>1</v>
      </c>
      <c r="AG141">
        <v>1</v>
      </c>
      <c r="AH141">
        <v>1</v>
      </c>
      <c r="AI141">
        <v>1</v>
      </c>
      <c r="AJ141">
        <v>1</v>
      </c>
      <c r="AK141">
        <v>1</v>
      </c>
      <c r="AL141">
        <v>1</v>
      </c>
      <c r="AM141">
        <v>1</v>
      </c>
      <c r="AN141">
        <v>1</v>
      </c>
      <c r="AO141">
        <v>1</v>
      </c>
      <c r="AP141">
        <v>1</v>
      </c>
      <c r="AQ141">
        <v>1</v>
      </c>
      <c r="AR141">
        <v>1</v>
      </c>
      <c r="AS141">
        <v>1</v>
      </c>
      <c r="AT141">
        <v>1</v>
      </c>
      <c r="AU141">
        <v>1</v>
      </c>
      <c r="AV141">
        <v>1</v>
      </c>
      <c r="AW141">
        <v>1</v>
      </c>
      <c r="AX141">
        <v>1</v>
      </c>
      <c r="AY141">
        <v>1</v>
      </c>
      <c r="AZ141">
        <v>1</v>
      </c>
      <c r="BA141">
        <v>1</v>
      </c>
      <c r="BB141">
        <v>1</v>
      </c>
      <c r="BC141">
        <v>1</v>
      </c>
      <c r="BD141">
        <v>1</v>
      </c>
      <c r="BE141">
        <v>1</v>
      </c>
      <c r="BF141">
        <v>1</v>
      </c>
      <c r="BG141">
        <v>1</v>
      </c>
      <c r="BH141">
        <v>1</v>
      </c>
      <c r="BI141">
        <v>1</v>
      </c>
      <c r="BJ141">
        <f>-1/'vehicles specifications'!$M7</f>
        <v>-1</v>
      </c>
      <c r="BK141">
        <f>-1/'vehicles specifications'!$M7</f>
        <v>-1</v>
      </c>
      <c r="BL141">
        <f>-1/'vehicles specifications'!$M7</f>
        <v>-1</v>
      </c>
    </row>
    <row r="142" spans="1:64" x14ac:dyDescent="0.2">
      <c r="A142" t="s">
        <v>787</v>
      </c>
      <c r="B142">
        <f t="shared" si="0"/>
        <v>5.8823529411764705E-2</v>
      </c>
      <c r="C142" s="2">
        <f>'vehicles specifications'!S8</f>
        <v>7</v>
      </c>
      <c r="D142">
        <f t="shared" si="0"/>
        <v>5.8823529411764705E-2</v>
      </c>
      <c r="E142">
        <v>1</v>
      </c>
      <c r="F142">
        <f>1+'vehicles specifications'!AD8</f>
        <v>1</v>
      </c>
      <c r="G142">
        <f>1+'vehicles specifications'!AD8</f>
        <v>1</v>
      </c>
      <c r="J142">
        <v>1</v>
      </c>
      <c r="K142">
        <f>1/('fuels and tailpipe emissions'!$C$3*3.6)</f>
        <v>2.3474178403755867E-2</v>
      </c>
      <c r="L142">
        <f>1/3.6</f>
        <v>0.2777777777777778</v>
      </c>
      <c r="M142">
        <f>1/'vehicles specifications'!J8</f>
        <v>5.602240896358543E-4</v>
      </c>
      <c r="N142">
        <v>1</v>
      </c>
      <c r="O142">
        <f>1</f>
        <v>1</v>
      </c>
      <c r="P142">
        <f>-1/17</f>
        <v>-5.8823529411764705E-2</v>
      </c>
      <c r="Q142">
        <f t="shared" si="1"/>
        <v>-4.1666666666666664E-2</v>
      </c>
      <c r="R142">
        <f>-1-'vehicles specifications'!AD8</f>
        <v>-1</v>
      </c>
      <c r="S142">
        <v>1</v>
      </c>
      <c r="T142">
        <v>1</v>
      </c>
      <c r="U142">
        <v>1</v>
      </c>
      <c r="V142">
        <v>1</v>
      </c>
      <c r="W142">
        <v>1</v>
      </c>
      <c r="X142">
        <v>1</v>
      </c>
      <c r="Y142">
        <v>1</v>
      </c>
      <c r="Z142">
        <v>1</v>
      </c>
      <c r="AA142">
        <v>1</v>
      </c>
      <c r="AB142">
        <v>1</v>
      </c>
      <c r="AC142">
        <v>1</v>
      </c>
      <c r="AD142">
        <v>1</v>
      </c>
      <c r="AE142">
        <v>1</v>
      </c>
      <c r="AF142">
        <v>1</v>
      </c>
      <c r="AG142">
        <v>1</v>
      </c>
      <c r="AH142">
        <v>1</v>
      </c>
      <c r="AI142">
        <v>1</v>
      </c>
      <c r="AJ142">
        <v>1</v>
      </c>
      <c r="AK142">
        <v>1</v>
      </c>
      <c r="AL142">
        <v>1</v>
      </c>
      <c r="AM142">
        <v>1</v>
      </c>
      <c r="AN142">
        <v>1</v>
      </c>
      <c r="AO142">
        <v>1</v>
      </c>
      <c r="AP142">
        <v>1</v>
      </c>
      <c r="AQ142">
        <v>1</v>
      </c>
      <c r="AR142">
        <v>1</v>
      </c>
      <c r="AS142">
        <v>1</v>
      </c>
      <c r="AT142">
        <v>1</v>
      </c>
      <c r="AU142">
        <v>1</v>
      </c>
      <c r="AV142">
        <v>1</v>
      </c>
      <c r="AW142">
        <v>1</v>
      </c>
      <c r="AX142">
        <v>1</v>
      </c>
      <c r="AY142">
        <v>1</v>
      </c>
      <c r="AZ142">
        <v>1</v>
      </c>
      <c r="BA142">
        <v>1</v>
      </c>
      <c r="BB142">
        <v>1</v>
      </c>
      <c r="BC142">
        <v>1</v>
      </c>
      <c r="BD142">
        <v>1</v>
      </c>
      <c r="BE142">
        <v>1</v>
      </c>
      <c r="BF142">
        <v>1</v>
      </c>
      <c r="BG142">
        <v>1</v>
      </c>
      <c r="BH142">
        <v>1</v>
      </c>
      <c r="BI142">
        <v>1</v>
      </c>
      <c r="BJ142">
        <f>-1/'vehicles specifications'!$M8</f>
        <v>-1</v>
      </c>
      <c r="BK142">
        <f>-1/'vehicles specifications'!$M8</f>
        <v>-1</v>
      </c>
      <c r="BL142">
        <f>-1/'vehicles specifications'!$M8</f>
        <v>-1</v>
      </c>
    </row>
    <row r="143" spans="1:64" x14ac:dyDescent="0.2">
      <c r="A143" t="s">
        <v>788</v>
      </c>
      <c r="B143">
        <f t="shared" si="0"/>
        <v>5.8823529411764705E-2</v>
      </c>
      <c r="C143" s="2">
        <f>'vehicles specifications'!S9</f>
        <v>7</v>
      </c>
      <c r="D143">
        <f t="shared" si="0"/>
        <v>5.8823529411764705E-2</v>
      </c>
      <c r="E143">
        <v>1</v>
      </c>
      <c r="F143">
        <f>1+'vehicles specifications'!AD9</f>
        <v>1</v>
      </c>
      <c r="G143">
        <f>1+'vehicles specifications'!AD9</f>
        <v>1</v>
      </c>
      <c r="J143">
        <v>1</v>
      </c>
      <c r="K143">
        <f>1/('fuels and tailpipe emissions'!$C$3*3.6)</f>
        <v>2.3474178403755867E-2</v>
      </c>
      <c r="L143">
        <f>1/3.6</f>
        <v>0.2777777777777778</v>
      </c>
      <c r="M143">
        <f>1/'vehicles specifications'!J9</f>
        <v>5.602240896358543E-4</v>
      </c>
      <c r="N143">
        <v>1</v>
      </c>
      <c r="O143">
        <f>1</f>
        <v>1</v>
      </c>
      <c r="P143">
        <f t="shared" si="3"/>
        <v>-5.8823529411764705E-2</v>
      </c>
      <c r="Q143">
        <f t="shared" si="1"/>
        <v>-4.1666666666666664E-2</v>
      </c>
      <c r="R143">
        <f>-1-'vehicles specifications'!AD9</f>
        <v>-1</v>
      </c>
      <c r="S143">
        <v>1</v>
      </c>
      <c r="T143">
        <v>1</v>
      </c>
      <c r="U143">
        <v>1</v>
      </c>
      <c r="V143">
        <v>1</v>
      </c>
      <c r="W143">
        <v>1</v>
      </c>
      <c r="X143">
        <v>1</v>
      </c>
      <c r="Y143">
        <v>1</v>
      </c>
      <c r="Z143">
        <v>1</v>
      </c>
      <c r="AA143">
        <v>1</v>
      </c>
      <c r="AB143">
        <v>1</v>
      </c>
      <c r="AC143">
        <v>1</v>
      </c>
      <c r="AD143">
        <v>1</v>
      </c>
      <c r="AE143">
        <v>1</v>
      </c>
      <c r="AF143">
        <v>1</v>
      </c>
      <c r="AG143">
        <v>1</v>
      </c>
      <c r="AH143">
        <v>1</v>
      </c>
      <c r="AI143">
        <v>1</v>
      </c>
      <c r="AJ143">
        <v>1</v>
      </c>
      <c r="AK143">
        <v>1</v>
      </c>
      <c r="AL143">
        <v>1</v>
      </c>
      <c r="AM143">
        <v>1</v>
      </c>
      <c r="AN143">
        <v>1</v>
      </c>
      <c r="AO143">
        <v>1</v>
      </c>
      <c r="AP143">
        <v>1</v>
      </c>
      <c r="AQ143">
        <v>1</v>
      </c>
      <c r="AR143">
        <v>1</v>
      </c>
      <c r="AS143">
        <v>1</v>
      </c>
      <c r="AT143">
        <v>1</v>
      </c>
      <c r="AU143">
        <v>1</v>
      </c>
      <c r="AV143">
        <v>1</v>
      </c>
      <c r="AW143">
        <v>1</v>
      </c>
      <c r="AX143">
        <v>1</v>
      </c>
      <c r="AY143">
        <v>1</v>
      </c>
      <c r="AZ143">
        <v>1</v>
      </c>
      <c r="BA143">
        <v>1</v>
      </c>
      <c r="BB143">
        <v>1</v>
      </c>
      <c r="BC143">
        <v>1</v>
      </c>
      <c r="BD143">
        <v>1</v>
      </c>
      <c r="BE143">
        <v>1</v>
      </c>
      <c r="BF143">
        <v>1</v>
      </c>
      <c r="BG143">
        <v>1</v>
      </c>
      <c r="BH143">
        <v>1</v>
      </c>
      <c r="BI143">
        <v>1</v>
      </c>
      <c r="BJ143">
        <f>-1/'vehicles specifications'!$M9</f>
        <v>-1</v>
      </c>
      <c r="BK143">
        <f>-1/'vehicles specifications'!$M9</f>
        <v>-1</v>
      </c>
      <c r="BL143">
        <f>-1/'vehicles specifications'!$M9</f>
        <v>-1</v>
      </c>
    </row>
    <row r="144" spans="1:64" x14ac:dyDescent="0.2">
      <c r="A144" t="s">
        <v>789</v>
      </c>
      <c r="B144">
        <f t="shared" si="0"/>
        <v>5.8823529411764705E-2</v>
      </c>
      <c r="C144" s="2">
        <f>'vehicles specifications'!S10</f>
        <v>7</v>
      </c>
      <c r="D144">
        <f t="shared" si="0"/>
        <v>5.8823529411764705E-2</v>
      </c>
      <c r="E144">
        <v>1</v>
      </c>
      <c r="F144">
        <f>1+'vehicles specifications'!AD10</f>
        <v>1</v>
      </c>
      <c r="G144">
        <f>1+'vehicles specifications'!AD10</f>
        <v>1</v>
      </c>
      <c r="J144">
        <v>1</v>
      </c>
      <c r="K144">
        <f>1/('fuels and tailpipe emissions'!$C$3*3.6)</f>
        <v>2.3474178403755867E-2</v>
      </c>
      <c r="L144">
        <f>1/3.6</f>
        <v>0.2777777777777778</v>
      </c>
      <c r="M144">
        <f>1/'vehicles specifications'!J10</f>
        <v>5.602240896358543E-4</v>
      </c>
      <c r="N144">
        <v>1</v>
      </c>
      <c r="O144">
        <f>1</f>
        <v>1</v>
      </c>
      <c r="P144">
        <f t="shared" si="3"/>
        <v>-5.8823529411764705E-2</v>
      </c>
      <c r="Q144">
        <f t="shared" si="1"/>
        <v>-4.1666666666666664E-2</v>
      </c>
      <c r="R144">
        <f>-1-'vehicles specifications'!AD10</f>
        <v>-1</v>
      </c>
      <c r="S144">
        <v>1</v>
      </c>
      <c r="T144">
        <v>1</v>
      </c>
      <c r="U144">
        <v>1</v>
      </c>
      <c r="V144">
        <v>1</v>
      </c>
      <c r="W144">
        <v>1</v>
      </c>
      <c r="X144">
        <v>1</v>
      </c>
      <c r="Y144">
        <v>1</v>
      </c>
      <c r="Z144">
        <v>1</v>
      </c>
      <c r="AA144">
        <v>1</v>
      </c>
      <c r="AB144">
        <v>1</v>
      </c>
      <c r="AC144">
        <v>1</v>
      </c>
      <c r="AD144">
        <v>1</v>
      </c>
      <c r="AE144">
        <v>1</v>
      </c>
      <c r="AF144">
        <v>1</v>
      </c>
      <c r="AG144">
        <v>1</v>
      </c>
      <c r="AH144">
        <v>1</v>
      </c>
      <c r="AI144">
        <v>1</v>
      </c>
      <c r="AJ144">
        <v>1</v>
      </c>
      <c r="AK144">
        <v>1</v>
      </c>
      <c r="AL144">
        <v>1</v>
      </c>
      <c r="AM144">
        <v>1</v>
      </c>
      <c r="AN144">
        <v>1</v>
      </c>
      <c r="AO144">
        <v>1</v>
      </c>
      <c r="AP144">
        <v>1</v>
      </c>
      <c r="AQ144">
        <v>1</v>
      </c>
      <c r="AR144">
        <v>1</v>
      </c>
      <c r="AS144">
        <v>1</v>
      </c>
      <c r="AT144">
        <v>1</v>
      </c>
      <c r="AU144">
        <v>1</v>
      </c>
      <c r="AV144">
        <v>1</v>
      </c>
      <c r="AW144">
        <v>1</v>
      </c>
      <c r="AX144">
        <v>1</v>
      </c>
      <c r="AY144">
        <v>1</v>
      </c>
      <c r="AZ144">
        <v>1</v>
      </c>
      <c r="BA144">
        <v>1</v>
      </c>
      <c r="BB144">
        <v>1</v>
      </c>
      <c r="BC144">
        <v>1</v>
      </c>
      <c r="BD144">
        <v>1</v>
      </c>
      <c r="BE144">
        <v>1</v>
      </c>
      <c r="BF144">
        <v>1</v>
      </c>
      <c r="BG144">
        <v>1</v>
      </c>
      <c r="BH144">
        <v>1</v>
      </c>
      <c r="BI144">
        <v>1</v>
      </c>
      <c r="BJ144">
        <f>-1/'vehicles specifications'!$M10</f>
        <v>-1</v>
      </c>
      <c r="BK144">
        <f>-1/'vehicles specifications'!$M10</f>
        <v>-1</v>
      </c>
      <c r="BL144">
        <f>-1/'vehicles specifications'!$M10</f>
        <v>-1</v>
      </c>
    </row>
    <row r="145" spans="1:64" x14ac:dyDescent="0.2">
      <c r="A145" t="s">
        <v>790</v>
      </c>
      <c r="B145">
        <f t="shared" si="0"/>
        <v>5.8823529411764705E-2</v>
      </c>
      <c r="C145" s="2">
        <f>'vehicles specifications'!S11</f>
        <v>7</v>
      </c>
      <c r="D145">
        <f t="shared" si="0"/>
        <v>5.8823529411764705E-2</v>
      </c>
      <c r="E145">
        <v>1</v>
      </c>
      <c r="F145">
        <f>1+'vehicles specifications'!AD11</f>
        <v>1</v>
      </c>
      <c r="G145">
        <f>1+'vehicles specifications'!AD11</f>
        <v>1</v>
      </c>
      <c r="J145">
        <v>1</v>
      </c>
      <c r="K145">
        <f>1/('fuels and tailpipe emissions'!$C$3*3.6)</f>
        <v>2.3474178403755867E-2</v>
      </c>
      <c r="L145">
        <f>1/3.6</f>
        <v>0.2777777777777778</v>
      </c>
      <c r="M145">
        <f>1/'vehicles specifications'!J11</f>
        <v>5.602240896358543E-4</v>
      </c>
      <c r="N145">
        <v>1</v>
      </c>
      <c r="O145">
        <f>1</f>
        <v>1</v>
      </c>
      <c r="P145">
        <f>-1/17</f>
        <v>-5.8823529411764705E-2</v>
      </c>
      <c r="Q145">
        <f t="shared" si="1"/>
        <v>-4.1666666666666664E-2</v>
      </c>
      <c r="R145">
        <f>-1-'vehicles specifications'!AD11</f>
        <v>-1</v>
      </c>
      <c r="S145">
        <v>1</v>
      </c>
      <c r="T145">
        <v>1</v>
      </c>
      <c r="U145">
        <v>1</v>
      </c>
      <c r="V145">
        <v>1</v>
      </c>
      <c r="W145">
        <v>1</v>
      </c>
      <c r="X145">
        <v>1</v>
      </c>
      <c r="Y145">
        <v>1</v>
      </c>
      <c r="Z145">
        <v>1</v>
      </c>
      <c r="AA145">
        <v>1</v>
      </c>
      <c r="AB145">
        <v>1</v>
      </c>
      <c r="AC145">
        <v>1</v>
      </c>
      <c r="AD145">
        <v>1</v>
      </c>
      <c r="AE145">
        <v>1</v>
      </c>
      <c r="AF145">
        <v>1</v>
      </c>
      <c r="AG145">
        <v>1</v>
      </c>
      <c r="AH145">
        <v>1</v>
      </c>
      <c r="AI145">
        <v>1</v>
      </c>
      <c r="AJ145">
        <v>1</v>
      </c>
      <c r="AK145">
        <v>1</v>
      </c>
      <c r="AL145">
        <v>1</v>
      </c>
      <c r="AM145">
        <v>1</v>
      </c>
      <c r="AN145">
        <v>1</v>
      </c>
      <c r="AO145">
        <v>1</v>
      </c>
      <c r="AP145">
        <v>1</v>
      </c>
      <c r="AQ145">
        <v>1</v>
      </c>
      <c r="AR145">
        <v>1</v>
      </c>
      <c r="AS145">
        <v>1</v>
      </c>
      <c r="AT145">
        <v>1</v>
      </c>
      <c r="AU145">
        <v>1</v>
      </c>
      <c r="AV145">
        <v>1</v>
      </c>
      <c r="AW145">
        <v>1</v>
      </c>
      <c r="AX145">
        <v>1</v>
      </c>
      <c r="AY145">
        <v>1</v>
      </c>
      <c r="AZ145">
        <v>1</v>
      </c>
      <c r="BA145">
        <v>1</v>
      </c>
      <c r="BB145">
        <v>1</v>
      </c>
      <c r="BC145">
        <v>1</v>
      </c>
      <c r="BD145">
        <v>1</v>
      </c>
      <c r="BE145">
        <v>1</v>
      </c>
      <c r="BF145">
        <v>1</v>
      </c>
      <c r="BG145">
        <v>1</v>
      </c>
      <c r="BH145">
        <v>1</v>
      </c>
      <c r="BI145">
        <v>1</v>
      </c>
      <c r="BJ145">
        <f>-1/'vehicles specifications'!$M11</f>
        <v>-1</v>
      </c>
      <c r="BK145">
        <f>-1/'vehicles specifications'!$M11</f>
        <v>-1</v>
      </c>
      <c r="BL145">
        <f>-1/'vehicles specifications'!$M11</f>
        <v>-1</v>
      </c>
    </row>
    <row r="146" spans="1:64" x14ac:dyDescent="0.2">
      <c r="A146" t="s">
        <v>791</v>
      </c>
      <c r="B146">
        <f t="shared" si="0"/>
        <v>5.8823529411764705E-2</v>
      </c>
      <c r="C146" s="2">
        <f>'vehicles specifications'!S12</f>
        <v>7</v>
      </c>
      <c r="D146">
        <f t="shared" si="0"/>
        <v>5.8823529411764705E-2</v>
      </c>
      <c r="E146">
        <v>1</v>
      </c>
      <c r="F146">
        <f>1+'vehicles specifications'!AD12</f>
        <v>1</v>
      </c>
      <c r="G146">
        <f>1+'vehicles specifications'!AD12</f>
        <v>1</v>
      </c>
      <c r="J146">
        <v>1</v>
      </c>
      <c r="K146">
        <f>1/('fuels and tailpipe emissions'!$C$3*3.6)</f>
        <v>2.3474178403755867E-2</v>
      </c>
      <c r="L146">
        <f>1/3.6</f>
        <v>0.2777777777777778</v>
      </c>
      <c r="M146">
        <f>1/'vehicles specifications'!J12</f>
        <v>5.602240896358543E-4</v>
      </c>
      <c r="N146">
        <v>1</v>
      </c>
      <c r="O146">
        <f>1</f>
        <v>1</v>
      </c>
      <c r="P146">
        <f>-1/17</f>
        <v>-5.8823529411764705E-2</v>
      </c>
      <c r="Q146">
        <f t="shared" si="1"/>
        <v>-4.1666666666666664E-2</v>
      </c>
      <c r="R146">
        <f>-1-'vehicles specifications'!AD12</f>
        <v>-1</v>
      </c>
      <c r="S146">
        <v>1</v>
      </c>
      <c r="T146">
        <v>1</v>
      </c>
      <c r="U146">
        <v>1</v>
      </c>
      <c r="V146">
        <v>1</v>
      </c>
      <c r="W146">
        <v>1</v>
      </c>
      <c r="X146">
        <v>1</v>
      </c>
      <c r="Y146">
        <v>1</v>
      </c>
      <c r="Z146">
        <v>1</v>
      </c>
      <c r="AA146">
        <v>1</v>
      </c>
      <c r="AB146">
        <v>1</v>
      </c>
      <c r="AC146">
        <v>1</v>
      </c>
      <c r="AD146">
        <v>1</v>
      </c>
      <c r="AE146">
        <v>1</v>
      </c>
      <c r="AF146">
        <v>1</v>
      </c>
      <c r="AG146">
        <v>1</v>
      </c>
      <c r="AH146">
        <v>1</v>
      </c>
      <c r="AI146">
        <v>1</v>
      </c>
      <c r="AJ146">
        <v>1</v>
      </c>
      <c r="AK146">
        <v>1</v>
      </c>
      <c r="AL146">
        <v>1</v>
      </c>
      <c r="AM146">
        <v>1</v>
      </c>
      <c r="AN146">
        <v>1</v>
      </c>
      <c r="AO146">
        <v>1</v>
      </c>
      <c r="AP146">
        <v>1</v>
      </c>
      <c r="AQ146">
        <v>1</v>
      </c>
      <c r="AR146">
        <v>1</v>
      </c>
      <c r="AS146">
        <v>1</v>
      </c>
      <c r="AT146">
        <v>1</v>
      </c>
      <c r="AU146">
        <v>1</v>
      </c>
      <c r="AV146">
        <v>1</v>
      </c>
      <c r="AW146">
        <v>1</v>
      </c>
      <c r="AX146">
        <v>1</v>
      </c>
      <c r="AY146">
        <v>1</v>
      </c>
      <c r="AZ146">
        <v>1</v>
      </c>
      <c r="BA146">
        <v>1</v>
      </c>
      <c r="BB146">
        <v>1</v>
      </c>
      <c r="BC146">
        <v>1</v>
      </c>
      <c r="BD146">
        <v>1</v>
      </c>
      <c r="BE146">
        <v>1</v>
      </c>
      <c r="BF146">
        <v>1</v>
      </c>
      <c r="BG146">
        <v>1</v>
      </c>
      <c r="BH146">
        <v>1</v>
      </c>
      <c r="BI146">
        <v>1</v>
      </c>
      <c r="BJ146">
        <f>-1/'vehicles specifications'!$M12</f>
        <v>-1</v>
      </c>
      <c r="BK146">
        <f>-1/'vehicles specifications'!$M12</f>
        <v>-1</v>
      </c>
      <c r="BL146">
        <f>-1/'vehicles specifications'!$M12</f>
        <v>-1</v>
      </c>
    </row>
    <row r="147" spans="1:64" x14ac:dyDescent="0.2">
      <c r="A147" t="s">
        <v>792</v>
      </c>
      <c r="B147">
        <f t="shared" si="0"/>
        <v>5.8823529411764705E-2</v>
      </c>
      <c r="C147" s="2">
        <f>'vehicles specifications'!S13</f>
        <v>7</v>
      </c>
      <c r="D147">
        <f t="shared" si="0"/>
        <v>5.8823529411764705E-2</v>
      </c>
      <c r="E147">
        <v>1</v>
      </c>
      <c r="F147">
        <f>1+'vehicles specifications'!AD13</f>
        <v>1</v>
      </c>
      <c r="G147">
        <f>1+'vehicles specifications'!AD13</f>
        <v>1</v>
      </c>
      <c r="J147">
        <v>1</v>
      </c>
      <c r="K147">
        <f>1/('fuels and tailpipe emissions'!$C$3*3.6)</f>
        <v>2.3474178403755867E-2</v>
      </c>
      <c r="L147">
        <f>1/3.6</f>
        <v>0.2777777777777778</v>
      </c>
      <c r="M147">
        <f>1/'vehicles specifications'!J13</f>
        <v>5.602240896358543E-4</v>
      </c>
      <c r="N147">
        <v>1</v>
      </c>
      <c r="O147">
        <f>1</f>
        <v>1</v>
      </c>
      <c r="P147">
        <f t="shared" si="3"/>
        <v>-5.8823529411764705E-2</v>
      </c>
      <c r="Q147">
        <f t="shared" si="1"/>
        <v>-4.1666666666666664E-2</v>
      </c>
      <c r="R147">
        <f>-1-'vehicles specifications'!AD13</f>
        <v>-1</v>
      </c>
      <c r="S147">
        <v>1</v>
      </c>
      <c r="T147">
        <v>1</v>
      </c>
      <c r="U147">
        <v>1</v>
      </c>
      <c r="V147">
        <v>1</v>
      </c>
      <c r="W147">
        <v>1</v>
      </c>
      <c r="X147">
        <v>1</v>
      </c>
      <c r="Y147">
        <v>1</v>
      </c>
      <c r="Z147">
        <v>1</v>
      </c>
      <c r="AA147">
        <v>1</v>
      </c>
      <c r="AB147">
        <v>1</v>
      </c>
      <c r="AC147">
        <v>1</v>
      </c>
      <c r="AD147">
        <v>1</v>
      </c>
      <c r="AE147">
        <v>1</v>
      </c>
      <c r="AF147">
        <v>1</v>
      </c>
      <c r="AG147">
        <v>1</v>
      </c>
      <c r="AH147">
        <v>1</v>
      </c>
      <c r="AI147">
        <v>1</v>
      </c>
      <c r="AJ147">
        <v>1</v>
      </c>
      <c r="AK147">
        <v>1</v>
      </c>
      <c r="AL147">
        <v>1</v>
      </c>
      <c r="AM147">
        <v>1</v>
      </c>
      <c r="AN147">
        <v>1</v>
      </c>
      <c r="AO147">
        <v>1</v>
      </c>
      <c r="AP147">
        <v>1</v>
      </c>
      <c r="AQ147">
        <v>1</v>
      </c>
      <c r="AR147">
        <v>1</v>
      </c>
      <c r="AS147">
        <v>1</v>
      </c>
      <c r="AT147">
        <v>1</v>
      </c>
      <c r="AU147">
        <v>1</v>
      </c>
      <c r="AV147">
        <v>1</v>
      </c>
      <c r="AW147">
        <v>1</v>
      </c>
      <c r="AX147">
        <v>1</v>
      </c>
      <c r="AY147">
        <v>1</v>
      </c>
      <c r="AZ147">
        <v>1</v>
      </c>
      <c r="BA147">
        <v>1</v>
      </c>
      <c r="BB147">
        <v>1</v>
      </c>
      <c r="BC147">
        <v>1</v>
      </c>
      <c r="BD147">
        <v>1</v>
      </c>
      <c r="BE147">
        <v>1</v>
      </c>
      <c r="BF147">
        <v>1</v>
      </c>
      <c r="BG147">
        <v>1</v>
      </c>
      <c r="BH147">
        <v>1</v>
      </c>
      <c r="BI147">
        <v>1</v>
      </c>
      <c r="BJ147">
        <f>-1/'vehicles specifications'!$M13</f>
        <v>-1</v>
      </c>
      <c r="BK147">
        <f>-1/'vehicles specifications'!$M13</f>
        <v>-1</v>
      </c>
      <c r="BL147">
        <f>-1/'vehicles specifications'!$M13</f>
        <v>-1</v>
      </c>
    </row>
    <row r="148" spans="1:64" x14ac:dyDescent="0.2">
      <c r="A148" t="s">
        <v>793</v>
      </c>
      <c r="B148">
        <f t="shared" si="0"/>
        <v>5.8823529411764705E-2</v>
      </c>
      <c r="C148" s="2">
        <f>'vehicles specifications'!S14</f>
        <v>7</v>
      </c>
      <c r="D148">
        <f t="shared" si="0"/>
        <v>5.8823529411764705E-2</v>
      </c>
      <c r="E148">
        <v>1</v>
      </c>
      <c r="F148">
        <f>1+'vehicles specifications'!AD14</f>
        <v>1</v>
      </c>
      <c r="G148">
        <f>1+'vehicles specifications'!AD14</f>
        <v>1</v>
      </c>
      <c r="J148">
        <v>1</v>
      </c>
      <c r="K148">
        <f>1/('fuels and tailpipe emissions'!$C$3*3.6)</f>
        <v>2.3474178403755867E-2</v>
      </c>
      <c r="L148">
        <f>1/3.6</f>
        <v>0.2777777777777778</v>
      </c>
      <c r="M148">
        <f>1/'vehicles specifications'!J14</f>
        <v>5.602240896358543E-4</v>
      </c>
      <c r="N148">
        <v>1</v>
      </c>
      <c r="O148">
        <f>1</f>
        <v>1</v>
      </c>
      <c r="P148">
        <f t="shared" si="3"/>
        <v>-5.8823529411764705E-2</v>
      </c>
      <c r="Q148">
        <f t="shared" si="1"/>
        <v>-4.1666666666666664E-2</v>
      </c>
      <c r="R148">
        <f>-1-'vehicles specifications'!AD14</f>
        <v>-1</v>
      </c>
      <c r="S148">
        <v>1</v>
      </c>
      <c r="T148">
        <v>1</v>
      </c>
      <c r="U148">
        <v>1</v>
      </c>
      <c r="V148">
        <v>1</v>
      </c>
      <c r="W148">
        <v>1</v>
      </c>
      <c r="X148">
        <v>1</v>
      </c>
      <c r="Y148">
        <v>1</v>
      </c>
      <c r="Z148">
        <v>1</v>
      </c>
      <c r="AA148">
        <v>1</v>
      </c>
      <c r="AB148">
        <v>1</v>
      </c>
      <c r="AC148">
        <v>1</v>
      </c>
      <c r="AD148">
        <v>1</v>
      </c>
      <c r="AE148">
        <v>1</v>
      </c>
      <c r="AF148">
        <v>1</v>
      </c>
      <c r="AG148">
        <v>1</v>
      </c>
      <c r="AH148">
        <v>1</v>
      </c>
      <c r="AI148">
        <v>1</v>
      </c>
      <c r="AJ148">
        <v>1</v>
      </c>
      <c r="AK148">
        <v>1</v>
      </c>
      <c r="AL148">
        <v>1</v>
      </c>
      <c r="AM148">
        <v>1</v>
      </c>
      <c r="AN148">
        <v>1</v>
      </c>
      <c r="AO148">
        <v>1</v>
      </c>
      <c r="AP148">
        <v>1</v>
      </c>
      <c r="AQ148">
        <v>1</v>
      </c>
      <c r="AR148">
        <v>1</v>
      </c>
      <c r="AS148">
        <v>1</v>
      </c>
      <c r="AT148">
        <v>1</v>
      </c>
      <c r="AU148">
        <v>1</v>
      </c>
      <c r="AV148">
        <v>1</v>
      </c>
      <c r="AW148">
        <v>1</v>
      </c>
      <c r="AX148">
        <v>1</v>
      </c>
      <c r="AY148">
        <v>1</v>
      </c>
      <c r="AZ148">
        <v>1</v>
      </c>
      <c r="BA148">
        <v>1</v>
      </c>
      <c r="BB148">
        <v>1</v>
      </c>
      <c r="BC148">
        <v>1</v>
      </c>
      <c r="BD148">
        <v>1</v>
      </c>
      <c r="BE148">
        <v>1</v>
      </c>
      <c r="BF148">
        <v>1</v>
      </c>
      <c r="BG148">
        <v>1</v>
      </c>
      <c r="BH148">
        <v>1</v>
      </c>
      <c r="BI148">
        <v>1</v>
      </c>
      <c r="BJ148">
        <f>-1/'vehicles specifications'!$M14</f>
        <v>-1</v>
      </c>
      <c r="BK148">
        <f>-1/'vehicles specifications'!$M14</f>
        <v>-1</v>
      </c>
      <c r="BL148">
        <f>-1/'vehicles specifications'!$M14</f>
        <v>-1</v>
      </c>
    </row>
    <row r="149" spans="1:64" x14ac:dyDescent="0.2">
      <c r="A149" t="s">
        <v>166</v>
      </c>
      <c r="B149">
        <f t="shared" si="0"/>
        <v>5.8823529411764705E-2</v>
      </c>
      <c r="C149" s="2">
        <f>'vehicles specifications'!S15</f>
        <v>12</v>
      </c>
      <c r="D149">
        <f t="shared" si="0"/>
        <v>5.8823529411764705E-2</v>
      </c>
      <c r="F149">
        <f>1+'vehicles specifications'!AD15</f>
        <v>1</v>
      </c>
      <c r="G149">
        <f>1+'vehicles specifications'!AD15</f>
        <v>1</v>
      </c>
      <c r="K149">
        <f>1/('fuels and tailpipe emissions'!$C$3*3.6)</f>
        <v>2.3474178403755867E-2</v>
      </c>
      <c r="L149">
        <f>1/3.6</f>
        <v>0.2777777777777778</v>
      </c>
      <c r="M149">
        <f>1/'vehicles specifications'!J15</f>
        <v>6.666666666666667E-5</v>
      </c>
      <c r="N149">
        <v>1</v>
      </c>
      <c r="O149">
        <f>1</f>
        <v>1</v>
      </c>
      <c r="P149">
        <f t="shared" si="3"/>
        <v>-5.8823529411764705E-2</v>
      </c>
      <c r="Q149">
        <v>-1</v>
      </c>
      <c r="R149">
        <f>-1-'vehicles specifications'!AD15</f>
        <v>-1</v>
      </c>
      <c r="S149">
        <v>1</v>
      </c>
      <c r="T149">
        <v>1</v>
      </c>
      <c r="U149">
        <v>1</v>
      </c>
      <c r="V149">
        <v>1</v>
      </c>
      <c r="W149">
        <v>1</v>
      </c>
      <c r="X149">
        <v>1</v>
      </c>
      <c r="Y149">
        <v>1</v>
      </c>
      <c r="Z149">
        <v>1</v>
      </c>
      <c r="AA149">
        <v>1</v>
      </c>
      <c r="AB149">
        <v>1</v>
      </c>
      <c r="AC149">
        <v>1</v>
      </c>
      <c r="AD149">
        <v>1</v>
      </c>
      <c r="AE149">
        <v>1</v>
      </c>
      <c r="AF149">
        <v>1</v>
      </c>
      <c r="AG149">
        <v>1</v>
      </c>
      <c r="AH149">
        <v>1</v>
      </c>
      <c r="AI149">
        <v>1</v>
      </c>
      <c r="AJ149">
        <v>1</v>
      </c>
      <c r="AK149">
        <v>1</v>
      </c>
      <c r="AL149">
        <v>1</v>
      </c>
      <c r="AM149">
        <v>1</v>
      </c>
      <c r="AN149">
        <v>1</v>
      </c>
      <c r="AO149">
        <v>1</v>
      </c>
      <c r="AP149">
        <v>1</v>
      </c>
      <c r="AQ149">
        <v>1</v>
      </c>
      <c r="AR149">
        <v>1</v>
      </c>
      <c r="AS149">
        <v>1</v>
      </c>
      <c r="AT149">
        <v>1</v>
      </c>
      <c r="AU149">
        <v>1</v>
      </c>
      <c r="AV149">
        <v>1</v>
      </c>
      <c r="AW149">
        <v>1</v>
      </c>
      <c r="AX149">
        <v>1</v>
      </c>
      <c r="AY149">
        <v>1</v>
      </c>
      <c r="AZ149">
        <v>1</v>
      </c>
      <c r="BA149">
        <v>1</v>
      </c>
      <c r="BB149">
        <v>1</v>
      </c>
      <c r="BC149">
        <v>1</v>
      </c>
      <c r="BD149">
        <v>1</v>
      </c>
      <c r="BE149">
        <v>1</v>
      </c>
      <c r="BF149">
        <v>1</v>
      </c>
      <c r="BG149">
        <v>1</v>
      </c>
      <c r="BH149">
        <v>1</v>
      </c>
      <c r="BI149">
        <v>1</v>
      </c>
      <c r="BJ149">
        <f>-1/'vehicles specifications'!$M15</f>
        <v>-1</v>
      </c>
      <c r="BK149">
        <f>-1/'vehicles specifications'!$M15</f>
        <v>-1</v>
      </c>
      <c r="BL149">
        <f>-1/'vehicles specifications'!$M15</f>
        <v>-1</v>
      </c>
    </row>
    <row r="150" spans="1:64" x14ac:dyDescent="0.2">
      <c r="A150" t="s">
        <v>167</v>
      </c>
      <c r="B150">
        <f t="shared" si="0"/>
        <v>5.8823529411764705E-2</v>
      </c>
      <c r="C150" s="2">
        <f>'vehicles specifications'!S16</f>
        <v>12</v>
      </c>
      <c r="D150">
        <f t="shared" si="0"/>
        <v>5.8823529411764705E-2</v>
      </c>
      <c r="F150">
        <f>1+'vehicles specifications'!AD16</f>
        <v>1</v>
      </c>
      <c r="G150">
        <f>1+'vehicles specifications'!AD16</f>
        <v>1</v>
      </c>
      <c r="K150">
        <f>1/('fuels and tailpipe emissions'!$C$3*3.6)</f>
        <v>2.3474178403755867E-2</v>
      </c>
      <c r="L150">
        <f>1/3.6</f>
        <v>0.2777777777777778</v>
      </c>
      <c r="M150">
        <f>1/'vehicles specifications'!J16</f>
        <v>6.666666666666667E-5</v>
      </c>
      <c r="N150">
        <v>1</v>
      </c>
      <c r="O150">
        <f>1</f>
        <v>1</v>
      </c>
      <c r="P150">
        <f t="shared" si="3"/>
        <v>-5.8823529411764705E-2</v>
      </c>
      <c r="Q150">
        <v>-1</v>
      </c>
      <c r="R150">
        <f>-1-'vehicles specifications'!AD16</f>
        <v>-1</v>
      </c>
      <c r="S150">
        <v>1</v>
      </c>
      <c r="T150">
        <v>1</v>
      </c>
      <c r="U150">
        <v>1</v>
      </c>
      <c r="V150">
        <v>1</v>
      </c>
      <c r="W150">
        <v>1</v>
      </c>
      <c r="X150">
        <v>1</v>
      </c>
      <c r="Y150">
        <v>1</v>
      </c>
      <c r="Z150">
        <v>1</v>
      </c>
      <c r="AA150">
        <v>1</v>
      </c>
      <c r="AB150">
        <v>1</v>
      </c>
      <c r="AC150">
        <v>1</v>
      </c>
      <c r="AD150">
        <v>1</v>
      </c>
      <c r="AE150">
        <v>1</v>
      </c>
      <c r="AF150">
        <v>1</v>
      </c>
      <c r="AG150">
        <v>1</v>
      </c>
      <c r="AH150">
        <v>1</v>
      </c>
      <c r="AI150">
        <v>1</v>
      </c>
      <c r="AJ150">
        <v>1</v>
      </c>
      <c r="AK150">
        <v>1</v>
      </c>
      <c r="AL150">
        <v>1</v>
      </c>
      <c r="AM150">
        <v>1</v>
      </c>
      <c r="AN150">
        <v>1</v>
      </c>
      <c r="AO150">
        <v>1</v>
      </c>
      <c r="AP150">
        <v>1</v>
      </c>
      <c r="AQ150">
        <v>1</v>
      </c>
      <c r="AR150">
        <v>1</v>
      </c>
      <c r="AS150">
        <v>1</v>
      </c>
      <c r="AT150">
        <v>1</v>
      </c>
      <c r="AU150">
        <v>1</v>
      </c>
      <c r="AV150">
        <v>1</v>
      </c>
      <c r="AW150">
        <v>1</v>
      </c>
      <c r="AX150">
        <v>1</v>
      </c>
      <c r="AY150">
        <v>1</v>
      </c>
      <c r="AZ150">
        <v>1</v>
      </c>
      <c r="BA150">
        <v>1</v>
      </c>
      <c r="BB150">
        <v>1</v>
      </c>
      <c r="BC150">
        <v>1</v>
      </c>
      <c r="BD150">
        <v>1</v>
      </c>
      <c r="BE150">
        <v>1</v>
      </c>
      <c r="BF150">
        <v>1</v>
      </c>
      <c r="BG150">
        <v>1</v>
      </c>
      <c r="BH150">
        <v>1</v>
      </c>
      <c r="BI150">
        <v>1</v>
      </c>
      <c r="BJ150">
        <f>-1/'vehicles specifications'!$M16</f>
        <v>-1</v>
      </c>
      <c r="BK150">
        <f>-1/'vehicles specifications'!$M16</f>
        <v>-1</v>
      </c>
      <c r="BL150">
        <f>-1/'vehicles specifications'!$M16</f>
        <v>-1</v>
      </c>
    </row>
    <row r="151" spans="1:64" x14ac:dyDescent="0.2">
      <c r="A151" t="s">
        <v>168</v>
      </c>
      <c r="B151">
        <f t="shared" si="0"/>
        <v>5.8823529411764705E-2</v>
      </c>
      <c r="C151" s="2">
        <f>'vehicles specifications'!S17</f>
        <v>12</v>
      </c>
      <c r="D151">
        <f t="shared" si="0"/>
        <v>5.8823529411764705E-2</v>
      </c>
      <c r="F151">
        <f>1+'vehicles specifications'!AD17</f>
        <v>1</v>
      </c>
      <c r="G151">
        <f>1+'vehicles specifications'!AD17</f>
        <v>1</v>
      </c>
      <c r="K151">
        <f>1/('fuels and tailpipe emissions'!$C$3*3.6)</f>
        <v>2.3474178403755867E-2</v>
      </c>
      <c r="L151">
        <f>1/3.6</f>
        <v>0.2777777777777778</v>
      </c>
      <c r="M151">
        <f>1/'vehicles specifications'!J17</f>
        <v>6.666666666666667E-5</v>
      </c>
      <c r="N151">
        <v>1</v>
      </c>
      <c r="O151">
        <f>1</f>
        <v>1</v>
      </c>
      <c r="P151">
        <f t="shared" si="3"/>
        <v>-5.8823529411764705E-2</v>
      </c>
      <c r="Q151">
        <v>-1</v>
      </c>
      <c r="R151">
        <f>-1-'vehicles specifications'!AD17</f>
        <v>-1</v>
      </c>
      <c r="S151">
        <v>1</v>
      </c>
      <c r="T151">
        <v>1</v>
      </c>
      <c r="U151">
        <v>1</v>
      </c>
      <c r="V151">
        <v>1</v>
      </c>
      <c r="W151">
        <v>1</v>
      </c>
      <c r="X151">
        <v>1</v>
      </c>
      <c r="Y151">
        <v>1</v>
      </c>
      <c r="Z151">
        <v>1</v>
      </c>
      <c r="AA151">
        <v>1</v>
      </c>
      <c r="AB151">
        <v>1</v>
      </c>
      <c r="AC151">
        <v>1</v>
      </c>
      <c r="AD151">
        <v>1</v>
      </c>
      <c r="AE151">
        <v>1</v>
      </c>
      <c r="AF151">
        <v>1</v>
      </c>
      <c r="AG151">
        <v>1</v>
      </c>
      <c r="AH151">
        <v>1</v>
      </c>
      <c r="AI151">
        <v>1</v>
      </c>
      <c r="AJ151">
        <v>1</v>
      </c>
      <c r="AK151">
        <v>1</v>
      </c>
      <c r="AL151">
        <v>1</v>
      </c>
      <c r="AM151">
        <v>1</v>
      </c>
      <c r="AN151">
        <v>1</v>
      </c>
      <c r="AO151">
        <v>1</v>
      </c>
      <c r="AP151">
        <v>1</v>
      </c>
      <c r="AQ151">
        <v>1</v>
      </c>
      <c r="AR151">
        <v>1</v>
      </c>
      <c r="AS151">
        <v>1</v>
      </c>
      <c r="AT151">
        <v>1</v>
      </c>
      <c r="AU151">
        <v>1</v>
      </c>
      <c r="AV151">
        <v>1</v>
      </c>
      <c r="AW151">
        <v>1</v>
      </c>
      <c r="AX151">
        <v>1</v>
      </c>
      <c r="AY151">
        <v>1</v>
      </c>
      <c r="AZ151">
        <v>1</v>
      </c>
      <c r="BA151">
        <v>1</v>
      </c>
      <c r="BB151">
        <v>1</v>
      </c>
      <c r="BC151">
        <v>1</v>
      </c>
      <c r="BD151">
        <v>1</v>
      </c>
      <c r="BE151">
        <v>1</v>
      </c>
      <c r="BF151">
        <v>1</v>
      </c>
      <c r="BG151">
        <v>1</v>
      </c>
      <c r="BH151">
        <v>1</v>
      </c>
      <c r="BI151">
        <v>1</v>
      </c>
      <c r="BJ151">
        <f>-1/'vehicles specifications'!$M17</f>
        <v>-1</v>
      </c>
      <c r="BK151">
        <f>-1/'vehicles specifications'!$M17</f>
        <v>-1</v>
      </c>
      <c r="BL151">
        <f>-1/'vehicles specifications'!$M17</f>
        <v>-1</v>
      </c>
    </row>
    <row r="152" spans="1:64" x14ac:dyDescent="0.2">
      <c r="A152" t="s">
        <v>169</v>
      </c>
      <c r="B152">
        <f t="shared" si="0"/>
        <v>5.8823529411764705E-2</v>
      </c>
      <c r="C152" s="2">
        <f>'vehicles specifications'!S18</f>
        <v>12</v>
      </c>
      <c r="D152">
        <f t="shared" si="0"/>
        <v>5.8823529411764705E-2</v>
      </c>
      <c r="F152">
        <f>1+'vehicles specifications'!AD18</f>
        <v>1</v>
      </c>
      <c r="G152">
        <f>1+'vehicles specifications'!AD18</f>
        <v>1</v>
      </c>
      <c r="K152">
        <f>1/('fuels and tailpipe emissions'!$C$3*3.6)</f>
        <v>2.3474178403755867E-2</v>
      </c>
      <c r="L152">
        <f>1/3.6</f>
        <v>0.2777777777777778</v>
      </c>
      <c r="M152">
        <f>1/'vehicles specifications'!J18</f>
        <v>6.666666666666667E-5</v>
      </c>
      <c r="N152">
        <v>1</v>
      </c>
      <c r="O152">
        <f>1</f>
        <v>1</v>
      </c>
      <c r="P152">
        <f t="shared" si="3"/>
        <v>-5.8823529411764705E-2</v>
      </c>
      <c r="Q152">
        <v>-1</v>
      </c>
      <c r="R152">
        <f>-1-'vehicles specifications'!AD18</f>
        <v>-1</v>
      </c>
      <c r="S152">
        <v>1</v>
      </c>
      <c r="T152">
        <v>1</v>
      </c>
      <c r="U152">
        <v>1</v>
      </c>
      <c r="V152">
        <v>1</v>
      </c>
      <c r="W152">
        <v>1</v>
      </c>
      <c r="X152">
        <v>1</v>
      </c>
      <c r="Y152">
        <v>1</v>
      </c>
      <c r="Z152">
        <v>1</v>
      </c>
      <c r="AA152">
        <v>1</v>
      </c>
      <c r="AB152">
        <v>1</v>
      </c>
      <c r="AC152">
        <v>1</v>
      </c>
      <c r="AD152">
        <v>1</v>
      </c>
      <c r="AE152">
        <v>1</v>
      </c>
      <c r="AF152">
        <v>1</v>
      </c>
      <c r="AG152">
        <v>1</v>
      </c>
      <c r="AH152">
        <v>1</v>
      </c>
      <c r="AI152">
        <v>1</v>
      </c>
      <c r="AJ152">
        <v>1</v>
      </c>
      <c r="AK152">
        <v>1</v>
      </c>
      <c r="AL152">
        <v>1</v>
      </c>
      <c r="AM152">
        <v>1</v>
      </c>
      <c r="AN152">
        <v>1</v>
      </c>
      <c r="AO152">
        <v>1</v>
      </c>
      <c r="AP152">
        <v>1</v>
      </c>
      <c r="AQ152">
        <v>1</v>
      </c>
      <c r="AR152">
        <v>1</v>
      </c>
      <c r="AS152">
        <v>1</v>
      </c>
      <c r="AT152">
        <v>1</v>
      </c>
      <c r="AU152">
        <v>1</v>
      </c>
      <c r="AV152">
        <v>1</v>
      </c>
      <c r="AW152">
        <v>1</v>
      </c>
      <c r="AX152">
        <v>1</v>
      </c>
      <c r="AY152">
        <v>1</v>
      </c>
      <c r="AZ152">
        <v>1</v>
      </c>
      <c r="BA152">
        <v>1</v>
      </c>
      <c r="BB152">
        <v>1</v>
      </c>
      <c r="BC152">
        <v>1</v>
      </c>
      <c r="BD152">
        <v>1</v>
      </c>
      <c r="BE152">
        <v>1</v>
      </c>
      <c r="BF152">
        <v>1</v>
      </c>
      <c r="BG152">
        <v>1</v>
      </c>
      <c r="BH152">
        <v>1</v>
      </c>
      <c r="BI152">
        <v>1</v>
      </c>
      <c r="BJ152">
        <f>-1/'vehicles specifications'!$M18</f>
        <v>-1</v>
      </c>
      <c r="BK152">
        <f>-1/'vehicles specifications'!$M18</f>
        <v>-1</v>
      </c>
      <c r="BL152">
        <f>-1/'vehicles specifications'!$M18</f>
        <v>-1</v>
      </c>
    </row>
    <row r="153" spans="1:64" x14ac:dyDescent="0.2">
      <c r="A153" t="s">
        <v>418</v>
      </c>
      <c r="B153">
        <f t="shared" si="0"/>
        <v>5.8823529411764705E-2</v>
      </c>
      <c r="C153" s="2">
        <f>'vehicles specifications'!S19</f>
        <v>16</v>
      </c>
      <c r="D153">
        <f t="shared" si="0"/>
        <v>5.8823529411764705E-2</v>
      </c>
      <c r="E153">
        <v>1</v>
      </c>
      <c r="F153">
        <f>1+'vehicles specifications'!AD19</f>
        <v>2</v>
      </c>
      <c r="G153">
        <f>1+'vehicles specifications'!AD19</f>
        <v>2</v>
      </c>
      <c r="J153">
        <v>1</v>
      </c>
      <c r="K153">
        <f>1/('fuels and tailpipe emissions'!$C$3*3.6)</f>
        <v>2.3474178403755867E-2</v>
      </c>
      <c r="L153">
        <f>1/3.6</f>
        <v>0.2777777777777778</v>
      </c>
      <c r="M153">
        <f>1/'vehicles specifications'!J19</f>
        <v>5.0000000000000002E-5</v>
      </c>
      <c r="N153">
        <v>1</v>
      </c>
      <c r="O153">
        <f>1</f>
        <v>1</v>
      </c>
      <c r="P153">
        <f>-1/24</f>
        <v>-4.1666666666666664E-2</v>
      </c>
      <c r="Q153">
        <f>-1/24</f>
        <v>-4.1666666666666664E-2</v>
      </c>
      <c r="R153">
        <f>-1-'vehicles specifications'!AD19</f>
        <v>-2</v>
      </c>
      <c r="S153">
        <v>1</v>
      </c>
      <c r="T153">
        <v>1</v>
      </c>
      <c r="U153">
        <v>1</v>
      </c>
      <c r="V153">
        <v>1</v>
      </c>
      <c r="W153">
        <v>1</v>
      </c>
      <c r="X153">
        <v>1</v>
      </c>
      <c r="Y153">
        <v>1</v>
      </c>
      <c r="Z153">
        <v>1</v>
      </c>
      <c r="AA153">
        <v>1</v>
      </c>
      <c r="AB153">
        <v>1</v>
      </c>
      <c r="AC153">
        <v>1</v>
      </c>
      <c r="AD153">
        <v>1</v>
      </c>
      <c r="AE153">
        <v>1</v>
      </c>
      <c r="AF153">
        <v>1</v>
      </c>
      <c r="AG153">
        <v>1</v>
      </c>
      <c r="AH153">
        <v>1</v>
      </c>
      <c r="AI153">
        <v>1</v>
      </c>
      <c r="AJ153">
        <v>1</v>
      </c>
      <c r="AK153">
        <v>1</v>
      </c>
      <c r="AL153">
        <v>1</v>
      </c>
      <c r="AM153">
        <v>1</v>
      </c>
      <c r="AN153">
        <v>1</v>
      </c>
      <c r="AO153">
        <v>1</v>
      </c>
      <c r="AP153">
        <v>1</v>
      </c>
      <c r="AQ153">
        <v>1</v>
      </c>
      <c r="AR153">
        <v>1</v>
      </c>
      <c r="AS153">
        <v>1</v>
      </c>
      <c r="AT153">
        <v>1</v>
      </c>
      <c r="AU153">
        <v>1</v>
      </c>
      <c r="AV153">
        <v>1</v>
      </c>
      <c r="AW153">
        <v>1</v>
      </c>
      <c r="AX153">
        <v>1</v>
      </c>
      <c r="AY153">
        <v>1</v>
      </c>
      <c r="AZ153">
        <v>1</v>
      </c>
      <c r="BA153">
        <v>1</v>
      </c>
      <c r="BB153">
        <v>1</v>
      </c>
      <c r="BC153">
        <v>1</v>
      </c>
      <c r="BD153">
        <v>1</v>
      </c>
      <c r="BE153">
        <v>1</v>
      </c>
      <c r="BF153">
        <v>1</v>
      </c>
      <c r="BG153">
        <v>1</v>
      </c>
      <c r="BH153">
        <v>1</v>
      </c>
      <c r="BI153">
        <v>1</v>
      </c>
      <c r="BJ153">
        <f>-1/'vehicles specifications'!$M19</f>
        <v>-1</v>
      </c>
      <c r="BK153">
        <f>-1/'vehicles specifications'!$M19</f>
        <v>-1</v>
      </c>
      <c r="BL153">
        <f>-1/'vehicles specifications'!$M19</f>
        <v>-1</v>
      </c>
    </row>
    <row r="154" spans="1:64" x14ac:dyDescent="0.2">
      <c r="A154" t="s">
        <v>419</v>
      </c>
      <c r="B154">
        <f t="shared" si="0"/>
        <v>5.8823529411764705E-2</v>
      </c>
      <c r="C154" s="2">
        <f>'vehicles specifications'!S20</f>
        <v>16</v>
      </c>
      <c r="D154">
        <f t="shared" si="0"/>
        <v>5.8823529411764705E-2</v>
      </c>
      <c r="E154">
        <v>1</v>
      </c>
      <c r="F154">
        <f>1+'vehicles specifications'!AD20</f>
        <v>1.5</v>
      </c>
      <c r="G154">
        <f>1+'vehicles specifications'!AD20</f>
        <v>1.5</v>
      </c>
      <c r="J154">
        <v>1</v>
      </c>
      <c r="K154">
        <f>1/('fuels and tailpipe emissions'!$C$3*3.6)</f>
        <v>2.3474178403755867E-2</v>
      </c>
      <c r="L154">
        <f>1/3.6</f>
        <v>0.2777777777777778</v>
      </c>
      <c r="M154">
        <f>1/'vehicles specifications'!J20</f>
        <v>5.0000000000000002E-5</v>
      </c>
      <c r="N154">
        <v>1</v>
      </c>
      <c r="O154">
        <f>1</f>
        <v>1</v>
      </c>
      <c r="P154">
        <f t="shared" ref="P154:Q169" si="4">-1/24</f>
        <v>-4.1666666666666664E-2</v>
      </c>
      <c r="Q154">
        <f t="shared" si="4"/>
        <v>-4.1666666666666664E-2</v>
      </c>
      <c r="R154">
        <f>-1-'vehicles specifications'!AD20</f>
        <v>-1.5</v>
      </c>
      <c r="S154">
        <v>1</v>
      </c>
      <c r="T154">
        <v>1</v>
      </c>
      <c r="U154">
        <v>1</v>
      </c>
      <c r="V154">
        <v>1</v>
      </c>
      <c r="W154">
        <v>1</v>
      </c>
      <c r="X154">
        <v>1</v>
      </c>
      <c r="Y154">
        <v>1</v>
      </c>
      <c r="Z154">
        <v>1</v>
      </c>
      <c r="AA154">
        <v>1</v>
      </c>
      <c r="AB154">
        <v>1</v>
      </c>
      <c r="AC154">
        <v>1</v>
      </c>
      <c r="AD154">
        <v>1</v>
      </c>
      <c r="AE154">
        <v>1</v>
      </c>
      <c r="AF154">
        <v>1</v>
      </c>
      <c r="AG154">
        <v>1</v>
      </c>
      <c r="AH154">
        <v>1</v>
      </c>
      <c r="AI154">
        <v>1</v>
      </c>
      <c r="AJ154">
        <v>1</v>
      </c>
      <c r="AK154">
        <v>1</v>
      </c>
      <c r="AL154">
        <v>1</v>
      </c>
      <c r="AM154">
        <v>1</v>
      </c>
      <c r="AN154">
        <v>1</v>
      </c>
      <c r="AO154">
        <v>1</v>
      </c>
      <c r="AP154">
        <v>1</v>
      </c>
      <c r="AQ154">
        <v>1</v>
      </c>
      <c r="AR154">
        <v>1</v>
      </c>
      <c r="AS154">
        <v>1</v>
      </c>
      <c r="AT154">
        <v>1</v>
      </c>
      <c r="AU154">
        <v>1</v>
      </c>
      <c r="AV154">
        <v>1</v>
      </c>
      <c r="AW154">
        <v>1</v>
      </c>
      <c r="AX154">
        <v>1</v>
      </c>
      <c r="AY154">
        <v>1</v>
      </c>
      <c r="AZ154">
        <v>1</v>
      </c>
      <c r="BA154">
        <v>1</v>
      </c>
      <c r="BB154">
        <v>1</v>
      </c>
      <c r="BC154">
        <v>1</v>
      </c>
      <c r="BD154">
        <v>1</v>
      </c>
      <c r="BE154">
        <v>1</v>
      </c>
      <c r="BF154">
        <v>1</v>
      </c>
      <c r="BG154">
        <v>1</v>
      </c>
      <c r="BH154">
        <v>1</v>
      </c>
      <c r="BI154">
        <v>1</v>
      </c>
      <c r="BJ154">
        <f>-1/'vehicles specifications'!$M20</f>
        <v>-1</v>
      </c>
      <c r="BK154">
        <f>-1/'vehicles specifications'!$M20</f>
        <v>-1</v>
      </c>
      <c r="BL154">
        <f>-1/'vehicles specifications'!$M20</f>
        <v>-1</v>
      </c>
    </row>
    <row r="155" spans="1:64" x14ac:dyDescent="0.2">
      <c r="A155" t="s">
        <v>420</v>
      </c>
      <c r="B155">
        <f t="shared" si="0"/>
        <v>5.8823529411764705E-2</v>
      </c>
      <c r="C155" s="2">
        <f>'vehicles specifications'!S21</f>
        <v>16</v>
      </c>
      <c r="D155">
        <f t="shared" si="0"/>
        <v>5.8823529411764705E-2</v>
      </c>
      <c r="E155">
        <v>1</v>
      </c>
      <c r="F155">
        <f>1+'vehicles specifications'!AD21</f>
        <v>1.25</v>
      </c>
      <c r="G155">
        <f>1+'vehicles specifications'!AD21</f>
        <v>1.25</v>
      </c>
      <c r="J155">
        <v>1</v>
      </c>
      <c r="K155">
        <f>1/('fuels and tailpipe emissions'!$C$3*3.6)</f>
        <v>2.3474178403755867E-2</v>
      </c>
      <c r="L155">
        <f>1/3.6</f>
        <v>0.2777777777777778</v>
      </c>
      <c r="M155">
        <f>1/'vehicles specifications'!J21</f>
        <v>5.0000000000000002E-5</v>
      </c>
      <c r="N155">
        <v>1</v>
      </c>
      <c r="O155">
        <f>1</f>
        <v>1</v>
      </c>
      <c r="P155">
        <f t="shared" si="4"/>
        <v>-4.1666666666666664E-2</v>
      </c>
      <c r="Q155">
        <f t="shared" si="4"/>
        <v>-4.1666666666666664E-2</v>
      </c>
      <c r="R155">
        <f>-1-'vehicles specifications'!AD21</f>
        <v>-1.25</v>
      </c>
      <c r="S155">
        <v>1</v>
      </c>
      <c r="T155">
        <v>1</v>
      </c>
      <c r="U155">
        <v>1</v>
      </c>
      <c r="V155">
        <v>1</v>
      </c>
      <c r="W155">
        <v>1</v>
      </c>
      <c r="X155">
        <v>1</v>
      </c>
      <c r="Y155">
        <v>1</v>
      </c>
      <c r="Z155">
        <v>1</v>
      </c>
      <c r="AA155">
        <v>1</v>
      </c>
      <c r="AB155">
        <v>1</v>
      </c>
      <c r="AC155">
        <v>1</v>
      </c>
      <c r="AD155">
        <v>1</v>
      </c>
      <c r="AE155">
        <v>1</v>
      </c>
      <c r="AF155">
        <v>1</v>
      </c>
      <c r="AG155">
        <v>1</v>
      </c>
      <c r="AH155">
        <v>1</v>
      </c>
      <c r="AI155">
        <v>1</v>
      </c>
      <c r="AJ155">
        <v>1</v>
      </c>
      <c r="AK155">
        <v>1</v>
      </c>
      <c r="AL155">
        <v>1</v>
      </c>
      <c r="AM155">
        <v>1</v>
      </c>
      <c r="AN155">
        <v>1</v>
      </c>
      <c r="AO155">
        <v>1</v>
      </c>
      <c r="AP155">
        <v>1</v>
      </c>
      <c r="AQ155">
        <v>1</v>
      </c>
      <c r="AR155">
        <v>1</v>
      </c>
      <c r="AS155">
        <v>1</v>
      </c>
      <c r="AT155">
        <v>1</v>
      </c>
      <c r="AU155">
        <v>1</v>
      </c>
      <c r="AV155">
        <v>1</v>
      </c>
      <c r="AW155">
        <v>1</v>
      </c>
      <c r="AX155">
        <v>1</v>
      </c>
      <c r="AY155">
        <v>1</v>
      </c>
      <c r="AZ155">
        <v>1</v>
      </c>
      <c r="BA155">
        <v>1</v>
      </c>
      <c r="BB155">
        <v>1</v>
      </c>
      <c r="BC155">
        <v>1</v>
      </c>
      <c r="BD155">
        <v>1</v>
      </c>
      <c r="BE155">
        <v>1</v>
      </c>
      <c r="BF155">
        <v>1</v>
      </c>
      <c r="BG155">
        <v>1</v>
      </c>
      <c r="BH155">
        <v>1</v>
      </c>
      <c r="BI155">
        <v>1</v>
      </c>
      <c r="BJ155">
        <f>-1/'vehicles specifications'!$M21</f>
        <v>-1</v>
      </c>
      <c r="BK155">
        <f>-1/'vehicles specifications'!$M21</f>
        <v>-1</v>
      </c>
      <c r="BL155">
        <f>-1/'vehicles specifications'!$M21</f>
        <v>-1</v>
      </c>
    </row>
    <row r="156" spans="1:64" x14ac:dyDescent="0.2">
      <c r="A156" t="s">
        <v>421</v>
      </c>
      <c r="B156">
        <f t="shared" si="0"/>
        <v>5.8823529411764705E-2</v>
      </c>
      <c r="C156" s="2">
        <f>'vehicles specifications'!S22</f>
        <v>16</v>
      </c>
      <c r="D156">
        <f t="shared" si="0"/>
        <v>5.8823529411764705E-2</v>
      </c>
      <c r="E156">
        <v>1</v>
      </c>
      <c r="F156">
        <f>1+'vehicles specifications'!AD22</f>
        <v>1</v>
      </c>
      <c r="G156">
        <f>1+'vehicles specifications'!AD22</f>
        <v>1</v>
      </c>
      <c r="J156">
        <v>1</v>
      </c>
      <c r="K156">
        <f>1/('fuels and tailpipe emissions'!$C$3*3.6)</f>
        <v>2.3474178403755867E-2</v>
      </c>
      <c r="L156">
        <f>1/3.6</f>
        <v>0.2777777777777778</v>
      </c>
      <c r="M156">
        <f>1/'vehicles specifications'!J22</f>
        <v>5.0000000000000002E-5</v>
      </c>
      <c r="N156">
        <v>1</v>
      </c>
      <c r="O156">
        <f>1</f>
        <v>1</v>
      </c>
      <c r="P156">
        <f t="shared" si="4"/>
        <v>-4.1666666666666664E-2</v>
      </c>
      <c r="Q156">
        <f t="shared" si="4"/>
        <v>-4.1666666666666664E-2</v>
      </c>
      <c r="R156">
        <f>-1-'vehicles specifications'!AD22</f>
        <v>-1</v>
      </c>
      <c r="S156">
        <v>1</v>
      </c>
      <c r="T156">
        <v>1</v>
      </c>
      <c r="U156">
        <v>1</v>
      </c>
      <c r="V156">
        <v>1</v>
      </c>
      <c r="W156">
        <v>1</v>
      </c>
      <c r="X156">
        <v>1</v>
      </c>
      <c r="Y156">
        <v>1</v>
      </c>
      <c r="Z156">
        <v>1</v>
      </c>
      <c r="AA156">
        <v>1</v>
      </c>
      <c r="AB156">
        <v>1</v>
      </c>
      <c r="AC156">
        <v>1</v>
      </c>
      <c r="AD156">
        <v>1</v>
      </c>
      <c r="AE156">
        <v>1</v>
      </c>
      <c r="AF156">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f>-1/'vehicles specifications'!$M22</f>
        <v>-1</v>
      </c>
      <c r="BK156">
        <f>-1/'vehicles specifications'!$M22</f>
        <v>-1</v>
      </c>
      <c r="BL156">
        <f>-1/'vehicles specifications'!$M22</f>
        <v>-1</v>
      </c>
    </row>
    <row r="157" spans="1:64" x14ac:dyDescent="0.2">
      <c r="A157" t="s">
        <v>422</v>
      </c>
      <c r="B157">
        <f t="shared" si="0"/>
        <v>5.8823529411764705E-2</v>
      </c>
      <c r="C157" s="2">
        <f>'vehicles specifications'!S23</f>
        <v>19</v>
      </c>
      <c r="D157">
        <f t="shared" si="0"/>
        <v>5.8823529411764705E-2</v>
      </c>
      <c r="E157">
        <v>1</v>
      </c>
      <c r="F157">
        <f>1+'vehicles specifications'!AD23</f>
        <v>2</v>
      </c>
      <c r="G157">
        <f>1+'vehicles specifications'!AD23</f>
        <v>2</v>
      </c>
      <c r="J157">
        <v>1</v>
      </c>
      <c r="K157">
        <f>1/('fuels and tailpipe emissions'!$C$3*3.6)</f>
        <v>2.3474178403755867E-2</v>
      </c>
      <c r="L157">
        <f>1/3.6</f>
        <v>0.2777777777777778</v>
      </c>
      <c r="M157">
        <f>1/'vehicles specifications'!J23</f>
        <v>3.3333333333333335E-5</v>
      </c>
      <c r="N157">
        <v>1</v>
      </c>
      <c r="O157">
        <f>1</f>
        <v>1</v>
      </c>
      <c r="P157">
        <f t="shared" si="4"/>
        <v>-4.1666666666666664E-2</v>
      </c>
      <c r="Q157">
        <f t="shared" si="4"/>
        <v>-4.1666666666666664E-2</v>
      </c>
      <c r="R157">
        <f>-1-'vehicles specifications'!AD23</f>
        <v>-2</v>
      </c>
      <c r="S157">
        <v>1</v>
      </c>
      <c r="T157">
        <v>1</v>
      </c>
      <c r="U157">
        <v>1</v>
      </c>
      <c r="V157">
        <v>1</v>
      </c>
      <c r="W157">
        <v>1</v>
      </c>
      <c r="X157">
        <v>1</v>
      </c>
      <c r="Y157">
        <v>1</v>
      </c>
      <c r="Z157">
        <v>1</v>
      </c>
      <c r="AA157">
        <v>1</v>
      </c>
      <c r="AB157">
        <v>1</v>
      </c>
      <c r="AC157">
        <v>1</v>
      </c>
      <c r="AD157">
        <v>1</v>
      </c>
      <c r="AE157">
        <v>1</v>
      </c>
      <c r="AF157">
        <v>1</v>
      </c>
      <c r="AG157">
        <v>1</v>
      </c>
      <c r="AH157">
        <v>1</v>
      </c>
      <c r="AI157">
        <v>1</v>
      </c>
      <c r="AJ157">
        <v>1</v>
      </c>
      <c r="AK157">
        <v>1</v>
      </c>
      <c r="AL157">
        <v>1</v>
      </c>
      <c r="AM157">
        <v>1</v>
      </c>
      <c r="AN157">
        <v>1</v>
      </c>
      <c r="AO157">
        <v>1</v>
      </c>
      <c r="AP157">
        <v>1</v>
      </c>
      <c r="AQ157">
        <v>1</v>
      </c>
      <c r="AR157">
        <v>1</v>
      </c>
      <c r="AS157">
        <v>1</v>
      </c>
      <c r="AT157">
        <v>1</v>
      </c>
      <c r="AU157">
        <v>1</v>
      </c>
      <c r="AV157">
        <v>1</v>
      </c>
      <c r="AW157">
        <v>1</v>
      </c>
      <c r="AX157">
        <v>1</v>
      </c>
      <c r="AY157">
        <v>1</v>
      </c>
      <c r="AZ157">
        <v>1</v>
      </c>
      <c r="BA157">
        <v>1</v>
      </c>
      <c r="BB157">
        <v>1</v>
      </c>
      <c r="BC157">
        <v>1</v>
      </c>
      <c r="BD157">
        <v>1</v>
      </c>
      <c r="BE157">
        <v>1</v>
      </c>
      <c r="BF157">
        <v>1</v>
      </c>
      <c r="BG157">
        <v>1</v>
      </c>
      <c r="BH157">
        <v>1</v>
      </c>
      <c r="BI157">
        <v>1</v>
      </c>
      <c r="BJ157">
        <f>-1/'vehicles specifications'!$M23</f>
        <v>-1</v>
      </c>
      <c r="BK157">
        <f>-1/'vehicles specifications'!$M23</f>
        <v>-1</v>
      </c>
      <c r="BL157">
        <f>-1/'vehicles specifications'!$M23</f>
        <v>-1</v>
      </c>
    </row>
    <row r="158" spans="1:64" x14ac:dyDescent="0.2">
      <c r="A158" t="s">
        <v>423</v>
      </c>
      <c r="B158">
        <f t="shared" si="0"/>
        <v>5.8823529411764705E-2</v>
      </c>
      <c r="C158" s="2">
        <f>'vehicles specifications'!S24</f>
        <v>19</v>
      </c>
      <c r="D158">
        <f t="shared" si="0"/>
        <v>5.8823529411764705E-2</v>
      </c>
      <c r="E158">
        <v>1</v>
      </c>
      <c r="F158">
        <f>1+'vehicles specifications'!AD24</f>
        <v>1.5</v>
      </c>
      <c r="G158">
        <f>1+'vehicles specifications'!AD24</f>
        <v>1.5</v>
      </c>
      <c r="J158">
        <v>1</v>
      </c>
      <c r="K158">
        <f>1/('fuels and tailpipe emissions'!$C$3*3.6)</f>
        <v>2.3474178403755867E-2</v>
      </c>
      <c r="L158">
        <f>1/3.6</f>
        <v>0.2777777777777778</v>
      </c>
      <c r="M158">
        <f>1/'vehicles specifications'!J24</f>
        <v>3.3333333333333335E-5</v>
      </c>
      <c r="N158">
        <v>1</v>
      </c>
      <c r="O158">
        <f>1</f>
        <v>1</v>
      </c>
      <c r="P158">
        <f t="shared" si="4"/>
        <v>-4.1666666666666664E-2</v>
      </c>
      <c r="Q158">
        <f t="shared" si="4"/>
        <v>-4.1666666666666664E-2</v>
      </c>
      <c r="R158">
        <f>-1-'vehicles specifications'!AD24</f>
        <v>-1.5</v>
      </c>
      <c r="S158">
        <v>1</v>
      </c>
      <c r="T158">
        <v>1</v>
      </c>
      <c r="U158">
        <v>1</v>
      </c>
      <c r="V158">
        <v>1</v>
      </c>
      <c r="W158">
        <v>1</v>
      </c>
      <c r="X158">
        <v>1</v>
      </c>
      <c r="Y158">
        <v>1</v>
      </c>
      <c r="Z158">
        <v>1</v>
      </c>
      <c r="AA158">
        <v>1</v>
      </c>
      <c r="AB158">
        <v>1</v>
      </c>
      <c r="AC158">
        <v>1</v>
      </c>
      <c r="AD158">
        <v>1</v>
      </c>
      <c r="AE158">
        <v>1</v>
      </c>
      <c r="AF158">
        <v>1</v>
      </c>
      <c r="AG158">
        <v>1</v>
      </c>
      <c r="AH158">
        <v>1</v>
      </c>
      <c r="AI158">
        <v>1</v>
      </c>
      <c r="AJ158">
        <v>1</v>
      </c>
      <c r="AK158">
        <v>1</v>
      </c>
      <c r="AL158">
        <v>1</v>
      </c>
      <c r="AM158">
        <v>1</v>
      </c>
      <c r="AN158">
        <v>1</v>
      </c>
      <c r="AO158">
        <v>1</v>
      </c>
      <c r="AP158">
        <v>1</v>
      </c>
      <c r="AQ158">
        <v>1</v>
      </c>
      <c r="AR158">
        <v>1</v>
      </c>
      <c r="AS158">
        <v>1</v>
      </c>
      <c r="AT158">
        <v>1</v>
      </c>
      <c r="AU158">
        <v>1</v>
      </c>
      <c r="AV158">
        <v>1</v>
      </c>
      <c r="AW158">
        <v>1</v>
      </c>
      <c r="AX158">
        <v>1</v>
      </c>
      <c r="AY158">
        <v>1</v>
      </c>
      <c r="AZ158">
        <v>1</v>
      </c>
      <c r="BA158">
        <v>1</v>
      </c>
      <c r="BB158">
        <v>1</v>
      </c>
      <c r="BC158">
        <v>1</v>
      </c>
      <c r="BD158">
        <v>1</v>
      </c>
      <c r="BE158">
        <v>1</v>
      </c>
      <c r="BF158">
        <v>1</v>
      </c>
      <c r="BG158">
        <v>1</v>
      </c>
      <c r="BH158">
        <v>1</v>
      </c>
      <c r="BI158">
        <v>1</v>
      </c>
      <c r="BJ158">
        <f>-1/'vehicles specifications'!$M24</f>
        <v>-1</v>
      </c>
      <c r="BK158">
        <f>-1/'vehicles specifications'!$M24</f>
        <v>-1</v>
      </c>
      <c r="BL158">
        <f>-1/'vehicles specifications'!$M24</f>
        <v>-1</v>
      </c>
    </row>
    <row r="159" spans="1:64" x14ac:dyDescent="0.2">
      <c r="A159" t="s">
        <v>424</v>
      </c>
      <c r="B159">
        <f t="shared" si="0"/>
        <v>5.8823529411764705E-2</v>
      </c>
      <c r="C159" s="2">
        <f>'vehicles specifications'!S25</f>
        <v>19</v>
      </c>
      <c r="D159">
        <f t="shared" si="0"/>
        <v>5.8823529411764705E-2</v>
      </c>
      <c r="E159">
        <v>1</v>
      </c>
      <c r="F159">
        <f>1+'vehicles specifications'!AD25</f>
        <v>1.25</v>
      </c>
      <c r="G159">
        <f>1+'vehicles specifications'!AD25</f>
        <v>1.25</v>
      </c>
      <c r="J159">
        <v>1</v>
      </c>
      <c r="K159">
        <f>1/('fuels and tailpipe emissions'!$C$3*3.6)</f>
        <v>2.3474178403755867E-2</v>
      </c>
      <c r="L159">
        <f>1/3.6</f>
        <v>0.2777777777777778</v>
      </c>
      <c r="M159">
        <f>1/'vehicles specifications'!J25</f>
        <v>3.3333333333333335E-5</v>
      </c>
      <c r="N159">
        <v>1</v>
      </c>
      <c r="O159">
        <f>1</f>
        <v>1</v>
      </c>
      <c r="P159">
        <f t="shared" si="4"/>
        <v>-4.1666666666666664E-2</v>
      </c>
      <c r="Q159">
        <f t="shared" si="4"/>
        <v>-4.1666666666666664E-2</v>
      </c>
      <c r="R159">
        <f>-1-'vehicles specifications'!AD25</f>
        <v>-1.25</v>
      </c>
      <c r="S159">
        <v>1</v>
      </c>
      <c r="T159">
        <v>1</v>
      </c>
      <c r="U159">
        <v>1</v>
      </c>
      <c r="V159">
        <v>1</v>
      </c>
      <c r="W159">
        <v>1</v>
      </c>
      <c r="X159">
        <v>1</v>
      </c>
      <c r="Y159">
        <v>1</v>
      </c>
      <c r="Z159">
        <v>1</v>
      </c>
      <c r="AA159">
        <v>1</v>
      </c>
      <c r="AB159">
        <v>1</v>
      </c>
      <c r="AC159">
        <v>1</v>
      </c>
      <c r="AD159">
        <v>1</v>
      </c>
      <c r="AE159">
        <v>1</v>
      </c>
      <c r="AF159">
        <v>1</v>
      </c>
      <c r="AG159">
        <v>1</v>
      </c>
      <c r="AH159">
        <v>1</v>
      </c>
      <c r="AI159">
        <v>1</v>
      </c>
      <c r="AJ159">
        <v>1</v>
      </c>
      <c r="AK159">
        <v>1</v>
      </c>
      <c r="AL159">
        <v>1</v>
      </c>
      <c r="AM159">
        <v>1</v>
      </c>
      <c r="AN159">
        <v>1</v>
      </c>
      <c r="AO159">
        <v>1</v>
      </c>
      <c r="AP159">
        <v>1</v>
      </c>
      <c r="AQ159">
        <v>1</v>
      </c>
      <c r="AR159">
        <v>1</v>
      </c>
      <c r="AS159">
        <v>1</v>
      </c>
      <c r="AT159">
        <v>1</v>
      </c>
      <c r="AU159">
        <v>1</v>
      </c>
      <c r="AV159">
        <v>1</v>
      </c>
      <c r="AW159">
        <v>1</v>
      </c>
      <c r="AX159">
        <v>1</v>
      </c>
      <c r="AY159">
        <v>1</v>
      </c>
      <c r="AZ159">
        <v>1</v>
      </c>
      <c r="BA159">
        <v>1</v>
      </c>
      <c r="BB159">
        <v>1</v>
      </c>
      <c r="BC159">
        <v>1</v>
      </c>
      <c r="BD159">
        <v>1</v>
      </c>
      <c r="BE159">
        <v>1</v>
      </c>
      <c r="BF159">
        <v>1</v>
      </c>
      <c r="BG159">
        <v>1</v>
      </c>
      <c r="BH159">
        <v>1</v>
      </c>
      <c r="BI159">
        <v>1</v>
      </c>
      <c r="BJ159">
        <f>-1/'vehicles specifications'!$M25</f>
        <v>-1</v>
      </c>
      <c r="BK159">
        <f>-1/'vehicles specifications'!$M25</f>
        <v>-1</v>
      </c>
      <c r="BL159">
        <f>-1/'vehicles specifications'!$M25</f>
        <v>-1</v>
      </c>
    </row>
    <row r="160" spans="1:64" x14ac:dyDescent="0.2">
      <c r="A160" t="s">
        <v>425</v>
      </c>
      <c r="B160">
        <f t="shared" si="0"/>
        <v>5.8823529411764705E-2</v>
      </c>
      <c r="C160" s="2">
        <f>'vehicles specifications'!S26</f>
        <v>19</v>
      </c>
      <c r="D160">
        <f t="shared" si="0"/>
        <v>5.8823529411764705E-2</v>
      </c>
      <c r="E160">
        <v>1</v>
      </c>
      <c r="F160">
        <f>1+'vehicles specifications'!AD26</f>
        <v>1</v>
      </c>
      <c r="G160">
        <f>1+'vehicles specifications'!AD26</f>
        <v>1</v>
      </c>
      <c r="J160">
        <v>1</v>
      </c>
      <c r="K160">
        <f>1/('fuels and tailpipe emissions'!$C$3*3.6)</f>
        <v>2.3474178403755867E-2</v>
      </c>
      <c r="L160">
        <f>1/3.6</f>
        <v>0.2777777777777778</v>
      </c>
      <c r="M160">
        <f>1/'vehicles specifications'!J26</f>
        <v>3.3333333333333335E-5</v>
      </c>
      <c r="N160">
        <v>1</v>
      </c>
      <c r="O160">
        <f>1</f>
        <v>1</v>
      </c>
      <c r="P160">
        <f t="shared" si="4"/>
        <v>-4.1666666666666664E-2</v>
      </c>
      <c r="Q160">
        <f t="shared" si="4"/>
        <v>-4.1666666666666664E-2</v>
      </c>
      <c r="R160">
        <f>-1-'vehicles specifications'!AD26</f>
        <v>-1</v>
      </c>
      <c r="S160">
        <v>1</v>
      </c>
      <c r="T160">
        <v>1</v>
      </c>
      <c r="U160">
        <v>1</v>
      </c>
      <c r="V160">
        <v>1</v>
      </c>
      <c r="W160">
        <v>1</v>
      </c>
      <c r="X160">
        <v>1</v>
      </c>
      <c r="Y160">
        <v>1</v>
      </c>
      <c r="Z160">
        <v>1</v>
      </c>
      <c r="AA160">
        <v>1</v>
      </c>
      <c r="AB160">
        <v>1</v>
      </c>
      <c r="AC160">
        <v>1</v>
      </c>
      <c r="AD160">
        <v>1</v>
      </c>
      <c r="AE160">
        <v>1</v>
      </c>
      <c r="AF160">
        <v>1</v>
      </c>
      <c r="AG160">
        <v>1</v>
      </c>
      <c r="AH160">
        <v>1</v>
      </c>
      <c r="AI160">
        <v>1</v>
      </c>
      <c r="AJ160">
        <v>1</v>
      </c>
      <c r="AK160">
        <v>1</v>
      </c>
      <c r="AL160">
        <v>1</v>
      </c>
      <c r="AM160">
        <v>1</v>
      </c>
      <c r="AN160">
        <v>1</v>
      </c>
      <c r="AO160">
        <v>1</v>
      </c>
      <c r="AP160">
        <v>1</v>
      </c>
      <c r="AQ160">
        <v>1</v>
      </c>
      <c r="AR160">
        <v>1</v>
      </c>
      <c r="AS160">
        <v>1</v>
      </c>
      <c r="AT160">
        <v>1</v>
      </c>
      <c r="AU160">
        <v>1</v>
      </c>
      <c r="AV160">
        <v>1</v>
      </c>
      <c r="AW160">
        <v>1</v>
      </c>
      <c r="AX160">
        <v>1</v>
      </c>
      <c r="AY160">
        <v>1</v>
      </c>
      <c r="AZ160">
        <v>1</v>
      </c>
      <c r="BA160">
        <v>1</v>
      </c>
      <c r="BB160">
        <v>1</v>
      </c>
      <c r="BC160">
        <v>1</v>
      </c>
      <c r="BD160">
        <v>1</v>
      </c>
      <c r="BE160">
        <v>1</v>
      </c>
      <c r="BF160">
        <v>1</v>
      </c>
      <c r="BG160">
        <v>1</v>
      </c>
      <c r="BH160">
        <v>1</v>
      </c>
      <c r="BI160">
        <v>1</v>
      </c>
      <c r="BJ160">
        <f>-1/'vehicles specifications'!$M26</f>
        <v>-1</v>
      </c>
      <c r="BK160">
        <f>-1/'vehicles specifications'!$M26</f>
        <v>-1</v>
      </c>
      <c r="BL160">
        <f>-1/'vehicles specifications'!$M26</f>
        <v>-1</v>
      </c>
    </row>
    <row r="161" spans="1:64" x14ac:dyDescent="0.2">
      <c r="A161" t="s">
        <v>794</v>
      </c>
      <c r="B161">
        <f t="shared" si="0"/>
        <v>5.8823529411764705E-2</v>
      </c>
      <c r="C161" s="2">
        <f>'vehicles specifications'!S27</f>
        <v>38</v>
      </c>
      <c r="D161">
        <f t="shared" si="0"/>
        <v>5.8823529411764705E-2</v>
      </c>
      <c r="E161">
        <v>1</v>
      </c>
      <c r="F161">
        <f>1+'vehicles specifications'!AD27</f>
        <v>2</v>
      </c>
      <c r="G161">
        <f>1+'vehicles specifications'!AD27</f>
        <v>2</v>
      </c>
      <c r="J161">
        <v>1</v>
      </c>
      <c r="K161">
        <f>1/('fuels and tailpipe emissions'!$C$3*3.6)</f>
        <v>2.3474178403755867E-2</v>
      </c>
      <c r="L161">
        <f>1/3.6</f>
        <v>0.2777777777777778</v>
      </c>
      <c r="M161">
        <f>1/'vehicles specifications'!J27</f>
        <v>5.0000000000000002E-5</v>
      </c>
      <c r="N161">
        <v>1</v>
      </c>
      <c r="O161">
        <f>1</f>
        <v>1</v>
      </c>
      <c r="P161">
        <f t="shared" si="4"/>
        <v>-4.1666666666666664E-2</v>
      </c>
      <c r="Q161">
        <f t="shared" si="4"/>
        <v>-4.1666666666666664E-2</v>
      </c>
      <c r="R161">
        <f>-1-'vehicles specifications'!AD27</f>
        <v>-2</v>
      </c>
      <c r="S161">
        <v>1</v>
      </c>
      <c r="T161">
        <v>1</v>
      </c>
      <c r="U161">
        <v>1</v>
      </c>
      <c r="V161">
        <v>1</v>
      </c>
      <c r="W161">
        <v>1</v>
      </c>
      <c r="X161">
        <v>1</v>
      </c>
      <c r="Y161">
        <v>1</v>
      </c>
      <c r="Z161">
        <v>1</v>
      </c>
      <c r="AA161">
        <v>1</v>
      </c>
      <c r="AB161">
        <v>1</v>
      </c>
      <c r="AC161">
        <v>1</v>
      </c>
      <c r="AD161">
        <v>1</v>
      </c>
      <c r="AE161">
        <v>1</v>
      </c>
      <c r="AF161">
        <v>1</v>
      </c>
      <c r="AG161">
        <v>1</v>
      </c>
      <c r="AH161">
        <v>1</v>
      </c>
      <c r="AI161">
        <v>1</v>
      </c>
      <c r="AJ161">
        <v>1</v>
      </c>
      <c r="AK161">
        <v>1</v>
      </c>
      <c r="AL161">
        <v>1</v>
      </c>
      <c r="AM161">
        <v>1</v>
      </c>
      <c r="AN161">
        <v>1</v>
      </c>
      <c r="AO161">
        <v>1</v>
      </c>
      <c r="AP161">
        <v>1</v>
      </c>
      <c r="AQ161">
        <v>1</v>
      </c>
      <c r="AR161">
        <v>1</v>
      </c>
      <c r="AS161">
        <v>1</v>
      </c>
      <c r="AT161">
        <v>1</v>
      </c>
      <c r="AU161">
        <v>1</v>
      </c>
      <c r="AV161">
        <v>1</v>
      </c>
      <c r="AW161">
        <v>1</v>
      </c>
      <c r="AX161">
        <v>1</v>
      </c>
      <c r="AY161">
        <v>1</v>
      </c>
      <c r="AZ161">
        <v>1</v>
      </c>
      <c r="BA161">
        <v>1</v>
      </c>
      <c r="BB161">
        <v>1</v>
      </c>
      <c r="BC161">
        <v>1</v>
      </c>
      <c r="BD161">
        <v>1</v>
      </c>
      <c r="BE161">
        <v>1</v>
      </c>
      <c r="BF161">
        <v>1</v>
      </c>
      <c r="BG161">
        <v>1</v>
      </c>
      <c r="BH161">
        <v>1</v>
      </c>
      <c r="BI161">
        <v>1</v>
      </c>
      <c r="BJ161">
        <f>-1/'vehicles specifications'!$M27</f>
        <v>-1</v>
      </c>
      <c r="BK161">
        <f>-1/'vehicles specifications'!$M27</f>
        <v>-1</v>
      </c>
      <c r="BL161">
        <f>-1/'vehicles specifications'!$M27</f>
        <v>-1</v>
      </c>
    </row>
    <row r="162" spans="1:64" x14ac:dyDescent="0.2">
      <c r="A162" t="s">
        <v>795</v>
      </c>
      <c r="B162">
        <f t="shared" si="0"/>
        <v>5.8823529411764705E-2</v>
      </c>
      <c r="C162" s="2">
        <f>'vehicles specifications'!S28</f>
        <v>38</v>
      </c>
      <c r="D162">
        <f t="shared" si="0"/>
        <v>5.8823529411764705E-2</v>
      </c>
      <c r="E162">
        <v>1</v>
      </c>
      <c r="F162">
        <f>1+'vehicles specifications'!AD28</f>
        <v>1.5</v>
      </c>
      <c r="G162">
        <f>1+'vehicles specifications'!AD28</f>
        <v>1.5</v>
      </c>
      <c r="J162">
        <v>1</v>
      </c>
      <c r="K162">
        <f>1/('fuels and tailpipe emissions'!$C$3*3.6)</f>
        <v>2.3474178403755867E-2</v>
      </c>
      <c r="L162">
        <f>1/3.6</f>
        <v>0.2777777777777778</v>
      </c>
      <c r="M162">
        <f>1/'vehicles specifications'!J28</f>
        <v>5.0000000000000002E-5</v>
      </c>
      <c r="N162">
        <v>1</v>
      </c>
      <c r="O162">
        <f>1</f>
        <v>1</v>
      </c>
      <c r="P162">
        <f t="shared" si="4"/>
        <v>-4.1666666666666664E-2</v>
      </c>
      <c r="Q162">
        <f t="shared" si="4"/>
        <v>-4.1666666666666664E-2</v>
      </c>
      <c r="R162">
        <f>-1-'vehicles specifications'!AD28</f>
        <v>-1.5</v>
      </c>
      <c r="S162">
        <v>1</v>
      </c>
      <c r="T162">
        <v>1</v>
      </c>
      <c r="U162">
        <v>1</v>
      </c>
      <c r="V162">
        <v>1</v>
      </c>
      <c r="W162">
        <v>1</v>
      </c>
      <c r="X162">
        <v>1</v>
      </c>
      <c r="Y162">
        <v>1</v>
      </c>
      <c r="Z162">
        <v>1</v>
      </c>
      <c r="AA162">
        <v>1</v>
      </c>
      <c r="AB162">
        <v>1</v>
      </c>
      <c r="AC162">
        <v>1</v>
      </c>
      <c r="AD162">
        <v>1</v>
      </c>
      <c r="AE162">
        <v>1</v>
      </c>
      <c r="AF162">
        <v>1</v>
      </c>
      <c r="AG162">
        <v>1</v>
      </c>
      <c r="AH162">
        <v>1</v>
      </c>
      <c r="AI162">
        <v>1</v>
      </c>
      <c r="AJ162">
        <v>1</v>
      </c>
      <c r="AK162">
        <v>1</v>
      </c>
      <c r="AL162">
        <v>1</v>
      </c>
      <c r="AM162">
        <v>1</v>
      </c>
      <c r="AN162">
        <v>1</v>
      </c>
      <c r="AO162">
        <v>1</v>
      </c>
      <c r="AP162">
        <v>1</v>
      </c>
      <c r="AQ162">
        <v>1</v>
      </c>
      <c r="AR162">
        <v>1</v>
      </c>
      <c r="AS162">
        <v>1</v>
      </c>
      <c r="AT162">
        <v>1</v>
      </c>
      <c r="AU162">
        <v>1</v>
      </c>
      <c r="AV162">
        <v>1</v>
      </c>
      <c r="AW162">
        <v>1</v>
      </c>
      <c r="AX162">
        <v>1</v>
      </c>
      <c r="AY162">
        <v>1</v>
      </c>
      <c r="AZ162">
        <v>1</v>
      </c>
      <c r="BA162">
        <v>1</v>
      </c>
      <c r="BB162">
        <v>1</v>
      </c>
      <c r="BC162">
        <v>1</v>
      </c>
      <c r="BD162">
        <v>1</v>
      </c>
      <c r="BE162">
        <v>1</v>
      </c>
      <c r="BF162">
        <v>1</v>
      </c>
      <c r="BG162">
        <v>1</v>
      </c>
      <c r="BH162">
        <v>1</v>
      </c>
      <c r="BI162">
        <v>1</v>
      </c>
      <c r="BJ162">
        <f>-1/'vehicles specifications'!$M28</f>
        <v>-1</v>
      </c>
      <c r="BK162">
        <f>-1/'vehicles specifications'!$M28</f>
        <v>-1</v>
      </c>
      <c r="BL162">
        <f>-1/'vehicles specifications'!$M28</f>
        <v>-1</v>
      </c>
    </row>
    <row r="163" spans="1:64" x14ac:dyDescent="0.2">
      <c r="A163" t="s">
        <v>796</v>
      </c>
      <c r="B163">
        <f t="shared" si="0"/>
        <v>5.8823529411764705E-2</v>
      </c>
      <c r="C163" s="2">
        <f>'vehicles specifications'!S29</f>
        <v>38</v>
      </c>
      <c r="D163">
        <f t="shared" si="0"/>
        <v>5.8823529411764705E-2</v>
      </c>
      <c r="E163">
        <v>1</v>
      </c>
      <c r="F163">
        <f>1+'vehicles specifications'!AD29</f>
        <v>1.25</v>
      </c>
      <c r="G163">
        <f>1+'vehicles specifications'!AD29</f>
        <v>1.25</v>
      </c>
      <c r="J163">
        <v>1</v>
      </c>
      <c r="K163">
        <f>1/('fuels and tailpipe emissions'!$C$3*3.6)</f>
        <v>2.3474178403755867E-2</v>
      </c>
      <c r="L163">
        <f>1/3.6</f>
        <v>0.2777777777777778</v>
      </c>
      <c r="M163">
        <f>1/'vehicles specifications'!J29</f>
        <v>5.0000000000000002E-5</v>
      </c>
      <c r="N163">
        <v>1</v>
      </c>
      <c r="O163">
        <f>1</f>
        <v>1</v>
      </c>
      <c r="P163">
        <f t="shared" si="4"/>
        <v>-4.1666666666666664E-2</v>
      </c>
      <c r="Q163">
        <f t="shared" si="4"/>
        <v>-4.1666666666666664E-2</v>
      </c>
      <c r="R163">
        <f>-1-'vehicles specifications'!AD29</f>
        <v>-1.25</v>
      </c>
      <c r="S163">
        <v>1</v>
      </c>
      <c r="T163">
        <v>1</v>
      </c>
      <c r="U163">
        <v>1</v>
      </c>
      <c r="V163">
        <v>1</v>
      </c>
      <c r="W163">
        <v>1</v>
      </c>
      <c r="X163">
        <v>1</v>
      </c>
      <c r="Y163">
        <v>1</v>
      </c>
      <c r="Z163">
        <v>1</v>
      </c>
      <c r="AA163">
        <v>1</v>
      </c>
      <c r="AB163">
        <v>1</v>
      </c>
      <c r="AC163">
        <v>1</v>
      </c>
      <c r="AD163">
        <v>1</v>
      </c>
      <c r="AE163">
        <v>1</v>
      </c>
      <c r="AF163">
        <v>1</v>
      </c>
      <c r="AG163">
        <v>1</v>
      </c>
      <c r="AH163">
        <v>1</v>
      </c>
      <c r="AI163">
        <v>1</v>
      </c>
      <c r="AJ163">
        <v>1</v>
      </c>
      <c r="AK163">
        <v>1</v>
      </c>
      <c r="AL163">
        <v>1</v>
      </c>
      <c r="AM163">
        <v>1</v>
      </c>
      <c r="AN163">
        <v>1</v>
      </c>
      <c r="AO163">
        <v>1</v>
      </c>
      <c r="AP163">
        <v>1</v>
      </c>
      <c r="AQ163">
        <v>1</v>
      </c>
      <c r="AR163">
        <v>1</v>
      </c>
      <c r="AS163">
        <v>1</v>
      </c>
      <c r="AT163">
        <v>1</v>
      </c>
      <c r="AU163">
        <v>1</v>
      </c>
      <c r="AV163">
        <v>1</v>
      </c>
      <c r="AW163">
        <v>1</v>
      </c>
      <c r="AX163">
        <v>1</v>
      </c>
      <c r="AY163">
        <v>1</v>
      </c>
      <c r="AZ163">
        <v>1</v>
      </c>
      <c r="BA163">
        <v>1</v>
      </c>
      <c r="BB163">
        <v>1</v>
      </c>
      <c r="BC163">
        <v>1</v>
      </c>
      <c r="BD163">
        <v>1</v>
      </c>
      <c r="BE163">
        <v>1</v>
      </c>
      <c r="BF163">
        <v>1</v>
      </c>
      <c r="BG163">
        <v>1</v>
      </c>
      <c r="BH163">
        <v>1</v>
      </c>
      <c r="BI163">
        <v>1</v>
      </c>
      <c r="BJ163">
        <f>-1/'vehicles specifications'!$M29</f>
        <v>-1</v>
      </c>
      <c r="BK163">
        <f>-1/'vehicles specifications'!$M29</f>
        <v>-1</v>
      </c>
      <c r="BL163">
        <f>-1/'vehicles specifications'!$M29</f>
        <v>-1</v>
      </c>
    </row>
    <row r="164" spans="1:64" x14ac:dyDescent="0.2">
      <c r="A164" t="s">
        <v>797</v>
      </c>
      <c r="B164">
        <f t="shared" si="0"/>
        <v>5.8823529411764705E-2</v>
      </c>
      <c r="C164" s="2">
        <f>'vehicles specifications'!S30</f>
        <v>38</v>
      </c>
      <c r="D164">
        <f t="shared" si="0"/>
        <v>5.8823529411764705E-2</v>
      </c>
      <c r="E164">
        <v>1</v>
      </c>
      <c r="F164">
        <f>1+'vehicles specifications'!AD30</f>
        <v>1</v>
      </c>
      <c r="G164">
        <f>1+'vehicles specifications'!AD30</f>
        <v>1</v>
      </c>
      <c r="J164">
        <v>1</v>
      </c>
      <c r="K164">
        <f>1/('fuels and tailpipe emissions'!$C$3*3.6)</f>
        <v>2.3474178403755867E-2</v>
      </c>
      <c r="L164">
        <f>1/3.6</f>
        <v>0.2777777777777778</v>
      </c>
      <c r="M164">
        <f>1/'vehicles specifications'!J30</f>
        <v>5.0000000000000002E-5</v>
      </c>
      <c r="N164">
        <v>1</v>
      </c>
      <c r="O164">
        <f>1</f>
        <v>1</v>
      </c>
      <c r="P164">
        <f t="shared" si="4"/>
        <v>-4.1666666666666664E-2</v>
      </c>
      <c r="Q164">
        <f t="shared" si="4"/>
        <v>-4.1666666666666664E-2</v>
      </c>
      <c r="R164">
        <f>-1-'vehicles specifications'!AD30</f>
        <v>-1</v>
      </c>
      <c r="S164">
        <v>1</v>
      </c>
      <c r="T164">
        <v>1</v>
      </c>
      <c r="U164">
        <v>1</v>
      </c>
      <c r="V164">
        <v>1</v>
      </c>
      <c r="W164">
        <v>1</v>
      </c>
      <c r="X164">
        <v>1</v>
      </c>
      <c r="Y164">
        <v>1</v>
      </c>
      <c r="Z164">
        <v>1</v>
      </c>
      <c r="AA164">
        <v>1</v>
      </c>
      <c r="AB164">
        <v>1</v>
      </c>
      <c r="AC164">
        <v>1</v>
      </c>
      <c r="AD164">
        <v>1</v>
      </c>
      <c r="AE164">
        <v>1</v>
      </c>
      <c r="AF164">
        <v>1</v>
      </c>
      <c r="AG164">
        <v>1</v>
      </c>
      <c r="AH164">
        <v>1</v>
      </c>
      <c r="AI164">
        <v>1</v>
      </c>
      <c r="AJ164">
        <v>1</v>
      </c>
      <c r="AK164">
        <v>1</v>
      </c>
      <c r="AL164">
        <v>1</v>
      </c>
      <c r="AM164">
        <v>1</v>
      </c>
      <c r="AN164">
        <v>1</v>
      </c>
      <c r="AO164">
        <v>1</v>
      </c>
      <c r="AP164">
        <v>1</v>
      </c>
      <c r="AQ164">
        <v>1</v>
      </c>
      <c r="AR164">
        <v>1</v>
      </c>
      <c r="AS164">
        <v>1</v>
      </c>
      <c r="AT164">
        <v>1</v>
      </c>
      <c r="AU164">
        <v>1</v>
      </c>
      <c r="AV164">
        <v>1</v>
      </c>
      <c r="AW164">
        <v>1</v>
      </c>
      <c r="AX164">
        <v>1</v>
      </c>
      <c r="AY164">
        <v>1</v>
      </c>
      <c r="AZ164">
        <v>1</v>
      </c>
      <c r="BA164">
        <v>1</v>
      </c>
      <c r="BB164">
        <v>1</v>
      </c>
      <c r="BC164">
        <v>1</v>
      </c>
      <c r="BD164">
        <v>1</v>
      </c>
      <c r="BE164">
        <v>1</v>
      </c>
      <c r="BF164">
        <v>1</v>
      </c>
      <c r="BG164">
        <v>1</v>
      </c>
      <c r="BH164">
        <v>1</v>
      </c>
      <c r="BI164">
        <v>1</v>
      </c>
      <c r="BJ164">
        <f>-1/'vehicles specifications'!$M30</f>
        <v>-1</v>
      </c>
      <c r="BK164">
        <f>-1/'vehicles specifications'!$M30</f>
        <v>-1</v>
      </c>
      <c r="BL164">
        <f>-1/'vehicles specifications'!$M30</f>
        <v>-1</v>
      </c>
    </row>
    <row r="165" spans="1:64" x14ac:dyDescent="0.2">
      <c r="A165" t="s">
        <v>426</v>
      </c>
      <c r="B165">
        <f t="shared" si="0"/>
        <v>5.8823529411764705E-2</v>
      </c>
      <c r="C165" s="2">
        <f>'vehicles specifications'!S31</f>
        <v>16</v>
      </c>
      <c r="D165">
        <f t="shared" si="0"/>
        <v>5.8823529411764705E-2</v>
      </c>
      <c r="E165">
        <v>1</v>
      </c>
      <c r="F165">
        <f>1+'vehicles specifications'!AD31</f>
        <v>2</v>
      </c>
      <c r="G165">
        <f>1+'vehicles specifications'!AD31</f>
        <v>2</v>
      </c>
      <c r="J165">
        <v>1</v>
      </c>
      <c r="K165">
        <f>1/('fuels and tailpipe emissions'!$C$3*3.6)</f>
        <v>2.3474178403755867E-2</v>
      </c>
      <c r="L165">
        <f>1/3.6</f>
        <v>0.2777777777777778</v>
      </c>
      <c r="M165">
        <f>1/'vehicles specifications'!J31</f>
        <v>5.0000000000000002E-5</v>
      </c>
      <c r="N165">
        <v>1</v>
      </c>
      <c r="O165">
        <f>1</f>
        <v>1</v>
      </c>
      <c r="P165">
        <f>-1/24</f>
        <v>-4.1666666666666664E-2</v>
      </c>
      <c r="Q165">
        <f>-1/24</f>
        <v>-4.1666666666666664E-2</v>
      </c>
      <c r="R165">
        <f>-1-'vehicles specifications'!AD31</f>
        <v>-2</v>
      </c>
      <c r="S165">
        <v>1</v>
      </c>
      <c r="T165">
        <v>1</v>
      </c>
      <c r="U165">
        <v>1</v>
      </c>
      <c r="V165">
        <v>1</v>
      </c>
      <c r="W165">
        <v>1</v>
      </c>
      <c r="X165">
        <v>1</v>
      </c>
      <c r="Y165">
        <v>1</v>
      </c>
      <c r="Z165">
        <v>1</v>
      </c>
      <c r="AA165">
        <v>1</v>
      </c>
      <c r="AB165">
        <v>1</v>
      </c>
      <c r="AC165">
        <v>1</v>
      </c>
      <c r="AD165">
        <v>1</v>
      </c>
      <c r="AE165">
        <v>1</v>
      </c>
      <c r="AF165">
        <v>1</v>
      </c>
      <c r="AG165">
        <v>1</v>
      </c>
      <c r="AH165">
        <v>1</v>
      </c>
      <c r="AI165">
        <v>1</v>
      </c>
      <c r="AJ165">
        <v>1</v>
      </c>
      <c r="AK165">
        <v>1</v>
      </c>
      <c r="AL165">
        <v>1</v>
      </c>
      <c r="AM165">
        <v>1</v>
      </c>
      <c r="AN165">
        <v>1</v>
      </c>
      <c r="AO165">
        <v>1</v>
      </c>
      <c r="AP165">
        <v>1</v>
      </c>
      <c r="AQ165">
        <v>1</v>
      </c>
      <c r="AR165">
        <v>1</v>
      </c>
      <c r="AS165">
        <v>1</v>
      </c>
      <c r="AT165">
        <v>1</v>
      </c>
      <c r="AU165">
        <v>1</v>
      </c>
      <c r="AV165">
        <v>1</v>
      </c>
      <c r="AW165">
        <v>1</v>
      </c>
      <c r="AX165">
        <v>1</v>
      </c>
      <c r="AY165">
        <v>1</v>
      </c>
      <c r="AZ165">
        <v>1</v>
      </c>
      <c r="BA165">
        <v>1</v>
      </c>
      <c r="BB165">
        <v>1</v>
      </c>
      <c r="BC165">
        <v>1</v>
      </c>
      <c r="BD165">
        <v>1</v>
      </c>
      <c r="BE165">
        <v>1</v>
      </c>
      <c r="BF165">
        <v>1</v>
      </c>
      <c r="BG165">
        <v>1</v>
      </c>
      <c r="BH165">
        <v>1</v>
      </c>
      <c r="BI165">
        <v>1</v>
      </c>
      <c r="BJ165">
        <f>-1/'vehicles specifications'!$M31</f>
        <v>-1</v>
      </c>
      <c r="BK165">
        <f>-1/'vehicles specifications'!$M31</f>
        <v>-1</v>
      </c>
      <c r="BL165">
        <f>-1/'vehicles specifications'!$M31</f>
        <v>-1</v>
      </c>
    </row>
    <row r="166" spans="1:64" x14ac:dyDescent="0.2">
      <c r="A166" t="s">
        <v>427</v>
      </c>
      <c r="B166">
        <f t="shared" ref="B166:D181" si="5">1/17</f>
        <v>5.8823529411764705E-2</v>
      </c>
      <c r="C166" s="2">
        <f>'vehicles specifications'!S32</f>
        <v>16</v>
      </c>
      <c r="D166">
        <f t="shared" si="5"/>
        <v>5.8823529411764705E-2</v>
      </c>
      <c r="E166">
        <v>1</v>
      </c>
      <c r="F166">
        <f>1+'vehicles specifications'!AD32</f>
        <v>1.5</v>
      </c>
      <c r="G166">
        <f>1+'vehicles specifications'!AD32</f>
        <v>1.5</v>
      </c>
      <c r="J166">
        <v>1</v>
      </c>
      <c r="K166">
        <f>1/('fuels and tailpipe emissions'!$C$3*3.6)</f>
        <v>2.3474178403755867E-2</v>
      </c>
      <c r="L166">
        <f>1/3.6</f>
        <v>0.2777777777777778</v>
      </c>
      <c r="M166">
        <f>1/'vehicles specifications'!J32</f>
        <v>5.0000000000000002E-5</v>
      </c>
      <c r="N166">
        <v>1</v>
      </c>
      <c r="O166">
        <f>1</f>
        <v>1</v>
      </c>
      <c r="P166">
        <f t="shared" si="4"/>
        <v>-4.1666666666666664E-2</v>
      </c>
      <c r="Q166">
        <f t="shared" si="4"/>
        <v>-4.1666666666666664E-2</v>
      </c>
      <c r="R166">
        <f>-1-'vehicles specifications'!AD32</f>
        <v>-1.5</v>
      </c>
      <c r="S166">
        <v>1</v>
      </c>
      <c r="T166">
        <v>1</v>
      </c>
      <c r="U166">
        <v>1</v>
      </c>
      <c r="V166">
        <v>1</v>
      </c>
      <c r="W166">
        <v>1</v>
      </c>
      <c r="X166">
        <v>1</v>
      </c>
      <c r="Y166">
        <v>1</v>
      </c>
      <c r="Z166">
        <v>1</v>
      </c>
      <c r="AA166">
        <v>1</v>
      </c>
      <c r="AB166">
        <v>1</v>
      </c>
      <c r="AC166">
        <v>1</v>
      </c>
      <c r="AD166">
        <v>1</v>
      </c>
      <c r="AE166">
        <v>1</v>
      </c>
      <c r="AF166">
        <v>1</v>
      </c>
      <c r="AG166">
        <v>1</v>
      </c>
      <c r="AH166">
        <v>1</v>
      </c>
      <c r="AI166">
        <v>1</v>
      </c>
      <c r="AJ166">
        <v>1</v>
      </c>
      <c r="AK166">
        <v>1</v>
      </c>
      <c r="AL166">
        <v>1</v>
      </c>
      <c r="AM166">
        <v>1</v>
      </c>
      <c r="AN166">
        <v>1</v>
      </c>
      <c r="AO166">
        <v>1</v>
      </c>
      <c r="AP166">
        <v>1</v>
      </c>
      <c r="AQ166">
        <v>1</v>
      </c>
      <c r="AR166">
        <v>1</v>
      </c>
      <c r="AS166">
        <v>1</v>
      </c>
      <c r="AT166">
        <v>1</v>
      </c>
      <c r="AU166">
        <v>1</v>
      </c>
      <c r="AV166">
        <v>1</v>
      </c>
      <c r="AW166">
        <v>1</v>
      </c>
      <c r="AX166">
        <v>1</v>
      </c>
      <c r="AY166">
        <v>1</v>
      </c>
      <c r="AZ166">
        <v>1</v>
      </c>
      <c r="BA166">
        <v>1</v>
      </c>
      <c r="BB166">
        <v>1</v>
      </c>
      <c r="BC166">
        <v>1</v>
      </c>
      <c r="BD166">
        <v>1</v>
      </c>
      <c r="BE166">
        <v>1</v>
      </c>
      <c r="BF166">
        <v>1</v>
      </c>
      <c r="BG166">
        <v>1</v>
      </c>
      <c r="BH166">
        <v>1</v>
      </c>
      <c r="BI166">
        <v>1</v>
      </c>
      <c r="BJ166">
        <f>-1/'vehicles specifications'!$M32</f>
        <v>-1</v>
      </c>
      <c r="BK166">
        <f>-1/'vehicles specifications'!$M32</f>
        <v>-1</v>
      </c>
      <c r="BL166">
        <f>-1/'vehicles specifications'!$M32</f>
        <v>-1</v>
      </c>
    </row>
    <row r="167" spans="1:64" x14ac:dyDescent="0.2">
      <c r="A167" t="s">
        <v>428</v>
      </c>
      <c r="B167">
        <f t="shared" si="5"/>
        <v>5.8823529411764705E-2</v>
      </c>
      <c r="C167" s="2">
        <f>'vehicles specifications'!S33</f>
        <v>16</v>
      </c>
      <c r="D167">
        <f t="shared" si="5"/>
        <v>5.8823529411764705E-2</v>
      </c>
      <c r="E167">
        <v>1</v>
      </c>
      <c r="F167">
        <f>1+'vehicles specifications'!AD33</f>
        <v>1.25</v>
      </c>
      <c r="G167">
        <f>1+'vehicles specifications'!AD33</f>
        <v>1.25</v>
      </c>
      <c r="J167">
        <v>1</v>
      </c>
      <c r="K167">
        <f>1/('fuels and tailpipe emissions'!$C$3*3.6)</f>
        <v>2.3474178403755867E-2</v>
      </c>
      <c r="L167">
        <f>1/3.6</f>
        <v>0.2777777777777778</v>
      </c>
      <c r="M167">
        <f>1/'vehicles specifications'!J33</f>
        <v>5.0000000000000002E-5</v>
      </c>
      <c r="N167">
        <v>1</v>
      </c>
      <c r="O167">
        <f>1</f>
        <v>1</v>
      </c>
      <c r="P167">
        <f t="shared" si="4"/>
        <v>-4.1666666666666664E-2</v>
      </c>
      <c r="Q167">
        <f t="shared" si="4"/>
        <v>-4.1666666666666664E-2</v>
      </c>
      <c r="R167">
        <f>-1-'vehicles specifications'!AD33</f>
        <v>-1.25</v>
      </c>
      <c r="S167">
        <v>1</v>
      </c>
      <c r="T167">
        <v>1</v>
      </c>
      <c r="U167">
        <v>1</v>
      </c>
      <c r="V167">
        <v>1</v>
      </c>
      <c r="W167">
        <v>1</v>
      </c>
      <c r="X167">
        <v>1</v>
      </c>
      <c r="Y167">
        <v>1</v>
      </c>
      <c r="Z167">
        <v>1</v>
      </c>
      <c r="AA167">
        <v>1</v>
      </c>
      <c r="AB167">
        <v>1</v>
      </c>
      <c r="AC167">
        <v>1</v>
      </c>
      <c r="AD167">
        <v>1</v>
      </c>
      <c r="AE167">
        <v>1</v>
      </c>
      <c r="AF167">
        <v>1</v>
      </c>
      <c r="AG167">
        <v>1</v>
      </c>
      <c r="AH167">
        <v>1</v>
      </c>
      <c r="AI167">
        <v>1</v>
      </c>
      <c r="AJ167">
        <v>1</v>
      </c>
      <c r="AK167">
        <v>1</v>
      </c>
      <c r="AL167">
        <v>1</v>
      </c>
      <c r="AM167">
        <v>1</v>
      </c>
      <c r="AN167">
        <v>1</v>
      </c>
      <c r="AO167">
        <v>1</v>
      </c>
      <c r="AP167">
        <v>1</v>
      </c>
      <c r="AQ167">
        <v>1</v>
      </c>
      <c r="AR167">
        <v>1</v>
      </c>
      <c r="AS167">
        <v>1</v>
      </c>
      <c r="AT167">
        <v>1</v>
      </c>
      <c r="AU167">
        <v>1</v>
      </c>
      <c r="AV167">
        <v>1</v>
      </c>
      <c r="AW167">
        <v>1</v>
      </c>
      <c r="AX167">
        <v>1</v>
      </c>
      <c r="AY167">
        <v>1</v>
      </c>
      <c r="AZ167">
        <v>1</v>
      </c>
      <c r="BA167">
        <v>1</v>
      </c>
      <c r="BB167">
        <v>1</v>
      </c>
      <c r="BC167">
        <v>1</v>
      </c>
      <c r="BD167">
        <v>1</v>
      </c>
      <c r="BE167">
        <v>1</v>
      </c>
      <c r="BF167">
        <v>1</v>
      </c>
      <c r="BG167">
        <v>1</v>
      </c>
      <c r="BH167">
        <v>1</v>
      </c>
      <c r="BI167">
        <v>1</v>
      </c>
      <c r="BJ167">
        <f>-1/'vehicles specifications'!$M33</f>
        <v>-1</v>
      </c>
      <c r="BK167">
        <f>-1/'vehicles specifications'!$M33</f>
        <v>-1</v>
      </c>
      <c r="BL167">
        <f>-1/'vehicles specifications'!$M33</f>
        <v>-1</v>
      </c>
    </row>
    <row r="168" spans="1:64" x14ac:dyDescent="0.2">
      <c r="A168" t="s">
        <v>429</v>
      </c>
      <c r="B168">
        <f t="shared" si="5"/>
        <v>5.8823529411764705E-2</v>
      </c>
      <c r="C168" s="2">
        <f>'vehicles specifications'!S34</f>
        <v>16</v>
      </c>
      <c r="D168">
        <f t="shared" si="5"/>
        <v>5.8823529411764705E-2</v>
      </c>
      <c r="E168">
        <v>1</v>
      </c>
      <c r="F168">
        <f>1+'vehicles specifications'!AD34</f>
        <v>1</v>
      </c>
      <c r="G168">
        <f>1+'vehicles specifications'!AD34</f>
        <v>1</v>
      </c>
      <c r="J168">
        <v>1</v>
      </c>
      <c r="K168">
        <f>1/('fuels and tailpipe emissions'!$C$3*3.6)</f>
        <v>2.3474178403755867E-2</v>
      </c>
      <c r="L168">
        <f>1/3.6</f>
        <v>0.2777777777777778</v>
      </c>
      <c r="M168">
        <f>1/'vehicles specifications'!J34</f>
        <v>5.0000000000000002E-5</v>
      </c>
      <c r="N168">
        <v>1</v>
      </c>
      <c r="O168">
        <f>1</f>
        <v>1</v>
      </c>
      <c r="P168">
        <f t="shared" si="4"/>
        <v>-4.1666666666666664E-2</v>
      </c>
      <c r="Q168">
        <f t="shared" si="4"/>
        <v>-4.1666666666666664E-2</v>
      </c>
      <c r="R168">
        <f>-1-'vehicles specifications'!AD34</f>
        <v>-1</v>
      </c>
      <c r="S168">
        <v>1</v>
      </c>
      <c r="T168">
        <v>1</v>
      </c>
      <c r="U168">
        <v>1</v>
      </c>
      <c r="V168">
        <v>1</v>
      </c>
      <c r="W168">
        <v>1</v>
      </c>
      <c r="X168">
        <v>1</v>
      </c>
      <c r="Y168">
        <v>1</v>
      </c>
      <c r="Z168">
        <v>1</v>
      </c>
      <c r="AA168">
        <v>1</v>
      </c>
      <c r="AB168">
        <v>1</v>
      </c>
      <c r="AC168">
        <v>1</v>
      </c>
      <c r="AD168">
        <v>1</v>
      </c>
      <c r="AE168">
        <v>1</v>
      </c>
      <c r="AF168">
        <v>1</v>
      </c>
      <c r="AG168">
        <v>1</v>
      </c>
      <c r="AH168">
        <v>1</v>
      </c>
      <c r="AI168">
        <v>1</v>
      </c>
      <c r="AJ168">
        <v>1</v>
      </c>
      <c r="AK168">
        <v>1</v>
      </c>
      <c r="AL168">
        <v>1</v>
      </c>
      <c r="AM168">
        <v>1</v>
      </c>
      <c r="AN168">
        <v>1</v>
      </c>
      <c r="AO168">
        <v>1</v>
      </c>
      <c r="AP168">
        <v>1</v>
      </c>
      <c r="AQ168">
        <v>1</v>
      </c>
      <c r="AR168">
        <v>1</v>
      </c>
      <c r="AS168">
        <v>1</v>
      </c>
      <c r="AT168">
        <v>1</v>
      </c>
      <c r="AU168">
        <v>1</v>
      </c>
      <c r="AV168">
        <v>1</v>
      </c>
      <c r="AW168">
        <v>1</v>
      </c>
      <c r="AX168">
        <v>1</v>
      </c>
      <c r="AY168">
        <v>1</v>
      </c>
      <c r="AZ168">
        <v>1</v>
      </c>
      <c r="BA168">
        <v>1</v>
      </c>
      <c r="BB168">
        <v>1</v>
      </c>
      <c r="BC168">
        <v>1</v>
      </c>
      <c r="BD168">
        <v>1</v>
      </c>
      <c r="BE168">
        <v>1</v>
      </c>
      <c r="BF168">
        <v>1</v>
      </c>
      <c r="BG168">
        <v>1</v>
      </c>
      <c r="BH168">
        <v>1</v>
      </c>
      <c r="BI168">
        <v>1</v>
      </c>
      <c r="BJ168">
        <f>-1/'vehicles specifications'!$M34</f>
        <v>-1</v>
      </c>
      <c r="BK168">
        <f>-1/'vehicles specifications'!$M34</f>
        <v>-1</v>
      </c>
      <c r="BL168">
        <f>-1/'vehicles specifications'!$M34</f>
        <v>-1</v>
      </c>
    </row>
    <row r="169" spans="1:64" x14ac:dyDescent="0.2">
      <c r="A169" t="s">
        <v>430</v>
      </c>
      <c r="B169">
        <f t="shared" si="5"/>
        <v>5.8823529411764705E-2</v>
      </c>
      <c r="C169" s="2">
        <f>'vehicles specifications'!S35</f>
        <v>19</v>
      </c>
      <c r="D169">
        <f t="shared" si="5"/>
        <v>5.8823529411764705E-2</v>
      </c>
      <c r="E169">
        <v>1</v>
      </c>
      <c r="F169">
        <f>1+'vehicles specifications'!AD35</f>
        <v>2</v>
      </c>
      <c r="G169">
        <f>1+'vehicles specifications'!AD35</f>
        <v>2</v>
      </c>
      <c r="J169">
        <v>1</v>
      </c>
      <c r="K169">
        <f>1/('fuels and tailpipe emissions'!$C$3*3.6)</f>
        <v>2.3474178403755867E-2</v>
      </c>
      <c r="L169">
        <f>1/3.6</f>
        <v>0.2777777777777778</v>
      </c>
      <c r="M169">
        <f>1/'vehicles specifications'!J35</f>
        <v>3.3333333333333335E-5</v>
      </c>
      <c r="N169">
        <v>1</v>
      </c>
      <c r="O169">
        <f>1</f>
        <v>1</v>
      </c>
      <c r="P169">
        <f t="shared" si="4"/>
        <v>-4.1666666666666664E-2</v>
      </c>
      <c r="Q169">
        <f t="shared" si="4"/>
        <v>-4.1666666666666664E-2</v>
      </c>
      <c r="R169">
        <f>-1-'vehicles specifications'!AD35</f>
        <v>-2</v>
      </c>
      <c r="S169">
        <v>1</v>
      </c>
      <c r="T169">
        <v>1</v>
      </c>
      <c r="U169">
        <v>1</v>
      </c>
      <c r="V169">
        <v>1</v>
      </c>
      <c r="W169">
        <v>1</v>
      </c>
      <c r="X169">
        <v>1</v>
      </c>
      <c r="Y169">
        <v>1</v>
      </c>
      <c r="Z169">
        <v>1</v>
      </c>
      <c r="AA169">
        <v>1</v>
      </c>
      <c r="AB169">
        <v>1</v>
      </c>
      <c r="AC169">
        <v>1</v>
      </c>
      <c r="AD169">
        <v>1</v>
      </c>
      <c r="AE169">
        <v>1</v>
      </c>
      <c r="AF169">
        <v>1</v>
      </c>
      <c r="AG169">
        <v>1</v>
      </c>
      <c r="AH169">
        <v>1</v>
      </c>
      <c r="AI169">
        <v>1</v>
      </c>
      <c r="AJ169">
        <v>1</v>
      </c>
      <c r="AK169">
        <v>1</v>
      </c>
      <c r="AL169">
        <v>1</v>
      </c>
      <c r="AM169">
        <v>1</v>
      </c>
      <c r="AN169">
        <v>1</v>
      </c>
      <c r="AO169">
        <v>1</v>
      </c>
      <c r="AP169">
        <v>1</v>
      </c>
      <c r="AQ169">
        <v>1</v>
      </c>
      <c r="AR169">
        <v>1</v>
      </c>
      <c r="AS169">
        <v>1</v>
      </c>
      <c r="AT169">
        <v>1</v>
      </c>
      <c r="AU169">
        <v>1</v>
      </c>
      <c r="AV169">
        <v>1</v>
      </c>
      <c r="AW169">
        <v>1</v>
      </c>
      <c r="AX169">
        <v>1</v>
      </c>
      <c r="AY169">
        <v>1</v>
      </c>
      <c r="AZ169">
        <v>1</v>
      </c>
      <c r="BA169">
        <v>1</v>
      </c>
      <c r="BB169">
        <v>1</v>
      </c>
      <c r="BC169">
        <v>1</v>
      </c>
      <c r="BD169">
        <v>1</v>
      </c>
      <c r="BE169">
        <v>1</v>
      </c>
      <c r="BF169">
        <v>1</v>
      </c>
      <c r="BG169">
        <v>1</v>
      </c>
      <c r="BH169">
        <v>1</v>
      </c>
      <c r="BI169">
        <v>1</v>
      </c>
      <c r="BJ169">
        <f>-1/'vehicles specifications'!$M35</f>
        <v>-1</v>
      </c>
      <c r="BK169">
        <f>-1/'vehicles specifications'!$M35</f>
        <v>-1</v>
      </c>
      <c r="BL169">
        <f>-1/'vehicles specifications'!$M35</f>
        <v>-1</v>
      </c>
    </row>
    <row r="170" spans="1:64" x14ac:dyDescent="0.2">
      <c r="A170" t="s">
        <v>431</v>
      </c>
      <c r="B170">
        <f t="shared" si="5"/>
        <v>5.8823529411764705E-2</v>
      </c>
      <c r="C170" s="2">
        <f>'vehicles specifications'!S36</f>
        <v>19</v>
      </c>
      <c r="D170">
        <f t="shared" si="5"/>
        <v>5.8823529411764705E-2</v>
      </c>
      <c r="E170">
        <v>1</v>
      </c>
      <c r="F170">
        <f>1+'vehicles specifications'!AD36</f>
        <v>1.5</v>
      </c>
      <c r="G170">
        <f>1+'vehicles specifications'!AD36</f>
        <v>1.5</v>
      </c>
      <c r="J170">
        <v>1</v>
      </c>
      <c r="K170">
        <f>1/('fuels and tailpipe emissions'!$C$3*3.6)</f>
        <v>2.3474178403755867E-2</v>
      </c>
      <c r="L170">
        <f>1/3.6</f>
        <v>0.2777777777777778</v>
      </c>
      <c r="M170">
        <f>1/'vehicles specifications'!J36</f>
        <v>3.3333333333333335E-5</v>
      </c>
      <c r="N170">
        <v>1</v>
      </c>
      <c r="O170">
        <f>1</f>
        <v>1</v>
      </c>
      <c r="P170">
        <f t="shared" ref="P170:Q176" si="6">-1/24</f>
        <v>-4.1666666666666664E-2</v>
      </c>
      <c r="Q170">
        <f t="shared" si="6"/>
        <v>-4.1666666666666664E-2</v>
      </c>
      <c r="R170">
        <f>-1-'vehicles specifications'!AD36</f>
        <v>-1.5</v>
      </c>
      <c r="S170">
        <v>1</v>
      </c>
      <c r="T170">
        <v>1</v>
      </c>
      <c r="U170">
        <v>1</v>
      </c>
      <c r="V170">
        <v>1</v>
      </c>
      <c r="W170">
        <v>1</v>
      </c>
      <c r="X170">
        <v>1</v>
      </c>
      <c r="Y170">
        <v>1</v>
      </c>
      <c r="Z170">
        <v>1</v>
      </c>
      <c r="AA170">
        <v>1</v>
      </c>
      <c r="AB170">
        <v>1</v>
      </c>
      <c r="AC170">
        <v>1</v>
      </c>
      <c r="AD170">
        <v>1</v>
      </c>
      <c r="AE170">
        <v>1</v>
      </c>
      <c r="AF170">
        <v>1</v>
      </c>
      <c r="AG170">
        <v>1</v>
      </c>
      <c r="AH170">
        <v>1</v>
      </c>
      <c r="AI170">
        <v>1</v>
      </c>
      <c r="AJ170">
        <v>1</v>
      </c>
      <c r="AK170">
        <v>1</v>
      </c>
      <c r="AL170">
        <v>1</v>
      </c>
      <c r="AM170">
        <v>1</v>
      </c>
      <c r="AN170">
        <v>1</v>
      </c>
      <c r="AO170">
        <v>1</v>
      </c>
      <c r="AP170">
        <v>1</v>
      </c>
      <c r="AQ170">
        <v>1</v>
      </c>
      <c r="AR170">
        <v>1</v>
      </c>
      <c r="AS170">
        <v>1</v>
      </c>
      <c r="AT170">
        <v>1</v>
      </c>
      <c r="AU170">
        <v>1</v>
      </c>
      <c r="AV170">
        <v>1</v>
      </c>
      <c r="AW170">
        <v>1</v>
      </c>
      <c r="AX170">
        <v>1</v>
      </c>
      <c r="AY170">
        <v>1</v>
      </c>
      <c r="AZ170">
        <v>1</v>
      </c>
      <c r="BA170">
        <v>1</v>
      </c>
      <c r="BB170">
        <v>1</v>
      </c>
      <c r="BC170">
        <v>1</v>
      </c>
      <c r="BD170">
        <v>1</v>
      </c>
      <c r="BE170">
        <v>1</v>
      </c>
      <c r="BF170">
        <v>1</v>
      </c>
      <c r="BG170">
        <v>1</v>
      </c>
      <c r="BH170">
        <v>1</v>
      </c>
      <c r="BI170">
        <v>1</v>
      </c>
      <c r="BJ170">
        <f>-1/'vehicles specifications'!$M36</f>
        <v>-1</v>
      </c>
      <c r="BK170">
        <f>-1/'vehicles specifications'!$M36</f>
        <v>-1</v>
      </c>
      <c r="BL170">
        <f>-1/'vehicles specifications'!$M36</f>
        <v>-1</v>
      </c>
    </row>
    <row r="171" spans="1:64" x14ac:dyDescent="0.2">
      <c r="A171" t="s">
        <v>432</v>
      </c>
      <c r="B171">
        <f t="shared" si="5"/>
        <v>5.8823529411764705E-2</v>
      </c>
      <c r="C171" s="2">
        <f>'vehicles specifications'!S37</f>
        <v>19</v>
      </c>
      <c r="D171">
        <f t="shared" si="5"/>
        <v>5.8823529411764705E-2</v>
      </c>
      <c r="E171">
        <v>1</v>
      </c>
      <c r="F171">
        <f>1+'vehicles specifications'!AD37</f>
        <v>1.25</v>
      </c>
      <c r="G171">
        <f>1+'vehicles specifications'!AD37</f>
        <v>1.25</v>
      </c>
      <c r="J171">
        <v>1</v>
      </c>
      <c r="K171">
        <f>1/('fuels and tailpipe emissions'!$C$3*3.6)</f>
        <v>2.3474178403755867E-2</v>
      </c>
      <c r="L171">
        <f>1/3.6</f>
        <v>0.2777777777777778</v>
      </c>
      <c r="M171">
        <f>1/'vehicles specifications'!J37</f>
        <v>3.3333333333333335E-5</v>
      </c>
      <c r="N171">
        <v>1</v>
      </c>
      <c r="O171">
        <f>1</f>
        <v>1</v>
      </c>
      <c r="P171">
        <f t="shared" si="6"/>
        <v>-4.1666666666666664E-2</v>
      </c>
      <c r="Q171">
        <f t="shared" si="6"/>
        <v>-4.1666666666666664E-2</v>
      </c>
      <c r="R171">
        <f>-1-'vehicles specifications'!AD37</f>
        <v>-1.25</v>
      </c>
      <c r="S171">
        <v>1</v>
      </c>
      <c r="T171">
        <v>1</v>
      </c>
      <c r="U171">
        <v>1</v>
      </c>
      <c r="V171">
        <v>1</v>
      </c>
      <c r="W171">
        <v>1</v>
      </c>
      <c r="X171">
        <v>1</v>
      </c>
      <c r="Y171">
        <v>1</v>
      </c>
      <c r="Z171">
        <v>1</v>
      </c>
      <c r="AA171">
        <v>1</v>
      </c>
      <c r="AB171">
        <v>1</v>
      </c>
      <c r="AC171">
        <v>1</v>
      </c>
      <c r="AD171">
        <v>1</v>
      </c>
      <c r="AE171">
        <v>1</v>
      </c>
      <c r="AF171">
        <v>1</v>
      </c>
      <c r="AG171">
        <v>1</v>
      </c>
      <c r="AH171">
        <v>1</v>
      </c>
      <c r="AI171">
        <v>1</v>
      </c>
      <c r="AJ171">
        <v>1</v>
      </c>
      <c r="AK171">
        <v>1</v>
      </c>
      <c r="AL171">
        <v>1</v>
      </c>
      <c r="AM171">
        <v>1</v>
      </c>
      <c r="AN171">
        <v>1</v>
      </c>
      <c r="AO171">
        <v>1</v>
      </c>
      <c r="AP171">
        <v>1</v>
      </c>
      <c r="AQ171">
        <v>1</v>
      </c>
      <c r="AR171">
        <v>1</v>
      </c>
      <c r="AS171">
        <v>1</v>
      </c>
      <c r="AT171">
        <v>1</v>
      </c>
      <c r="AU171">
        <v>1</v>
      </c>
      <c r="AV171">
        <v>1</v>
      </c>
      <c r="AW171">
        <v>1</v>
      </c>
      <c r="AX171">
        <v>1</v>
      </c>
      <c r="AY171">
        <v>1</v>
      </c>
      <c r="AZ171">
        <v>1</v>
      </c>
      <c r="BA171">
        <v>1</v>
      </c>
      <c r="BB171">
        <v>1</v>
      </c>
      <c r="BC171">
        <v>1</v>
      </c>
      <c r="BD171">
        <v>1</v>
      </c>
      <c r="BE171">
        <v>1</v>
      </c>
      <c r="BF171">
        <v>1</v>
      </c>
      <c r="BG171">
        <v>1</v>
      </c>
      <c r="BH171">
        <v>1</v>
      </c>
      <c r="BI171">
        <v>1</v>
      </c>
      <c r="BJ171">
        <f>-1/'vehicles specifications'!$M37</f>
        <v>-1</v>
      </c>
      <c r="BK171">
        <f>-1/'vehicles specifications'!$M37</f>
        <v>-1</v>
      </c>
      <c r="BL171">
        <f>-1/'vehicles specifications'!$M37</f>
        <v>-1</v>
      </c>
    </row>
    <row r="172" spans="1:64" x14ac:dyDescent="0.2">
      <c r="A172" t="s">
        <v>433</v>
      </c>
      <c r="B172">
        <f t="shared" si="5"/>
        <v>5.8823529411764705E-2</v>
      </c>
      <c r="C172" s="2">
        <f>'vehicles specifications'!S38</f>
        <v>19</v>
      </c>
      <c r="D172">
        <f t="shared" si="5"/>
        <v>5.8823529411764705E-2</v>
      </c>
      <c r="E172">
        <v>1</v>
      </c>
      <c r="F172">
        <f>1+'vehicles specifications'!AD38</f>
        <v>1</v>
      </c>
      <c r="G172">
        <f>1+'vehicles specifications'!AD38</f>
        <v>1</v>
      </c>
      <c r="J172">
        <v>1</v>
      </c>
      <c r="K172">
        <f>1/('fuels and tailpipe emissions'!$C$3*3.6)</f>
        <v>2.3474178403755867E-2</v>
      </c>
      <c r="L172">
        <f>1/3.6</f>
        <v>0.2777777777777778</v>
      </c>
      <c r="M172">
        <f>1/'vehicles specifications'!J38</f>
        <v>3.3333333333333335E-5</v>
      </c>
      <c r="N172">
        <v>1</v>
      </c>
      <c r="O172">
        <f>1</f>
        <v>1</v>
      </c>
      <c r="P172">
        <f t="shared" si="6"/>
        <v>-4.1666666666666664E-2</v>
      </c>
      <c r="Q172">
        <f t="shared" si="6"/>
        <v>-4.1666666666666664E-2</v>
      </c>
      <c r="R172">
        <f>-1-'vehicles specifications'!AD38</f>
        <v>-1</v>
      </c>
      <c r="S172">
        <v>1</v>
      </c>
      <c r="T172">
        <v>1</v>
      </c>
      <c r="U172">
        <v>1</v>
      </c>
      <c r="V172">
        <v>1</v>
      </c>
      <c r="W172">
        <v>1</v>
      </c>
      <c r="X172">
        <v>1</v>
      </c>
      <c r="Y172">
        <v>1</v>
      </c>
      <c r="Z172">
        <v>1</v>
      </c>
      <c r="AA172">
        <v>1</v>
      </c>
      <c r="AB172">
        <v>1</v>
      </c>
      <c r="AC172">
        <v>1</v>
      </c>
      <c r="AD172">
        <v>1</v>
      </c>
      <c r="AE172">
        <v>1</v>
      </c>
      <c r="AF172">
        <v>1</v>
      </c>
      <c r="AG172">
        <v>1</v>
      </c>
      <c r="AH172">
        <v>1</v>
      </c>
      <c r="AI172">
        <v>1</v>
      </c>
      <c r="AJ172">
        <v>1</v>
      </c>
      <c r="AK172">
        <v>1</v>
      </c>
      <c r="AL172">
        <v>1</v>
      </c>
      <c r="AM172">
        <v>1</v>
      </c>
      <c r="AN172">
        <v>1</v>
      </c>
      <c r="AO172">
        <v>1</v>
      </c>
      <c r="AP172">
        <v>1</v>
      </c>
      <c r="AQ172">
        <v>1</v>
      </c>
      <c r="AR172">
        <v>1</v>
      </c>
      <c r="AS172">
        <v>1</v>
      </c>
      <c r="AT172">
        <v>1</v>
      </c>
      <c r="AU172">
        <v>1</v>
      </c>
      <c r="AV172">
        <v>1</v>
      </c>
      <c r="AW172">
        <v>1</v>
      </c>
      <c r="AX172">
        <v>1</v>
      </c>
      <c r="AY172">
        <v>1</v>
      </c>
      <c r="AZ172">
        <v>1</v>
      </c>
      <c r="BA172">
        <v>1</v>
      </c>
      <c r="BB172">
        <v>1</v>
      </c>
      <c r="BC172">
        <v>1</v>
      </c>
      <c r="BD172">
        <v>1</v>
      </c>
      <c r="BE172">
        <v>1</v>
      </c>
      <c r="BF172">
        <v>1</v>
      </c>
      <c r="BG172">
        <v>1</v>
      </c>
      <c r="BH172">
        <v>1</v>
      </c>
      <c r="BI172">
        <v>1</v>
      </c>
      <c r="BJ172">
        <f>-1/'vehicles specifications'!$M38</f>
        <v>-1</v>
      </c>
      <c r="BK172">
        <f>-1/'vehicles specifications'!$M38</f>
        <v>-1</v>
      </c>
      <c r="BL172">
        <f>-1/'vehicles specifications'!$M38</f>
        <v>-1</v>
      </c>
    </row>
    <row r="173" spans="1:64" x14ac:dyDescent="0.2">
      <c r="A173" t="s">
        <v>798</v>
      </c>
      <c r="B173">
        <f t="shared" si="5"/>
        <v>5.8823529411764705E-2</v>
      </c>
      <c r="C173" s="2">
        <f>'vehicles specifications'!S39</f>
        <v>38</v>
      </c>
      <c r="D173">
        <f t="shared" si="5"/>
        <v>5.8823529411764705E-2</v>
      </c>
      <c r="E173">
        <v>1</v>
      </c>
      <c r="F173">
        <f>1+'vehicles specifications'!AD39</f>
        <v>2</v>
      </c>
      <c r="G173">
        <f>1+'vehicles specifications'!AD39</f>
        <v>2</v>
      </c>
      <c r="J173">
        <v>1</v>
      </c>
      <c r="K173">
        <f>1/('fuels and tailpipe emissions'!$C$3*3.6)</f>
        <v>2.3474178403755867E-2</v>
      </c>
      <c r="L173">
        <f>1/3.6</f>
        <v>0.2777777777777778</v>
      </c>
      <c r="M173">
        <f>1/'vehicles specifications'!J39</f>
        <v>5.0000000000000002E-5</v>
      </c>
      <c r="N173">
        <v>1</v>
      </c>
      <c r="O173">
        <f>1</f>
        <v>1</v>
      </c>
      <c r="P173">
        <f t="shared" si="6"/>
        <v>-4.1666666666666664E-2</v>
      </c>
      <c r="Q173">
        <f t="shared" si="6"/>
        <v>-4.1666666666666664E-2</v>
      </c>
      <c r="R173">
        <f>-1-'vehicles specifications'!AD39</f>
        <v>-2</v>
      </c>
      <c r="S173">
        <v>1</v>
      </c>
      <c r="T173">
        <v>1</v>
      </c>
      <c r="U173">
        <v>1</v>
      </c>
      <c r="V173">
        <v>1</v>
      </c>
      <c r="W173">
        <v>1</v>
      </c>
      <c r="X173">
        <v>1</v>
      </c>
      <c r="Y173">
        <v>1</v>
      </c>
      <c r="Z173">
        <v>1</v>
      </c>
      <c r="AA173">
        <v>1</v>
      </c>
      <c r="AB173">
        <v>1</v>
      </c>
      <c r="AC173">
        <v>1</v>
      </c>
      <c r="AD173">
        <v>1</v>
      </c>
      <c r="AE173">
        <v>1</v>
      </c>
      <c r="AF173">
        <v>1</v>
      </c>
      <c r="AG173">
        <v>1</v>
      </c>
      <c r="AH173">
        <v>1</v>
      </c>
      <c r="AI173">
        <v>1</v>
      </c>
      <c r="AJ173">
        <v>1</v>
      </c>
      <c r="AK173">
        <v>1</v>
      </c>
      <c r="AL173">
        <v>1</v>
      </c>
      <c r="AM173">
        <v>1</v>
      </c>
      <c r="AN173">
        <v>1</v>
      </c>
      <c r="AO173">
        <v>1</v>
      </c>
      <c r="AP173">
        <v>1</v>
      </c>
      <c r="AQ173">
        <v>1</v>
      </c>
      <c r="AR173">
        <v>1</v>
      </c>
      <c r="AS173">
        <v>1</v>
      </c>
      <c r="AT173">
        <v>1</v>
      </c>
      <c r="AU173">
        <v>1</v>
      </c>
      <c r="AV173">
        <v>1</v>
      </c>
      <c r="AW173">
        <v>1</v>
      </c>
      <c r="AX173">
        <v>1</v>
      </c>
      <c r="AY173">
        <v>1</v>
      </c>
      <c r="AZ173">
        <v>1</v>
      </c>
      <c r="BA173">
        <v>1</v>
      </c>
      <c r="BB173">
        <v>1</v>
      </c>
      <c r="BC173">
        <v>1</v>
      </c>
      <c r="BD173">
        <v>1</v>
      </c>
      <c r="BE173">
        <v>1</v>
      </c>
      <c r="BF173">
        <v>1</v>
      </c>
      <c r="BG173">
        <v>1</v>
      </c>
      <c r="BH173">
        <v>1</v>
      </c>
      <c r="BI173">
        <v>1</v>
      </c>
      <c r="BJ173">
        <f>-1/'vehicles specifications'!$M39</f>
        <v>-1</v>
      </c>
      <c r="BK173">
        <f>-1/'vehicles specifications'!$M39</f>
        <v>-1</v>
      </c>
      <c r="BL173">
        <f>-1/'vehicles specifications'!$M39</f>
        <v>-1</v>
      </c>
    </row>
    <row r="174" spans="1:64" x14ac:dyDescent="0.2">
      <c r="A174" t="s">
        <v>799</v>
      </c>
      <c r="B174">
        <f t="shared" si="5"/>
        <v>5.8823529411764705E-2</v>
      </c>
      <c r="C174" s="2">
        <f>'vehicles specifications'!S40</f>
        <v>38</v>
      </c>
      <c r="D174">
        <f t="shared" si="5"/>
        <v>5.8823529411764705E-2</v>
      </c>
      <c r="E174">
        <v>1</v>
      </c>
      <c r="F174">
        <f>1+'vehicles specifications'!AD40</f>
        <v>1.5</v>
      </c>
      <c r="G174">
        <f>1+'vehicles specifications'!AD40</f>
        <v>1.5</v>
      </c>
      <c r="J174">
        <v>1</v>
      </c>
      <c r="K174">
        <f>1/('fuels and tailpipe emissions'!$C$3*3.6)</f>
        <v>2.3474178403755867E-2</v>
      </c>
      <c r="L174">
        <f>1/3.6</f>
        <v>0.2777777777777778</v>
      </c>
      <c r="M174">
        <f>1/'vehicles specifications'!J40</f>
        <v>5.0000000000000002E-5</v>
      </c>
      <c r="N174">
        <v>1</v>
      </c>
      <c r="O174">
        <f>1</f>
        <v>1</v>
      </c>
      <c r="P174">
        <f t="shared" si="6"/>
        <v>-4.1666666666666664E-2</v>
      </c>
      <c r="Q174">
        <f t="shared" si="6"/>
        <v>-4.1666666666666664E-2</v>
      </c>
      <c r="R174">
        <f>-1-'vehicles specifications'!AD40</f>
        <v>-1.5</v>
      </c>
      <c r="S174">
        <v>1</v>
      </c>
      <c r="T174">
        <v>1</v>
      </c>
      <c r="U174">
        <v>1</v>
      </c>
      <c r="V174">
        <v>1</v>
      </c>
      <c r="W174">
        <v>1</v>
      </c>
      <c r="X174">
        <v>1</v>
      </c>
      <c r="Y174">
        <v>1</v>
      </c>
      <c r="Z174">
        <v>1</v>
      </c>
      <c r="AA174">
        <v>1</v>
      </c>
      <c r="AB174">
        <v>1</v>
      </c>
      <c r="AC174">
        <v>1</v>
      </c>
      <c r="AD174">
        <v>1</v>
      </c>
      <c r="AE174">
        <v>1</v>
      </c>
      <c r="AF174">
        <v>1</v>
      </c>
      <c r="AG174">
        <v>1</v>
      </c>
      <c r="AH174">
        <v>1</v>
      </c>
      <c r="AI174">
        <v>1</v>
      </c>
      <c r="AJ174">
        <v>1</v>
      </c>
      <c r="AK174">
        <v>1</v>
      </c>
      <c r="AL174">
        <v>1</v>
      </c>
      <c r="AM174">
        <v>1</v>
      </c>
      <c r="AN174">
        <v>1</v>
      </c>
      <c r="AO174">
        <v>1</v>
      </c>
      <c r="AP174">
        <v>1</v>
      </c>
      <c r="AQ174">
        <v>1</v>
      </c>
      <c r="AR174">
        <v>1</v>
      </c>
      <c r="AS174">
        <v>1</v>
      </c>
      <c r="AT174">
        <v>1</v>
      </c>
      <c r="AU174">
        <v>1</v>
      </c>
      <c r="AV174">
        <v>1</v>
      </c>
      <c r="AW174">
        <v>1</v>
      </c>
      <c r="AX174">
        <v>1</v>
      </c>
      <c r="AY174">
        <v>1</v>
      </c>
      <c r="AZ174">
        <v>1</v>
      </c>
      <c r="BA174">
        <v>1</v>
      </c>
      <c r="BB174">
        <v>1</v>
      </c>
      <c r="BC174">
        <v>1</v>
      </c>
      <c r="BD174">
        <v>1</v>
      </c>
      <c r="BE174">
        <v>1</v>
      </c>
      <c r="BF174">
        <v>1</v>
      </c>
      <c r="BG174">
        <v>1</v>
      </c>
      <c r="BH174">
        <v>1</v>
      </c>
      <c r="BI174">
        <v>1</v>
      </c>
      <c r="BJ174">
        <f>-1/'vehicles specifications'!$M40</f>
        <v>-1</v>
      </c>
      <c r="BK174">
        <f>-1/'vehicles specifications'!$M40</f>
        <v>-1</v>
      </c>
      <c r="BL174">
        <f>-1/'vehicles specifications'!$M40</f>
        <v>-1</v>
      </c>
    </row>
    <row r="175" spans="1:64" x14ac:dyDescent="0.2">
      <c r="A175" t="s">
        <v>800</v>
      </c>
      <c r="B175">
        <f t="shared" si="5"/>
        <v>5.8823529411764705E-2</v>
      </c>
      <c r="C175" s="2">
        <f>'vehicles specifications'!S41</f>
        <v>38</v>
      </c>
      <c r="D175">
        <f t="shared" si="5"/>
        <v>5.8823529411764705E-2</v>
      </c>
      <c r="E175">
        <v>1</v>
      </c>
      <c r="F175">
        <f>1+'vehicles specifications'!AD41</f>
        <v>1.25</v>
      </c>
      <c r="G175">
        <f>1+'vehicles specifications'!AD41</f>
        <v>1.25</v>
      </c>
      <c r="J175">
        <v>1</v>
      </c>
      <c r="K175">
        <f>1/('fuels and tailpipe emissions'!$C$3*3.6)</f>
        <v>2.3474178403755867E-2</v>
      </c>
      <c r="L175">
        <f>1/3.6</f>
        <v>0.2777777777777778</v>
      </c>
      <c r="M175">
        <f>1/'vehicles specifications'!J41</f>
        <v>5.0000000000000002E-5</v>
      </c>
      <c r="N175">
        <v>1</v>
      </c>
      <c r="O175">
        <f>1</f>
        <v>1</v>
      </c>
      <c r="P175">
        <f t="shared" si="6"/>
        <v>-4.1666666666666664E-2</v>
      </c>
      <c r="Q175">
        <f t="shared" si="6"/>
        <v>-4.1666666666666664E-2</v>
      </c>
      <c r="R175">
        <f>-1-'vehicles specifications'!AD41</f>
        <v>-1.25</v>
      </c>
      <c r="S175">
        <v>1</v>
      </c>
      <c r="T175">
        <v>1</v>
      </c>
      <c r="U175">
        <v>1</v>
      </c>
      <c r="V175">
        <v>1</v>
      </c>
      <c r="W175">
        <v>1</v>
      </c>
      <c r="X175">
        <v>1</v>
      </c>
      <c r="Y175">
        <v>1</v>
      </c>
      <c r="Z175">
        <v>1</v>
      </c>
      <c r="AA175">
        <v>1</v>
      </c>
      <c r="AB175">
        <v>1</v>
      </c>
      <c r="AC175">
        <v>1</v>
      </c>
      <c r="AD175">
        <v>1</v>
      </c>
      <c r="AE175">
        <v>1</v>
      </c>
      <c r="AF175">
        <v>1</v>
      </c>
      <c r="AG175">
        <v>1</v>
      </c>
      <c r="AH175">
        <v>1</v>
      </c>
      <c r="AI175">
        <v>1</v>
      </c>
      <c r="AJ175">
        <v>1</v>
      </c>
      <c r="AK175">
        <v>1</v>
      </c>
      <c r="AL175">
        <v>1</v>
      </c>
      <c r="AM175">
        <v>1</v>
      </c>
      <c r="AN175">
        <v>1</v>
      </c>
      <c r="AO175">
        <v>1</v>
      </c>
      <c r="AP175">
        <v>1</v>
      </c>
      <c r="AQ175">
        <v>1</v>
      </c>
      <c r="AR175">
        <v>1</v>
      </c>
      <c r="AS175">
        <v>1</v>
      </c>
      <c r="AT175">
        <v>1</v>
      </c>
      <c r="AU175">
        <v>1</v>
      </c>
      <c r="AV175">
        <v>1</v>
      </c>
      <c r="AW175">
        <v>1</v>
      </c>
      <c r="AX175">
        <v>1</v>
      </c>
      <c r="AY175">
        <v>1</v>
      </c>
      <c r="AZ175">
        <v>1</v>
      </c>
      <c r="BA175">
        <v>1</v>
      </c>
      <c r="BB175">
        <v>1</v>
      </c>
      <c r="BC175">
        <v>1</v>
      </c>
      <c r="BD175">
        <v>1</v>
      </c>
      <c r="BE175">
        <v>1</v>
      </c>
      <c r="BF175">
        <v>1</v>
      </c>
      <c r="BG175">
        <v>1</v>
      </c>
      <c r="BH175">
        <v>1</v>
      </c>
      <c r="BI175">
        <v>1</v>
      </c>
      <c r="BJ175">
        <f>-1/'vehicles specifications'!$M41</f>
        <v>-1</v>
      </c>
      <c r="BK175">
        <f>-1/'vehicles specifications'!$M41</f>
        <v>-1</v>
      </c>
      <c r="BL175">
        <f>-1/'vehicles specifications'!$M41</f>
        <v>-1</v>
      </c>
    </row>
    <row r="176" spans="1:64" x14ac:dyDescent="0.2">
      <c r="A176" t="s">
        <v>801</v>
      </c>
      <c r="B176">
        <f t="shared" si="5"/>
        <v>5.8823529411764705E-2</v>
      </c>
      <c r="C176" s="2">
        <f>'vehicles specifications'!S42</f>
        <v>38</v>
      </c>
      <c r="D176">
        <f t="shared" si="5"/>
        <v>5.8823529411764705E-2</v>
      </c>
      <c r="E176">
        <v>1</v>
      </c>
      <c r="F176">
        <f>1+'vehicles specifications'!AD42</f>
        <v>1</v>
      </c>
      <c r="G176">
        <f>1+'vehicles specifications'!AD42</f>
        <v>1</v>
      </c>
      <c r="J176">
        <v>1</v>
      </c>
      <c r="K176">
        <f>1/('fuels and tailpipe emissions'!$C$3*3.6)</f>
        <v>2.3474178403755867E-2</v>
      </c>
      <c r="L176">
        <f>1/3.6</f>
        <v>0.2777777777777778</v>
      </c>
      <c r="M176">
        <f>1/'vehicles specifications'!J42</f>
        <v>5.0000000000000002E-5</v>
      </c>
      <c r="N176">
        <v>1</v>
      </c>
      <c r="O176">
        <f>1</f>
        <v>1</v>
      </c>
      <c r="P176">
        <f t="shared" si="6"/>
        <v>-4.1666666666666664E-2</v>
      </c>
      <c r="Q176">
        <f t="shared" si="6"/>
        <v>-4.1666666666666664E-2</v>
      </c>
      <c r="R176">
        <f>-1-'vehicles specifications'!AD42</f>
        <v>-1</v>
      </c>
      <c r="S176">
        <v>1</v>
      </c>
      <c r="T176">
        <v>1</v>
      </c>
      <c r="U176">
        <v>1</v>
      </c>
      <c r="V176">
        <v>1</v>
      </c>
      <c r="W176">
        <v>1</v>
      </c>
      <c r="X176">
        <v>1</v>
      </c>
      <c r="Y176">
        <v>1</v>
      </c>
      <c r="Z176">
        <v>1</v>
      </c>
      <c r="AA176">
        <v>1</v>
      </c>
      <c r="AB176">
        <v>1</v>
      </c>
      <c r="AC176">
        <v>1</v>
      </c>
      <c r="AD176">
        <v>1</v>
      </c>
      <c r="AE176">
        <v>1</v>
      </c>
      <c r="AF176">
        <v>1</v>
      </c>
      <c r="AG176">
        <v>1</v>
      </c>
      <c r="AH176">
        <v>1</v>
      </c>
      <c r="AI176">
        <v>1</v>
      </c>
      <c r="AJ176">
        <v>1</v>
      </c>
      <c r="AK176">
        <v>1</v>
      </c>
      <c r="AL176">
        <v>1</v>
      </c>
      <c r="AM176">
        <v>1</v>
      </c>
      <c r="AN176">
        <v>1</v>
      </c>
      <c r="AO176">
        <v>1</v>
      </c>
      <c r="AP176">
        <v>1</v>
      </c>
      <c r="AQ176">
        <v>1</v>
      </c>
      <c r="AR176">
        <v>1</v>
      </c>
      <c r="AS176">
        <v>1</v>
      </c>
      <c r="AT176">
        <v>1</v>
      </c>
      <c r="AU176">
        <v>1</v>
      </c>
      <c r="AV176">
        <v>1</v>
      </c>
      <c r="AW176">
        <v>1</v>
      </c>
      <c r="AX176">
        <v>1</v>
      </c>
      <c r="AY176">
        <v>1</v>
      </c>
      <c r="AZ176">
        <v>1</v>
      </c>
      <c r="BA176">
        <v>1</v>
      </c>
      <c r="BB176">
        <v>1</v>
      </c>
      <c r="BC176">
        <v>1</v>
      </c>
      <c r="BD176">
        <v>1</v>
      </c>
      <c r="BE176">
        <v>1</v>
      </c>
      <c r="BF176">
        <v>1</v>
      </c>
      <c r="BG176">
        <v>1</v>
      </c>
      <c r="BH176">
        <v>1</v>
      </c>
      <c r="BI176">
        <v>1</v>
      </c>
      <c r="BJ176">
        <f>-1/'vehicles specifications'!$M42</f>
        <v>-1</v>
      </c>
      <c r="BK176">
        <f>-1/'vehicles specifications'!$M42</f>
        <v>-1</v>
      </c>
      <c r="BL176">
        <f>-1/'vehicles specifications'!$M42</f>
        <v>-1</v>
      </c>
    </row>
    <row r="177" spans="1:64" x14ac:dyDescent="0.2">
      <c r="A177" t="s">
        <v>434</v>
      </c>
      <c r="B177">
        <f t="shared" si="5"/>
        <v>5.8823529411764705E-2</v>
      </c>
      <c r="C177" s="2">
        <f>'vehicles specifications'!S43</f>
        <v>16</v>
      </c>
      <c r="D177">
        <f t="shared" si="5"/>
        <v>5.8823529411764705E-2</v>
      </c>
      <c r="E177">
        <v>1</v>
      </c>
      <c r="F177">
        <f>1+'vehicles specifications'!AD43</f>
        <v>2</v>
      </c>
      <c r="G177">
        <f>1+'vehicles specifications'!AD43</f>
        <v>2</v>
      </c>
      <c r="J177">
        <v>1</v>
      </c>
      <c r="K177">
        <f>1/('fuels and tailpipe emissions'!$C$3*3.6)</f>
        <v>2.3474178403755867E-2</v>
      </c>
      <c r="L177">
        <f>1/3.6</f>
        <v>0.2777777777777778</v>
      </c>
      <c r="M177">
        <f>1/'vehicles specifications'!J43</f>
        <v>5.0000000000000002E-5</v>
      </c>
      <c r="N177">
        <v>1</v>
      </c>
      <c r="O177">
        <f>1</f>
        <v>1</v>
      </c>
      <c r="P177">
        <f>-1/24</f>
        <v>-4.1666666666666664E-2</v>
      </c>
      <c r="Q177">
        <f>-1/24</f>
        <v>-4.1666666666666664E-2</v>
      </c>
      <c r="R177">
        <f>-1-'vehicles specifications'!AD43</f>
        <v>-2</v>
      </c>
      <c r="S177">
        <v>1</v>
      </c>
      <c r="T177">
        <v>1</v>
      </c>
      <c r="U177">
        <v>1</v>
      </c>
      <c r="V177">
        <v>1</v>
      </c>
      <c r="W177">
        <v>1</v>
      </c>
      <c r="X177">
        <v>1</v>
      </c>
      <c r="Y177">
        <v>1</v>
      </c>
      <c r="Z177">
        <v>1</v>
      </c>
      <c r="AA177">
        <v>1</v>
      </c>
      <c r="AB177">
        <v>1</v>
      </c>
      <c r="AC177">
        <v>1</v>
      </c>
      <c r="AD177">
        <v>1</v>
      </c>
      <c r="AE177">
        <v>1</v>
      </c>
      <c r="AF177">
        <v>1</v>
      </c>
      <c r="AG177">
        <v>1</v>
      </c>
      <c r="AH177">
        <v>1</v>
      </c>
      <c r="AI177">
        <v>1</v>
      </c>
      <c r="AJ177">
        <v>1</v>
      </c>
      <c r="AK177">
        <v>1</v>
      </c>
      <c r="AL177">
        <v>1</v>
      </c>
      <c r="AM177">
        <v>1</v>
      </c>
      <c r="AN177">
        <v>1</v>
      </c>
      <c r="AO177">
        <v>1</v>
      </c>
      <c r="AP177">
        <v>1</v>
      </c>
      <c r="AQ177">
        <v>1</v>
      </c>
      <c r="AR177">
        <v>1</v>
      </c>
      <c r="AS177">
        <v>1</v>
      </c>
      <c r="AT177">
        <v>1</v>
      </c>
      <c r="AU177">
        <v>1</v>
      </c>
      <c r="AV177">
        <v>1</v>
      </c>
      <c r="AW177">
        <v>1</v>
      </c>
      <c r="AX177">
        <v>1</v>
      </c>
      <c r="AY177">
        <v>1</v>
      </c>
      <c r="AZ177">
        <v>1</v>
      </c>
      <c r="BA177">
        <v>1</v>
      </c>
      <c r="BB177">
        <v>1</v>
      </c>
      <c r="BC177">
        <v>1</v>
      </c>
      <c r="BD177">
        <v>1</v>
      </c>
      <c r="BE177">
        <v>1</v>
      </c>
      <c r="BF177">
        <v>1</v>
      </c>
      <c r="BG177">
        <v>1</v>
      </c>
      <c r="BH177">
        <v>1</v>
      </c>
      <c r="BI177">
        <v>1</v>
      </c>
      <c r="BJ177">
        <f>-1/'vehicles specifications'!$M43</f>
        <v>-1</v>
      </c>
      <c r="BK177">
        <f>-1/'vehicles specifications'!$M43</f>
        <v>-1</v>
      </c>
      <c r="BL177">
        <f>-1/'vehicles specifications'!$M43</f>
        <v>-1</v>
      </c>
    </row>
    <row r="178" spans="1:64" x14ac:dyDescent="0.2">
      <c r="A178" t="s">
        <v>435</v>
      </c>
      <c r="B178">
        <f t="shared" si="5"/>
        <v>5.8823529411764705E-2</v>
      </c>
      <c r="C178" s="2">
        <f>'vehicles specifications'!S44</f>
        <v>16</v>
      </c>
      <c r="D178">
        <f t="shared" si="5"/>
        <v>5.8823529411764705E-2</v>
      </c>
      <c r="E178">
        <v>1</v>
      </c>
      <c r="F178">
        <f>1+'vehicles specifications'!AD44</f>
        <v>1.5</v>
      </c>
      <c r="G178">
        <f>1+'vehicles specifications'!AD44</f>
        <v>1.5</v>
      </c>
      <c r="J178">
        <v>1</v>
      </c>
      <c r="K178">
        <f>1/('fuels and tailpipe emissions'!$C$3*3.6)</f>
        <v>2.3474178403755867E-2</v>
      </c>
      <c r="L178">
        <f>1/3.6</f>
        <v>0.2777777777777778</v>
      </c>
      <c r="M178">
        <f>1/'vehicles specifications'!J44</f>
        <v>5.0000000000000002E-5</v>
      </c>
      <c r="N178">
        <v>1</v>
      </c>
      <c r="O178">
        <f>1</f>
        <v>1</v>
      </c>
      <c r="P178">
        <f t="shared" ref="P178:Q188" si="7">-1/24</f>
        <v>-4.1666666666666664E-2</v>
      </c>
      <c r="Q178">
        <f t="shared" si="7"/>
        <v>-4.1666666666666664E-2</v>
      </c>
      <c r="R178">
        <f>-1-'vehicles specifications'!AD44</f>
        <v>-1.5</v>
      </c>
      <c r="S178">
        <v>1</v>
      </c>
      <c r="T178">
        <v>1</v>
      </c>
      <c r="U178">
        <v>1</v>
      </c>
      <c r="V178">
        <v>1</v>
      </c>
      <c r="W178">
        <v>1</v>
      </c>
      <c r="X178">
        <v>1</v>
      </c>
      <c r="Y178">
        <v>1</v>
      </c>
      <c r="Z178">
        <v>1</v>
      </c>
      <c r="AA178">
        <v>1</v>
      </c>
      <c r="AB178">
        <v>1</v>
      </c>
      <c r="AC178">
        <v>1</v>
      </c>
      <c r="AD178">
        <v>1</v>
      </c>
      <c r="AE178">
        <v>1</v>
      </c>
      <c r="AF178">
        <v>1</v>
      </c>
      <c r="AG178">
        <v>1</v>
      </c>
      <c r="AH178">
        <v>1</v>
      </c>
      <c r="AI178">
        <v>1</v>
      </c>
      <c r="AJ178">
        <v>1</v>
      </c>
      <c r="AK178">
        <v>1</v>
      </c>
      <c r="AL178">
        <v>1</v>
      </c>
      <c r="AM178">
        <v>1</v>
      </c>
      <c r="AN178">
        <v>1</v>
      </c>
      <c r="AO178">
        <v>1</v>
      </c>
      <c r="AP178">
        <v>1</v>
      </c>
      <c r="AQ178">
        <v>1</v>
      </c>
      <c r="AR178">
        <v>1</v>
      </c>
      <c r="AS178">
        <v>1</v>
      </c>
      <c r="AT178">
        <v>1</v>
      </c>
      <c r="AU178">
        <v>1</v>
      </c>
      <c r="AV178">
        <v>1</v>
      </c>
      <c r="AW178">
        <v>1</v>
      </c>
      <c r="AX178">
        <v>1</v>
      </c>
      <c r="AY178">
        <v>1</v>
      </c>
      <c r="AZ178">
        <v>1</v>
      </c>
      <c r="BA178">
        <v>1</v>
      </c>
      <c r="BB178">
        <v>1</v>
      </c>
      <c r="BC178">
        <v>1</v>
      </c>
      <c r="BD178">
        <v>1</v>
      </c>
      <c r="BE178">
        <v>1</v>
      </c>
      <c r="BF178">
        <v>1</v>
      </c>
      <c r="BG178">
        <v>1</v>
      </c>
      <c r="BH178">
        <v>1</v>
      </c>
      <c r="BI178">
        <v>1</v>
      </c>
      <c r="BJ178">
        <f>-1/'vehicles specifications'!$M44</f>
        <v>-1</v>
      </c>
      <c r="BK178">
        <f>-1/'vehicles specifications'!$M44</f>
        <v>-1</v>
      </c>
      <c r="BL178">
        <f>-1/'vehicles specifications'!$M44</f>
        <v>-1</v>
      </c>
    </row>
    <row r="179" spans="1:64" x14ac:dyDescent="0.2">
      <c r="A179" t="s">
        <v>436</v>
      </c>
      <c r="B179">
        <f t="shared" si="5"/>
        <v>5.8823529411764705E-2</v>
      </c>
      <c r="C179" s="2">
        <f>'vehicles specifications'!S45</f>
        <v>16</v>
      </c>
      <c r="D179">
        <f t="shared" si="5"/>
        <v>5.8823529411764705E-2</v>
      </c>
      <c r="E179">
        <v>1</v>
      </c>
      <c r="F179">
        <f>1+'vehicles specifications'!AD45</f>
        <v>1.25</v>
      </c>
      <c r="G179">
        <f>1+'vehicles specifications'!AD45</f>
        <v>1.25</v>
      </c>
      <c r="J179">
        <v>1</v>
      </c>
      <c r="K179">
        <f>1/('fuels and tailpipe emissions'!$C$3*3.6)</f>
        <v>2.3474178403755867E-2</v>
      </c>
      <c r="L179">
        <f>1/3.6</f>
        <v>0.2777777777777778</v>
      </c>
      <c r="M179">
        <f>1/'vehicles specifications'!J45</f>
        <v>5.0000000000000002E-5</v>
      </c>
      <c r="N179">
        <v>1</v>
      </c>
      <c r="O179">
        <f>1</f>
        <v>1</v>
      </c>
      <c r="P179">
        <f t="shared" si="7"/>
        <v>-4.1666666666666664E-2</v>
      </c>
      <c r="Q179">
        <f t="shared" si="7"/>
        <v>-4.1666666666666664E-2</v>
      </c>
      <c r="R179">
        <f>-1-'vehicles specifications'!AD45</f>
        <v>-1.25</v>
      </c>
      <c r="S179">
        <v>1</v>
      </c>
      <c r="T179">
        <v>1</v>
      </c>
      <c r="U179">
        <v>1</v>
      </c>
      <c r="V179">
        <v>1</v>
      </c>
      <c r="W179">
        <v>1</v>
      </c>
      <c r="X179">
        <v>1</v>
      </c>
      <c r="Y179">
        <v>1</v>
      </c>
      <c r="Z179">
        <v>1</v>
      </c>
      <c r="AA179">
        <v>1</v>
      </c>
      <c r="AB179">
        <v>1</v>
      </c>
      <c r="AC179">
        <v>1</v>
      </c>
      <c r="AD179">
        <v>1</v>
      </c>
      <c r="AE179">
        <v>1</v>
      </c>
      <c r="AF179">
        <v>1</v>
      </c>
      <c r="AG179">
        <v>1</v>
      </c>
      <c r="AH179">
        <v>1</v>
      </c>
      <c r="AI179">
        <v>1</v>
      </c>
      <c r="AJ179">
        <v>1</v>
      </c>
      <c r="AK179">
        <v>1</v>
      </c>
      <c r="AL179">
        <v>1</v>
      </c>
      <c r="AM179">
        <v>1</v>
      </c>
      <c r="AN179">
        <v>1</v>
      </c>
      <c r="AO179">
        <v>1</v>
      </c>
      <c r="AP179">
        <v>1</v>
      </c>
      <c r="AQ179">
        <v>1</v>
      </c>
      <c r="AR179">
        <v>1</v>
      </c>
      <c r="AS179">
        <v>1</v>
      </c>
      <c r="AT179">
        <v>1</v>
      </c>
      <c r="AU179">
        <v>1</v>
      </c>
      <c r="AV179">
        <v>1</v>
      </c>
      <c r="AW179">
        <v>1</v>
      </c>
      <c r="AX179">
        <v>1</v>
      </c>
      <c r="AY179">
        <v>1</v>
      </c>
      <c r="AZ179">
        <v>1</v>
      </c>
      <c r="BA179">
        <v>1</v>
      </c>
      <c r="BB179">
        <v>1</v>
      </c>
      <c r="BC179">
        <v>1</v>
      </c>
      <c r="BD179">
        <v>1</v>
      </c>
      <c r="BE179">
        <v>1</v>
      </c>
      <c r="BF179">
        <v>1</v>
      </c>
      <c r="BG179">
        <v>1</v>
      </c>
      <c r="BH179">
        <v>1</v>
      </c>
      <c r="BI179">
        <v>1</v>
      </c>
      <c r="BJ179">
        <f>-1/'vehicles specifications'!$M45</f>
        <v>-1</v>
      </c>
      <c r="BK179">
        <f>-1/'vehicles specifications'!$M45</f>
        <v>-1</v>
      </c>
      <c r="BL179">
        <f>-1/'vehicles specifications'!$M45</f>
        <v>-1</v>
      </c>
    </row>
    <row r="180" spans="1:64" x14ac:dyDescent="0.2">
      <c r="A180" t="s">
        <v>437</v>
      </c>
      <c r="B180">
        <f t="shared" si="5"/>
        <v>5.8823529411764705E-2</v>
      </c>
      <c r="C180" s="2">
        <f>'vehicles specifications'!S46</f>
        <v>16</v>
      </c>
      <c r="D180">
        <f t="shared" si="5"/>
        <v>5.8823529411764705E-2</v>
      </c>
      <c r="E180">
        <v>1</v>
      </c>
      <c r="F180">
        <f>1+'vehicles specifications'!AD46</f>
        <v>1</v>
      </c>
      <c r="G180">
        <f>1+'vehicles specifications'!AD46</f>
        <v>1</v>
      </c>
      <c r="J180">
        <v>1</v>
      </c>
      <c r="K180">
        <f>1/('fuels and tailpipe emissions'!$C$3*3.6)</f>
        <v>2.3474178403755867E-2</v>
      </c>
      <c r="L180">
        <f>1/3.6</f>
        <v>0.2777777777777778</v>
      </c>
      <c r="M180">
        <f>1/'vehicles specifications'!J46</f>
        <v>5.0000000000000002E-5</v>
      </c>
      <c r="N180">
        <v>1</v>
      </c>
      <c r="O180">
        <f>1</f>
        <v>1</v>
      </c>
      <c r="P180">
        <f t="shared" si="7"/>
        <v>-4.1666666666666664E-2</v>
      </c>
      <c r="Q180">
        <f t="shared" si="7"/>
        <v>-4.1666666666666664E-2</v>
      </c>
      <c r="R180">
        <f>-1-'vehicles specifications'!AD46</f>
        <v>-1</v>
      </c>
      <c r="S180">
        <v>1</v>
      </c>
      <c r="T180">
        <v>1</v>
      </c>
      <c r="U180">
        <v>1</v>
      </c>
      <c r="V180">
        <v>1</v>
      </c>
      <c r="W180">
        <v>1</v>
      </c>
      <c r="X180">
        <v>1</v>
      </c>
      <c r="Y180">
        <v>1</v>
      </c>
      <c r="Z180">
        <v>1</v>
      </c>
      <c r="AA180">
        <v>1</v>
      </c>
      <c r="AB180">
        <v>1</v>
      </c>
      <c r="AC180">
        <v>1</v>
      </c>
      <c r="AD180">
        <v>1</v>
      </c>
      <c r="AE180">
        <v>1</v>
      </c>
      <c r="AF180">
        <v>1</v>
      </c>
      <c r="AG180">
        <v>1</v>
      </c>
      <c r="AH180">
        <v>1</v>
      </c>
      <c r="AI180">
        <v>1</v>
      </c>
      <c r="AJ180">
        <v>1</v>
      </c>
      <c r="AK180">
        <v>1</v>
      </c>
      <c r="AL180">
        <v>1</v>
      </c>
      <c r="AM180">
        <v>1</v>
      </c>
      <c r="AN180">
        <v>1</v>
      </c>
      <c r="AO180">
        <v>1</v>
      </c>
      <c r="AP180">
        <v>1</v>
      </c>
      <c r="AQ180">
        <v>1</v>
      </c>
      <c r="AR180">
        <v>1</v>
      </c>
      <c r="AS180">
        <v>1</v>
      </c>
      <c r="AT180">
        <v>1</v>
      </c>
      <c r="AU180">
        <v>1</v>
      </c>
      <c r="AV180">
        <v>1</v>
      </c>
      <c r="AW180">
        <v>1</v>
      </c>
      <c r="AX180">
        <v>1</v>
      </c>
      <c r="AY180">
        <v>1</v>
      </c>
      <c r="AZ180">
        <v>1</v>
      </c>
      <c r="BA180">
        <v>1</v>
      </c>
      <c r="BB180">
        <v>1</v>
      </c>
      <c r="BC180">
        <v>1</v>
      </c>
      <c r="BD180">
        <v>1</v>
      </c>
      <c r="BE180">
        <v>1</v>
      </c>
      <c r="BF180">
        <v>1</v>
      </c>
      <c r="BG180">
        <v>1</v>
      </c>
      <c r="BH180">
        <v>1</v>
      </c>
      <c r="BI180">
        <v>1</v>
      </c>
      <c r="BJ180">
        <f>-1/'vehicles specifications'!$M46</f>
        <v>-1</v>
      </c>
      <c r="BK180">
        <f>-1/'vehicles specifications'!$M46</f>
        <v>-1</v>
      </c>
      <c r="BL180">
        <f>-1/'vehicles specifications'!$M46</f>
        <v>-1</v>
      </c>
    </row>
    <row r="181" spans="1:64" x14ac:dyDescent="0.2">
      <c r="A181" t="s">
        <v>438</v>
      </c>
      <c r="B181">
        <f t="shared" si="5"/>
        <v>5.8823529411764705E-2</v>
      </c>
      <c r="C181" s="2">
        <f>'vehicles specifications'!S47</f>
        <v>19</v>
      </c>
      <c r="D181">
        <f t="shared" si="5"/>
        <v>5.8823529411764705E-2</v>
      </c>
      <c r="E181">
        <v>1</v>
      </c>
      <c r="F181">
        <f>1+'vehicles specifications'!AD47</f>
        <v>2</v>
      </c>
      <c r="G181">
        <f>1+'vehicles specifications'!AD47</f>
        <v>2</v>
      </c>
      <c r="J181">
        <v>1</v>
      </c>
      <c r="K181">
        <f>1/('fuels and tailpipe emissions'!$C$3*3.6)</f>
        <v>2.3474178403755867E-2</v>
      </c>
      <c r="L181">
        <f>1/3.6</f>
        <v>0.2777777777777778</v>
      </c>
      <c r="M181">
        <f>1/'vehicles specifications'!J47</f>
        <v>3.3333333333333335E-5</v>
      </c>
      <c r="N181">
        <v>1</v>
      </c>
      <c r="O181">
        <f>1</f>
        <v>1</v>
      </c>
      <c r="P181">
        <f t="shared" si="7"/>
        <v>-4.1666666666666664E-2</v>
      </c>
      <c r="Q181">
        <f t="shared" si="7"/>
        <v>-4.1666666666666664E-2</v>
      </c>
      <c r="R181">
        <f>-1-'vehicles specifications'!AD47</f>
        <v>-2</v>
      </c>
      <c r="S181">
        <v>1</v>
      </c>
      <c r="T181">
        <v>1</v>
      </c>
      <c r="U181">
        <v>1</v>
      </c>
      <c r="V181">
        <v>1</v>
      </c>
      <c r="W181">
        <v>1</v>
      </c>
      <c r="X181">
        <v>1</v>
      </c>
      <c r="Y181">
        <v>1</v>
      </c>
      <c r="Z181">
        <v>1</v>
      </c>
      <c r="AA181">
        <v>1</v>
      </c>
      <c r="AB181">
        <v>1</v>
      </c>
      <c r="AC181">
        <v>1</v>
      </c>
      <c r="AD181">
        <v>1</v>
      </c>
      <c r="AE181">
        <v>1</v>
      </c>
      <c r="AF181">
        <v>1</v>
      </c>
      <c r="AG181">
        <v>1</v>
      </c>
      <c r="AH181">
        <v>1</v>
      </c>
      <c r="AI181">
        <v>1</v>
      </c>
      <c r="AJ181">
        <v>1</v>
      </c>
      <c r="AK181">
        <v>1</v>
      </c>
      <c r="AL181">
        <v>1</v>
      </c>
      <c r="AM181">
        <v>1</v>
      </c>
      <c r="AN181">
        <v>1</v>
      </c>
      <c r="AO181">
        <v>1</v>
      </c>
      <c r="AP181">
        <v>1</v>
      </c>
      <c r="AQ181">
        <v>1</v>
      </c>
      <c r="AR181">
        <v>1</v>
      </c>
      <c r="AS181">
        <v>1</v>
      </c>
      <c r="AT181">
        <v>1</v>
      </c>
      <c r="AU181">
        <v>1</v>
      </c>
      <c r="AV181">
        <v>1</v>
      </c>
      <c r="AW181">
        <v>1</v>
      </c>
      <c r="AX181">
        <v>1</v>
      </c>
      <c r="AY181">
        <v>1</v>
      </c>
      <c r="AZ181">
        <v>1</v>
      </c>
      <c r="BA181">
        <v>1</v>
      </c>
      <c r="BB181">
        <v>1</v>
      </c>
      <c r="BC181">
        <v>1</v>
      </c>
      <c r="BD181">
        <v>1</v>
      </c>
      <c r="BE181">
        <v>1</v>
      </c>
      <c r="BF181">
        <v>1</v>
      </c>
      <c r="BG181">
        <v>1</v>
      </c>
      <c r="BH181">
        <v>1</v>
      </c>
      <c r="BI181">
        <v>1</v>
      </c>
      <c r="BJ181">
        <f>-1/'vehicles specifications'!$M47</f>
        <v>-1</v>
      </c>
      <c r="BK181">
        <f>-1/'vehicles specifications'!$M47</f>
        <v>-1</v>
      </c>
      <c r="BL181">
        <f>-1/'vehicles specifications'!$M47</f>
        <v>-1</v>
      </c>
    </row>
    <row r="182" spans="1:64" x14ac:dyDescent="0.2">
      <c r="A182" t="s">
        <v>439</v>
      </c>
      <c r="B182">
        <f t="shared" ref="B182:D188" si="8">1/17</f>
        <v>5.8823529411764705E-2</v>
      </c>
      <c r="C182" s="2">
        <f>'vehicles specifications'!S48</f>
        <v>19</v>
      </c>
      <c r="D182">
        <f t="shared" si="8"/>
        <v>5.8823529411764705E-2</v>
      </c>
      <c r="E182">
        <v>1</v>
      </c>
      <c r="F182">
        <f>1+'vehicles specifications'!AD48</f>
        <v>1.5</v>
      </c>
      <c r="G182">
        <f>1+'vehicles specifications'!AD48</f>
        <v>1.5</v>
      </c>
      <c r="J182">
        <v>1</v>
      </c>
      <c r="K182">
        <f>1/('fuels and tailpipe emissions'!$C$3*3.6)</f>
        <v>2.3474178403755867E-2</v>
      </c>
      <c r="L182">
        <f>1/3.6</f>
        <v>0.2777777777777778</v>
      </c>
      <c r="M182">
        <f>1/'vehicles specifications'!J48</f>
        <v>3.3333333333333335E-5</v>
      </c>
      <c r="N182">
        <v>1</v>
      </c>
      <c r="O182">
        <f>1</f>
        <v>1</v>
      </c>
      <c r="P182">
        <f t="shared" si="7"/>
        <v>-4.1666666666666664E-2</v>
      </c>
      <c r="Q182">
        <f t="shared" si="7"/>
        <v>-4.1666666666666664E-2</v>
      </c>
      <c r="R182">
        <f>-1-'vehicles specifications'!AD48</f>
        <v>-1.5</v>
      </c>
      <c r="S182">
        <v>1</v>
      </c>
      <c r="T182">
        <v>1</v>
      </c>
      <c r="U182">
        <v>1</v>
      </c>
      <c r="V182">
        <v>1</v>
      </c>
      <c r="W182">
        <v>1</v>
      </c>
      <c r="X182">
        <v>1</v>
      </c>
      <c r="Y182">
        <v>1</v>
      </c>
      <c r="Z182">
        <v>1</v>
      </c>
      <c r="AA182">
        <v>1</v>
      </c>
      <c r="AB182">
        <v>1</v>
      </c>
      <c r="AC182">
        <v>1</v>
      </c>
      <c r="AD182">
        <v>1</v>
      </c>
      <c r="AE182">
        <v>1</v>
      </c>
      <c r="AF182">
        <v>1</v>
      </c>
      <c r="AG182">
        <v>1</v>
      </c>
      <c r="AH182">
        <v>1</v>
      </c>
      <c r="AI182">
        <v>1</v>
      </c>
      <c r="AJ182">
        <v>1</v>
      </c>
      <c r="AK182">
        <v>1</v>
      </c>
      <c r="AL182">
        <v>1</v>
      </c>
      <c r="AM182">
        <v>1</v>
      </c>
      <c r="AN182">
        <v>1</v>
      </c>
      <c r="AO182">
        <v>1</v>
      </c>
      <c r="AP182">
        <v>1</v>
      </c>
      <c r="AQ182">
        <v>1</v>
      </c>
      <c r="AR182">
        <v>1</v>
      </c>
      <c r="AS182">
        <v>1</v>
      </c>
      <c r="AT182">
        <v>1</v>
      </c>
      <c r="AU182">
        <v>1</v>
      </c>
      <c r="AV182">
        <v>1</v>
      </c>
      <c r="AW182">
        <v>1</v>
      </c>
      <c r="AX182">
        <v>1</v>
      </c>
      <c r="AY182">
        <v>1</v>
      </c>
      <c r="AZ182">
        <v>1</v>
      </c>
      <c r="BA182">
        <v>1</v>
      </c>
      <c r="BB182">
        <v>1</v>
      </c>
      <c r="BC182">
        <v>1</v>
      </c>
      <c r="BD182">
        <v>1</v>
      </c>
      <c r="BE182">
        <v>1</v>
      </c>
      <c r="BF182">
        <v>1</v>
      </c>
      <c r="BG182">
        <v>1</v>
      </c>
      <c r="BH182">
        <v>1</v>
      </c>
      <c r="BI182">
        <v>1</v>
      </c>
      <c r="BJ182">
        <f>-1/'vehicles specifications'!$M48</f>
        <v>-1</v>
      </c>
      <c r="BK182">
        <f>-1/'vehicles specifications'!$M48</f>
        <v>-1</v>
      </c>
      <c r="BL182">
        <f>-1/'vehicles specifications'!$M48</f>
        <v>-1</v>
      </c>
    </row>
    <row r="183" spans="1:64" x14ac:dyDescent="0.2">
      <c r="A183" t="s">
        <v>440</v>
      </c>
      <c r="B183">
        <f t="shared" si="8"/>
        <v>5.8823529411764705E-2</v>
      </c>
      <c r="C183" s="2">
        <f>'vehicles specifications'!S49</f>
        <v>19</v>
      </c>
      <c r="D183">
        <f t="shared" si="8"/>
        <v>5.8823529411764705E-2</v>
      </c>
      <c r="E183">
        <v>1</v>
      </c>
      <c r="F183">
        <f>1+'vehicles specifications'!AD49</f>
        <v>1.25</v>
      </c>
      <c r="G183">
        <f>1+'vehicles specifications'!AD49</f>
        <v>1.25</v>
      </c>
      <c r="J183">
        <v>1</v>
      </c>
      <c r="K183">
        <f>1/('fuels and tailpipe emissions'!$C$3*3.6)</f>
        <v>2.3474178403755867E-2</v>
      </c>
      <c r="L183">
        <f>1/3.6</f>
        <v>0.2777777777777778</v>
      </c>
      <c r="M183">
        <f>1/'vehicles specifications'!J49</f>
        <v>3.3333333333333335E-5</v>
      </c>
      <c r="N183">
        <v>1</v>
      </c>
      <c r="O183">
        <f>1</f>
        <v>1</v>
      </c>
      <c r="P183">
        <f t="shared" si="7"/>
        <v>-4.1666666666666664E-2</v>
      </c>
      <c r="Q183">
        <f t="shared" si="7"/>
        <v>-4.1666666666666664E-2</v>
      </c>
      <c r="R183">
        <f>-1-'vehicles specifications'!AD49</f>
        <v>-1.25</v>
      </c>
      <c r="S183">
        <v>1</v>
      </c>
      <c r="T183">
        <v>1</v>
      </c>
      <c r="U183">
        <v>1</v>
      </c>
      <c r="V183">
        <v>1</v>
      </c>
      <c r="W183">
        <v>1</v>
      </c>
      <c r="X183">
        <v>1</v>
      </c>
      <c r="Y183">
        <v>1</v>
      </c>
      <c r="Z183">
        <v>1</v>
      </c>
      <c r="AA183">
        <v>1</v>
      </c>
      <c r="AB183">
        <v>1</v>
      </c>
      <c r="AC183">
        <v>1</v>
      </c>
      <c r="AD183">
        <v>1</v>
      </c>
      <c r="AE183">
        <v>1</v>
      </c>
      <c r="AF183">
        <v>1</v>
      </c>
      <c r="AG183">
        <v>1</v>
      </c>
      <c r="AH183">
        <v>1</v>
      </c>
      <c r="AI183">
        <v>1</v>
      </c>
      <c r="AJ183">
        <v>1</v>
      </c>
      <c r="AK183">
        <v>1</v>
      </c>
      <c r="AL183">
        <v>1</v>
      </c>
      <c r="AM183">
        <v>1</v>
      </c>
      <c r="AN183">
        <v>1</v>
      </c>
      <c r="AO183">
        <v>1</v>
      </c>
      <c r="AP183">
        <v>1</v>
      </c>
      <c r="AQ183">
        <v>1</v>
      </c>
      <c r="AR183">
        <v>1</v>
      </c>
      <c r="AS183">
        <v>1</v>
      </c>
      <c r="AT183">
        <v>1</v>
      </c>
      <c r="AU183">
        <v>1</v>
      </c>
      <c r="AV183">
        <v>1</v>
      </c>
      <c r="AW183">
        <v>1</v>
      </c>
      <c r="AX183">
        <v>1</v>
      </c>
      <c r="AY183">
        <v>1</v>
      </c>
      <c r="AZ183">
        <v>1</v>
      </c>
      <c r="BA183">
        <v>1</v>
      </c>
      <c r="BB183">
        <v>1</v>
      </c>
      <c r="BC183">
        <v>1</v>
      </c>
      <c r="BD183">
        <v>1</v>
      </c>
      <c r="BE183">
        <v>1</v>
      </c>
      <c r="BF183">
        <v>1</v>
      </c>
      <c r="BG183">
        <v>1</v>
      </c>
      <c r="BH183">
        <v>1</v>
      </c>
      <c r="BI183">
        <v>1</v>
      </c>
      <c r="BJ183">
        <f>-1/'vehicles specifications'!$M49</f>
        <v>-1</v>
      </c>
      <c r="BK183">
        <f>-1/'vehicles specifications'!$M49</f>
        <v>-1</v>
      </c>
      <c r="BL183">
        <f>-1/'vehicles specifications'!$M49</f>
        <v>-1</v>
      </c>
    </row>
    <row r="184" spans="1:64" x14ac:dyDescent="0.2">
      <c r="A184" t="s">
        <v>441</v>
      </c>
      <c r="B184">
        <f t="shared" si="8"/>
        <v>5.8823529411764705E-2</v>
      </c>
      <c r="C184" s="2">
        <f>'vehicles specifications'!S50</f>
        <v>19</v>
      </c>
      <c r="D184">
        <f t="shared" si="8"/>
        <v>5.8823529411764705E-2</v>
      </c>
      <c r="E184">
        <v>1</v>
      </c>
      <c r="F184">
        <f>1+'vehicles specifications'!AD50</f>
        <v>1</v>
      </c>
      <c r="G184">
        <f>1+'vehicles specifications'!AD50</f>
        <v>1</v>
      </c>
      <c r="J184">
        <v>1</v>
      </c>
      <c r="K184">
        <f>1/('fuels and tailpipe emissions'!$C$3*3.6)</f>
        <v>2.3474178403755867E-2</v>
      </c>
      <c r="L184">
        <f>1/3.6</f>
        <v>0.2777777777777778</v>
      </c>
      <c r="M184">
        <f>1/'vehicles specifications'!J50</f>
        <v>3.3333333333333335E-5</v>
      </c>
      <c r="N184">
        <v>1</v>
      </c>
      <c r="O184">
        <f>1</f>
        <v>1</v>
      </c>
      <c r="P184">
        <f t="shared" si="7"/>
        <v>-4.1666666666666664E-2</v>
      </c>
      <c r="Q184">
        <f t="shared" si="7"/>
        <v>-4.1666666666666664E-2</v>
      </c>
      <c r="R184">
        <f>-1-'vehicles specifications'!AD50</f>
        <v>-1</v>
      </c>
      <c r="S184">
        <v>1</v>
      </c>
      <c r="T184">
        <v>1</v>
      </c>
      <c r="U184">
        <v>1</v>
      </c>
      <c r="V184">
        <v>1</v>
      </c>
      <c r="W184">
        <v>1</v>
      </c>
      <c r="X184">
        <v>1</v>
      </c>
      <c r="Y184">
        <v>1</v>
      </c>
      <c r="Z184">
        <v>1</v>
      </c>
      <c r="AA184">
        <v>1</v>
      </c>
      <c r="AB184">
        <v>1</v>
      </c>
      <c r="AC184">
        <v>1</v>
      </c>
      <c r="AD184">
        <v>1</v>
      </c>
      <c r="AE184">
        <v>1</v>
      </c>
      <c r="AF184">
        <v>1</v>
      </c>
      <c r="AG184">
        <v>1</v>
      </c>
      <c r="AH184">
        <v>1</v>
      </c>
      <c r="AI184">
        <v>1</v>
      </c>
      <c r="AJ184">
        <v>1</v>
      </c>
      <c r="AK184">
        <v>1</v>
      </c>
      <c r="AL184">
        <v>1</v>
      </c>
      <c r="AM184">
        <v>1</v>
      </c>
      <c r="AN184">
        <v>1</v>
      </c>
      <c r="AO184">
        <v>1</v>
      </c>
      <c r="AP184">
        <v>1</v>
      </c>
      <c r="AQ184">
        <v>1</v>
      </c>
      <c r="AR184">
        <v>1</v>
      </c>
      <c r="AS184">
        <v>1</v>
      </c>
      <c r="AT184">
        <v>1</v>
      </c>
      <c r="AU184">
        <v>1</v>
      </c>
      <c r="AV184">
        <v>1</v>
      </c>
      <c r="AW184">
        <v>1</v>
      </c>
      <c r="AX184">
        <v>1</v>
      </c>
      <c r="AY184">
        <v>1</v>
      </c>
      <c r="AZ184">
        <v>1</v>
      </c>
      <c r="BA184">
        <v>1</v>
      </c>
      <c r="BB184">
        <v>1</v>
      </c>
      <c r="BC184">
        <v>1</v>
      </c>
      <c r="BD184">
        <v>1</v>
      </c>
      <c r="BE184">
        <v>1</v>
      </c>
      <c r="BF184">
        <v>1</v>
      </c>
      <c r="BG184">
        <v>1</v>
      </c>
      <c r="BH184">
        <v>1</v>
      </c>
      <c r="BI184">
        <v>1</v>
      </c>
      <c r="BJ184">
        <f>-1/'vehicles specifications'!$M50</f>
        <v>-1</v>
      </c>
      <c r="BK184">
        <f>-1/'vehicles specifications'!$M50</f>
        <v>-1</v>
      </c>
      <c r="BL184">
        <f>-1/'vehicles specifications'!$M50</f>
        <v>-1</v>
      </c>
    </row>
    <row r="185" spans="1:64" x14ac:dyDescent="0.2">
      <c r="A185" t="s">
        <v>802</v>
      </c>
      <c r="B185">
        <f t="shared" si="8"/>
        <v>5.8823529411764705E-2</v>
      </c>
      <c r="C185" s="2">
        <f>'vehicles specifications'!S51</f>
        <v>38</v>
      </c>
      <c r="D185">
        <f t="shared" si="8"/>
        <v>5.8823529411764705E-2</v>
      </c>
      <c r="E185">
        <v>1</v>
      </c>
      <c r="F185">
        <f>1+'vehicles specifications'!AD51</f>
        <v>2</v>
      </c>
      <c r="G185">
        <f>1+'vehicles specifications'!AD51</f>
        <v>2</v>
      </c>
      <c r="J185">
        <v>1</v>
      </c>
      <c r="K185">
        <f>1/('fuels and tailpipe emissions'!$C$3*3.6)</f>
        <v>2.3474178403755867E-2</v>
      </c>
      <c r="L185">
        <f>1/3.6</f>
        <v>0.2777777777777778</v>
      </c>
      <c r="M185">
        <f>1/'vehicles specifications'!J51</f>
        <v>5.0000000000000002E-5</v>
      </c>
      <c r="N185">
        <v>1</v>
      </c>
      <c r="O185">
        <f>1</f>
        <v>1</v>
      </c>
      <c r="P185">
        <f t="shared" si="7"/>
        <v>-4.1666666666666664E-2</v>
      </c>
      <c r="Q185">
        <f t="shared" si="7"/>
        <v>-4.1666666666666664E-2</v>
      </c>
      <c r="R185">
        <f>-1-'vehicles specifications'!AD51</f>
        <v>-2</v>
      </c>
      <c r="S185">
        <v>1</v>
      </c>
      <c r="T185">
        <v>1</v>
      </c>
      <c r="U185">
        <v>1</v>
      </c>
      <c r="V185">
        <v>1</v>
      </c>
      <c r="W185">
        <v>1</v>
      </c>
      <c r="X185">
        <v>1</v>
      </c>
      <c r="Y185">
        <v>1</v>
      </c>
      <c r="Z185">
        <v>1</v>
      </c>
      <c r="AA185">
        <v>1</v>
      </c>
      <c r="AB185">
        <v>1</v>
      </c>
      <c r="AC185">
        <v>1</v>
      </c>
      <c r="AD185">
        <v>1</v>
      </c>
      <c r="AE185">
        <v>1</v>
      </c>
      <c r="AF185">
        <v>1</v>
      </c>
      <c r="AG185">
        <v>1</v>
      </c>
      <c r="AH185">
        <v>1</v>
      </c>
      <c r="AI185">
        <v>1</v>
      </c>
      <c r="AJ185">
        <v>1</v>
      </c>
      <c r="AK185">
        <v>1</v>
      </c>
      <c r="AL185">
        <v>1</v>
      </c>
      <c r="AM185">
        <v>1</v>
      </c>
      <c r="AN185">
        <v>1</v>
      </c>
      <c r="AO185">
        <v>1</v>
      </c>
      <c r="AP185">
        <v>1</v>
      </c>
      <c r="AQ185">
        <v>1</v>
      </c>
      <c r="AR185">
        <v>1</v>
      </c>
      <c r="AS185">
        <v>1</v>
      </c>
      <c r="AT185">
        <v>1</v>
      </c>
      <c r="AU185">
        <v>1</v>
      </c>
      <c r="AV185">
        <v>1</v>
      </c>
      <c r="AW185">
        <v>1</v>
      </c>
      <c r="AX185">
        <v>1</v>
      </c>
      <c r="AY185">
        <v>1</v>
      </c>
      <c r="AZ185">
        <v>1</v>
      </c>
      <c r="BA185">
        <v>1</v>
      </c>
      <c r="BB185">
        <v>1</v>
      </c>
      <c r="BC185">
        <v>1</v>
      </c>
      <c r="BD185">
        <v>1</v>
      </c>
      <c r="BE185">
        <v>1</v>
      </c>
      <c r="BF185">
        <v>1</v>
      </c>
      <c r="BG185">
        <v>1</v>
      </c>
      <c r="BH185">
        <v>1</v>
      </c>
      <c r="BI185">
        <v>1</v>
      </c>
      <c r="BJ185">
        <f>-1/'vehicles specifications'!$M51</f>
        <v>-1</v>
      </c>
      <c r="BK185">
        <f>-1/'vehicles specifications'!$M51</f>
        <v>-1</v>
      </c>
      <c r="BL185">
        <f>-1/'vehicles specifications'!$M51</f>
        <v>-1</v>
      </c>
    </row>
    <row r="186" spans="1:64" x14ac:dyDescent="0.2">
      <c r="A186" t="s">
        <v>803</v>
      </c>
      <c r="B186">
        <f t="shared" si="8"/>
        <v>5.8823529411764705E-2</v>
      </c>
      <c r="C186" s="2">
        <f>'vehicles specifications'!S52</f>
        <v>38</v>
      </c>
      <c r="D186">
        <f t="shared" si="8"/>
        <v>5.8823529411764705E-2</v>
      </c>
      <c r="E186">
        <v>1</v>
      </c>
      <c r="F186">
        <f>1+'vehicles specifications'!AD52</f>
        <v>1.5</v>
      </c>
      <c r="G186">
        <f>1+'vehicles specifications'!AD52</f>
        <v>1.5</v>
      </c>
      <c r="J186">
        <v>1</v>
      </c>
      <c r="K186">
        <f>1/('fuels and tailpipe emissions'!$C$3*3.6)</f>
        <v>2.3474178403755867E-2</v>
      </c>
      <c r="L186">
        <f>1/3.6</f>
        <v>0.2777777777777778</v>
      </c>
      <c r="M186">
        <f>1/'vehicles specifications'!J52</f>
        <v>5.0000000000000002E-5</v>
      </c>
      <c r="N186">
        <v>1</v>
      </c>
      <c r="O186">
        <f>1</f>
        <v>1</v>
      </c>
      <c r="P186">
        <f t="shared" si="7"/>
        <v>-4.1666666666666664E-2</v>
      </c>
      <c r="Q186">
        <f t="shared" si="7"/>
        <v>-4.1666666666666664E-2</v>
      </c>
      <c r="R186">
        <f>-1-'vehicles specifications'!AD52</f>
        <v>-1.5</v>
      </c>
      <c r="S186">
        <v>1</v>
      </c>
      <c r="T186">
        <v>1</v>
      </c>
      <c r="U186">
        <v>1</v>
      </c>
      <c r="V186">
        <v>1</v>
      </c>
      <c r="W186">
        <v>1</v>
      </c>
      <c r="X186">
        <v>1</v>
      </c>
      <c r="Y186">
        <v>1</v>
      </c>
      <c r="Z186">
        <v>1</v>
      </c>
      <c r="AA186">
        <v>1</v>
      </c>
      <c r="AB186">
        <v>1</v>
      </c>
      <c r="AC186">
        <v>1</v>
      </c>
      <c r="AD186">
        <v>1</v>
      </c>
      <c r="AE186">
        <v>1</v>
      </c>
      <c r="AF186">
        <v>1</v>
      </c>
      <c r="AG186">
        <v>1</v>
      </c>
      <c r="AH186">
        <v>1</v>
      </c>
      <c r="AI186">
        <v>1</v>
      </c>
      <c r="AJ186">
        <v>1</v>
      </c>
      <c r="AK186">
        <v>1</v>
      </c>
      <c r="AL186">
        <v>1</v>
      </c>
      <c r="AM186">
        <v>1</v>
      </c>
      <c r="AN186">
        <v>1</v>
      </c>
      <c r="AO186">
        <v>1</v>
      </c>
      <c r="AP186">
        <v>1</v>
      </c>
      <c r="AQ186">
        <v>1</v>
      </c>
      <c r="AR186">
        <v>1</v>
      </c>
      <c r="AS186">
        <v>1</v>
      </c>
      <c r="AT186">
        <v>1</v>
      </c>
      <c r="AU186">
        <v>1</v>
      </c>
      <c r="AV186">
        <v>1</v>
      </c>
      <c r="AW186">
        <v>1</v>
      </c>
      <c r="AX186">
        <v>1</v>
      </c>
      <c r="AY186">
        <v>1</v>
      </c>
      <c r="AZ186">
        <v>1</v>
      </c>
      <c r="BA186">
        <v>1</v>
      </c>
      <c r="BB186">
        <v>1</v>
      </c>
      <c r="BC186">
        <v>1</v>
      </c>
      <c r="BD186">
        <v>1</v>
      </c>
      <c r="BE186">
        <v>1</v>
      </c>
      <c r="BF186">
        <v>1</v>
      </c>
      <c r="BG186">
        <v>1</v>
      </c>
      <c r="BH186">
        <v>1</v>
      </c>
      <c r="BI186">
        <v>1</v>
      </c>
      <c r="BJ186">
        <f>-1/'vehicles specifications'!$M52</f>
        <v>-1</v>
      </c>
      <c r="BK186">
        <f>-1/'vehicles specifications'!$M52</f>
        <v>-1</v>
      </c>
      <c r="BL186">
        <f>-1/'vehicles specifications'!$M52</f>
        <v>-1</v>
      </c>
    </row>
    <row r="187" spans="1:64" x14ac:dyDescent="0.2">
      <c r="A187" t="s">
        <v>804</v>
      </c>
      <c r="B187">
        <f t="shared" si="8"/>
        <v>5.8823529411764705E-2</v>
      </c>
      <c r="C187" s="2">
        <f>'vehicles specifications'!S53</f>
        <v>38</v>
      </c>
      <c r="D187">
        <f t="shared" si="8"/>
        <v>5.8823529411764705E-2</v>
      </c>
      <c r="E187">
        <v>1</v>
      </c>
      <c r="F187">
        <f>1+'vehicles specifications'!AD53</f>
        <v>1.25</v>
      </c>
      <c r="G187">
        <f>1+'vehicles specifications'!AD53</f>
        <v>1.25</v>
      </c>
      <c r="J187">
        <v>1</v>
      </c>
      <c r="K187">
        <f>1/('fuels and tailpipe emissions'!$C$3*3.6)</f>
        <v>2.3474178403755867E-2</v>
      </c>
      <c r="L187">
        <f>1/3.6</f>
        <v>0.2777777777777778</v>
      </c>
      <c r="M187">
        <f>1/'vehicles specifications'!J53</f>
        <v>5.0000000000000002E-5</v>
      </c>
      <c r="N187">
        <v>1</v>
      </c>
      <c r="O187">
        <f>1</f>
        <v>1</v>
      </c>
      <c r="P187">
        <f t="shared" si="7"/>
        <v>-4.1666666666666664E-2</v>
      </c>
      <c r="Q187">
        <f t="shared" si="7"/>
        <v>-4.1666666666666664E-2</v>
      </c>
      <c r="R187">
        <f>-1-'vehicles specifications'!AD53</f>
        <v>-1.25</v>
      </c>
      <c r="S187">
        <v>1</v>
      </c>
      <c r="T187">
        <v>1</v>
      </c>
      <c r="U187">
        <v>1</v>
      </c>
      <c r="V187">
        <v>1</v>
      </c>
      <c r="W187">
        <v>1</v>
      </c>
      <c r="X187">
        <v>1</v>
      </c>
      <c r="Y187">
        <v>1</v>
      </c>
      <c r="Z187">
        <v>1</v>
      </c>
      <c r="AA187">
        <v>1</v>
      </c>
      <c r="AB187">
        <v>1</v>
      </c>
      <c r="AC187">
        <v>1</v>
      </c>
      <c r="AD187">
        <v>1</v>
      </c>
      <c r="AE187">
        <v>1</v>
      </c>
      <c r="AF187">
        <v>1</v>
      </c>
      <c r="AG187">
        <v>1</v>
      </c>
      <c r="AH187">
        <v>1</v>
      </c>
      <c r="AI187">
        <v>1</v>
      </c>
      <c r="AJ187">
        <v>1</v>
      </c>
      <c r="AK187">
        <v>1</v>
      </c>
      <c r="AL187">
        <v>1</v>
      </c>
      <c r="AM187">
        <v>1</v>
      </c>
      <c r="AN187">
        <v>1</v>
      </c>
      <c r="AO187">
        <v>1</v>
      </c>
      <c r="AP187">
        <v>1</v>
      </c>
      <c r="AQ187">
        <v>1</v>
      </c>
      <c r="AR187">
        <v>1</v>
      </c>
      <c r="AS187">
        <v>1</v>
      </c>
      <c r="AT187">
        <v>1</v>
      </c>
      <c r="AU187">
        <v>1</v>
      </c>
      <c r="AV187">
        <v>1</v>
      </c>
      <c r="AW187">
        <v>1</v>
      </c>
      <c r="AX187">
        <v>1</v>
      </c>
      <c r="AY187">
        <v>1</v>
      </c>
      <c r="AZ187">
        <v>1</v>
      </c>
      <c r="BA187">
        <v>1</v>
      </c>
      <c r="BB187">
        <v>1</v>
      </c>
      <c r="BC187">
        <v>1</v>
      </c>
      <c r="BD187">
        <v>1</v>
      </c>
      <c r="BE187">
        <v>1</v>
      </c>
      <c r="BF187">
        <v>1</v>
      </c>
      <c r="BG187">
        <v>1</v>
      </c>
      <c r="BH187">
        <v>1</v>
      </c>
      <c r="BI187">
        <v>1</v>
      </c>
      <c r="BJ187">
        <f>-1/'vehicles specifications'!$M53</f>
        <v>-1</v>
      </c>
      <c r="BK187">
        <f>-1/'vehicles specifications'!$M53</f>
        <v>-1</v>
      </c>
      <c r="BL187">
        <f>-1/'vehicles specifications'!$M53</f>
        <v>-1</v>
      </c>
    </row>
    <row r="188" spans="1:64" x14ac:dyDescent="0.2">
      <c r="A188" t="s">
        <v>805</v>
      </c>
      <c r="B188">
        <f t="shared" si="8"/>
        <v>5.8823529411764705E-2</v>
      </c>
      <c r="C188" s="2">
        <f>'vehicles specifications'!S54</f>
        <v>38</v>
      </c>
      <c r="D188">
        <f t="shared" si="8"/>
        <v>5.8823529411764705E-2</v>
      </c>
      <c r="E188">
        <v>1</v>
      </c>
      <c r="F188">
        <f>1+'vehicles specifications'!AD54</f>
        <v>1</v>
      </c>
      <c r="G188">
        <f>1+'vehicles specifications'!AD54</f>
        <v>1</v>
      </c>
      <c r="J188">
        <v>1</v>
      </c>
      <c r="K188">
        <f>1/('fuels and tailpipe emissions'!$C$3*3.6)</f>
        <v>2.3474178403755867E-2</v>
      </c>
      <c r="L188">
        <f>1/3.6</f>
        <v>0.2777777777777778</v>
      </c>
      <c r="M188">
        <f>1/'vehicles specifications'!J54</f>
        <v>5.0000000000000002E-5</v>
      </c>
      <c r="N188">
        <v>1</v>
      </c>
      <c r="O188">
        <f>1</f>
        <v>1</v>
      </c>
      <c r="P188">
        <f t="shared" si="7"/>
        <v>-4.1666666666666664E-2</v>
      </c>
      <c r="Q188">
        <f t="shared" si="7"/>
        <v>-4.1666666666666664E-2</v>
      </c>
      <c r="R188">
        <f>-1-'vehicles specifications'!AD54</f>
        <v>-1</v>
      </c>
      <c r="S188">
        <v>1</v>
      </c>
      <c r="T188">
        <v>1</v>
      </c>
      <c r="U188">
        <v>1</v>
      </c>
      <c r="V188">
        <v>1</v>
      </c>
      <c r="W188">
        <v>1</v>
      </c>
      <c r="X188">
        <v>1</v>
      </c>
      <c r="Y188">
        <v>1</v>
      </c>
      <c r="Z188">
        <v>1</v>
      </c>
      <c r="AA188">
        <v>1</v>
      </c>
      <c r="AB188">
        <v>1</v>
      </c>
      <c r="AC188">
        <v>1</v>
      </c>
      <c r="AD188">
        <v>1</v>
      </c>
      <c r="AE188">
        <v>1</v>
      </c>
      <c r="AF188">
        <v>1</v>
      </c>
      <c r="AG188">
        <v>1</v>
      </c>
      <c r="AH188">
        <v>1</v>
      </c>
      <c r="AI188">
        <v>1</v>
      </c>
      <c r="AJ188">
        <v>1</v>
      </c>
      <c r="AK188">
        <v>1</v>
      </c>
      <c r="AL188">
        <v>1</v>
      </c>
      <c r="AM188">
        <v>1</v>
      </c>
      <c r="AN188">
        <v>1</v>
      </c>
      <c r="AO188">
        <v>1</v>
      </c>
      <c r="AP188">
        <v>1</v>
      </c>
      <c r="AQ188">
        <v>1</v>
      </c>
      <c r="AR188">
        <v>1</v>
      </c>
      <c r="AS188">
        <v>1</v>
      </c>
      <c r="AT188">
        <v>1</v>
      </c>
      <c r="AU188">
        <v>1</v>
      </c>
      <c r="AV188">
        <v>1</v>
      </c>
      <c r="AW188">
        <v>1</v>
      </c>
      <c r="AX188">
        <v>1</v>
      </c>
      <c r="AY188">
        <v>1</v>
      </c>
      <c r="AZ188">
        <v>1</v>
      </c>
      <c r="BA188">
        <v>1</v>
      </c>
      <c r="BB188">
        <v>1</v>
      </c>
      <c r="BC188">
        <v>1</v>
      </c>
      <c r="BD188">
        <v>1</v>
      </c>
      <c r="BE188">
        <v>1</v>
      </c>
      <c r="BF188">
        <v>1</v>
      </c>
      <c r="BG188">
        <v>1</v>
      </c>
      <c r="BH188">
        <v>1</v>
      </c>
      <c r="BI188">
        <v>1</v>
      </c>
      <c r="BJ188">
        <f>-1/'vehicles specifications'!$M54</f>
        <v>-1</v>
      </c>
      <c r="BK188">
        <f>-1/'vehicles specifications'!$M54</f>
        <v>-1</v>
      </c>
      <c r="BL188">
        <f>-1/'vehicles specifications'!$M54</f>
        <v>-1</v>
      </c>
    </row>
    <row r="189" spans="1:64" x14ac:dyDescent="0.2">
      <c r="A189" t="s">
        <v>265</v>
      </c>
      <c r="B189">
        <f t="shared" ref="B189:E192" si="9">1/20992</f>
        <v>4.7637195121951221E-5</v>
      </c>
      <c r="C189" s="2">
        <f>'vehicles specifications'!S55</f>
        <v>43200</v>
      </c>
      <c r="D189">
        <f t="shared" si="9"/>
        <v>4.7637195121951221E-5</v>
      </c>
      <c r="E189">
        <f t="shared" si="9"/>
        <v>4.7637195121951221E-5</v>
      </c>
      <c r="F189">
        <f>1+'vehicles specifications'!AD55</f>
        <v>1</v>
      </c>
      <c r="G189">
        <f>1+'vehicles specifications'!AD55</f>
        <v>1</v>
      </c>
      <c r="H189">
        <v>1</v>
      </c>
      <c r="I189">
        <v>1</v>
      </c>
      <c r="K189">
        <f>1/('fuels and tailpipe emissions'!$C$3*3.6)</f>
        <v>2.3474178403755867E-2</v>
      </c>
      <c r="L189">
        <v>7.3099415204678359E-3</v>
      </c>
      <c r="M189">
        <f>1/'vehicles specifications'!J55/'vehicles specifications'!M55</f>
        <v>9.3984962406015038E-9</v>
      </c>
      <c r="N189">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spans="1:64" x14ac:dyDescent="0.2">
      <c r="A190" t="s">
        <v>266</v>
      </c>
      <c r="B190">
        <f t="shared" si="9"/>
        <v>4.7637195121951221E-5</v>
      </c>
      <c r="C190" s="2">
        <f>'vehicles specifications'!S56</f>
        <v>43200</v>
      </c>
      <c r="D190">
        <f t="shared" si="9"/>
        <v>4.7637195121951221E-5</v>
      </c>
      <c r="E190">
        <f t="shared" si="9"/>
        <v>4.7637195121951221E-5</v>
      </c>
      <c r="F190">
        <f>1+'vehicles specifications'!AD56</f>
        <v>1</v>
      </c>
      <c r="G190">
        <f>1+'vehicles specifications'!AD56</f>
        <v>1</v>
      </c>
      <c r="H190">
        <v>1</v>
      </c>
      <c r="I190">
        <v>1</v>
      </c>
      <c r="K190">
        <f>1/('fuels and tailpipe emissions'!$C$3*3.6)</f>
        <v>2.3474178403755867E-2</v>
      </c>
      <c r="L190">
        <v>7.3099415204678359E-3</v>
      </c>
      <c r="M190">
        <f>1/'vehicles specifications'!J56/'vehicles specifications'!M56</f>
        <v>9.3984962406015038E-9</v>
      </c>
      <c r="N190">
        <v>1</v>
      </c>
      <c r="O190">
        <f>1/'vehicles specifications'!M56</f>
        <v>2.6315789473684209E-2</v>
      </c>
      <c r="P190">
        <f t="shared" ref="P190:Q192" si="10">-1/20992</f>
        <v>-4.7637195121951221E-5</v>
      </c>
      <c r="Q190">
        <f t="shared" si="10"/>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spans="1:64" x14ac:dyDescent="0.2">
      <c r="A191" t="s">
        <v>267</v>
      </c>
      <c r="B191">
        <f t="shared" si="9"/>
        <v>4.7637195121951221E-5</v>
      </c>
      <c r="C191" s="2">
        <f>'vehicles specifications'!S57</f>
        <v>43200</v>
      </c>
      <c r="D191">
        <f t="shared" si="9"/>
        <v>4.7637195121951221E-5</v>
      </c>
      <c r="E191">
        <f t="shared" si="9"/>
        <v>4.7637195121951221E-5</v>
      </c>
      <c r="F191">
        <f>1+'vehicles specifications'!AD57</f>
        <v>1</v>
      </c>
      <c r="G191">
        <f>1+'vehicles specifications'!AD57</f>
        <v>1</v>
      </c>
      <c r="H191">
        <v>1</v>
      </c>
      <c r="I191">
        <v>1</v>
      </c>
      <c r="K191">
        <f>1/('fuels and tailpipe emissions'!$C$3*3.6)</f>
        <v>2.3474178403755867E-2</v>
      </c>
      <c r="L191">
        <v>7.3099415204678359E-3</v>
      </c>
      <c r="M191">
        <f>1/'vehicles specifications'!J57/'vehicles specifications'!M57</f>
        <v>9.3984962406015038E-9</v>
      </c>
      <c r="N191">
        <v>1</v>
      </c>
      <c r="O191">
        <f>1/'vehicles specifications'!M57</f>
        <v>2.6315789473684209E-2</v>
      </c>
      <c r="P191">
        <f t="shared" si="10"/>
        <v>-4.7637195121951221E-5</v>
      </c>
      <c r="Q191">
        <f t="shared" si="10"/>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spans="1:64" x14ac:dyDescent="0.2">
      <c r="A192" t="s">
        <v>268</v>
      </c>
      <c r="B192">
        <f t="shared" si="9"/>
        <v>4.7637195121951221E-5</v>
      </c>
      <c r="C192" s="2">
        <f>'vehicles specifications'!S58</f>
        <v>43200</v>
      </c>
      <c r="D192">
        <f t="shared" si="9"/>
        <v>4.7637195121951221E-5</v>
      </c>
      <c r="E192">
        <f t="shared" si="9"/>
        <v>4.7637195121951221E-5</v>
      </c>
      <c r="F192">
        <f>1+'vehicles specifications'!AD58</f>
        <v>1</v>
      </c>
      <c r="G192">
        <f>1+'vehicles specifications'!AD58</f>
        <v>1</v>
      </c>
      <c r="H192">
        <v>1</v>
      </c>
      <c r="I192">
        <v>1</v>
      </c>
      <c r="K192">
        <f>1/('fuels and tailpipe emissions'!$C$3*3.6)</f>
        <v>2.3474178403755867E-2</v>
      </c>
      <c r="L192">
        <v>7.3099415204678359E-3</v>
      </c>
      <c r="M192">
        <f>1/'vehicles specifications'!J58/'vehicles specifications'!M58</f>
        <v>9.3984962406015038E-9</v>
      </c>
      <c r="N192">
        <v>1</v>
      </c>
      <c r="O192">
        <f>1/'vehicles specifications'!M58</f>
        <v>2.6315789473684209E-2</v>
      </c>
      <c r="P192">
        <f t="shared" si="10"/>
        <v>-4.7637195121951221E-5</v>
      </c>
      <c r="Q192">
        <f t="shared" si="10"/>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spans="1:64" x14ac:dyDescent="0.2">
      <c r="A193" t="s">
        <v>349</v>
      </c>
      <c r="B193">
        <f t="shared" ref="B193:D210" si="11">1/90</f>
        <v>1.1111111111111112E-2</v>
      </c>
      <c r="C193" s="2">
        <f>'vehicles specifications'!S59</f>
        <v>41.962499999999999</v>
      </c>
      <c r="D193">
        <f t="shared" si="11"/>
        <v>1.1111111111111112E-2</v>
      </c>
      <c r="F193">
        <f>1+'vehicles specifications'!AD59</f>
        <v>1</v>
      </c>
      <c r="G193">
        <f>1+'vehicles specifications'!AD59</f>
        <v>1</v>
      </c>
      <c r="H193">
        <v>1</v>
      </c>
      <c r="I193">
        <v>1</v>
      </c>
      <c r="K193">
        <f>1/('fuels and tailpipe emissions'!$C$3*3.6)</f>
        <v>2.3474178403755867E-2</v>
      </c>
      <c r="L193">
        <f>1/3.6</f>
        <v>0.2777777777777778</v>
      </c>
      <c r="M193">
        <f>1/'vehicles specifications'!J59</f>
        <v>4.0000000000000003E-5</v>
      </c>
      <c r="N193">
        <v>1</v>
      </c>
      <c r="O193">
        <f>1</f>
        <v>1</v>
      </c>
      <c r="P193">
        <v>-1</v>
      </c>
      <c r="Q193">
        <v>-1</v>
      </c>
      <c r="R193">
        <f>-1-'vehicles specifications'!AD59</f>
        <v>-1</v>
      </c>
      <c r="S193">
        <v>1</v>
      </c>
      <c r="T193">
        <v>1</v>
      </c>
      <c r="U193">
        <v>1</v>
      </c>
      <c r="V193">
        <v>1</v>
      </c>
      <c r="W193">
        <v>1</v>
      </c>
      <c r="X193">
        <v>1</v>
      </c>
      <c r="Y193">
        <v>1</v>
      </c>
      <c r="Z193">
        <v>1</v>
      </c>
      <c r="AA193">
        <v>1</v>
      </c>
      <c r="AB193">
        <v>1</v>
      </c>
      <c r="AC193">
        <v>1</v>
      </c>
      <c r="AD193">
        <v>1</v>
      </c>
      <c r="AE193">
        <v>1</v>
      </c>
      <c r="AF193">
        <v>1</v>
      </c>
      <c r="AG193">
        <v>1</v>
      </c>
      <c r="AH193">
        <v>1</v>
      </c>
      <c r="AI193">
        <v>1</v>
      </c>
      <c r="AJ193">
        <v>1</v>
      </c>
      <c r="AK193">
        <v>1</v>
      </c>
      <c r="AL193">
        <v>1</v>
      </c>
      <c r="AM193">
        <v>1</v>
      </c>
      <c r="AN193">
        <v>1</v>
      </c>
      <c r="AO193">
        <v>1</v>
      </c>
      <c r="AP193">
        <v>1</v>
      </c>
      <c r="AQ193">
        <v>1</v>
      </c>
      <c r="AR193">
        <v>1</v>
      </c>
      <c r="AS193">
        <v>1</v>
      </c>
      <c r="AT193">
        <v>1</v>
      </c>
      <c r="AU193">
        <v>1</v>
      </c>
      <c r="AV193">
        <v>1</v>
      </c>
      <c r="AW193">
        <v>1</v>
      </c>
      <c r="AX193">
        <v>1</v>
      </c>
      <c r="AY193">
        <v>1</v>
      </c>
      <c r="AZ193">
        <v>1</v>
      </c>
      <c r="BA193">
        <v>1</v>
      </c>
      <c r="BB193">
        <v>1</v>
      </c>
      <c r="BC193">
        <v>1</v>
      </c>
      <c r="BD193">
        <v>1</v>
      </c>
      <c r="BE193">
        <v>1</v>
      </c>
      <c r="BF193">
        <v>1</v>
      </c>
      <c r="BG193">
        <v>1</v>
      </c>
      <c r="BH193">
        <v>1</v>
      </c>
      <c r="BI193">
        <v>1</v>
      </c>
      <c r="BJ193">
        <v>-1</v>
      </c>
      <c r="BK193">
        <v>-1</v>
      </c>
      <c r="BL193">
        <v>-1</v>
      </c>
    </row>
    <row r="194" spans="1:64" x14ac:dyDescent="0.2">
      <c r="A194" t="s">
        <v>350</v>
      </c>
      <c r="B194">
        <f t="shared" si="11"/>
        <v>1.1111111111111112E-2</v>
      </c>
      <c r="C194" s="2">
        <f>'vehicles specifications'!S60</f>
        <v>41.962499999999999</v>
      </c>
      <c r="D194">
        <f t="shared" si="11"/>
        <v>1.1111111111111112E-2</v>
      </c>
      <c r="F194">
        <f>1+'vehicles specifications'!AD60</f>
        <v>1</v>
      </c>
      <c r="G194">
        <f>1+'vehicles specifications'!AD60</f>
        <v>1</v>
      </c>
      <c r="H194">
        <v>1</v>
      </c>
      <c r="I194">
        <v>1</v>
      </c>
      <c r="K194">
        <f>1/('fuels and tailpipe emissions'!$C$3*3.6)</f>
        <v>2.3474178403755867E-2</v>
      </c>
      <c r="L194">
        <f>1/3.6</f>
        <v>0.2777777777777778</v>
      </c>
      <c r="M194">
        <f>1/'vehicles specifications'!J60</f>
        <v>4.0000000000000003E-5</v>
      </c>
      <c r="N194">
        <v>1</v>
      </c>
      <c r="O194">
        <f>1</f>
        <v>1</v>
      </c>
      <c r="P194">
        <v>-1</v>
      </c>
      <c r="Q194">
        <v>-1</v>
      </c>
      <c r="R194">
        <f>-1-'vehicles specifications'!AD60</f>
        <v>-1</v>
      </c>
      <c r="S194">
        <v>1</v>
      </c>
      <c r="T194">
        <v>1</v>
      </c>
      <c r="U194">
        <v>1</v>
      </c>
      <c r="V194">
        <v>1</v>
      </c>
      <c r="W194">
        <v>1</v>
      </c>
      <c r="X194">
        <v>1</v>
      </c>
      <c r="Y194">
        <v>1</v>
      </c>
      <c r="Z194">
        <v>1</v>
      </c>
      <c r="AA194">
        <v>1</v>
      </c>
      <c r="AB194">
        <v>1</v>
      </c>
      <c r="AC194">
        <v>1</v>
      </c>
      <c r="AD194">
        <v>1</v>
      </c>
      <c r="AE194">
        <v>1</v>
      </c>
      <c r="AF194">
        <v>1</v>
      </c>
      <c r="AG194">
        <v>1</v>
      </c>
      <c r="AH194">
        <v>1</v>
      </c>
      <c r="AI194">
        <v>1</v>
      </c>
      <c r="AJ194">
        <v>1</v>
      </c>
      <c r="AK194">
        <v>1</v>
      </c>
      <c r="AL194">
        <v>1</v>
      </c>
      <c r="AM194">
        <v>1</v>
      </c>
      <c r="AN194">
        <v>1</v>
      </c>
      <c r="AO194">
        <v>1</v>
      </c>
      <c r="AP194">
        <v>1</v>
      </c>
      <c r="AQ194">
        <v>1</v>
      </c>
      <c r="AR194">
        <v>1</v>
      </c>
      <c r="AS194">
        <v>1</v>
      </c>
      <c r="AT194">
        <v>1</v>
      </c>
      <c r="AU194">
        <v>1</v>
      </c>
      <c r="AV194">
        <v>1</v>
      </c>
      <c r="AW194">
        <v>1</v>
      </c>
      <c r="AX194">
        <v>1</v>
      </c>
      <c r="AY194">
        <v>1</v>
      </c>
      <c r="AZ194">
        <v>1</v>
      </c>
      <c r="BA194">
        <v>1</v>
      </c>
      <c r="BB194">
        <v>1</v>
      </c>
      <c r="BC194">
        <v>1</v>
      </c>
      <c r="BD194">
        <v>1</v>
      </c>
      <c r="BE194">
        <v>1</v>
      </c>
      <c r="BF194">
        <v>1</v>
      </c>
      <c r="BG194">
        <v>1</v>
      </c>
      <c r="BH194">
        <v>1</v>
      </c>
      <c r="BI194">
        <v>1</v>
      </c>
      <c r="BJ194">
        <v>-1</v>
      </c>
      <c r="BK194">
        <v>-1</v>
      </c>
      <c r="BL194">
        <v>-1</v>
      </c>
    </row>
    <row r="195" spans="1:64" x14ac:dyDescent="0.2">
      <c r="A195" t="s">
        <v>351</v>
      </c>
      <c r="B195">
        <f t="shared" si="11"/>
        <v>1.1111111111111112E-2</v>
      </c>
      <c r="C195" s="2">
        <f>'vehicles specifications'!S61</f>
        <v>41.962499999999999</v>
      </c>
      <c r="D195">
        <f t="shared" si="11"/>
        <v>1.1111111111111112E-2</v>
      </c>
      <c r="F195">
        <f>1+'vehicles specifications'!AD61</f>
        <v>1</v>
      </c>
      <c r="G195">
        <f>1+'vehicles specifications'!AD61</f>
        <v>1</v>
      </c>
      <c r="H195">
        <v>1</v>
      </c>
      <c r="I195">
        <v>1</v>
      </c>
      <c r="K195">
        <f>1/('fuels and tailpipe emissions'!$C$3*3.6)</f>
        <v>2.3474178403755867E-2</v>
      </c>
      <c r="L195">
        <f>1/3.6</f>
        <v>0.2777777777777778</v>
      </c>
      <c r="M195">
        <f>1/'vehicles specifications'!J61</f>
        <v>4.0000000000000003E-5</v>
      </c>
      <c r="N195">
        <v>1</v>
      </c>
      <c r="O195">
        <f>1</f>
        <v>1</v>
      </c>
      <c r="P195">
        <v>-1</v>
      </c>
      <c r="Q195">
        <v>-1</v>
      </c>
      <c r="R195">
        <f>-1-'vehicles specifications'!AD61</f>
        <v>-1</v>
      </c>
      <c r="S195">
        <v>1</v>
      </c>
      <c r="T195">
        <v>1</v>
      </c>
      <c r="U195">
        <v>1</v>
      </c>
      <c r="V195">
        <v>1</v>
      </c>
      <c r="W195">
        <v>1</v>
      </c>
      <c r="X195">
        <v>1</v>
      </c>
      <c r="Y195">
        <v>1</v>
      </c>
      <c r="Z195">
        <v>1</v>
      </c>
      <c r="AA195">
        <v>1</v>
      </c>
      <c r="AB195">
        <v>1</v>
      </c>
      <c r="AC195">
        <v>1</v>
      </c>
      <c r="AD195">
        <v>1</v>
      </c>
      <c r="AE195">
        <v>1</v>
      </c>
      <c r="AF195">
        <v>1</v>
      </c>
      <c r="AG195">
        <v>1</v>
      </c>
      <c r="AH195">
        <v>1</v>
      </c>
      <c r="AI195">
        <v>1</v>
      </c>
      <c r="AJ195">
        <v>1</v>
      </c>
      <c r="AK195">
        <v>1</v>
      </c>
      <c r="AL195">
        <v>1</v>
      </c>
      <c r="AM195">
        <v>1</v>
      </c>
      <c r="AN195">
        <v>1</v>
      </c>
      <c r="AO195">
        <v>1</v>
      </c>
      <c r="AP195">
        <v>1</v>
      </c>
      <c r="AQ195">
        <v>1</v>
      </c>
      <c r="AR195">
        <v>1</v>
      </c>
      <c r="AS195">
        <v>1</v>
      </c>
      <c r="AT195">
        <v>1</v>
      </c>
      <c r="AU195">
        <v>1</v>
      </c>
      <c r="AV195">
        <v>1</v>
      </c>
      <c r="AW195">
        <v>1</v>
      </c>
      <c r="AX195">
        <v>1</v>
      </c>
      <c r="AY195">
        <v>1</v>
      </c>
      <c r="AZ195">
        <v>1</v>
      </c>
      <c r="BA195">
        <v>1</v>
      </c>
      <c r="BB195">
        <v>1</v>
      </c>
      <c r="BC195">
        <v>1</v>
      </c>
      <c r="BD195">
        <v>1</v>
      </c>
      <c r="BE195">
        <v>1</v>
      </c>
      <c r="BF195">
        <v>1</v>
      </c>
      <c r="BG195">
        <v>1</v>
      </c>
      <c r="BH195">
        <v>1</v>
      </c>
      <c r="BI195">
        <v>1</v>
      </c>
      <c r="BJ195">
        <v>-1</v>
      </c>
      <c r="BK195">
        <v>-1</v>
      </c>
      <c r="BL195">
        <v>-1</v>
      </c>
    </row>
    <row r="196" spans="1:64" x14ac:dyDescent="0.2">
      <c r="A196" t="s">
        <v>352</v>
      </c>
      <c r="B196">
        <f t="shared" si="11"/>
        <v>1.1111111111111112E-2</v>
      </c>
      <c r="C196" s="2">
        <f>'vehicles specifications'!S62</f>
        <v>42.362499999999997</v>
      </c>
      <c r="D196">
        <f t="shared" si="11"/>
        <v>1.1111111111111112E-2</v>
      </c>
      <c r="F196">
        <f>1+'vehicles specifications'!AD62</f>
        <v>1</v>
      </c>
      <c r="G196">
        <f>1+'vehicles specifications'!AD62</f>
        <v>1</v>
      </c>
      <c r="H196">
        <v>1</v>
      </c>
      <c r="I196">
        <v>1</v>
      </c>
      <c r="K196">
        <f>1/('fuels and tailpipe emissions'!$C$3*3.6)</f>
        <v>2.3474178403755867E-2</v>
      </c>
      <c r="L196">
        <f>1/3.6</f>
        <v>0.2777777777777778</v>
      </c>
      <c r="M196">
        <f>1/'vehicles specifications'!J62</f>
        <v>4.0000000000000003E-5</v>
      </c>
      <c r="N196">
        <v>1</v>
      </c>
      <c r="O196">
        <f>1</f>
        <v>1</v>
      </c>
      <c r="P196">
        <v>-1</v>
      </c>
      <c r="Q196">
        <v>-1</v>
      </c>
      <c r="R196">
        <f>-1-'vehicles specifications'!AD62</f>
        <v>-1</v>
      </c>
      <c r="S196">
        <v>1</v>
      </c>
      <c r="T196">
        <v>1</v>
      </c>
      <c r="U196">
        <v>1</v>
      </c>
      <c r="V196">
        <v>1</v>
      </c>
      <c r="W196">
        <v>1</v>
      </c>
      <c r="X196">
        <v>1</v>
      </c>
      <c r="Y196">
        <v>1</v>
      </c>
      <c r="Z196">
        <v>1</v>
      </c>
      <c r="AA196">
        <v>1</v>
      </c>
      <c r="AB196">
        <v>1</v>
      </c>
      <c r="AC196">
        <v>1</v>
      </c>
      <c r="AD196">
        <v>1</v>
      </c>
      <c r="AE196">
        <v>1</v>
      </c>
      <c r="AF196">
        <v>1</v>
      </c>
      <c r="AG196">
        <v>1</v>
      </c>
      <c r="AH196">
        <v>1</v>
      </c>
      <c r="AI196">
        <v>1</v>
      </c>
      <c r="AJ196">
        <v>1</v>
      </c>
      <c r="AK196">
        <v>1</v>
      </c>
      <c r="AL196">
        <v>1</v>
      </c>
      <c r="AM196">
        <v>1</v>
      </c>
      <c r="AN196">
        <v>1</v>
      </c>
      <c r="AO196">
        <v>1</v>
      </c>
      <c r="AP196">
        <v>1</v>
      </c>
      <c r="AQ196">
        <v>1</v>
      </c>
      <c r="AR196">
        <v>1</v>
      </c>
      <c r="AS196">
        <v>1</v>
      </c>
      <c r="AT196">
        <v>1</v>
      </c>
      <c r="AU196">
        <v>1</v>
      </c>
      <c r="AV196">
        <v>1</v>
      </c>
      <c r="AW196">
        <v>1</v>
      </c>
      <c r="AX196">
        <v>1</v>
      </c>
      <c r="AY196">
        <v>1</v>
      </c>
      <c r="AZ196">
        <v>1</v>
      </c>
      <c r="BA196">
        <v>1</v>
      </c>
      <c r="BB196">
        <v>1</v>
      </c>
      <c r="BC196">
        <v>1</v>
      </c>
      <c r="BD196">
        <v>1</v>
      </c>
      <c r="BE196">
        <v>1</v>
      </c>
      <c r="BF196">
        <v>1</v>
      </c>
      <c r="BG196">
        <v>1</v>
      </c>
      <c r="BH196">
        <v>1</v>
      </c>
      <c r="BI196">
        <v>1</v>
      </c>
      <c r="BJ196">
        <v>-1</v>
      </c>
      <c r="BK196">
        <v>-1</v>
      </c>
      <c r="BL196">
        <v>-1</v>
      </c>
    </row>
    <row r="197" spans="1:64" x14ac:dyDescent="0.2">
      <c r="A197" t="s">
        <v>353</v>
      </c>
      <c r="B197">
        <f t="shared" si="11"/>
        <v>1.1111111111111112E-2</v>
      </c>
      <c r="C197" s="2">
        <f>'vehicles specifications'!S63</f>
        <v>42.862499999999997</v>
      </c>
      <c r="D197">
        <f t="shared" si="11"/>
        <v>1.1111111111111112E-2</v>
      </c>
      <c r="F197">
        <f>1+'vehicles specifications'!AD63</f>
        <v>1</v>
      </c>
      <c r="G197">
        <f>1+'vehicles specifications'!AD63</f>
        <v>1</v>
      </c>
      <c r="H197">
        <v>1</v>
      </c>
      <c r="I197">
        <v>1</v>
      </c>
      <c r="K197">
        <f>1/('fuels and tailpipe emissions'!$C$3*3.6)</f>
        <v>2.3474178403755867E-2</v>
      </c>
      <c r="L197">
        <f>1/3.6</f>
        <v>0.2777777777777778</v>
      </c>
      <c r="M197">
        <f>1/'vehicles specifications'!J63</f>
        <v>4.0000000000000003E-5</v>
      </c>
      <c r="N197">
        <v>1</v>
      </c>
      <c r="O197">
        <f>1</f>
        <v>1</v>
      </c>
      <c r="P197">
        <v>-1</v>
      </c>
      <c r="Q197">
        <v>-1</v>
      </c>
      <c r="R197">
        <f>-1-'vehicles specifications'!AD63</f>
        <v>-1</v>
      </c>
      <c r="S197">
        <v>1</v>
      </c>
      <c r="T197">
        <v>1</v>
      </c>
      <c r="U197">
        <v>1</v>
      </c>
      <c r="V197">
        <v>1</v>
      </c>
      <c r="W197">
        <v>1</v>
      </c>
      <c r="X197">
        <v>1</v>
      </c>
      <c r="Y197">
        <v>1</v>
      </c>
      <c r="Z197">
        <v>1</v>
      </c>
      <c r="AA197">
        <v>1</v>
      </c>
      <c r="AB197">
        <v>1</v>
      </c>
      <c r="AC197">
        <v>1</v>
      </c>
      <c r="AD197">
        <v>1</v>
      </c>
      <c r="AE197">
        <v>1</v>
      </c>
      <c r="AF197">
        <v>1</v>
      </c>
      <c r="AG197">
        <v>1</v>
      </c>
      <c r="AH197">
        <v>1</v>
      </c>
      <c r="AI197">
        <v>1</v>
      </c>
      <c r="AJ197">
        <v>1</v>
      </c>
      <c r="AK197">
        <v>1</v>
      </c>
      <c r="AL197">
        <v>1</v>
      </c>
      <c r="AM197">
        <v>1</v>
      </c>
      <c r="AN197">
        <v>1</v>
      </c>
      <c r="AO197">
        <v>1</v>
      </c>
      <c r="AP197">
        <v>1</v>
      </c>
      <c r="AQ197">
        <v>1</v>
      </c>
      <c r="AR197">
        <v>1</v>
      </c>
      <c r="AS197">
        <v>1</v>
      </c>
      <c r="AT197">
        <v>1</v>
      </c>
      <c r="AU197">
        <v>1</v>
      </c>
      <c r="AV197">
        <v>1</v>
      </c>
      <c r="AW197">
        <v>1</v>
      </c>
      <c r="AX197">
        <v>1</v>
      </c>
      <c r="AY197">
        <v>1</v>
      </c>
      <c r="AZ197">
        <v>1</v>
      </c>
      <c r="BA197">
        <v>1</v>
      </c>
      <c r="BB197">
        <v>1</v>
      </c>
      <c r="BC197">
        <v>1</v>
      </c>
      <c r="BD197">
        <v>1</v>
      </c>
      <c r="BE197">
        <v>1</v>
      </c>
      <c r="BF197">
        <v>1</v>
      </c>
      <c r="BG197">
        <v>1</v>
      </c>
      <c r="BH197">
        <v>1</v>
      </c>
      <c r="BI197">
        <v>1</v>
      </c>
      <c r="BJ197">
        <v>-1</v>
      </c>
      <c r="BK197">
        <v>-1</v>
      </c>
      <c r="BL197">
        <v>-1</v>
      </c>
    </row>
    <row r="198" spans="1:64" x14ac:dyDescent="0.2">
      <c r="A198" t="s">
        <v>354</v>
      </c>
      <c r="B198">
        <f t="shared" si="11"/>
        <v>1.1111111111111112E-2</v>
      </c>
      <c r="C198" s="2">
        <f>'vehicles specifications'!S64</f>
        <v>43.262500000000003</v>
      </c>
      <c r="D198">
        <f t="shared" si="11"/>
        <v>1.1111111111111112E-2</v>
      </c>
      <c r="F198">
        <f>1+'vehicles specifications'!AD64</f>
        <v>1</v>
      </c>
      <c r="G198">
        <f>1+'vehicles specifications'!AD64</f>
        <v>1</v>
      </c>
      <c r="H198">
        <v>1</v>
      </c>
      <c r="I198">
        <v>1</v>
      </c>
      <c r="K198">
        <f>1/('fuels and tailpipe emissions'!$C$3*3.6)</f>
        <v>2.3474178403755867E-2</v>
      </c>
      <c r="L198">
        <f>1/3.6</f>
        <v>0.2777777777777778</v>
      </c>
      <c r="M198">
        <f>1/'vehicles specifications'!J64</f>
        <v>4.0000000000000003E-5</v>
      </c>
      <c r="N198">
        <v>1</v>
      </c>
      <c r="O198">
        <f>1</f>
        <v>1</v>
      </c>
      <c r="P198">
        <v>-1</v>
      </c>
      <c r="Q198">
        <v>-1</v>
      </c>
      <c r="R198">
        <f>-1-'vehicles specifications'!AD64</f>
        <v>-1</v>
      </c>
      <c r="S198">
        <v>1</v>
      </c>
      <c r="T198">
        <v>1</v>
      </c>
      <c r="U198">
        <v>1</v>
      </c>
      <c r="V198">
        <v>1</v>
      </c>
      <c r="W198">
        <v>1</v>
      </c>
      <c r="X198">
        <v>1</v>
      </c>
      <c r="Y198">
        <v>1</v>
      </c>
      <c r="Z198">
        <v>1</v>
      </c>
      <c r="AA198">
        <v>1</v>
      </c>
      <c r="AB198">
        <v>1</v>
      </c>
      <c r="AC198">
        <v>1</v>
      </c>
      <c r="AD198">
        <v>1</v>
      </c>
      <c r="AE198">
        <v>1</v>
      </c>
      <c r="AF198">
        <v>1</v>
      </c>
      <c r="AG198">
        <v>1</v>
      </c>
      <c r="AH198">
        <v>1</v>
      </c>
      <c r="AI198">
        <v>1</v>
      </c>
      <c r="AJ198">
        <v>1</v>
      </c>
      <c r="AK198">
        <v>1</v>
      </c>
      <c r="AL198">
        <v>1</v>
      </c>
      <c r="AM198">
        <v>1</v>
      </c>
      <c r="AN198">
        <v>1</v>
      </c>
      <c r="AO198">
        <v>1</v>
      </c>
      <c r="AP198">
        <v>1</v>
      </c>
      <c r="AQ198">
        <v>1</v>
      </c>
      <c r="AR198">
        <v>1</v>
      </c>
      <c r="AS198">
        <v>1</v>
      </c>
      <c r="AT198">
        <v>1</v>
      </c>
      <c r="AU198">
        <v>1</v>
      </c>
      <c r="AV198">
        <v>1</v>
      </c>
      <c r="AW198">
        <v>1</v>
      </c>
      <c r="AX198">
        <v>1</v>
      </c>
      <c r="AY198">
        <v>1</v>
      </c>
      <c r="AZ198">
        <v>1</v>
      </c>
      <c r="BA198">
        <v>1</v>
      </c>
      <c r="BB198">
        <v>1</v>
      </c>
      <c r="BC198">
        <v>1</v>
      </c>
      <c r="BD198">
        <v>1</v>
      </c>
      <c r="BE198">
        <v>1</v>
      </c>
      <c r="BF198">
        <v>1</v>
      </c>
      <c r="BG198">
        <v>1</v>
      </c>
      <c r="BH198">
        <v>1</v>
      </c>
      <c r="BI198">
        <v>1</v>
      </c>
      <c r="BJ198">
        <v>-1</v>
      </c>
      <c r="BK198">
        <v>-1</v>
      </c>
      <c r="BL198">
        <v>-1</v>
      </c>
    </row>
    <row r="199" spans="1:64" x14ac:dyDescent="0.2">
      <c r="A199" t="s">
        <v>378</v>
      </c>
      <c r="B199">
        <f t="shared" si="11"/>
        <v>1.1111111111111112E-2</v>
      </c>
      <c r="C199" s="2">
        <f>'vehicles specifications'!S65</f>
        <v>53</v>
      </c>
      <c r="D199">
        <f t="shared" si="11"/>
        <v>1.1111111111111112E-2</v>
      </c>
      <c r="F199">
        <f>1+'vehicles specifications'!AD65</f>
        <v>1</v>
      </c>
      <c r="G199">
        <f>1+'vehicles specifications'!AD65</f>
        <v>1</v>
      </c>
      <c r="H199">
        <v>1</v>
      </c>
      <c r="I199">
        <v>1</v>
      </c>
      <c r="K199">
        <f>1/('fuels and tailpipe emissions'!$C$3*3.6)</f>
        <v>2.3474178403755867E-2</v>
      </c>
      <c r="L199">
        <f>1/3.6</f>
        <v>0.2777777777777778</v>
      </c>
      <c r="M199">
        <f>1/'vehicles specifications'!J65</f>
        <v>4.0000000000000003E-5</v>
      </c>
      <c r="N199">
        <v>1</v>
      </c>
      <c r="O199">
        <f>1</f>
        <v>1</v>
      </c>
      <c r="P199">
        <v>-1</v>
      </c>
      <c r="Q199">
        <v>-1</v>
      </c>
      <c r="R199">
        <f>-1-'vehicles specifications'!AD65</f>
        <v>-1</v>
      </c>
      <c r="S199">
        <v>1</v>
      </c>
      <c r="T199">
        <v>1</v>
      </c>
      <c r="U199">
        <v>1</v>
      </c>
      <c r="V199">
        <v>1</v>
      </c>
      <c r="W199">
        <v>1</v>
      </c>
      <c r="X199">
        <v>1</v>
      </c>
      <c r="Y199">
        <v>1</v>
      </c>
      <c r="Z199">
        <v>1</v>
      </c>
      <c r="AA199">
        <v>1</v>
      </c>
      <c r="AB199">
        <v>1</v>
      </c>
      <c r="AC199">
        <v>1</v>
      </c>
      <c r="AD199">
        <v>1</v>
      </c>
      <c r="AE199">
        <v>1</v>
      </c>
      <c r="AF199">
        <v>1</v>
      </c>
      <c r="AG199">
        <v>1</v>
      </c>
      <c r="AH199">
        <v>1</v>
      </c>
      <c r="AI199">
        <v>1</v>
      </c>
      <c r="AJ199">
        <v>1</v>
      </c>
      <c r="AK199">
        <v>1</v>
      </c>
      <c r="AL199">
        <v>1</v>
      </c>
      <c r="AM199">
        <v>1</v>
      </c>
      <c r="AN199">
        <v>1</v>
      </c>
      <c r="AO199">
        <v>1</v>
      </c>
      <c r="AP199">
        <v>1</v>
      </c>
      <c r="AQ199">
        <v>1</v>
      </c>
      <c r="AR199">
        <v>1</v>
      </c>
      <c r="AS199">
        <v>1</v>
      </c>
      <c r="AT199">
        <v>1</v>
      </c>
      <c r="AU199">
        <v>1</v>
      </c>
      <c r="AV199">
        <v>1</v>
      </c>
      <c r="AW199">
        <v>1</v>
      </c>
      <c r="AX199">
        <v>1</v>
      </c>
      <c r="AY199">
        <v>1</v>
      </c>
      <c r="AZ199">
        <v>1</v>
      </c>
      <c r="BA199">
        <v>1</v>
      </c>
      <c r="BB199">
        <v>1</v>
      </c>
      <c r="BC199">
        <v>1</v>
      </c>
      <c r="BD199">
        <v>1</v>
      </c>
      <c r="BE199">
        <v>1</v>
      </c>
      <c r="BF199">
        <v>1</v>
      </c>
      <c r="BG199">
        <v>1</v>
      </c>
      <c r="BH199">
        <v>1</v>
      </c>
      <c r="BI199">
        <v>1</v>
      </c>
      <c r="BJ199">
        <v>-1</v>
      </c>
      <c r="BK199">
        <v>-1</v>
      </c>
      <c r="BL199">
        <v>-1</v>
      </c>
    </row>
    <row r="200" spans="1:64" x14ac:dyDescent="0.2">
      <c r="A200" t="s">
        <v>379</v>
      </c>
      <c r="B200">
        <f t="shared" si="11"/>
        <v>1.1111111111111112E-2</v>
      </c>
      <c r="C200" s="2">
        <f>'vehicles specifications'!S66</f>
        <v>53</v>
      </c>
      <c r="D200">
        <f t="shared" si="11"/>
        <v>1.1111111111111112E-2</v>
      </c>
      <c r="F200">
        <f>1+'vehicles specifications'!AD66</f>
        <v>1</v>
      </c>
      <c r="G200">
        <f>1+'vehicles specifications'!AD66</f>
        <v>1</v>
      </c>
      <c r="H200">
        <v>1</v>
      </c>
      <c r="I200">
        <v>1</v>
      </c>
      <c r="K200">
        <f>1/('fuels and tailpipe emissions'!$C$3*3.6)</f>
        <v>2.3474178403755867E-2</v>
      </c>
      <c r="L200">
        <f>1/3.6</f>
        <v>0.2777777777777778</v>
      </c>
      <c r="M200">
        <f>1/'vehicles specifications'!J66</f>
        <v>4.0000000000000003E-5</v>
      </c>
      <c r="N200">
        <v>1</v>
      </c>
      <c r="O200">
        <f>1</f>
        <v>1</v>
      </c>
      <c r="P200">
        <v>-1</v>
      </c>
      <c r="Q200">
        <v>-1</v>
      </c>
      <c r="R200">
        <f>-1-'vehicles specifications'!AD66</f>
        <v>-1</v>
      </c>
      <c r="S200">
        <v>1</v>
      </c>
      <c r="T200">
        <v>1</v>
      </c>
      <c r="U200">
        <v>1</v>
      </c>
      <c r="V200">
        <v>1</v>
      </c>
      <c r="W200">
        <v>1</v>
      </c>
      <c r="X200">
        <v>1</v>
      </c>
      <c r="Y200">
        <v>1</v>
      </c>
      <c r="Z200">
        <v>1</v>
      </c>
      <c r="AA200">
        <v>1</v>
      </c>
      <c r="AB200">
        <v>1</v>
      </c>
      <c r="AC200">
        <v>1</v>
      </c>
      <c r="AD200">
        <v>1</v>
      </c>
      <c r="AE200">
        <v>1</v>
      </c>
      <c r="AF200">
        <v>1</v>
      </c>
      <c r="AG200">
        <v>1</v>
      </c>
      <c r="AH200">
        <v>1</v>
      </c>
      <c r="AI200">
        <v>1</v>
      </c>
      <c r="AJ200">
        <v>1</v>
      </c>
      <c r="AK200">
        <v>1</v>
      </c>
      <c r="AL200">
        <v>1</v>
      </c>
      <c r="AM200">
        <v>1</v>
      </c>
      <c r="AN200">
        <v>1</v>
      </c>
      <c r="AO200">
        <v>1</v>
      </c>
      <c r="AP200">
        <v>1</v>
      </c>
      <c r="AQ200">
        <v>1</v>
      </c>
      <c r="AR200">
        <v>1</v>
      </c>
      <c r="AS200">
        <v>1</v>
      </c>
      <c r="AT200">
        <v>1</v>
      </c>
      <c r="AU200">
        <v>1</v>
      </c>
      <c r="AV200">
        <v>1</v>
      </c>
      <c r="AW200">
        <v>1</v>
      </c>
      <c r="AX200">
        <v>1</v>
      </c>
      <c r="AY200">
        <v>1</v>
      </c>
      <c r="AZ200">
        <v>1</v>
      </c>
      <c r="BA200">
        <v>1</v>
      </c>
      <c r="BB200">
        <v>1</v>
      </c>
      <c r="BC200">
        <v>1</v>
      </c>
      <c r="BD200">
        <v>1</v>
      </c>
      <c r="BE200">
        <v>1</v>
      </c>
      <c r="BF200">
        <v>1</v>
      </c>
      <c r="BG200">
        <v>1</v>
      </c>
      <c r="BH200">
        <v>1</v>
      </c>
      <c r="BI200">
        <v>1</v>
      </c>
      <c r="BJ200">
        <v>-1</v>
      </c>
      <c r="BK200">
        <v>-1</v>
      </c>
      <c r="BL200">
        <v>-1</v>
      </c>
    </row>
    <row r="201" spans="1:64" x14ac:dyDescent="0.2">
      <c r="A201" t="s">
        <v>380</v>
      </c>
      <c r="B201">
        <f t="shared" si="11"/>
        <v>1.1111111111111112E-2</v>
      </c>
      <c r="C201" s="2">
        <f>'vehicles specifications'!S67</f>
        <v>53</v>
      </c>
      <c r="D201">
        <f t="shared" si="11"/>
        <v>1.1111111111111112E-2</v>
      </c>
      <c r="F201">
        <f>1+'vehicles specifications'!AD67</f>
        <v>1</v>
      </c>
      <c r="G201">
        <f>1+'vehicles specifications'!AD67</f>
        <v>1</v>
      </c>
      <c r="H201">
        <v>1</v>
      </c>
      <c r="I201">
        <v>1</v>
      </c>
      <c r="K201">
        <f>1/('fuels and tailpipe emissions'!$C$3*3.6)</f>
        <v>2.3474178403755867E-2</v>
      </c>
      <c r="L201">
        <f>1/3.6</f>
        <v>0.2777777777777778</v>
      </c>
      <c r="M201">
        <f>1/'vehicles specifications'!J67</f>
        <v>4.0000000000000003E-5</v>
      </c>
      <c r="N201">
        <v>1</v>
      </c>
      <c r="O201">
        <f>1</f>
        <v>1</v>
      </c>
      <c r="P201">
        <v>-1</v>
      </c>
      <c r="Q201">
        <v>-1</v>
      </c>
      <c r="R201">
        <f>-1-'vehicles specifications'!AD67</f>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c r="BH201">
        <v>1</v>
      </c>
      <c r="BI201">
        <v>1</v>
      </c>
      <c r="BJ201">
        <v>-1</v>
      </c>
      <c r="BK201">
        <v>-1</v>
      </c>
      <c r="BL201">
        <v>-1</v>
      </c>
    </row>
    <row r="202" spans="1:64" x14ac:dyDescent="0.2">
      <c r="A202" t="s">
        <v>381</v>
      </c>
      <c r="B202">
        <f t="shared" si="11"/>
        <v>1.1111111111111112E-2</v>
      </c>
      <c r="C202" s="2">
        <f>'vehicles specifications'!S68</f>
        <v>53</v>
      </c>
      <c r="D202">
        <f t="shared" si="11"/>
        <v>1.1111111111111112E-2</v>
      </c>
      <c r="F202">
        <f>1+'vehicles specifications'!AD68</f>
        <v>1</v>
      </c>
      <c r="G202">
        <f>1+'vehicles specifications'!AD68</f>
        <v>1</v>
      </c>
      <c r="H202">
        <v>1</v>
      </c>
      <c r="I202">
        <v>1</v>
      </c>
      <c r="K202">
        <f>1/('fuels and tailpipe emissions'!$C$3*3.6)</f>
        <v>2.3474178403755867E-2</v>
      </c>
      <c r="L202">
        <f>1/3.6</f>
        <v>0.2777777777777778</v>
      </c>
      <c r="M202">
        <f>1/'vehicles specifications'!J68</f>
        <v>4.0000000000000003E-5</v>
      </c>
      <c r="N202">
        <v>1</v>
      </c>
      <c r="O202">
        <f>1</f>
        <v>1</v>
      </c>
      <c r="P202">
        <v>-1</v>
      </c>
      <c r="Q202">
        <v>-1</v>
      </c>
      <c r="R202">
        <f>-1-'vehicles specifications'!AD68</f>
        <v>-1</v>
      </c>
      <c r="S202">
        <v>1</v>
      </c>
      <c r="T202">
        <v>1</v>
      </c>
      <c r="U202">
        <v>1</v>
      </c>
      <c r="V202">
        <v>1</v>
      </c>
      <c r="W202">
        <v>1</v>
      </c>
      <c r="X202">
        <v>1</v>
      </c>
      <c r="Y202">
        <v>1</v>
      </c>
      <c r="Z202">
        <v>1</v>
      </c>
      <c r="AA202">
        <v>1</v>
      </c>
      <c r="AB202">
        <v>1</v>
      </c>
      <c r="AC202">
        <v>1</v>
      </c>
      <c r="AD202">
        <v>1</v>
      </c>
      <c r="AE202">
        <v>1</v>
      </c>
      <c r="AF202">
        <v>1</v>
      </c>
      <c r="AG202">
        <v>1</v>
      </c>
      <c r="AH202">
        <v>1</v>
      </c>
      <c r="AI202">
        <v>1</v>
      </c>
      <c r="AJ202">
        <v>1</v>
      </c>
      <c r="AK202">
        <v>1</v>
      </c>
      <c r="AL202">
        <v>1</v>
      </c>
      <c r="AM202">
        <v>1</v>
      </c>
      <c r="AN202">
        <v>1</v>
      </c>
      <c r="AO202">
        <v>1</v>
      </c>
      <c r="AP202">
        <v>1</v>
      </c>
      <c r="AQ202">
        <v>1</v>
      </c>
      <c r="AR202">
        <v>1</v>
      </c>
      <c r="AS202">
        <v>1</v>
      </c>
      <c r="AT202">
        <v>1</v>
      </c>
      <c r="AU202">
        <v>1</v>
      </c>
      <c r="AV202">
        <v>1</v>
      </c>
      <c r="AW202">
        <v>1</v>
      </c>
      <c r="AX202">
        <v>1</v>
      </c>
      <c r="AY202">
        <v>1</v>
      </c>
      <c r="AZ202">
        <v>1</v>
      </c>
      <c r="BA202">
        <v>1</v>
      </c>
      <c r="BB202">
        <v>1</v>
      </c>
      <c r="BC202">
        <v>1</v>
      </c>
      <c r="BD202">
        <v>1</v>
      </c>
      <c r="BE202">
        <v>1</v>
      </c>
      <c r="BF202">
        <v>1</v>
      </c>
      <c r="BG202">
        <v>1</v>
      </c>
      <c r="BH202">
        <v>1</v>
      </c>
      <c r="BI202">
        <v>1</v>
      </c>
      <c r="BJ202">
        <v>-1</v>
      </c>
      <c r="BK202">
        <v>-1</v>
      </c>
      <c r="BL202">
        <v>-1</v>
      </c>
    </row>
    <row r="203" spans="1:64" x14ac:dyDescent="0.2">
      <c r="A203" t="s">
        <v>382</v>
      </c>
      <c r="B203">
        <f t="shared" si="11"/>
        <v>1.1111111111111112E-2</v>
      </c>
      <c r="C203" s="2">
        <f>'vehicles specifications'!S69</f>
        <v>53</v>
      </c>
      <c r="D203">
        <f t="shared" si="11"/>
        <v>1.1111111111111112E-2</v>
      </c>
      <c r="F203">
        <f>1+'vehicles specifications'!AD69</f>
        <v>1</v>
      </c>
      <c r="G203">
        <f>1+'vehicles specifications'!AD69</f>
        <v>1</v>
      </c>
      <c r="H203">
        <v>1</v>
      </c>
      <c r="I203">
        <v>1</v>
      </c>
      <c r="K203">
        <f>1/('fuels and tailpipe emissions'!$C$3*3.6)</f>
        <v>2.3474178403755867E-2</v>
      </c>
      <c r="L203">
        <f>1/3.6</f>
        <v>0.2777777777777778</v>
      </c>
      <c r="M203">
        <f>1/'vehicles specifications'!J69</f>
        <v>4.0000000000000003E-5</v>
      </c>
      <c r="N203">
        <v>1</v>
      </c>
      <c r="O203">
        <f>1</f>
        <v>1</v>
      </c>
      <c r="P203">
        <v>-1</v>
      </c>
      <c r="Q203">
        <v>-1</v>
      </c>
      <c r="R203">
        <f>-1-'vehicles specifications'!AD69</f>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v>1</v>
      </c>
      <c r="AO203">
        <v>1</v>
      </c>
      <c r="AP203">
        <v>1</v>
      </c>
      <c r="AQ203">
        <v>1</v>
      </c>
      <c r="AR203">
        <v>1</v>
      </c>
      <c r="AS203">
        <v>1</v>
      </c>
      <c r="AT203">
        <v>1</v>
      </c>
      <c r="AU203">
        <v>1</v>
      </c>
      <c r="AV203">
        <v>1</v>
      </c>
      <c r="AW203">
        <v>1</v>
      </c>
      <c r="AX203">
        <v>1</v>
      </c>
      <c r="AY203">
        <v>1</v>
      </c>
      <c r="AZ203">
        <v>1</v>
      </c>
      <c r="BA203">
        <v>1</v>
      </c>
      <c r="BB203">
        <v>1</v>
      </c>
      <c r="BC203">
        <v>1</v>
      </c>
      <c r="BD203">
        <v>1</v>
      </c>
      <c r="BE203">
        <v>1</v>
      </c>
      <c r="BF203">
        <v>1</v>
      </c>
      <c r="BG203">
        <v>1</v>
      </c>
      <c r="BH203">
        <v>1</v>
      </c>
      <c r="BI203">
        <v>1</v>
      </c>
      <c r="BJ203">
        <v>-1</v>
      </c>
      <c r="BK203">
        <v>-1</v>
      </c>
      <c r="BL203">
        <v>-1</v>
      </c>
    </row>
    <row r="204" spans="1:64" x14ac:dyDescent="0.2">
      <c r="A204" t="s">
        <v>383</v>
      </c>
      <c r="B204">
        <f t="shared" si="11"/>
        <v>1.1111111111111112E-2</v>
      </c>
      <c r="C204" s="2">
        <f>'vehicles specifications'!S70</f>
        <v>53</v>
      </c>
      <c r="D204">
        <f t="shared" si="11"/>
        <v>1.1111111111111112E-2</v>
      </c>
      <c r="F204">
        <f>1+'vehicles specifications'!AD70</f>
        <v>1</v>
      </c>
      <c r="G204">
        <f>1+'vehicles specifications'!AD70</f>
        <v>1</v>
      </c>
      <c r="H204">
        <v>1</v>
      </c>
      <c r="I204">
        <v>1</v>
      </c>
      <c r="K204">
        <f>1/('fuels and tailpipe emissions'!$C$3*3.6)</f>
        <v>2.3474178403755867E-2</v>
      </c>
      <c r="L204">
        <f>1/3.6</f>
        <v>0.2777777777777778</v>
      </c>
      <c r="M204">
        <f>1/'vehicles specifications'!J70</f>
        <v>4.0000000000000003E-5</v>
      </c>
      <c r="N204">
        <v>1</v>
      </c>
      <c r="O204">
        <f>1</f>
        <v>1</v>
      </c>
      <c r="P204">
        <v>-1</v>
      </c>
      <c r="Q204">
        <v>-1</v>
      </c>
      <c r="R204">
        <f>-1-'vehicles specifications'!AD70</f>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c r="BJ204">
        <v>-1</v>
      </c>
      <c r="BK204">
        <v>-1</v>
      </c>
      <c r="BL204">
        <v>-1</v>
      </c>
    </row>
    <row r="205" spans="1:64" x14ac:dyDescent="0.2">
      <c r="A205" t="s">
        <v>340</v>
      </c>
      <c r="B205">
        <f t="shared" si="11"/>
        <v>1.1111111111111112E-2</v>
      </c>
      <c r="C205" s="2">
        <f>'vehicles specifications'!S71</f>
        <v>70</v>
      </c>
      <c r="D205">
        <f t="shared" si="11"/>
        <v>1.1111111111111112E-2</v>
      </c>
      <c r="F205">
        <f>1+'vehicles specifications'!AD71</f>
        <v>1</v>
      </c>
      <c r="G205">
        <f>1+'vehicles specifications'!AD71</f>
        <v>1</v>
      </c>
      <c r="H205">
        <v>1</v>
      </c>
      <c r="I205">
        <v>1</v>
      </c>
      <c r="K205">
        <f>1/('fuels and tailpipe emissions'!$C$3*3.6)</f>
        <v>2.3474178403755867E-2</v>
      </c>
      <c r="L205">
        <f>1/3.6</f>
        <v>0.2777777777777778</v>
      </c>
      <c r="M205">
        <f>1/'vehicles specifications'!J71</f>
        <v>3.3333333333333335E-5</v>
      </c>
      <c r="N205">
        <v>1</v>
      </c>
      <c r="O205">
        <f>1</f>
        <v>1</v>
      </c>
      <c r="P205">
        <v>-1</v>
      </c>
      <c r="Q205">
        <v>-1</v>
      </c>
      <c r="R205">
        <f>-1-'vehicles specifications'!AD71</f>
        <v>-1</v>
      </c>
      <c r="S205">
        <v>1</v>
      </c>
      <c r="T205">
        <v>1</v>
      </c>
      <c r="U205">
        <v>1</v>
      </c>
      <c r="V205">
        <v>1</v>
      </c>
      <c r="W205">
        <v>1</v>
      </c>
      <c r="X205">
        <v>1</v>
      </c>
      <c r="Y205">
        <v>1</v>
      </c>
      <c r="Z205">
        <v>1</v>
      </c>
      <c r="AA205">
        <v>1</v>
      </c>
      <c r="AB205">
        <v>1</v>
      </c>
      <c r="AC205">
        <v>1</v>
      </c>
      <c r="AD205">
        <v>1</v>
      </c>
      <c r="AE205">
        <v>1</v>
      </c>
      <c r="AF205">
        <v>1</v>
      </c>
      <c r="AG205">
        <v>1</v>
      </c>
      <c r="AH205">
        <v>1</v>
      </c>
      <c r="AI205">
        <v>1</v>
      </c>
      <c r="AJ205">
        <v>1</v>
      </c>
      <c r="AK205">
        <v>1</v>
      </c>
      <c r="AL205">
        <v>1</v>
      </c>
      <c r="AM205">
        <v>1</v>
      </c>
      <c r="AN205">
        <v>1</v>
      </c>
      <c r="AO205">
        <v>1</v>
      </c>
      <c r="AP205">
        <v>1</v>
      </c>
      <c r="AQ205">
        <v>1</v>
      </c>
      <c r="AR205">
        <v>1</v>
      </c>
      <c r="AS205">
        <v>1</v>
      </c>
      <c r="AT205">
        <v>1</v>
      </c>
      <c r="AU205">
        <v>1</v>
      </c>
      <c r="AV205">
        <v>1</v>
      </c>
      <c r="AW205">
        <v>1</v>
      </c>
      <c r="AX205">
        <v>1</v>
      </c>
      <c r="AY205">
        <v>1</v>
      </c>
      <c r="AZ205">
        <v>1</v>
      </c>
      <c r="BA205">
        <v>1</v>
      </c>
      <c r="BB205">
        <v>1</v>
      </c>
      <c r="BC205">
        <v>1</v>
      </c>
      <c r="BD205">
        <v>1</v>
      </c>
      <c r="BE205">
        <v>1</v>
      </c>
      <c r="BF205">
        <v>1</v>
      </c>
      <c r="BG205">
        <v>1</v>
      </c>
      <c r="BH205">
        <v>1</v>
      </c>
      <c r="BI205">
        <v>1</v>
      </c>
      <c r="BJ205">
        <v>-1</v>
      </c>
      <c r="BK205">
        <v>-1</v>
      </c>
      <c r="BL205">
        <v>-1</v>
      </c>
    </row>
    <row r="206" spans="1:64" x14ac:dyDescent="0.2">
      <c r="A206" t="s">
        <v>341</v>
      </c>
      <c r="B206">
        <f t="shared" si="11"/>
        <v>1.1111111111111112E-2</v>
      </c>
      <c r="C206" s="2">
        <f>'vehicles specifications'!S72</f>
        <v>70</v>
      </c>
      <c r="D206">
        <f t="shared" si="11"/>
        <v>1.1111111111111112E-2</v>
      </c>
      <c r="F206">
        <f>1+'vehicles specifications'!AD72</f>
        <v>1</v>
      </c>
      <c r="G206">
        <f>1+'vehicles specifications'!AD72</f>
        <v>1</v>
      </c>
      <c r="H206">
        <v>1</v>
      </c>
      <c r="I206">
        <v>1</v>
      </c>
      <c r="K206">
        <f>1/('fuels and tailpipe emissions'!$C$3*3.6)</f>
        <v>2.3474178403755867E-2</v>
      </c>
      <c r="L206">
        <f>1/3.6</f>
        <v>0.2777777777777778</v>
      </c>
      <c r="M206">
        <f>1/'vehicles specifications'!J72</f>
        <v>3.3333333333333335E-5</v>
      </c>
      <c r="N206">
        <v>1</v>
      </c>
      <c r="O206">
        <f>1</f>
        <v>1</v>
      </c>
      <c r="P206">
        <v>-1</v>
      </c>
      <c r="Q206">
        <v>-1</v>
      </c>
      <c r="R206">
        <f>-1-'vehicles specifications'!AD72</f>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c r="AR206">
        <v>1</v>
      </c>
      <c r="AS206">
        <v>1</v>
      </c>
      <c r="AT206">
        <v>1</v>
      </c>
      <c r="AU206">
        <v>1</v>
      </c>
      <c r="AV206">
        <v>1</v>
      </c>
      <c r="AW206">
        <v>1</v>
      </c>
      <c r="AX206">
        <v>1</v>
      </c>
      <c r="AY206">
        <v>1</v>
      </c>
      <c r="AZ206">
        <v>1</v>
      </c>
      <c r="BA206">
        <v>1</v>
      </c>
      <c r="BB206">
        <v>1</v>
      </c>
      <c r="BC206">
        <v>1</v>
      </c>
      <c r="BD206">
        <v>1</v>
      </c>
      <c r="BE206">
        <v>1</v>
      </c>
      <c r="BF206">
        <v>1</v>
      </c>
      <c r="BG206">
        <v>1</v>
      </c>
      <c r="BH206">
        <v>1</v>
      </c>
      <c r="BI206">
        <v>1</v>
      </c>
      <c r="BJ206">
        <v>-1</v>
      </c>
      <c r="BK206">
        <v>-1</v>
      </c>
      <c r="BL206">
        <v>-1</v>
      </c>
    </row>
    <row r="207" spans="1:64" x14ac:dyDescent="0.2">
      <c r="A207" t="s">
        <v>342</v>
      </c>
      <c r="B207">
        <f t="shared" si="11"/>
        <v>1.1111111111111112E-2</v>
      </c>
      <c r="C207" s="2">
        <f>'vehicles specifications'!S73</f>
        <v>70</v>
      </c>
      <c r="D207">
        <f t="shared" si="11"/>
        <v>1.1111111111111112E-2</v>
      </c>
      <c r="F207">
        <f>1+'vehicles specifications'!AD73</f>
        <v>1</v>
      </c>
      <c r="G207">
        <f>1+'vehicles specifications'!AD73</f>
        <v>1</v>
      </c>
      <c r="H207">
        <v>1</v>
      </c>
      <c r="I207">
        <v>1</v>
      </c>
      <c r="K207">
        <f>1/('fuels and tailpipe emissions'!$C$3*3.6)</f>
        <v>2.3474178403755867E-2</v>
      </c>
      <c r="L207">
        <f>1/3.6</f>
        <v>0.2777777777777778</v>
      </c>
      <c r="M207">
        <f>1/'vehicles specifications'!J73</f>
        <v>3.3333333333333335E-5</v>
      </c>
      <c r="N207">
        <v>1</v>
      </c>
      <c r="O207">
        <f>1</f>
        <v>1</v>
      </c>
      <c r="P207">
        <v>-1</v>
      </c>
      <c r="Q207">
        <v>-1</v>
      </c>
      <c r="R207">
        <f>-1-'vehicles specifications'!AD73</f>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c r="BK207">
        <v>-1</v>
      </c>
      <c r="BL207">
        <v>-1</v>
      </c>
    </row>
    <row r="208" spans="1:64" x14ac:dyDescent="0.2">
      <c r="A208" t="s">
        <v>343</v>
      </c>
      <c r="B208">
        <f t="shared" si="11"/>
        <v>1.1111111111111112E-2</v>
      </c>
      <c r="C208" s="2">
        <f>'vehicles specifications'!S74</f>
        <v>70</v>
      </c>
      <c r="D208">
        <f t="shared" si="11"/>
        <v>1.1111111111111112E-2</v>
      </c>
      <c r="F208">
        <f>1+'vehicles specifications'!AD74</f>
        <v>1</v>
      </c>
      <c r="G208">
        <f>1+'vehicles specifications'!AD74</f>
        <v>1</v>
      </c>
      <c r="H208">
        <v>1</v>
      </c>
      <c r="I208">
        <v>1</v>
      </c>
      <c r="K208">
        <f>1/('fuels and tailpipe emissions'!$C$3*3.6)</f>
        <v>2.3474178403755867E-2</v>
      </c>
      <c r="L208">
        <f>1/3.6</f>
        <v>0.2777777777777778</v>
      </c>
      <c r="M208">
        <f>1/'vehicles specifications'!J74</f>
        <v>3.3333333333333335E-5</v>
      </c>
      <c r="N208">
        <v>1</v>
      </c>
      <c r="O208">
        <f>1</f>
        <v>1</v>
      </c>
      <c r="P208">
        <v>-1</v>
      </c>
      <c r="Q208">
        <v>-1</v>
      </c>
      <c r="R208">
        <f>-1-'vehicles specifications'!AD74</f>
        <v>-1</v>
      </c>
      <c r="S208">
        <v>1</v>
      </c>
      <c r="T208">
        <v>1</v>
      </c>
      <c r="U208">
        <v>1</v>
      </c>
      <c r="V208">
        <v>1</v>
      </c>
      <c r="W208">
        <v>1</v>
      </c>
      <c r="X208">
        <v>1</v>
      </c>
      <c r="Y208">
        <v>1</v>
      </c>
      <c r="Z208">
        <v>1</v>
      </c>
      <c r="AA208">
        <v>1</v>
      </c>
      <c r="AB208">
        <v>1</v>
      </c>
      <c r="AC208">
        <v>1</v>
      </c>
      <c r="AD208">
        <v>1</v>
      </c>
      <c r="AE208">
        <v>1</v>
      </c>
      <c r="AF208">
        <v>1</v>
      </c>
      <c r="AG208">
        <v>1</v>
      </c>
      <c r="AH208">
        <v>1</v>
      </c>
      <c r="AI208">
        <v>1</v>
      </c>
      <c r="AJ208">
        <v>1</v>
      </c>
      <c r="AK208">
        <v>1</v>
      </c>
      <c r="AL208">
        <v>1</v>
      </c>
      <c r="AM208">
        <v>1</v>
      </c>
      <c r="AN208">
        <v>1</v>
      </c>
      <c r="AO208">
        <v>1</v>
      </c>
      <c r="AP208">
        <v>1</v>
      </c>
      <c r="AQ208">
        <v>1</v>
      </c>
      <c r="AR208">
        <v>1</v>
      </c>
      <c r="AS208">
        <v>1</v>
      </c>
      <c r="AT208">
        <v>1</v>
      </c>
      <c r="AU208">
        <v>1</v>
      </c>
      <c r="AV208">
        <v>1</v>
      </c>
      <c r="AW208">
        <v>1</v>
      </c>
      <c r="AX208">
        <v>1</v>
      </c>
      <c r="AY208">
        <v>1</v>
      </c>
      <c r="AZ208">
        <v>1</v>
      </c>
      <c r="BA208">
        <v>1</v>
      </c>
      <c r="BB208">
        <v>1</v>
      </c>
      <c r="BC208">
        <v>1</v>
      </c>
      <c r="BD208">
        <v>1</v>
      </c>
      <c r="BE208">
        <v>1</v>
      </c>
      <c r="BF208">
        <v>1</v>
      </c>
      <c r="BG208">
        <v>1</v>
      </c>
      <c r="BH208">
        <v>1</v>
      </c>
      <c r="BI208">
        <v>1</v>
      </c>
      <c r="BJ208">
        <v>-1</v>
      </c>
      <c r="BK208">
        <v>-1</v>
      </c>
      <c r="BL208">
        <v>-1</v>
      </c>
    </row>
    <row r="209" spans="1:64" x14ac:dyDescent="0.2">
      <c r="A209" t="s">
        <v>344</v>
      </c>
      <c r="B209">
        <f t="shared" si="11"/>
        <v>1.1111111111111112E-2</v>
      </c>
      <c r="C209" s="2">
        <f>'vehicles specifications'!S75</f>
        <v>70</v>
      </c>
      <c r="D209">
        <f t="shared" si="11"/>
        <v>1.1111111111111112E-2</v>
      </c>
      <c r="F209">
        <f>1+'vehicles specifications'!AD75</f>
        <v>1</v>
      </c>
      <c r="G209">
        <f>1+'vehicles specifications'!AD75</f>
        <v>1</v>
      </c>
      <c r="H209">
        <v>1</v>
      </c>
      <c r="I209">
        <v>1</v>
      </c>
      <c r="K209">
        <f>1/('fuels and tailpipe emissions'!$C$3*3.6)</f>
        <v>2.3474178403755867E-2</v>
      </c>
      <c r="L209">
        <f>1/3.6</f>
        <v>0.2777777777777778</v>
      </c>
      <c r="M209">
        <f>1/'vehicles specifications'!J75</f>
        <v>3.3333333333333335E-5</v>
      </c>
      <c r="N209">
        <v>1</v>
      </c>
      <c r="O209">
        <f>1</f>
        <v>1</v>
      </c>
      <c r="P209">
        <v>-1</v>
      </c>
      <c r="Q209">
        <v>-1</v>
      </c>
      <c r="R209">
        <f>-1-'vehicles specifications'!AD75</f>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c r="AS209">
        <v>1</v>
      </c>
      <c r="AT209">
        <v>1</v>
      </c>
      <c r="AU209">
        <v>1</v>
      </c>
      <c r="AV209">
        <v>1</v>
      </c>
      <c r="AW209">
        <v>1</v>
      </c>
      <c r="AX209">
        <v>1</v>
      </c>
      <c r="AY209">
        <v>1</v>
      </c>
      <c r="AZ209">
        <v>1</v>
      </c>
      <c r="BA209">
        <v>1</v>
      </c>
      <c r="BB209">
        <v>1</v>
      </c>
      <c r="BC209">
        <v>1</v>
      </c>
      <c r="BD209">
        <v>1</v>
      </c>
      <c r="BE209">
        <v>1</v>
      </c>
      <c r="BF209">
        <v>1</v>
      </c>
      <c r="BG209">
        <v>1</v>
      </c>
      <c r="BH209">
        <v>1</v>
      </c>
      <c r="BI209">
        <v>1</v>
      </c>
      <c r="BJ209">
        <v>-1</v>
      </c>
      <c r="BK209">
        <v>-1</v>
      </c>
      <c r="BL209">
        <v>-1</v>
      </c>
    </row>
    <row r="210" spans="1:64" x14ac:dyDescent="0.2">
      <c r="A210" t="s">
        <v>345</v>
      </c>
      <c r="B210">
        <f t="shared" si="11"/>
        <v>1.1111111111111112E-2</v>
      </c>
      <c r="C210" s="2">
        <f>'vehicles specifications'!S76</f>
        <v>70</v>
      </c>
      <c r="D210">
        <f t="shared" si="11"/>
        <v>1.1111111111111112E-2</v>
      </c>
      <c r="F210">
        <f>1+'vehicles specifications'!AD76</f>
        <v>1</v>
      </c>
      <c r="G210">
        <f>1+'vehicles specifications'!AD76</f>
        <v>1</v>
      </c>
      <c r="H210">
        <v>1</v>
      </c>
      <c r="I210">
        <v>1</v>
      </c>
      <c r="K210">
        <f>1/('fuels and tailpipe emissions'!$C$3*3.6)</f>
        <v>2.3474178403755867E-2</v>
      </c>
      <c r="L210">
        <f>1/3.6</f>
        <v>0.2777777777777778</v>
      </c>
      <c r="M210">
        <f>1/'vehicles specifications'!J76</f>
        <v>3.3333333333333335E-5</v>
      </c>
      <c r="N210">
        <v>1</v>
      </c>
      <c r="O210">
        <f>1</f>
        <v>1</v>
      </c>
      <c r="P210">
        <v>-1</v>
      </c>
      <c r="Q210">
        <v>-1</v>
      </c>
      <c r="R210">
        <f>-1-'vehicles specifications'!AD76</f>
        <v>-1</v>
      </c>
      <c r="S210">
        <v>1</v>
      </c>
      <c r="T210">
        <v>1</v>
      </c>
      <c r="U210">
        <v>1</v>
      </c>
      <c r="V210">
        <v>1</v>
      </c>
      <c r="W210">
        <v>1</v>
      </c>
      <c r="X210">
        <v>1</v>
      </c>
      <c r="Y210">
        <v>1</v>
      </c>
      <c r="Z210">
        <v>1</v>
      </c>
      <c r="AA210">
        <v>1</v>
      </c>
      <c r="AB210">
        <v>1</v>
      </c>
      <c r="AC210">
        <v>1</v>
      </c>
      <c r="AD210">
        <v>1</v>
      </c>
      <c r="AE210">
        <v>1</v>
      </c>
      <c r="AF210">
        <v>1</v>
      </c>
      <c r="AG210">
        <v>1</v>
      </c>
      <c r="AH210">
        <v>1</v>
      </c>
      <c r="AI210">
        <v>1</v>
      </c>
      <c r="AJ210">
        <v>1</v>
      </c>
      <c r="AK210">
        <v>1</v>
      </c>
      <c r="AL210">
        <v>1</v>
      </c>
      <c r="AM210">
        <v>1</v>
      </c>
      <c r="AN210">
        <v>1</v>
      </c>
      <c r="AO210">
        <v>1</v>
      </c>
      <c r="AP210">
        <v>1</v>
      </c>
      <c r="AQ210">
        <v>1</v>
      </c>
      <c r="AR210">
        <v>1</v>
      </c>
      <c r="AS210">
        <v>1</v>
      </c>
      <c r="AT210">
        <v>1</v>
      </c>
      <c r="AU210">
        <v>1</v>
      </c>
      <c r="AV210">
        <v>1</v>
      </c>
      <c r="AW210">
        <v>1</v>
      </c>
      <c r="AX210">
        <v>1</v>
      </c>
      <c r="AY210">
        <v>1</v>
      </c>
      <c r="AZ210">
        <v>1</v>
      </c>
      <c r="BA210">
        <v>1</v>
      </c>
      <c r="BB210">
        <v>1</v>
      </c>
      <c r="BC210">
        <v>1</v>
      </c>
      <c r="BD210">
        <v>1</v>
      </c>
      <c r="BE210">
        <v>1</v>
      </c>
      <c r="BF210">
        <v>1</v>
      </c>
      <c r="BG210">
        <v>1</v>
      </c>
      <c r="BH210">
        <v>1</v>
      </c>
      <c r="BI210">
        <v>1</v>
      </c>
      <c r="BJ210">
        <v>-1</v>
      </c>
      <c r="BK210">
        <v>-1</v>
      </c>
      <c r="BL210">
        <v>-1</v>
      </c>
    </row>
    <row r="211" spans="1:64" x14ac:dyDescent="0.2">
      <c r="A211" t="s">
        <v>806</v>
      </c>
      <c r="B211">
        <v>1</v>
      </c>
      <c r="C211" s="2">
        <f>'vehicles specifications'!S77</f>
        <v>73</v>
      </c>
      <c r="D211">
        <v>1</v>
      </c>
      <c r="E211">
        <v>1</v>
      </c>
      <c r="F211">
        <f>1+'vehicles specifications'!AD77</f>
        <v>2</v>
      </c>
      <c r="G211">
        <f>1+'vehicles specifications'!AD77</f>
        <v>2</v>
      </c>
      <c r="J211">
        <v>1</v>
      </c>
      <c r="K211">
        <f>1/('fuels and tailpipe emissions'!$C$3*3.6)</f>
        <v>2.3474178403755867E-2</v>
      </c>
      <c r="L211">
        <f>1/3.6</f>
        <v>0.2777777777777778</v>
      </c>
      <c r="M211">
        <f>1/'vehicles specifications'!J77</f>
        <v>4.0000000000000003E-5</v>
      </c>
      <c r="N211">
        <v>1</v>
      </c>
      <c r="O211">
        <f>1</f>
        <v>1</v>
      </c>
      <c r="P211">
        <v>1</v>
      </c>
      <c r="Q211">
        <v>1</v>
      </c>
      <c r="R211">
        <f>-1-'vehicles specifications'!AD77</f>
        <v>-2</v>
      </c>
      <c r="S211">
        <v>1</v>
      </c>
      <c r="T211">
        <v>1</v>
      </c>
      <c r="U211">
        <v>1</v>
      </c>
      <c r="V211">
        <v>1</v>
      </c>
      <c r="W211">
        <v>1</v>
      </c>
      <c r="X211">
        <v>1</v>
      </c>
      <c r="Y211">
        <v>1</v>
      </c>
      <c r="Z211">
        <v>1</v>
      </c>
      <c r="AA211">
        <v>1</v>
      </c>
      <c r="AB211">
        <v>1</v>
      </c>
      <c r="AC211">
        <v>1</v>
      </c>
      <c r="AD211">
        <v>1</v>
      </c>
      <c r="AE211">
        <v>1</v>
      </c>
      <c r="AF211">
        <v>1</v>
      </c>
      <c r="AG211">
        <v>1</v>
      </c>
      <c r="AH211">
        <v>1</v>
      </c>
      <c r="AI211">
        <v>1</v>
      </c>
      <c r="AJ211">
        <v>1</v>
      </c>
      <c r="AK211">
        <v>1</v>
      </c>
      <c r="AL211">
        <v>1</v>
      </c>
      <c r="AM211">
        <v>1</v>
      </c>
      <c r="AN211">
        <v>1</v>
      </c>
      <c r="AO211">
        <v>1</v>
      </c>
      <c r="AP211">
        <v>1</v>
      </c>
      <c r="AQ211">
        <v>1</v>
      </c>
      <c r="AR211">
        <v>1</v>
      </c>
      <c r="AS211">
        <v>1</v>
      </c>
      <c r="AT211">
        <v>1</v>
      </c>
      <c r="AU211">
        <v>1</v>
      </c>
      <c r="AV211">
        <v>1</v>
      </c>
      <c r="AW211">
        <v>1</v>
      </c>
      <c r="AX211">
        <v>1</v>
      </c>
      <c r="AY211">
        <v>1</v>
      </c>
      <c r="AZ211">
        <v>1</v>
      </c>
      <c r="BA211">
        <v>1</v>
      </c>
      <c r="BB211">
        <v>1</v>
      </c>
      <c r="BC211">
        <v>1</v>
      </c>
      <c r="BD211">
        <v>1</v>
      </c>
      <c r="BE211">
        <v>1</v>
      </c>
      <c r="BF211">
        <v>1</v>
      </c>
      <c r="BG211">
        <v>1</v>
      </c>
      <c r="BH211">
        <v>1</v>
      </c>
      <c r="BI211">
        <v>1</v>
      </c>
      <c r="BJ211">
        <v>-1</v>
      </c>
      <c r="BK211">
        <v>-1</v>
      </c>
      <c r="BL211">
        <v>-1</v>
      </c>
    </row>
    <row r="212" spans="1:64" x14ac:dyDescent="0.2">
      <c r="A212" t="s">
        <v>807</v>
      </c>
      <c r="B212">
        <v>1</v>
      </c>
      <c r="C212" s="2">
        <f>'vehicles specifications'!S78</f>
        <v>73</v>
      </c>
      <c r="D212">
        <v>1</v>
      </c>
      <c r="E212">
        <v>1</v>
      </c>
      <c r="F212">
        <f>1+'vehicles specifications'!AD78</f>
        <v>1.5</v>
      </c>
      <c r="G212">
        <f>1+'vehicles specifications'!AD78</f>
        <v>1.5</v>
      </c>
      <c r="J212">
        <v>1</v>
      </c>
      <c r="K212">
        <f>1/('fuels and tailpipe emissions'!$C$3*3.6)</f>
        <v>2.3474178403755867E-2</v>
      </c>
      <c r="L212">
        <f>1/3.6</f>
        <v>0.2777777777777778</v>
      </c>
      <c r="M212">
        <f>1/'vehicles specifications'!J78</f>
        <v>4.0000000000000003E-5</v>
      </c>
      <c r="N212">
        <v>1</v>
      </c>
      <c r="O212">
        <f>1</f>
        <v>1</v>
      </c>
      <c r="P212">
        <v>1</v>
      </c>
      <c r="Q212">
        <v>1</v>
      </c>
      <c r="R212">
        <f>-1-'vehicles specifications'!AD78</f>
        <v>-1.5</v>
      </c>
      <c r="S212">
        <v>1</v>
      </c>
      <c r="T212">
        <v>1</v>
      </c>
      <c r="U212">
        <v>1</v>
      </c>
      <c r="V212">
        <v>1</v>
      </c>
      <c r="W212">
        <v>1</v>
      </c>
      <c r="X212">
        <v>1</v>
      </c>
      <c r="Y212">
        <v>1</v>
      </c>
      <c r="Z212">
        <v>1</v>
      </c>
      <c r="AA212">
        <v>1</v>
      </c>
      <c r="AB212">
        <v>1</v>
      </c>
      <c r="AC212">
        <v>1</v>
      </c>
      <c r="AD212">
        <v>1</v>
      </c>
      <c r="AE212">
        <v>1</v>
      </c>
      <c r="AF212">
        <v>1</v>
      </c>
      <c r="AG212">
        <v>1</v>
      </c>
      <c r="AH212">
        <v>1</v>
      </c>
      <c r="AI212">
        <v>1</v>
      </c>
      <c r="AJ212">
        <v>1</v>
      </c>
      <c r="AK212">
        <v>1</v>
      </c>
      <c r="AL212">
        <v>1</v>
      </c>
      <c r="AM212">
        <v>1</v>
      </c>
      <c r="AN212">
        <v>1</v>
      </c>
      <c r="AO212">
        <v>1</v>
      </c>
      <c r="AP212">
        <v>1</v>
      </c>
      <c r="AQ212">
        <v>1</v>
      </c>
      <c r="AR212">
        <v>1</v>
      </c>
      <c r="AS212">
        <v>1</v>
      </c>
      <c r="AT212">
        <v>1</v>
      </c>
      <c r="AU212">
        <v>1</v>
      </c>
      <c r="AV212">
        <v>1</v>
      </c>
      <c r="AW212">
        <v>1</v>
      </c>
      <c r="AX212">
        <v>1</v>
      </c>
      <c r="AY212">
        <v>1</v>
      </c>
      <c r="AZ212">
        <v>1</v>
      </c>
      <c r="BA212">
        <v>1</v>
      </c>
      <c r="BB212">
        <v>1</v>
      </c>
      <c r="BC212">
        <v>1</v>
      </c>
      <c r="BD212">
        <v>1</v>
      </c>
      <c r="BE212">
        <v>1</v>
      </c>
      <c r="BF212">
        <v>1</v>
      </c>
      <c r="BG212">
        <v>1</v>
      </c>
      <c r="BH212">
        <v>1</v>
      </c>
      <c r="BI212">
        <v>1</v>
      </c>
      <c r="BJ212">
        <v>-1</v>
      </c>
      <c r="BK212">
        <v>-1</v>
      </c>
      <c r="BL212">
        <v>-1</v>
      </c>
    </row>
    <row r="213" spans="1:64" x14ac:dyDescent="0.2">
      <c r="A213" t="s">
        <v>808</v>
      </c>
      <c r="B213">
        <v>1</v>
      </c>
      <c r="C213" s="2">
        <f>'vehicles specifications'!S79</f>
        <v>73</v>
      </c>
      <c r="D213">
        <v>1</v>
      </c>
      <c r="E213">
        <v>1</v>
      </c>
      <c r="F213">
        <f>1+'vehicles specifications'!AD79</f>
        <v>1.25</v>
      </c>
      <c r="G213">
        <f>1+'vehicles specifications'!AD79</f>
        <v>1.25</v>
      </c>
      <c r="J213">
        <v>1</v>
      </c>
      <c r="K213">
        <f>1/('fuels and tailpipe emissions'!$C$3*3.6)</f>
        <v>2.3474178403755867E-2</v>
      </c>
      <c r="L213">
        <f>1/3.6</f>
        <v>0.2777777777777778</v>
      </c>
      <c r="M213">
        <f>1/'vehicles specifications'!J79</f>
        <v>4.0000000000000003E-5</v>
      </c>
      <c r="N213">
        <v>1</v>
      </c>
      <c r="O213">
        <f>1</f>
        <v>1</v>
      </c>
      <c r="P213">
        <v>1</v>
      </c>
      <c r="Q213">
        <v>1</v>
      </c>
      <c r="R213">
        <f>-1-'vehicles specifications'!AD79</f>
        <v>-1.25</v>
      </c>
      <c r="S213">
        <v>1</v>
      </c>
      <c r="T213">
        <v>1</v>
      </c>
      <c r="U213">
        <v>1</v>
      </c>
      <c r="V213">
        <v>1</v>
      </c>
      <c r="W213">
        <v>1</v>
      </c>
      <c r="X213">
        <v>1</v>
      </c>
      <c r="Y213">
        <v>1</v>
      </c>
      <c r="Z213">
        <v>1</v>
      </c>
      <c r="AA213">
        <v>1</v>
      </c>
      <c r="AB213">
        <v>1</v>
      </c>
      <c r="AC213">
        <v>1</v>
      </c>
      <c r="AD213">
        <v>1</v>
      </c>
      <c r="AE213">
        <v>1</v>
      </c>
      <c r="AF213">
        <v>1</v>
      </c>
      <c r="AG213">
        <v>1</v>
      </c>
      <c r="AH213">
        <v>1</v>
      </c>
      <c r="AI213">
        <v>1</v>
      </c>
      <c r="AJ213">
        <v>1</v>
      </c>
      <c r="AK213">
        <v>1</v>
      </c>
      <c r="AL213">
        <v>1</v>
      </c>
      <c r="AM213">
        <v>1</v>
      </c>
      <c r="AN213">
        <v>1</v>
      </c>
      <c r="AO213">
        <v>1</v>
      </c>
      <c r="AP213">
        <v>1</v>
      </c>
      <c r="AQ213">
        <v>1</v>
      </c>
      <c r="AR213">
        <v>1</v>
      </c>
      <c r="AS213">
        <v>1</v>
      </c>
      <c r="AT213">
        <v>1</v>
      </c>
      <c r="AU213">
        <v>1</v>
      </c>
      <c r="AV213">
        <v>1</v>
      </c>
      <c r="AW213">
        <v>1</v>
      </c>
      <c r="AX213">
        <v>1</v>
      </c>
      <c r="AY213">
        <v>1</v>
      </c>
      <c r="AZ213">
        <v>1</v>
      </c>
      <c r="BA213">
        <v>1</v>
      </c>
      <c r="BB213">
        <v>1</v>
      </c>
      <c r="BC213">
        <v>1</v>
      </c>
      <c r="BD213">
        <v>1</v>
      </c>
      <c r="BE213">
        <v>1</v>
      </c>
      <c r="BF213">
        <v>1</v>
      </c>
      <c r="BG213">
        <v>1</v>
      </c>
      <c r="BH213">
        <v>1</v>
      </c>
      <c r="BI213">
        <v>1</v>
      </c>
      <c r="BJ213">
        <v>-1</v>
      </c>
      <c r="BK213">
        <v>-1</v>
      </c>
      <c r="BL213">
        <v>-1</v>
      </c>
    </row>
    <row r="214" spans="1:64" x14ac:dyDescent="0.2">
      <c r="A214" t="s">
        <v>809</v>
      </c>
      <c r="B214">
        <v>1</v>
      </c>
      <c r="C214" s="2">
        <f>'vehicles specifications'!S80</f>
        <v>73</v>
      </c>
      <c r="D214">
        <v>1</v>
      </c>
      <c r="E214">
        <v>1</v>
      </c>
      <c r="F214">
        <f>1+'vehicles specifications'!AD80</f>
        <v>1</v>
      </c>
      <c r="G214">
        <f>1+'vehicles specifications'!AD80</f>
        <v>1</v>
      </c>
      <c r="J214">
        <v>1</v>
      </c>
      <c r="K214">
        <f>1/('fuels and tailpipe emissions'!$C$3*3.6)</f>
        <v>2.3474178403755867E-2</v>
      </c>
      <c r="L214">
        <f>1/3.6</f>
        <v>0.2777777777777778</v>
      </c>
      <c r="M214">
        <f>1/'vehicles specifications'!J80</f>
        <v>4.0000000000000003E-5</v>
      </c>
      <c r="N214">
        <v>1</v>
      </c>
      <c r="O214">
        <f>1</f>
        <v>1</v>
      </c>
      <c r="P214">
        <v>1</v>
      </c>
      <c r="Q214">
        <v>1</v>
      </c>
      <c r="R214">
        <f>-1-'vehicles specifications'!AD80</f>
        <v>-1</v>
      </c>
      <c r="S214">
        <v>1</v>
      </c>
      <c r="T214">
        <v>1</v>
      </c>
      <c r="U214">
        <v>1</v>
      </c>
      <c r="V214">
        <v>1</v>
      </c>
      <c r="W214">
        <v>1</v>
      </c>
      <c r="X214">
        <v>1</v>
      </c>
      <c r="Y214">
        <v>1</v>
      </c>
      <c r="Z214">
        <v>1</v>
      </c>
      <c r="AA214">
        <v>1</v>
      </c>
      <c r="AB214">
        <v>1</v>
      </c>
      <c r="AC214">
        <v>1</v>
      </c>
      <c r="AD214">
        <v>1</v>
      </c>
      <c r="AE214">
        <v>1</v>
      </c>
      <c r="AF214">
        <v>1</v>
      </c>
      <c r="AG214">
        <v>1</v>
      </c>
      <c r="AH214">
        <v>1</v>
      </c>
      <c r="AI214">
        <v>1</v>
      </c>
      <c r="AJ214">
        <v>1</v>
      </c>
      <c r="AK214">
        <v>1</v>
      </c>
      <c r="AL214">
        <v>1</v>
      </c>
      <c r="AM214">
        <v>1</v>
      </c>
      <c r="AN214">
        <v>1</v>
      </c>
      <c r="AO214">
        <v>1</v>
      </c>
      <c r="AP214">
        <v>1</v>
      </c>
      <c r="AQ214">
        <v>1</v>
      </c>
      <c r="AR214">
        <v>1</v>
      </c>
      <c r="AS214">
        <v>1</v>
      </c>
      <c r="AT214">
        <v>1</v>
      </c>
      <c r="AU214">
        <v>1</v>
      </c>
      <c r="AV214">
        <v>1</v>
      </c>
      <c r="AW214">
        <v>1</v>
      </c>
      <c r="AX214">
        <v>1</v>
      </c>
      <c r="AY214">
        <v>1</v>
      </c>
      <c r="AZ214">
        <v>1</v>
      </c>
      <c r="BA214">
        <v>1</v>
      </c>
      <c r="BB214">
        <v>1</v>
      </c>
      <c r="BC214">
        <v>1</v>
      </c>
      <c r="BD214">
        <v>1</v>
      </c>
      <c r="BE214">
        <v>1</v>
      </c>
      <c r="BF214">
        <v>1</v>
      </c>
      <c r="BG214">
        <v>1</v>
      </c>
      <c r="BH214">
        <v>1</v>
      </c>
      <c r="BI214">
        <v>1</v>
      </c>
      <c r="BJ214">
        <v>-1</v>
      </c>
      <c r="BK214">
        <v>-1</v>
      </c>
      <c r="BL214">
        <v>-1</v>
      </c>
    </row>
    <row r="215" spans="1:64" x14ac:dyDescent="0.2">
      <c r="A215" t="s">
        <v>810</v>
      </c>
      <c r="B215">
        <v>1</v>
      </c>
      <c r="C215" s="2">
        <f>'vehicles specifications'!S77</f>
        <v>73</v>
      </c>
      <c r="D215">
        <v>1</v>
      </c>
      <c r="E215">
        <v>1</v>
      </c>
      <c r="F215">
        <f>1+'vehicles specifications'!AD77</f>
        <v>2</v>
      </c>
      <c r="G215">
        <f>1+'vehicles specifications'!AD77</f>
        <v>2</v>
      </c>
      <c r="J215">
        <v>1</v>
      </c>
      <c r="K215">
        <f>1/('fuels and tailpipe emissions'!$C$3*3.6)</f>
        <v>2.3474178403755867E-2</v>
      </c>
      <c r="L215">
        <f>1/3.6</f>
        <v>0.2777777777777778</v>
      </c>
      <c r="M215">
        <f>1/'vehicles specifications'!J77</f>
        <v>4.0000000000000003E-5</v>
      </c>
      <c r="N215">
        <v>1</v>
      </c>
      <c r="O215">
        <f>1</f>
        <v>1</v>
      </c>
      <c r="P215">
        <v>1</v>
      </c>
      <c r="Q215">
        <v>1</v>
      </c>
      <c r="R215">
        <f>-1-'vehicles specifications'!AD77</f>
        <v>-2</v>
      </c>
      <c r="S215">
        <v>1</v>
      </c>
      <c r="T215">
        <v>1</v>
      </c>
      <c r="U215">
        <v>1</v>
      </c>
      <c r="V215">
        <v>1</v>
      </c>
      <c r="W215">
        <v>1</v>
      </c>
      <c r="X215">
        <v>1</v>
      </c>
      <c r="Y215">
        <v>1</v>
      </c>
      <c r="Z215">
        <v>1</v>
      </c>
      <c r="AA215">
        <v>1</v>
      </c>
      <c r="AB215">
        <v>1</v>
      </c>
      <c r="AC215">
        <v>1</v>
      </c>
      <c r="AD215">
        <v>1</v>
      </c>
      <c r="AE215">
        <v>1</v>
      </c>
      <c r="AF215">
        <v>1</v>
      </c>
      <c r="AG215">
        <v>1</v>
      </c>
      <c r="AH215">
        <v>1</v>
      </c>
      <c r="AI215">
        <v>1</v>
      </c>
      <c r="AJ215">
        <v>1</v>
      </c>
      <c r="AK215">
        <v>1</v>
      </c>
      <c r="AL215">
        <v>1</v>
      </c>
      <c r="AM215">
        <v>1</v>
      </c>
      <c r="AN215">
        <v>1</v>
      </c>
      <c r="AO215">
        <v>1</v>
      </c>
      <c r="AP215">
        <v>1</v>
      </c>
      <c r="AQ215">
        <v>1</v>
      </c>
      <c r="AR215">
        <v>1</v>
      </c>
      <c r="AS215">
        <v>1</v>
      </c>
      <c r="AT215">
        <v>1</v>
      </c>
      <c r="AU215">
        <v>1</v>
      </c>
      <c r="AV215">
        <v>1</v>
      </c>
      <c r="AW215">
        <v>1</v>
      </c>
      <c r="AX215">
        <v>1</v>
      </c>
      <c r="AY215">
        <v>1</v>
      </c>
      <c r="AZ215">
        <v>1</v>
      </c>
      <c r="BA215">
        <v>1</v>
      </c>
      <c r="BB215">
        <v>1</v>
      </c>
      <c r="BC215">
        <v>1</v>
      </c>
      <c r="BD215">
        <v>1</v>
      </c>
      <c r="BE215">
        <v>1</v>
      </c>
      <c r="BF215">
        <v>1</v>
      </c>
      <c r="BG215">
        <v>1</v>
      </c>
      <c r="BH215">
        <v>1</v>
      </c>
      <c r="BI215">
        <v>1</v>
      </c>
      <c r="BJ215">
        <v>-1</v>
      </c>
      <c r="BK215">
        <v>-1</v>
      </c>
      <c r="BL215">
        <v>-1</v>
      </c>
    </row>
    <row r="216" spans="1:64" x14ac:dyDescent="0.2">
      <c r="A216" t="s">
        <v>811</v>
      </c>
      <c r="B216">
        <v>1</v>
      </c>
      <c r="C216" s="2">
        <f>'vehicles specifications'!S78</f>
        <v>73</v>
      </c>
      <c r="D216">
        <v>1</v>
      </c>
      <c r="E216">
        <v>1</v>
      </c>
      <c r="F216">
        <f>1+'vehicles specifications'!AD78</f>
        <v>1.5</v>
      </c>
      <c r="G216">
        <f>1+'vehicles specifications'!AD78</f>
        <v>1.5</v>
      </c>
      <c r="J216">
        <v>1</v>
      </c>
      <c r="K216">
        <f>1/('fuels and tailpipe emissions'!$C$3*3.6)</f>
        <v>2.3474178403755867E-2</v>
      </c>
      <c r="L216">
        <f>1/3.6</f>
        <v>0.2777777777777778</v>
      </c>
      <c r="M216">
        <f>1/'vehicles specifications'!J78</f>
        <v>4.0000000000000003E-5</v>
      </c>
      <c r="N216">
        <v>1</v>
      </c>
      <c r="O216">
        <f>1</f>
        <v>1</v>
      </c>
      <c r="P216">
        <v>1</v>
      </c>
      <c r="Q216">
        <v>1</v>
      </c>
      <c r="R216">
        <f>-1-'vehicles specifications'!AD78</f>
        <v>-1.5</v>
      </c>
      <c r="S216">
        <v>1</v>
      </c>
      <c r="T216">
        <v>1</v>
      </c>
      <c r="U216">
        <v>1</v>
      </c>
      <c r="V216">
        <v>1</v>
      </c>
      <c r="W216">
        <v>1</v>
      </c>
      <c r="X216">
        <v>1</v>
      </c>
      <c r="Y216">
        <v>1</v>
      </c>
      <c r="Z216">
        <v>1</v>
      </c>
      <c r="AA216">
        <v>1</v>
      </c>
      <c r="AB216">
        <v>1</v>
      </c>
      <c r="AC216">
        <v>1</v>
      </c>
      <c r="AD216">
        <v>1</v>
      </c>
      <c r="AE216">
        <v>1</v>
      </c>
      <c r="AF216">
        <v>1</v>
      </c>
      <c r="AG216">
        <v>1</v>
      </c>
      <c r="AH216">
        <v>1</v>
      </c>
      <c r="AI216">
        <v>1</v>
      </c>
      <c r="AJ216">
        <v>1</v>
      </c>
      <c r="AK216">
        <v>1</v>
      </c>
      <c r="AL216">
        <v>1</v>
      </c>
      <c r="AM216">
        <v>1</v>
      </c>
      <c r="AN216">
        <v>1</v>
      </c>
      <c r="AO216">
        <v>1</v>
      </c>
      <c r="AP216">
        <v>1</v>
      </c>
      <c r="AQ216">
        <v>1</v>
      </c>
      <c r="AR216">
        <v>1</v>
      </c>
      <c r="AS216">
        <v>1</v>
      </c>
      <c r="AT216">
        <v>1</v>
      </c>
      <c r="AU216">
        <v>1</v>
      </c>
      <c r="AV216">
        <v>1</v>
      </c>
      <c r="AW216">
        <v>1</v>
      </c>
      <c r="AX216">
        <v>1</v>
      </c>
      <c r="AY216">
        <v>1</v>
      </c>
      <c r="AZ216">
        <v>1</v>
      </c>
      <c r="BA216">
        <v>1</v>
      </c>
      <c r="BB216">
        <v>1</v>
      </c>
      <c r="BC216">
        <v>1</v>
      </c>
      <c r="BD216">
        <v>1</v>
      </c>
      <c r="BE216">
        <v>1</v>
      </c>
      <c r="BF216">
        <v>1</v>
      </c>
      <c r="BG216">
        <v>1</v>
      </c>
      <c r="BH216">
        <v>1</v>
      </c>
      <c r="BI216">
        <v>1</v>
      </c>
      <c r="BJ216">
        <v>-1</v>
      </c>
      <c r="BK216">
        <v>-1</v>
      </c>
      <c r="BL216">
        <v>-1</v>
      </c>
    </row>
    <row r="217" spans="1:64" x14ac:dyDescent="0.2">
      <c r="A217" t="s">
        <v>812</v>
      </c>
      <c r="B217">
        <v>1</v>
      </c>
      <c r="C217" s="2">
        <f>'vehicles specifications'!S79</f>
        <v>73</v>
      </c>
      <c r="D217">
        <v>1</v>
      </c>
      <c r="E217">
        <v>1</v>
      </c>
      <c r="F217">
        <f>1+'vehicles specifications'!AD79</f>
        <v>1.25</v>
      </c>
      <c r="G217">
        <f>1+'vehicles specifications'!AD79</f>
        <v>1.25</v>
      </c>
      <c r="J217">
        <v>1</v>
      </c>
      <c r="K217">
        <f>1/('fuels and tailpipe emissions'!$C$3*3.6)</f>
        <v>2.3474178403755867E-2</v>
      </c>
      <c r="L217">
        <f>1/3.6</f>
        <v>0.2777777777777778</v>
      </c>
      <c r="M217">
        <f>1/'vehicles specifications'!J79</f>
        <v>4.0000000000000003E-5</v>
      </c>
      <c r="N217">
        <v>1</v>
      </c>
      <c r="O217">
        <f>1</f>
        <v>1</v>
      </c>
      <c r="P217">
        <v>1</v>
      </c>
      <c r="Q217">
        <v>1</v>
      </c>
      <c r="R217">
        <f>-1-'vehicles specifications'!AD79</f>
        <v>-1.25</v>
      </c>
      <c r="S217">
        <v>1</v>
      </c>
      <c r="T217">
        <v>1</v>
      </c>
      <c r="U217">
        <v>1</v>
      </c>
      <c r="V217">
        <v>1</v>
      </c>
      <c r="W217">
        <v>1</v>
      </c>
      <c r="X217">
        <v>1</v>
      </c>
      <c r="Y217">
        <v>1</v>
      </c>
      <c r="Z217">
        <v>1</v>
      </c>
      <c r="AA217">
        <v>1</v>
      </c>
      <c r="AB217">
        <v>1</v>
      </c>
      <c r="AC217">
        <v>1</v>
      </c>
      <c r="AD217">
        <v>1</v>
      </c>
      <c r="AE217">
        <v>1</v>
      </c>
      <c r="AF217">
        <v>1</v>
      </c>
      <c r="AG217">
        <v>1</v>
      </c>
      <c r="AH217">
        <v>1</v>
      </c>
      <c r="AI217">
        <v>1</v>
      </c>
      <c r="AJ217">
        <v>1</v>
      </c>
      <c r="AK217">
        <v>1</v>
      </c>
      <c r="AL217">
        <v>1</v>
      </c>
      <c r="AM217">
        <v>1</v>
      </c>
      <c r="AN217">
        <v>1</v>
      </c>
      <c r="AO217">
        <v>1</v>
      </c>
      <c r="AP217">
        <v>1</v>
      </c>
      <c r="AQ217">
        <v>1</v>
      </c>
      <c r="AR217">
        <v>1</v>
      </c>
      <c r="AS217">
        <v>1</v>
      </c>
      <c r="AT217">
        <v>1</v>
      </c>
      <c r="AU217">
        <v>1</v>
      </c>
      <c r="AV217">
        <v>1</v>
      </c>
      <c r="AW217">
        <v>1</v>
      </c>
      <c r="AX217">
        <v>1</v>
      </c>
      <c r="AY217">
        <v>1</v>
      </c>
      <c r="AZ217">
        <v>1</v>
      </c>
      <c r="BA217">
        <v>1</v>
      </c>
      <c r="BB217">
        <v>1</v>
      </c>
      <c r="BC217">
        <v>1</v>
      </c>
      <c r="BD217">
        <v>1</v>
      </c>
      <c r="BE217">
        <v>1</v>
      </c>
      <c r="BF217">
        <v>1</v>
      </c>
      <c r="BG217">
        <v>1</v>
      </c>
      <c r="BH217">
        <v>1</v>
      </c>
      <c r="BI217">
        <v>1</v>
      </c>
      <c r="BJ217">
        <v>-1</v>
      </c>
      <c r="BK217">
        <v>-1</v>
      </c>
      <c r="BL217">
        <v>-1</v>
      </c>
    </row>
    <row r="218" spans="1:64" x14ac:dyDescent="0.2">
      <c r="A218" t="s">
        <v>813</v>
      </c>
      <c r="B218">
        <v>1</v>
      </c>
      <c r="C218" s="2">
        <f>'vehicles specifications'!S80</f>
        <v>73</v>
      </c>
      <c r="D218">
        <v>1</v>
      </c>
      <c r="E218">
        <v>1</v>
      </c>
      <c r="F218">
        <f>1+'vehicles specifications'!AD80</f>
        <v>1</v>
      </c>
      <c r="G218">
        <f>1+'vehicles specifications'!AD80</f>
        <v>1</v>
      </c>
      <c r="J218">
        <v>1</v>
      </c>
      <c r="K218">
        <f>1/('fuels and tailpipe emissions'!$C$3*3.6)</f>
        <v>2.3474178403755867E-2</v>
      </c>
      <c r="L218">
        <f>1/3.6</f>
        <v>0.2777777777777778</v>
      </c>
      <c r="M218">
        <f>1/'vehicles specifications'!J80</f>
        <v>4.0000000000000003E-5</v>
      </c>
      <c r="N218">
        <v>1</v>
      </c>
      <c r="O218">
        <f>1</f>
        <v>1</v>
      </c>
      <c r="P218">
        <v>1</v>
      </c>
      <c r="Q218">
        <v>1</v>
      </c>
      <c r="R218">
        <f>-1-'vehicles specifications'!AD80</f>
        <v>-1</v>
      </c>
      <c r="S218">
        <v>1</v>
      </c>
      <c r="T218">
        <v>1</v>
      </c>
      <c r="U218">
        <v>1</v>
      </c>
      <c r="V218">
        <v>1</v>
      </c>
      <c r="W218">
        <v>1</v>
      </c>
      <c r="X218">
        <v>1</v>
      </c>
      <c r="Y218">
        <v>1</v>
      </c>
      <c r="Z218">
        <v>1</v>
      </c>
      <c r="AA218">
        <v>1</v>
      </c>
      <c r="AB218">
        <v>1</v>
      </c>
      <c r="AC218">
        <v>1</v>
      </c>
      <c r="AD218">
        <v>1</v>
      </c>
      <c r="AE218">
        <v>1</v>
      </c>
      <c r="AF218">
        <v>1</v>
      </c>
      <c r="AG218">
        <v>1</v>
      </c>
      <c r="AH218">
        <v>1</v>
      </c>
      <c r="AI218">
        <v>1</v>
      </c>
      <c r="AJ218">
        <v>1</v>
      </c>
      <c r="AK218">
        <v>1</v>
      </c>
      <c r="AL218">
        <v>1</v>
      </c>
      <c r="AM218">
        <v>1</v>
      </c>
      <c r="AN218">
        <v>1</v>
      </c>
      <c r="AO218">
        <v>1</v>
      </c>
      <c r="AP218">
        <v>1</v>
      </c>
      <c r="AQ218">
        <v>1</v>
      </c>
      <c r="AR218">
        <v>1</v>
      </c>
      <c r="AS218">
        <v>1</v>
      </c>
      <c r="AT218">
        <v>1</v>
      </c>
      <c r="AU218">
        <v>1</v>
      </c>
      <c r="AV218">
        <v>1</v>
      </c>
      <c r="AW218">
        <v>1</v>
      </c>
      <c r="AX218">
        <v>1</v>
      </c>
      <c r="AY218">
        <v>1</v>
      </c>
      <c r="AZ218">
        <v>1</v>
      </c>
      <c r="BA218">
        <v>1</v>
      </c>
      <c r="BB218">
        <v>1</v>
      </c>
      <c r="BC218">
        <v>1</v>
      </c>
      <c r="BD218">
        <v>1</v>
      </c>
      <c r="BE218">
        <v>1</v>
      </c>
      <c r="BF218">
        <v>1</v>
      </c>
      <c r="BG218">
        <v>1</v>
      </c>
      <c r="BH218">
        <v>1</v>
      </c>
      <c r="BI218">
        <v>1</v>
      </c>
      <c r="BJ218">
        <v>-1</v>
      </c>
      <c r="BK218">
        <v>-1</v>
      </c>
      <c r="BL218">
        <v>-1</v>
      </c>
    </row>
    <row r="219" spans="1:64" x14ac:dyDescent="0.2">
      <c r="A219" t="s">
        <v>814</v>
      </c>
      <c r="B219">
        <v>1</v>
      </c>
      <c r="C219" s="2">
        <f>'vehicles specifications'!S81</f>
        <v>84</v>
      </c>
      <c r="D219">
        <v>1</v>
      </c>
      <c r="E219">
        <v>1</v>
      </c>
      <c r="F219">
        <f>1+'vehicles specifications'!AD81</f>
        <v>2</v>
      </c>
      <c r="G219">
        <f>1+'vehicles specifications'!AD81</f>
        <v>2</v>
      </c>
      <c r="J219">
        <v>1</v>
      </c>
      <c r="K219">
        <f>1/('fuels and tailpipe emissions'!$C$3*3.6)</f>
        <v>2.3474178403755867E-2</v>
      </c>
      <c r="L219">
        <f>1/3.6</f>
        <v>0.2777777777777778</v>
      </c>
      <c r="M219">
        <f>1/'vehicles specifications'!J81</f>
        <v>4.0000000000000003E-5</v>
      </c>
      <c r="N219">
        <v>1</v>
      </c>
      <c r="O219">
        <f>1</f>
        <v>1</v>
      </c>
      <c r="P219">
        <v>1</v>
      </c>
      <c r="Q219">
        <v>1</v>
      </c>
      <c r="R219">
        <f>-1-'vehicles specifications'!AD81</f>
        <v>-2</v>
      </c>
      <c r="S219">
        <v>1</v>
      </c>
      <c r="T219">
        <v>1</v>
      </c>
      <c r="U219">
        <v>1</v>
      </c>
      <c r="V219">
        <v>1</v>
      </c>
      <c r="W219">
        <v>1</v>
      </c>
      <c r="X219">
        <v>1</v>
      </c>
      <c r="Y219">
        <v>1</v>
      </c>
      <c r="Z219">
        <v>1</v>
      </c>
      <c r="AA219">
        <v>1</v>
      </c>
      <c r="AB219">
        <v>1</v>
      </c>
      <c r="AC219">
        <v>1</v>
      </c>
      <c r="AD219">
        <v>1</v>
      </c>
      <c r="AE219">
        <v>1</v>
      </c>
      <c r="AF219">
        <v>1</v>
      </c>
      <c r="AG219">
        <v>1</v>
      </c>
      <c r="AH219">
        <v>1</v>
      </c>
      <c r="AI219">
        <v>1</v>
      </c>
      <c r="AJ219">
        <v>1</v>
      </c>
      <c r="AK219">
        <v>1</v>
      </c>
      <c r="AL219">
        <v>1</v>
      </c>
      <c r="AM219">
        <v>1</v>
      </c>
      <c r="AN219">
        <v>1</v>
      </c>
      <c r="AO219">
        <v>1</v>
      </c>
      <c r="AP219">
        <v>1</v>
      </c>
      <c r="AQ219">
        <v>1</v>
      </c>
      <c r="AR219">
        <v>1</v>
      </c>
      <c r="AS219">
        <v>1</v>
      </c>
      <c r="AT219">
        <v>1</v>
      </c>
      <c r="AU219">
        <v>1</v>
      </c>
      <c r="AV219">
        <v>1</v>
      </c>
      <c r="AW219">
        <v>1</v>
      </c>
      <c r="AX219">
        <v>1</v>
      </c>
      <c r="AY219">
        <v>1</v>
      </c>
      <c r="AZ219">
        <v>1</v>
      </c>
      <c r="BA219">
        <v>1</v>
      </c>
      <c r="BB219">
        <v>1</v>
      </c>
      <c r="BC219">
        <v>1</v>
      </c>
      <c r="BD219">
        <v>1</v>
      </c>
      <c r="BE219">
        <v>1</v>
      </c>
      <c r="BF219">
        <v>1</v>
      </c>
      <c r="BG219">
        <v>1</v>
      </c>
      <c r="BH219">
        <v>1</v>
      </c>
      <c r="BI219">
        <v>1</v>
      </c>
      <c r="BJ219">
        <v>-1</v>
      </c>
      <c r="BK219">
        <v>-1</v>
      </c>
      <c r="BL219">
        <v>-1</v>
      </c>
    </row>
    <row r="220" spans="1:64" x14ac:dyDescent="0.2">
      <c r="A220" t="s">
        <v>815</v>
      </c>
      <c r="B220">
        <v>1</v>
      </c>
      <c r="C220" s="2">
        <f>'vehicles specifications'!S82</f>
        <v>84</v>
      </c>
      <c r="D220">
        <v>1</v>
      </c>
      <c r="E220">
        <v>1</v>
      </c>
      <c r="F220">
        <f>1+'vehicles specifications'!AD82</f>
        <v>1.5</v>
      </c>
      <c r="G220">
        <f>1+'vehicles specifications'!AD82</f>
        <v>1.5</v>
      </c>
      <c r="J220">
        <v>1</v>
      </c>
      <c r="K220">
        <f>1/('fuels and tailpipe emissions'!$C$3*3.6)</f>
        <v>2.3474178403755867E-2</v>
      </c>
      <c r="L220">
        <f>1/3.6</f>
        <v>0.2777777777777778</v>
      </c>
      <c r="M220">
        <f>1/'vehicles specifications'!J82</f>
        <v>4.0000000000000003E-5</v>
      </c>
      <c r="N220">
        <v>1</v>
      </c>
      <c r="O220">
        <f>1</f>
        <v>1</v>
      </c>
      <c r="P220">
        <v>1</v>
      </c>
      <c r="Q220">
        <v>1</v>
      </c>
      <c r="R220">
        <f>-1-'vehicles specifications'!AD82</f>
        <v>-1.5</v>
      </c>
      <c r="S220">
        <v>1</v>
      </c>
      <c r="T220">
        <v>1</v>
      </c>
      <c r="U220">
        <v>1</v>
      </c>
      <c r="V220">
        <v>1</v>
      </c>
      <c r="W220">
        <v>1</v>
      </c>
      <c r="X220">
        <v>1</v>
      </c>
      <c r="Y220">
        <v>1</v>
      </c>
      <c r="Z220">
        <v>1</v>
      </c>
      <c r="AA220">
        <v>1</v>
      </c>
      <c r="AB220">
        <v>1</v>
      </c>
      <c r="AC220">
        <v>1</v>
      </c>
      <c r="AD220">
        <v>1</v>
      </c>
      <c r="AE220">
        <v>1</v>
      </c>
      <c r="AF220">
        <v>1</v>
      </c>
      <c r="AG220">
        <v>1</v>
      </c>
      <c r="AH220">
        <v>1</v>
      </c>
      <c r="AI220">
        <v>1</v>
      </c>
      <c r="AJ220">
        <v>1</v>
      </c>
      <c r="AK220">
        <v>1</v>
      </c>
      <c r="AL220">
        <v>1</v>
      </c>
      <c r="AM220">
        <v>1</v>
      </c>
      <c r="AN220">
        <v>1</v>
      </c>
      <c r="AO220">
        <v>1</v>
      </c>
      <c r="AP220">
        <v>1</v>
      </c>
      <c r="AQ220">
        <v>1</v>
      </c>
      <c r="AR220">
        <v>1</v>
      </c>
      <c r="AS220">
        <v>1</v>
      </c>
      <c r="AT220">
        <v>1</v>
      </c>
      <c r="AU220">
        <v>1</v>
      </c>
      <c r="AV220">
        <v>1</v>
      </c>
      <c r="AW220">
        <v>1</v>
      </c>
      <c r="AX220">
        <v>1</v>
      </c>
      <c r="AY220">
        <v>1</v>
      </c>
      <c r="AZ220">
        <v>1</v>
      </c>
      <c r="BA220">
        <v>1</v>
      </c>
      <c r="BB220">
        <v>1</v>
      </c>
      <c r="BC220">
        <v>1</v>
      </c>
      <c r="BD220">
        <v>1</v>
      </c>
      <c r="BE220">
        <v>1</v>
      </c>
      <c r="BF220">
        <v>1</v>
      </c>
      <c r="BG220">
        <v>1</v>
      </c>
      <c r="BH220">
        <v>1</v>
      </c>
      <c r="BI220">
        <v>1</v>
      </c>
      <c r="BJ220">
        <v>-1</v>
      </c>
      <c r="BK220">
        <v>-1</v>
      </c>
      <c r="BL220">
        <v>-1</v>
      </c>
    </row>
    <row r="221" spans="1:64" x14ac:dyDescent="0.2">
      <c r="A221" t="s">
        <v>816</v>
      </c>
      <c r="B221">
        <v>1</v>
      </c>
      <c r="C221" s="2">
        <f>'vehicles specifications'!S83</f>
        <v>84</v>
      </c>
      <c r="D221">
        <v>1</v>
      </c>
      <c r="E221">
        <v>1</v>
      </c>
      <c r="F221">
        <f>1+'vehicles specifications'!AD83</f>
        <v>1.25</v>
      </c>
      <c r="G221">
        <f>1+'vehicles specifications'!AD83</f>
        <v>1.25</v>
      </c>
      <c r="J221">
        <v>1</v>
      </c>
      <c r="K221">
        <f>1/('fuels and tailpipe emissions'!$C$3*3.6)</f>
        <v>2.3474178403755867E-2</v>
      </c>
      <c r="L221">
        <f>1/3.6</f>
        <v>0.2777777777777778</v>
      </c>
      <c r="M221">
        <f>1/'vehicles specifications'!J83</f>
        <v>4.0000000000000003E-5</v>
      </c>
      <c r="N221">
        <v>1</v>
      </c>
      <c r="O221">
        <f>1</f>
        <v>1</v>
      </c>
      <c r="P221">
        <v>1</v>
      </c>
      <c r="Q221">
        <v>1</v>
      </c>
      <c r="R221">
        <f>-1-'vehicles specifications'!AD83</f>
        <v>-1.25</v>
      </c>
      <c r="S221">
        <v>1</v>
      </c>
      <c r="T221">
        <v>1</v>
      </c>
      <c r="U221">
        <v>1</v>
      </c>
      <c r="V221">
        <v>1</v>
      </c>
      <c r="W221">
        <v>1</v>
      </c>
      <c r="X221">
        <v>1</v>
      </c>
      <c r="Y221">
        <v>1</v>
      </c>
      <c r="Z221">
        <v>1</v>
      </c>
      <c r="AA221">
        <v>1</v>
      </c>
      <c r="AB221">
        <v>1</v>
      </c>
      <c r="AC221">
        <v>1</v>
      </c>
      <c r="AD221">
        <v>1</v>
      </c>
      <c r="AE221">
        <v>1</v>
      </c>
      <c r="AF221">
        <v>1</v>
      </c>
      <c r="AG221">
        <v>1</v>
      </c>
      <c r="AH221">
        <v>1</v>
      </c>
      <c r="AI221">
        <v>1</v>
      </c>
      <c r="AJ221">
        <v>1</v>
      </c>
      <c r="AK221">
        <v>1</v>
      </c>
      <c r="AL221">
        <v>1</v>
      </c>
      <c r="AM221">
        <v>1</v>
      </c>
      <c r="AN221">
        <v>1</v>
      </c>
      <c r="AO221">
        <v>1</v>
      </c>
      <c r="AP221">
        <v>1</v>
      </c>
      <c r="AQ221">
        <v>1</v>
      </c>
      <c r="AR221">
        <v>1</v>
      </c>
      <c r="AS221">
        <v>1</v>
      </c>
      <c r="AT221">
        <v>1</v>
      </c>
      <c r="AU221">
        <v>1</v>
      </c>
      <c r="AV221">
        <v>1</v>
      </c>
      <c r="AW221">
        <v>1</v>
      </c>
      <c r="AX221">
        <v>1</v>
      </c>
      <c r="AY221">
        <v>1</v>
      </c>
      <c r="AZ221">
        <v>1</v>
      </c>
      <c r="BA221">
        <v>1</v>
      </c>
      <c r="BB221">
        <v>1</v>
      </c>
      <c r="BC221">
        <v>1</v>
      </c>
      <c r="BD221">
        <v>1</v>
      </c>
      <c r="BE221">
        <v>1</v>
      </c>
      <c r="BF221">
        <v>1</v>
      </c>
      <c r="BG221">
        <v>1</v>
      </c>
      <c r="BH221">
        <v>1</v>
      </c>
      <c r="BI221">
        <v>1</v>
      </c>
      <c r="BJ221">
        <v>-1</v>
      </c>
      <c r="BK221">
        <v>-1</v>
      </c>
      <c r="BL221">
        <v>-1</v>
      </c>
    </row>
    <row r="222" spans="1:64" x14ac:dyDescent="0.2">
      <c r="A222" t="s">
        <v>817</v>
      </c>
      <c r="B222">
        <v>1</v>
      </c>
      <c r="C222" s="2">
        <f>'vehicles specifications'!S84</f>
        <v>84</v>
      </c>
      <c r="D222">
        <v>1</v>
      </c>
      <c r="E222">
        <v>1</v>
      </c>
      <c r="F222">
        <f>1+'vehicles specifications'!AD84</f>
        <v>1</v>
      </c>
      <c r="G222">
        <f>1+'vehicles specifications'!AD84</f>
        <v>1</v>
      </c>
      <c r="J222">
        <v>1</v>
      </c>
      <c r="K222">
        <f>1/('fuels and tailpipe emissions'!$C$3*3.6)</f>
        <v>2.3474178403755867E-2</v>
      </c>
      <c r="L222">
        <f>1/3.6</f>
        <v>0.2777777777777778</v>
      </c>
      <c r="M222">
        <f>1/'vehicles specifications'!J84</f>
        <v>4.0000000000000003E-5</v>
      </c>
      <c r="N222">
        <v>1</v>
      </c>
      <c r="O222">
        <f>1</f>
        <v>1</v>
      </c>
      <c r="P222">
        <v>1</v>
      </c>
      <c r="Q222">
        <v>1</v>
      </c>
      <c r="R222">
        <f>-1-'vehicles specifications'!AD84</f>
        <v>-1</v>
      </c>
      <c r="S222">
        <v>1</v>
      </c>
      <c r="T222">
        <v>1</v>
      </c>
      <c r="U222">
        <v>1</v>
      </c>
      <c r="V222">
        <v>1</v>
      </c>
      <c r="W222">
        <v>1</v>
      </c>
      <c r="X222">
        <v>1</v>
      </c>
      <c r="Y222">
        <v>1</v>
      </c>
      <c r="Z222">
        <v>1</v>
      </c>
      <c r="AA222">
        <v>1</v>
      </c>
      <c r="AB222">
        <v>1</v>
      </c>
      <c r="AC222">
        <v>1</v>
      </c>
      <c r="AD222">
        <v>1</v>
      </c>
      <c r="AE222">
        <v>1</v>
      </c>
      <c r="AF222">
        <v>1</v>
      </c>
      <c r="AG222">
        <v>1</v>
      </c>
      <c r="AH222">
        <v>1</v>
      </c>
      <c r="AI222">
        <v>1</v>
      </c>
      <c r="AJ222">
        <v>1</v>
      </c>
      <c r="AK222">
        <v>1</v>
      </c>
      <c r="AL222">
        <v>1</v>
      </c>
      <c r="AM222">
        <v>1</v>
      </c>
      <c r="AN222">
        <v>1</v>
      </c>
      <c r="AO222">
        <v>1</v>
      </c>
      <c r="AP222">
        <v>1</v>
      </c>
      <c r="AQ222">
        <v>1</v>
      </c>
      <c r="AR222">
        <v>1</v>
      </c>
      <c r="AS222">
        <v>1</v>
      </c>
      <c r="AT222">
        <v>1</v>
      </c>
      <c r="AU222">
        <v>1</v>
      </c>
      <c r="AV222">
        <v>1</v>
      </c>
      <c r="AW222">
        <v>1</v>
      </c>
      <c r="AX222">
        <v>1</v>
      </c>
      <c r="AY222">
        <v>1</v>
      </c>
      <c r="AZ222">
        <v>1</v>
      </c>
      <c r="BA222">
        <v>1</v>
      </c>
      <c r="BB222">
        <v>1</v>
      </c>
      <c r="BC222">
        <v>1</v>
      </c>
      <c r="BD222">
        <v>1</v>
      </c>
      <c r="BE222">
        <v>1</v>
      </c>
      <c r="BF222">
        <v>1</v>
      </c>
      <c r="BG222">
        <v>1</v>
      </c>
      <c r="BH222">
        <v>1</v>
      </c>
      <c r="BI222">
        <v>1</v>
      </c>
      <c r="BJ222">
        <v>-1</v>
      </c>
      <c r="BK222">
        <v>-1</v>
      </c>
      <c r="BL222">
        <v>-1</v>
      </c>
    </row>
    <row r="223" spans="1:64" x14ac:dyDescent="0.2">
      <c r="A223" t="s">
        <v>818</v>
      </c>
      <c r="B223">
        <v>1</v>
      </c>
      <c r="C223" s="2">
        <f>'vehicles specifications'!S81</f>
        <v>84</v>
      </c>
      <c r="D223">
        <v>1</v>
      </c>
      <c r="E223">
        <v>1</v>
      </c>
      <c r="F223">
        <f>1+'vehicles specifications'!AD81</f>
        <v>2</v>
      </c>
      <c r="G223">
        <f>1+'vehicles specifications'!AD81</f>
        <v>2</v>
      </c>
      <c r="J223">
        <v>1</v>
      </c>
      <c r="K223">
        <f>1/('fuels and tailpipe emissions'!$C$3*3.6)</f>
        <v>2.3474178403755867E-2</v>
      </c>
      <c r="L223">
        <f>1/3.6</f>
        <v>0.2777777777777778</v>
      </c>
      <c r="M223">
        <f>1/'vehicles specifications'!J81</f>
        <v>4.0000000000000003E-5</v>
      </c>
      <c r="N223">
        <v>1</v>
      </c>
      <c r="O223">
        <f>1</f>
        <v>1</v>
      </c>
      <c r="P223">
        <v>1</v>
      </c>
      <c r="Q223">
        <v>1</v>
      </c>
      <c r="R223">
        <f>-1-'vehicles specifications'!AD81</f>
        <v>-2</v>
      </c>
      <c r="S223">
        <v>1</v>
      </c>
      <c r="T223">
        <v>1</v>
      </c>
      <c r="U223">
        <v>1</v>
      </c>
      <c r="V223">
        <v>1</v>
      </c>
      <c r="W223">
        <v>1</v>
      </c>
      <c r="X223">
        <v>1</v>
      </c>
      <c r="Y223">
        <v>1</v>
      </c>
      <c r="Z223">
        <v>1</v>
      </c>
      <c r="AA223">
        <v>1</v>
      </c>
      <c r="AB223">
        <v>1</v>
      </c>
      <c r="AC223">
        <v>1</v>
      </c>
      <c r="AD223">
        <v>1</v>
      </c>
      <c r="AE223">
        <v>1</v>
      </c>
      <c r="AF223">
        <v>1</v>
      </c>
      <c r="AG223">
        <v>1</v>
      </c>
      <c r="AH223">
        <v>1</v>
      </c>
      <c r="AI223">
        <v>1</v>
      </c>
      <c r="AJ223">
        <v>1</v>
      </c>
      <c r="AK223">
        <v>1</v>
      </c>
      <c r="AL223">
        <v>1</v>
      </c>
      <c r="AM223">
        <v>1</v>
      </c>
      <c r="AN223">
        <v>1</v>
      </c>
      <c r="AO223">
        <v>1</v>
      </c>
      <c r="AP223">
        <v>1</v>
      </c>
      <c r="AQ223">
        <v>1</v>
      </c>
      <c r="AR223">
        <v>1</v>
      </c>
      <c r="AS223">
        <v>1</v>
      </c>
      <c r="AT223">
        <v>1</v>
      </c>
      <c r="AU223">
        <v>1</v>
      </c>
      <c r="AV223">
        <v>1</v>
      </c>
      <c r="AW223">
        <v>1</v>
      </c>
      <c r="AX223">
        <v>1</v>
      </c>
      <c r="AY223">
        <v>1</v>
      </c>
      <c r="AZ223">
        <v>1</v>
      </c>
      <c r="BA223">
        <v>1</v>
      </c>
      <c r="BB223">
        <v>1</v>
      </c>
      <c r="BC223">
        <v>1</v>
      </c>
      <c r="BD223">
        <v>1</v>
      </c>
      <c r="BE223">
        <v>1</v>
      </c>
      <c r="BF223">
        <v>1</v>
      </c>
      <c r="BG223">
        <v>1</v>
      </c>
      <c r="BH223">
        <v>1</v>
      </c>
      <c r="BI223">
        <v>1</v>
      </c>
      <c r="BJ223">
        <v>-1</v>
      </c>
      <c r="BK223">
        <v>-1</v>
      </c>
      <c r="BL223">
        <v>-1</v>
      </c>
    </row>
    <row r="224" spans="1:64" x14ac:dyDescent="0.2">
      <c r="A224" t="s">
        <v>819</v>
      </c>
      <c r="B224">
        <v>1</v>
      </c>
      <c r="C224" s="2">
        <f>'vehicles specifications'!S82</f>
        <v>84</v>
      </c>
      <c r="D224">
        <v>1</v>
      </c>
      <c r="E224">
        <v>1</v>
      </c>
      <c r="F224">
        <f>1+'vehicles specifications'!AD82</f>
        <v>1.5</v>
      </c>
      <c r="G224">
        <f>1+'vehicles specifications'!AD82</f>
        <v>1.5</v>
      </c>
      <c r="J224">
        <v>1</v>
      </c>
      <c r="K224">
        <f>1/('fuels and tailpipe emissions'!$C$3*3.6)</f>
        <v>2.3474178403755867E-2</v>
      </c>
      <c r="L224">
        <f>1/3.6</f>
        <v>0.2777777777777778</v>
      </c>
      <c r="M224">
        <f>1/'vehicles specifications'!J82</f>
        <v>4.0000000000000003E-5</v>
      </c>
      <c r="N224">
        <v>1</v>
      </c>
      <c r="O224">
        <f>1</f>
        <v>1</v>
      </c>
      <c r="P224">
        <v>1</v>
      </c>
      <c r="Q224">
        <v>1</v>
      </c>
      <c r="R224">
        <f>-1-'vehicles specifications'!AD82</f>
        <v>-1.5</v>
      </c>
      <c r="S224">
        <v>1</v>
      </c>
      <c r="T224">
        <v>1</v>
      </c>
      <c r="U224">
        <v>1</v>
      </c>
      <c r="V224">
        <v>1</v>
      </c>
      <c r="W224">
        <v>1</v>
      </c>
      <c r="X224">
        <v>1</v>
      </c>
      <c r="Y224">
        <v>1</v>
      </c>
      <c r="Z224">
        <v>1</v>
      </c>
      <c r="AA224">
        <v>1</v>
      </c>
      <c r="AB224">
        <v>1</v>
      </c>
      <c r="AC224">
        <v>1</v>
      </c>
      <c r="AD224">
        <v>1</v>
      </c>
      <c r="AE224">
        <v>1</v>
      </c>
      <c r="AF224">
        <v>1</v>
      </c>
      <c r="AG224">
        <v>1</v>
      </c>
      <c r="AH224">
        <v>1</v>
      </c>
      <c r="AI224">
        <v>1</v>
      </c>
      <c r="AJ224">
        <v>1</v>
      </c>
      <c r="AK224">
        <v>1</v>
      </c>
      <c r="AL224">
        <v>1</v>
      </c>
      <c r="AM224">
        <v>1</v>
      </c>
      <c r="AN224">
        <v>1</v>
      </c>
      <c r="AO224">
        <v>1</v>
      </c>
      <c r="AP224">
        <v>1</v>
      </c>
      <c r="AQ224">
        <v>1</v>
      </c>
      <c r="AR224">
        <v>1</v>
      </c>
      <c r="AS224">
        <v>1</v>
      </c>
      <c r="AT224">
        <v>1</v>
      </c>
      <c r="AU224">
        <v>1</v>
      </c>
      <c r="AV224">
        <v>1</v>
      </c>
      <c r="AW224">
        <v>1</v>
      </c>
      <c r="AX224">
        <v>1</v>
      </c>
      <c r="AY224">
        <v>1</v>
      </c>
      <c r="AZ224">
        <v>1</v>
      </c>
      <c r="BA224">
        <v>1</v>
      </c>
      <c r="BB224">
        <v>1</v>
      </c>
      <c r="BC224">
        <v>1</v>
      </c>
      <c r="BD224">
        <v>1</v>
      </c>
      <c r="BE224">
        <v>1</v>
      </c>
      <c r="BF224">
        <v>1</v>
      </c>
      <c r="BG224">
        <v>1</v>
      </c>
      <c r="BH224">
        <v>1</v>
      </c>
      <c r="BI224">
        <v>1</v>
      </c>
      <c r="BJ224">
        <v>-1</v>
      </c>
      <c r="BK224">
        <v>-1</v>
      </c>
      <c r="BL224">
        <v>-1</v>
      </c>
    </row>
    <row r="225" spans="1:64" x14ac:dyDescent="0.2">
      <c r="A225" t="s">
        <v>820</v>
      </c>
      <c r="B225">
        <v>1</v>
      </c>
      <c r="C225" s="2">
        <f>'vehicles specifications'!S83</f>
        <v>84</v>
      </c>
      <c r="D225">
        <v>1</v>
      </c>
      <c r="E225">
        <v>1</v>
      </c>
      <c r="F225">
        <f>1+'vehicles specifications'!AD83</f>
        <v>1.25</v>
      </c>
      <c r="G225">
        <f>1+'vehicles specifications'!AD83</f>
        <v>1.25</v>
      </c>
      <c r="J225">
        <v>1</v>
      </c>
      <c r="K225">
        <f>1/('fuels and tailpipe emissions'!$C$3*3.6)</f>
        <v>2.3474178403755867E-2</v>
      </c>
      <c r="L225">
        <f>1/3.6</f>
        <v>0.2777777777777778</v>
      </c>
      <c r="M225">
        <f>1/'vehicles specifications'!J83</f>
        <v>4.0000000000000003E-5</v>
      </c>
      <c r="N225">
        <v>1</v>
      </c>
      <c r="O225">
        <f>1</f>
        <v>1</v>
      </c>
      <c r="P225">
        <v>1</v>
      </c>
      <c r="Q225">
        <v>1</v>
      </c>
      <c r="R225">
        <f>-1-'vehicles specifications'!AD83</f>
        <v>-1.25</v>
      </c>
      <c r="S225">
        <v>1</v>
      </c>
      <c r="T225">
        <v>1</v>
      </c>
      <c r="U225">
        <v>1</v>
      </c>
      <c r="V225">
        <v>1</v>
      </c>
      <c r="W225">
        <v>1</v>
      </c>
      <c r="X225">
        <v>1</v>
      </c>
      <c r="Y225">
        <v>1</v>
      </c>
      <c r="Z225">
        <v>1</v>
      </c>
      <c r="AA225">
        <v>1</v>
      </c>
      <c r="AB225">
        <v>1</v>
      </c>
      <c r="AC225">
        <v>1</v>
      </c>
      <c r="AD225">
        <v>1</v>
      </c>
      <c r="AE225">
        <v>1</v>
      </c>
      <c r="AF225">
        <v>1</v>
      </c>
      <c r="AG225">
        <v>1</v>
      </c>
      <c r="AH225">
        <v>1</v>
      </c>
      <c r="AI225">
        <v>1</v>
      </c>
      <c r="AJ225">
        <v>1</v>
      </c>
      <c r="AK225">
        <v>1</v>
      </c>
      <c r="AL225">
        <v>1</v>
      </c>
      <c r="AM225">
        <v>1</v>
      </c>
      <c r="AN225">
        <v>1</v>
      </c>
      <c r="AO225">
        <v>1</v>
      </c>
      <c r="AP225">
        <v>1</v>
      </c>
      <c r="AQ225">
        <v>1</v>
      </c>
      <c r="AR225">
        <v>1</v>
      </c>
      <c r="AS225">
        <v>1</v>
      </c>
      <c r="AT225">
        <v>1</v>
      </c>
      <c r="AU225">
        <v>1</v>
      </c>
      <c r="AV225">
        <v>1</v>
      </c>
      <c r="AW225">
        <v>1</v>
      </c>
      <c r="AX225">
        <v>1</v>
      </c>
      <c r="AY225">
        <v>1</v>
      </c>
      <c r="AZ225">
        <v>1</v>
      </c>
      <c r="BA225">
        <v>1</v>
      </c>
      <c r="BB225">
        <v>1</v>
      </c>
      <c r="BC225">
        <v>1</v>
      </c>
      <c r="BD225">
        <v>1</v>
      </c>
      <c r="BE225">
        <v>1</v>
      </c>
      <c r="BF225">
        <v>1</v>
      </c>
      <c r="BG225">
        <v>1</v>
      </c>
      <c r="BH225">
        <v>1</v>
      </c>
      <c r="BI225">
        <v>1</v>
      </c>
      <c r="BJ225">
        <v>-1</v>
      </c>
      <c r="BK225">
        <v>-1</v>
      </c>
      <c r="BL225">
        <v>-1</v>
      </c>
    </row>
    <row r="226" spans="1:64" x14ac:dyDescent="0.2">
      <c r="A226" t="s">
        <v>821</v>
      </c>
      <c r="B226">
        <v>1</v>
      </c>
      <c r="C226" s="2">
        <f>'vehicles specifications'!S84</f>
        <v>84</v>
      </c>
      <c r="D226">
        <v>1</v>
      </c>
      <c r="E226">
        <v>1</v>
      </c>
      <c r="F226">
        <f>1+'vehicles specifications'!AD84</f>
        <v>1</v>
      </c>
      <c r="G226">
        <f>1+'vehicles specifications'!AD84</f>
        <v>1</v>
      </c>
      <c r="J226">
        <v>1</v>
      </c>
      <c r="K226">
        <f>1/('fuels and tailpipe emissions'!$C$3*3.6)</f>
        <v>2.3474178403755867E-2</v>
      </c>
      <c r="L226">
        <f>1/3.6</f>
        <v>0.2777777777777778</v>
      </c>
      <c r="M226">
        <f>1/'vehicles specifications'!J84</f>
        <v>4.0000000000000003E-5</v>
      </c>
      <c r="N226">
        <v>1</v>
      </c>
      <c r="O226">
        <f>1</f>
        <v>1</v>
      </c>
      <c r="P226">
        <v>1</v>
      </c>
      <c r="Q226">
        <v>1</v>
      </c>
      <c r="R226">
        <f>-1-'vehicles specifications'!AD84</f>
        <v>-1</v>
      </c>
      <c r="S226">
        <v>1</v>
      </c>
      <c r="T226">
        <v>1</v>
      </c>
      <c r="U226">
        <v>1</v>
      </c>
      <c r="V226">
        <v>1</v>
      </c>
      <c r="W226">
        <v>1</v>
      </c>
      <c r="X226">
        <v>1</v>
      </c>
      <c r="Y226">
        <v>1</v>
      </c>
      <c r="Z226">
        <v>1</v>
      </c>
      <c r="AA226">
        <v>1</v>
      </c>
      <c r="AB226">
        <v>1</v>
      </c>
      <c r="AC226">
        <v>1</v>
      </c>
      <c r="AD226">
        <v>1</v>
      </c>
      <c r="AE226">
        <v>1</v>
      </c>
      <c r="AF226">
        <v>1</v>
      </c>
      <c r="AG226">
        <v>1</v>
      </c>
      <c r="AH226">
        <v>1</v>
      </c>
      <c r="AI226">
        <v>1</v>
      </c>
      <c r="AJ226">
        <v>1</v>
      </c>
      <c r="AK226">
        <v>1</v>
      </c>
      <c r="AL226">
        <v>1</v>
      </c>
      <c r="AM226">
        <v>1</v>
      </c>
      <c r="AN226">
        <v>1</v>
      </c>
      <c r="AO226">
        <v>1</v>
      </c>
      <c r="AP226">
        <v>1</v>
      </c>
      <c r="AQ226">
        <v>1</v>
      </c>
      <c r="AR226">
        <v>1</v>
      </c>
      <c r="AS226">
        <v>1</v>
      </c>
      <c r="AT226">
        <v>1</v>
      </c>
      <c r="AU226">
        <v>1</v>
      </c>
      <c r="AV226">
        <v>1</v>
      </c>
      <c r="AW226">
        <v>1</v>
      </c>
      <c r="AX226">
        <v>1</v>
      </c>
      <c r="AY226">
        <v>1</v>
      </c>
      <c r="AZ226">
        <v>1</v>
      </c>
      <c r="BA226">
        <v>1</v>
      </c>
      <c r="BB226">
        <v>1</v>
      </c>
      <c r="BC226">
        <v>1</v>
      </c>
      <c r="BD226">
        <v>1</v>
      </c>
      <c r="BE226">
        <v>1</v>
      </c>
      <c r="BF226">
        <v>1</v>
      </c>
      <c r="BG226">
        <v>1</v>
      </c>
      <c r="BH226">
        <v>1</v>
      </c>
      <c r="BI226">
        <v>1</v>
      </c>
      <c r="BJ226">
        <v>-1</v>
      </c>
      <c r="BK226">
        <v>-1</v>
      </c>
      <c r="BL226">
        <v>-1</v>
      </c>
    </row>
    <row r="227" spans="1:64" x14ac:dyDescent="0.2">
      <c r="A227" t="s">
        <v>822</v>
      </c>
      <c r="B227">
        <v>1</v>
      </c>
      <c r="C227" s="2">
        <f>'vehicles specifications'!S85</f>
        <v>73</v>
      </c>
      <c r="D227">
        <v>1</v>
      </c>
      <c r="E227">
        <v>1</v>
      </c>
      <c r="F227">
        <f>1+'vehicles specifications'!AD85</f>
        <v>2</v>
      </c>
      <c r="G227">
        <f>1+'vehicles specifications'!AD85</f>
        <v>2</v>
      </c>
      <c r="J227">
        <v>1</v>
      </c>
      <c r="K227">
        <f>1/('fuels and tailpipe emissions'!$C$3*3.6)</f>
        <v>2.3474178403755867E-2</v>
      </c>
      <c r="L227">
        <f>1/3.6</f>
        <v>0.2777777777777778</v>
      </c>
      <c r="M227">
        <f>1/'vehicles specifications'!J85</f>
        <v>4.0000000000000003E-5</v>
      </c>
      <c r="N227">
        <v>1</v>
      </c>
      <c r="O227">
        <f>1</f>
        <v>1</v>
      </c>
      <c r="P227">
        <v>1</v>
      </c>
      <c r="Q227">
        <v>1</v>
      </c>
      <c r="R227">
        <f>-1-'vehicles specifications'!AD85</f>
        <v>-2</v>
      </c>
      <c r="S227">
        <v>1</v>
      </c>
      <c r="T227">
        <v>1</v>
      </c>
      <c r="U227">
        <v>1</v>
      </c>
      <c r="V227">
        <v>1</v>
      </c>
      <c r="W227">
        <v>1</v>
      </c>
      <c r="X227">
        <v>1</v>
      </c>
      <c r="Y227">
        <v>1</v>
      </c>
      <c r="Z227">
        <v>1</v>
      </c>
      <c r="AA227">
        <v>1</v>
      </c>
      <c r="AB227">
        <v>1</v>
      </c>
      <c r="AC227">
        <v>1</v>
      </c>
      <c r="AD227">
        <v>1</v>
      </c>
      <c r="AE227">
        <v>1</v>
      </c>
      <c r="AF227">
        <v>1</v>
      </c>
      <c r="AG227">
        <v>1</v>
      </c>
      <c r="AH227">
        <v>1</v>
      </c>
      <c r="AI227">
        <v>1</v>
      </c>
      <c r="AJ227">
        <v>1</v>
      </c>
      <c r="AK227">
        <v>1</v>
      </c>
      <c r="AL227">
        <v>1</v>
      </c>
      <c r="AM227">
        <v>1</v>
      </c>
      <c r="AN227">
        <v>1</v>
      </c>
      <c r="AO227">
        <v>1</v>
      </c>
      <c r="AP227">
        <v>1</v>
      </c>
      <c r="AQ227">
        <v>1</v>
      </c>
      <c r="AR227">
        <v>1</v>
      </c>
      <c r="AS227">
        <v>1</v>
      </c>
      <c r="AT227">
        <v>1</v>
      </c>
      <c r="AU227">
        <v>1</v>
      </c>
      <c r="AV227">
        <v>1</v>
      </c>
      <c r="AW227">
        <v>1</v>
      </c>
      <c r="AX227">
        <v>1</v>
      </c>
      <c r="AY227">
        <v>1</v>
      </c>
      <c r="AZ227">
        <v>1</v>
      </c>
      <c r="BA227">
        <v>1</v>
      </c>
      <c r="BB227">
        <v>1</v>
      </c>
      <c r="BC227">
        <v>1</v>
      </c>
      <c r="BD227">
        <v>1</v>
      </c>
      <c r="BE227">
        <v>1</v>
      </c>
      <c r="BF227">
        <v>1</v>
      </c>
      <c r="BG227">
        <v>1</v>
      </c>
      <c r="BH227">
        <v>1</v>
      </c>
      <c r="BI227">
        <v>1</v>
      </c>
      <c r="BJ227">
        <v>-1</v>
      </c>
      <c r="BK227">
        <v>-1</v>
      </c>
      <c r="BL227">
        <v>-1</v>
      </c>
    </row>
    <row r="228" spans="1:64" x14ac:dyDescent="0.2">
      <c r="A228" t="s">
        <v>823</v>
      </c>
      <c r="B228">
        <v>1</v>
      </c>
      <c r="C228" s="2">
        <f>'vehicles specifications'!S86</f>
        <v>73</v>
      </c>
      <c r="D228">
        <v>1</v>
      </c>
      <c r="E228">
        <v>1</v>
      </c>
      <c r="F228">
        <f>1+'vehicles specifications'!AD86</f>
        <v>1.5</v>
      </c>
      <c r="G228">
        <f>1+'vehicles specifications'!AD86</f>
        <v>1.5</v>
      </c>
      <c r="J228">
        <v>1</v>
      </c>
      <c r="K228">
        <f>1/('fuels and tailpipe emissions'!$C$3*3.6)</f>
        <v>2.3474178403755867E-2</v>
      </c>
      <c r="L228">
        <f>1/3.6</f>
        <v>0.2777777777777778</v>
      </c>
      <c r="M228">
        <f>1/'vehicles specifications'!J86</f>
        <v>4.0000000000000003E-5</v>
      </c>
      <c r="N228">
        <v>1</v>
      </c>
      <c r="O228">
        <f>1</f>
        <v>1</v>
      </c>
      <c r="P228">
        <v>1</v>
      </c>
      <c r="Q228">
        <v>1</v>
      </c>
      <c r="R228">
        <f>-1-'vehicles specifications'!AD86</f>
        <v>-1.5</v>
      </c>
      <c r="S228">
        <v>1</v>
      </c>
      <c r="T228">
        <v>1</v>
      </c>
      <c r="U228">
        <v>1</v>
      </c>
      <c r="V228">
        <v>1</v>
      </c>
      <c r="W228">
        <v>1</v>
      </c>
      <c r="X228">
        <v>1</v>
      </c>
      <c r="Y228">
        <v>1</v>
      </c>
      <c r="Z228">
        <v>1</v>
      </c>
      <c r="AA228">
        <v>1</v>
      </c>
      <c r="AB228">
        <v>1</v>
      </c>
      <c r="AC228">
        <v>1</v>
      </c>
      <c r="AD228">
        <v>1</v>
      </c>
      <c r="AE228">
        <v>1</v>
      </c>
      <c r="AF228">
        <v>1</v>
      </c>
      <c r="AG228">
        <v>1</v>
      </c>
      <c r="AH228">
        <v>1</v>
      </c>
      <c r="AI228">
        <v>1</v>
      </c>
      <c r="AJ228">
        <v>1</v>
      </c>
      <c r="AK228">
        <v>1</v>
      </c>
      <c r="AL228">
        <v>1</v>
      </c>
      <c r="AM228">
        <v>1</v>
      </c>
      <c r="AN228">
        <v>1</v>
      </c>
      <c r="AO228">
        <v>1</v>
      </c>
      <c r="AP228">
        <v>1</v>
      </c>
      <c r="AQ228">
        <v>1</v>
      </c>
      <c r="AR228">
        <v>1</v>
      </c>
      <c r="AS228">
        <v>1</v>
      </c>
      <c r="AT228">
        <v>1</v>
      </c>
      <c r="AU228">
        <v>1</v>
      </c>
      <c r="AV228">
        <v>1</v>
      </c>
      <c r="AW228">
        <v>1</v>
      </c>
      <c r="AX228">
        <v>1</v>
      </c>
      <c r="AY228">
        <v>1</v>
      </c>
      <c r="AZ228">
        <v>1</v>
      </c>
      <c r="BA228">
        <v>1</v>
      </c>
      <c r="BB228">
        <v>1</v>
      </c>
      <c r="BC228">
        <v>1</v>
      </c>
      <c r="BD228">
        <v>1</v>
      </c>
      <c r="BE228">
        <v>1</v>
      </c>
      <c r="BF228">
        <v>1</v>
      </c>
      <c r="BG228">
        <v>1</v>
      </c>
      <c r="BH228">
        <v>1</v>
      </c>
      <c r="BI228">
        <v>1</v>
      </c>
      <c r="BJ228">
        <v>-1</v>
      </c>
      <c r="BK228">
        <v>-1</v>
      </c>
      <c r="BL228">
        <v>-1</v>
      </c>
    </row>
    <row r="229" spans="1:64" x14ac:dyDescent="0.2">
      <c r="A229" t="s">
        <v>824</v>
      </c>
      <c r="B229">
        <v>1</v>
      </c>
      <c r="C229" s="2">
        <f>'vehicles specifications'!S87</f>
        <v>73</v>
      </c>
      <c r="D229">
        <v>1</v>
      </c>
      <c r="E229">
        <v>1</v>
      </c>
      <c r="F229">
        <f>1+'vehicles specifications'!AD87</f>
        <v>1.25</v>
      </c>
      <c r="G229">
        <f>1+'vehicles specifications'!AD87</f>
        <v>1.25</v>
      </c>
      <c r="J229">
        <v>1</v>
      </c>
      <c r="K229">
        <f>1/('fuels and tailpipe emissions'!$C$3*3.6)</f>
        <v>2.3474178403755867E-2</v>
      </c>
      <c r="L229">
        <f>1/3.6</f>
        <v>0.2777777777777778</v>
      </c>
      <c r="M229">
        <f>1/'vehicles specifications'!J87</f>
        <v>4.0000000000000003E-5</v>
      </c>
      <c r="N229">
        <v>1</v>
      </c>
      <c r="O229">
        <f>1</f>
        <v>1</v>
      </c>
      <c r="P229">
        <v>1</v>
      </c>
      <c r="Q229">
        <v>1</v>
      </c>
      <c r="R229">
        <f>-1-'vehicles specifications'!AD87</f>
        <v>-1.25</v>
      </c>
      <c r="S229">
        <v>1</v>
      </c>
      <c r="T229">
        <v>1</v>
      </c>
      <c r="U229">
        <v>1</v>
      </c>
      <c r="V229">
        <v>1</v>
      </c>
      <c r="W229">
        <v>1</v>
      </c>
      <c r="X229">
        <v>1</v>
      </c>
      <c r="Y229">
        <v>1</v>
      </c>
      <c r="Z229">
        <v>1</v>
      </c>
      <c r="AA229">
        <v>1</v>
      </c>
      <c r="AB229">
        <v>1</v>
      </c>
      <c r="AC229">
        <v>1</v>
      </c>
      <c r="AD229">
        <v>1</v>
      </c>
      <c r="AE229">
        <v>1</v>
      </c>
      <c r="AF229">
        <v>1</v>
      </c>
      <c r="AG229">
        <v>1</v>
      </c>
      <c r="AH229">
        <v>1</v>
      </c>
      <c r="AI229">
        <v>1</v>
      </c>
      <c r="AJ229">
        <v>1</v>
      </c>
      <c r="AK229">
        <v>1</v>
      </c>
      <c r="AL229">
        <v>1</v>
      </c>
      <c r="AM229">
        <v>1</v>
      </c>
      <c r="AN229">
        <v>1</v>
      </c>
      <c r="AO229">
        <v>1</v>
      </c>
      <c r="AP229">
        <v>1</v>
      </c>
      <c r="AQ229">
        <v>1</v>
      </c>
      <c r="AR229">
        <v>1</v>
      </c>
      <c r="AS229">
        <v>1</v>
      </c>
      <c r="AT229">
        <v>1</v>
      </c>
      <c r="AU229">
        <v>1</v>
      </c>
      <c r="AV229">
        <v>1</v>
      </c>
      <c r="AW229">
        <v>1</v>
      </c>
      <c r="AX229">
        <v>1</v>
      </c>
      <c r="AY229">
        <v>1</v>
      </c>
      <c r="AZ229">
        <v>1</v>
      </c>
      <c r="BA229">
        <v>1</v>
      </c>
      <c r="BB229">
        <v>1</v>
      </c>
      <c r="BC229">
        <v>1</v>
      </c>
      <c r="BD229">
        <v>1</v>
      </c>
      <c r="BE229">
        <v>1</v>
      </c>
      <c r="BF229">
        <v>1</v>
      </c>
      <c r="BG229">
        <v>1</v>
      </c>
      <c r="BH229">
        <v>1</v>
      </c>
      <c r="BI229">
        <v>1</v>
      </c>
      <c r="BJ229">
        <v>-1</v>
      </c>
      <c r="BK229">
        <v>-1</v>
      </c>
      <c r="BL229">
        <v>-1</v>
      </c>
    </row>
    <row r="230" spans="1:64" x14ac:dyDescent="0.2">
      <c r="A230" t="s">
        <v>825</v>
      </c>
      <c r="B230">
        <v>1</v>
      </c>
      <c r="C230" s="2">
        <f>'vehicles specifications'!S88</f>
        <v>73</v>
      </c>
      <c r="D230">
        <v>1</v>
      </c>
      <c r="E230">
        <v>1</v>
      </c>
      <c r="F230">
        <f>1+'vehicles specifications'!AD88</f>
        <v>1</v>
      </c>
      <c r="G230">
        <f>1+'vehicles specifications'!AD88</f>
        <v>1</v>
      </c>
      <c r="J230">
        <v>1</v>
      </c>
      <c r="K230">
        <f>1/('fuels and tailpipe emissions'!$C$3*3.6)</f>
        <v>2.3474178403755867E-2</v>
      </c>
      <c r="L230">
        <f>1/3.6</f>
        <v>0.2777777777777778</v>
      </c>
      <c r="M230">
        <f>1/'vehicles specifications'!J88</f>
        <v>4.0000000000000003E-5</v>
      </c>
      <c r="N230">
        <v>1</v>
      </c>
      <c r="O230">
        <f>1</f>
        <v>1</v>
      </c>
      <c r="P230">
        <v>1</v>
      </c>
      <c r="Q230">
        <v>1</v>
      </c>
      <c r="R230">
        <f>-1-'vehicles specifications'!AD88</f>
        <v>-1</v>
      </c>
      <c r="S230">
        <v>1</v>
      </c>
      <c r="T230">
        <v>1</v>
      </c>
      <c r="U230">
        <v>1</v>
      </c>
      <c r="V230">
        <v>1</v>
      </c>
      <c r="W230">
        <v>1</v>
      </c>
      <c r="X230">
        <v>1</v>
      </c>
      <c r="Y230">
        <v>1</v>
      </c>
      <c r="Z230">
        <v>1</v>
      </c>
      <c r="AA230">
        <v>1</v>
      </c>
      <c r="AB230">
        <v>1</v>
      </c>
      <c r="AC230">
        <v>1</v>
      </c>
      <c r="AD230">
        <v>1</v>
      </c>
      <c r="AE230">
        <v>1</v>
      </c>
      <c r="AF230">
        <v>1</v>
      </c>
      <c r="AG230">
        <v>1</v>
      </c>
      <c r="AH230">
        <v>1</v>
      </c>
      <c r="AI230">
        <v>1</v>
      </c>
      <c r="AJ230">
        <v>1</v>
      </c>
      <c r="AK230">
        <v>1</v>
      </c>
      <c r="AL230">
        <v>1</v>
      </c>
      <c r="AM230">
        <v>1</v>
      </c>
      <c r="AN230">
        <v>1</v>
      </c>
      <c r="AO230">
        <v>1</v>
      </c>
      <c r="AP230">
        <v>1</v>
      </c>
      <c r="AQ230">
        <v>1</v>
      </c>
      <c r="AR230">
        <v>1</v>
      </c>
      <c r="AS230">
        <v>1</v>
      </c>
      <c r="AT230">
        <v>1</v>
      </c>
      <c r="AU230">
        <v>1</v>
      </c>
      <c r="AV230">
        <v>1</v>
      </c>
      <c r="AW230">
        <v>1</v>
      </c>
      <c r="AX230">
        <v>1</v>
      </c>
      <c r="AY230">
        <v>1</v>
      </c>
      <c r="AZ230">
        <v>1</v>
      </c>
      <c r="BA230">
        <v>1</v>
      </c>
      <c r="BB230">
        <v>1</v>
      </c>
      <c r="BC230">
        <v>1</v>
      </c>
      <c r="BD230">
        <v>1</v>
      </c>
      <c r="BE230">
        <v>1</v>
      </c>
      <c r="BF230">
        <v>1</v>
      </c>
      <c r="BG230">
        <v>1</v>
      </c>
      <c r="BH230">
        <v>1</v>
      </c>
      <c r="BI230">
        <v>1</v>
      </c>
      <c r="BJ230">
        <v>-1</v>
      </c>
      <c r="BK230">
        <v>-1</v>
      </c>
      <c r="BL230">
        <v>-1</v>
      </c>
    </row>
    <row r="231" spans="1:64" x14ac:dyDescent="0.2">
      <c r="A231" t="s">
        <v>826</v>
      </c>
      <c r="B231">
        <v>1</v>
      </c>
      <c r="C231" s="2">
        <f>'vehicles specifications'!S89</f>
        <v>84</v>
      </c>
      <c r="D231">
        <v>1</v>
      </c>
      <c r="E231">
        <v>1</v>
      </c>
      <c r="F231">
        <f>1+'vehicles specifications'!AD89</f>
        <v>2</v>
      </c>
      <c r="G231">
        <f>1+'vehicles specifications'!AD89</f>
        <v>2</v>
      </c>
      <c r="J231">
        <v>1</v>
      </c>
      <c r="K231">
        <f>1/('fuels and tailpipe emissions'!$C$3*3.6)</f>
        <v>2.3474178403755867E-2</v>
      </c>
      <c r="L231">
        <f>1/3.6</f>
        <v>0.2777777777777778</v>
      </c>
      <c r="M231">
        <f>1/'vehicles specifications'!J89</f>
        <v>3.3333333333333335E-5</v>
      </c>
      <c r="N231">
        <v>1</v>
      </c>
      <c r="O231">
        <f>1</f>
        <v>1</v>
      </c>
      <c r="P231">
        <v>1</v>
      </c>
      <c r="Q231">
        <v>1</v>
      </c>
      <c r="R231">
        <f>-1-'vehicles specifications'!AD89</f>
        <v>-2</v>
      </c>
      <c r="S231">
        <v>1</v>
      </c>
      <c r="T231">
        <v>1</v>
      </c>
      <c r="U231">
        <v>1</v>
      </c>
      <c r="V231">
        <v>1</v>
      </c>
      <c r="W231">
        <v>1</v>
      </c>
      <c r="X231">
        <v>1</v>
      </c>
      <c r="Y231">
        <v>1</v>
      </c>
      <c r="Z231">
        <v>1</v>
      </c>
      <c r="AA231">
        <v>1</v>
      </c>
      <c r="AB231">
        <v>1</v>
      </c>
      <c r="AC231">
        <v>1</v>
      </c>
      <c r="AD231">
        <v>1</v>
      </c>
      <c r="AE231">
        <v>1</v>
      </c>
      <c r="AF231">
        <v>1</v>
      </c>
      <c r="AG231">
        <v>1</v>
      </c>
      <c r="AH231">
        <v>1</v>
      </c>
      <c r="AI231">
        <v>1</v>
      </c>
      <c r="AJ231">
        <v>1</v>
      </c>
      <c r="AK231">
        <v>1</v>
      </c>
      <c r="AL231">
        <v>1</v>
      </c>
      <c r="AM231">
        <v>1</v>
      </c>
      <c r="AN231">
        <v>1</v>
      </c>
      <c r="AO231">
        <v>1</v>
      </c>
      <c r="AP231">
        <v>1</v>
      </c>
      <c r="AQ231">
        <v>1</v>
      </c>
      <c r="AR231">
        <v>1</v>
      </c>
      <c r="AS231">
        <v>1</v>
      </c>
      <c r="AT231">
        <v>1</v>
      </c>
      <c r="AU231">
        <v>1</v>
      </c>
      <c r="AV231">
        <v>1</v>
      </c>
      <c r="AW231">
        <v>1</v>
      </c>
      <c r="AX231">
        <v>1</v>
      </c>
      <c r="AY231">
        <v>1</v>
      </c>
      <c r="AZ231">
        <v>1</v>
      </c>
      <c r="BA231">
        <v>1</v>
      </c>
      <c r="BB231">
        <v>1</v>
      </c>
      <c r="BC231">
        <v>1</v>
      </c>
      <c r="BD231">
        <v>1</v>
      </c>
      <c r="BE231">
        <v>1</v>
      </c>
      <c r="BF231">
        <v>1</v>
      </c>
      <c r="BG231">
        <v>1</v>
      </c>
      <c r="BH231">
        <v>1</v>
      </c>
      <c r="BI231">
        <v>1</v>
      </c>
      <c r="BJ231">
        <v>-1</v>
      </c>
      <c r="BK231">
        <v>-1</v>
      </c>
      <c r="BL231">
        <v>-1</v>
      </c>
    </row>
    <row r="232" spans="1:64" x14ac:dyDescent="0.2">
      <c r="A232" t="s">
        <v>827</v>
      </c>
      <c r="B232">
        <v>1</v>
      </c>
      <c r="C232" s="2">
        <f>'vehicles specifications'!S90</f>
        <v>84</v>
      </c>
      <c r="D232">
        <v>1</v>
      </c>
      <c r="E232">
        <v>1</v>
      </c>
      <c r="F232">
        <f>1+'vehicles specifications'!AD90</f>
        <v>1.5</v>
      </c>
      <c r="G232">
        <f>1+'vehicles specifications'!AD90</f>
        <v>1.5</v>
      </c>
      <c r="J232">
        <v>1</v>
      </c>
      <c r="K232">
        <f>1/('fuels and tailpipe emissions'!$C$3*3.6)</f>
        <v>2.3474178403755867E-2</v>
      </c>
      <c r="L232">
        <f>1/3.6</f>
        <v>0.2777777777777778</v>
      </c>
      <c r="M232">
        <f>1/'vehicles specifications'!J90</f>
        <v>3.3333333333333335E-5</v>
      </c>
      <c r="N232">
        <v>1</v>
      </c>
      <c r="O232">
        <f>1</f>
        <v>1</v>
      </c>
      <c r="P232">
        <v>1</v>
      </c>
      <c r="Q232">
        <v>1</v>
      </c>
      <c r="R232">
        <f>-1-'vehicles specifications'!AD90</f>
        <v>-1.5</v>
      </c>
      <c r="S232">
        <v>1</v>
      </c>
      <c r="T232">
        <v>1</v>
      </c>
      <c r="U232">
        <v>1</v>
      </c>
      <c r="V232">
        <v>1</v>
      </c>
      <c r="W232">
        <v>1</v>
      </c>
      <c r="X232">
        <v>1</v>
      </c>
      <c r="Y232">
        <v>1</v>
      </c>
      <c r="Z232">
        <v>1</v>
      </c>
      <c r="AA232">
        <v>1</v>
      </c>
      <c r="AB232">
        <v>1</v>
      </c>
      <c r="AC232">
        <v>1</v>
      </c>
      <c r="AD232">
        <v>1</v>
      </c>
      <c r="AE232">
        <v>1</v>
      </c>
      <c r="AF232">
        <v>1</v>
      </c>
      <c r="AG232">
        <v>1</v>
      </c>
      <c r="AH232">
        <v>1</v>
      </c>
      <c r="AI232">
        <v>1</v>
      </c>
      <c r="AJ232">
        <v>1</v>
      </c>
      <c r="AK232">
        <v>1</v>
      </c>
      <c r="AL232">
        <v>1</v>
      </c>
      <c r="AM232">
        <v>1</v>
      </c>
      <c r="AN232">
        <v>1</v>
      </c>
      <c r="AO232">
        <v>1</v>
      </c>
      <c r="AP232">
        <v>1</v>
      </c>
      <c r="AQ232">
        <v>1</v>
      </c>
      <c r="AR232">
        <v>1</v>
      </c>
      <c r="AS232">
        <v>1</v>
      </c>
      <c r="AT232">
        <v>1</v>
      </c>
      <c r="AU232">
        <v>1</v>
      </c>
      <c r="AV232">
        <v>1</v>
      </c>
      <c r="AW232">
        <v>1</v>
      </c>
      <c r="AX232">
        <v>1</v>
      </c>
      <c r="AY232">
        <v>1</v>
      </c>
      <c r="AZ232">
        <v>1</v>
      </c>
      <c r="BA232">
        <v>1</v>
      </c>
      <c r="BB232">
        <v>1</v>
      </c>
      <c r="BC232">
        <v>1</v>
      </c>
      <c r="BD232">
        <v>1</v>
      </c>
      <c r="BE232">
        <v>1</v>
      </c>
      <c r="BF232">
        <v>1</v>
      </c>
      <c r="BG232">
        <v>1</v>
      </c>
      <c r="BH232">
        <v>1</v>
      </c>
      <c r="BI232">
        <v>1</v>
      </c>
      <c r="BJ232">
        <v>-1</v>
      </c>
      <c r="BK232">
        <v>-1</v>
      </c>
      <c r="BL232">
        <v>-1</v>
      </c>
    </row>
    <row r="233" spans="1:64" x14ac:dyDescent="0.2">
      <c r="A233" t="s">
        <v>828</v>
      </c>
      <c r="B233">
        <v>1</v>
      </c>
      <c r="C233" s="2">
        <f>'vehicles specifications'!S91</f>
        <v>84</v>
      </c>
      <c r="D233">
        <v>1</v>
      </c>
      <c r="E233">
        <v>1</v>
      </c>
      <c r="F233">
        <f>1+'vehicles specifications'!AD91</f>
        <v>1.25</v>
      </c>
      <c r="G233">
        <f>1+'vehicles specifications'!AD91</f>
        <v>1.25</v>
      </c>
      <c r="J233">
        <v>1</v>
      </c>
      <c r="K233">
        <f>1/('fuels and tailpipe emissions'!$C$3*3.6)</f>
        <v>2.3474178403755867E-2</v>
      </c>
      <c r="L233">
        <f>1/3.6</f>
        <v>0.2777777777777778</v>
      </c>
      <c r="M233">
        <f>1/'vehicles specifications'!J91</f>
        <v>3.3333333333333335E-5</v>
      </c>
      <c r="N233">
        <v>1</v>
      </c>
      <c r="O233">
        <f>1</f>
        <v>1</v>
      </c>
      <c r="P233">
        <v>1</v>
      </c>
      <c r="Q233">
        <v>1</v>
      </c>
      <c r="R233">
        <f>-1-'vehicles specifications'!AD91</f>
        <v>-1.25</v>
      </c>
      <c r="S233">
        <v>1</v>
      </c>
      <c r="T233">
        <v>1</v>
      </c>
      <c r="U233">
        <v>1</v>
      </c>
      <c r="V233">
        <v>1</v>
      </c>
      <c r="W233">
        <v>1</v>
      </c>
      <c r="X233">
        <v>1</v>
      </c>
      <c r="Y233">
        <v>1</v>
      </c>
      <c r="Z233">
        <v>1</v>
      </c>
      <c r="AA233">
        <v>1</v>
      </c>
      <c r="AB233">
        <v>1</v>
      </c>
      <c r="AC233">
        <v>1</v>
      </c>
      <c r="AD233">
        <v>1</v>
      </c>
      <c r="AE233">
        <v>1</v>
      </c>
      <c r="AF233">
        <v>1</v>
      </c>
      <c r="AG233">
        <v>1</v>
      </c>
      <c r="AH233">
        <v>1</v>
      </c>
      <c r="AI233">
        <v>1</v>
      </c>
      <c r="AJ233">
        <v>1</v>
      </c>
      <c r="AK233">
        <v>1</v>
      </c>
      <c r="AL233">
        <v>1</v>
      </c>
      <c r="AM233">
        <v>1</v>
      </c>
      <c r="AN233">
        <v>1</v>
      </c>
      <c r="AO233">
        <v>1</v>
      </c>
      <c r="AP233">
        <v>1</v>
      </c>
      <c r="AQ233">
        <v>1</v>
      </c>
      <c r="AR233">
        <v>1</v>
      </c>
      <c r="AS233">
        <v>1</v>
      </c>
      <c r="AT233">
        <v>1</v>
      </c>
      <c r="AU233">
        <v>1</v>
      </c>
      <c r="AV233">
        <v>1</v>
      </c>
      <c r="AW233">
        <v>1</v>
      </c>
      <c r="AX233">
        <v>1</v>
      </c>
      <c r="AY233">
        <v>1</v>
      </c>
      <c r="AZ233">
        <v>1</v>
      </c>
      <c r="BA233">
        <v>1</v>
      </c>
      <c r="BB233">
        <v>1</v>
      </c>
      <c r="BC233">
        <v>1</v>
      </c>
      <c r="BD233">
        <v>1</v>
      </c>
      <c r="BE233">
        <v>1</v>
      </c>
      <c r="BF233">
        <v>1</v>
      </c>
      <c r="BG233">
        <v>1</v>
      </c>
      <c r="BH233">
        <v>1</v>
      </c>
      <c r="BI233">
        <v>1</v>
      </c>
      <c r="BJ233">
        <v>-1</v>
      </c>
      <c r="BK233">
        <v>-1</v>
      </c>
      <c r="BL233">
        <v>-1</v>
      </c>
    </row>
    <row r="234" spans="1:64" x14ac:dyDescent="0.2">
      <c r="A234" t="s">
        <v>829</v>
      </c>
      <c r="B234">
        <v>1</v>
      </c>
      <c r="C234" s="2">
        <f>'vehicles specifications'!S92</f>
        <v>84</v>
      </c>
      <c r="D234">
        <v>1</v>
      </c>
      <c r="E234">
        <v>1</v>
      </c>
      <c r="F234">
        <f>1+'vehicles specifications'!AD92</f>
        <v>1</v>
      </c>
      <c r="G234">
        <f>1+'vehicles specifications'!AD92</f>
        <v>1</v>
      </c>
      <c r="J234">
        <v>1</v>
      </c>
      <c r="K234">
        <f>1/('fuels and tailpipe emissions'!$C$3*3.6)</f>
        <v>2.3474178403755867E-2</v>
      </c>
      <c r="L234">
        <f>1/3.6</f>
        <v>0.2777777777777778</v>
      </c>
      <c r="M234">
        <f>1/'vehicles specifications'!J92</f>
        <v>3.3333333333333335E-5</v>
      </c>
      <c r="N234">
        <v>1</v>
      </c>
      <c r="O234">
        <f>1</f>
        <v>1</v>
      </c>
      <c r="P234">
        <v>1</v>
      </c>
      <c r="Q234">
        <v>1</v>
      </c>
      <c r="R234">
        <f>-1-'vehicles specifications'!AD92</f>
        <v>-1</v>
      </c>
      <c r="S234">
        <v>1</v>
      </c>
      <c r="T234">
        <v>1</v>
      </c>
      <c r="U234">
        <v>1</v>
      </c>
      <c r="V234">
        <v>1</v>
      </c>
      <c r="W234">
        <v>1</v>
      </c>
      <c r="X234">
        <v>1</v>
      </c>
      <c r="Y234">
        <v>1</v>
      </c>
      <c r="Z234">
        <v>1</v>
      </c>
      <c r="AA234">
        <v>1</v>
      </c>
      <c r="AB234">
        <v>1</v>
      </c>
      <c r="AC234">
        <v>1</v>
      </c>
      <c r="AD234">
        <v>1</v>
      </c>
      <c r="AE234">
        <v>1</v>
      </c>
      <c r="AF234">
        <v>1</v>
      </c>
      <c r="AG234">
        <v>1</v>
      </c>
      <c r="AH234">
        <v>1</v>
      </c>
      <c r="AI234">
        <v>1</v>
      </c>
      <c r="AJ234">
        <v>1</v>
      </c>
      <c r="AK234">
        <v>1</v>
      </c>
      <c r="AL234">
        <v>1</v>
      </c>
      <c r="AM234">
        <v>1</v>
      </c>
      <c r="AN234">
        <v>1</v>
      </c>
      <c r="AO234">
        <v>1</v>
      </c>
      <c r="AP234">
        <v>1</v>
      </c>
      <c r="AQ234">
        <v>1</v>
      </c>
      <c r="AR234">
        <v>1</v>
      </c>
      <c r="AS234">
        <v>1</v>
      </c>
      <c r="AT234">
        <v>1</v>
      </c>
      <c r="AU234">
        <v>1</v>
      </c>
      <c r="AV234">
        <v>1</v>
      </c>
      <c r="AW234">
        <v>1</v>
      </c>
      <c r="AX234">
        <v>1</v>
      </c>
      <c r="AY234">
        <v>1</v>
      </c>
      <c r="AZ234">
        <v>1</v>
      </c>
      <c r="BA234">
        <v>1</v>
      </c>
      <c r="BB234">
        <v>1</v>
      </c>
      <c r="BC234">
        <v>1</v>
      </c>
      <c r="BD234">
        <v>1</v>
      </c>
      <c r="BE234">
        <v>1</v>
      </c>
      <c r="BF234">
        <v>1</v>
      </c>
      <c r="BG234">
        <v>1</v>
      </c>
      <c r="BH234">
        <v>1</v>
      </c>
      <c r="BI234">
        <v>1</v>
      </c>
      <c r="BJ234">
        <v>-1</v>
      </c>
      <c r="BK234">
        <v>-1</v>
      </c>
      <c r="BL234">
        <v>-1</v>
      </c>
    </row>
    <row r="235" spans="1:64" x14ac:dyDescent="0.2">
      <c r="A235" t="s">
        <v>406</v>
      </c>
      <c r="B235">
        <f t="shared" ref="B235:D252" si="13">1/90</f>
        <v>1.1111111111111112E-2</v>
      </c>
      <c r="C235" s="2">
        <f>'vehicles specifications'!S101</f>
        <v>65.433826960328489</v>
      </c>
      <c r="D235">
        <f t="shared" si="13"/>
        <v>1.1111111111111112E-2</v>
      </c>
      <c r="F235">
        <f>1+'vehicles specifications'!AD101</f>
        <v>1</v>
      </c>
      <c r="G235">
        <f>1+'vehicles specifications'!AD101</f>
        <v>1</v>
      </c>
      <c r="H235">
        <v>1</v>
      </c>
      <c r="I235">
        <v>1</v>
      </c>
      <c r="K235">
        <f>1/('fuels and tailpipe emissions'!$C$3*3.6)</f>
        <v>2.3474178403755867E-2</v>
      </c>
      <c r="L235">
        <f>1/3.6</f>
        <v>0.2777777777777778</v>
      </c>
      <c r="M235">
        <f>1/'vehicles specifications'!J101</f>
        <v>4.0000000000000003E-5</v>
      </c>
      <c r="N235">
        <v>1</v>
      </c>
      <c r="O235">
        <f>1</f>
        <v>1</v>
      </c>
      <c r="P235">
        <v>-1</v>
      </c>
      <c r="Q235">
        <v>-1</v>
      </c>
      <c r="R235">
        <f>-1-'vehicles specifications'!AD101</f>
        <v>-1</v>
      </c>
      <c r="S235">
        <v>1</v>
      </c>
      <c r="T235">
        <v>1</v>
      </c>
      <c r="U235">
        <v>1</v>
      </c>
      <c r="V235">
        <v>1</v>
      </c>
      <c r="W235">
        <v>1</v>
      </c>
      <c r="X235">
        <v>1</v>
      </c>
      <c r="Y235">
        <v>1</v>
      </c>
      <c r="Z235">
        <v>1</v>
      </c>
      <c r="AA235">
        <v>1</v>
      </c>
      <c r="AB235">
        <v>1</v>
      </c>
      <c r="AC235">
        <v>1</v>
      </c>
      <c r="AD235">
        <v>1</v>
      </c>
      <c r="AE235">
        <v>1</v>
      </c>
      <c r="AF235">
        <v>1</v>
      </c>
      <c r="AG235">
        <v>1</v>
      </c>
      <c r="AH235">
        <v>1</v>
      </c>
      <c r="AI235">
        <v>1</v>
      </c>
      <c r="AJ235">
        <v>1</v>
      </c>
      <c r="AK235">
        <v>1</v>
      </c>
      <c r="AL235">
        <v>1</v>
      </c>
      <c r="AM235">
        <v>1</v>
      </c>
      <c r="AN235">
        <v>1</v>
      </c>
      <c r="AO235">
        <v>1</v>
      </c>
      <c r="AP235">
        <v>1</v>
      </c>
      <c r="AQ235">
        <v>1</v>
      </c>
      <c r="AR235">
        <v>1</v>
      </c>
      <c r="AS235">
        <v>1</v>
      </c>
      <c r="AT235">
        <v>1</v>
      </c>
      <c r="AU235">
        <v>1</v>
      </c>
      <c r="AV235">
        <v>1</v>
      </c>
      <c r="AW235">
        <v>1</v>
      </c>
      <c r="AX235">
        <v>1</v>
      </c>
      <c r="AY235">
        <v>1</v>
      </c>
      <c r="AZ235">
        <v>1</v>
      </c>
      <c r="BA235">
        <v>1</v>
      </c>
      <c r="BB235">
        <v>1</v>
      </c>
      <c r="BC235">
        <v>1</v>
      </c>
      <c r="BD235">
        <v>1</v>
      </c>
      <c r="BE235">
        <v>1</v>
      </c>
      <c r="BF235">
        <v>1</v>
      </c>
      <c r="BG235">
        <v>1</v>
      </c>
      <c r="BH235">
        <v>1</v>
      </c>
      <c r="BI235">
        <v>1</v>
      </c>
      <c r="BJ235">
        <v>-1</v>
      </c>
      <c r="BK235">
        <v>-1</v>
      </c>
      <c r="BL235">
        <v>-1</v>
      </c>
    </row>
    <row r="236" spans="1:64" x14ac:dyDescent="0.2">
      <c r="A236" t="s">
        <v>407</v>
      </c>
      <c r="B236">
        <f t="shared" si="13"/>
        <v>1.1111111111111112E-2</v>
      </c>
      <c r="C236" s="2">
        <f>'vehicles specifications'!S102</f>
        <v>65.433826960328489</v>
      </c>
      <c r="D236">
        <f t="shared" si="13"/>
        <v>1.1111111111111112E-2</v>
      </c>
      <c r="F236">
        <f>1+'vehicles specifications'!AD102</f>
        <v>1</v>
      </c>
      <c r="G236">
        <f>1+'vehicles specifications'!AD102</f>
        <v>1</v>
      </c>
      <c r="H236">
        <v>1</v>
      </c>
      <c r="I236">
        <v>1</v>
      </c>
      <c r="K236">
        <f>1/('fuels and tailpipe emissions'!$C$3*3.6)</f>
        <v>2.3474178403755867E-2</v>
      </c>
      <c r="L236">
        <f>1/3.6</f>
        <v>0.2777777777777778</v>
      </c>
      <c r="M236">
        <f>1/'vehicles specifications'!J102</f>
        <v>4.0000000000000003E-5</v>
      </c>
      <c r="N236">
        <v>1</v>
      </c>
      <c r="O236">
        <f>1</f>
        <v>1</v>
      </c>
      <c r="P236">
        <v>-1</v>
      </c>
      <c r="Q236">
        <v>-1</v>
      </c>
      <c r="R236">
        <f>-1-'vehicles specifications'!AD102</f>
        <v>-1</v>
      </c>
      <c r="S236">
        <v>1</v>
      </c>
      <c r="T236">
        <v>1</v>
      </c>
      <c r="U236">
        <v>1</v>
      </c>
      <c r="V236">
        <v>1</v>
      </c>
      <c r="W236">
        <v>1</v>
      </c>
      <c r="X236">
        <v>1</v>
      </c>
      <c r="Y236">
        <v>1</v>
      </c>
      <c r="Z236">
        <v>1</v>
      </c>
      <c r="AA236">
        <v>1</v>
      </c>
      <c r="AB236">
        <v>1</v>
      </c>
      <c r="AC236">
        <v>1</v>
      </c>
      <c r="AD236">
        <v>1</v>
      </c>
      <c r="AE236">
        <v>1</v>
      </c>
      <c r="AF236">
        <v>1</v>
      </c>
      <c r="AG236">
        <v>1</v>
      </c>
      <c r="AH236">
        <v>1</v>
      </c>
      <c r="AI236">
        <v>1</v>
      </c>
      <c r="AJ236">
        <v>1</v>
      </c>
      <c r="AK236">
        <v>1</v>
      </c>
      <c r="AL236">
        <v>1</v>
      </c>
      <c r="AM236">
        <v>1</v>
      </c>
      <c r="AN236">
        <v>1</v>
      </c>
      <c r="AO236">
        <v>1</v>
      </c>
      <c r="AP236">
        <v>1</v>
      </c>
      <c r="AQ236">
        <v>1</v>
      </c>
      <c r="AR236">
        <v>1</v>
      </c>
      <c r="AS236">
        <v>1</v>
      </c>
      <c r="AT236">
        <v>1</v>
      </c>
      <c r="AU236">
        <v>1</v>
      </c>
      <c r="AV236">
        <v>1</v>
      </c>
      <c r="AW236">
        <v>1</v>
      </c>
      <c r="AX236">
        <v>1</v>
      </c>
      <c r="AY236">
        <v>1</v>
      </c>
      <c r="AZ236">
        <v>1</v>
      </c>
      <c r="BA236">
        <v>1</v>
      </c>
      <c r="BB236">
        <v>1</v>
      </c>
      <c r="BC236">
        <v>1</v>
      </c>
      <c r="BD236">
        <v>1</v>
      </c>
      <c r="BE236">
        <v>1</v>
      </c>
      <c r="BF236">
        <v>1</v>
      </c>
      <c r="BG236">
        <v>1</v>
      </c>
      <c r="BH236">
        <v>1</v>
      </c>
      <c r="BI236">
        <v>1</v>
      </c>
      <c r="BJ236">
        <v>-1</v>
      </c>
      <c r="BK236">
        <v>-1</v>
      </c>
      <c r="BL236">
        <v>-1</v>
      </c>
    </row>
    <row r="237" spans="1:64" x14ac:dyDescent="0.2">
      <c r="A237" t="s">
        <v>408</v>
      </c>
      <c r="B237">
        <f t="shared" si="13"/>
        <v>1.1111111111111112E-2</v>
      </c>
      <c r="C237" s="2">
        <f>'vehicles specifications'!S103</f>
        <v>65.433826960328489</v>
      </c>
      <c r="D237">
        <f t="shared" si="13"/>
        <v>1.1111111111111112E-2</v>
      </c>
      <c r="F237">
        <f>1+'vehicles specifications'!AD103</f>
        <v>1</v>
      </c>
      <c r="G237">
        <f>1+'vehicles specifications'!AD103</f>
        <v>1</v>
      </c>
      <c r="H237">
        <v>1</v>
      </c>
      <c r="I237">
        <v>1</v>
      </c>
      <c r="K237">
        <f>1/('fuels and tailpipe emissions'!$C$3*3.6)</f>
        <v>2.3474178403755867E-2</v>
      </c>
      <c r="L237">
        <f>1/3.6</f>
        <v>0.2777777777777778</v>
      </c>
      <c r="M237">
        <f>1/'vehicles specifications'!J103</f>
        <v>4.0000000000000003E-5</v>
      </c>
      <c r="N237">
        <v>1</v>
      </c>
      <c r="O237">
        <f>1</f>
        <v>1</v>
      </c>
      <c r="P237">
        <v>-1</v>
      </c>
      <c r="Q237">
        <v>-1</v>
      </c>
      <c r="R237">
        <f>-1-'vehicles specifications'!AD103</f>
        <v>-1</v>
      </c>
      <c r="S237">
        <v>1</v>
      </c>
      <c r="T237">
        <v>1</v>
      </c>
      <c r="U237">
        <v>1</v>
      </c>
      <c r="V237">
        <v>1</v>
      </c>
      <c r="W237">
        <v>1</v>
      </c>
      <c r="X237">
        <v>1</v>
      </c>
      <c r="Y237">
        <v>1</v>
      </c>
      <c r="Z237">
        <v>1</v>
      </c>
      <c r="AA237">
        <v>1</v>
      </c>
      <c r="AB237">
        <v>1</v>
      </c>
      <c r="AC237">
        <v>1</v>
      </c>
      <c r="AD237">
        <v>1</v>
      </c>
      <c r="AE237">
        <v>1</v>
      </c>
      <c r="AF237">
        <v>1</v>
      </c>
      <c r="AG237">
        <v>1</v>
      </c>
      <c r="AH237">
        <v>1</v>
      </c>
      <c r="AI237">
        <v>1</v>
      </c>
      <c r="AJ237">
        <v>1</v>
      </c>
      <c r="AK237">
        <v>1</v>
      </c>
      <c r="AL237">
        <v>1</v>
      </c>
      <c r="AM237">
        <v>1</v>
      </c>
      <c r="AN237">
        <v>1</v>
      </c>
      <c r="AO237">
        <v>1</v>
      </c>
      <c r="AP237">
        <v>1</v>
      </c>
      <c r="AQ237">
        <v>1</v>
      </c>
      <c r="AR237">
        <v>1</v>
      </c>
      <c r="AS237">
        <v>1</v>
      </c>
      <c r="AT237">
        <v>1</v>
      </c>
      <c r="AU237">
        <v>1</v>
      </c>
      <c r="AV237">
        <v>1</v>
      </c>
      <c r="AW237">
        <v>1</v>
      </c>
      <c r="AX237">
        <v>1</v>
      </c>
      <c r="AY237">
        <v>1</v>
      </c>
      <c r="AZ237">
        <v>1</v>
      </c>
      <c r="BA237">
        <v>1</v>
      </c>
      <c r="BB237">
        <v>1</v>
      </c>
      <c r="BC237">
        <v>1</v>
      </c>
      <c r="BD237">
        <v>1</v>
      </c>
      <c r="BE237">
        <v>1</v>
      </c>
      <c r="BF237">
        <v>1</v>
      </c>
      <c r="BG237">
        <v>1</v>
      </c>
      <c r="BH237">
        <v>1</v>
      </c>
      <c r="BI237">
        <v>1</v>
      </c>
      <c r="BJ237">
        <v>-1</v>
      </c>
      <c r="BK237">
        <v>-1</v>
      </c>
      <c r="BL237">
        <v>-1</v>
      </c>
    </row>
    <row r="238" spans="1:64" x14ac:dyDescent="0.2">
      <c r="A238" t="s">
        <v>409</v>
      </c>
      <c r="B238">
        <f t="shared" si="13"/>
        <v>1.1111111111111112E-2</v>
      </c>
      <c r="C238" s="2">
        <f>'vehicles specifications'!S104</f>
        <v>65.433826960328489</v>
      </c>
      <c r="D238">
        <f t="shared" si="13"/>
        <v>1.1111111111111112E-2</v>
      </c>
      <c r="F238">
        <f>1+'vehicles specifications'!AD104</f>
        <v>1</v>
      </c>
      <c r="G238">
        <f>1+'vehicles specifications'!AD104</f>
        <v>1</v>
      </c>
      <c r="H238">
        <v>1</v>
      </c>
      <c r="I238">
        <v>1</v>
      </c>
      <c r="K238">
        <f>1/('fuels and tailpipe emissions'!$C$3*3.6)</f>
        <v>2.3474178403755867E-2</v>
      </c>
      <c r="L238">
        <f>1/3.6</f>
        <v>0.2777777777777778</v>
      </c>
      <c r="M238">
        <f>1/'vehicles specifications'!J104</f>
        <v>4.0000000000000003E-5</v>
      </c>
      <c r="N238">
        <v>1</v>
      </c>
      <c r="O238">
        <f>1</f>
        <v>1</v>
      </c>
      <c r="P238">
        <v>-1</v>
      </c>
      <c r="Q238">
        <v>-1</v>
      </c>
      <c r="R238">
        <f>-1-'vehicles specifications'!AD104</f>
        <v>-1</v>
      </c>
      <c r="S238">
        <v>1</v>
      </c>
      <c r="T238">
        <v>1</v>
      </c>
      <c r="U238">
        <v>1</v>
      </c>
      <c r="V238">
        <v>1</v>
      </c>
      <c r="W238">
        <v>1</v>
      </c>
      <c r="X238">
        <v>1</v>
      </c>
      <c r="Y238">
        <v>1</v>
      </c>
      <c r="Z238">
        <v>1</v>
      </c>
      <c r="AA238">
        <v>1</v>
      </c>
      <c r="AB238">
        <v>1</v>
      </c>
      <c r="AC238">
        <v>1</v>
      </c>
      <c r="AD238">
        <v>1</v>
      </c>
      <c r="AE238">
        <v>1</v>
      </c>
      <c r="AF238">
        <v>1</v>
      </c>
      <c r="AG238">
        <v>1</v>
      </c>
      <c r="AH238">
        <v>1</v>
      </c>
      <c r="AI238">
        <v>1</v>
      </c>
      <c r="AJ238">
        <v>1</v>
      </c>
      <c r="AK238">
        <v>1</v>
      </c>
      <c r="AL238">
        <v>1</v>
      </c>
      <c r="AM238">
        <v>1</v>
      </c>
      <c r="AN238">
        <v>1</v>
      </c>
      <c r="AO238">
        <v>1</v>
      </c>
      <c r="AP238">
        <v>1</v>
      </c>
      <c r="AQ238">
        <v>1</v>
      </c>
      <c r="AR238">
        <v>1</v>
      </c>
      <c r="AS238">
        <v>1</v>
      </c>
      <c r="AT238">
        <v>1</v>
      </c>
      <c r="AU238">
        <v>1</v>
      </c>
      <c r="AV238">
        <v>1</v>
      </c>
      <c r="AW238">
        <v>1</v>
      </c>
      <c r="AX238">
        <v>1</v>
      </c>
      <c r="AY238">
        <v>1</v>
      </c>
      <c r="AZ238">
        <v>1</v>
      </c>
      <c r="BA238">
        <v>1</v>
      </c>
      <c r="BB238">
        <v>1</v>
      </c>
      <c r="BC238">
        <v>1</v>
      </c>
      <c r="BD238">
        <v>1</v>
      </c>
      <c r="BE238">
        <v>1</v>
      </c>
      <c r="BF238">
        <v>1</v>
      </c>
      <c r="BG238">
        <v>1</v>
      </c>
      <c r="BH238">
        <v>1</v>
      </c>
      <c r="BI238">
        <v>1</v>
      </c>
      <c r="BJ238">
        <v>-1</v>
      </c>
      <c r="BK238">
        <v>-1</v>
      </c>
      <c r="BL238">
        <v>-1</v>
      </c>
    </row>
    <row r="239" spans="1:64" x14ac:dyDescent="0.2">
      <c r="A239" t="s">
        <v>410</v>
      </c>
      <c r="B239">
        <f t="shared" si="13"/>
        <v>1.1111111111111112E-2</v>
      </c>
      <c r="C239" s="2">
        <f>'vehicles specifications'!S105</f>
        <v>65.433826960328489</v>
      </c>
      <c r="D239">
        <f t="shared" si="13"/>
        <v>1.1111111111111112E-2</v>
      </c>
      <c r="F239">
        <f>1+'vehicles specifications'!AD105</f>
        <v>1</v>
      </c>
      <c r="G239">
        <f>1+'vehicles specifications'!AD105</f>
        <v>1</v>
      </c>
      <c r="H239">
        <v>1</v>
      </c>
      <c r="I239">
        <v>1</v>
      </c>
      <c r="K239">
        <f>1/('fuels and tailpipe emissions'!$C$3*3.6)</f>
        <v>2.3474178403755867E-2</v>
      </c>
      <c r="L239">
        <f>1/3.6</f>
        <v>0.2777777777777778</v>
      </c>
      <c r="M239">
        <f>1/'vehicles specifications'!J105</f>
        <v>4.0000000000000003E-5</v>
      </c>
      <c r="N239">
        <v>1</v>
      </c>
      <c r="O239">
        <f>1</f>
        <v>1</v>
      </c>
      <c r="P239">
        <v>-1</v>
      </c>
      <c r="Q239">
        <v>-1</v>
      </c>
      <c r="R239">
        <f>-1-'vehicles specifications'!AD105</f>
        <v>-1</v>
      </c>
      <c r="S239">
        <v>1</v>
      </c>
      <c r="T239">
        <v>1</v>
      </c>
      <c r="U239">
        <v>1</v>
      </c>
      <c r="V239">
        <v>1</v>
      </c>
      <c r="W239">
        <v>1</v>
      </c>
      <c r="X239">
        <v>1</v>
      </c>
      <c r="Y239">
        <v>1</v>
      </c>
      <c r="Z239">
        <v>1</v>
      </c>
      <c r="AA239">
        <v>1</v>
      </c>
      <c r="AB239">
        <v>1</v>
      </c>
      <c r="AC239">
        <v>1</v>
      </c>
      <c r="AD239">
        <v>1</v>
      </c>
      <c r="AE239">
        <v>1</v>
      </c>
      <c r="AF239">
        <v>1</v>
      </c>
      <c r="AG239">
        <v>1</v>
      </c>
      <c r="AH239">
        <v>1</v>
      </c>
      <c r="AI239">
        <v>1</v>
      </c>
      <c r="AJ239">
        <v>1</v>
      </c>
      <c r="AK239">
        <v>1</v>
      </c>
      <c r="AL239">
        <v>1</v>
      </c>
      <c r="AM239">
        <v>1</v>
      </c>
      <c r="AN239">
        <v>1</v>
      </c>
      <c r="AO239">
        <v>1</v>
      </c>
      <c r="AP239">
        <v>1</v>
      </c>
      <c r="AQ239">
        <v>1</v>
      </c>
      <c r="AR239">
        <v>1</v>
      </c>
      <c r="AS239">
        <v>1</v>
      </c>
      <c r="AT239">
        <v>1</v>
      </c>
      <c r="AU239">
        <v>1</v>
      </c>
      <c r="AV239">
        <v>1</v>
      </c>
      <c r="AW239">
        <v>1</v>
      </c>
      <c r="AX239">
        <v>1</v>
      </c>
      <c r="AY239">
        <v>1</v>
      </c>
      <c r="AZ239">
        <v>1</v>
      </c>
      <c r="BA239">
        <v>1</v>
      </c>
      <c r="BB239">
        <v>1</v>
      </c>
      <c r="BC239">
        <v>1</v>
      </c>
      <c r="BD239">
        <v>1</v>
      </c>
      <c r="BE239">
        <v>1</v>
      </c>
      <c r="BF239">
        <v>1</v>
      </c>
      <c r="BG239">
        <v>1</v>
      </c>
      <c r="BH239">
        <v>1</v>
      </c>
      <c r="BI239">
        <v>1</v>
      </c>
      <c r="BJ239">
        <v>-1</v>
      </c>
      <c r="BK239">
        <v>-1</v>
      </c>
      <c r="BL239">
        <v>-1</v>
      </c>
    </row>
    <row r="240" spans="1:64" x14ac:dyDescent="0.2">
      <c r="A240" t="s">
        <v>411</v>
      </c>
      <c r="B240">
        <f t="shared" si="13"/>
        <v>1.1111111111111112E-2</v>
      </c>
      <c r="C240" s="2">
        <f>'vehicles specifications'!S106</f>
        <v>65.433826960328489</v>
      </c>
      <c r="D240">
        <f t="shared" si="13"/>
        <v>1.1111111111111112E-2</v>
      </c>
      <c r="F240">
        <f>1+'vehicles specifications'!AD106</f>
        <v>1</v>
      </c>
      <c r="G240">
        <f>1+'vehicles specifications'!AD106</f>
        <v>1</v>
      </c>
      <c r="H240">
        <v>1</v>
      </c>
      <c r="I240">
        <v>1</v>
      </c>
      <c r="K240">
        <f>1/('fuels and tailpipe emissions'!$C$3*3.6)</f>
        <v>2.3474178403755867E-2</v>
      </c>
      <c r="L240">
        <f>1/3.6</f>
        <v>0.2777777777777778</v>
      </c>
      <c r="M240">
        <f>1/'vehicles specifications'!J106</f>
        <v>4.0000000000000003E-5</v>
      </c>
      <c r="N240">
        <v>1</v>
      </c>
      <c r="O240">
        <f>1</f>
        <v>1</v>
      </c>
      <c r="P240">
        <v>-1</v>
      </c>
      <c r="Q240">
        <v>-1</v>
      </c>
      <c r="R240">
        <f>-1-'vehicles specifications'!AD106</f>
        <v>-1</v>
      </c>
      <c r="S240">
        <v>1</v>
      </c>
      <c r="T240">
        <v>1</v>
      </c>
      <c r="U240">
        <v>1</v>
      </c>
      <c r="V240">
        <v>1</v>
      </c>
      <c r="W240">
        <v>1</v>
      </c>
      <c r="X240">
        <v>1</v>
      </c>
      <c r="Y240">
        <v>1</v>
      </c>
      <c r="Z240">
        <v>1</v>
      </c>
      <c r="AA240">
        <v>1</v>
      </c>
      <c r="AB240">
        <v>1</v>
      </c>
      <c r="AC240">
        <v>1</v>
      </c>
      <c r="AD240">
        <v>1</v>
      </c>
      <c r="AE240">
        <v>1</v>
      </c>
      <c r="AF240">
        <v>1</v>
      </c>
      <c r="AG240">
        <v>1</v>
      </c>
      <c r="AH240">
        <v>1</v>
      </c>
      <c r="AI240">
        <v>1</v>
      </c>
      <c r="AJ240">
        <v>1</v>
      </c>
      <c r="AK240">
        <v>1</v>
      </c>
      <c r="AL240">
        <v>1</v>
      </c>
      <c r="AM240">
        <v>1</v>
      </c>
      <c r="AN240">
        <v>1</v>
      </c>
      <c r="AO240">
        <v>1</v>
      </c>
      <c r="AP240">
        <v>1</v>
      </c>
      <c r="AQ240">
        <v>1</v>
      </c>
      <c r="AR240">
        <v>1</v>
      </c>
      <c r="AS240">
        <v>1</v>
      </c>
      <c r="AT240">
        <v>1</v>
      </c>
      <c r="AU240">
        <v>1</v>
      </c>
      <c r="AV240">
        <v>1</v>
      </c>
      <c r="AW240">
        <v>1</v>
      </c>
      <c r="AX240">
        <v>1</v>
      </c>
      <c r="AY240">
        <v>1</v>
      </c>
      <c r="AZ240">
        <v>1</v>
      </c>
      <c r="BA240">
        <v>1</v>
      </c>
      <c r="BB240">
        <v>1</v>
      </c>
      <c r="BC240">
        <v>1</v>
      </c>
      <c r="BD240">
        <v>1</v>
      </c>
      <c r="BE240">
        <v>1</v>
      </c>
      <c r="BF240">
        <v>1</v>
      </c>
      <c r="BG240">
        <v>1</v>
      </c>
      <c r="BH240">
        <v>1</v>
      </c>
      <c r="BI240">
        <v>1</v>
      </c>
      <c r="BJ240">
        <v>-1</v>
      </c>
      <c r="BK240">
        <v>-1</v>
      </c>
      <c r="BL240">
        <v>-1</v>
      </c>
    </row>
    <row r="241" spans="1:64" x14ac:dyDescent="0.2">
      <c r="A241" t="s">
        <v>388</v>
      </c>
      <c r="B241">
        <f t="shared" si="13"/>
        <v>1.1111111111111112E-2</v>
      </c>
      <c r="C241" s="2">
        <f>'vehicles specifications'!S107</f>
        <v>81</v>
      </c>
      <c r="D241">
        <f t="shared" si="13"/>
        <v>1.1111111111111112E-2</v>
      </c>
      <c r="F241">
        <f>1+'vehicles specifications'!AD107</f>
        <v>1</v>
      </c>
      <c r="G241">
        <f>1+'vehicles specifications'!AD107</f>
        <v>1</v>
      </c>
      <c r="H241">
        <v>1</v>
      </c>
      <c r="I241">
        <v>1</v>
      </c>
      <c r="K241">
        <f>1/('fuels and tailpipe emissions'!$C$3*3.6)</f>
        <v>2.3474178403755867E-2</v>
      </c>
      <c r="L241">
        <f>1/3.6</f>
        <v>0.2777777777777778</v>
      </c>
      <c r="M241">
        <f>1/'vehicles specifications'!J107</f>
        <v>2.5974025974025975E-5</v>
      </c>
      <c r="N241">
        <v>1</v>
      </c>
      <c r="O241">
        <f>1</f>
        <v>1</v>
      </c>
      <c r="P241">
        <v>-1</v>
      </c>
      <c r="Q241">
        <v>-1</v>
      </c>
      <c r="R241">
        <f>-1-'vehicles specifications'!AD107</f>
        <v>-1</v>
      </c>
      <c r="S241">
        <v>1</v>
      </c>
      <c r="T241">
        <v>1</v>
      </c>
      <c r="U241">
        <v>1</v>
      </c>
      <c r="V241">
        <v>1</v>
      </c>
      <c r="W241">
        <v>1</v>
      </c>
      <c r="X241">
        <v>1</v>
      </c>
      <c r="Y241">
        <v>1</v>
      </c>
      <c r="Z241">
        <v>1</v>
      </c>
      <c r="AA241">
        <v>1</v>
      </c>
      <c r="AB241">
        <v>1</v>
      </c>
      <c r="AC241">
        <v>1</v>
      </c>
      <c r="AD241">
        <v>1</v>
      </c>
      <c r="AE241">
        <v>1</v>
      </c>
      <c r="AF241">
        <v>1</v>
      </c>
      <c r="AG241">
        <v>1</v>
      </c>
      <c r="AH241">
        <v>1</v>
      </c>
      <c r="AI241">
        <v>1</v>
      </c>
      <c r="AJ241">
        <v>1</v>
      </c>
      <c r="AK241">
        <v>1</v>
      </c>
      <c r="AL241">
        <v>1</v>
      </c>
      <c r="AM241">
        <v>1</v>
      </c>
      <c r="AN241">
        <v>1</v>
      </c>
      <c r="AO241">
        <v>1</v>
      </c>
      <c r="AP241">
        <v>1</v>
      </c>
      <c r="AQ241">
        <v>1</v>
      </c>
      <c r="AR241">
        <v>1</v>
      </c>
      <c r="AS241">
        <v>1</v>
      </c>
      <c r="AT241">
        <v>1</v>
      </c>
      <c r="AU241">
        <v>1</v>
      </c>
      <c r="AV241">
        <v>1</v>
      </c>
      <c r="AW241">
        <v>1</v>
      </c>
      <c r="AX241">
        <v>1</v>
      </c>
      <c r="AY241">
        <v>1</v>
      </c>
      <c r="AZ241">
        <v>1</v>
      </c>
      <c r="BA241">
        <v>1</v>
      </c>
      <c r="BB241">
        <v>1</v>
      </c>
      <c r="BC241">
        <v>1</v>
      </c>
      <c r="BD241">
        <v>1</v>
      </c>
      <c r="BE241">
        <v>1</v>
      </c>
      <c r="BF241">
        <v>1</v>
      </c>
      <c r="BG241">
        <v>1</v>
      </c>
      <c r="BH241">
        <v>1</v>
      </c>
      <c r="BI241">
        <v>1</v>
      </c>
      <c r="BJ241">
        <v>-1</v>
      </c>
      <c r="BK241">
        <v>-1</v>
      </c>
      <c r="BL241">
        <v>-1</v>
      </c>
    </row>
    <row r="242" spans="1:64" x14ac:dyDescent="0.2">
      <c r="A242" t="s">
        <v>389</v>
      </c>
      <c r="B242">
        <f t="shared" si="13"/>
        <v>1.1111111111111112E-2</v>
      </c>
      <c r="C242" s="2">
        <f>'vehicles specifications'!S108</f>
        <v>81</v>
      </c>
      <c r="D242">
        <f t="shared" si="13"/>
        <v>1.1111111111111112E-2</v>
      </c>
      <c r="F242">
        <f>1+'vehicles specifications'!AD108</f>
        <v>1</v>
      </c>
      <c r="G242">
        <f>1+'vehicles specifications'!AD108</f>
        <v>1</v>
      </c>
      <c r="H242">
        <v>1</v>
      </c>
      <c r="I242">
        <v>1</v>
      </c>
      <c r="K242">
        <f>1/('fuels and tailpipe emissions'!$C$3*3.6)</f>
        <v>2.3474178403755867E-2</v>
      </c>
      <c r="L242">
        <f>1/3.6</f>
        <v>0.2777777777777778</v>
      </c>
      <c r="M242">
        <f>1/'vehicles specifications'!J108</f>
        <v>2.5974025974025975E-5</v>
      </c>
      <c r="N242">
        <v>1</v>
      </c>
      <c r="O242">
        <f>1</f>
        <v>1</v>
      </c>
      <c r="P242">
        <v>-1</v>
      </c>
      <c r="Q242">
        <v>-1</v>
      </c>
      <c r="R242">
        <f>-1-'vehicles specifications'!AD108</f>
        <v>-1</v>
      </c>
      <c r="S242">
        <v>1</v>
      </c>
      <c r="T242">
        <v>1</v>
      </c>
      <c r="U242">
        <v>1</v>
      </c>
      <c r="V242">
        <v>1</v>
      </c>
      <c r="W242">
        <v>1</v>
      </c>
      <c r="X242">
        <v>1</v>
      </c>
      <c r="Y242">
        <v>1</v>
      </c>
      <c r="Z242">
        <v>1</v>
      </c>
      <c r="AA242">
        <v>1</v>
      </c>
      <c r="AB242">
        <v>1</v>
      </c>
      <c r="AC242">
        <v>1</v>
      </c>
      <c r="AD242">
        <v>1</v>
      </c>
      <c r="AE242">
        <v>1</v>
      </c>
      <c r="AF242">
        <v>1</v>
      </c>
      <c r="AG242">
        <v>1</v>
      </c>
      <c r="AH242">
        <v>1</v>
      </c>
      <c r="AI242">
        <v>1</v>
      </c>
      <c r="AJ242">
        <v>1</v>
      </c>
      <c r="AK242">
        <v>1</v>
      </c>
      <c r="AL242">
        <v>1</v>
      </c>
      <c r="AM242">
        <v>1</v>
      </c>
      <c r="AN242">
        <v>1</v>
      </c>
      <c r="AO242">
        <v>1</v>
      </c>
      <c r="AP242">
        <v>1</v>
      </c>
      <c r="AQ242">
        <v>1</v>
      </c>
      <c r="AR242">
        <v>1</v>
      </c>
      <c r="AS242">
        <v>1</v>
      </c>
      <c r="AT242">
        <v>1</v>
      </c>
      <c r="AU242">
        <v>1</v>
      </c>
      <c r="AV242">
        <v>1</v>
      </c>
      <c r="AW242">
        <v>1</v>
      </c>
      <c r="AX242">
        <v>1</v>
      </c>
      <c r="AY242">
        <v>1</v>
      </c>
      <c r="AZ242">
        <v>1</v>
      </c>
      <c r="BA242">
        <v>1</v>
      </c>
      <c r="BB242">
        <v>1</v>
      </c>
      <c r="BC242">
        <v>1</v>
      </c>
      <c r="BD242">
        <v>1</v>
      </c>
      <c r="BE242">
        <v>1</v>
      </c>
      <c r="BF242">
        <v>1</v>
      </c>
      <c r="BG242">
        <v>1</v>
      </c>
      <c r="BH242">
        <v>1</v>
      </c>
      <c r="BI242">
        <v>1</v>
      </c>
      <c r="BJ242">
        <v>-1</v>
      </c>
      <c r="BK242">
        <v>-1</v>
      </c>
      <c r="BL242">
        <v>-1</v>
      </c>
    </row>
    <row r="243" spans="1:64" x14ac:dyDescent="0.2">
      <c r="A243" t="s">
        <v>390</v>
      </c>
      <c r="B243">
        <f t="shared" si="13"/>
        <v>1.1111111111111112E-2</v>
      </c>
      <c r="C243" s="2">
        <f>'vehicles specifications'!S109</f>
        <v>81</v>
      </c>
      <c r="D243">
        <f t="shared" si="13"/>
        <v>1.1111111111111112E-2</v>
      </c>
      <c r="F243">
        <f>1+'vehicles specifications'!AD109</f>
        <v>1</v>
      </c>
      <c r="G243">
        <f>1+'vehicles specifications'!AD109</f>
        <v>1</v>
      </c>
      <c r="H243">
        <v>1</v>
      </c>
      <c r="I243">
        <v>1</v>
      </c>
      <c r="K243">
        <f>1/('fuels and tailpipe emissions'!$C$3*3.6)</f>
        <v>2.3474178403755867E-2</v>
      </c>
      <c r="L243">
        <f>1/3.6</f>
        <v>0.2777777777777778</v>
      </c>
      <c r="M243">
        <f>1/'vehicles specifications'!J109</f>
        <v>2.5974025974025975E-5</v>
      </c>
      <c r="N243">
        <v>1</v>
      </c>
      <c r="O243">
        <f>1</f>
        <v>1</v>
      </c>
      <c r="P243">
        <v>-1</v>
      </c>
      <c r="Q243">
        <v>-1</v>
      </c>
      <c r="R243">
        <f>-1-'vehicles specifications'!AD109</f>
        <v>-1</v>
      </c>
      <c r="S243">
        <v>1</v>
      </c>
      <c r="T243">
        <v>1</v>
      </c>
      <c r="U243">
        <v>1</v>
      </c>
      <c r="V243">
        <v>1</v>
      </c>
      <c r="W243">
        <v>1</v>
      </c>
      <c r="X243">
        <v>1</v>
      </c>
      <c r="Y243">
        <v>1</v>
      </c>
      <c r="Z243">
        <v>1</v>
      </c>
      <c r="AA243">
        <v>1</v>
      </c>
      <c r="AB243">
        <v>1</v>
      </c>
      <c r="AC243">
        <v>1</v>
      </c>
      <c r="AD243">
        <v>1</v>
      </c>
      <c r="AE243">
        <v>1</v>
      </c>
      <c r="AF243">
        <v>1</v>
      </c>
      <c r="AG243">
        <v>1</v>
      </c>
      <c r="AH243">
        <v>1</v>
      </c>
      <c r="AI243">
        <v>1</v>
      </c>
      <c r="AJ243">
        <v>1</v>
      </c>
      <c r="AK243">
        <v>1</v>
      </c>
      <c r="AL243">
        <v>1</v>
      </c>
      <c r="AM243">
        <v>1</v>
      </c>
      <c r="AN243">
        <v>1</v>
      </c>
      <c r="AO243">
        <v>1</v>
      </c>
      <c r="AP243">
        <v>1</v>
      </c>
      <c r="AQ243">
        <v>1</v>
      </c>
      <c r="AR243">
        <v>1</v>
      </c>
      <c r="AS243">
        <v>1</v>
      </c>
      <c r="AT243">
        <v>1</v>
      </c>
      <c r="AU243">
        <v>1</v>
      </c>
      <c r="AV243">
        <v>1</v>
      </c>
      <c r="AW243">
        <v>1</v>
      </c>
      <c r="AX243">
        <v>1</v>
      </c>
      <c r="AY243">
        <v>1</v>
      </c>
      <c r="AZ243">
        <v>1</v>
      </c>
      <c r="BA243">
        <v>1</v>
      </c>
      <c r="BB243">
        <v>1</v>
      </c>
      <c r="BC243">
        <v>1</v>
      </c>
      <c r="BD243">
        <v>1</v>
      </c>
      <c r="BE243">
        <v>1</v>
      </c>
      <c r="BF243">
        <v>1</v>
      </c>
      <c r="BG243">
        <v>1</v>
      </c>
      <c r="BH243">
        <v>1</v>
      </c>
      <c r="BI243">
        <v>1</v>
      </c>
      <c r="BJ243">
        <v>-1</v>
      </c>
      <c r="BK243">
        <v>-1</v>
      </c>
      <c r="BL243">
        <v>-1</v>
      </c>
    </row>
    <row r="244" spans="1:64" x14ac:dyDescent="0.2">
      <c r="A244" t="s">
        <v>391</v>
      </c>
      <c r="B244">
        <f t="shared" si="13"/>
        <v>1.1111111111111112E-2</v>
      </c>
      <c r="C244" s="2">
        <f>'vehicles specifications'!S110</f>
        <v>81</v>
      </c>
      <c r="D244">
        <f t="shared" si="13"/>
        <v>1.1111111111111112E-2</v>
      </c>
      <c r="F244">
        <f>1+'vehicles specifications'!AD110</f>
        <v>1</v>
      </c>
      <c r="G244">
        <f>1+'vehicles specifications'!AD110</f>
        <v>1</v>
      </c>
      <c r="H244">
        <v>1</v>
      </c>
      <c r="I244">
        <v>1</v>
      </c>
      <c r="K244">
        <f>1/('fuels and tailpipe emissions'!$C$3*3.6)</f>
        <v>2.3474178403755867E-2</v>
      </c>
      <c r="L244">
        <f>1/3.6</f>
        <v>0.2777777777777778</v>
      </c>
      <c r="M244">
        <f>1/'vehicles specifications'!J110</f>
        <v>2.5974025974025975E-5</v>
      </c>
      <c r="N244">
        <v>1</v>
      </c>
      <c r="O244">
        <f>1</f>
        <v>1</v>
      </c>
      <c r="P244">
        <v>-1</v>
      </c>
      <c r="Q244">
        <v>-1</v>
      </c>
      <c r="R244">
        <f>-1-'vehicles specifications'!AD110</f>
        <v>-1</v>
      </c>
      <c r="S244">
        <v>1</v>
      </c>
      <c r="T244">
        <v>1</v>
      </c>
      <c r="U244">
        <v>1</v>
      </c>
      <c r="V244">
        <v>1</v>
      </c>
      <c r="W244">
        <v>1</v>
      </c>
      <c r="X244">
        <v>1</v>
      </c>
      <c r="Y244">
        <v>1</v>
      </c>
      <c r="Z244">
        <v>1</v>
      </c>
      <c r="AA244">
        <v>1</v>
      </c>
      <c r="AB244">
        <v>1</v>
      </c>
      <c r="AC244">
        <v>1</v>
      </c>
      <c r="AD244">
        <v>1</v>
      </c>
      <c r="AE244">
        <v>1</v>
      </c>
      <c r="AF244">
        <v>1</v>
      </c>
      <c r="AG244">
        <v>1</v>
      </c>
      <c r="AH244">
        <v>1</v>
      </c>
      <c r="AI244">
        <v>1</v>
      </c>
      <c r="AJ244">
        <v>1</v>
      </c>
      <c r="AK244">
        <v>1</v>
      </c>
      <c r="AL244">
        <v>1</v>
      </c>
      <c r="AM244">
        <v>1</v>
      </c>
      <c r="AN244">
        <v>1</v>
      </c>
      <c r="AO244">
        <v>1</v>
      </c>
      <c r="AP244">
        <v>1</v>
      </c>
      <c r="AQ244">
        <v>1</v>
      </c>
      <c r="AR244">
        <v>1</v>
      </c>
      <c r="AS244">
        <v>1</v>
      </c>
      <c r="AT244">
        <v>1</v>
      </c>
      <c r="AU244">
        <v>1</v>
      </c>
      <c r="AV244">
        <v>1</v>
      </c>
      <c r="AW244">
        <v>1</v>
      </c>
      <c r="AX244">
        <v>1</v>
      </c>
      <c r="AY244">
        <v>1</v>
      </c>
      <c r="AZ244">
        <v>1</v>
      </c>
      <c r="BA244">
        <v>1</v>
      </c>
      <c r="BB244">
        <v>1</v>
      </c>
      <c r="BC244">
        <v>1</v>
      </c>
      <c r="BD244">
        <v>1</v>
      </c>
      <c r="BE244">
        <v>1</v>
      </c>
      <c r="BF244">
        <v>1</v>
      </c>
      <c r="BG244">
        <v>1</v>
      </c>
      <c r="BH244">
        <v>1</v>
      </c>
      <c r="BI244">
        <v>1</v>
      </c>
      <c r="BJ244">
        <v>-1</v>
      </c>
      <c r="BK244">
        <v>-1</v>
      </c>
      <c r="BL244">
        <v>-1</v>
      </c>
    </row>
    <row r="245" spans="1:64" x14ac:dyDescent="0.2">
      <c r="A245" t="s">
        <v>392</v>
      </c>
      <c r="B245">
        <f t="shared" si="13"/>
        <v>1.1111111111111112E-2</v>
      </c>
      <c r="C245" s="2">
        <f>'vehicles specifications'!S111</f>
        <v>81</v>
      </c>
      <c r="D245">
        <f t="shared" si="13"/>
        <v>1.1111111111111112E-2</v>
      </c>
      <c r="F245">
        <f>1+'vehicles specifications'!AD111</f>
        <v>1</v>
      </c>
      <c r="G245">
        <f>1+'vehicles specifications'!AD111</f>
        <v>1</v>
      </c>
      <c r="H245">
        <v>1</v>
      </c>
      <c r="I245">
        <v>1</v>
      </c>
      <c r="K245">
        <f>1/('fuels and tailpipe emissions'!$C$3*3.6)</f>
        <v>2.3474178403755867E-2</v>
      </c>
      <c r="L245">
        <f>1/3.6</f>
        <v>0.2777777777777778</v>
      </c>
      <c r="M245">
        <f>1/'vehicles specifications'!J111</f>
        <v>2.5974025974025975E-5</v>
      </c>
      <c r="N245">
        <v>1</v>
      </c>
      <c r="O245">
        <f>1</f>
        <v>1</v>
      </c>
      <c r="P245">
        <v>-1</v>
      </c>
      <c r="Q245">
        <v>-1</v>
      </c>
      <c r="R245">
        <f>-1-'vehicles specifications'!AD111</f>
        <v>-1</v>
      </c>
      <c r="S245">
        <v>1</v>
      </c>
      <c r="T245">
        <v>1</v>
      </c>
      <c r="U245">
        <v>1</v>
      </c>
      <c r="V245">
        <v>1</v>
      </c>
      <c r="W245">
        <v>1</v>
      </c>
      <c r="X245">
        <v>1</v>
      </c>
      <c r="Y245">
        <v>1</v>
      </c>
      <c r="Z245">
        <v>1</v>
      </c>
      <c r="AA245">
        <v>1</v>
      </c>
      <c r="AB245">
        <v>1</v>
      </c>
      <c r="AC245">
        <v>1</v>
      </c>
      <c r="AD245">
        <v>1</v>
      </c>
      <c r="AE245">
        <v>1</v>
      </c>
      <c r="AF245">
        <v>1</v>
      </c>
      <c r="AG245">
        <v>1</v>
      </c>
      <c r="AH245">
        <v>1</v>
      </c>
      <c r="AI245">
        <v>1</v>
      </c>
      <c r="AJ245">
        <v>1</v>
      </c>
      <c r="AK245">
        <v>1</v>
      </c>
      <c r="AL245">
        <v>1</v>
      </c>
      <c r="AM245">
        <v>1</v>
      </c>
      <c r="AN245">
        <v>1</v>
      </c>
      <c r="AO245">
        <v>1</v>
      </c>
      <c r="AP245">
        <v>1</v>
      </c>
      <c r="AQ245">
        <v>1</v>
      </c>
      <c r="AR245">
        <v>1</v>
      </c>
      <c r="AS245">
        <v>1</v>
      </c>
      <c r="AT245">
        <v>1</v>
      </c>
      <c r="AU245">
        <v>1</v>
      </c>
      <c r="AV245">
        <v>1</v>
      </c>
      <c r="AW245">
        <v>1</v>
      </c>
      <c r="AX245">
        <v>1</v>
      </c>
      <c r="AY245">
        <v>1</v>
      </c>
      <c r="AZ245">
        <v>1</v>
      </c>
      <c r="BA245">
        <v>1</v>
      </c>
      <c r="BB245">
        <v>1</v>
      </c>
      <c r="BC245">
        <v>1</v>
      </c>
      <c r="BD245">
        <v>1</v>
      </c>
      <c r="BE245">
        <v>1</v>
      </c>
      <c r="BF245">
        <v>1</v>
      </c>
      <c r="BG245">
        <v>1</v>
      </c>
      <c r="BH245">
        <v>1</v>
      </c>
      <c r="BI245">
        <v>1</v>
      </c>
      <c r="BJ245">
        <v>-1</v>
      </c>
      <c r="BK245">
        <v>-1</v>
      </c>
      <c r="BL245">
        <v>-1</v>
      </c>
    </row>
    <row r="246" spans="1:64" x14ac:dyDescent="0.2">
      <c r="A246" t="s">
        <v>393</v>
      </c>
      <c r="B246">
        <f t="shared" si="13"/>
        <v>1.1111111111111112E-2</v>
      </c>
      <c r="C246" s="2">
        <f>'vehicles specifications'!S112</f>
        <v>81</v>
      </c>
      <c r="D246">
        <f t="shared" si="13"/>
        <v>1.1111111111111112E-2</v>
      </c>
      <c r="F246">
        <f>1+'vehicles specifications'!AD112</f>
        <v>1</v>
      </c>
      <c r="G246">
        <f>1+'vehicles specifications'!AD112</f>
        <v>1</v>
      </c>
      <c r="H246">
        <v>1</v>
      </c>
      <c r="I246">
        <v>1</v>
      </c>
      <c r="K246">
        <f>1/('fuels and tailpipe emissions'!$C$3*3.6)</f>
        <v>2.3474178403755867E-2</v>
      </c>
      <c r="L246">
        <f>1/3.6</f>
        <v>0.2777777777777778</v>
      </c>
      <c r="M246">
        <f>1/'vehicles specifications'!J112</f>
        <v>2.5974025974025975E-5</v>
      </c>
      <c r="N246">
        <v>1</v>
      </c>
      <c r="O246">
        <f>1</f>
        <v>1</v>
      </c>
      <c r="P246">
        <v>-1</v>
      </c>
      <c r="Q246">
        <v>-1</v>
      </c>
      <c r="R246">
        <f>-1-'vehicles specifications'!AD112</f>
        <v>-1</v>
      </c>
      <c r="S246">
        <v>1</v>
      </c>
      <c r="T246">
        <v>1</v>
      </c>
      <c r="U246">
        <v>1</v>
      </c>
      <c r="V246">
        <v>1</v>
      </c>
      <c r="W246">
        <v>1</v>
      </c>
      <c r="X246">
        <v>1</v>
      </c>
      <c r="Y246">
        <v>1</v>
      </c>
      <c r="Z246">
        <v>1</v>
      </c>
      <c r="AA246">
        <v>1</v>
      </c>
      <c r="AB246">
        <v>1</v>
      </c>
      <c r="AC246">
        <v>1</v>
      </c>
      <c r="AD246">
        <v>1</v>
      </c>
      <c r="AE246">
        <v>1</v>
      </c>
      <c r="AF246">
        <v>1</v>
      </c>
      <c r="AG246">
        <v>1</v>
      </c>
      <c r="AH246">
        <v>1</v>
      </c>
      <c r="AI246">
        <v>1</v>
      </c>
      <c r="AJ246">
        <v>1</v>
      </c>
      <c r="AK246">
        <v>1</v>
      </c>
      <c r="AL246">
        <v>1</v>
      </c>
      <c r="AM246">
        <v>1</v>
      </c>
      <c r="AN246">
        <v>1</v>
      </c>
      <c r="AO246">
        <v>1</v>
      </c>
      <c r="AP246">
        <v>1</v>
      </c>
      <c r="AQ246">
        <v>1</v>
      </c>
      <c r="AR246">
        <v>1</v>
      </c>
      <c r="AS246">
        <v>1</v>
      </c>
      <c r="AT246">
        <v>1</v>
      </c>
      <c r="AU246">
        <v>1</v>
      </c>
      <c r="AV246">
        <v>1</v>
      </c>
      <c r="AW246">
        <v>1</v>
      </c>
      <c r="AX246">
        <v>1</v>
      </c>
      <c r="AY246">
        <v>1</v>
      </c>
      <c r="AZ246">
        <v>1</v>
      </c>
      <c r="BA246">
        <v>1</v>
      </c>
      <c r="BB246">
        <v>1</v>
      </c>
      <c r="BC246">
        <v>1</v>
      </c>
      <c r="BD246">
        <v>1</v>
      </c>
      <c r="BE246">
        <v>1</v>
      </c>
      <c r="BF246">
        <v>1</v>
      </c>
      <c r="BG246">
        <v>1</v>
      </c>
      <c r="BH246">
        <v>1</v>
      </c>
      <c r="BI246">
        <v>1</v>
      </c>
      <c r="BJ246">
        <v>-1</v>
      </c>
      <c r="BK246">
        <v>-1</v>
      </c>
      <c r="BL246">
        <v>-1</v>
      </c>
    </row>
    <row r="247" spans="1:64" x14ac:dyDescent="0.2">
      <c r="A247" t="s">
        <v>397</v>
      </c>
      <c r="B247">
        <f t="shared" si="13"/>
        <v>1.1111111111111112E-2</v>
      </c>
      <c r="C247" s="2">
        <f>'vehicles specifications'!S113</f>
        <v>111</v>
      </c>
      <c r="D247">
        <f t="shared" si="13"/>
        <v>1.1111111111111112E-2</v>
      </c>
      <c r="F247">
        <f>1+'vehicles specifications'!AD113</f>
        <v>1</v>
      </c>
      <c r="G247">
        <f>1+'vehicles specifications'!AD113</f>
        <v>1</v>
      </c>
      <c r="H247">
        <v>1</v>
      </c>
      <c r="I247">
        <v>1</v>
      </c>
      <c r="K247">
        <f>1/('fuels and tailpipe emissions'!$C$3*3.6)</f>
        <v>2.3474178403755867E-2</v>
      </c>
      <c r="L247">
        <f>1/3.6</f>
        <v>0.2777777777777778</v>
      </c>
      <c r="M247">
        <f>1/'vehicles specifications'!J113</f>
        <v>2.4691358024691357E-5</v>
      </c>
      <c r="N247">
        <v>1</v>
      </c>
      <c r="O247">
        <f>1</f>
        <v>1</v>
      </c>
      <c r="P247">
        <v>-1</v>
      </c>
      <c r="Q247">
        <v>-1</v>
      </c>
      <c r="R247">
        <f>-1-'vehicles specifications'!AD113</f>
        <v>-1</v>
      </c>
      <c r="S247">
        <v>1</v>
      </c>
      <c r="T247">
        <v>1</v>
      </c>
      <c r="U247">
        <v>1</v>
      </c>
      <c r="V247">
        <v>1</v>
      </c>
      <c r="W247">
        <v>1</v>
      </c>
      <c r="X247">
        <v>1</v>
      </c>
      <c r="Y247">
        <v>1</v>
      </c>
      <c r="Z247">
        <v>1</v>
      </c>
      <c r="AA247">
        <v>1</v>
      </c>
      <c r="AB247">
        <v>1</v>
      </c>
      <c r="AC247">
        <v>1</v>
      </c>
      <c r="AD247">
        <v>1</v>
      </c>
      <c r="AE247">
        <v>1</v>
      </c>
      <c r="AF247">
        <v>1</v>
      </c>
      <c r="AG247">
        <v>1</v>
      </c>
      <c r="AH247">
        <v>1</v>
      </c>
      <c r="AI247">
        <v>1</v>
      </c>
      <c r="AJ247">
        <v>1</v>
      </c>
      <c r="AK247">
        <v>1</v>
      </c>
      <c r="AL247">
        <v>1</v>
      </c>
      <c r="AM247">
        <v>1</v>
      </c>
      <c r="AN247">
        <v>1</v>
      </c>
      <c r="AO247">
        <v>1</v>
      </c>
      <c r="AP247">
        <v>1</v>
      </c>
      <c r="AQ247">
        <v>1</v>
      </c>
      <c r="AR247">
        <v>1</v>
      </c>
      <c r="AS247">
        <v>1</v>
      </c>
      <c r="AT247">
        <v>1</v>
      </c>
      <c r="AU247">
        <v>1</v>
      </c>
      <c r="AV247">
        <v>1</v>
      </c>
      <c r="AW247">
        <v>1</v>
      </c>
      <c r="AX247">
        <v>1</v>
      </c>
      <c r="AY247">
        <v>1</v>
      </c>
      <c r="AZ247">
        <v>1</v>
      </c>
      <c r="BA247">
        <v>1</v>
      </c>
      <c r="BB247">
        <v>1</v>
      </c>
      <c r="BC247">
        <v>1</v>
      </c>
      <c r="BD247">
        <v>1</v>
      </c>
      <c r="BE247">
        <v>1</v>
      </c>
      <c r="BF247">
        <v>1</v>
      </c>
      <c r="BG247">
        <v>1</v>
      </c>
      <c r="BH247">
        <v>1</v>
      </c>
      <c r="BI247">
        <v>1</v>
      </c>
      <c r="BJ247">
        <v>-1</v>
      </c>
      <c r="BK247">
        <v>-1</v>
      </c>
      <c r="BL247">
        <v>-1</v>
      </c>
    </row>
    <row r="248" spans="1:64" x14ac:dyDescent="0.2">
      <c r="A248" t="s">
        <v>398</v>
      </c>
      <c r="B248">
        <f t="shared" si="13"/>
        <v>1.1111111111111112E-2</v>
      </c>
      <c r="C248" s="2">
        <f>'vehicles specifications'!S114</f>
        <v>111</v>
      </c>
      <c r="D248">
        <f t="shared" si="13"/>
        <v>1.1111111111111112E-2</v>
      </c>
      <c r="F248">
        <f>1+'vehicles specifications'!AD114</f>
        <v>1</v>
      </c>
      <c r="G248">
        <f>1+'vehicles specifications'!AD114</f>
        <v>1</v>
      </c>
      <c r="H248">
        <v>1</v>
      </c>
      <c r="I248">
        <v>1</v>
      </c>
      <c r="K248">
        <f>1/('fuels and tailpipe emissions'!$C$3*3.6)</f>
        <v>2.3474178403755867E-2</v>
      </c>
      <c r="L248">
        <f>1/3.6</f>
        <v>0.2777777777777778</v>
      </c>
      <c r="M248">
        <f>1/'vehicles specifications'!J114</f>
        <v>2.4691358024691357E-5</v>
      </c>
      <c r="N248">
        <v>1</v>
      </c>
      <c r="O248">
        <f>1</f>
        <v>1</v>
      </c>
      <c r="P248">
        <v>-1</v>
      </c>
      <c r="Q248">
        <v>-1</v>
      </c>
      <c r="R248">
        <f>-1-'vehicles specifications'!AD114</f>
        <v>-1</v>
      </c>
      <c r="S248">
        <v>1</v>
      </c>
      <c r="T248">
        <v>1</v>
      </c>
      <c r="U248">
        <v>1</v>
      </c>
      <c r="V248">
        <v>1</v>
      </c>
      <c r="W248">
        <v>1</v>
      </c>
      <c r="X248">
        <v>1</v>
      </c>
      <c r="Y248">
        <v>1</v>
      </c>
      <c r="Z248">
        <v>1</v>
      </c>
      <c r="AA248">
        <v>1</v>
      </c>
      <c r="AB248">
        <v>1</v>
      </c>
      <c r="AC248">
        <v>1</v>
      </c>
      <c r="AD248">
        <v>1</v>
      </c>
      <c r="AE248">
        <v>1</v>
      </c>
      <c r="AF248">
        <v>1</v>
      </c>
      <c r="AG248">
        <v>1</v>
      </c>
      <c r="AH248">
        <v>1</v>
      </c>
      <c r="AI248">
        <v>1</v>
      </c>
      <c r="AJ248">
        <v>1</v>
      </c>
      <c r="AK248">
        <v>1</v>
      </c>
      <c r="AL248">
        <v>1</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64" x14ac:dyDescent="0.2">
      <c r="A249" t="s">
        <v>399</v>
      </c>
      <c r="B249">
        <f t="shared" si="13"/>
        <v>1.1111111111111112E-2</v>
      </c>
      <c r="C249" s="2">
        <f>'vehicles specifications'!S115</f>
        <v>111</v>
      </c>
      <c r="D249">
        <f t="shared" si="13"/>
        <v>1.1111111111111112E-2</v>
      </c>
      <c r="F249">
        <f>1+'vehicles specifications'!AD115</f>
        <v>1</v>
      </c>
      <c r="G249">
        <f>1+'vehicles specifications'!AD115</f>
        <v>1</v>
      </c>
      <c r="H249">
        <v>1</v>
      </c>
      <c r="I249">
        <v>1</v>
      </c>
      <c r="K249">
        <f>1/('fuels and tailpipe emissions'!$C$3*3.6)</f>
        <v>2.3474178403755867E-2</v>
      </c>
      <c r="L249">
        <f>1/3.6</f>
        <v>0.2777777777777778</v>
      </c>
      <c r="M249">
        <f>1/'vehicles specifications'!J115</f>
        <v>2.4691358024691357E-5</v>
      </c>
      <c r="N249">
        <v>1</v>
      </c>
      <c r="O249">
        <f>1</f>
        <v>1</v>
      </c>
      <c r="P249">
        <v>-1</v>
      </c>
      <c r="Q249">
        <v>-1</v>
      </c>
      <c r="R249">
        <f>-1-'vehicles specifications'!AD115</f>
        <v>-1</v>
      </c>
      <c r="S249">
        <v>1</v>
      </c>
      <c r="T249">
        <v>1</v>
      </c>
      <c r="U249">
        <v>1</v>
      </c>
      <c r="V249">
        <v>1</v>
      </c>
      <c r="W249">
        <v>1</v>
      </c>
      <c r="X249">
        <v>1</v>
      </c>
      <c r="Y249">
        <v>1</v>
      </c>
      <c r="Z249">
        <v>1</v>
      </c>
      <c r="AA249">
        <v>1</v>
      </c>
      <c r="AB249">
        <v>1</v>
      </c>
      <c r="AC249">
        <v>1</v>
      </c>
      <c r="AD249">
        <v>1</v>
      </c>
      <c r="AE249">
        <v>1</v>
      </c>
      <c r="AF249">
        <v>1</v>
      </c>
      <c r="AG249">
        <v>1</v>
      </c>
      <c r="AH249">
        <v>1</v>
      </c>
      <c r="AI249">
        <v>1</v>
      </c>
      <c r="AJ249">
        <v>1</v>
      </c>
      <c r="AK249">
        <v>1</v>
      </c>
      <c r="AL249">
        <v>1</v>
      </c>
      <c r="AM249">
        <v>1</v>
      </c>
      <c r="AN249">
        <v>1</v>
      </c>
      <c r="AO249">
        <v>1</v>
      </c>
      <c r="AP249">
        <v>1</v>
      </c>
      <c r="AQ249">
        <v>1</v>
      </c>
      <c r="AR249">
        <v>1</v>
      </c>
      <c r="AS249">
        <v>1</v>
      </c>
      <c r="AT249">
        <v>1</v>
      </c>
      <c r="AU249">
        <v>1</v>
      </c>
      <c r="AV249">
        <v>1</v>
      </c>
      <c r="AW249">
        <v>1</v>
      </c>
      <c r="AX249">
        <v>1</v>
      </c>
      <c r="AY249">
        <v>1</v>
      </c>
      <c r="AZ249">
        <v>1</v>
      </c>
      <c r="BA249">
        <v>1</v>
      </c>
      <c r="BB249">
        <v>1</v>
      </c>
      <c r="BC249">
        <v>1</v>
      </c>
      <c r="BD249">
        <v>1</v>
      </c>
      <c r="BE249">
        <v>1</v>
      </c>
      <c r="BF249">
        <v>1</v>
      </c>
      <c r="BG249">
        <v>1</v>
      </c>
      <c r="BH249">
        <v>1</v>
      </c>
      <c r="BI249">
        <v>1</v>
      </c>
      <c r="BJ249">
        <v>-1</v>
      </c>
      <c r="BK249">
        <v>-1</v>
      </c>
      <c r="BL249">
        <v>-1</v>
      </c>
    </row>
    <row r="250" spans="1:64" x14ac:dyDescent="0.2">
      <c r="A250" t="s">
        <v>400</v>
      </c>
      <c r="B250">
        <f t="shared" si="13"/>
        <v>1.1111111111111112E-2</v>
      </c>
      <c r="C250" s="2">
        <f>'vehicles specifications'!S116</f>
        <v>111</v>
      </c>
      <c r="D250">
        <f t="shared" si="13"/>
        <v>1.1111111111111112E-2</v>
      </c>
      <c r="F250">
        <f>1+'vehicles specifications'!AD116</f>
        <v>1</v>
      </c>
      <c r="G250">
        <f>1+'vehicles specifications'!AD116</f>
        <v>1</v>
      </c>
      <c r="H250">
        <v>1</v>
      </c>
      <c r="I250">
        <v>1</v>
      </c>
      <c r="K250">
        <f>1/('fuels and tailpipe emissions'!$C$3*3.6)</f>
        <v>2.3474178403755867E-2</v>
      </c>
      <c r="L250">
        <f>1/3.6</f>
        <v>0.2777777777777778</v>
      </c>
      <c r="M250">
        <f>1/'vehicles specifications'!J116</f>
        <v>2.4691358024691357E-5</v>
      </c>
      <c r="N250">
        <v>1</v>
      </c>
      <c r="O250">
        <f>1</f>
        <v>1</v>
      </c>
      <c r="P250">
        <v>-1</v>
      </c>
      <c r="Q250">
        <v>-1</v>
      </c>
      <c r="R250">
        <f>-1-'vehicles specifications'!AD116</f>
        <v>-1</v>
      </c>
      <c r="S250">
        <v>1</v>
      </c>
      <c r="T250">
        <v>1</v>
      </c>
      <c r="U250">
        <v>1</v>
      </c>
      <c r="V250">
        <v>1</v>
      </c>
      <c r="W250">
        <v>1</v>
      </c>
      <c r="X250">
        <v>1</v>
      </c>
      <c r="Y250">
        <v>1</v>
      </c>
      <c r="Z250">
        <v>1</v>
      </c>
      <c r="AA250">
        <v>1</v>
      </c>
      <c r="AB250">
        <v>1</v>
      </c>
      <c r="AC250">
        <v>1</v>
      </c>
      <c r="AD250">
        <v>1</v>
      </c>
      <c r="AE250">
        <v>1</v>
      </c>
      <c r="AF250">
        <v>1</v>
      </c>
      <c r="AG250">
        <v>1</v>
      </c>
      <c r="AH250">
        <v>1</v>
      </c>
      <c r="AI250">
        <v>1</v>
      </c>
      <c r="AJ250">
        <v>1</v>
      </c>
      <c r="AK250">
        <v>1</v>
      </c>
      <c r="AL250">
        <v>1</v>
      </c>
      <c r="AM250">
        <v>1</v>
      </c>
      <c r="AN250">
        <v>1</v>
      </c>
      <c r="AO250">
        <v>1</v>
      </c>
      <c r="AP250">
        <v>1</v>
      </c>
      <c r="AQ250">
        <v>1</v>
      </c>
      <c r="AR250">
        <v>1</v>
      </c>
      <c r="AS250">
        <v>1</v>
      </c>
      <c r="AT250">
        <v>1</v>
      </c>
      <c r="AU250">
        <v>1</v>
      </c>
      <c r="AV250">
        <v>1</v>
      </c>
      <c r="AW250">
        <v>1</v>
      </c>
      <c r="AX250">
        <v>1</v>
      </c>
      <c r="AY250">
        <v>1</v>
      </c>
      <c r="AZ250">
        <v>1</v>
      </c>
      <c r="BA250">
        <v>1</v>
      </c>
      <c r="BB250">
        <v>1</v>
      </c>
      <c r="BC250">
        <v>1</v>
      </c>
      <c r="BD250">
        <v>1</v>
      </c>
      <c r="BE250">
        <v>1</v>
      </c>
      <c r="BF250">
        <v>1</v>
      </c>
      <c r="BG250">
        <v>1</v>
      </c>
      <c r="BH250">
        <v>1</v>
      </c>
      <c r="BI250">
        <v>1</v>
      </c>
      <c r="BJ250">
        <v>-1</v>
      </c>
      <c r="BK250">
        <v>-1</v>
      </c>
      <c r="BL250">
        <v>-1</v>
      </c>
    </row>
    <row r="251" spans="1:64" x14ac:dyDescent="0.2">
      <c r="A251" t="s">
        <v>401</v>
      </c>
      <c r="B251">
        <f t="shared" si="13"/>
        <v>1.1111111111111112E-2</v>
      </c>
      <c r="C251" s="2">
        <f>'vehicles specifications'!S117</f>
        <v>111</v>
      </c>
      <c r="D251">
        <f t="shared" si="13"/>
        <v>1.1111111111111112E-2</v>
      </c>
      <c r="F251">
        <f>1+'vehicles specifications'!AD117</f>
        <v>1</v>
      </c>
      <c r="G251">
        <f>1+'vehicles specifications'!AD117</f>
        <v>1</v>
      </c>
      <c r="H251">
        <v>1</v>
      </c>
      <c r="I251">
        <v>1</v>
      </c>
      <c r="K251">
        <f>1/('fuels and tailpipe emissions'!$C$3*3.6)</f>
        <v>2.3474178403755867E-2</v>
      </c>
      <c r="L251">
        <f>1/3.6</f>
        <v>0.2777777777777778</v>
      </c>
      <c r="M251">
        <f>1/'vehicles specifications'!J117</f>
        <v>2.4691358024691357E-5</v>
      </c>
      <c r="N251">
        <v>1</v>
      </c>
      <c r="O251">
        <f>1</f>
        <v>1</v>
      </c>
      <c r="P251">
        <v>-1</v>
      </c>
      <c r="Q251">
        <v>-1</v>
      </c>
      <c r="R251">
        <f>-1-'vehicles specifications'!AD117</f>
        <v>-1</v>
      </c>
      <c r="S251">
        <v>1</v>
      </c>
      <c r="T251">
        <v>1</v>
      </c>
      <c r="U251">
        <v>1</v>
      </c>
      <c r="V251">
        <v>1</v>
      </c>
      <c r="W251">
        <v>1</v>
      </c>
      <c r="X251">
        <v>1</v>
      </c>
      <c r="Y251">
        <v>1</v>
      </c>
      <c r="Z251">
        <v>1</v>
      </c>
      <c r="AA251">
        <v>1</v>
      </c>
      <c r="AB251">
        <v>1</v>
      </c>
      <c r="AC251">
        <v>1</v>
      </c>
      <c r="AD251">
        <v>1</v>
      </c>
      <c r="AE251">
        <v>1</v>
      </c>
      <c r="AF251">
        <v>1</v>
      </c>
      <c r="AG251">
        <v>1</v>
      </c>
      <c r="AH251">
        <v>1</v>
      </c>
      <c r="AI251">
        <v>1</v>
      </c>
      <c r="AJ251">
        <v>1</v>
      </c>
      <c r="AK251">
        <v>1</v>
      </c>
      <c r="AL251">
        <v>1</v>
      </c>
      <c r="AM251">
        <v>1</v>
      </c>
      <c r="AN251">
        <v>1</v>
      </c>
      <c r="AO251">
        <v>1</v>
      </c>
      <c r="AP251">
        <v>1</v>
      </c>
      <c r="AQ251">
        <v>1</v>
      </c>
      <c r="AR251">
        <v>1</v>
      </c>
      <c r="AS251">
        <v>1</v>
      </c>
      <c r="AT251">
        <v>1</v>
      </c>
      <c r="AU251">
        <v>1</v>
      </c>
      <c r="AV251">
        <v>1</v>
      </c>
      <c r="AW251">
        <v>1</v>
      </c>
      <c r="AX251">
        <v>1</v>
      </c>
      <c r="AY251">
        <v>1</v>
      </c>
      <c r="AZ251">
        <v>1</v>
      </c>
      <c r="BA251">
        <v>1</v>
      </c>
      <c r="BB251">
        <v>1</v>
      </c>
      <c r="BC251">
        <v>1</v>
      </c>
      <c r="BD251">
        <v>1</v>
      </c>
      <c r="BE251">
        <v>1</v>
      </c>
      <c r="BF251">
        <v>1</v>
      </c>
      <c r="BG251">
        <v>1</v>
      </c>
      <c r="BH251">
        <v>1</v>
      </c>
      <c r="BI251">
        <v>1</v>
      </c>
      <c r="BJ251">
        <v>-1</v>
      </c>
      <c r="BK251">
        <v>-1</v>
      </c>
      <c r="BL251">
        <v>-1</v>
      </c>
    </row>
    <row r="252" spans="1:64" x14ac:dyDescent="0.2">
      <c r="A252" t="s">
        <v>402</v>
      </c>
      <c r="B252">
        <f t="shared" si="13"/>
        <v>1.1111111111111112E-2</v>
      </c>
      <c r="C252" s="2">
        <f>'vehicles specifications'!S118</f>
        <v>111</v>
      </c>
      <c r="D252">
        <f t="shared" si="13"/>
        <v>1.1111111111111112E-2</v>
      </c>
      <c r="F252">
        <f>1+'vehicles specifications'!AD118</f>
        <v>1</v>
      </c>
      <c r="G252">
        <f>1+'vehicles specifications'!AD118</f>
        <v>1</v>
      </c>
      <c r="H252">
        <v>1</v>
      </c>
      <c r="I252">
        <v>1</v>
      </c>
      <c r="K252">
        <f>1/('fuels and tailpipe emissions'!$C$3*3.6)</f>
        <v>2.3474178403755867E-2</v>
      </c>
      <c r="L252">
        <f>1/3.6</f>
        <v>0.2777777777777778</v>
      </c>
      <c r="M252">
        <f>1/'vehicles specifications'!J118</f>
        <v>2.4691358024691357E-5</v>
      </c>
      <c r="N252">
        <v>1</v>
      </c>
      <c r="O252">
        <f>1</f>
        <v>1</v>
      </c>
      <c r="P252">
        <v>-1</v>
      </c>
      <c r="Q252">
        <v>-1</v>
      </c>
      <c r="R252">
        <f>-1-'vehicles specifications'!AD118</f>
        <v>-1</v>
      </c>
      <c r="S252">
        <v>1</v>
      </c>
      <c r="T252">
        <v>1</v>
      </c>
      <c r="U252">
        <v>1</v>
      </c>
      <c r="V252">
        <v>1</v>
      </c>
      <c r="W252">
        <v>1</v>
      </c>
      <c r="X252">
        <v>1</v>
      </c>
      <c r="Y252">
        <v>1</v>
      </c>
      <c r="Z252">
        <v>1</v>
      </c>
      <c r="AA252">
        <v>1</v>
      </c>
      <c r="AB252">
        <v>1</v>
      </c>
      <c r="AC252">
        <v>1</v>
      </c>
      <c r="AD252">
        <v>1</v>
      </c>
      <c r="AE252">
        <v>1</v>
      </c>
      <c r="AF252">
        <v>1</v>
      </c>
      <c r="AG252">
        <v>1</v>
      </c>
      <c r="AH252">
        <v>1</v>
      </c>
      <c r="AI252">
        <v>1</v>
      </c>
      <c r="AJ252">
        <v>1</v>
      </c>
      <c r="AK252">
        <v>1</v>
      </c>
      <c r="AL252">
        <v>1</v>
      </c>
      <c r="AM252">
        <v>1</v>
      </c>
      <c r="AN252">
        <v>1</v>
      </c>
      <c r="AO252">
        <v>1</v>
      </c>
      <c r="AP252">
        <v>1</v>
      </c>
      <c r="AQ252">
        <v>1</v>
      </c>
      <c r="AR252">
        <v>1</v>
      </c>
      <c r="AS252">
        <v>1</v>
      </c>
      <c r="AT252">
        <v>1</v>
      </c>
      <c r="AU252">
        <v>1</v>
      </c>
      <c r="AV252">
        <v>1</v>
      </c>
      <c r="AW252">
        <v>1</v>
      </c>
      <c r="AX252">
        <v>1</v>
      </c>
      <c r="AY252">
        <v>1</v>
      </c>
      <c r="AZ252">
        <v>1</v>
      </c>
      <c r="BA252">
        <v>1</v>
      </c>
      <c r="BB252">
        <v>1</v>
      </c>
      <c r="BC252">
        <v>1</v>
      </c>
      <c r="BD252">
        <v>1</v>
      </c>
      <c r="BE252">
        <v>1</v>
      </c>
      <c r="BF252">
        <v>1</v>
      </c>
      <c r="BG252">
        <v>1</v>
      </c>
      <c r="BH252">
        <v>1</v>
      </c>
      <c r="BI252">
        <v>1</v>
      </c>
      <c r="BJ252">
        <v>-1</v>
      </c>
      <c r="BK252">
        <v>-1</v>
      </c>
      <c r="BL252">
        <v>-1</v>
      </c>
    </row>
    <row r="253" spans="1:64" x14ac:dyDescent="0.2">
      <c r="A253" t="s">
        <v>830</v>
      </c>
      <c r="B253">
        <v>1</v>
      </c>
      <c r="C253" s="2">
        <f>'vehicles specifications'!S151</f>
        <v>53</v>
      </c>
      <c r="D253">
        <v>1</v>
      </c>
      <c r="E253">
        <v>1</v>
      </c>
      <c r="F253">
        <f>1+'vehicles specifications'!AD151</f>
        <v>2</v>
      </c>
      <c r="G253">
        <f>1+'vehicles specifications'!AD151</f>
        <v>2</v>
      </c>
      <c r="J253">
        <v>1</v>
      </c>
      <c r="K253">
        <f>1/('fuels and tailpipe emissions'!$C$3*3.6)</f>
        <v>2.3474178403755867E-2</v>
      </c>
      <c r="L253">
        <f>1/3.6</f>
        <v>0.2777777777777778</v>
      </c>
      <c r="M253">
        <f>1/'vehicles specifications'!J151</f>
        <v>4.0000000000000003E-5</v>
      </c>
      <c r="N253">
        <v>1</v>
      </c>
      <c r="O253">
        <f>1</f>
        <v>1</v>
      </c>
      <c r="P253">
        <v>1</v>
      </c>
      <c r="Q253">
        <v>1</v>
      </c>
      <c r="R253">
        <f>-1-'vehicles specifications'!AD151</f>
        <v>-2</v>
      </c>
      <c r="S253">
        <v>1</v>
      </c>
      <c r="T253">
        <v>1</v>
      </c>
      <c r="U253">
        <v>1</v>
      </c>
      <c r="V253">
        <v>1</v>
      </c>
      <c r="W253">
        <v>1</v>
      </c>
      <c r="X253">
        <v>1</v>
      </c>
      <c r="Y253">
        <v>1</v>
      </c>
      <c r="Z253">
        <v>1</v>
      </c>
      <c r="AA253">
        <v>1</v>
      </c>
      <c r="AB253">
        <v>1</v>
      </c>
      <c r="AC253">
        <v>1</v>
      </c>
      <c r="AD253">
        <v>1</v>
      </c>
      <c r="AE253">
        <v>1</v>
      </c>
      <c r="AF253">
        <v>1</v>
      </c>
      <c r="AG253">
        <v>1</v>
      </c>
      <c r="AH253">
        <v>1</v>
      </c>
      <c r="AI253">
        <v>1</v>
      </c>
      <c r="AJ253">
        <v>1</v>
      </c>
      <c r="AK253">
        <v>1</v>
      </c>
      <c r="AL253">
        <v>1</v>
      </c>
      <c r="AM253">
        <v>1</v>
      </c>
      <c r="AN253">
        <v>1</v>
      </c>
      <c r="AO253">
        <v>1</v>
      </c>
      <c r="AP253">
        <v>1</v>
      </c>
      <c r="AQ253">
        <v>1</v>
      </c>
      <c r="AR253">
        <v>1</v>
      </c>
      <c r="AS253">
        <v>1</v>
      </c>
      <c r="AT253">
        <v>1</v>
      </c>
      <c r="AU253">
        <v>1</v>
      </c>
      <c r="AV253">
        <v>1</v>
      </c>
      <c r="AW253">
        <v>1</v>
      </c>
      <c r="AX253">
        <v>1</v>
      </c>
      <c r="AY253">
        <v>1</v>
      </c>
      <c r="AZ253">
        <v>1</v>
      </c>
      <c r="BA253">
        <v>1</v>
      </c>
      <c r="BB253">
        <v>1</v>
      </c>
      <c r="BC253">
        <v>1</v>
      </c>
      <c r="BD253">
        <v>1</v>
      </c>
      <c r="BE253">
        <v>1</v>
      </c>
      <c r="BF253">
        <v>1</v>
      </c>
      <c r="BG253">
        <v>1</v>
      </c>
      <c r="BH253">
        <v>1</v>
      </c>
      <c r="BI253">
        <v>1</v>
      </c>
      <c r="BJ253">
        <v>-1</v>
      </c>
      <c r="BK253">
        <v>-1</v>
      </c>
      <c r="BL253">
        <v>-1</v>
      </c>
    </row>
    <row r="254" spans="1:64" x14ac:dyDescent="0.2">
      <c r="A254" t="s">
        <v>831</v>
      </c>
      <c r="B254">
        <v>1</v>
      </c>
      <c r="C254" s="2">
        <f>'vehicles specifications'!S137</f>
        <v>53</v>
      </c>
      <c r="D254">
        <v>1</v>
      </c>
      <c r="E254">
        <v>1</v>
      </c>
      <c r="F254">
        <f>1+'vehicles specifications'!AD137</f>
        <v>1.25</v>
      </c>
      <c r="G254">
        <f>1+'vehicles specifications'!AD137</f>
        <v>1.25</v>
      </c>
      <c r="J254">
        <v>1</v>
      </c>
      <c r="K254">
        <f>1/('fuels and tailpipe emissions'!$C$3*3.6)</f>
        <v>2.3474178403755867E-2</v>
      </c>
      <c r="L254">
        <f>1/3.6</f>
        <v>0.2777777777777778</v>
      </c>
      <c r="M254">
        <f>1/'vehicles specifications'!J137</f>
        <v>4.0000000000000003E-5</v>
      </c>
      <c r="N254">
        <v>1</v>
      </c>
      <c r="O254">
        <f>1</f>
        <v>1</v>
      </c>
      <c r="P254">
        <v>1</v>
      </c>
      <c r="Q254">
        <v>1</v>
      </c>
      <c r="R254">
        <f>-1-'vehicles specifications'!AD137</f>
        <v>-1.25</v>
      </c>
      <c r="S254">
        <v>1</v>
      </c>
      <c r="T254">
        <v>1</v>
      </c>
      <c r="U254">
        <v>1</v>
      </c>
      <c r="V254">
        <v>1</v>
      </c>
      <c r="W254">
        <v>1</v>
      </c>
      <c r="X254">
        <v>1</v>
      </c>
      <c r="Y254">
        <v>1</v>
      </c>
      <c r="Z254">
        <v>1</v>
      </c>
      <c r="AA254">
        <v>1</v>
      </c>
      <c r="AB254">
        <v>1</v>
      </c>
      <c r="AC254">
        <v>1</v>
      </c>
      <c r="AD254">
        <v>1</v>
      </c>
      <c r="AE254">
        <v>1</v>
      </c>
      <c r="AF254">
        <v>1</v>
      </c>
      <c r="AG254">
        <v>1</v>
      </c>
      <c r="AH254">
        <v>1</v>
      </c>
      <c r="AI254">
        <v>1</v>
      </c>
      <c r="AJ254">
        <v>1</v>
      </c>
      <c r="AK254">
        <v>1</v>
      </c>
      <c r="AL254">
        <v>1</v>
      </c>
      <c r="AM254">
        <v>1</v>
      </c>
      <c r="AN254">
        <v>1</v>
      </c>
      <c r="AO254">
        <v>1</v>
      </c>
      <c r="AP254">
        <v>1</v>
      </c>
      <c r="AQ254">
        <v>1</v>
      </c>
      <c r="AR254">
        <v>1</v>
      </c>
      <c r="AS254">
        <v>1</v>
      </c>
      <c r="AT254">
        <v>1</v>
      </c>
      <c r="AU254">
        <v>1</v>
      </c>
      <c r="AV254">
        <v>1</v>
      </c>
      <c r="AW254">
        <v>1</v>
      </c>
      <c r="AX254">
        <v>1</v>
      </c>
      <c r="AY254">
        <v>1</v>
      </c>
      <c r="AZ254">
        <v>1</v>
      </c>
      <c r="BA254">
        <v>1</v>
      </c>
      <c r="BB254">
        <v>1</v>
      </c>
      <c r="BC254">
        <v>1</v>
      </c>
      <c r="BD254">
        <v>1</v>
      </c>
      <c r="BE254">
        <v>1</v>
      </c>
      <c r="BF254">
        <v>1</v>
      </c>
      <c r="BG254">
        <v>1</v>
      </c>
      <c r="BH254">
        <v>1</v>
      </c>
      <c r="BI254">
        <v>1</v>
      </c>
      <c r="BJ254">
        <v>-1</v>
      </c>
      <c r="BK254">
        <v>-1</v>
      </c>
      <c r="BL254">
        <v>-1</v>
      </c>
    </row>
    <row r="255" spans="1:64" x14ac:dyDescent="0.2">
      <c r="A255" t="s">
        <v>832</v>
      </c>
      <c r="B255">
        <v>1</v>
      </c>
      <c r="C255" s="2">
        <f>'vehicles specifications'!S138</f>
        <v>53</v>
      </c>
      <c r="D255">
        <v>1</v>
      </c>
      <c r="E255">
        <v>1</v>
      </c>
      <c r="F255">
        <f>1+'vehicles specifications'!AD138</f>
        <v>1</v>
      </c>
      <c r="G255">
        <f>1+'vehicles specifications'!AD138</f>
        <v>1</v>
      </c>
      <c r="J255">
        <v>1</v>
      </c>
      <c r="K255">
        <f>1/('fuels and tailpipe emissions'!$C$3*3.6)</f>
        <v>2.3474178403755867E-2</v>
      </c>
      <c r="L255">
        <f>1/3.6</f>
        <v>0.2777777777777778</v>
      </c>
      <c r="M255">
        <f>1/'vehicles specifications'!J138</f>
        <v>4.0000000000000003E-5</v>
      </c>
      <c r="N255">
        <v>1</v>
      </c>
      <c r="O255">
        <f>1</f>
        <v>1</v>
      </c>
      <c r="P255">
        <v>1</v>
      </c>
      <c r="Q255">
        <v>1</v>
      </c>
      <c r="R255">
        <f>-1-'vehicles specifications'!AD138</f>
        <v>-1</v>
      </c>
      <c r="S255">
        <v>1</v>
      </c>
      <c r="T255">
        <v>1</v>
      </c>
      <c r="U255">
        <v>1</v>
      </c>
      <c r="V255">
        <v>1</v>
      </c>
      <c r="W255">
        <v>1</v>
      </c>
      <c r="X255">
        <v>1</v>
      </c>
      <c r="Y255">
        <v>1</v>
      </c>
      <c r="Z255">
        <v>1</v>
      </c>
      <c r="AA255">
        <v>1</v>
      </c>
      <c r="AB255">
        <v>1</v>
      </c>
      <c r="AC255">
        <v>1</v>
      </c>
      <c r="AD255">
        <v>1</v>
      </c>
      <c r="AE255">
        <v>1</v>
      </c>
      <c r="AF255">
        <v>1</v>
      </c>
      <c r="AG255">
        <v>1</v>
      </c>
      <c r="AH255">
        <v>1</v>
      </c>
      <c r="AI255">
        <v>1</v>
      </c>
      <c r="AJ255">
        <v>1</v>
      </c>
      <c r="AK255">
        <v>1</v>
      </c>
      <c r="AL255">
        <v>1</v>
      </c>
      <c r="AM255">
        <v>1</v>
      </c>
      <c r="AN255">
        <v>1</v>
      </c>
      <c r="AO255">
        <v>1</v>
      </c>
      <c r="AP255">
        <v>1</v>
      </c>
      <c r="AQ255">
        <v>1</v>
      </c>
      <c r="AR255">
        <v>1</v>
      </c>
      <c r="AS255">
        <v>1</v>
      </c>
      <c r="AT255">
        <v>1</v>
      </c>
      <c r="AU255">
        <v>1</v>
      </c>
      <c r="AV255">
        <v>1</v>
      </c>
      <c r="AW255">
        <v>1</v>
      </c>
      <c r="AX255">
        <v>1</v>
      </c>
      <c r="AY255">
        <v>1</v>
      </c>
      <c r="AZ255">
        <v>1</v>
      </c>
      <c r="BA255">
        <v>1</v>
      </c>
      <c r="BB255">
        <v>1</v>
      </c>
      <c r="BC255">
        <v>1</v>
      </c>
      <c r="BD255">
        <v>1</v>
      </c>
      <c r="BE255">
        <v>1</v>
      </c>
      <c r="BF255">
        <v>1</v>
      </c>
      <c r="BG255">
        <v>1</v>
      </c>
      <c r="BH255">
        <v>1</v>
      </c>
      <c r="BI255">
        <v>1</v>
      </c>
      <c r="BJ255">
        <v>-1</v>
      </c>
      <c r="BK255">
        <v>-1</v>
      </c>
      <c r="BL255">
        <v>-1</v>
      </c>
    </row>
    <row r="256" spans="1:64" x14ac:dyDescent="0.2">
      <c r="A256" t="s">
        <v>833</v>
      </c>
      <c r="B256">
        <v>1</v>
      </c>
      <c r="C256" s="2">
        <f>'vehicles specifications'!S139</f>
        <v>65.433826960328489</v>
      </c>
      <c r="D256">
        <v>1</v>
      </c>
      <c r="E256">
        <v>1</v>
      </c>
      <c r="F256">
        <f>1+'vehicles specifications'!AD139</f>
        <v>2</v>
      </c>
      <c r="G256">
        <f>1+'vehicles specifications'!AD139</f>
        <v>2</v>
      </c>
      <c r="J256">
        <v>1</v>
      </c>
      <c r="K256">
        <f>1/('fuels and tailpipe emissions'!$C$3*3.6)</f>
        <v>2.3474178403755867E-2</v>
      </c>
      <c r="L256">
        <f>1/3.6</f>
        <v>0.2777777777777778</v>
      </c>
      <c r="M256">
        <f>1/'vehicles specifications'!J139</f>
        <v>4.0000000000000003E-5</v>
      </c>
      <c r="N256">
        <v>1</v>
      </c>
      <c r="O256">
        <f>1</f>
        <v>1</v>
      </c>
      <c r="P256">
        <v>1</v>
      </c>
      <c r="Q256">
        <v>1</v>
      </c>
      <c r="R256">
        <f>-1-'vehicles specifications'!AD139</f>
        <v>-2</v>
      </c>
      <c r="S256">
        <v>1</v>
      </c>
      <c r="T256">
        <v>1</v>
      </c>
      <c r="U256">
        <v>1</v>
      </c>
      <c r="V256">
        <v>1</v>
      </c>
      <c r="W256">
        <v>1</v>
      </c>
      <c r="X256">
        <v>1</v>
      </c>
      <c r="Y256">
        <v>1</v>
      </c>
      <c r="Z256">
        <v>1</v>
      </c>
      <c r="AA256">
        <v>1</v>
      </c>
      <c r="AB256">
        <v>1</v>
      </c>
      <c r="AC256">
        <v>1</v>
      </c>
      <c r="AD256">
        <v>1</v>
      </c>
      <c r="AE256">
        <v>1</v>
      </c>
      <c r="AF256">
        <v>1</v>
      </c>
      <c r="AG256">
        <v>1</v>
      </c>
      <c r="AH256">
        <v>1</v>
      </c>
      <c r="AI256">
        <v>1</v>
      </c>
      <c r="AJ256">
        <v>1</v>
      </c>
      <c r="AK256">
        <v>1</v>
      </c>
      <c r="AL256">
        <v>1</v>
      </c>
      <c r="AM256">
        <v>1</v>
      </c>
      <c r="AN256">
        <v>1</v>
      </c>
      <c r="AO256">
        <v>1</v>
      </c>
      <c r="AP256">
        <v>1</v>
      </c>
      <c r="AQ256">
        <v>1</v>
      </c>
      <c r="AR256">
        <v>1</v>
      </c>
      <c r="AS256">
        <v>1</v>
      </c>
      <c r="AT256">
        <v>1</v>
      </c>
      <c r="AU256">
        <v>1</v>
      </c>
      <c r="AV256">
        <v>1</v>
      </c>
      <c r="AW256">
        <v>1</v>
      </c>
      <c r="AX256">
        <v>1</v>
      </c>
      <c r="AY256">
        <v>1</v>
      </c>
      <c r="AZ256">
        <v>1</v>
      </c>
      <c r="BA256">
        <v>1</v>
      </c>
      <c r="BB256">
        <v>1</v>
      </c>
      <c r="BC256">
        <v>1</v>
      </c>
      <c r="BD256">
        <v>1</v>
      </c>
      <c r="BE256">
        <v>1</v>
      </c>
      <c r="BF256">
        <v>1</v>
      </c>
      <c r="BG256">
        <v>1</v>
      </c>
      <c r="BH256">
        <v>1</v>
      </c>
      <c r="BI256">
        <v>1</v>
      </c>
      <c r="BJ256">
        <v>-1</v>
      </c>
      <c r="BK256">
        <v>-1</v>
      </c>
      <c r="BL256">
        <v>-1</v>
      </c>
    </row>
    <row r="257" spans="1:64" x14ac:dyDescent="0.2">
      <c r="A257" t="s">
        <v>834</v>
      </c>
      <c r="B257">
        <v>1</v>
      </c>
      <c r="C257" s="2">
        <f>'vehicles specifications'!S140</f>
        <v>65.433826960328489</v>
      </c>
      <c r="D257">
        <v>1</v>
      </c>
      <c r="E257">
        <v>1</v>
      </c>
      <c r="F257">
        <f>1+'vehicles specifications'!AD140</f>
        <v>1.5</v>
      </c>
      <c r="G257">
        <f>1+'vehicles specifications'!AD140</f>
        <v>1.5</v>
      </c>
      <c r="J257">
        <v>1</v>
      </c>
      <c r="K257">
        <f>1/('fuels and tailpipe emissions'!$C$3*3.6)</f>
        <v>2.3474178403755867E-2</v>
      </c>
      <c r="L257">
        <f>1/3.6</f>
        <v>0.2777777777777778</v>
      </c>
      <c r="M257">
        <f>1/'vehicles specifications'!J140</f>
        <v>4.0000000000000003E-5</v>
      </c>
      <c r="N257">
        <v>1</v>
      </c>
      <c r="O257">
        <f>1</f>
        <v>1</v>
      </c>
      <c r="P257">
        <v>1</v>
      </c>
      <c r="Q257">
        <v>1</v>
      </c>
      <c r="R257">
        <f>-1-'vehicles specifications'!AD140</f>
        <v>-1.5</v>
      </c>
      <c r="S257">
        <v>1</v>
      </c>
      <c r="T257">
        <v>1</v>
      </c>
      <c r="U257">
        <v>1</v>
      </c>
      <c r="V257">
        <v>1</v>
      </c>
      <c r="W257">
        <v>1</v>
      </c>
      <c r="X257">
        <v>1</v>
      </c>
      <c r="Y257">
        <v>1</v>
      </c>
      <c r="Z257">
        <v>1</v>
      </c>
      <c r="AA257">
        <v>1</v>
      </c>
      <c r="AB257">
        <v>1</v>
      </c>
      <c r="AC257">
        <v>1</v>
      </c>
      <c r="AD257">
        <v>1</v>
      </c>
      <c r="AE257">
        <v>1</v>
      </c>
      <c r="AF257">
        <v>1</v>
      </c>
      <c r="AG257">
        <v>1</v>
      </c>
      <c r="AH257">
        <v>1</v>
      </c>
      <c r="AI257">
        <v>1</v>
      </c>
      <c r="AJ257">
        <v>1</v>
      </c>
      <c r="AK257">
        <v>1</v>
      </c>
      <c r="AL257">
        <v>1</v>
      </c>
      <c r="AM257">
        <v>1</v>
      </c>
      <c r="AN257">
        <v>1</v>
      </c>
      <c r="AO257">
        <v>1</v>
      </c>
      <c r="AP257">
        <v>1</v>
      </c>
      <c r="AQ257">
        <v>1</v>
      </c>
      <c r="AR257">
        <v>1</v>
      </c>
      <c r="AS257">
        <v>1</v>
      </c>
      <c r="AT257">
        <v>1</v>
      </c>
      <c r="AU257">
        <v>1</v>
      </c>
      <c r="AV257">
        <v>1</v>
      </c>
      <c r="AW257">
        <v>1</v>
      </c>
      <c r="AX257">
        <v>1</v>
      </c>
      <c r="AY257">
        <v>1</v>
      </c>
      <c r="AZ257">
        <v>1</v>
      </c>
      <c r="BA257">
        <v>1</v>
      </c>
      <c r="BB257">
        <v>1</v>
      </c>
      <c r="BC257">
        <v>1</v>
      </c>
      <c r="BD257">
        <v>1</v>
      </c>
      <c r="BE257">
        <v>1</v>
      </c>
      <c r="BF257">
        <v>1</v>
      </c>
      <c r="BG257">
        <v>1</v>
      </c>
      <c r="BH257">
        <v>1</v>
      </c>
      <c r="BI257">
        <v>1</v>
      </c>
      <c r="BJ257">
        <v>-1</v>
      </c>
      <c r="BK257">
        <v>-1</v>
      </c>
      <c r="BL257">
        <v>-1</v>
      </c>
    </row>
    <row r="258" spans="1:64" x14ac:dyDescent="0.2">
      <c r="A258" t="s">
        <v>835</v>
      </c>
      <c r="B258">
        <v>1</v>
      </c>
      <c r="C258" s="2">
        <f>'vehicles specifications'!S141</f>
        <v>65.433826960328489</v>
      </c>
      <c r="D258">
        <v>1</v>
      </c>
      <c r="E258">
        <v>1</v>
      </c>
      <c r="F258">
        <f>1+'vehicles specifications'!AD141</f>
        <v>1.25</v>
      </c>
      <c r="G258">
        <f>1+'vehicles specifications'!AD141</f>
        <v>1.25</v>
      </c>
      <c r="J258">
        <v>1</v>
      </c>
      <c r="K258">
        <f>1/('fuels and tailpipe emissions'!$C$3*3.6)</f>
        <v>2.3474178403755867E-2</v>
      </c>
      <c r="L258">
        <f>1/3.6</f>
        <v>0.2777777777777778</v>
      </c>
      <c r="M258">
        <f>1/'vehicles specifications'!J141</f>
        <v>4.0000000000000003E-5</v>
      </c>
      <c r="N258">
        <v>1</v>
      </c>
      <c r="O258">
        <f>1</f>
        <v>1</v>
      </c>
      <c r="P258">
        <v>1</v>
      </c>
      <c r="Q258">
        <v>1</v>
      </c>
      <c r="R258">
        <f>-1-'vehicles specifications'!AD141</f>
        <v>-1.25</v>
      </c>
      <c r="S258">
        <v>1</v>
      </c>
      <c r="T258">
        <v>1</v>
      </c>
      <c r="U258">
        <v>1</v>
      </c>
      <c r="V258">
        <v>1</v>
      </c>
      <c r="W258">
        <v>1</v>
      </c>
      <c r="X258">
        <v>1</v>
      </c>
      <c r="Y258">
        <v>1</v>
      </c>
      <c r="Z258">
        <v>1</v>
      </c>
      <c r="AA258">
        <v>1</v>
      </c>
      <c r="AB258">
        <v>1</v>
      </c>
      <c r="AC258">
        <v>1</v>
      </c>
      <c r="AD258">
        <v>1</v>
      </c>
      <c r="AE258">
        <v>1</v>
      </c>
      <c r="AF258">
        <v>1</v>
      </c>
      <c r="AG258">
        <v>1</v>
      </c>
      <c r="AH258">
        <v>1</v>
      </c>
      <c r="AI258">
        <v>1</v>
      </c>
      <c r="AJ258">
        <v>1</v>
      </c>
      <c r="AK258">
        <v>1</v>
      </c>
      <c r="AL258">
        <v>1</v>
      </c>
      <c r="AM258">
        <v>1</v>
      </c>
      <c r="AN258">
        <v>1</v>
      </c>
      <c r="AO258">
        <v>1</v>
      </c>
      <c r="AP258">
        <v>1</v>
      </c>
      <c r="AQ258">
        <v>1</v>
      </c>
      <c r="AR258">
        <v>1</v>
      </c>
      <c r="AS258">
        <v>1</v>
      </c>
      <c r="AT258">
        <v>1</v>
      </c>
      <c r="AU258">
        <v>1</v>
      </c>
      <c r="AV258">
        <v>1</v>
      </c>
      <c r="AW258">
        <v>1</v>
      </c>
      <c r="AX258">
        <v>1</v>
      </c>
      <c r="AY258">
        <v>1</v>
      </c>
      <c r="AZ258">
        <v>1</v>
      </c>
      <c r="BA258">
        <v>1</v>
      </c>
      <c r="BB258">
        <v>1</v>
      </c>
      <c r="BC258">
        <v>1</v>
      </c>
      <c r="BD258">
        <v>1</v>
      </c>
      <c r="BE258">
        <v>1</v>
      </c>
      <c r="BF258">
        <v>1</v>
      </c>
      <c r="BG258">
        <v>1</v>
      </c>
      <c r="BH258">
        <v>1</v>
      </c>
      <c r="BI258">
        <v>1</v>
      </c>
      <c r="BJ258">
        <v>-1</v>
      </c>
      <c r="BK258">
        <v>-1</v>
      </c>
      <c r="BL258">
        <v>-1</v>
      </c>
    </row>
    <row r="259" spans="1:64" x14ac:dyDescent="0.2">
      <c r="A259" t="s">
        <v>836</v>
      </c>
      <c r="B259">
        <v>1</v>
      </c>
      <c r="C259" s="2">
        <f>'vehicles specifications'!S142</f>
        <v>65.433826960328489</v>
      </c>
      <c r="D259">
        <v>1</v>
      </c>
      <c r="E259">
        <v>1</v>
      </c>
      <c r="F259">
        <f>1+'vehicles specifications'!AD142</f>
        <v>1</v>
      </c>
      <c r="G259">
        <f>1+'vehicles specifications'!AD142</f>
        <v>1</v>
      </c>
      <c r="J259">
        <v>1</v>
      </c>
      <c r="K259">
        <f>1/('fuels and tailpipe emissions'!$C$3*3.6)</f>
        <v>2.3474178403755867E-2</v>
      </c>
      <c r="L259">
        <f>1/3.6</f>
        <v>0.2777777777777778</v>
      </c>
      <c r="M259">
        <f>1/'vehicles specifications'!J142</f>
        <v>4.0000000000000003E-5</v>
      </c>
      <c r="N259">
        <v>1</v>
      </c>
      <c r="O259">
        <f>1</f>
        <v>1</v>
      </c>
      <c r="P259">
        <v>1</v>
      </c>
      <c r="Q259">
        <v>1</v>
      </c>
      <c r="R259">
        <f>-1-'vehicles specifications'!AD142</f>
        <v>-1</v>
      </c>
      <c r="S259">
        <v>1</v>
      </c>
      <c r="T259">
        <v>1</v>
      </c>
      <c r="U259">
        <v>1</v>
      </c>
      <c r="V259">
        <v>1</v>
      </c>
      <c r="W259">
        <v>1</v>
      </c>
      <c r="X259">
        <v>1</v>
      </c>
      <c r="Y259">
        <v>1</v>
      </c>
      <c r="Z259">
        <v>1</v>
      </c>
      <c r="AA259">
        <v>1</v>
      </c>
      <c r="AB259">
        <v>1</v>
      </c>
      <c r="AC259">
        <v>1</v>
      </c>
      <c r="AD259">
        <v>1</v>
      </c>
      <c r="AE259">
        <v>1</v>
      </c>
      <c r="AF259">
        <v>1</v>
      </c>
      <c r="AG259">
        <v>1</v>
      </c>
      <c r="AH259">
        <v>1</v>
      </c>
      <c r="AI259">
        <v>1</v>
      </c>
      <c r="AJ259">
        <v>1</v>
      </c>
      <c r="AK259">
        <v>1</v>
      </c>
      <c r="AL259">
        <v>1</v>
      </c>
      <c r="AM259">
        <v>1</v>
      </c>
      <c r="AN259">
        <v>1</v>
      </c>
      <c r="AO259">
        <v>1</v>
      </c>
      <c r="AP259">
        <v>1</v>
      </c>
      <c r="AQ259">
        <v>1</v>
      </c>
      <c r="AR259">
        <v>1</v>
      </c>
      <c r="AS259">
        <v>1</v>
      </c>
      <c r="AT259">
        <v>1</v>
      </c>
      <c r="AU259">
        <v>1</v>
      </c>
      <c r="AV259">
        <v>1</v>
      </c>
      <c r="AW259">
        <v>1</v>
      </c>
      <c r="AX259">
        <v>1</v>
      </c>
      <c r="AY259">
        <v>1</v>
      </c>
      <c r="AZ259">
        <v>1</v>
      </c>
      <c r="BA259">
        <v>1</v>
      </c>
      <c r="BB259">
        <v>1</v>
      </c>
      <c r="BC259">
        <v>1</v>
      </c>
      <c r="BD259">
        <v>1</v>
      </c>
      <c r="BE259">
        <v>1</v>
      </c>
      <c r="BF259">
        <v>1</v>
      </c>
      <c r="BG259">
        <v>1</v>
      </c>
      <c r="BH259">
        <v>1</v>
      </c>
      <c r="BI259">
        <v>1</v>
      </c>
      <c r="BJ259">
        <v>-1</v>
      </c>
      <c r="BK259">
        <v>-1</v>
      </c>
      <c r="BL259">
        <v>-1</v>
      </c>
    </row>
    <row r="260" spans="1:64" x14ac:dyDescent="0.2">
      <c r="A260" t="s">
        <v>837</v>
      </c>
      <c r="B260">
        <v>1</v>
      </c>
      <c r="C260" s="2">
        <f>'vehicles specifications'!S143</f>
        <v>81</v>
      </c>
      <c r="D260">
        <v>1</v>
      </c>
      <c r="E260">
        <v>1</v>
      </c>
      <c r="F260">
        <f>1+'vehicles specifications'!AD143</f>
        <v>2</v>
      </c>
      <c r="G260">
        <f>1+'vehicles specifications'!AD143</f>
        <v>2</v>
      </c>
      <c r="J260">
        <v>1</v>
      </c>
      <c r="K260">
        <f>1/('fuels and tailpipe emissions'!$C$3*3.6)</f>
        <v>2.3474178403755867E-2</v>
      </c>
      <c r="L260">
        <f>1/3.6</f>
        <v>0.2777777777777778</v>
      </c>
      <c r="M260">
        <f>1/'vehicles specifications'!J143</f>
        <v>2.5974025974025975E-5</v>
      </c>
      <c r="N260">
        <v>1</v>
      </c>
      <c r="O260">
        <f>1</f>
        <v>1</v>
      </c>
      <c r="P260">
        <v>1</v>
      </c>
      <c r="Q260">
        <v>1</v>
      </c>
      <c r="R260">
        <f>-1-'vehicles specifications'!AD143</f>
        <v>-2</v>
      </c>
      <c r="S260">
        <v>1</v>
      </c>
      <c r="T260">
        <v>1</v>
      </c>
      <c r="U260">
        <v>1</v>
      </c>
      <c r="V260">
        <v>1</v>
      </c>
      <c r="W260">
        <v>1</v>
      </c>
      <c r="X260">
        <v>1</v>
      </c>
      <c r="Y260">
        <v>1</v>
      </c>
      <c r="Z260">
        <v>1</v>
      </c>
      <c r="AA260">
        <v>1</v>
      </c>
      <c r="AB260">
        <v>1</v>
      </c>
      <c r="AC260">
        <v>1</v>
      </c>
      <c r="AD260">
        <v>1</v>
      </c>
      <c r="AE260">
        <v>1</v>
      </c>
      <c r="AF260">
        <v>1</v>
      </c>
      <c r="AG260">
        <v>1</v>
      </c>
      <c r="AH260">
        <v>1</v>
      </c>
      <c r="AI260">
        <v>1</v>
      </c>
      <c r="AJ260">
        <v>1</v>
      </c>
      <c r="AK260">
        <v>1</v>
      </c>
      <c r="AL260">
        <v>1</v>
      </c>
      <c r="AM260">
        <v>1</v>
      </c>
      <c r="AN260">
        <v>1</v>
      </c>
      <c r="AO260">
        <v>1</v>
      </c>
      <c r="AP260">
        <v>1</v>
      </c>
      <c r="AQ260">
        <v>1</v>
      </c>
      <c r="AR260">
        <v>1</v>
      </c>
      <c r="AS260">
        <v>1</v>
      </c>
      <c r="AT260">
        <v>1</v>
      </c>
      <c r="AU260">
        <v>1</v>
      </c>
      <c r="AV260">
        <v>1</v>
      </c>
      <c r="AW260">
        <v>1</v>
      </c>
      <c r="AX260">
        <v>1</v>
      </c>
      <c r="AY260">
        <v>1</v>
      </c>
      <c r="AZ260">
        <v>1</v>
      </c>
      <c r="BA260">
        <v>1</v>
      </c>
      <c r="BB260">
        <v>1</v>
      </c>
      <c r="BC260">
        <v>1</v>
      </c>
      <c r="BD260">
        <v>1</v>
      </c>
      <c r="BE260">
        <v>1</v>
      </c>
      <c r="BF260">
        <v>1</v>
      </c>
      <c r="BG260">
        <v>1</v>
      </c>
      <c r="BH260">
        <v>1</v>
      </c>
      <c r="BI260">
        <v>1</v>
      </c>
      <c r="BJ260">
        <v>-1</v>
      </c>
      <c r="BK260">
        <v>-1</v>
      </c>
      <c r="BL260">
        <v>-1</v>
      </c>
    </row>
    <row r="261" spans="1:64" x14ac:dyDescent="0.2">
      <c r="A261" t="s">
        <v>838</v>
      </c>
      <c r="B261">
        <v>1</v>
      </c>
      <c r="C261" s="2">
        <f>'vehicles specifications'!S144</f>
        <v>81</v>
      </c>
      <c r="D261">
        <v>1</v>
      </c>
      <c r="E261">
        <v>1</v>
      </c>
      <c r="F261">
        <f>1+'vehicles specifications'!AD144</f>
        <v>1.5</v>
      </c>
      <c r="G261">
        <f>1+'vehicles specifications'!AD144</f>
        <v>1.5</v>
      </c>
      <c r="J261">
        <v>1</v>
      </c>
      <c r="K261">
        <f>1/('fuels and tailpipe emissions'!$C$3*3.6)</f>
        <v>2.3474178403755867E-2</v>
      </c>
      <c r="L261">
        <f>1/3.6</f>
        <v>0.2777777777777778</v>
      </c>
      <c r="M261">
        <f>1/'vehicles specifications'!J144</f>
        <v>2.5974025974025975E-5</v>
      </c>
      <c r="N261">
        <v>1</v>
      </c>
      <c r="O261">
        <f>1</f>
        <v>1</v>
      </c>
      <c r="P261">
        <v>1</v>
      </c>
      <c r="Q261">
        <v>1</v>
      </c>
      <c r="R261">
        <f>-1-'vehicles specifications'!AD144</f>
        <v>-1.5</v>
      </c>
      <c r="S261">
        <v>1</v>
      </c>
      <c r="T261">
        <v>1</v>
      </c>
      <c r="U261">
        <v>1</v>
      </c>
      <c r="V261">
        <v>1</v>
      </c>
      <c r="W261">
        <v>1</v>
      </c>
      <c r="X261">
        <v>1</v>
      </c>
      <c r="Y261">
        <v>1</v>
      </c>
      <c r="Z261">
        <v>1</v>
      </c>
      <c r="AA261">
        <v>1</v>
      </c>
      <c r="AB261">
        <v>1</v>
      </c>
      <c r="AC261">
        <v>1</v>
      </c>
      <c r="AD261">
        <v>1</v>
      </c>
      <c r="AE261">
        <v>1</v>
      </c>
      <c r="AF261">
        <v>1</v>
      </c>
      <c r="AG261">
        <v>1</v>
      </c>
      <c r="AH261">
        <v>1</v>
      </c>
      <c r="AI261">
        <v>1</v>
      </c>
      <c r="AJ261">
        <v>1</v>
      </c>
      <c r="AK261">
        <v>1</v>
      </c>
      <c r="AL261">
        <v>1</v>
      </c>
      <c r="AM261">
        <v>1</v>
      </c>
      <c r="AN261">
        <v>1</v>
      </c>
      <c r="AO261">
        <v>1</v>
      </c>
      <c r="AP261">
        <v>1</v>
      </c>
      <c r="AQ261">
        <v>1</v>
      </c>
      <c r="AR261">
        <v>1</v>
      </c>
      <c r="AS261">
        <v>1</v>
      </c>
      <c r="AT261">
        <v>1</v>
      </c>
      <c r="AU261">
        <v>1</v>
      </c>
      <c r="AV261">
        <v>1</v>
      </c>
      <c r="AW261">
        <v>1</v>
      </c>
      <c r="AX261">
        <v>1</v>
      </c>
      <c r="AY261">
        <v>1</v>
      </c>
      <c r="AZ261">
        <v>1</v>
      </c>
      <c r="BA261">
        <v>1</v>
      </c>
      <c r="BB261">
        <v>1</v>
      </c>
      <c r="BC261">
        <v>1</v>
      </c>
      <c r="BD261">
        <v>1</v>
      </c>
      <c r="BE261">
        <v>1</v>
      </c>
      <c r="BF261">
        <v>1</v>
      </c>
      <c r="BG261">
        <v>1</v>
      </c>
      <c r="BH261">
        <v>1</v>
      </c>
      <c r="BI261">
        <v>1</v>
      </c>
      <c r="BJ261">
        <v>-1</v>
      </c>
      <c r="BK261">
        <v>-1</v>
      </c>
      <c r="BL261">
        <v>-1</v>
      </c>
    </row>
    <row r="262" spans="1:64" x14ac:dyDescent="0.2">
      <c r="A262" t="s">
        <v>839</v>
      </c>
      <c r="B262">
        <v>1</v>
      </c>
      <c r="C262" s="2">
        <f>'vehicles specifications'!S145</f>
        <v>81</v>
      </c>
      <c r="D262">
        <v>1</v>
      </c>
      <c r="E262">
        <v>1</v>
      </c>
      <c r="F262">
        <f>1+'vehicles specifications'!AD145</f>
        <v>1.25</v>
      </c>
      <c r="G262">
        <f>1+'vehicles specifications'!AD145</f>
        <v>1.25</v>
      </c>
      <c r="J262">
        <v>1</v>
      </c>
      <c r="K262">
        <f>1/('fuels and tailpipe emissions'!$C$3*3.6)</f>
        <v>2.3474178403755867E-2</v>
      </c>
      <c r="L262">
        <f>1/3.6</f>
        <v>0.2777777777777778</v>
      </c>
      <c r="M262">
        <f>1/'vehicles specifications'!J145</f>
        <v>2.5974025974025975E-5</v>
      </c>
      <c r="N262">
        <v>1</v>
      </c>
      <c r="O262">
        <f>1</f>
        <v>1</v>
      </c>
      <c r="P262">
        <v>1</v>
      </c>
      <c r="Q262">
        <v>1</v>
      </c>
      <c r="R262">
        <f>-1-'vehicles specifications'!AD145</f>
        <v>-1.25</v>
      </c>
      <c r="S262">
        <v>1</v>
      </c>
      <c r="T262">
        <v>1</v>
      </c>
      <c r="U262">
        <v>1</v>
      </c>
      <c r="V262">
        <v>1</v>
      </c>
      <c r="W262">
        <v>1</v>
      </c>
      <c r="X262">
        <v>1</v>
      </c>
      <c r="Y262">
        <v>1</v>
      </c>
      <c r="Z262">
        <v>1</v>
      </c>
      <c r="AA262">
        <v>1</v>
      </c>
      <c r="AB262">
        <v>1</v>
      </c>
      <c r="AC262">
        <v>1</v>
      </c>
      <c r="AD262">
        <v>1</v>
      </c>
      <c r="AE262">
        <v>1</v>
      </c>
      <c r="AF262">
        <v>1</v>
      </c>
      <c r="AG262">
        <v>1</v>
      </c>
      <c r="AH262">
        <v>1</v>
      </c>
      <c r="AI262">
        <v>1</v>
      </c>
      <c r="AJ262">
        <v>1</v>
      </c>
      <c r="AK262">
        <v>1</v>
      </c>
      <c r="AL262">
        <v>1</v>
      </c>
      <c r="AM262">
        <v>1</v>
      </c>
      <c r="AN262">
        <v>1</v>
      </c>
      <c r="AO262">
        <v>1</v>
      </c>
      <c r="AP262">
        <v>1</v>
      </c>
      <c r="AQ262">
        <v>1</v>
      </c>
      <c r="AR262">
        <v>1</v>
      </c>
      <c r="AS262">
        <v>1</v>
      </c>
      <c r="AT262">
        <v>1</v>
      </c>
      <c r="AU262">
        <v>1</v>
      </c>
      <c r="AV262">
        <v>1</v>
      </c>
      <c r="AW262">
        <v>1</v>
      </c>
      <c r="AX262">
        <v>1</v>
      </c>
      <c r="AY262">
        <v>1</v>
      </c>
      <c r="AZ262">
        <v>1</v>
      </c>
      <c r="BA262">
        <v>1</v>
      </c>
      <c r="BB262">
        <v>1</v>
      </c>
      <c r="BC262">
        <v>1</v>
      </c>
      <c r="BD262">
        <v>1</v>
      </c>
      <c r="BE262">
        <v>1</v>
      </c>
      <c r="BF262">
        <v>1</v>
      </c>
      <c r="BG262">
        <v>1</v>
      </c>
      <c r="BH262">
        <v>1</v>
      </c>
      <c r="BI262">
        <v>1</v>
      </c>
      <c r="BJ262">
        <v>-1</v>
      </c>
      <c r="BK262">
        <v>-1</v>
      </c>
      <c r="BL262">
        <v>-1</v>
      </c>
    </row>
    <row r="263" spans="1:64" x14ac:dyDescent="0.2">
      <c r="A263" t="s">
        <v>840</v>
      </c>
      <c r="B263">
        <v>1</v>
      </c>
      <c r="C263" s="2">
        <f>'vehicles specifications'!S146</f>
        <v>81</v>
      </c>
      <c r="D263">
        <v>1</v>
      </c>
      <c r="E263">
        <v>1</v>
      </c>
      <c r="F263">
        <f>1+'vehicles specifications'!AD146</f>
        <v>1</v>
      </c>
      <c r="G263">
        <f>1+'vehicles specifications'!AD146</f>
        <v>1</v>
      </c>
      <c r="J263">
        <v>1</v>
      </c>
      <c r="K263">
        <f>1/('fuels and tailpipe emissions'!$C$3*3.6)</f>
        <v>2.3474178403755867E-2</v>
      </c>
      <c r="L263">
        <f>1/3.6</f>
        <v>0.2777777777777778</v>
      </c>
      <c r="M263">
        <f>1/'vehicles specifications'!J146</f>
        <v>2.5974025974025975E-5</v>
      </c>
      <c r="N263">
        <v>1</v>
      </c>
      <c r="O263">
        <f>1</f>
        <v>1</v>
      </c>
      <c r="P263">
        <v>1</v>
      </c>
      <c r="Q263">
        <v>1</v>
      </c>
      <c r="R263">
        <f>-1-'vehicles specifications'!AD146</f>
        <v>-1</v>
      </c>
      <c r="S263">
        <v>1</v>
      </c>
      <c r="T263">
        <v>1</v>
      </c>
      <c r="U263">
        <v>1</v>
      </c>
      <c r="V263">
        <v>1</v>
      </c>
      <c r="W263">
        <v>1</v>
      </c>
      <c r="X263">
        <v>1</v>
      </c>
      <c r="Y263">
        <v>1</v>
      </c>
      <c r="Z263">
        <v>1</v>
      </c>
      <c r="AA263">
        <v>1</v>
      </c>
      <c r="AB263">
        <v>1</v>
      </c>
      <c r="AC263">
        <v>1</v>
      </c>
      <c r="AD263">
        <v>1</v>
      </c>
      <c r="AE263">
        <v>1</v>
      </c>
      <c r="AF263">
        <v>1</v>
      </c>
      <c r="AG263">
        <v>1</v>
      </c>
      <c r="AH263">
        <v>1</v>
      </c>
      <c r="AI263">
        <v>1</v>
      </c>
      <c r="AJ263">
        <v>1</v>
      </c>
      <c r="AK263">
        <v>1</v>
      </c>
      <c r="AL263">
        <v>1</v>
      </c>
      <c r="AM263">
        <v>1</v>
      </c>
      <c r="AN263">
        <v>1</v>
      </c>
      <c r="AO263">
        <v>1</v>
      </c>
      <c r="AP263">
        <v>1</v>
      </c>
      <c r="AQ263">
        <v>1</v>
      </c>
      <c r="AR263">
        <v>1</v>
      </c>
      <c r="AS263">
        <v>1</v>
      </c>
      <c r="AT263">
        <v>1</v>
      </c>
      <c r="AU263">
        <v>1</v>
      </c>
      <c r="AV263">
        <v>1</v>
      </c>
      <c r="AW263">
        <v>1</v>
      </c>
      <c r="AX263">
        <v>1</v>
      </c>
      <c r="AY263">
        <v>1</v>
      </c>
      <c r="AZ263">
        <v>1</v>
      </c>
      <c r="BA263">
        <v>1</v>
      </c>
      <c r="BB263">
        <v>1</v>
      </c>
      <c r="BC263">
        <v>1</v>
      </c>
      <c r="BD263">
        <v>1</v>
      </c>
      <c r="BE263">
        <v>1</v>
      </c>
      <c r="BF263">
        <v>1</v>
      </c>
      <c r="BG263">
        <v>1</v>
      </c>
      <c r="BH263">
        <v>1</v>
      </c>
      <c r="BI263">
        <v>1</v>
      </c>
      <c r="BJ263">
        <v>-1</v>
      </c>
      <c r="BK263">
        <v>-1</v>
      </c>
      <c r="BL263">
        <v>-1</v>
      </c>
    </row>
    <row r="264" spans="1:64" x14ac:dyDescent="0.2">
      <c r="A264" t="s">
        <v>841</v>
      </c>
      <c r="B264">
        <v>1</v>
      </c>
      <c r="C264" s="2">
        <f>'vehicles specifications'!S147</f>
        <v>111</v>
      </c>
      <c r="D264">
        <v>1</v>
      </c>
      <c r="E264">
        <v>1</v>
      </c>
      <c r="F264">
        <f>1+'vehicles specifications'!AD147</f>
        <v>2</v>
      </c>
      <c r="G264">
        <f>1+'vehicles specifications'!AD147</f>
        <v>2</v>
      </c>
      <c r="J264">
        <v>1</v>
      </c>
      <c r="K264">
        <f>1/('fuels and tailpipe emissions'!$C$3*3.6)</f>
        <v>2.3474178403755867E-2</v>
      </c>
      <c r="L264">
        <f>1/3.6</f>
        <v>0.2777777777777778</v>
      </c>
      <c r="M264">
        <f>1/'vehicles specifications'!J147</f>
        <v>2.4691358024691357E-5</v>
      </c>
      <c r="N264">
        <v>1</v>
      </c>
      <c r="O264">
        <f>1</f>
        <v>1</v>
      </c>
      <c r="P264">
        <v>1</v>
      </c>
      <c r="Q264">
        <v>1</v>
      </c>
      <c r="R264">
        <f>-1-'vehicles specifications'!AD147</f>
        <v>-2</v>
      </c>
      <c r="S264">
        <v>1</v>
      </c>
      <c r="T264">
        <v>1</v>
      </c>
      <c r="U264">
        <v>1</v>
      </c>
      <c r="V264">
        <v>1</v>
      </c>
      <c r="W264">
        <v>1</v>
      </c>
      <c r="X264">
        <v>1</v>
      </c>
      <c r="Y264">
        <v>1</v>
      </c>
      <c r="Z264">
        <v>1</v>
      </c>
      <c r="AA264">
        <v>1</v>
      </c>
      <c r="AB264">
        <v>1</v>
      </c>
      <c r="AC264">
        <v>1</v>
      </c>
      <c r="AD264">
        <v>1</v>
      </c>
      <c r="AE264">
        <v>1</v>
      </c>
      <c r="AF264">
        <v>1</v>
      </c>
      <c r="AG264">
        <v>1</v>
      </c>
      <c r="AH264">
        <v>1</v>
      </c>
      <c r="AI264">
        <v>1</v>
      </c>
      <c r="AJ264">
        <v>1</v>
      </c>
      <c r="AK264">
        <v>1</v>
      </c>
      <c r="AL264">
        <v>1</v>
      </c>
      <c r="AM264">
        <v>1</v>
      </c>
      <c r="AN264">
        <v>1</v>
      </c>
      <c r="AO264">
        <v>1</v>
      </c>
      <c r="AP264">
        <v>1</v>
      </c>
      <c r="AQ264">
        <v>1</v>
      </c>
      <c r="AR264">
        <v>1</v>
      </c>
      <c r="AS264">
        <v>1</v>
      </c>
      <c r="AT264">
        <v>1</v>
      </c>
      <c r="AU264">
        <v>1</v>
      </c>
      <c r="AV264">
        <v>1</v>
      </c>
      <c r="AW264">
        <v>1</v>
      </c>
      <c r="AX264">
        <v>1</v>
      </c>
      <c r="AY264">
        <v>1</v>
      </c>
      <c r="AZ264">
        <v>1</v>
      </c>
      <c r="BA264">
        <v>1</v>
      </c>
      <c r="BB264">
        <v>1</v>
      </c>
      <c r="BC264">
        <v>1</v>
      </c>
      <c r="BD264">
        <v>1</v>
      </c>
      <c r="BE264">
        <v>1</v>
      </c>
      <c r="BF264">
        <v>1</v>
      </c>
      <c r="BG264">
        <v>1</v>
      </c>
      <c r="BH264">
        <v>1</v>
      </c>
      <c r="BI264">
        <v>1</v>
      </c>
      <c r="BJ264">
        <v>-1</v>
      </c>
      <c r="BK264">
        <v>-1</v>
      </c>
      <c r="BL264">
        <v>-1</v>
      </c>
    </row>
    <row r="265" spans="1:64" x14ac:dyDescent="0.2">
      <c r="A265" t="s">
        <v>842</v>
      </c>
      <c r="B265">
        <v>1</v>
      </c>
      <c r="C265" s="2">
        <f>'vehicles specifications'!S148</f>
        <v>111</v>
      </c>
      <c r="D265">
        <v>1</v>
      </c>
      <c r="E265">
        <v>1</v>
      </c>
      <c r="F265">
        <f>1+'vehicles specifications'!AD148</f>
        <v>1.5</v>
      </c>
      <c r="G265">
        <f>1+'vehicles specifications'!AD148</f>
        <v>1.5</v>
      </c>
      <c r="J265">
        <v>1</v>
      </c>
      <c r="K265">
        <f>1/('fuels and tailpipe emissions'!$C$3*3.6)</f>
        <v>2.3474178403755867E-2</v>
      </c>
      <c r="L265">
        <f>1/3.6</f>
        <v>0.2777777777777778</v>
      </c>
      <c r="M265">
        <f>1/'vehicles specifications'!J148</f>
        <v>2.4691358024691357E-5</v>
      </c>
      <c r="N265">
        <v>1</v>
      </c>
      <c r="O265">
        <f>1</f>
        <v>1</v>
      </c>
      <c r="P265">
        <v>1</v>
      </c>
      <c r="Q265">
        <v>1</v>
      </c>
      <c r="R265">
        <f>-1-'vehicles specifications'!AD148</f>
        <v>-1.5</v>
      </c>
      <c r="S265">
        <v>1</v>
      </c>
      <c r="T265">
        <v>1</v>
      </c>
      <c r="U265">
        <v>1</v>
      </c>
      <c r="V265">
        <v>1</v>
      </c>
      <c r="W265">
        <v>1</v>
      </c>
      <c r="X265">
        <v>1</v>
      </c>
      <c r="Y265">
        <v>1</v>
      </c>
      <c r="Z265">
        <v>1</v>
      </c>
      <c r="AA265">
        <v>1</v>
      </c>
      <c r="AB265">
        <v>1</v>
      </c>
      <c r="AC265">
        <v>1</v>
      </c>
      <c r="AD265">
        <v>1</v>
      </c>
      <c r="AE265">
        <v>1</v>
      </c>
      <c r="AF265">
        <v>1</v>
      </c>
      <c r="AG265">
        <v>1</v>
      </c>
      <c r="AH265">
        <v>1</v>
      </c>
      <c r="AI265">
        <v>1</v>
      </c>
      <c r="AJ265">
        <v>1</v>
      </c>
      <c r="AK265">
        <v>1</v>
      </c>
      <c r="AL265">
        <v>1</v>
      </c>
      <c r="AM265">
        <v>1</v>
      </c>
      <c r="AN265">
        <v>1</v>
      </c>
      <c r="AO265">
        <v>1</v>
      </c>
      <c r="AP265">
        <v>1</v>
      </c>
      <c r="AQ265">
        <v>1</v>
      </c>
      <c r="AR265">
        <v>1</v>
      </c>
      <c r="AS265">
        <v>1</v>
      </c>
      <c r="AT265">
        <v>1</v>
      </c>
      <c r="AU265">
        <v>1</v>
      </c>
      <c r="AV265">
        <v>1</v>
      </c>
      <c r="AW265">
        <v>1</v>
      </c>
      <c r="AX265">
        <v>1</v>
      </c>
      <c r="AY265">
        <v>1</v>
      </c>
      <c r="AZ265">
        <v>1</v>
      </c>
      <c r="BA265">
        <v>1</v>
      </c>
      <c r="BB265">
        <v>1</v>
      </c>
      <c r="BC265">
        <v>1</v>
      </c>
      <c r="BD265">
        <v>1</v>
      </c>
      <c r="BE265">
        <v>1</v>
      </c>
      <c r="BF265">
        <v>1</v>
      </c>
      <c r="BG265">
        <v>1</v>
      </c>
      <c r="BH265">
        <v>1</v>
      </c>
      <c r="BI265">
        <v>1</v>
      </c>
      <c r="BJ265">
        <v>-1</v>
      </c>
      <c r="BK265">
        <v>-1</v>
      </c>
      <c r="BL265">
        <v>-1</v>
      </c>
    </row>
    <row r="266" spans="1:64" x14ac:dyDescent="0.2">
      <c r="A266" t="s">
        <v>843</v>
      </c>
      <c r="B266">
        <v>1</v>
      </c>
      <c r="C266" s="2">
        <f>'vehicles specifications'!S149</f>
        <v>111</v>
      </c>
      <c r="D266">
        <v>1</v>
      </c>
      <c r="E266">
        <v>1</v>
      </c>
      <c r="F266">
        <f>1+'vehicles specifications'!AD149</f>
        <v>1.25</v>
      </c>
      <c r="G266">
        <f>1+'vehicles specifications'!AD149</f>
        <v>1.25</v>
      </c>
      <c r="J266">
        <v>1</v>
      </c>
      <c r="K266">
        <f>1/('fuels and tailpipe emissions'!$C$3*3.6)</f>
        <v>2.3474178403755867E-2</v>
      </c>
      <c r="L266">
        <f>1/3.6</f>
        <v>0.2777777777777778</v>
      </c>
      <c r="M266">
        <f>1/'vehicles specifications'!J149</f>
        <v>2.4691358024691357E-5</v>
      </c>
      <c r="N266">
        <v>1</v>
      </c>
      <c r="O266">
        <f>1</f>
        <v>1</v>
      </c>
      <c r="P266">
        <v>1</v>
      </c>
      <c r="Q266">
        <v>1</v>
      </c>
      <c r="R266">
        <f>-1-'vehicles specifications'!AD149</f>
        <v>-1.25</v>
      </c>
      <c r="S266">
        <v>1</v>
      </c>
      <c r="T266">
        <v>1</v>
      </c>
      <c r="U266">
        <v>1</v>
      </c>
      <c r="V266">
        <v>1</v>
      </c>
      <c r="W266">
        <v>1</v>
      </c>
      <c r="X266">
        <v>1</v>
      </c>
      <c r="Y266">
        <v>1</v>
      </c>
      <c r="Z266">
        <v>1</v>
      </c>
      <c r="AA266">
        <v>1</v>
      </c>
      <c r="AB266">
        <v>1</v>
      </c>
      <c r="AC266">
        <v>1</v>
      </c>
      <c r="AD266">
        <v>1</v>
      </c>
      <c r="AE266">
        <v>1</v>
      </c>
      <c r="AF266">
        <v>1</v>
      </c>
      <c r="AG266">
        <v>1</v>
      </c>
      <c r="AH266">
        <v>1</v>
      </c>
      <c r="AI266">
        <v>1</v>
      </c>
      <c r="AJ266">
        <v>1</v>
      </c>
      <c r="AK266">
        <v>1</v>
      </c>
      <c r="AL266">
        <v>1</v>
      </c>
      <c r="AM266">
        <v>1</v>
      </c>
      <c r="AN266">
        <v>1</v>
      </c>
      <c r="AO266">
        <v>1</v>
      </c>
      <c r="AP266">
        <v>1</v>
      </c>
      <c r="AQ266">
        <v>1</v>
      </c>
      <c r="AR266">
        <v>1</v>
      </c>
      <c r="AS266">
        <v>1</v>
      </c>
      <c r="AT266">
        <v>1</v>
      </c>
      <c r="AU266">
        <v>1</v>
      </c>
      <c r="AV266">
        <v>1</v>
      </c>
      <c r="AW266">
        <v>1</v>
      </c>
      <c r="AX266">
        <v>1</v>
      </c>
      <c r="AY266">
        <v>1</v>
      </c>
      <c r="AZ266">
        <v>1</v>
      </c>
      <c r="BA266">
        <v>1</v>
      </c>
      <c r="BB266">
        <v>1</v>
      </c>
      <c r="BC266">
        <v>1</v>
      </c>
      <c r="BD266">
        <v>1</v>
      </c>
      <c r="BE266">
        <v>1</v>
      </c>
      <c r="BF266">
        <v>1</v>
      </c>
      <c r="BG266">
        <v>1</v>
      </c>
      <c r="BH266">
        <v>1</v>
      </c>
      <c r="BI266">
        <v>1</v>
      </c>
      <c r="BJ266">
        <v>-1</v>
      </c>
      <c r="BK266">
        <v>-1</v>
      </c>
      <c r="BL266">
        <v>-1</v>
      </c>
    </row>
    <row r="267" spans="1:64" x14ac:dyDescent="0.2">
      <c r="A267" t="s">
        <v>844</v>
      </c>
      <c r="B267">
        <v>1</v>
      </c>
      <c r="C267" s="2">
        <f>'vehicles specifications'!S150</f>
        <v>111</v>
      </c>
      <c r="D267">
        <v>1</v>
      </c>
      <c r="E267">
        <v>1</v>
      </c>
      <c r="F267">
        <f>1+'vehicles specifications'!AD150</f>
        <v>1</v>
      </c>
      <c r="G267">
        <f>1+'vehicles specifications'!AD150</f>
        <v>1</v>
      </c>
      <c r="J267">
        <v>1</v>
      </c>
      <c r="K267">
        <f>1/('fuels and tailpipe emissions'!$C$3*3.6)</f>
        <v>2.3474178403755867E-2</v>
      </c>
      <c r="L267">
        <f>1/3.6</f>
        <v>0.2777777777777778</v>
      </c>
      <c r="M267">
        <f>1/'vehicles specifications'!J150</f>
        <v>2.4691358024691357E-5</v>
      </c>
      <c r="N267">
        <v>1</v>
      </c>
      <c r="O267">
        <f>1</f>
        <v>1</v>
      </c>
      <c r="P267">
        <v>1</v>
      </c>
      <c r="Q267">
        <v>1</v>
      </c>
      <c r="R267">
        <f>-1-'vehicles specifications'!AD150</f>
        <v>-1</v>
      </c>
      <c r="S267">
        <v>1</v>
      </c>
      <c r="T267">
        <v>1</v>
      </c>
      <c r="U267">
        <v>1</v>
      </c>
      <c r="V267">
        <v>1</v>
      </c>
      <c r="W267">
        <v>1</v>
      </c>
      <c r="X267">
        <v>1</v>
      </c>
      <c r="Y267">
        <v>1</v>
      </c>
      <c r="Z267">
        <v>1</v>
      </c>
      <c r="AA267">
        <v>1</v>
      </c>
      <c r="AB267">
        <v>1</v>
      </c>
      <c r="AC267">
        <v>1</v>
      </c>
      <c r="AD267">
        <v>1</v>
      </c>
      <c r="AE267">
        <v>1</v>
      </c>
      <c r="AF267">
        <v>1</v>
      </c>
      <c r="AG267">
        <v>1</v>
      </c>
      <c r="AH267">
        <v>1</v>
      </c>
      <c r="AI267">
        <v>1</v>
      </c>
      <c r="AJ267">
        <v>1</v>
      </c>
      <c r="AK267">
        <v>1</v>
      </c>
      <c r="AL267">
        <v>1</v>
      </c>
      <c r="AM267">
        <v>1</v>
      </c>
      <c r="AN267">
        <v>1</v>
      </c>
      <c r="AO267">
        <v>1</v>
      </c>
      <c r="AP267">
        <v>1</v>
      </c>
      <c r="AQ267">
        <v>1</v>
      </c>
      <c r="AR267">
        <v>1</v>
      </c>
      <c r="AS267">
        <v>1</v>
      </c>
      <c r="AT267">
        <v>1</v>
      </c>
      <c r="AU267">
        <v>1</v>
      </c>
      <c r="AV267">
        <v>1</v>
      </c>
      <c r="AW267">
        <v>1</v>
      </c>
      <c r="AX267">
        <v>1</v>
      </c>
      <c r="AY267">
        <v>1</v>
      </c>
      <c r="AZ267">
        <v>1</v>
      </c>
      <c r="BA267">
        <v>1</v>
      </c>
      <c r="BB267">
        <v>1</v>
      </c>
      <c r="BC267">
        <v>1</v>
      </c>
      <c r="BD267">
        <v>1</v>
      </c>
      <c r="BE267">
        <v>1</v>
      </c>
      <c r="BF267">
        <v>1</v>
      </c>
      <c r="BG267">
        <v>1</v>
      </c>
      <c r="BH267">
        <v>1</v>
      </c>
      <c r="BI267">
        <v>1</v>
      </c>
      <c r="BJ267">
        <v>-1</v>
      </c>
      <c r="BK267">
        <v>-1</v>
      </c>
      <c r="BL267">
        <v>-1</v>
      </c>
    </row>
    <row r="268" spans="1:64" x14ac:dyDescent="0.2">
      <c r="A268" t="s">
        <v>845</v>
      </c>
      <c r="B268">
        <v>1</v>
      </c>
      <c r="C268" s="2">
        <f>'vehicles specifications'!S151</f>
        <v>53</v>
      </c>
      <c r="D268">
        <v>1</v>
      </c>
      <c r="E268">
        <v>1</v>
      </c>
      <c r="F268">
        <f>1+'vehicles specifications'!AD151</f>
        <v>2</v>
      </c>
      <c r="G268">
        <f>1+'vehicles specifications'!AD151</f>
        <v>2</v>
      </c>
      <c r="J268">
        <v>1</v>
      </c>
      <c r="K268">
        <f>1/('fuels and tailpipe emissions'!$C$3*3.6)</f>
        <v>2.3474178403755867E-2</v>
      </c>
      <c r="L268">
        <f>1/3.6</f>
        <v>0.2777777777777778</v>
      </c>
      <c r="M268">
        <f>1/'vehicles specifications'!J151</f>
        <v>4.0000000000000003E-5</v>
      </c>
      <c r="N268">
        <v>1</v>
      </c>
      <c r="O268">
        <f>1</f>
        <v>1</v>
      </c>
      <c r="P268">
        <v>1</v>
      </c>
      <c r="Q268">
        <v>1</v>
      </c>
      <c r="R268">
        <f>-1-'vehicles specifications'!AD151</f>
        <v>-2</v>
      </c>
      <c r="S268">
        <v>1</v>
      </c>
      <c r="T268">
        <v>1</v>
      </c>
      <c r="U268">
        <v>1</v>
      </c>
      <c r="V268">
        <v>1</v>
      </c>
      <c r="W268">
        <v>1</v>
      </c>
      <c r="X268">
        <v>1</v>
      </c>
      <c r="Y268">
        <v>1</v>
      </c>
      <c r="Z268">
        <v>1</v>
      </c>
      <c r="AA268">
        <v>1</v>
      </c>
      <c r="AB268">
        <v>1</v>
      </c>
      <c r="AC268">
        <v>1</v>
      </c>
      <c r="AD268">
        <v>1</v>
      </c>
      <c r="AE268">
        <v>1</v>
      </c>
      <c r="AF268">
        <v>1</v>
      </c>
      <c r="AG268">
        <v>1</v>
      </c>
      <c r="AH268">
        <v>1</v>
      </c>
      <c r="AI268">
        <v>1</v>
      </c>
      <c r="AJ268">
        <v>1</v>
      </c>
      <c r="AK268">
        <v>1</v>
      </c>
      <c r="AL268">
        <v>1</v>
      </c>
      <c r="AM268">
        <v>1</v>
      </c>
      <c r="AN268">
        <v>1</v>
      </c>
      <c r="AO268">
        <v>1</v>
      </c>
      <c r="AP268">
        <v>1</v>
      </c>
      <c r="AQ268">
        <v>1</v>
      </c>
      <c r="AR268">
        <v>1</v>
      </c>
      <c r="AS268">
        <v>1</v>
      </c>
      <c r="AT268">
        <v>1</v>
      </c>
      <c r="AU268">
        <v>1</v>
      </c>
      <c r="AV268">
        <v>1</v>
      </c>
      <c r="AW268">
        <v>1</v>
      </c>
      <c r="AX268">
        <v>1</v>
      </c>
      <c r="AY268">
        <v>1</v>
      </c>
      <c r="AZ268">
        <v>1</v>
      </c>
      <c r="BA268">
        <v>1</v>
      </c>
      <c r="BB268">
        <v>1</v>
      </c>
      <c r="BC268">
        <v>1</v>
      </c>
      <c r="BD268">
        <v>1</v>
      </c>
      <c r="BE268">
        <v>1</v>
      </c>
      <c r="BF268">
        <v>1</v>
      </c>
      <c r="BG268">
        <v>1</v>
      </c>
      <c r="BH268">
        <v>1</v>
      </c>
      <c r="BI268">
        <v>1</v>
      </c>
      <c r="BJ268">
        <v>-1</v>
      </c>
      <c r="BK268">
        <v>-1</v>
      </c>
      <c r="BL268">
        <v>-1</v>
      </c>
    </row>
    <row r="269" spans="1:64" x14ac:dyDescent="0.2">
      <c r="A269" t="s">
        <v>846</v>
      </c>
      <c r="B269">
        <v>1</v>
      </c>
      <c r="C269" s="2">
        <f>'vehicles specifications'!S136</f>
        <v>53</v>
      </c>
      <c r="D269">
        <v>1</v>
      </c>
      <c r="E269">
        <v>1</v>
      </c>
      <c r="F269">
        <f>1+'vehicles specifications'!AD136</f>
        <v>1.5</v>
      </c>
      <c r="G269">
        <f>1+'vehicles specifications'!AD136</f>
        <v>1.5</v>
      </c>
      <c r="J269">
        <v>1</v>
      </c>
      <c r="K269">
        <f>1/('fuels and tailpipe emissions'!$C$3*3.6)</f>
        <v>2.3474178403755867E-2</v>
      </c>
      <c r="L269">
        <f>1/3.6</f>
        <v>0.2777777777777778</v>
      </c>
      <c r="M269">
        <f>1/'vehicles specifications'!J136</f>
        <v>4.0000000000000003E-5</v>
      </c>
      <c r="N269">
        <v>1</v>
      </c>
      <c r="O269">
        <f>1</f>
        <v>1</v>
      </c>
      <c r="P269">
        <v>1</v>
      </c>
      <c r="Q269">
        <v>1</v>
      </c>
      <c r="R269">
        <f>-1-'vehicles specifications'!AD136</f>
        <v>-1.5</v>
      </c>
      <c r="S269">
        <v>1</v>
      </c>
      <c r="T269">
        <v>1</v>
      </c>
      <c r="U269">
        <v>1</v>
      </c>
      <c r="V269">
        <v>1</v>
      </c>
      <c r="W269">
        <v>1</v>
      </c>
      <c r="X269">
        <v>1</v>
      </c>
      <c r="Y269">
        <v>1</v>
      </c>
      <c r="Z269">
        <v>1</v>
      </c>
      <c r="AA269">
        <v>1</v>
      </c>
      <c r="AB269">
        <v>1</v>
      </c>
      <c r="AC269">
        <v>1</v>
      </c>
      <c r="AD269">
        <v>1</v>
      </c>
      <c r="AE269">
        <v>1</v>
      </c>
      <c r="AF269">
        <v>1</v>
      </c>
      <c r="AG269">
        <v>1</v>
      </c>
      <c r="AH269">
        <v>1</v>
      </c>
      <c r="AI269">
        <v>1</v>
      </c>
      <c r="AJ269">
        <v>1</v>
      </c>
      <c r="AK269">
        <v>1</v>
      </c>
      <c r="AL269">
        <v>1</v>
      </c>
      <c r="AM269">
        <v>1</v>
      </c>
      <c r="AN269">
        <v>1</v>
      </c>
      <c r="AO269">
        <v>1</v>
      </c>
      <c r="AP269">
        <v>1</v>
      </c>
      <c r="AQ269">
        <v>1</v>
      </c>
      <c r="AR269">
        <v>1</v>
      </c>
      <c r="AS269">
        <v>1</v>
      </c>
      <c r="AT269">
        <v>1</v>
      </c>
      <c r="AU269">
        <v>1</v>
      </c>
      <c r="AV269">
        <v>1</v>
      </c>
      <c r="AW269">
        <v>1</v>
      </c>
      <c r="AX269">
        <v>1</v>
      </c>
      <c r="AY269">
        <v>1</v>
      </c>
      <c r="AZ269">
        <v>1</v>
      </c>
      <c r="BA269">
        <v>1</v>
      </c>
      <c r="BB269">
        <v>1</v>
      </c>
      <c r="BC269">
        <v>1</v>
      </c>
      <c r="BD269">
        <v>1</v>
      </c>
      <c r="BE269">
        <v>1</v>
      </c>
      <c r="BF269">
        <v>1</v>
      </c>
      <c r="BG269">
        <v>1</v>
      </c>
      <c r="BH269">
        <v>1</v>
      </c>
      <c r="BI269">
        <v>1</v>
      </c>
      <c r="BJ269">
        <v>-1</v>
      </c>
      <c r="BK269">
        <v>-1</v>
      </c>
      <c r="BL269">
        <v>-1</v>
      </c>
    </row>
    <row r="270" spans="1:64" x14ac:dyDescent="0.2">
      <c r="A270" t="s">
        <v>847</v>
      </c>
      <c r="B270">
        <v>1</v>
      </c>
      <c r="C270" s="2">
        <f>'vehicles specifications'!S137</f>
        <v>53</v>
      </c>
      <c r="D270">
        <v>1</v>
      </c>
      <c r="E270">
        <v>1</v>
      </c>
      <c r="F270">
        <f>1+'vehicles specifications'!AD137</f>
        <v>1.25</v>
      </c>
      <c r="G270">
        <f>1+'vehicles specifications'!AD137</f>
        <v>1.25</v>
      </c>
      <c r="J270">
        <v>1</v>
      </c>
      <c r="K270">
        <f>1/('fuels and tailpipe emissions'!$C$3*3.6)</f>
        <v>2.3474178403755867E-2</v>
      </c>
      <c r="L270">
        <f>1/3.6</f>
        <v>0.2777777777777778</v>
      </c>
      <c r="M270">
        <f>1/'vehicles specifications'!J137</f>
        <v>4.0000000000000003E-5</v>
      </c>
      <c r="N270">
        <v>1</v>
      </c>
      <c r="O270">
        <f>1</f>
        <v>1</v>
      </c>
      <c r="P270">
        <v>1</v>
      </c>
      <c r="Q270">
        <v>1</v>
      </c>
      <c r="R270">
        <f>-1-'vehicles specifications'!AD137</f>
        <v>-1.25</v>
      </c>
      <c r="S270">
        <v>1</v>
      </c>
      <c r="T270">
        <v>1</v>
      </c>
      <c r="U270">
        <v>1</v>
      </c>
      <c r="V270">
        <v>1</v>
      </c>
      <c r="W270">
        <v>1</v>
      </c>
      <c r="X270">
        <v>1</v>
      </c>
      <c r="Y270">
        <v>1</v>
      </c>
      <c r="Z270">
        <v>1</v>
      </c>
      <c r="AA270">
        <v>1</v>
      </c>
      <c r="AB270">
        <v>1</v>
      </c>
      <c r="AC270">
        <v>1</v>
      </c>
      <c r="AD270">
        <v>1</v>
      </c>
      <c r="AE270">
        <v>1</v>
      </c>
      <c r="AF270">
        <v>1</v>
      </c>
      <c r="AG270">
        <v>1</v>
      </c>
      <c r="AH270">
        <v>1</v>
      </c>
      <c r="AI270">
        <v>1</v>
      </c>
      <c r="AJ270">
        <v>1</v>
      </c>
      <c r="AK270">
        <v>1</v>
      </c>
      <c r="AL270">
        <v>1</v>
      </c>
      <c r="AM270">
        <v>1</v>
      </c>
      <c r="AN270">
        <v>1</v>
      </c>
      <c r="AO270">
        <v>1</v>
      </c>
      <c r="AP270">
        <v>1</v>
      </c>
      <c r="AQ270">
        <v>1</v>
      </c>
      <c r="AR270">
        <v>1</v>
      </c>
      <c r="AS270">
        <v>1</v>
      </c>
      <c r="AT270">
        <v>1</v>
      </c>
      <c r="AU270">
        <v>1</v>
      </c>
      <c r="AV270">
        <v>1</v>
      </c>
      <c r="AW270">
        <v>1</v>
      </c>
      <c r="AX270">
        <v>1</v>
      </c>
      <c r="AY270">
        <v>1</v>
      </c>
      <c r="AZ270">
        <v>1</v>
      </c>
      <c r="BA270">
        <v>1</v>
      </c>
      <c r="BB270">
        <v>1</v>
      </c>
      <c r="BC270">
        <v>1</v>
      </c>
      <c r="BD270">
        <v>1</v>
      </c>
      <c r="BE270">
        <v>1</v>
      </c>
      <c r="BF270">
        <v>1</v>
      </c>
      <c r="BG270">
        <v>1</v>
      </c>
      <c r="BH270">
        <v>1</v>
      </c>
      <c r="BI270">
        <v>1</v>
      </c>
      <c r="BJ270">
        <v>-1</v>
      </c>
      <c r="BK270">
        <v>-1</v>
      </c>
      <c r="BL270">
        <v>-1</v>
      </c>
    </row>
    <row r="271" spans="1:64" x14ac:dyDescent="0.2">
      <c r="A271" t="s">
        <v>848</v>
      </c>
      <c r="B271">
        <v>1</v>
      </c>
      <c r="C271" s="2">
        <f>'vehicles specifications'!S138</f>
        <v>53</v>
      </c>
      <c r="D271">
        <v>1</v>
      </c>
      <c r="E271">
        <v>1</v>
      </c>
      <c r="F271">
        <f>1+'vehicles specifications'!AD138</f>
        <v>1</v>
      </c>
      <c r="G271">
        <f>1+'vehicles specifications'!AD138</f>
        <v>1</v>
      </c>
      <c r="J271">
        <v>1</v>
      </c>
      <c r="K271">
        <f>1/('fuels and tailpipe emissions'!$C$3*3.6)</f>
        <v>2.3474178403755867E-2</v>
      </c>
      <c r="L271">
        <f>1/3.6</f>
        <v>0.2777777777777778</v>
      </c>
      <c r="M271">
        <f>1/'vehicles specifications'!J138</f>
        <v>4.0000000000000003E-5</v>
      </c>
      <c r="N271">
        <v>1</v>
      </c>
      <c r="O271">
        <f>1</f>
        <v>1</v>
      </c>
      <c r="P271">
        <v>1</v>
      </c>
      <c r="Q271">
        <v>1</v>
      </c>
      <c r="R271">
        <f>-1-'vehicles specifications'!AD138</f>
        <v>-1</v>
      </c>
      <c r="S271">
        <v>1</v>
      </c>
      <c r="T271">
        <v>1</v>
      </c>
      <c r="U271">
        <v>1</v>
      </c>
      <c r="V271">
        <v>1</v>
      </c>
      <c r="W271">
        <v>1</v>
      </c>
      <c r="X271">
        <v>1</v>
      </c>
      <c r="Y271">
        <v>1</v>
      </c>
      <c r="Z271">
        <v>1</v>
      </c>
      <c r="AA271">
        <v>1</v>
      </c>
      <c r="AB271">
        <v>1</v>
      </c>
      <c r="AC271">
        <v>1</v>
      </c>
      <c r="AD271">
        <v>1</v>
      </c>
      <c r="AE271">
        <v>1</v>
      </c>
      <c r="AF271">
        <v>1</v>
      </c>
      <c r="AG271">
        <v>1</v>
      </c>
      <c r="AH271">
        <v>1</v>
      </c>
      <c r="AI271">
        <v>1</v>
      </c>
      <c r="AJ271">
        <v>1</v>
      </c>
      <c r="AK271">
        <v>1</v>
      </c>
      <c r="AL271">
        <v>1</v>
      </c>
      <c r="AM271">
        <v>1</v>
      </c>
      <c r="AN271">
        <v>1</v>
      </c>
      <c r="AO271">
        <v>1</v>
      </c>
      <c r="AP271">
        <v>1</v>
      </c>
      <c r="AQ271">
        <v>1</v>
      </c>
      <c r="AR271">
        <v>1</v>
      </c>
      <c r="AS271">
        <v>1</v>
      </c>
      <c r="AT271">
        <v>1</v>
      </c>
      <c r="AU271">
        <v>1</v>
      </c>
      <c r="AV271">
        <v>1</v>
      </c>
      <c r="AW271">
        <v>1</v>
      </c>
      <c r="AX271">
        <v>1</v>
      </c>
      <c r="AY271">
        <v>1</v>
      </c>
      <c r="AZ271">
        <v>1</v>
      </c>
      <c r="BA271">
        <v>1</v>
      </c>
      <c r="BB271">
        <v>1</v>
      </c>
      <c r="BC271">
        <v>1</v>
      </c>
      <c r="BD271">
        <v>1</v>
      </c>
      <c r="BE271">
        <v>1</v>
      </c>
      <c r="BF271">
        <v>1</v>
      </c>
      <c r="BG271">
        <v>1</v>
      </c>
      <c r="BH271">
        <v>1</v>
      </c>
      <c r="BI271">
        <v>1</v>
      </c>
      <c r="BJ271">
        <v>-1</v>
      </c>
      <c r="BK271">
        <v>-1</v>
      </c>
      <c r="BL271">
        <v>-1</v>
      </c>
    </row>
    <row r="272" spans="1:64" x14ac:dyDescent="0.2">
      <c r="A272" t="s">
        <v>849</v>
      </c>
      <c r="B272">
        <v>1</v>
      </c>
      <c r="C272" s="2">
        <f>'vehicles specifications'!S139</f>
        <v>65.433826960328489</v>
      </c>
      <c r="D272">
        <v>1</v>
      </c>
      <c r="E272">
        <v>1</v>
      </c>
      <c r="F272">
        <f>1+'vehicles specifications'!AD139</f>
        <v>2</v>
      </c>
      <c r="G272">
        <f>1+'vehicles specifications'!AD139</f>
        <v>2</v>
      </c>
      <c r="J272">
        <v>1</v>
      </c>
      <c r="K272">
        <f>1/('fuels and tailpipe emissions'!$C$3*3.6)</f>
        <v>2.3474178403755867E-2</v>
      </c>
      <c r="L272">
        <f>1/3.6</f>
        <v>0.2777777777777778</v>
      </c>
      <c r="M272">
        <f>1/'vehicles specifications'!J139</f>
        <v>4.0000000000000003E-5</v>
      </c>
      <c r="N272">
        <v>1</v>
      </c>
      <c r="O272">
        <f>1</f>
        <v>1</v>
      </c>
      <c r="P272">
        <v>1</v>
      </c>
      <c r="Q272">
        <v>1</v>
      </c>
      <c r="R272">
        <f>-1-'vehicles specifications'!AD139</f>
        <v>-2</v>
      </c>
      <c r="S272">
        <v>1</v>
      </c>
      <c r="T272">
        <v>1</v>
      </c>
      <c r="U272">
        <v>1</v>
      </c>
      <c r="V272">
        <v>1</v>
      </c>
      <c r="W272">
        <v>1</v>
      </c>
      <c r="X272">
        <v>1</v>
      </c>
      <c r="Y272">
        <v>1</v>
      </c>
      <c r="Z272">
        <v>1</v>
      </c>
      <c r="AA272">
        <v>1</v>
      </c>
      <c r="AB272">
        <v>1</v>
      </c>
      <c r="AC272">
        <v>1</v>
      </c>
      <c r="AD272">
        <v>1</v>
      </c>
      <c r="AE272">
        <v>1</v>
      </c>
      <c r="AF272">
        <v>1</v>
      </c>
      <c r="AG272">
        <v>1</v>
      </c>
      <c r="AH272">
        <v>1</v>
      </c>
      <c r="AI272">
        <v>1</v>
      </c>
      <c r="AJ272">
        <v>1</v>
      </c>
      <c r="AK272">
        <v>1</v>
      </c>
      <c r="AL272">
        <v>1</v>
      </c>
      <c r="AM272">
        <v>1</v>
      </c>
      <c r="AN272">
        <v>1</v>
      </c>
      <c r="AO272">
        <v>1</v>
      </c>
      <c r="AP272">
        <v>1</v>
      </c>
      <c r="AQ272">
        <v>1</v>
      </c>
      <c r="AR272">
        <v>1</v>
      </c>
      <c r="AS272">
        <v>1</v>
      </c>
      <c r="AT272">
        <v>1</v>
      </c>
      <c r="AU272">
        <v>1</v>
      </c>
      <c r="AV272">
        <v>1</v>
      </c>
      <c r="AW272">
        <v>1</v>
      </c>
      <c r="AX272">
        <v>1</v>
      </c>
      <c r="AY272">
        <v>1</v>
      </c>
      <c r="AZ272">
        <v>1</v>
      </c>
      <c r="BA272">
        <v>1</v>
      </c>
      <c r="BB272">
        <v>1</v>
      </c>
      <c r="BC272">
        <v>1</v>
      </c>
      <c r="BD272">
        <v>1</v>
      </c>
      <c r="BE272">
        <v>1</v>
      </c>
      <c r="BF272">
        <v>1</v>
      </c>
      <c r="BG272">
        <v>1</v>
      </c>
      <c r="BH272">
        <v>1</v>
      </c>
      <c r="BI272">
        <v>1</v>
      </c>
      <c r="BJ272">
        <v>-1</v>
      </c>
      <c r="BK272">
        <v>-1</v>
      </c>
      <c r="BL272">
        <v>-1</v>
      </c>
    </row>
    <row r="273" spans="1:64" x14ac:dyDescent="0.2">
      <c r="A273" t="s">
        <v>850</v>
      </c>
      <c r="B273">
        <v>1</v>
      </c>
      <c r="C273" s="2">
        <f>'vehicles specifications'!S140</f>
        <v>65.433826960328489</v>
      </c>
      <c r="D273">
        <v>1</v>
      </c>
      <c r="E273">
        <v>1</v>
      </c>
      <c r="F273">
        <f>1+'vehicles specifications'!AD140</f>
        <v>1.5</v>
      </c>
      <c r="G273">
        <f>1+'vehicles specifications'!AD140</f>
        <v>1.5</v>
      </c>
      <c r="J273">
        <v>1</v>
      </c>
      <c r="K273">
        <f>1/('fuels and tailpipe emissions'!$C$3*3.6)</f>
        <v>2.3474178403755867E-2</v>
      </c>
      <c r="L273">
        <f>1/3.6</f>
        <v>0.2777777777777778</v>
      </c>
      <c r="M273">
        <f>1/'vehicles specifications'!J140</f>
        <v>4.0000000000000003E-5</v>
      </c>
      <c r="N273">
        <v>1</v>
      </c>
      <c r="O273">
        <f>1</f>
        <v>1</v>
      </c>
      <c r="P273">
        <v>1</v>
      </c>
      <c r="Q273">
        <v>1</v>
      </c>
      <c r="R273">
        <f>-1-'vehicles specifications'!AD140</f>
        <v>-1.5</v>
      </c>
      <c r="S273">
        <v>1</v>
      </c>
      <c r="T273">
        <v>1</v>
      </c>
      <c r="U273">
        <v>1</v>
      </c>
      <c r="V273">
        <v>1</v>
      </c>
      <c r="W273">
        <v>1</v>
      </c>
      <c r="X273">
        <v>1</v>
      </c>
      <c r="Y273">
        <v>1</v>
      </c>
      <c r="Z273">
        <v>1</v>
      </c>
      <c r="AA273">
        <v>1</v>
      </c>
      <c r="AB273">
        <v>1</v>
      </c>
      <c r="AC273">
        <v>1</v>
      </c>
      <c r="AD273">
        <v>1</v>
      </c>
      <c r="AE273">
        <v>1</v>
      </c>
      <c r="AF273">
        <v>1</v>
      </c>
      <c r="AG273">
        <v>1</v>
      </c>
      <c r="AH273">
        <v>1</v>
      </c>
      <c r="AI273">
        <v>1</v>
      </c>
      <c r="AJ273">
        <v>1</v>
      </c>
      <c r="AK273">
        <v>1</v>
      </c>
      <c r="AL273">
        <v>1</v>
      </c>
      <c r="AM273">
        <v>1</v>
      </c>
      <c r="AN273">
        <v>1</v>
      </c>
      <c r="AO273">
        <v>1</v>
      </c>
      <c r="AP273">
        <v>1</v>
      </c>
      <c r="AQ273">
        <v>1</v>
      </c>
      <c r="AR273">
        <v>1</v>
      </c>
      <c r="AS273">
        <v>1</v>
      </c>
      <c r="AT273">
        <v>1</v>
      </c>
      <c r="AU273">
        <v>1</v>
      </c>
      <c r="AV273">
        <v>1</v>
      </c>
      <c r="AW273">
        <v>1</v>
      </c>
      <c r="AX273">
        <v>1</v>
      </c>
      <c r="AY273">
        <v>1</v>
      </c>
      <c r="AZ273">
        <v>1</v>
      </c>
      <c r="BA273">
        <v>1</v>
      </c>
      <c r="BB273">
        <v>1</v>
      </c>
      <c r="BC273">
        <v>1</v>
      </c>
      <c r="BD273">
        <v>1</v>
      </c>
      <c r="BE273">
        <v>1</v>
      </c>
      <c r="BF273">
        <v>1</v>
      </c>
      <c r="BG273">
        <v>1</v>
      </c>
      <c r="BH273">
        <v>1</v>
      </c>
      <c r="BI273">
        <v>1</v>
      </c>
      <c r="BJ273">
        <v>-1</v>
      </c>
      <c r="BK273">
        <v>-1</v>
      </c>
      <c r="BL273">
        <v>-1</v>
      </c>
    </row>
    <row r="274" spans="1:64" x14ac:dyDescent="0.2">
      <c r="A274" t="s">
        <v>851</v>
      </c>
      <c r="B274">
        <v>1</v>
      </c>
      <c r="C274" s="2">
        <f>'vehicles specifications'!S141</f>
        <v>65.433826960328489</v>
      </c>
      <c r="D274">
        <v>1</v>
      </c>
      <c r="E274">
        <v>1</v>
      </c>
      <c r="F274">
        <f>1+'vehicles specifications'!AD141</f>
        <v>1.25</v>
      </c>
      <c r="G274">
        <f>1+'vehicles specifications'!AD141</f>
        <v>1.25</v>
      </c>
      <c r="J274">
        <v>1</v>
      </c>
      <c r="K274">
        <f>1/('fuels and tailpipe emissions'!$C$3*3.6)</f>
        <v>2.3474178403755867E-2</v>
      </c>
      <c r="L274">
        <f>1/3.6</f>
        <v>0.2777777777777778</v>
      </c>
      <c r="M274">
        <f>1/'vehicles specifications'!J141</f>
        <v>4.0000000000000003E-5</v>
      </c>
      <c r="N274">
        <v>1</v>
      </c>
      <c r="O274">
        <f>1</f>
        <v>1</v>
      </c>
      <c r="P274">
        <v>1</v>
      </c>
      <c r="Q274">
        <v>1</v>
      </c>
      <c r="R274">
        <f>-1-'vehicles specifications'!AD141</f>
        <v>-1.25</v>
      </c>
      <c r="S274">
        <v>1</v>
      </c>
      <c r="T274">
        <v>1</v>
      </c>
      <c r="U274">
        <v>1</v>
      </c>
      <c r="V274">
        <v>1</v>
      </c>
      <c r="W274">
        <v>1</v>
      </c>
      <c r="X274">
        <v>1</v>
      </c>
      <c r="Y274">
        <v>1</v>
      </c>
      <c r="Z274">
        <v>1</v>
      </c>
      <c r="AA274">
        <v>1</v>
      </c>
      <c r="AB274">
        <v>1</v>
      </c>
      <c r="AC274">
        <v>1</v>
      </c>
      <c r="AD274">
        <v>1</v>
      </c>
      <c r="AE274">
        <v>1</v>
      </c>
      <c r="AF274">
        <v>1</v>
      </c>
      <c r="AG274">
        <v>1</v>
      </c>
      <c r="AH274">
        <v>1</v>
      </c>
      <c r="AI274">
        <v>1</v>
      </c>
      <c r="AJ274">
        <v>1</v>
      </c>
      <c r="AK274">
        <v>1</v>
      </c>
      <c r="AL274">
        <v>1</v>
      </c>
      <c r="AM274">
        <v>1</v>
      </c>
      <c r="AN274">
        <v>1</v>
      </c>
      <c r="AO274">
        <v>1</v>
      </c>
      <c r="AP274">
        <v>1</v>
      </c>
      <c r="AQ274">
        <v>1</v>
      </c>
      <c r="AR274">
        <v>1</v>
      </c>
      <c r="AS274">
        <v>1</v>
      </c>
      <c r="AT274">
        <v>1</v>
      </c>
      <c r="AU274">
        <v>1</v>
      </c>
      <c r="AV274">
        <v>1</v>
      </c>
      <c r="AW274">
        <v>1</v>
      </c>
      <c r="AX274">
        <v>1</v>
      </c>
      <c r="AY274">
        <v>1</v>
      </c>
      <c r="AZ274">
        <v>1</v>
      </c>
      <c r="BA274">
        <v>1</v>
      </c>
      <c r="BB274">
        <v>1</v>
      </c>
      <c r="BC274">
        <v>1</v>
      </c>
      <c r="BD274">
        <v>1</v>
      </c>
      <c r="BE274">
        <v>1</v>
      </c>
      <c r="BF274">
        <v>1</v>
      </c>
      <c r="BG274">
        <v>1</v>
      </c>
      <c r="BH274">
        <v>1</v>
      </c>
      <c r="BI274">
        <v>1</v>
      </c>
      <c r="BJ274">
        <v>-1</v>
      </c>
      <c r="BK274">
        <v>-1</v>
      </c>
      <c r="BL274">
        <v>-1</v>
      </c>
    </row>
    <row r="275" spans="1:64" x14ac:dyDescent="0.2">
      <c r="A275" t="s">
        <v>852</v>
      </c>
      <c r="B275">
        <v>1</v>
      </c>
      <c r="C275" s="2">
        <f>'vehicles specifications'!S142</f>
        <v>65.433826960328489</v>
      </c>
      <c r="D275">
        <v>1</v>
      </c>
      <c r="E275">
        <v>1</v>
      </c>
      <c r="F275">
        <f>1+'vehicles specifications'!AD142</f>
        <v>1</v>
      </c>
      <c r="G275">
        <f>1+'vehicles specifications'!AD142</f>
        <v>1</v>
      </c>
      <c r="J275">
        <v>1</v>
      </c>
      <c r="K275">
        <f>1/('fuels and tailpipe emissions'!$C$3*3.6)</f>
        <v>2.3474178403755867E-2</v>
      </c>
      <c r="L275">
        <f>1/3.6</f>
        <v>0.2777777777777778</v>
      </c>
      <c r="M275">
        <f>1/'vehicles specifications'!J142</f>
        <v>4.0000000000000003E-5</v>
      </c>
      <c r="N275">
        <v>1</v>
      </c>
      <c r="O275">
        <f>1</f>
        <v>1</v>
      </c>
      <c r="P275">
        <v>1</v>
      </c>
      <c r="Q275">
        <v>1</v>
      </c>
      <c r="R275">
        <f>-1-'vehicles specifications'!AD142</f>
        <v>-1</v>
      </c>
      <c r="S275">
        <v>1</v>
      </c>
      <c r="T275">
        <v>1</v>
      </c>
      <c r="U275">
        <v>1</v>
      </c>
      <c r="V275">
        <v>1</v>
      </c>
      <c r="W275">
        <v>1</v>
      </c>
      <c r="X275">
        <v>1</v>
      </c>
      <c r="Y275">
        <v>1</v>
      </c>
      <c r="Z275">
        <v>1</v>
      </c>
      <c r="AA275">
        <v>1</v>
      </c>
      <c r="AB275">
        <v>1</v>
      </c>
      <c r="AC275">
        <v>1</v>
      </c>
      <c r="AD275">
        <v>1</v>
      </c>
      <c r="AE275">
        <v>1</v>
      </c>
      <c r="AF275">
        <v>1</v>
      </c>
      <c r="AG275">
        <v>1</v>
      </c>
      <c r="AH275">
        <v>1</v>
      </c>
      <c r="AI275">
        <v>1</v>
      </c>
      <c r="AJ275">
        <v>1</v>
      </c>
      <c r="AK275">
        <v>1</v>
      </c>
      <c r="AL275">
        <v>1</v>
      </c>
      <c r="AM275">
        <v>1</v>
      </c>
      <c r="AN275">
        <v>1</v>
      </c>
      <c r="AO275">
        <v>1</v>
      </c>
      <c r="AP275">
        <v>1</v>
      </c>
      <c r="AQ275">
        <v>1</v>
      </c>
      <c r="AR275">
        <v>1</v>
      </c>
      <c r="AS275">
        <v>1</v>
      </c>
      <c r="AT275">
        <v>1</v>
      </c>
      <c r="AU275">
        <v>1</v>
      </c>
      <c r="AV275">
        <v>1</v>
      </c>
      <c r="AW275">
        <v>1</v>
      </c>
      <c r="AX275">
        <v>1</v>
      </c>
      <c r="AY275">
        <v>1</v>
      </c>
      <c r="AZ275">
        <v>1</v>
      </c>
      <c r="BA275">
        <v>1</v>
      </c>
      <c r="BB275">
        <v>1</v>
      </c>
      <c r="BC275">
        <v>1</v>
      </c>
      <c r="BD275">
        <v>1</v>
      </c>
      <c r="BE275">
        <v>1</v>
      </c>
      <c r="BF275">
        <v>1</v>
      </c>
      <c r="BG275">
        <v>1</v>
      </c>
      <c r="BH275">
        <v>1</v>
      </c>
      <c r="BI275">
        <v>1</v>
      </c>
      <c r="BJ275">
        <v>-1</v>
      </c>
      <c r="BK275">
        <v>-1</v>
      </c>
      <c r="BL275">
        <v>-1</v>
      </c>
    </row>
    <row r="276" spans="1:64" x14ac:dyDescent="0.2">
      <c r="A276" t="s">
        <v>853</v>
      </c>
      <c r="B276">
        <v>1</v>
      </c>
      <c r="C276" s="2">
        <f>'vehicles specifications'!S143</f>
        <v>81</v>
      </c>
      <c r="D276">
        <v>1</v>
      </c>
      <c r="E276">
        <v>1</v>
      </c>
      <c r="F276">
        <f>1+'vehicles specifications'!AD143</f>
        <v>2</v>
      </c>
      <c r="G276">
        <f>1+'vehicles specifications'!AD143</f>
        <v>2</v>
      </c>
      <c r="J276">
        <v>1</v>
      </c>
      <c r="K276">
        <f>1/('fuels and tailpipe emissions'!$C$3*3.6)</f>
        <v>2.3474178403755867E-2</v>
      </c>
      <c r="L276">
        <f>1/3.6</f>
        <v>0.2777777777777778</v>
      </c>
      <c r="M276">
        <f>1/'vehicles specifications'!J143</f>
        <v>2.5974025974025975E-5</v>
      </c>
      <c r="N276">
        <v>1</v>
      </c>
      <c r="O276">
        <f>1</f>
        <v>1</v>
      </c>
      <c r="P276">
        <v>1</v>
      </c>
      <c r="Q276">
        <v>1</v>
      </c>
      <c r="R276">
        <f>-1-'vehicles specifications'!AD143</f>
        <v>-2</v>
      </c>
      <c r="S276">
        <v>1</v>
      </c>
      <c r="T276">
        <v>1</v>
      </c>
      <c r="U276">
        <v>1</v>
      </c>
      <c r="V276">
        <v>1</v>
      </c>
      <c r="W276">
        <v>1</v>
      </c>
      <c r="X276">
        <v>1</v>
      </c>
      <c r="Y276">
        <v>1</v>
      </c>
      <c r="Z276">
        <v>1</v>
      </c>
      <c r="AA276">
        <v>1</v>
      </c>
      <c r="AB276">
        <v>1</v>
      </c>
      <c r="AC276">
        <v>1</v>
      </c>
      <c r="AD276">
        <v>1</v>
      </c>
      <c r="AE276">
        <v>1</v>
      </c>
      <c r="AF276">
        <v>1</v>
      </c>
      <c r="AG276">
        <v>1</v>
      </c>
      <c r="AH276">
        <v>1</v>
      </c>
      <c r="AI276">
        <v>1</v>
      </c>
      <c r="AJ276">
        <v>1</v>
      </c>
      <c r="AK276">
        <v>1</v>
      </c>
      <c r="AL276">
        <v>1</v>
      </c>
      <c r="AM276">
        <v>1</v>
      </c>
      <c r="AN276">
        <v>1</v>
      </c>
      <c r="AO276">
        <v>1</v>
      </c>
      <c r="AP276">
        <v>1</v>
      </c>
      <c r="AQ276">
        <v>1</v>
      </c>
      <c r="AR276">
        <v>1</v>
      </c>
      <c r="AS276">
        <v>1</v>
      </c>
      <c r="AT276">
        <v>1</v>
      </c>
      <c r="AU276">
        <v>1</v>
      </c>
      <c r="AV276">
        <v>1</v>
      </c>
      <c r="AW276">
        <v>1</v>
      </c>
      <c r="AX276">
        <v>1</v>
      </c>
      <c r="AY276">
        <v>1</v>
      </c>
      <c r="AZ276">
        <v>1</v>
      </c>
      <c r="BA276">
        <v>1</v>
      </c>
      <c r="BB276">
        <v>1</v>
      </c>
      <c r="BC276">
        <v>1</v>
      </c>
      <c r="BD276">
        <v>1</v>
      </c>
      <c r="BE276">
        <v>1</v>
      </c>
      <c r="BF276">
        <v>1</v>
      </c>
      <c r="BG276">
        <v>1</v>
      </c>
      <c r="BH276">
        <v>1</v>
      </c>
      <c r="BI276">
        <v>1</v>
      </c>
      <c r="BJ276">
        <v>-1</v>
      </c>
      <c r="BK276">
        <v>-1</v>
      </c>
      <c r="BL276">
        <v>-1</v>
      </c>
    </row>
    <row r="277" spans="1:64" x14ac:dyDescent="0.2">
      <c r="A277" t="s">
        <v>854</v>
      </c>
      <c r="B277">
        <v>1</v>
      </c>
      <c r="C277" s="2">
        <f>'vehicles specifications'!S144</f>
        <v>81</v>
      </c>
      <c r="D277">
        <v>1</v>
      </c>
      <c r="E277">
        <v>1</v>
      </c>
      <c r="F277">
        <f>1+'vehicles specifications'!AD144</f>
        <v>1.5</v>
      </c>
      <c r="G277">
        <f>1+'vehicles specifications'!AD144</f>
        <v>1.5</v>
      </c>
      <c r="J277">
        <v>1</v>
      </c>
      <c r="K277">
        <f>1/('fuels and tailpipe emissions'!$C$3*3.6)</f>
        <v>2.3474178403755867E-2</v>
      </c>
      <c r="L277">
        <f>1/3.6</f>
        <v>0.2777777777777778</v>
      </c>
      <c r="M277">
        <f>1/'vehicles specifications'!J144</f>
        <v>2.5974025974025975E-5</v>
      </c>
      <c r="N277">
        <v>1</v>
      </c>
      <c r="O277">
        <f>1</f>
        <v>1</v>
      </c>
      <c r="P277">
        <v>1</v>
      </c>
      <c r="Q277">
        <v>1</v>
      </c>
      <c r="R277">
        <f>-1-'vehicles specifications'!AD144</f>
        <v>-1.5</v>
      </c>
      <c r="S277">
        <v>1</v>
      </c>
      <c r="T277">
        <v>1</v>
      </c>
      <c r="U277">
        <v>1</v>
      </c>
      <c r="V277">
        <v>1</v>
      </c>
      <c r="W277">
        <v>1</v>
      </c>
      <c r="X277">
        <v>1</v>
      </c>
      <c r="Y277">
        <v>1</v>
      </c>
      <c r="Z277">
        <v>1</v>
      </c>
      <c r="AA277">
        <v>1</v>
      </c>
      <c r="AB277">
        <v>1</v>
      </c>
      <c r="AC277">
        <v>1</v>
      </c>
      <c r="AD277">
        <v>1</v>
      </c>
      <c r="AE277">
        <v>1</v>
      </c>
      <c r="AF277">
        <v>1</v>
      </c>
      <c r="AG277">
        <v>1</v>
      </c>
      <c r="AH277">
        <v>1</v>
      </c>
      <c r="AI277">
        <v>1</v>
      </c>
      <c r="AJ277">
        <v>1</v>
      </c>
      <c r="AK277">
        <v>1</v>
      </c>
      <c r="AL277">
        <v>1</v>
      </c>
      <c r="AM277">
        <v>1</v>
      </c>
      <c r="AN277">
        <v>1</v>
      </c>
      <c r="AO277">
        <v>1</v>
      </c>
      <c r="AP277">
        <v>1</v>
      </c>
      <c r="AQ277">
        <v>1</v>
      </c>
      <c r="AR277">
        <v>1</v>
      </c>
      <c r="AS277">
        <v>1</v>
      </c>
      <c r="AT277">
        <v>1</v>
      </c>
      <c r="AU277">
        <v>1</v>
      </c>
      <c r="AV277">
        <v>1</v>
      </c>
      <c r="AW277">
        <v>1</v>
      </c>
      <c r="AX277">
        <v>1</v>
      </c>
      <c r="AY277">
        <v>1</v>
      </c>
      <c r="AZ277">
        <v>1</v>
      </c>
      <c r="BA277">
        <v>1</v>
      </c>
      <c r="BB277">
        <v>1</v>
      </c>
      <c r="BC277">
        <v>1</v>
      </c>
      <c r="BD277">
        <v>1</v>
      </c>
      <c r="BE277">
        <v>1</v>
      </c>
      <c r="BF277">
        <v>1</v>
      </c>
      <c r="BG277">
        <v>1</v>
      </c>
      <c r="BH277">
        <v>1</v>
      </c>
      <c r="BI277">
        <v>1</v>
      </c>
      <c r="BJ277">
        <v>-1</v>
      </c>
      <c r="BK277">
        <v>-1</v>
      </c>
      <c r="BL277">
        <v>-1</v>
      </c>
    </row>
    <row r="278" spans="1:64" x14ac:dyDescent="0.2">
      <c r="A278" t="s">
        <v>855</v>
      </c>
      <c r="B278">
        <v>1</v>
      </c>
      <c r="C278" s="2">
        <f>'vehicles specifications'!S145</f>
        <v>81</v>
      </c>
      <c r="D278">
        <v>1</v>
      </c>
      <c r="E278">
        <v>1</v>
      </c>
      <c r="F278">
        <f>1+'vehicles specifications'!AD145</f>
        <v>1.25</v>
      </c>
      <c r="G278">
        <f>1+'vehicles specifications'!AD145</f>
        <v>1.25</v>
      </c>
      <c r="J278">
        <v>1</v>
      </c>
      <c r="K278">
        <f>1/('fuels and tailpipe emissions'!$C$3*3.6)</f>
        <v>2.3474178403755867E-2</v>
      </c>
      <c r="L278">
        <f>1/3.6</f>
        <v>0.2777777777777778</v>
      </c>
      <c r="M278">
        <f>1/'vehicles specifications'!J145</f>
        <v>2.5974025974025975E-5</v>
      </c>
      <c r="N278">
        <v>1</v>
      </c>
      <c r="O278">
        <f>1</f>
        <v>1</v>
      </c>
      <c r="P278">
        <v>1</v>
      </c>
      <c r="Q278">
        <v>1</v>
      </c>
      <c r="R278">
        <f>-1-'vehicles specifications'!AD145</f>
        <v>-1.25</v>
      </c>
      <c r="S278">
        <v>1</v>
      </c>
      <c r="T278">
        <v>1</v>
      </c>
      <c r="U278">
        <v>1</v>
      </c>
      <c r="V278">
        <v>1</v>
      </c>
      <c r="W278">
        <v>1</v>
      </c>
      <c r="X278">
        <v>1</v>
      </c>
      <c r="Y278">
        <v>1</v>
      </c>
      <c r="Z278">
        <v>1</v>
      </c>
      <c r="AA278">
        <v>1</v>
      </c>
      <c r="AB278">
        <v>1</v>
      </c>
      <c r="AC278">
        <v>1</v>
      </c>
      <c r="AD278">
        <v>1</v>
      </c>
      <c r="AE278">
        <v>1</v>
      </c>
      <c r="AF278">
        <v>1</v>
      </c>
      <c r="AG278">
        <v>1</v>
      </c>
      <c r="AH278">
        <v>1</v>
      </c>
      <c r="AI278">
        <v>1</v>
      </c>
      <c r="AJ278">
        <v>1</v>
      </c>
      <c r="AK278">
        <v>1</v>
      </c>
      <c r="AL278">
        <v>1</v>
      </c>
      <c r="AM278">
        <v>1</v>
      </c>
      <c r="AN278">
        <v>1</v>
      </c>
      <c r="AO278">
        <v>1</v>
      </c>
      <c r="AP278">
        <v>1</v>
      </c>
      <c r="AQ278">
        <v>1</v>
      </c>
      <c r="AR278">
        <v>1</v>
      </c>
      <c r="AS278">
        <v>1</v>
      </c>
      <c r="AT278">
        <v>1</v>
      </c>
      <c r="AU278">
        <v>1</v>
      </c>
      <c r="AV278">
        <v>1</v>
      </c>
      <c r="AW278">
        <v>1</v>
      </c>
      <c r="AX278">
        <v>1</v>
      </c>
      <c r="AY278">
        <v>1</v>
      </c>
      <c r="AZ278">
        <v>1</v>
      </c>
      <c r="BA278">
        <v>1</v>
      </c>
      <c r="BB278">
        <v>1</v>
      </c>
      <c r="BC278">
        <v>1</v>
      </c>
      <c r="BD278">
        <v>1</v>
      </c>
      <c r="BE278">
        <v>1</v>
      </c>
      <c r="BF278">
        <v>1</v>
      </c>
      <c r="BG278">
        <v>1</v>
      </c>
      <c r="BH278">
        <v>1</v>
      </c>
      <c r="BI278">
        <v>1</v>
      </c>
      <c r="BJ278">
        <v>-1</v>
      </c>
      <c r="BK278">
        <v>-1</v>
      </c>
      <c r="BL278">
        <v>-1</v>
      </c>
    </row>
    <row r="279" spans="1:64" x14ac:dyDescent="0.2">
      <c r="A279" t="s">
        <v>856</v>
      </c>
      <c r="B279">
        <v>1</v>
      </c>
      <c r="C279" s="2">
        <f>'vehicles specifications'!S146</f>
        <v>81</v>
      </c>
      <c r="D279">
        <v>1</v>
      </c>
      <c r="E279">
        <v>1</v>
      </c>
      <c r="F279">
        <f>1+'vehicles specifications'!AD146</f>
        <v>1</v>
      </c>
      <c r="G279">
        <f>1+'vehicles specifications'!AD146</f>
        <v>1</v>
      </c>
      <c r="J279">
        <v>1</v>
      </c>
      <c r="K279">
        <f>1/('fuels and tailpipe emissions'!$C$3*3.6)</f>
        <v>2.3474178403755867E-2</v>
      </c>
      <c r="L279">
        <f>1/3.6</f>
        <v>0.2777777777777778</v>
      </c>
      <c r="M279">
        <f>1/'vehicles specifications'!J146</f>
        <v>2.5974025974025975E-5</v>
      </c>
      <c r="N279">
        <v>1</v>
      </c>
      <c r="O279">
        <f>1</f>
        <v>1</v>
      </c>
      <c r="P279">
        <v>1</v>
      </c>
      <c r="Q279">
        <v>1</v>
      </c>
      <c r="R279">
        <f>-1-'vehicles specifications'!AD146</f>
        <v>-1</v>
      </c>
      <c r="S279">
        <v>1</v>
      </c>
      <c r="T279">
        <v>1</v>
      </c>
      <c r="U279">
        <v>1</v>
      </c>
      <c r="V279">
        <v>1</v>
      </c>
      <c r="W279">
        <v>1</v>
      </c>
      <c r="X279">
        <v>1</v>
      </c>
      <c r="Y279">
        <v>1</v>
      </c>
      <c r="Z279">
        <v>1</v>
      </c>
      <c r="AA279">
        <v>1</v>
      </c>
      <c r="AB279">
        <v>1</v>
      </c>
      <c r="AC279">
        <v>1</v>
      </c>
      <c r="AD279">
        <v>1</v>
      </c>
      <c r="AE279">
        <v>1</v>
      </c>
      <c r="AF279">
        <v>1</v>
      </c>
      <c r="AG279">
        <v>1</v>
      </c>
      <c r="AH279">
        <v>1</v>
      </c>
      <c r="AI279">
        <v>1</v>
      </c>
      <c r="AJ279">
        <v>1</v>
      </c>
      <c r="AK279">
        <v>1</v>
      </c>
      <c r="AL279">
        <v>1</v>
      </c>
      <c r="AM279">
        <v>1</v>
      </c>
      <c r="AN279">
        <v>1</v>
      </c>
      <c r="AO279">
        <v>1</v>
      </c>
      <c r="AP279">
        <v>1</v>
      </c>
      <c r="AQ279">
        <v>1</v>
      </c>
      <c r="AR279">
        <v>1</v>
      </c>
      <c r="AS279">
        <v>1</v>
      </c>
      <c r="AT279">
        <v>1</v>
      </c>
      <c r="AU279">
        <v>1</v>
      </c>
      <c r="AV279">
        <v>1</v>
      </c>
      <c r="AW279">
        <v>1</v>
      </c>
      <c r="AX279">
        <v>1</v>
      </c>
      <c r="AY279">
        <v>1</v>
      </c>
      <c r="AZ279">
        <v>1</v>
      </c>
      <c r="BA279">
        <v>1</v>
      </c>
      <c r="BB279">
        <v>1</v>
      </c>
      <c r="BC279">
        <v>1</v>
      </c>
      <c r="BD279">
        <v>1</v>
      </c>
      <c r="BE279">
        <v>1</v>
      </c>
      <c r="BF279">
        <v>1</v>
      </c>
      <c r="BG279">
        <v>1</v>
      </c>
      <c r="BH279">
        <v>1</v>
      </c>
      <c r="BI279">
        <v>1</v>
      </c>
      <c r="BJ279">
        <v>-1</v>
      </c>
      <c r="BK279">
        <v>-1</v>
      </c>
      <c r="BL279">
        <v>-1</v>
      </c>
    </row>
    <row r="280" spans="1:64" x14ac:dyDescent="0.2">
      <c r="A280" t="s">
        <v>857</v>
      </c>
      <c r="B280">
        <v>1</v>
      </c>
      <c r="C280" s="2">
        <f>'vehicles specifications'!S147</f>
        <v>111</v>
      </c>
      <c r="D280">
        <v>1</v>
      </c>
      <c r="E280">
        <v>1</v>
      </c>
      <c r="F280">
        <f>1+'vehicles specifications'!AD147</f>
        <v>2</v>
      </c>
      <c r="G280">
        <f>1+'vehicles specifications'!AD147</f>
        <v>2</v>
      </c>
      <c r="J280">
        <v>1</v>
      </c>
      <c r="K280">
        <f>1/('fuels and tailpipe emissions'!$C$3*3.6)</f>
        <v>2.3474178403755867E-2</v>
      </c>
      <c r="L280">
        <f>1/3.6</f>
        <v>0.2777777777777778</v>
      </c>
      <c r="M280">
        <f>1/'vehicles specifications'!J147</f>
        <v>2.4691358024691357E-5</v>
      </c>
      <c r="N280">
        <v>1</v>
      </c>
      <c r="O280">
        <f>1</f>
        <v>1</v>
      </c>
      <c r="P280">
        <v>1</v>
      </c>
      <c r="Q280">
        <v>1</v>
      </c>
      <c r="R280">
        <f>-1-'vehicles specifications'!AD147</f>
        <v>-2</v>
      </c>
      <c r="S280">
        <v>1</v>
      </c>
      <c r="T280">
        <v>1</v>
      </c>
      <c r="U280">
        <v>1</v>
      </c>
      <c r="V280">
        <v>1</v>
      </c>
      <c r="W280">
        <v>1</v>
      </c>
      <c r="X280">
        <v>1</v>
      </c>
      <c r="Y280">
        <v>1</v>
      </c>
      <c r="Z280">
        <v>1</v>
      </c>
      <c r="AA280">
        <v>1</v>
      </c>
      <c r="AB280">
        <v>1</v>
      </c>
      <c r="AC280">
        <v>1</v>
      </c>
      <c r="AD280">
        <v>1</v>
      </c>
      <c r="AE280">
        <v>1</v>
      </c>
      <c r="AF280">
        <v>1</v>
      </c>
      <c r="AG280">
        <v>1</v>
      </c>
      <c r="AH280">
        <v>1</v>
      </c>
      <c r="AI280">
        <v>1</v>
      </c>
      <c r="AJ280">
        <v>1</v>
      </c>
      <c r="AK280">
        <v>1</v>
      </c>
      <c r="AL280">
        <v>1</v>
      </c>
      <c r="AM280">
        <v>1</v>
      </c>
      <c r="AN280">
        <v>1</v>
      </c>
      <c r="AO280">
        <v>1</v>
      </c>
      <c r="AP280">
        <v>1</v>
      </c>
      <c r="AQ280">
        <v>1</v>
      </c>
      <c r="AR280">
        <v>1</v>
      </c>
      <c r="AS280">
        <v>1</v>
      </c>
      <c r="AT280">
        <v>1</v>
      </c>
      <c r="AU280">
        <v>1</v>
      </c>
      <c r="AV280">
        <v>1</v>
      </c>
      <c r="AW280">
        <v>1</v>
      </c>
      <c r="AX280">
        <v>1</v>
      </c>
      <c r="AY280">
        <v>1</v>
      </c>
      <c r="AZ280">
        <v>1</v>
      </c>
      <c r="BA280">
        <v>1</v>
      </c>
      <c r="BB280">
        <v>1</v>
      </c>
      <c r="BC280">
        <v>1</v>
      </c>
      <c r="BD280">
        <v>1</v>
      </c>
      <c r="BE280">
        <v>1</v>
      </c>
      <c r="BF280">
        <v>1</v>
      </c>
      <c r="BG280">
        <v>1</v>
      </c>
      <c r="BH280">
        <v>1</v>
      </c>
      <c r="BI280">
        <v>1</v>
      </c>
      <c r="BJ280">
        <v>-1</v>
      </c>
      <c r="BK280">
        <v>-1</v>
      </c>
      <c r="BL280">
        <v>-1</v>
      </c>
    </row>
    <row r="281" spans="1:64" x14ac:dyDescent="0.2">
      <c r="A281" t="s">
        <v>858</v>
      </c>
      <c r="B281">
        <v>1</v>
      </c>
      <c r="C281" s="2">
        <f>'vehicles specifications'!S148</f>
        <v>111</v>
      </c>
      <c r="D281">
        <v>1</v>
      </c>
      <c r="E281">
        <v>1</v>
      </c>
      <c r="F281">
        <f>1+'vehicles specifications'!AD148</f>
        <v>1.5</v>
      </c>
      <c r="G281">
        <f>1+'vehicles specifications'!AD148</f>
        <v>1.5</v>
      </c>
      <c r="J281">
        <v>1</v>
      </c>
      <c r="K281">
        <f>1/('fuels and tailpipe emissions'!$C$3*3.6)</f>
        <v>2.3474178403755867E-2</v>
      </c>
      <c r="L281">
        <f>1/3.6</f>
        <v>0.2777777777777778</v>
      </c>
      <c r="M281">
        <f>1/'vehicles specifications'!J148</f>
        <v>2.4691358024691357E-5</v>
      </c>
      <c r="N281">
        <v>1</v>
      </c>
      <c r="O281">
        <f>1</f>
        <v>1</v>
      </c>
      <c r="P281">
        <v>1</v>
      </c>
      <c r="Q281">
        <v>1</v>
      </c>
      <c r="R281">
        <f>-1-'vehicles specifications'!AD148</f>
        <v>-1.5</v>
      </c>
      <c r="S281">
        <v>1</v>
      </c>
      <c r="T281">
        <v>1</v>
      </c>
      <c r="U281">
        <v>1</v>
      </c>
      <c r="V281">
        <v>1</v>
      </c>
      <c r="W281">
        <v>1</v>
      </c>
      <c r="X281">
        <v>1</v>
      </c>
      <c r="Y281">
        <v>1</v>
      </c>
      <c r="Z281">
        <v>1</v>
      </c>
      <c r="AA281">
        <v>1</v>
      </c>
      <c r="AB281">
        <v>1</v>
      </c>
      <c r="AC281">
        <v>1</v>
      </c>
      <c r="AD281">
        <v>1</v>
      </c>
      <c r="AE281">
        <v>1</v>
      </c>
      <c r="AF281">
        <v>1</v>
      </c>
      <c r="AG281">
        <v>1</v>
      </c>
      <c r="AH281">
        <v>1</v>
      </c>
      <c r="AI281">
        <v>1</v>
      </c>
      <c r="AJ281">
        <v>1</v>
      </c>
      <c r="AK281">
        <v>1</v>
      </c>
      <c r="AL281">
        <v>1</v>
      </c>
      <c r="AM281">
        <v>1</v>
      </c>
      <c r="AN281">
        <v>1</v>
      </c>
      <c r="AO281">
        <v>1</v>
      </c>
      <c r="AP281">
        <v>1</v>
      </c>
      <c r="AQ281">
        <v>1</v>
      </c>
      <c r="AR281">
        <v>1</v>
      </c>
      <c r="AS281">
        <v>1</v>
      </c>
      <c r="AT281">
        <v>1</v>
      </c>
      <c r="AU281">
        <v>1</v>
      </c>
      <c r="AV281">
        <v>1</v>
      </c>
      <c r="AW281">
        <v>1</v>
      </c>
      <c r="AX281">
        <v>1</v>
      </c>
      <c r="AY281">
        <v>1</v>
      </c>
      <c r="AZ281">
        <v>1</v>
      </c>
      <c r="BA281">
        <v>1</v>
      </c>
      <c r="BB281">
        <v>1</v>
      </c>
      <c r="BC281">
        <v>1</v>
      </c>
      <c r="BD281">
        <v>1</v>
      </c>
      <c r="BE281">
        <v>1</v>
      </c>
      <c r="BF281">
        <v>1</v>
      </c>
      <c r="BG281">
        <v>1</v>
      </c>
      <c r="BH281">
        <v>1</v>
      </c>
      <c r="BI281">
        <v>1</v>
      </c>
      <c r="BJ281">
        <v>-1</v>
      </c>
      <c r="BK281">
        <v>-1</v>
      </c>
      <c r="BL281">
        <v>-1</v>
      </c>
    </row>
    <row r="282" spans="1:64" x14ac:dyDescent="0.2">
      <c r="A282" t="s">
        <v>859</v>
      </c>
      <c r="B282">
        <v>1</v>
      </c>
      <c r="C282" s="2">
        <f>'vehicles specifications'!S149</f>
        <v>111</v>
      </c>
      <c r="D282">
        <v>1</v>
      </c>
      <c r="E282">
        <v>1</v>
      </c>
      <c r="F282">
        <f>1+'vehicles specifications'!AD149</f>
        <v>1.25</v>
      </c>
      <c r="G282">
        <f>1+'vehicles specifications'!AD149</f>
        <v>1.25</v>
      </c>
      <c r="J282">
        <v>1</v>
      </c>
      <c r="K282">
        <f>1/('fuels and tailpipe emissions'!$C$3*3.6)</f>
        <v>2.3474178403755867E-2</v>
      </c>
      <c r="L282">
        <f>1/3.6</f>
        <v>0.2777777777777778</v>
      </c>
      <c r="M282">
        <f>1/'vehicles specifications'!J149</f>
        <v>2.4691358024691357E-5</v>
      </c>
      <c r="N282">
        <v>1</v>
      </c>
      <c r="O282">
        <f>1</f>
        <v>1</v>
      </c>
      <c r="P282">
        <v>1</v>
      </c>
      <c r="Q282">
        <v>1</v>
      </c>
      <c r="R282">
        <f>-1-'vehicles specifications'!AD149</f>
        <v>-1.25</v>
      </c>
      <c r="S282">
        <v>1</v>
      </c>
      <c r="T282">
        <v>1</v>
      </c>
      <c r="U282">
        <v>1</v>
      </c>
      <c r="V282">
        <v>1</v>
      </c>
      <c r="W282">
        <v>1</v>
      </c>
      <c r="X282">
        <v>1</v>
      </c>
      <c r="Y282">
        <v>1</v>
      </c>
      <c r="Z282">
        <v>1</v>
      </c>
      <c r="AA282">
        <v>1</v>
      </c>
      <c r="AB282">
        <v>1</v>
      </c>
      <c r="AC282">
        <v>1</v>
      </c>
      <c r="AD282">
        <v>1</v>
      </c>
      <c r="AE282">
        <v>1</v>
      </c>
      <c r="AF282">
        <v>1</v>
      </c>
      <c r="AG282">
        <v>1</v>
      </c>
      <c r="AH282">
        <v>1</v>
      </c>
      <c r="AI282">
        <v>1</v>
      </c>
      <c r="AJ282">
        <v>1</v>
      </c>
      <c r="AK282">
        <v>1</v>
      </c>
      <c r="AL282">
        <v>1</v>
      </c>
      <c r="AM282">
        <v>1</v>
      </c>
      <c r="AN282">
        <v>1</v>
      </c>
      <c r="AO282">
        <v>1</v>
      </c>
      <c r="AP282">
        <v>1</v>
      </c>
      <c r="AQ282">
        <v>1</v>
      </c>
      <c r="AR282">
        <v>1</v>
      </c>
      <c r="AS282">
        <v>1</v>
      </c>
      <c r="AT282">
        <v>1</v>
      </c>
      <c r="AU282">
        <v>1</v>
      </c>
      <c r="AV282">
        <v>1</v>
      </c>
      <c r="AW282">
        <v>1</v>
      </c>
      <c r="AX282">
        <v>1</v>
      </c>
      <c r="AY282">
        <v>1</v>
      </c>
      <c r="AZ282">
        <v>1</v>
      </c>
      <c r="BA282">
        <v>1</v>
      </c>
      <c r="BB282">
        <v>1</v>
      </c>
      <c r="BC282">
        <v>1</v>
      </c>
      <c r="BD282">
        <v>1</v>
      </c>
      <c r="BE282">
        <v>1</v>
      </c>
      <c r="BF282">
        <v>1</v>
      </c>
      <c r="BG282">
        <v>1</v>
      </c>
      <c r="BH282">
        <v>1</v>
      </c>
      <c r="BI282">
        <v>1</v>
      </c>
      <c r="BJ282">
        <v>-1</v>
      </c>
      <c r="BK282">
        <v>-1</v>
      </c>
      <c r="BL282">
        <v>-1</v>
      </c>
    </row>
    <row r="283" spans="1:64" x14ac:dyDescent="0.2">
      <c r="A283" t="s">
        <v>860</v>
      </c>
      <c r="B283">
        <v>1</v>
      </c>
      <c r="C283" s="2">
        <f>'vehicles specifications'!S150</f>
        <v>111</v>
      </c>
      <c r="D283">
        <v>1</v>
      </c>
      <c r="E283">
        <v>1</v>
      </c>
      <c r="F283">
        <f>1+'vehicles specifications'!AD150</f>
        <v>1</v>
      </c>
      <c r="G283">
        <f>1+'vehicles specifications'!AD150</f>
        <v>1</v>
      </c>
      <c r="J283">
        <v>1</v>
      </c>
      <c r="K283">
        <f>1/('fuels and tailpipe emissions'!$C$3*3.6)</f>
        <v>2.3474178403755867E-2</v>
      </c>
      <c r="L283">
        <f>1/3.6</f>
        <v>0.2777777777777778</v>
      </c>
      <c r="M283">
        <f>1/'vehicles specifications'!J150</f>
        <v>2.4691358024691357E-5</v>
      </c>
      <c r="N283">
        <v>1</v>
      </c>
      <c r="O283">
        <f>1</f>
        <v>1</v>
      </c>
      <c r="P283">
        <v>1</v>
      </c>
      <c r="Q283">
        <v>1</v>
      </c>
      <c r="R283">
        <f>-1-'vehicles specifications'!AD150</f>
        <v>-1</v>
      </c>
      <c r="S283">
        <v>1</v>
      </c>
      <c r="T283">
        <v>1</v>
      </c>
      <c r="U283">
        <v>1</v>
      </c>
      <c r="V283">
        <v>1</v>
      </c>
      <c r="W283">
        <v>1</v>
      </c>
      <c r="X283">
        <v>1</v>
      </c>
      <c r="Y283">
        <v>1</v>
      </c>
      <c r="Z283">
        <v>1</v>
      </c>
      <c r="AA283">
        <v>1</v>
      </c>
      <c r="AB283">
        <v>1</v>
      </c>
      <c r="AC283">
        <v>1</v>
      </c>
      <c r="AD283">
        <v>1</v>
      </c>
      <c r="AE283">
        <v>1</v>
      </c>
      <c r="AF283">
        <v>1</v>
      </c>
      <c r="AG283">
        <v>1</v>
      </c>
      <c r="AH283">
        <v>1</v>
      </c>
      <c r="AI283">
        <v>1</v>
      </c>
      <c r="AJ283">
        <v>1</v>
      </c>
      <c r="AK283">
        <v>1</v>
      </c>
      <c r="AL283">
        <v>1</v>
      </c>
      <c r="AM283">
        <v>1</v>
      </c>
      <c r="AN283">
        <v>1</v>
      </c>
      <c r="AO283">
        <v>1</v>
      </c>
      <c r="AP283">
        <v>1</v>
      </c>
      <c r="AQ283">
        <v>1</v>
      </c>
      <c r="AR283">
        <v>1</v>
      </c>
      <c r="AS283">
        <v>1</v>
      </c>
      <c r="AT283">
        <v>1</v>
      </c>
      <c r="AU283">
        <v>1</v>
      </c>
      <c r="AV283">
        <v>1</v>
      </c>
      <c r="AW283">
        <v>1</v>
      </c>
      <c r="AX283">
        <v>1</v>
      </c>
      <c r="AY283">
        <v>1</v>
      </c>
      <c r="AZ283">
        <v>1</v>
      </c>
      <c r="BA283">
        <v>1</v>
      </c>
      <c r="BB283">
        <v>1</v>
      </c>
      <c r="BC283">
        <v>1</v>
      </c>
      <c r="BD283">
        <v>1</v>
      </c>
      <c r="BE283">
        <v>1</v>
      </c>
      <c r="BF283">
        <v>1</v>
      </c>
      <c r="BG283">
        <v>1</v>
      </c>
      <c r="BH283">
        <v>1</v>
      </c>
      <c r="BI283">
        <v>1</v>
      </c>
      <c r="BJ283">
        <v>-1</v>
      </c>
      <c r="BK283">
        <v>-1</v>
      </c>
      <c r="BL283">
        <v>-1</v>
      </c>
    </row>
    <row r="284" spans="1:64" x14ac:dyDescent="0.2">
      <c r="A284" t="s">
        <v>861</v>
      </c>
      <c r="B284">
        <v>1</v>
      </c>
      <c r="C284" s="2">
        <f>'vehicles specifications'!S151</f>
        <v>53</v>
      </c>
      <c r="D284">
        <v>1</v>
      </c>
      <c r="E284">
        <v>1</v>
      </c>
      <c r="F284">
        <f>1+'vehicles specifications'!AD151</f>
        <v>2</v>
      </c>
      <c r="G284">
        <f>1+'vehicles specifications'!AD151</f>
        <v>2</v>
      </c>
      <c r="J284">
        <v>1</v>
      </c>
      <c r="K284">
        <f>1/('fuels and tailpipe emissions'!$C$3*3.6)</f>
        <v>2.3474178403755867E-2</v>
      </c>
      <c r="L284">
        <f>1/3.6</f>
        <v>0.2777777777777778</v>
      </c>
      <c r="M284">
        <f>1/'vehicles specifications'!J151</f>
        <v>4.0000000000000003E-5</v>
      </c>
      <c r="N284">
        <v>1</v>
      </c>
      <c r="O284">
        <f>1</f>
        <v>1</v>
      </c>
      <c r="P284">
        <v>1</v>
      </c>
      <c r="Q284">
        <v>1</v>
      </c>
      <c r="R284">
        <f>-1-'vehicles specifications'!AD151</f>
        <v>-2</v>
      </c>
      <c r="S284">
        <v>1</v>
      </c>
      <c r="T284">
        <v>1</v>
      </c>
      <c r="U284">
        <v>1</v>
      </c>
      <c r="V284">
        <v>1</v>
      </c>
      <c r="W284">
        <v>1</v>
      </c>
      <c r="X284">
        <v>1</v>
      </c>
      <c r="Y284">
        <v>1</v>
      </c>
      <c r="Z284">
        <v>1</v>
      </c>
      <c r="AA284">
        <v>1</v>
      </c>
      <c r="AB284">
        <v>1</v>
      </c>
      <c r="AC284">
        <v>1</v>
      </c>
      <c r="AD284">
        <v>1</v>
      </c>
      <c r="AE284">
        <v>1</v>
      </c>
      <c r="AF284">
        <v>1</v>
      </c>
      <c r="AG284">
        <v>1</v>
      </c>
      <c r="AH284">
        <v>1</v>
      </c>
      <c r="AI284">
        <v>1</v>
      </c>
      <c r="AJ284">
        <v>1</v>
      </c>
      <c r="AK284">
        <v>1</v>
      </c>
      <c r="AL284">
        <v>1</v>
      </c>
      <c r="AM284">
        <v>1</v>
      </c>
      <c r="AN284">
        <v>1</v>
      </c>
      <c r="AO284">
        <v>1</v>
      </c>
      <c r="AP284">
        <v>1</v>
      </c>
      <c r="AQ284">
        <v>1</v>
      </c>
      <c r="AR284">
        <v>1</v>
      </c>
      <c r="AS284">
        <v>1</v>
      </c>
      <c r="AT284">
        <v>1</v>
      </c>
      <c r="AU284">
        <v>1</v>
      </c>
      <c r="AV284">
        <v>1</v>
      </c>
      <c r="AW284">
        <v>1</v>
      </c>
      <c r="AX284">
        <v>1</v>
      </c>
      <c r="AY284">
        <v>1</v>
      </c>
      <c r="AZ284">
        <v>1</v>
      </c>
      <c r="BA284">
        <v>1</v>
      </c>
      <c r="BB284">
        <v>1</v>
      </c>
      <c r="BC284">
        <v>1</v>
      </c>
      <c r="BD284">
        <v>1</v>
      </c>
      <c r="BE284">
        <v>1</v>
      </c>
      <c r="BF284">
        <v>1</v>
      </c>
      <c r="BG284">
        <v>1</v>
      </c>
      <c r="BH284">
        <v>1</v>
      </c>
      <c r="BI284">
        <v>1</v>
      </c>
      <c r="BJ284">
        <v>-1</v>
      </c>
      <c r="BK284">
        <v>-1</v>
      </c>
      <c r="BL284">
        <v>-1</v>
      </c>
    </row>
    <row r="285" spans="1:64" x14ac:dyDescent="0.2">
      <c r="A285" t="s">
        <v>862</v>
      </c>
      <c r="B285">
        <v>1</v>
      </c>
      <c r="C285" s="2">
        <f>'vehicles specifications'!S151</f>
        <v>53</v>
      </c>
      <c r="D285">
        <v>1</v>
      </c>
      <c r="E285">
        <v>1</v>
      </c>
      <c r="F285">
        <f>1+'vehicles specifications'!AD151</f>
        <v>2</v>
      </c>
      <c r="G285">
        <f>1+'vehicles specifications'!AD151</f>
        <v>2</v>
      </c>
      <c r="J285">
        <v>1</v>
      </c>
      <c r="K285">
        <f>1/('fuels and tailpipe emissions'!$C$3*3.6)</f>
        <v>2.3474178403755867E-2</v>
      </c>
      <c r="L285">
        <f>1/3.6</f>
        <v>0.2777777777777778</v>
      </c>
      <c r="M285">
        <f>1/'vehicles specifications'!J151</f>
        <v>4.0000000000000003E-5</v>
      </c>
      <c r="N285">
        <v>1</v>
      </c>
      <c r="O285">
        <f>1</f>
        <v>1</v>
      </c>
      <c r="P285">
        <v>1</v>
      </c>
      <c r="Q285">
        <v>1</v>
      </c>
      <c r="R285">
        <f>-1-'vehicles specifications'!AD151</f>
        <v>-2</v>
      </c>
      <c r="S285">
        <v>1</v>
      </c>
      <c r="T285">
        <v>1</v>
      </c>
      <c r="U285">
        <v>1</v>
      </c>
      <c r="V285">
        <v>1</v>
      </c>
      <c r="W285">
        <v>1</v>
      </c>
      <c r="X285">
        <v>1</v>
      </c>
      <c r="Y285">
        <v>1</v>
      </c>
      <c r="Z285">
        <v>1</v>
      </c>
      <c r="AA285">
        <v>1</v>
      </c>
      <c r="AB285">
        <v>1</v>
      </c>
      <c r="AC285">
        <v>1</v>
      </c>
      <c r="AD285">
        <v>1</v>
      </c>
      <c r="AE285">
        <v>1</v>
      </c>
      <c r="AF285">
        <v>1</v>
      </c>
      <c r="AG285">
        <v>1</v>
      </c>
      <c r="AH285">
        <v>1</v>
      </c>
      <c r="AI285">
        <v>1</v>
      </c>
      <c r="AJ285">
        <v>1</v>
      </c>
      <c r="AK285">
        <v>1</v>
      </c>
      <c r="AL285">
        <v>1</v>
      </c>
      <c r="AM285">
        <v>1</v>
      </c>
      <c r="AN285">
        <v>1</v>
      </c>
      <c r="AO285">
        <v>1</v>
      </c>
      <c r="AP285">
        <v>1</v>
      </c>
      <c r="AQ285">
        <v>1</v>
      </c>
      <c r="AR285">
        <v>1</v>
      </c>
      <c r="AS285">
        <v>1</v>
      </c>
      <c r="AT285">
        <v>1</v>
      </c>
      <c r="AU285">
        <v>1</v>
      </c>
      <c r="AV285">
        <v>1</v>
      </c>
      <c r="AW285">
        <v>1</v>
      </c>
      <c r="AX285">
        <v>1</v>
      </c>
      <c r="AY285">
        <v>1</v>
      </c>
      <c r="AZ285">
        <v>1</v>
      </c>
      <c r="BA285">
        <v>1</v>
      </c>
      <c r="BB285">
        <v>1</v>
      </c>
      <c r="BC285">
        <v>1</v>
      </c>
      <c r="BD285">
        <v>1</v>
      </c>
      <c r="BE285">
        <v>1</v>
      </c>
      <c r="BF285">
        <v>1</v>
      </c>
      <c r="BG285">
        <v>1</v>
      </c>
      <c r="BH285">
        <v>1</v>
      </c>
      <c r="BI285">
        <v>1</v>
      </c>
      <c r="BJ285">
        <v>-1</v>
      </c>
      <c r="BK285">
        <v>-1</v>
      </c>
      <c r="BL285">
        <v>-1</v>
      </c>
    </row>
    <row r="286" spans="1:64" x14ac:dyDescent="0.2">
      <c r="A286" t="s">
        <v>863</v>
      </c>
      <c r="B286">
        <v>1</v>
      </c>
      <c r="C286" s="2">
        <f>'vehicles specifications'!S152</f>
        <v>53</v>
      </c>
      <c r="D286">
        <v>1</v>
      </c>
      <c r="E286">
        <v>1</v>
      </c>
      <c r="F286">
        <f>1+'vehicles specifications'!AD152</f>
        <v>1.5</v>
      </c>
      <c r="G286">
        <f>1+'vehicles specifications'!AD152</f>
        <v>1.5</v>
      </c>
      <c r="J286">
        <v>1</v>
      </c>
      <c r="K286">
        <f>1/('fuels and tailpipe emissions'!$C$3*3.6)</f>
        <v>2.3474178403755867E-2</v>
      </c>
      <c r="L286">
        <f>1/3.6</f>
        <v>0.2777777777777778</v>
      </c>
      <c r="M286">
        <f>1/'vehicles specifications'!J152</f>
        <v>4.0000000000000003E-5</v>
      </c>
      <c r="N286">
        <v>1</v>
      </c>
      <c r="O286">
        <f>1</f>
        <v>1</v>
      </c>
      <c r="P286">
        <v>1</v>
      </c>
      <c r="Q286">
        <v>1</v>
      </c>
      <c r="R286">
        <f>-1-'vehicles specifications'!AD152</f>
        <v>-1.5</v>
      </c>
      <c r="S286">
        <v>1</v>
      </c>
      <c r="T286">
        <v>1</v>
      </c>
      <c r="U286">
        <v>1</v>
      </c>
      <c r="V286">
        <v>1</v>
      </c>
      <c r="W286">
        <v>1</v>
      </c>
      <c r="X286">
        <v>1</v>
      </c>
      <c r="Y286">
        <v>1</v>
      </c>
      <c r="Z286">
        <v>1</v>
      </c>
      <c r="AA286">
        <v>1</v>
      </c>
      <c r="AB286">
        <v>1</v>
      </c>
      <c r="AC286">
        <v>1</v>
      </c>
      <c r="AD286">
        <v>1</v>
      </c>
      <c r="AE286">
        <v>1</v>
      </c>
      <c r="AF286">
        <v>1</v>
      </c>
      <c r="AG286">
        <v>1</v>
      </c>
      <c r="AH286">
        <v>1</v>
      </c>
      <c r="AI286">
        <v>1</v>
      </c>
      <c r="AJ286">
        <v>1</v>
      </c>
      <c r="AK286">
        <v>1</v>
      </c>
      <c r="AL286">
        <v>1</v>
      </c>
      <c r="AM286">
        <v>1</v>
      </c>
      <c r="AN286">
        <v>1</v>
      </c>
      <c r="AO286">
        <v>1</v>
      </c>
      <c r="AP286">
        <v>1</v>
      </c>
      <c r="AQ286">
        <v>1</v>
      </c>
      <c r="AR286">
        <v>1</v>
      </c>
      <c r="AS286">
        <v>1</v>
      </c>
      <c r="AT286">
        <v>1</v>
      </c>
      <c r="AU286">
        <v>1</v>
      </c>
      <c r="AV286">
        <v>1</v>
      </c>
      <c r="AW286">
        <v>1</v>
      </c>
      <c r="AX286">
        <v>1</v>
      </c>
      <c r="AY286">
        <v>1</v>
      </c>
      <c r="AZ286">
        <v>1</v>
      </c>
      <c r="BA286">
        <v>1</v>
      </c>
      <c r="BB286">
        <v>1</v>
      </c>
      <c r="BC286">
        <v>1</v>
      </c>
      <c r="BD286">
        <v>1</v>
      </c>
      <c r="BE286">
        <v>1</v>
      </c>
      <c r="BF286">
        <v>1</v>
      </c>
      <c r="BG286">
        <v>1</v>
      </c>
      <c r="BH286">
        <v>1</v>
      </c>
      <c r="BI286">
        <v>1</v>
      </c>
      <c r="BJ286">
        <v>-1</v>
      </c>
      <c r="BK286">
        <v>-1</v>
      </c>
      <c r="BL286">
        <v>-1</v>
      </c>
    </row>
    <row r="287" spans="1:64" x14ac:dyDescent="0.2">
      <c r="A287" t="s">
        <v>864</v>
      </c>
      <c r="B287">
        <v>1</v>
      </c>
      <c r="C287" s="2">
        <f>'vehicles specifications'!S153</f>
        <v>53</v>
      </c>
      <c r="D287">
        <v>1</v>
      </c>
      <c r="E287">
        <v>1</v>
      </c>
      <c r="F287">
        <f>1+'vehicles specifications'!AD153</f>
        <v>1.25</v>
      </c>
      <c r="G287">
        <f>1+'vehicles specifications'!AD153</f>
        <v>1.25</v>
      </c>
      <c r="J287">
        <v>1</v>
      </c>
      <c r="K287">
        <f>1/('fuels and tailpipe emissions'!$C$3*3.6)</f>
        <v>2.3474178403755867E-2</v>
      </c>
      <c r="L287">
        <f>1/3.6</f>
        <v>0.2777777777777778</v>
      </c>
      <c r="M287">
        <f>1/'vehicles specifications'!J153</f>
        <v>4.0000000000000003E-5</v>
      </c>
      <c r="N287">
        <v>1</v>
      </c>
      <c r="O287">
        <f>1</f>
        <v>1</v>
      </c>
      <c r="P287">
        <v>1</v>
      </c>
      <c r="Q287">
        <v>1</v>
      </c>
      <c r="R287">
        <f>-1-'vehicles specifications'!AD153</f>
        <v>-1.25</v>
      </c>
      <c r="S287">
        <v>1</v>
      </c>
      <c r="T287">
        <v>1</v>
      </c>
      <c r="U287">
        <v>1</v>
      </c>
      <c r="V287">
        <v>1</v>
      </c>
      <c r="W287">
        <v>1</v>
      </c>
      <c r="X287">
        <v>1</v>
      </c>
      <c r="Y287">
        <v>1</v>
      </c>
      <c r="Z287">
        <v>1</v>
      </c>
      <c r="AA287">
        <v>1</v>
      </c>
      <c r="AB287">
        <v>1</v>
      </c>
      <c r="AC287">
        <v>1</v>
      </c>
      <c r="AD287">
        <v>1</v>
      </c>
      <c r="AE287">
        <v>1</v>
      </c>
      <c r="AF287">
        <v>1</v>
      </c>
      <c r="AG287">
        <v>1</v>
      </c>
      <c r="AH287">
        <v>1</v>
      </c>
      <c r="AI287">
        <v>1</v>
      </c>
      <c r="AJ287">
        <v>1</v>
      </c>
      <c r="AK287">
        <v>1</v>
      </c>
      <c r="AL287">
        <v>1</v>
      </c>
      <c r="AM287">
        <v>1</v>
      </c>
      <c r="AN287">
        <v>1</v>
      </c>
      <c r="AO287">
        <v>1</v>
      </c>
      <c r="AP287">
        <v>1</v>
      </c>
      <c r="AQ287">
        <v>1</v>
      </c>
      <c r="AR287">
        <v>1</v>
      </c>
      <c r="AS287">
        <v>1</v>
      </c>
      <c r="AT287">
        <v>1</v>
      </c>
      <c r="AU287">
        <v>1</v>
      </c>
      <c r="AV287">
        <v>1</v>
      </c>
      <c r="AW287">
        <v>1</v>
      </c>
      <c r="AX287">
        <v>1</v>
      </c>
      <c r="AY287">
        <v>1</v>
      </c>
      <c r="AZ287">
        <v>1</v>
      </c>
      <c r="BA287">
        <v>1</v>
      </c>
      <c r="BB287">
        <v>1</v>
      </c>
      <c r="BC287">
        <v>1</v>
      </c>
      <c r="BD287">
        <v>1</v>
      </c>
      <c r="BE287">
        <v>1</v>
      </c>
      <c r="BF287">
        <v>1</v>
      </c>
      <c r="BG287">
        <v>1</v>
      </c>
      <c r="BH287">
        <v>1</v>
      </c>
      <c r="BI287">
        <v>1</v>
      </c>
      <c r="BJ287">
        <v>-1</v>
      </c>
      <c r="BK287">
        <v>-1</v>
      </c>
      <c r="BL287">
        <v>-1</v>
      </c>
    </row>
    <row r="288" spans="1:64" x14ac:dyDescent="0.2">
      <c r="A288" t="s">
        <v>865</v>
      </c>
      <c r="B288">
        <v>1</v>
      </c>
      <c r="C288" s="2">
        <f>'vehicles specifications'!S154</f>
        <v>53</v>
      </c>
      <c r="D288">
        <v>1</v>
      </c>
      <c r="E288">
        <v>1</v>
      </c>
      <c r="F288">
        <f>1+'vehicles specifications'!AD154</f>
        <v>1</v>
      </c>
      <c r="G288">
        <f>1+'vehicles specifications'!AD154</f>
        <v>1</v>
      </c>
      <c r="J288">
        <v>1</v>
      </c>
      <c r="K288">
        <f>1/('fuels and tailpipe emissions'!$C$3*3.6)</f>
        <v>2.3474178403755867E-2</v>
      </c>
      <c r="L288">
        <f>1/3.6</f>
        <v>0.2777777777777778</v>
      </c>
      <c r="M288">
        <f>1/'vehicles specifications'!J154</f>
        <v>4.0000000000000003E-5</v>
      </c>
      <c r="N288">
        <v>1</v>
      </c>
      <c r="O288">
        <f>1</f>
        <v>1</v>
      </c>
      <c r="P288">
        <v>1</v>
      </c>
      <c r="Q288">
        <v>1</v>
      </c>
      <c r="R288">
        <f>-1-'vehicles specifications'!AD154</f>
        <v>-1</v>
      </c>
      <c r="S288">
        <v>1</v>
      </c>
      <c r="T288">
        <v>1</v>
      </c>
      <c r="U288">
        <v>1</v>
      </c>
      <c r="V288">
        <v>1</v>
      </c>
      <c r="W288">
        <v>1</v>
      </c>
      <c r="X288">
        <v>1</v>
      </c>
      <c r="Y288">
        <v>1</v>
      </c>
      <c r="Z288">
        <v>1</v>
      </c>
      <c r="AA288">
        <v>1</v>
      </c>
      <c r="AB288">
        <v>1</v>
      </c>
      <c r="AC288">
        <v>1</v>
      </c>
      <c r="AD288">
        <v>1</v>
      </c>
      <c r="AE288">
        <v>1</v>
      </c>
      <c r="AF288">
        <v>1</v>
      </c>
      <c r="AG288">
        <v>1</v>
      </c>
      <c r="AH288">
        <v>1</v>
      </c>
      <c r="AI288">
        <v>1</v>
      </c>
      <c r="AJ288">
        <v>1</v>
      </c>
      <c r="AK288">
        <v>1</v>
      </c>
      <c r="AL288">
        <v>1</v>
      </c>
      <c r="AM288">
        <v>1</v>
      </c>
      <c r="AN288">
        <v>1</v>
      </c>
      <c r="AO288">
        <v>1</v>
      </c>
      <c r="AP288">
        <v>1</v>
      </c>
      <c r="AQ288">
        <v>1</v>
      </c>
      <c r="AR288">
        <v>1</v>
      </c>
      <c r="AS288">
        <v>1</v>
      </c>
      <c r="AT288">
        <v>1</v>
      </c>
      <c r="AU288">
        <v>1</v>
      </c>
      <c r="AV288">
        <v>1</v>
      </c>
      <c r="AW288">
        <v>1</v>
      </c>
      <c r="AX288">
        <v>1</v>
      </c>
      <c r="AY288">
        <v>1</v>
      </c>
      <c r="AZ288">
        <v>1</v>
      </c>
      <c r="BA288">
        <v>1</v>
      </c>
      <c r="BB288">
        <v>1</v>
      </c>
      <c r="BC288">
        <v>1</v>
      </c>
      <c r="BD288">
        <v>1</v>
      </c>
      <c r="BE288">
        <v>1</v>
      </c>
      <c r="BF288">
        <v>1</v>
      </c>
      <c r="BG288">
        <v>1</v>
      </c>
      <c r="BH288">
        <v>1</v>
      </c>
      <c r="BI288">
        <v>1</v>
      </c>
      <c r="BJ288">
        <v>-1</v>
      </c>
      <c r="BK288">
        <v>-1</v>
      </c>
      <c r="BL288">
        <v>-1</v>
      </c>
    </row>
    <row r="289" spans="1:64" x14ac:dyDescent="0.2">
      <c r="A289" t="s">
        <v>866</v>
      </c>
      <c r="B289">
        <v>1</v>
      </c>
      <c r="C289" s="2">
        <f>'vehicles specifications'!S155</f>
        <v>65.433826960328489</v>
      </c>
      <c r="D289">
        <v>1</v>
      </c>
      <c r="E289">
        <v>1</v>
      </c>
      <c r="F289">
        <f>1+'vehicles specifications'!AD155</f>
        <v>2</v>
      </c>
      <c r="G289">
        <f>1+'vehicles specifications'!AD155</f>
        <v>2</v>
      </c>
      <c r="J289">
        <v>1</v>
      </c>
      <c r="K289">
        <f>1/('fuels and tailpipe emissions'!$C$3*3.6)</f>
        <v>2.3474178403755867E-2</v>
      </c>
      <c r="L289">
        <f>1/3.6</f>
        <v>0.2777777777777778</v>
      </c>
      <c r="M289">
        <f>1/'vehicles specifications'!J155</f>
        <v>4.0000000000000003E-5</v>
      </c>
      <c r="N289">
        <v>1</v>
      </c>
      <c r="O289">
        <f>1</f>
        <v>1</v>
      </c>
      <c r="P289">
        <v>1</v>
      </c>
      <c r="Q289">
        <v>1</v>
      </c>
      <c r="R289">
        <f>-1-'vehicles specifications'!AD155</f>
        <v>-2</v>
      </c>
      <c r="S289">
        <v>1</v>
      </c>
      <c r="T289">
        <v>1</v>
      </c>
      <c r="U289">
        <v>1</v>
      </c>
      <c r="V289">
        <v>1</v>
      </c>
      <c r="W289">
        <v>1</v>
      </c>
      <c r="X289">
        <v>1</v>
      </c>
      <c r="Y289">
        <v>1</v>
      </c>
      <c r="Z289">
        <v>1</v>
      </c>
      <c r="AA289">
        <v>1</v>
      </c>
      <c r="AB289">
        <v>1</v>
      </c>
      <c r="AC289">
        <v>1</v>
      </c>
      <c r="AD289">
        <v>1</v>
      </c>
      <c r="AE289">
        <v>1</v>
      </c>
      <c r="AF289">
        <v>1</v>
      </c>
      <c r="AG289">
        <v>1</v>
      </c>
      <c r="AH289">
        <v>1</v>
      </c>
      <c r="AI289">
        <v>1</v>
      </c>
      <c r="AJ289">
        <v>1</v>
      </c>
      <c r="AK289">
        <v>1</v>
      </c>
      <c r="AL289">
        <v>1</v>
      </c>
      <c r="AM289">
        <v>1</v>
      </c>
      <c r="AN289">
        <v>1</v>
      </c>
      <c r="AO289">
        <v>1</v>
      </c>
      <c r="AP289">
        <v>1</v>
      </c>
      <c r="AQ289">
        <v>1</v>
      </c>
      <c r="AR289">
        <v>1</v>
      </c>
      <c r="AS289">
        <v>1</v>
      </c>
      <c r="AT289">
        <v>1</v>
      </c>
      <c r="AU289">
        <v>1</v>
      </c>
      <c r="AV289">
        <v>1</v>
      </c>
      <c r="AW289">
        <v>1</v>
      </c>
      <c r="AX289">
        <v>1</v>
      </c>
      <c r="AY289">
        <v>1</v>
      </c>
      <c r="AZ289">
        <v>1</v>
      </c>
      <c r="BA289">
        <v>1</v>
      </c>
      <c r="BB289">
        <v>1</v>
      </c>
      <c r="BC289">
        <v>1</v>
      </c>
      <c r="BD289">
        <v>1</v>
      </c>
      <c r="BE289">
        <v>1</v>
      </c>
      <c r="BF289">
        <v>1</v>
      </c>
      <c r="BG289">
        <v>1</v>
      </c>
      <c r="BH289">
        <v>1</v>
      </c>
      <c r="BI289">
        <v>1</v>
      </c>
      <c r="BJ289">
        <v>-1</v>
      </c>
      <c r="BK289">
        <v>-1</v>
      </c>
      <c r="BL289">
        <v>-1</v>
      </c>
    </row>
    <row r="290" spans="1:64" x14ac:dyDescent="0.2">
      <c r="A290" t="s">
        <v>867</v>
      </c>
      <c r="B290">
        <v>1</v>
      </c>
      <c r="C290" s="2">
        <f>'vehicles specifications'!S156</f>
        <v>65.433826960328489</v>
      </c>
      <c r="D290">
        <v>1</v>
      </c>
      <c r="E290">
        <v>1</v>
      </c>
      <c r="F290">
        <f>1+'vehicles specifications'!AD156</f>
        <v>1.5</v>
      </c>
      <c r="G290">
        <f>1+'vehicles specifications'!AD156</f>
        <v>1.5</v>
      </c>
      <c r="J290">
        <v>1</v>
      </c>
      <c r="K290">
        <f>1/('fuels and tailpipe emissions'!$C$3*3.6)</f>
        <v>2.3474178403755867E-2</v>
      </c>
      <c r="L290">
        <f>1/3.6</f>
        <v>0.2777777777777778</v>
      </c>
      <c r="M290">
        <f>1/'vehicles specifications'!J156</f>
        <v>4.0000000000000003E-5</v>
      </c>
      <c r="N290">
        <v>1</v>
      </c>
      <c r="O290">
        <f>1</f>
        <v>1</v>
      </c>
      <c r="P290">
        <v>1</v>
      </c>
      <c r="Q290">
        <v>1</v>
      </c>
      <c r="R290">
        <f>-1-'vehicles specifications'!AD156</f>
        <v>-1.5</v>
      </c>
      <c r="S290">
        <v>1</v>
      </c>
      <c r="T290">
        <v>1</v>
      </c>
      <c r="U290">
        <v>1</v>
      </c>
      <c r="V290">
        <v>1</v>
      </c>
      <c r="W290">
        <v>1</v>
      </c>
      <c r="X290">
        <v>1</v>
      </c>
      <c r="Y290">
        <v>1</v>
      </c>
      <c r="Z290">
        <v>1</v>
      </c>
      <c r="AA290">
        <v>1</v>
      </c>
      <c r="AB290">
        <v>1</v>
      </c>
      <c r="AC290">
        <v>1</v>
      </c>
      <c r="AD290">
        <v>1</v>
      </c>
      <c r="AE290">
        <v>1</v>
      </c>
      <c r="AF290">
        <v>1</v>
      </c>
      <c r="AG290">
        <v>1</v>
      </c>
      <c r="AH290">
        <v>1</v>
      </c>
      <c r="AI290">
        <v>1</v>
      </c>
      <c r="AJ290">
        <v>1</v>
      </c>
      <c r="AK290">
        <v>1</v>
      </c>
      <c r="AL290">
        <v>1</v>
      </c>
      <c r="AM290">
        <v>1</v>
      </c>
      <c r="AN290">
        <v>1</v>
      </c>
      <c r="AO290">
        <v>1</v>
      </c>
      <c r="AP290">
        <v>1</v>
      </c>
      <c r="AQ290">
        <v>1</v>
      </c>
      <c r="AR290">
        <v>1</v>
      </c>
      <c r="AS290">
        <v>1</v>
      </c>
      <c r="AT290">
        <v>1</v>
      </c>
      <c r="AU290">
        <v>1</v>
      </c>
      <c r="AV290">
        <v>1</v>
      </c>
      <c r="AW290">
        <v>1</v>
      </c>
      <c r="AX290">
        <v>1</v>
      </c>
      <c r="AY290">
        <v>1</v>
      </c>
      <c r="AZ290">
        <v>1</v>
      </c>
      <c r="BA290">
        <v>1</v>
      </c>
      <c r="BB290">
        <v>1</v>
      </c>
      <c r="BC290">
        <v>1</v>
      </c>
      <c r="BD290">
        <v>1</v>
      </c>
      <c r="BE290">
        <v>1</v>
      </c>
      <c r="BF290">
        <v>1</v>
      </c>
      <c r="BG290">
        <v>1</v>
      </c>
      <c r="BH290">
        <v>1</v>
      </c>
      <c r="BI290">
        <v>1</v>
      </c>
      <c r="BJ290">
        <v>-1</v>
      </c>
      <c r="BK290">
        <v>-1</v>
      </c>
      <c r="BL290">
        <v>-1</v>
      </c>
    </row>
    <row r="291" spans="1:64" x14ac:dyDescent="0.2">
      <c r="A291" t="s">
        <v>868</v>
      </c>
      <c r="B291">
        <v>1</v>
      </c>
      <c r="C291" s="2">
        <f>'vehicles specifications'!S157</f>
        <v>65.433826960328489</v>
      </c>
      <c r="D291">
        <v>1</v>
      </c>
      <c r="E291">
        <v>1</v>
      </c>
      <c r="F291">
        <f>1+'vehicles specifications'!AD157</f>
        <v>1.25</v>
      </c>
      <c r="G291">
        <f>1+'vehicles specifications'!AD157</f>
        <v>1.25</v>
      </c>
      <c r="J291">
        <v>1</v>
      </c>
      <c r="K291">
        <f>1/('fuels and tailpipe emissions'!$C$3*3.6)</f>
        <v>2.3474178403755867E-2</v>
      </c>
      <c r="L291">
        <f>1/3.6</f>
        <v>0.2777777777777778</v>
      </c>
      <c r="M291">
        <f>1/'vehicles specifications'!J157</f>
        <v>4.0000000000000003E-5</v>
      </c>
      <c r="N291">
        <v>1</v>
      </c>
      <c r="O291">
        <f>1</f>
        <v>1</v>
      </c>
      <c r="P291">
        <v>1</v>
      </c>
      <c r="Q291">
        <v>1</v>
      </c>
      <c r="R291">
        <f>-1-'vehicles specifications'!AD157</f>
        <v>-1.25</v>
      </c>
      <c r="S291">
        <v>1</v>
      </c>
      <c r="T291">
        <v>1</v>
      </c>
      <c r="U291">
        <v>1</v>
      </c>
      <c r="V291">
        <v>1</v>
      </c>
      <c r="W291">
        <v>1</v>
      </c>
      <c r="X291">
        <v>1</v>
      </c>
      <c r="Y291">
        <v>1</v>
      </c>
      <c r="Z291">
        <v>1</v>
      </c>
      <c r="AA291">
        <v>1</v>
      </c>
      <c r="AB291">
        <v>1</v>
      </c>
      <c r="AC291">
        <v>1</v>
      </c>
      <c r="AD291">
        <v>1</v>
      </c>
      <c r="AE291">
        <v>1</v>
      </c>
      <c r="AF291">
        <v>1</v>
      </c>
      <c r="AG291">
        <v>1</v>
      </c>
      <c r="AH291">
        <v>1</v>
      </c>
      <c r="AI291">
        <v>1</v>
      </c>
      <c r="AJ291">
        <v>1</v>
      </c>
      <c r="AK291">
        <v>1</v>
      </c>
      <c r="AL291">
        <v>1</v>
      </c>
      <c r="AM291">
        <v>1</v>
      </c>
      <c r="AN291">
        <v>1</v>
      </c>
      <c r="AO291">
        <v>1</v>
      </c>
      <c r="AP291">
        <v>1</v>
      </c>
      <c r="AQ291">
        <v>1</v>
      </c>
      <c r="AR291">
        <v>1</v>
      </c>
      <c r="AS291">
        <v>1</v>
      </c>
      <c r="AT291">
        <v>1</v>
      </c>
      <c r="AU291">
        <v>1</v>
      </c>
      <c r="AV291">
        <v>1</v>
      </c>
      <c r="AW291">
        <v>1</v>
      </c>
      <c r="AX291">
        <v>1</v>
      </c>
      <c r="AY291">
        <v>1</v>
      </c>
      <c r="AZ291">
        <v>1</v>
      </c>
      <c r="BA291">
        <v>1</v>
      </c>
      <c r="BB291">
        <v>1</v>
      </c>
      <c r="BC291">
        <v>1</v>
      </c>
      <c r="BD291">
        <v>1</v>
      </c>
      <c r="BE291">
        <v>1</v>
      </c>
      <c r="BF291">
        <v>1</v>
      </c>
      <c r="BG291">
        <v>1</v>
      </c>
      <c r="BH291">
        <v>1</v>
      </c>
      <c r="BI291">
        <v>1</v>
      </c>
      <c r="BJ291">
        <v>-1</v>
      </c>
      <c r="BK291">
        <v>-1</v>
      </c>
      <c r="BL291">
        <v>-1</v>
      </c>
    </row>
    <row r="292" spans="1:64" x14ac:dyDescent="0.2">
      <c r="A292" t="s">
        <v>869</v>
      </c>
      <c r="B292">
        <v>1</v>
      </c>
      <c r="C292" s="2">
        <f>'vehicles specifications'!S158</f>
        <v>65.433826960328489</v>
      </c>
      <c r="D292">
        <v>1</v>
      </c>
      <c r="E292">
        <v>1</v>
      </c>
      <c r="F292">
        <f>1+'vehicles specifications'!AD158</f>
        <v>1</v>
      </c>
      <c r="G292">
        <f>1+'vehicles specifications'!AD158</f>
        <v>1</v>
      </c>
      <c r="J292">
        <v>1</v>
      </c>
      <c r="K292">
        <f>1/('fuels and tailpipe emissions'!$C$3*3.6)</f>
        <v>2.3474178403755867E-2</v>
      </c>
      <c r="L292">
        <f>1/3.6</f>
        <v>0.2777777777777778</v>
      </c>
      <c r="M292">
        <f>1/'vehicles specifications'!J158</f>
        <v>4.0000000000000003E-5</v>
      </c>
      <c r="N292">
        <v>1</v>
      </c>
      <c r="O292">
        <f>1</f>
        <v>1</v>
      </c>
      <c r="P292">
        <v>1</v>
      </c>
      <c r="Q292">
        <v>1</v>
      </c>
      <c r="R292">
        <f>-1-'vehicles specifications'!AD158</f>
        <v>-1</v>
      </c>
      <c r="S292">
        <v>1</v>
      </c>
      <c r="T292">
        <v>1</v>
      </c>
      <c r="U292">
        <v>1</v>
      </c>
      <c r="V292">
        <v>1</v>
      </c>
      <c r="W292">
        <v>1</v>
      </c>
      <c r="X292">
        <v>1</v>
      </c>
      <c r="Y292">
        <v>1</v>
      </c>
      <c r="Z292">
        <v>1</v>
      </c>
      <c r="AA292">
        <v>1</v>
      </c>
      <c r="AB292">
        <v>1</v>
      </c>
      <c r="AC292">
        <v>1</v>
      </c>
      <c r="AD292">
        <v>1</v>
      </c>
      <c r="AE292">
        <v>1</v>
      </c>
      <c r="AF292">
        <v>1</v>
      </c>
      <c r="AG292">
        <v>1</v>
      </c>
      <c r="AH292">
        <v>1</v>
      </c>
      <c r="AI292">
        <v>1</v>
      </c>
      <c r="AJ292">
        <v>1</v>
      </c>
      <c r="AK292">
        <v>1</v>
      </c>
      <c r="AL292">
        <v>1</v>
      </c>
      <c r="AM292">
        <v>1</v>
      </c>
      <c r="AN292">
        <v>1</v>
      </c>
      <c r="AO292">
        <v>1</v>
      </c>
      <c r="AP292">
        <v>1</v>
      </c>
      <c r="AQ292">
        <v>1</v>
      </c>
      <c r="AR292">
        <v>1</v>
      </c>
      <c r="AS292">
        <v>1</v>
      </c>
      <c r="AT292">
        <v>1</v>
      </c>
      <c r="AU292">
        <v>1</v>
      </c>
      <c r="AV292">
        <v>1</v>
      </c>
      <c r="AW292">
        <v>1</v>
      </c>
      <c r="AX292">
        <v>1</v>
      </c>
      <c r="AY292">
        <v>1</v>
      </c>
      <c r="AZ292">
        <v>1</v>
      </c>
      <c r="BA292">
        <v>1</v>
      </c>
      <c r="BB292">
        <v>1</v>
      </c>
      <c r="BC292">
        <v>1</v>
      </c>
      <c r="BD292">
        <v>1</v>
      </c>
      <c r="BE292">
        <v>1</v>
      </c>
      <c r="BF292">
        <v>1</v>
      </c>
      <c r="BG292">
        <v>1</v>
      </c>
      <c r="BH292">
        <v>1</v>
      </c>
      <c r="BI292">
        <v>1</v>
      </c>
      <c r="BJ292">
        <v>-1</v>
      </c>
      <c r="BK292">
        <v>-1</v>
      </c>
      <c r="BL292">
        <v>-1</v>
      </c>
    </row>
    <row r="293" spans="1:64" x14ac:dyDescent="0.2">
      <c r="A293" t="s">
        <v>870</v>
      </c>
      <c r="B293">
        <v>1</v>
      </c>
      <c r="C293" s="2">
        <f>'vehicles specifications'!S159</f>
        <v>81</v>
      </c>
      <c r="D293">
        <v>1</v>
      </c>
      <c r="E293">
        <v>1</v>
      </c>
      <c r="F293">
        <f>1+'vehicles specifications'!AD159</f>
        <v>2</v>
      </c>
      <c r="G293">
        <f>1+'vehicles specifications'!AD159</f>
        <v>2</v>
      </c>
      <c r="J293">
        <v>1</v>
      </c>
      <c r="K293">
        <f>1/('fuels and tailpipe emissions'!$C$3*3.6)</f>
        <v>2.3474178403755867E-2</v>
      </c>
      <c r="L293">
        <f>1/3.6</f>
        <v>0.2777777777777778</v>
      </c>
      <c r="M293">
        <f>1/'vehicles specifications'!J159</f>
        <v>2.5974025974025975E-5</v>
      </c>
      <c r="N293">
        <v>1</v>
      </c>
      <c r="O293">
        <f>1</f>
        <v>1</v>
      </c>
      <c r="P293">
        <v>1</v>
      </c>
      <c r="Q293">
        <v>1</v>
      </c>
      <c r="R293">
        <f>-1-'vehicles specifications'!AD159</f>
        <v>-2</v>
      </c>
      <c r="S293">
        <v>1</v>
      </c>
      <c r="T293">
        <v>1</v>
      </c>
      <c r="U293">
        <v>1</v>
      </c>
      <c r="V293">
        <v>1</v>
      </c>
      <c r="W293">
        <v>1</v>
      </c>
      <c r="X293">
        <v>1</v>
      </c>
      <c r="Y293">
        <v>1</v>
      </c>
      <c r="Z293">
        <v>1</v>
      </c>
      <c r="AA293">
        <v>1</v>
      </c>
      <c r="AB293">
        <v>1</v>
      </c>
      <c r="AC293">
        <v>1</v>
      </c>
      <c r="AD293">
        <v>1</v>
      </c>
      <c r="AE293">
        <v>1</v>
      </c>
      <c r="AF293">
        <v>1</v>
      </c>
      <c r="AG293">
        <v>1</v>
      </c>
      <c r="AH293">
        <v>1</v>
      </c>
      <c r="AI293">
        <v>1</v>
      </c>
      <c r="AJ293">
        <v>1</v>
      </c>
      <c r="AK293">
        <v>1</v>
      </c>
      <c r="AL293">
        <v>1</v>
      </c>
      <c r="AM293">
        <v>1</v>
      </c>
      <c r="AN293">
        <v>1</v>
      </c>
      <c r="AO293">
        <v>1</v>
      </c>
      <c r="AP293">
        <v>1</v>
      </c>
      <c r="AQ293">
        <v>1</v>
      </c>
      <c r="AR293">
        <v>1</v>
      </c>
      <c r="AS293">
        <v>1</v>
      </c>
      <c r="AT293">
        <v>1</v>
      </c>
      <c r="AU293">
        <v>1</v>
      </c>
      <c r="AV293">
        <v>1</v>
      </c>
      <c r="AW293">
        <v>1</v>
      </c>
      <c r="AX293">
        <v>1</v>
      </c>
      <c r="AY293">
        <v>1</v>
      </c>
      <c r="AZ293">
        <v>1</v>
      </c>
      <c r="BA293">
        <v>1</v>
      </c>
      <c r="BB293">
        <v>1</v>
      </c>
      <c r="BC293">
        <v>1</v>
      </c>
      <c r="BD293">
        <v>1</v>
      </c>
      <c r="BE293">
        <v>1</v>
      </c>
      <c r="BF293">
        <v>1</v>
      </c>
      <c r="BG293">
        <v>1</v>
      </c>
      <c r="BH293">
        <v>1</v>
      </c>
      <c r="BI293">
        <v>1</v>
      </c>
      <c r="BJ293">
        <v>-1</v>
      </c>
      <c r="BK293">
        <v>-1</v>
      </c>
      <c r="BL293">
        <v>-1</v>
      </c>
    </row>
    <row r="294" spans="1:64" x14ac:dyDescent="0.2">
      <c r="A294" t="s">
        <v>871</v>
      </c>
      <c r="B294">
        <v>1</v>
      </c>
      <c r="C294" s="2">
        <f>'vehicles specifications'!S160</f>
        <v>81</v>
      </c>
      <c r="D294">
        <v>1</v>
      </c>
      <c r="E294">
        <v>1</v>
      </c>
      <c r="F294">
        <f>1+'vehicles specifications'!AD160</f>
        <v>1.5</v>
      </c>
      <c r="G294">
        <f>1+'vehicles specifications'!AD160</f>
        <v>1.5</v>
      </c>
      <c r="J294">
        <v>1</v>
      </c>
      <c r="K294">
        <f>1/('fuels and tailpipe emissions'!$C$3*3.6)</f>
        <v>2.3474178403755867E-2</v>
      </c>
      <c r="L294">
        <f>1/3.6</f>
        <v>0.2777777777777778</v>
      </c>
      <c r="M294">
        <f>1/'vehicles specifications'!J160</f>
        <v>2.5974025974025975E-5</v>
      </c>
      <c r="N294">
        <v>1</v>
      </c>
      <c r="O294">
        <f>1</f>
        <v>1</v>
      </c>
      <c r="P294">
        <v>1</v>
      </c>
      <c r="Q294">
        <v>1</v>
      </c>
      <c r="R294">
        <f>-1-'vehicles specifications'!AD160</f>
        <v>-1.5</v>
      </c>
      <c r="S294">
        <v>1</v>
      </c>
      <c r="T294">
        <v>1</v>
      </c>
      <c r="U294">
        <v>1</v>
      </c>
      <c r="V294">
        <v>1</v>
      </c>
      <c r="W294">
        <v>1</v>
      </c>
      <c r="X294">
        <v>1</v>
      </c>
      <c r="Y294">
        <v>1</v>
      </c>
      <c r="Z294">
        <v>1</v>
      </c>
      <c r="AA294">
        <v>1</v>
      </c>
      <c r="AB294">
        <v>1</v>
      </c>
      <c r="AC294">
        <v>1</v>
      </c>
      <c r="AD294">
        <v>1</v>
      </c>
      <c r="AE294">
        <v>1</v>
      </c>
      <c r="AF294">
        <v>1</v>
      </c>
      <c r="AG294">
        <v>1</v>
      </c>
      <c r="AH294">
        <v>1</v>
      </c>
      <c r="AI294">
        <v>1</v>
      </c>
      <c r="AJ294">
        <v>1</v>
      </c>
      <c r="AK294">
        <v>1</v>
      </c>
      <c r="AL294">
        <v>1</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64" x14ac:dyDescent="0.2">
      <c r="A295" t="s">
        <v>872</v>
      </c>
      <c r="B295">
        <v>1</v>
      </c>
      <c r="C295" s="2">
        <f>'vehicles specifications'!S161</f>
        <v>81</v>
      </c>
      <c r="D295">
        <v>1</v>
      </c>
      <c r="E295">
        <v>1</v>
      </c>
      <c r="F295">
        <f>1+'vehicles specifications'!AD161</f>
        <v>1.25</v>
      </c>
      <c r="G295">
        <f>1+'vehicles specifications'!AD161</f>
        <v>1.25</v>
      </c>
      <c r="J295">
        <v>1</v>
      </c>
      <c r="K295">
        <f>1/('fuels and tailpipe emissions'!$C$3*3.6)</f>
        <v>2.3474178403755867E-2</v>
      </c>
      <c r="L295">
        <f>1/3.6</f>
        <v>0.2777777777777778</v>
      </c>
      <c r="M295">
        <f>1/'vehicles specifications'!J161</f>
        <v>2.5974025974025975E-5</v>
      </c>
      <c r="N295">
        <v>1</v>
      </c>
      <c r="O295">
        <f>1</f>
        <v>1</v>
      </c>
      <c r="P295">
        <v>1</v>
      </c>
      <c r="Q295">
        <v>1</v>
      </c>
      <c r="R295">
        <f>-1-'vehicles specifications'!AD161</f>
        <v>-1.25</v>
      </c>
      <c r="S295">
        <v>1</v>
      </c>
      <c r="T295">
        <v>1</v>
      </c>
      <c r="U295">
        <v>1</v>
      </c>
      <c r="V295">
        <v>1</v>
      </c>
      <c r="W295">
        <v>1</v>
      </c>
      <c r="X295">
        <v>1</v>
      </c>
      <c r="Y295">
        <v>1</v>
      </c>
      <c r="Z295">
        <v>1</v>
      </c>
      <c r="AA295">
        <v>1</v>
      </c>
      <c r="AB295">
        <v>1</v>
      </c>
      <c r="AC295">
        <v>1</v>
      </c>
      <c r="AD295">
        <v>1</v>
      </c>
      <c r="AE295">
        <v>1</v>
      </c>
      <c r="AF295">
        <v>1</v>
      </c>
      <c r="AG295">
        <v>1</v>
      </c>
      <c r="AH295">
        <v>1</v>
      </c>
      <c r="AI295">
        <v>1</v>
      </c>
      <c r="AJ295">
        <v>1</v>
      </c>
      <c r="AK295">
        <v>1</v>
      </c>
      <c r="AL295">
        <v>1</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64" x14ac:dyDescent="0.2">
      <c r="A296" t="s">
        <v>873</v>
      </c>
      <c r="B296">
        <v>1</v>
      </c>
      <c r="C296" s="2">
        <f>'vehicles specifications'!S162</f>
        <v>81</v>
      </c>
      <c r="D296">
        <v>1</v>
      </c>
      <c r="E296">
        <v>1</v>
      </c>
      <c r="F296">
        <f>1+'vehicles specifications'!AD162</f>
        <v>1</v>
      </c>
      <c r="G296">
        <f>1+'vehicles specifications'!AD162</f>
        <v>1</v>
      </c>
      <c r="J296">
        <v>1</v>
      </c>
      <c r="K296">
        <f>1/('fuels and tailpipe emissions'!$C$3*3.6)</f>
        <v>2.3474178403755867E-2</v>
      </c>
      <c r="L296">
        <f>1/3.6</f>
        <v>0.2777777777777778</v>
      </c>
      <c r="M296">
        <f>1/'vehicles specifications'!J162</f>
        <v>2.5974025974025975E-5</v>
      </c>
      <c r="N296">
        <v>1</v>
      </c>
      <c r="O296">
        <f>1</f>
        <v>1</v>
      </c>
      <c r="P296">
        <v>1</v>
      </c>
      <c r="Q296">
        <v>1</v>
      </c>
      <c r="R296">
        <f>-1-'vehicles specifications'!AD162</f>
        <v>-1</v>
      </c>
      <c r="S296">
        <v>1</v>
      </c>
      <c r="T296">
        <v>1</v>
      </c>
      <c r="U296">
        <v>1</v>
      </c>
      <c r="V296">
        <v>1</v>
      </c>
      <c r="W296">
        <v>1</v>
      </c>
      <c r="X296">
        <v>1</v>
      </c>
      <c r="Y296">
        <v>1</v>
      </c>
      <c r="Z296">
        <v>1</v>
      </c>
      <c r="AA296">
        <v>1</v>
      </c>
      <c r="AB296">
        <v>1</v>
      </c>
      <c r="AC296">
        <v>1</v>
      </c>
      <c r="AD296">
        <v>1</v>
      </c>
      <c r="AE296">
        <v>1</v>
      </c>
      <c r="AF296">
        <v>1</v>
      </c>
      <c r="AG296">
        <v>1</v>
      </c>
      <c r="AH296">
        <v>1</v>
      </c>
      <c r="AI296">
        <v>1</v>
      </c>
      <c r="AJ296">
        <v>1</v>
      </c>
      <c r="AK296">
        <v>1</v>
      </c>
      <c r="AL296">
        <v>1</v>
      </c>
      <c r="AM296">
        <v>1</v>
      </c>
      <c r="AN296">
        <v>1</v>
      </c>
      <c r="AO296">
        <v>1</v>
      </c>
      <c r="AP296">
        <v>1</v>
      </c>
      <c r="AQ296">
        <v>1</v>
      </c>
      <c r="AR296">
        <v>1</v>
      </c>
      <c r="AS296">
        <v>1</v>
      </c>
      <c r="AT296">
        <v>1</v>
      </c>
      <c r="AU296">
        <v>1</v>
      </c>
      <c r="AV296">
        <v>1</v>
      </c>
      <c r="AW296">
        <v>1</v>
      </c>
      <c r="AX296">
        <v>1</v>
      </c>
      <c r="AY296">
        <v>1</v>
      </c>
      <c r="AZ296">
        <v>1</v>
      </c>
      <c r="BA296">
        <v>1</v>
      </c>
      <c r="BB296">
        <v>1</v>
      </c>
      <c r="BC296">
        <v>1</v>
      </c>
      <c r="BD296">
        <v>1</v>
      </c>
      <c r="BE296">
        <v>1</v>
      </c>
      <c r="BF296">
        <v>1</v>
      </c>
      <c r="BG296">
        <v>1</v>
      </c>
      <c r="BH296">
        <v>1</v>
      </c>
      <c r="BI296">
        <v>1</v>
      </c>
      <c r="BJ296">
        <v>-1</v>
      </c>
      <c r="BK296">
        <v>-1</v>
      </c>
      <c r="BL296">
        <v>-1</v>
      </c>
    </row>
    <row r="297" spans="1:64" x14ac:dyDescent="0.2">
      <c r="A297" t="s">
        <v>874</v>
      </c>
      <c r="B297">
        <v>1</v>
      </c>
      <c r="C297" s="2">
        <f>'vehicles specifications'!S163</f>
        <v>111</v>
      </c>
      <c r="D297">
        <v>1</v>
      </c>
      <c r="E297">
        <v>1</v>
      </c>
      <c r="F297">
        <f>1+'vehicles specifications'!AD163</f>
        <v>2</v>
      </c>
      <c r="G297">
        <f>1+'vehicles specifications'!AD163</f>
        <v>2</v>
      </c>
      <c r="J297">
        <v>1</v>
      </c>
      <c r="K297">
        <f>1/('fuels and tailpipe emissions'!$C$3*3.6)</f>
        <v>2.3474178403755867E-2</v>
      </c>
      <c r="L297">
        <f>1/3.6</f>
        <v>0.2777777777777778</v>
      </c>
      <c r="M297">
        <f>1/'vehicles specifications'!J163</f>
        <v>2.4691358024691357E-5</v>
      </c>
      <c r="N297">
        <v>1</v>
      </c>
      <c r="O297">
        <f>1</f>
        <v>1</v>
      </c>
      <c r="P297">
        <v>1</v>
      </c>
      <c r="Q297">
        <v>1</v>
      </c>
      <c r="R297">
        <f>-1-'vehicles specifications'!AD163</f>
        <v>-2</v>
      </c>
      <c r="S297">
        <v>1</v>
      </c>
      <c r="T297">
        <v>1</v>
      </c>
      <c r="U297">
        <v>1</v>
      </c>
      <c r="V297">
        <v>1</v>
      </c>
      <c r="W297">
        <v>1</v>
      </c>
      <c r="X297">
        <v>1</v>
      </c>
      <c r="Y297">
        <v>1</v>
      </c>
      <c r="Z297">
        <v>1</v>
      </c>
      <c r="AA297">
        <v>1</v>
      </c>
      <c r="AB297">
        <v>1</v>
      </c>
      <c r="AC297">
        <v>1</v>
      </c>
      <c r="AD297">
        <v>1</v>
      </c>
      <c r="AE297">
        <v>1</v>
      </c>
      <c r="AF297">
        <v>1</v>
      </c>
      <c r="AG297">
        <v>1</v>
      </c>
      <c r="AH297">
        <v>1</v>
      </c>
      <c r="AI297">
        <v>1</v>
      </c>
      <c r="AJ297">
        <v>1</v>
      </c>
      <c r="AK297">
        <v>1</v>
      </c>
      <c r="AL297">
        <v>1</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64" x14ac:dyDescent="0.2">
      <c r="A298" t="s">
        <v>875</v>
      </c>
      <c r="B298">
        <v>1</v>
      </c>
      <c r="C298" s="2">
        <f>'vehicles specifications'!S164</f>
        <v>111</v>
      </c>
      <c r="D298">
        <v>1</v>
      </c>
      <c r="E298">
        <v>1</v>
      </c>
      <c r="F298">
        <f>1+'vehicles specifications'!AD164</f>
        <v>1.5</v>
      </c>
      <c r="G298">
        <f>1+'vehicles specifications'!AD164</f>
        <v>1.5</v>
      </c>
      <c r="J298">
        <v>1</v>
      </c>
      <c r="K298">
        <f>1/('fuels and tailpipe emissions'!$C$3*3.6)</f>
        <v>2.3474178403755867E-2</v>
      </c>
      <c r="L298">
        <f>1/3.6</f>
        <v>0.2777777777777778</v>
      </c>
      <c r="M298">
        <f>1/'vehicles specifications'!J164</f>
        <v>2.4691358024691357E-5</v>
      </c>
      <c r="N298">
        <v>1</v>
      </c>
      <c r="O298">
        <f>1</f>
        <v>1</v>
      </c>
      <c r="P298">
        <v>1</v>
      </c>
      <c r="Q298">
        <v>1</v>
      </c>
      <c r="R298">
        <f>-1-'vehicles specifications'!AD164</f>
        <v>-1.5</v>
      </c>
      <c r="S298">
        <v>1</v>
      </c>
      <c r="T298">
        <v>1</v>
      </c>
      <c r="U298">
        <v>1</v>
      </c>
      <c r="V298">
        <v>1</v>
      </c>
      <c r="W298">
        <v>1</v>
      </c>
      <c r="X298">
        <v>1</v>
      </c>
      <c r="Y298">
        <v>1</v>
      </c>
      <c r="Z298">
        <v>1</v>
      </c>
      <c r="AA298">
        <v>1</v>
      </c>
      <c r="AB298">
        <v>1</v>
      </c>
      <c r="AC298">
        <v>1</v>
      </c>
      <c r="AD298">
        <v>1</v>
      </c>
      <c r="AE298">
        <v>1</v>
      </c>
      <c r="AF298">
        <v>1</v>
      </c>
      <c r="AG298">
        <v>1</v>
      </c>
      <c r="AH298">
        <v>1</v>
      </c>
      <c r="AI298">
        <v>1</v>
      </c>
      <c r="AJ298">
        <v>1</v>
      </c>
      <c r="AK298">
        <v>1</v>
      </c>
      <c r="AL298">
        <v>1</v>
      </c>
      <c r="AM298">
        <v>1</v>
      </c>
      <c r="AN298">
        <v>1</v>
      </c>
      <c r="AO298">
        <v>1</v>
      </c>
      <c r="AP298">
        <v>1</v>
      </c>
      <c r="AQ298">
        <v>1</v>
      </c>
      <c r="AR298">
        <v>1</v>
      </c>
      <c r="AS298">
        <v>1</v>
      </c>
      <c r="AT298">
        <v>1</v>
      </c>
      <c r="AU298">
        <v>1</v>
      </c>
      <c r="AV298">
        <v>1</v>
      </c>
      <c r="AW298">
        <v>1</v>
      </c>
      <c r="AX298">
        <v>1</v>
      </c>
      <c r="AY298">
        <v>1</v>
      </c>
      <c r="AZ298">
        <v>1</v>
      </c>
      <c r="BA298">
        <v>1</v>
      </c>
      <c r="BB298">
        <v>1</v>
      </c>
      <c r="BC298">
        <v>1</v>
      </c>
      <c r="BD298">
        <v>1</v>
      </c>
      <c r="BE298">
        <v>1</v>
      </c>
      <c r="BF298">
        <v>1</v>
      </c>
      <c r="BG298">
        <v>1</v>
      </c>
      <c r="BH298">
        <v>1</v>
      </c>
      <c r="BI298">
        <v>1</v>
      </c>
      <c r="BJ298">
        <v>-1</v>
      </c>
      <c r="BK298">
        <v>-1</v>
      </c>
      <c r="BL298">
        <v>-1</v>
      </c>
    </row>
    <row r="299" spans="1:64" x14ac:dyDescent="0.2">
      <c r="A299" t="s">
        <v>876</v>
      </c>
      <c r="B299">
        <v>1</v>
      </c>
      <c r="C299" s="2">
        <f>'vehicles specifications'!S165</f>
        <v>111</v>
      </c>
      <c r="D299">
        <v>1</v>
      </c>
      <c r="E299">
        <v>1</v>
      </c>
      <c r="F299">
        <f>1+'vehicles specifications'!AD165</f>
        <v>1.25</v>
      </c>
      <c r="G299">
        <f>1+'vehicles specifications'!AD165</f>
        <v>1.25</v>
      </c>
      <c r="J299">
        <v>1</v>
      </c>
      <c r="K299">
        <f>1/('fuels and tailpipe emissions'!$C$3*3.6)</f>
        <v>2.3474178403755867E-2</v>
      </c>
      <c r="L299">
        <f>1/3.6</f>
        <v>0.2777777777777778</v>
      </c>
      <c r="M299">
        <f>1/'vehicles specifications'!J165</f>
        <v>2.4691358024691357E-5</v>
      </c>
      <c r="N299">
        <v>1</v>
      </c>
      <c r="O299">
        <f>1</f>
        <v>1</v>
      </c>
      <c r="P299">
        <v>1</v>
      </c>
      <c r="Q299">
        <v>1</v>
      </c>
      <c r="R299">
        <f>-1-'vehicles specifications'!AD165</f>
        <v>-1.25</v>
      </c>
      <c r="S299">
        <v>1</v>
      </c>
      <c r="T299">
        <v>1</v>
      </c>
      <c r="U299">
        <v>1</v>
      </c>
      <c r="V299">
        <v>1</v>
      </c>
      <c r="W299">
        <v>1</v>
      </c>
      <c r="X299">
        <v>1</v>
      </c>
      <c r="Y299">
        <v>1</v>
      </c>
      <c r="Z299">
        <v>1</v>
      </c>
      <c r="AA299">
        <v>1</v>
      </c>
      <c r="AB299">
        <v>1</v>
      </c>
      <c r="AC299">
        <v>1</v>
      </c>
      <c r="AD299">
        <v>1</v>
      </c>
      <c r="AE299">
        <v>1</v>
      </c>
      <c r="AF299">
        <v>1</v>
      </c>
      <c r="AG299">
        <v>1</v>
      </c>
      <c r="AH299">
        <v>1</v>
      </c>
      <c r="AI299">
        <v>1</v>
      </c>
      <c r="AJ299">
        <v>1</v>
      </c>
      <c r="AK299">
        <v>1</v>
      </c>
      <c r="AL299">
        <v>1</v>
      </c>
      <c r="AM299">
        <v>1</v>
      </c>
      <c r="AN299">
        <v>1</v>
      </c>
      <c r="AO299">
        <v>1</v>
      </c>
      <c r="AP299">
        <v>1</v>
      </c>
      <c r="AQ299">
        <v>1</v>
      </c>
      <c r="AR299">
        <v>1</v>
      </c>
      <c r="AS299">
        <v>1</v>
      </c>
      <c r="AT299">
        <v>1</v>
      </c>
      <c r="AU299">
        <v>1</v>
      </c>
      <c r="AV299">
        <v>1</v>
      </c>
      <c r="AW299">
        <v>1</v>
      </c>
      <c r="AX299">
        <v>1</v>
      </c>
      <c r="AY299">
        <v>1</v>
      </c>
      <c r="AZ299">
        <v>1</v>
      </c>
      <c r="BA299">
        <v>1</v>
      </c>
      <c r="BB299">
        <v>1</v>
      </c>
      <c r="BC299">
        <v>1</v>
      </c>
      <c r="BD299">
        <v>1</v>
      </c>
      <c r="BE299">
        <v>1</v>
      </c>
      <c r="BF299">
        <v>1</v>
      </c>
      <c r="BG299">
        <v>1</v>
      </c>
      <c r="BH299">
        <v>1</v>
      </c>
      <c r="BI299">
        <v>1</v>
      </c>
      <c r="BJ299">
        <v>-1</v>
      </c>
      <c r="BK299">
        <v>-1</v>
      </c>
      <c r="BL299">
        <v>-1</v>
      </c>
    </row>
    <row r="300" spans="1:64" x14ac:dyDescent="0.2">
      <c r="A300" t="s">
        <v>877</v>
      </c>
      <c r="B300">
        <v>1</v>
      </c>
      <c r="C300" s="2">
        <f>'vehicles specifications'!S166</f>
        <v>111</v>
      </c>
      <c r="D300">
        <v>1</v>
      </c>
      <c r="E300">
        <v>1</v>
      </c>
      <c r="F300">
        <f>1+'vehicles specifications'!AD166</f>
        <v>1</v>
      </c>
      <c r="G300">
        <f>1+'vehicles specifications'!AD166</f>
        <v>1</v>
      </c>
      <c r="J300">
        <v>1</v>
      </c>
      <c r="K300">
        <f>1/('fuels and tailpipe emissions'!$C$3*3.6)</f>
        <v>2.3474178403755867E-2</v>
      </c>
      <c r="L300">
        <f>1/3.6</f>
        <v>0.2777777777777778</v>
      </c>
      <c r="M300">
        <f>1/'vehicles specifications'!J166</f>
        <v>2.4691358024691357E-5</v>
      </c>
      <c r="N300">
        <v>1</v>
      </c>
      <c r="O300">
        <f>1</f>
        <v>1</v>
      </c>
      <c r="P300">
        <v>1</v>
      </c>
      <c r="Q300">
        <v>1</v>
      </c>
      <c r="R300">
        <f>-1-'vehicles specifications'!AD166</f>
        <v>-1</v>
      </c>
      <c r="S300">
        <v>1</v>
      </c>
      <c r="T300">
        <v>1</v>
      </c>
      <c r="U300">
        <v>1</v>
      </c>
      <c r="V300">
        <v>1</v>
      </c>
      <c r="W300">
        <v>1</v>
      </c>
      <c r="X300">
        <v>1</v>
      </c>
      <c r="Y300">
        <v>1</v>
      </c>
      <c r="Z300">
        <v>1</v>
      </c>
      <c r="AA300">
        <v>1</v>
      </c>
      <c r="AB300">
        <v>1</v>
      </c>
      <c r="AC300">
        <v>1</v>
      </c>
      <c r="AD300">
        <v>1</v>
      </c>
      <c r="AE300">
        <v>1</v>
      </c>
      <c r="AF300">
        <v>1</v>
      </c>
      <c r="AG300">
        <v>1</v>
      </c>
      <c r="AH300">
        <v>1</v>
      </c>
      <c r="AI300">
        <v>1</v>
      </c>
      <c r="AJ300">
        <v>1</v>
      </c>
      <c r="AK300">
        <v>1</v>
      </c>
      <c r="AL300">
        <v>1</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2" spans="1:64" x14ac:dyDescent="0.2">
      <c r="A302" t="s">
        <v>160</v>
      </c>
    </row>
    <row r="304" spans="1:64" x14ac:dyDescent="0.2">
      <c r="B304" t="s">
        <v>15</v>
      </c>
      <c r="D304" t="s">
        <v>16</v>
      </c>
      <c r="E304" t="s">
        <v>269</v>
      </c>
      <c r="F304" t="s">
        <v>19</v>
      </c>
      <c r="G304" t="s">
        <v>20</v>
      </c>
      <c r="H304" t="s">
        <v>22</v>
      </c>
      <c r="I304" t="s">
        <v>24</v>
      </c>
      <c r="J304" t="s">
        <v>51</v>
      </c>
      <c r="K304" t="s">
        <v>27</v>
      </c>
      <c r="L304" t="s">
        <v>28</v>
      </c>
      <c r="M304" t="s">
        <v>115</v>
      </c>
      <c r="N304" t="s">
        <v>102</v>
      </c>
      <c r="O304" t="s">
        <v>109</v>
      </c>
      <c r="P304" t="s">
        <v>140</v>
      </c>
      <c r="Q304" t="s">
        <v>141</v>
      </c>
      <c r="R304" t="s">
        <v>142</v>
      </c>
      <c r="S304" t="s">
        <v>65</v>
      </c>
      <c r="T304" t="s">
        <v>446</v>
      </c>
      <c r="U304" t="s">
        <v>66</v>
      </c>
      <c r="V304" t="s">
        <v>54</v>
      </c>
      <c r="W304" t="s">
        <v>55</v>
      </c>
      <c r="X304" t="s">
        <v>56</v>
      </c>
      <c r="Y304" t="s">
        <v>57</v>
      </c>
      <c r="Z304" t="s">
        <v>58</v>
      </c>
      <c r="AA304" t="s">
        <v>60</v>
      </c>
      <c r="AB304" t="s">
        <v>59</v>
      </c>
      <c r="AC304" t="s">
        <v>61</v>
      </c>
      <c r="AD304" t="s">
        <v>360</v>
      </c>
      <c r="AE304" t="s">
        <v>309</v>
      </c>
      <c r="AF304" t="s">
        <v>310</v>
      </c>
      <c r="AG304" t="s">
        <v>311</v>
      </c>
      <c r="AH304" t="s">
        <v>312</v>
      </c>
      <c r="AI304" t="s">
        <v>313</v>
      </c>
      <c r="AJ304" t="s">
        <v>314</v>
      </c>
      <c r="AK304" t="s">
        <v>315</v>
      </c>
      <c r="AL304" t="s">
        <v>316</v>
      </c>
      <c r="AM304" t="s">
        <v>317</v>
      </c>
      <c r="AN304" t="s">
        <v>318</v>
      </c>
      <c r="AO304" t="s">
        <v>54</v>
      </c>
      <c r="AP304" t="s">
        <v>319</v>
      </c>
      <c r="AQ304" t="s">
        <v>320</v>
      </c>
      <c r="AR304" t="s">
        <v>321</v>
      </c>
      <c r="AS304" t="s">
        <v>322</v>
      </c>
      <c r="AT304" t="s">
        <v>323</v>
      </c>
      <c r="AU304" t="s">
        <v>324</v>
      </c>
      <c r="AV304" t="s">
        <v>325</v>
      </c>
      <c r="AW304" t="s">
        <v>328</v>
      </c>
      <c r="AX304" t="s">
        <v>326</v>
      </c>
      <c r="AY304" t="s">
        <v>327</v>
      </c>
      <c r="AZ304" t="s">
        <v>329</v>
      </c>
      <c r="BA304" t="s">
        <v>330</v>
      </c>
      <c r="BB304" t="s">
        <v>331</v>
      </c>
      <c r="BC304" t="s">
        <v>332</v>
      </c>
      <c r="BD304" t="s">
        <v>290</v>
      </c>
      <c r="BE304" t="s">
        <v>292</v>
      </c>
      <c r="BF304" t="s">
        <v>291</v>
      </c>
      <c r="BG304" t="s">
        <v>335</v>
      </c>
      <c r="BH304" t="s">
        <v>333</v>
      </c>
      <c r="BI304" t="s">
        <v>334</v>
      </c>
      <c r="BJ304" t="s">
        <v>29</v>
      </c>
      <c r="BK304" t="s">
        <v>30</v>
      </c>
      <c r="BL304" t="s">
        <v>31</v>
      </c>
    </row>
    <row r="305" spans="1:61" x14ac:dyDescent="0.2">
      <c r="A305" t="s">
        <v>651</v>
      </c>
      <c r="S305" t="s">
        <v>442</v>
      </c>
      <c r="T305" t="s">
        <v>442</v>
      </c>
      <c r="U305" t="s">
        <v>442</v>
      </c>
      <c r="V305" t="s">
        <v>442</v>
      </c>
      <c r="W305" t="s">
        <v>442</v>
      </c>
      <c r="X305" t="s">
        <v>442</v>
      </c>
      <c r="Y305" t="s">
        <v>442</v>
      </c>
      <c r="Z305" t="s">
        <v>442</v>
      </c>
      <c r="AA305" t="s">
        <v>442</v>
      </c>
      <c r="AB305" t="s">
        <v>442</v>
      </c>
      <c r="AC305" t="s">
        <v>442</v>
      </c>
      <c r="AD305" t="s">
        <v>442</v>
      </c>
      <c r="AE305" t="s">
        <v>442</v>
      </c>
      <c r="AF305" t="s">
        <v>442</v>
      </c>
      <c r="AG305" t="s">
        <v>442</v>
      </c>
      <c r="AH305" t="s">
        <v>442</v>
      </c>
      <c r="AI305" t="s">
        <v>442</v>
      </c>
      <c r="AJ305" t="s">
        <v>442</v>
      </c>
      <c r="AK305" t="s">
        <v>442</v>
      </c>
      <c r="AL305" t="s">
        <v>442</v>
      </c>
      <c r="AM305" t="s">
        <v>442</v>
      </c>
      <c r="AN305" t="s">
        <v>442</v>
      </c>
      <c r="AO305" t="s">
        <v>442</v>
      </c>
      <c r="AP305" t="s">
        <v>442</v>
      </c>
      <c r="AQ305" t="s">
        <v>442</v>
      </c>
      <c r="AR305" t="s">
        <v>442</v>
      </c>
      <c r="AS305" t="s">
        <v>442</v>
      </c>
      <c r="AT305" t="s">
        <v>442</v>
      </c>
      <c r="AU305" t="s">
        <v>442</v>
      </c>
      <c r="AV305" t="s">
        <v>442</v>
      </c>
      <c r="AW305" t="s">
        <v>442</v>
      </c>
      <c r="AX305" t="s">
        <v>442</v>
      </c>
      <c r="AY305" t="s">
        <v>442</v>
      </c>
      <c r="AZ305" t="s">
        <v>442</v>
      </c>
      <c r="BA305" t="s">
        <v>442</v>
      </c>
      <c r="BB305" t="s">
        <v>442</v>
      </c>
      <c r="BC305" t="s">
        <v>442</v>
      </c>
      <c r="BD305" t="s">
        <v>442</v>
      </c>
      <c r="BE305" t="s">
        <v>442</v>
      </c>
      <c r="BF305" t="s">
        <v>442</v>
      </c>
      <c r="BG305" t="s">
        <v>442</v>
      </c>
      <c r="BH305" t="s">
        <v>442</v>
      </c>
      <c r="BI305" t="s">
        <v>442</v>
      </c>
    </row>
    <row r="306" spans="1:61" x14ac:dyDescent="0.2">
      <c r="A306" t="s">
        <v>33</v>
      </c>
      <c r="S306" t="s">
        <v>442</v>
      </c>
      <c r="T306" t="s">
        <v>442</v>
      </c>
      <c r="U306" t="s">
        <v>442</v>
      </c>
      <c r="V306" t="s">
        <v>442</v>
      </c>
      <c r="W306" t="s">
        <v>442</v>
      </c>
      <c r="X306" t="s">
        <v>442</v>
      </c>
      <c r="Y306" t="s">
        <v>442</v>
      </c>
      <c r="Z306" t="s">
        <v>442</v>
      </c>
      <c r="AA306" t="s">
        <v>442</v>
      </c>
      <c r="AB306" t="s">
        <v>442</v>
      </c>
      <c r="AC306" t="s">
        <v>442</v>
      </c>
      <c r="AD306" t="s">
        <v>442</v>
      </c>
      <c r="AE306" t="s">
        <v>442</v>
      </c>
      <c r="AF306" t="s">
        <v>442</v>
      </c>
      <c r="AG306" t="s">
        <v>442</v>
      </c>
      <c r="AH306" t="s">
        <v>442</v>
      </c>
      <c r="AI306" t="s">
        <v>442</v>
      </c>
      <c r="AJ306" t="s">
        <v>442</v>
      </c>
      <c r="AK306" t="s">
        <v>442</v>
      </c>
      <c r="AL306" t="s">
        <v>442</v>
      </c>
      <c r="AM306" t="s">
        <v>442</v>
      </c>
      <c r="AN306" t="s">
        <v>442</v>
      </c>
      <c r="AO306" t="s">
        <v>442</v>
      </c>
      <c r="AP306" t="s">
        <v>442</v>
      </c>
      <c r="AQ306" t="s">
        <v>442</v>
      </c>
      <c r="AR306" t="s">
        <v>442</v>
      </c>
      <c r="AS306" t="s">
        <v>442</v>
      </c>
      <c r="AT306" t="s">
        <v>442</v>
      </c>
      <c r="AU306" t="s">
        <v>442</v>
      </c>
      <c r="AV306" t="s">
        <v>442</v>
      </c>
      <c r="AW306" t="s">
        <v>442</v>
      </c>
      <c r="AX306" t="s">
        <v>442</v>
      </c>
      <c r="AY306" t="s">
        <v>442</v>
      </c>
      <c r="AZ306" t="s">
        <v>442</v>
      </c>
      <c r="BA306" t="s">
        <v>442</v>
      </c>
      <c r="BB306" t="s">
        <v>442</v>
      </c>
      <c r="BC306" t="s">
        <v>442</v>
      </c>
      <c r="BD306" t="s">
        <v>442</v>
      </c>
      <c r="BE306" t="s">
        <v>442</v>
      </c>
      <c r="BF306" t="s">
        <v>442</v>
      </c>
      <c r="BG306" t="s">
        <v>442</v>
      </c>
      <c r="BH306" t="s">
        <v>442</v>
      </c>
      <c r="BI306" t="s">
        <v>442</v>
      </c>
    </row>
    <row r="307" spans="1:61" x14ac:dyDescent="0.2">
      <c r="A307" t="s">
        <v>262</v>
      </c>
      <c r="S307" t="s">
        <v>442</v>
      </c>
      <c r="T307" t="s">
        <v>442</v>
      </c>
      <c r="U307" t="s">
        <v>442</v>
      </c>
      <c r="V307" t="s">
        <v>442</v>
      </c>
      <c r="W307" t="s">
        <v>442</v>
      </c>
      <c r="X307" t="s">
        <v>442</v>
      </c>
      <c r="Y307" t="s">
        <v>442</v>
      </c>
      <c r="Z307" t="s">
        <v>442</v>
      </c>
      <c r="AA307" t="s">
        <v>442</v>
      </c>
      <c r="AB307" t="s">
        <v>442</v>
      </c>
      <c r="AC307" t="s">
        <v>442</v>
      </c>
      <c r="AD307" t="s">
        <v>442</v>
      </c>
      <c r="AE307" t="s">
        <v>442</v>
      </c>
      <c r="AF307" t="s">
        <v>442</v>
      </c>
      <c r="AG307" t="s">
        <v>442</v>
      </c>
      <c r="AH307" t="s">
        <v>442</v>
      </c>
      <c r="AI307" t="s">
        <v>442</v>
      </c>
      <c r="AJ307" t="s">
        <v>442</v>
      </c>
      <c r="AK307" t="s">
        <v>442</v>
      </c>
      <c r="AL307" t="s">
        <v>442</v>
      </c>
      <c r="AM307" t="s">
        <v>442</v>
      </c>
      <c r="AN307" t="s">
        <v>442</v>
      </c>
      <c r="AO307" t="s">
        <v>442</v>
      </c>
      <c r="AP307" t="s">
        <v>442</v>
      </c>
      <c r="AQ307" t="s">
        <v>442</v>
      </c>
      <c r="AR307" t="s">
        <v>442</v>
      </c>
      <c r="AS307" t="s">
        <v>442</v>
      </c>
      <c r="AT307" t="s">
        <v>442</v>
      </c>
      <c r="AU307" t="s">
        <v>442</v>
      </c>
      <c r="AV307" t="s">
        <v>442</v>
      </c>
      <c r="AW307" t="s">
        <v>442</v>
      </c>
      <c r="AX307" t="s">
        <v>442</v>
      </c>
      <c r="AY307" t="s">
        <v>442</v>
      </c>
      <c r="AZ307" t="s">
        <v>442</v>
      </c>
      <c r="BA307" t="s">
        <v>442</v>
      </c>
      <c r="BB307" t="s">
        <v>442</v>
      </c>
      <c r="BC307" t="s">
        <v>442</v>
      </c>
      <c r="BD307" t="s">
        <v>442</v>
      </c>
      <c r="BE307" t="s">
        <v>442</v>
      </c>
      <c r="BF307" t="s">
        <v>442</v>
      </c>
      <c r="BG307" t="s">
        <v>442</v>
      </c>
      <c r="BH307" t="s">
        <v>442</v>
      </c>
      <c r="BI307" t="s">
        <v>442</v>
      </c>
    </row>
    <row r="308" spans="1:61" x14ac:dyDescent="0.2">
      <c r="A308" t="s">
        <v>263</v>
      </c>
      <c r="S308" t="s">
        <v>442</v>
      </c>
      <c r="T308" t="s">
        <v>442</v>
      </c>
      <c r="U308" t="s">
        <v>442</v>
      </c>
      <c r="V308" t="s">
        <v>442</v>
      </c>
      <c r="W308" t="s">
        <v>442</v>
      </c>
      <c r="X308" t="s">
        <v>442</v>
      </c>
      <c r="Y308" t="s">
        <v>442</v>
      </c>
      <c r="Z308" t="s">
        <v>442</v>
      </c>
      <c r="AA308" t="s">
        <v>442</v>
      </c>
      <c r="AB308" t="s">
        <v>442</v>
      </c>
      <c r="AC308" t="s">
        <v>442</v>
      </c>
      <c r="AD308" t="s">
        <v>442</v>
      </c>
      <c r="AE308" t="s">
        <v>442</v>
      </c>
      <c r="AF308" t="s">
        <v>442</v>
      </c>
      <c r="AG308" t="s">
        <v>442</v>
      </c>
      <c r="AH308" t="s">
        <v>442</v>
      </c>
      <c r="AI308" t="s">
        <v>442</v>
      </c>
      <c r="AJ308" t="s">
        <v>442</v>
      </c>
      <c r="AK308" t="s">
        <v>442</v>
      </c>
      <c r="AL308" t="s">
        <v>442</v>
      </c>
      <c r="AM308" t="s">
        <v>442</v>
      </c>
      <c r="AN308" t="s">
        <v>442</v>
      </c>
      <c r="AO308" t="s">
        <v>442</v>
      </c>
      <c r="AP308" t="s">
        <v>442</v>
      </c>
      <c r="AQ308" t="s">
        <v>442</v>
      </c>
      <c r="AR308" t="s">
        <v>442</v>
      </c>
      <c r="AS308" t="s">
        <v>442</v>
      </c>
      <c r="AT308" t="s">
        <v>442</v>
      </c>
      <c r="AU308" t="s">
        <v>442</v>
      </c>
      <c r="AV308" t="s">
        <v>442</v>
      </c>
      <c r="AW308" t="s">
        <v>442</v>
      </c>
      <c r="AX308" t="s">
        <v>442</v>
      </c>
      <c r="AY308" t="s">
        <v>442</v>
      </c>
      <c r="AZ308" t="s">
        <v>442</v>
      </c>
      <c r="BA308" t="s">
        <v>442</v>
      </c>
      <c r="BB308" t="s">
        <v>442</v>
      </c>
      <c r="BC308" t="s">
        <v>442</v>
      </c>
      <c r="BD308" t="s">
        <v>442</v>
      </c>
      <c r="BE308" t="s">
        <v>442</v>
      </c>
      <c r="BF308" t="s">
        <v>442</v>
      </c>
      <c r="BG308" t="s">
        <v>442</v>
      </c>
      <c r="BH308" t="s">
        <v>442</v>
      </c>
      <c r="BI308" t="s">
        <v>442</v>
      </c>
    </row>
    <row r="309" spans="1:61" x14ac:dyDescent="0.2">
      <c r="A309" t="s">
        <v>652</v>
      </c>
      <c r="S309" t="s">
        <v>442</v>
      </c>
      <c r="T309" t="s">
        <v>442</v>
      </c>
      <c r="U309" t="s">
        <v>442</v>
      </c>
      <c r="V309" t="s">
        <v>442</v>
      </c>
      <c r="W309" t="s">
        <v>442</v>
      </c>
      <c r="X309" t="s">
        <v>442</v>
      </c>
      <c r="Y309" t="s">
        <v>442</v>
      </c>
      <c r="Z309" t="s">
        <v>442</v>
      </c>
      <c r="AA309" t="s">
        <v>442</v>
      </c>
      <c r="AB309" t="s">
        <v>442</v>
      </c>
      <c r="AC309" t="s">
        <v>442</v>
      </c>
      <c r="AD309" t="s">
        <v>442</v>
      </c>
      <c r="AE309" t="s">
        <v>442</v>
      </c>
      <c r="AF309" t="s">
        <v>442</v>
      </c>
      <c r="AG309" t="s">
        <v>442</v>
      </c>
      <c r="AH309" t="s">
        <v>442</v>
      </c>
      <c r="AI309" t="s">
        <v>442</v>
      </c>
      <c r="AJ309" t="s">
        <v>442</v>
      </c>
      <c r="AK309" t="s">
        <v>442</v>
      </c>
      <c r="AL309" t="s">
        <v>442</v>
      </c>
      <c r="AM309" t="s">
        <v>442</v>
      </c>
      <c r="AN309" t="s">
        <v>442</v>
      </c>
      <c r="AO309" t="s">
        <v>442</v>
      </c>
      <c r="AP309" t="s">
        <v>442</v>
      </c>
      <c r="AQ309" t="s">
        <v>442</v>
      </c>
      <c r="AR309" t="s">
        <v>442</v>
      </c>
      <c r="AS309" t="s">
        <v>442</v>
      </c>
      <c r="AT309" t="s">
        <v>442</v>
      </c>
      <c r="AU309" t="s">
        <v>442</v>
      </c>
      <c r="AV309" t="s">
        <v>442</v>
      </c>
      <c r="AW309" t="s">
        <v>442</v>
      </c>
      <c r="AX309" t="s">
        <v>442</v>
      </c>
      <c r="AY309" t="s">
        <v>442</v>
      </c>
      <c r="AZ309" t="s">
        <v>442</v>
      </c>
      <c r="BA309" t="s">
        <v>442</v>
      </c>
      <c r="BB309" t="s">
        <v>442</v>
      </c>
      <c r="BC309" t="s">
        <v>442</v>
      </c>
      <c r="BD309" t="s">
        <v>442</v>
      </c>
      <c r="BE309" t="s">
        <v>442</v>
      </c>
      <c r="BF309" t="s">
        <v>442</v>
      </c>
      <c r="BG309" t="s">
        <v>442</v>
      </c>
      <c r="BH309" t="s">
        <v>442</v>
      </c>
      <c r="BI309" t="s">
        <v>442</v>
      </c>
    </row>
    <row r="310" spans="1:61" x14ac:dyDescent="0.2">
      <c r="A310" t="s">
        <v>878</v>
      </c>
      <c r="S310" t="s">
        <v>442</v>
      </c>
      <c r="T310" t="s">
        <v>442</v>
      </c>
      <c r="U310" t="s">
        <v>442</v>
      </c>
      <c r="V310" t="s">
        <v>442</v>
      </c>
      <c r="W310" t="s">
        <v>442</v>
      </c>
      <c r="X310" t="s">
        <v>442</v>
      </c>
      <c r="Y310" t="s">
        <v>442</v>
      </c>
      <c r="Z310" t="s">
        <v>442</v>
      </c>
      <c r="AA310" t="s">
        <v>442</v>
      </c>
      <c r="AB310" t="s">
        <v>442</v>
      </c>
      <c r="AC310" t="s">
        <v>442</v>
      </c>
      <c r="AD310" t="s">
        <v>442</v>
      </c>
      <c r="AE310" t="s">
        <v>442</v>
      </c>
      <c r="AF310" t="s">
        <v>442</v>
      </c>
      <c r="AG310" t="s">
        <v>442</v>
      </c>
      <c r="AH310" t="s">
        <v>442</v>
      </c>
      <c r="AI310" t="s">
        <v>442</v>
      </c>
      <c r="AJ310" t="s">
        <v>442</v>
      </c>
      <c r="AK310" t="s">
        <v>442</v>
      </c>
      <c r="AL310" t="s">
        <v>442</v>
      </c>
      <c r="AM310" t="s">
        <v>442</v>
      </c>
      <c r="AN310" t="s">
        <v>442</v>
      </c>
      <c r="AO310" t="s">
        <v>442</v>
      </c>
      <c r="AP310" t="s">
        <v>442</v>
      </c>
      <c r="AQ310" t="s">
        <v>442</v>
      </c>
      <c r="AR310" t="s">
        <v>442</v>
      </c>
      <c r="AS310" t="s">
        <v>442</v>
      </c>
      <c r="AT310" t="s">
        <v>442</v>
      </c>
      <c r="AU310" t="s">
        <v>442</v>
      </c>
      <c r="AV310" t="s">
        <v>442</v>
      </c>
      <c r="AW310" t="s">
        <v>442</v>
      </c>
      <c r="AX310" t="s">
        <v>442</v>
      </c>
      <c r="AY310" t="s">
        <v>442</v>
      </c>
      <c r="AZ310" t="s">
        <v>442</v>
      </c>
      <c r="BA310" t="s">
        <v>442</v>
      </c>
      <c r="BB310" t="s">
        <v>442</v>
      </c>
      <c r="BC310" t="s">
        <v>442</v>
      </c>
      <c r="BD310" t="s">
        <v>442</v>
      </c>
      <c r="BE310" t="s">
        <v>442</v>
      </c>
      <c r="BF310" t="s">
        <v>442</v>
      </c>
      <c r="BG310" t="s">
        <v>442</v>
      </c>
      <c r="BH310" t="s">
        <v>442</v>
      </c>
      <c r="BI310" t="s">
        <v>442</v>
      </c>
    </row>
    <row r="311" spans="1:61" x14ac:dyDescent="0.2">
      <c r="A311" t="s">
        <v>264</v>
      </c>
      <c r="S311" t="s">
        <v>442</v>
      </c>
      <c r="T311" t="s">
        <v>442</v>
      </c>
      <c r="U311" t="s">
        <v>442</v>
      </c>
      <c r="V311" t="s">
        <v>442</v>
      </c>
      <c r="W311" t="s">
        <v>442</v>
      </c>
      <c r="X311" t="s">
        <v>442</v>
      </c>
      <c r="Y311" t="s">
        <v>442</v>
      </c>
      <c r="Z311" t="s">
        <v>442</v>
      </c>
      <c r="AA311" t="s">
        <v>442</v>
      </c>
      <c r="AB311" t="s">
        <v>442</v>
      </c>
      <c r="AC311" t="s">
        <v>442</v>
      </c>
      <c r="AD311" t="s">
        <v>442</v>
      </c>
      <c r="AE311" t="s">
        <v>442</v>
      </c>
      <c r="AF311" t="s">
        <v>442</v>
      </c>
      <c r="AG311" t="s">
        <v>442</v>
      </c>
      <c r="AH311" t="s">
        <v>442</v>
      </c>
      <c r="AI311" t="s">
        <v>442</v>
      </c>
      <c r="AJ311" t="s">
        <v>442</v>
      </c>
      <c r="AK311" t="s">
        <v>442</v>
      </c>
      <c r="AL311" t="s">
        <v>442</v>
      </c>
      <c r="AM311" t="s">
        <v>442</v>
      </c>
      <c r="AN311" t="s">
        <v>442</v>
      </c>
      <c r="AO311" t="s">
        <v>442</v>
      </c>
      <c r="AP311" t="s">
        <v>442</v>
      </c>
      <c r="AQ311" t="s">
        <v>442</v>
      </c>
      <c r="AR311" t="s">
        <v>442</v>
      </c>
      <c r="AS311" t="s">
        <v>442</v>
      </c>
      <c r="AT311" t="s">
        <v>442</v>
      </c>
      <c r="AU311" t="s">
        <v>442</v>
      </c>
      <c r="AV311" t="s">
        <v>442</v>
      </c>
      <c r="AW311" t="s">
        <v>442</v>
      </c>
      <c r="AX311" t="s">
        <v>442</v>
      </c>
      <c r="AY311" t="s">
        <v>442</v>
      </c>
      <c r="AZ311" t="s">
        <v>442</v>
      </c>
      <c r="BA311" t="s">
        <v>442</v>
      </c>
      <c r="BB311" t="s">
        <v>442</v>
      </c>
      <c r="BC311" t="s">
        <v>442</v>
      </c>
      <c r="BD311" t="s">
        <v>442</v>
      </c>
      <c r="BE311" t="s">
        <v>442</v>
      </c>
      <c r="BF311" t="s">
        <v>442</v>
      </c>
      <c r="BG311" t="s">
        <v>442</v>
      </c>
      <c r="BH311" t="s">
        <v>442</v>
      </c>
      <c r="BI311" t="s">
        <v>442</v>
      </c>
    </row>
    <row r="312" spans="1:61" x14ac:dyDescent="0.2">
      <c r="A312" t="s">
        <v>346</v>
      </c>
      <c r="S312" t="s">
        <v>442</v>
      </c>
      <c r="T312" t="s">
        <v>442</v>
      </c>
      <c r="U312" t="s">
        <v>442</v>
      </c>
      <c r="V312" t="s">
        <v>442</v>
      </c>
      <c r="W312" t="s">
        <v>442</v>
      </c>
      <c r="X312" t="s">
        <v>442</v>
      </c>
      <c r="Y312" t="s">
        <v>442</v>
      </c>
      <c r="Z312" t="s">
        <v>442</v>
      </c>
      <c r="AA312" t="s">
        <v>442</v>
      </c>
      <c r="AB312" t="s">
        <v>442</v>
      </c>
      <c r="AC312" t="s">
        <v>442</v>
      </c>
      <c r="AD312" t="s">
        <v>442</v>
      </c>
      <c r="AE312" t="s">
        <v>442</v>
      </c>
      <c r="AF312" t="s">
        <v>442</v>
      </c>
      <c r="AG312" t="s">
        <v>442</v>
      </c>
      <c r="AH312" t="s">
        <v>442</v>
      </c>
      <c r="AI312" t="s">
        <v>442</v>
      </c>
      <c r="AJ312" t="s">
        <v>442</v>
      </c>
      <c r="AK312" t="s">
        <v>442</v>
      </c>
      <c r="AL312" t="s">
        <v>442</v>
      </c>
      <c r="AM312" t="s">
        <v>442</v>
      </c>
      <c r="AN312" t="s">
        <v>442</v>
      </c>
      <c r="AO312" t="s">
        <v>442</v>
      </c>
      <c r="AP312" t="s">
        <v>442</v>
      </c>
      <c r="AQ312" t="s">
        <v>442</v>
      </c>
      <c r="AR312" t="s">
        <v>442</v>
      </c>
      <c r="AS312" t="s">
        <v>442</v>
      </c>
      <c r="AT312" t="s">
        <v>442</v>
      </c>
      <c r="AU312" t="s">
        <v>442</v>
      </c>
      <c r="AV312" t="s">
        <v>442</v>
      </c>
      <c r="AW312" t="s">
        <v>442</v>
      </c>
      <c r="AX312" t="s">
        <v>442</v>
      </c>
      <c r="AY312" t="s">
        <v>442</v>
      </c>
      <c r="AZ312" t="s">
        <v>442</v>
      </c>
      <c r="BA312" t="s">
        <v>442</v>
      </c>
      <c r="BB312" t="s">
        <v>442</v>
      </c>
      <c r="BC312" t="s">
        <v>442</v>
      </c>
      <c r="BD312" t="s">
        <v>442</v>
      </c>
      <c r="BE312" t="s">
        <v>442</v>
      </c>
      <c r="BF312" t="s">
        <v>442</v>
      </c>
      <c r="BG312" t="s">
        <v>442</v>
      </c>
      <c r="BH312" t="s">
        <v>442</v>
      </c>
      <c r="BI312" t="s">
        <v>442</v>
      </c>
    </row>
    <row r="313" spans="1:61" x14ac:dyDescent="0.2">
      <c r="A313" t="s">
        <v>347</v>
      </c>
      <c r="S313" t="s">
        <v>442</v>
      </c>
      <c r="T313" t="s">
        <v>442</v>
      </c>
      <c r="U313" t="s">
        <v>442</v>
      </c>
      <c r="V313" t="s">
        <v>442</v>
      </c>
      <c r="W313" t="s">
        <v>442</v>
      </c>
      <c r="X313" t="s">
        <v>442</v>
      </c>
      <c r="Y313" t="s">
        <v>442</v>
      </c>
      <c r="Z313" t="s">
        <v>442</v>
      </c>
      <c r="AA313" t="s">
        <v>442</v>
      </c>
      <c r="AB313" t="s">
        <v>442</v>
      </c>
      <c r="AC313" t="s">
        <v>442</v>
      </c>
      <c r="AD313" t="s">
        <v>442</v>
      </c>
      <c r="AE313" t="s">
        <v>442</v>
      </c>
      <c r="AF313" t="s">
        <v>442</v>
      </c>
      <c r="AG313" t="s">
        <v>442</v>
      </c>
      <c r="AH313" t="s">
        <v>442</v>
      </c>
      <c r="AI313" t="s">
        <v>442</v>
      </c>
      <c r="AJ313" t="s">
        <v>442</v>
      </c>
      <c r="AK313" t="s">
        <v>442</v>
      </c>
      <c r="AL313" t="s">
        <v>442</v>
      </c>
      <c r="AM313" t="s">
        <v>442</v>
      </c>
      <c r="AN313" t="s">
        <v>442</v>
      </c>
      <c r="AO313" t="s">
        <v>442</v>
      </c>
      <c r="AP313" t="s">
        <v>442</v>
      </c>
      <c r="AQ313" t="s">
        <v>442</v>
      </c>
      <c r="AR313" t="s">
        <v>442</v>
      </c>
      <c r="AS313" t="s">
        <v>442</v>
      </c>
      <c r="AT313" t="s">
        <v>442</v>
      </c>
      <c r="AU313" t="s">
        <v>442</v>
      </c>
      <c r="AV313" t="s">
        <v>442</v>
      </c>
      <c r="AW313" t="s">
        <v>442</v>
      </c>
      <c r="AX313" t="s">
        <v>442</v>
      </c>
      <c r="AY313" t="s">
        <v>442</v>
      </c>
      <c r="AZ313" t="s">
        <v>442</v>
      </c>
      <c r="BA313" t="s">
        <v>442</v>
      </c>
      <c r="BB313" t="s">
        <v>442</v>
      </c>
      <c r="BC313" t="s">
        <v>442</v>
      </c>
      <c r="BD313" t="s">
        <v>442</v>
      </c>
      <c r="BE313" t="s">
        <v>442</v>
      </c>
      <c r="BF313" t="s">
        <v>442</v>
      </c>
      <c r="BG313" t="s">
        <v>442</v>
      </c>
      <c r="BH313" t="s">
        <v>442</v>
      </c>
      <c r="BI313" t="s">
        <v>442</v>
      </c>
    </row>
    <row r="314" spans="1:61" x14ac:dyDescent="0.2">
      <c r="A314" t="s">
        <v>348</v>
      </c>
      <c r="S314" t="s">
        <v>442</v>
      </c>
      <c r="T314" t="s">
        <v>442</v>
      </c>
      <c r="U314" t="s">
        <v>442</v>
      </c>
      <c r="V314" t="s">
        <v>442</v>
      </c>
      <c r="W314" t="s">
        <v>442</v>
      </c>
      <c r="X314" t="s">
        <v>442</v>
      </c>
      <c r="Y314" t="s">
        <v>442</v>
      </c>
      <c r="Z314" t="s">
        <v>442</v>
      </c>
      <c r="AA314" t="s">
        <v>442</v>
      </c>
      <c r="AB314" t="s">
        <v>442</v>
      </c>
      <c r="AC314" t="s">
        <v>442</v>
      </c>
      <c r="AD314" t="s">
        <v>442</v>
      </c>
      <c r="AE314" t="s">
        <v>442</v>
      </c>
      <c r="AF314" t="s">
        <v>442</v>
      </c>
      <c r="AG314" t="s">
        <v>442</v>
      </c>
      <c r="AH314" t="s">
        <v>442</v>
      </c>
      <c r="AI314" t="s">
        <v>442</v>
      </c>
      <c r="AJ314" t="s">
        <v>442</v>
      </c>
      <c r="AK314" t="s">
        <v>442</v>
      </c>
      <c r="AL314" t="s">
        <v>442</v>
      </c>
      <c r="AM314" t="s">
        <v>442</v>
      </c>
      <c r="AN314" t="s">
        <v>442</v>
      </c>
      <c r="AO314" t="s">
        <v>442</v>
      </c>
      <c r="AP314" t="s">
        <v>442</v>
      </c>
      <c r="AQ314" t="s">
        <v>442</v>
      </c>
      <c r="AR314" t="s">
        <v>442</v>
      </c>
      <c r="AS314" t="s">
        <v>442</v>
      </c>
      <c r="AT314" t="s">
        <v>442</v>
      </c>
      <c r="AU314" t="s">
        <v>442</v>
      </c>
      <c r="AV314" t="s">
        <v>442</v>
      </c>
      <c r="AW314" t="s">
        <v>442</v>
      </c>
      <c r="AX314" t="s">
        <v>442</v>
      </c>
      <c r="AY314" t="s">
        <v>442</v>
      </c>
      <c r="AZ314" t="s">
        <v>442</v>
      </c>
      <c r="BA314" t="s">
        <v>442</v>
      </c>
      <c r="BB314" t="s">
        <v>442</v>
      </c>
      <c r="BC314" t="s">
        <v>442</v>
      </c>
      <c r="BD314" t="s">
        <v>442</v>
      </c>
      <c r="BE314" t="s">
        <v>442</v>
      </c>
      <c r="BF314" t="s">
        <v>442</v>
      </c>
      <c r="BG314" t="s">
        <v>442</v>
      </c>
      <c r="BH314" t="s">
        <v>442</v>
      </c>
      <c r="BI314" t="s">
        <v>442</v>
      </c>
    </row>
    <row r="315" spans="1:61" x14ac:dyDescent="0.2">
      <c r="A315" t="s">
        <v>375</v>
      </c>
      <c r="S315" t="s">
        <v>442</v>
      </c>
      <c r="T315" t="s">
        <v>442</v>
      </c>
      <c r="U315" t="s">
        <v>442</v>
      </c>
      <c r="V315" t="s">
        <v>442</v>
      </c>
      <c r="W315" t="s">
        <v>442</v>
      </c>
      <c r="X315" t="s">
        <v>442</v>
      </c>
      <c r="Y315" t="s">
        <v>442</v>
      </c>
      <c r="Z315" t="s">
        <v>442</v>
      </c>
      <c r="AA315" t="s">
        <v>442</v>
      </c>
      <c r="AB315" t="s">
        <v>442</v>
      </c>
      <c r="AC315" t="s">
        <v>442</v>
      </c>
      <c r="AD315" t="s">
        <v>442</v>
      </c>
      <c r="AE315" t="s">
        <v>442</v>
      </c>
      <c r="AF315" t="s">
        <v>442</v>
      </c>
      <c r="AG315" t="s">
        <v>442</v>
      </c>
      <c r="AH315" t="s">
        <v>442</v>
      </c>
      <c r="AI315" t="s">
        <v>442</v>
      </c>
      <c r="AJ315" t="s">
        <v>442</v>
      </c>
      <c r="AK315" t="s">
        <v>442</v>
      </c>
      <c r="AL315" t="s">
        <v>442</v>
      </c>
      <c r="AM315" t="s">
        <v>442</v>
      </c>
      <c r="AN315" t="s">
        <v>442</v>
      </c>
      <c r="AO315" t="s">
        <v>442</v>
      </c>
      <c r="AP315" t="s">
        <v>442</v>
      </c>
      <c r="AQ315" t="s">
        <v>442</v>
      </c>
      <c r="AR315" t="s">
        <v>442</v>
      </c>
      <c r="AS315" t="s">
        <v>442</v>
      </c>
      <c r="AT315" t="s">
        <v>442</v>
      </c>
      <c r="AU315" t="s">
        <v>442</v>
      </c>
      <c r="AV315" t="s">
        <v>442</v>
      </c>
      <c r="AW315" t="s">
        <v>442</v>
      </c>
      <c r="AX315" t="s">
        <v>442</v>
      </c>
      <c r="AY315" t="s">
        <v>442</v>
      </c>
      <c r="AZ315" t="s">
        <v>442</v>
      </c>
      <c r="BA315" t="s">
        <v>442</v>
      </c>
      <c r="BB315" t="s">
        <v>442</v>
      </c>
      <c r="BC315" t="s">
        <v>442</v>
      </c>
      <c r="BD315" t="s">
        <v>442</v>
      </c>
      <c r="BE315" t="s">
        <v>442</v>
      </c>
      <c r="BF315" t="s">
        <v>442</v>
      </c>
      <c r="BG315" t="s">
        <v>442</v>
      </c>
      <c r="BH315" t="s">
        <v>442</v>
      </c>
      <c r="BI315" t="s">
        <v>442</v>
      </c>
    </row>
    <row r="316" spans="1:61" x14ac:dyDescent="0.2">
      <c r="A316" t="s">
        <v>376</v>
      </c>
      <c r="S316" t="s">
        <v>442</v>
      </c>
      <c r="T316" t="s">
        <v>442</v>
      </c>
      <c r="U316" t="s">
        <v>442</v>
      </c>
      <c r="V316" t="s">
        <v>442</v>
      </c>
      <c r="W316" t="s">
        <v>442</v>
      </c>
      <c r="X316" t="s">
        <v>442</v>
      </c>
      <c r="Y316" t="s">
        <v>442</v>
      </c>
      <c r="Z316" t="s">
        <v>442</v>
      </c>
      <c r="AA316" t="s">
        <v>442</v>
      </c>
      <c r="AB316" t="s">
        <v>442</v>
      </c>
      <c r="AC316" t="s">
        <v>442</v>
      </c>
      <c r="AD316" t="s">
        <v>442</v>
      </c>
      <c r="AE316" t="s">
        <v>442</v>
      </c>
      <c r="AF316" t="s">
        <v>442</v>
      </c>
      <c r="AG316" t="s">
        <v>442</v>
      </c>
      <c r="AH316" t="s">
        <v>442</v>
      </c>
      <c r="AI316" t="s">
        <v>442</v>
      </c>
      <c r="AJ316" t="s">
        <v>442</v>
      </c>
      <c r="AK316" t="s">
        <v>442</v>
      </c>
      <c r="AL316" t="s">
        <v>442</v>
      </c>
      <c r="AM316" t="s">
        <v>442</v>
      </c>
      <c r="AN316" t="s">
        <v>442</v>
      </c>
      <c r="AO316" t="s">
        <v>442</v>
      </c>
      <c r="AP316" t="s">
        <v>442</v>
      </c>
      <c r="AQ316" t="s">
        <v>442</v>
      </c>
      <c r="AR316" t="s">
        <v>442</v>
      </c>
      <c r="AS316" t="s">
        <v>442</v>
      </c>
      <c r="AT316" t="s">
        <v>442</v>
      </c>
      <c r="AU316" t="s">
        <v>442</v>
      </c>
      <c r="AV316" t="s">
        <v>442</v>
      </c>
      <c r="AW316" t="s">
        <v>442</v>
      </c>
      <c r="AX316" t="s">
        <v>442</v>
      </c>
      <c r="AY316" t="s">
        <v>442</v>
      </c>
      <c r="AZ316" t="s">
        <v>442</v>
      </c>
      <c r="BA316" t="s">
        <v>442</v>
      </c>
      <c r="BB316" t="s">
        <v>442</v>
      </c>
      <c r="BC316" t="s">
        <v>442</v>
      </c>
      <c r="BD316" t="s">
        <v>442</v>
      </c>
      <c r="BE316" t="s">
        <v>442</v>
      </c>
      <c r="BF316" t="s">
        <v>442</v>
      </c>
      <c r="BG316" t="s">
        <v>442</v>
      </c>
      <c r="BH316" t="s">
        <v>442</v>
      </c>
      <c r="BI316" t="s">
        <v>442</v>
      </c>
    </row>
    <row r="317" spans="1:61" x14ac:dyDescent="0.2">
      <c r="A317" t="s">
        <v>377</v>
      </c>
      <c r="S317" t="s">
        <v>442</v>
      </c>
      <c r="T317" t="s">
        <v>442</v>
      </c>
      <c r="U317" t="s">
        <v>442</v>
      </c>
      <c r="V317" t="s">
        <v>442</v>
      </c>
      <c r="W317" t="s">
        <v>442</v>
      </c>
      <c r="X317" t="s">
        <v>442</v>
      </c>
      <c r="Y317" t="s">
        <v>442</v>
      </c>
      <c r="Z317" t="s">
        <v>442</v>
      </c>
      <c r="AA317" t="s">
        <v>442</v>
      </c>
      <c r="AB317" t="s">
        <v>442</v>
      </c>
      <c r="AC317" t="s">
        <v>442</v>
      </c>
      <c r="AD317" t="s">
        <v>442</v>
      </c>
      <c r="AE317" t="s">
        <v>442</v>
      </c>
      <c r="AF317" t="s">
        <v>442</v>
      </c>
      <c r="AG317" t="s">
        <v>442</v>
      </c>
      <c r="AH317" t="s">
        <v>442</v>
      </c>
      <c r="AI317" t="s">
        <v>442</v>
      </c>
      <c r="AJ317" t="s">
        <v>442</v>
      </c>
      <c r="AK317" t="s">
        <v>442</v>
      </c>
      <c r="AL317" t="s">
        <v>442</v>
      </c>
      <c r="AM317" t="s">
        <v>442</v>
      </c>
      <c r="AN317" t="s">
        <v>442</v>
      </c>
      <c r="AO317" t="s">
        <v>442</v>
      </c>
      <c r="AP317" t="s">
        <v>442</v>
      </c>
      <c r="AQ317" t="s">
        <v>442</v>
      </c>
      <c r="AR317" t="s">
        <v>442</v>
      </c>
      <c r="AS317" t="s">
        <v>442</v>
      </c>
      <c r="AT317" t="s">
        <v>442</v>
      </c>
      <c r="AU317" t="s">
        <v>442</v>
      </c>
      <c r="AV317" t="s">
        <v>442</v>
      </c>
      <c r="AW317" t="s">
        <v>442</v>
      </c>
      <c r="AX317" t="s">
        <v>442</v>
      </c>
      <c r="AY317" t="s">
        <v>442</v>
      </c>
      <c r="AZ317" t="s">
        <v>442</v>
      </c>
      <c r="BA317" t="s">
        <v>442</v>
      </c>
      <c r="BB317" t="s">
        <v>442</v>
      </c>
      <c r="BC317" t="s">
        <v>442</v>
      </c>
      <c r="BD317" t="s">
        <v>442</v>
      </c>
      <c r="BE317" t="s">
        <v>442</v>
      </c>
      <c r="BF317" t="s">
        <v>442</v>
      </c>
      <c r="BG317" t="s">
        <v>442</v>
      </c>
      <c r="BH317" t="s">
        <v>442</v>
      </c>
      <c r="BI317" t="s">
        <v>442</v>
      </c>
    </row>
    <row r="318" spans="1:61" x14ac:dyDescent="0.2">
      <c r="A318" t="s">
        <v>337</v>
      </c>
      <c r="S318" t="s">
        <v>442</v>
      </c>
      <c r="T318" t="s">
        <v>442</v>
      </c>
      <c r="U318" t="s">
        <v>442</v>
      </c>
      <c r="V318" t="s">
        <v>442</v>
      </c>
      <c r="W318" t="s">
        <v>442</v>
      </c>
      <c r="X318" t="s">
        <v>442</v>
      </c>
      <c r="Y318" t="s">
        <v>442</v>
      </c>
      <c r="Z318" t="s">
        <v>442</v>
      </c>
      <c r="AA318" t="s">
        <v>442</v>
      </c>
      <c r="AB318" t="s">
        <v>442</v>
      </c>
      <c r="AC318" t="s">
        <v>442</v>
      </c>
      <c r="AD318" t="s">
        <v>442</v>
      </c>
      <c r="AE318" t="s">
        <v>442</v>
      </c>
      <c r="AF318" t="s">
        <v>442</v>
      </c>
      <c r="AG318" t="s">
        <v>442</v>
      </c>
      <c r="AH318" t="s">
        <v>442</v>
      </c>
      <c r="AI318" t="s">
        <v>442</v>
      </c>
      <c r="AJ318" t="s">
        <v>442</v>
      </c>
      <c r="AK318" t="s">
        <v>442</v>
      </c>
      <c r="AL318" t="s">
        <v>442</v>
      </c>
      <c r="AM318" t="s">
        <v>442</v>
      </c>
      <c r="AN318" t="s">
        <v>442</v>
      </c>
      <c r="AO318" t="s">
        <v>442</v>
      </c>
      <c r="AP318" t="s">
        <v>442</v>
      </c>
      <c r="AQ318" t="s">
        <v>442</v>
      </c>
      <c r="AR318" t="s">
        <v>442</v>
      </c>
      <c r="AS318" t="s">
        <v>442</v>
      </c>
      <c r="AT318" t="s">
        <v>442</v>
      </c>
      <c r="AU318" t="s">
        <v>442</v>
      </c>
      <c r="AV318" t="s">
        <v>442</v>
      </c>
      <c r="AW318" t="s">
        <v>442</v>
      </c>
      <c r="AX318" t="s">
        <v>442</v>
      </c>
      <c r="AY318" t="s">
        <v>442</v>
      </c>
      <c r="AZ318" t="s">
        <v>442</v>
      </c>
      <c r="BA318" t="s">
        <v>442</v>
      </c>
      <c r="BB318" t="s">
        <v>442</v>
      </c>
      <c r="BC318" t="s">
        <v>442</v>
      </c>
      <c r="BD318" t="s">
        <v>442</v>
      </c>
      <c r="BE318" t="s">
        <v>442</v>
      </c>
      <c r="BF318" t="s">
        <v>442</v>
      </c>
      <c r="BG318" t="s">
        <v>442</v>
      </c>
      <c r="BH318" t="s">
        <v>442</v>
      </c>
      <c r="BI318" t="s">
        <v>442</v>
      </c>
    </row>
    <row r="319" spans="1:61" x14ac:dyDescent="0.2">
      <c r="A319" t="s">
        <v>338</v>
      </c>
      <c r="S319" t="s">
        <v>442</v>
      </c>
      <c r="T319" t="s">
        <v>442</v>
      </c>
      <c r="U319" t="s">
        <v>442</v>
      </c>
      <c r="V319" t="s">
        <v>442</v>
      </c>
      <c r="W319" t="s">
        <v>442</v>
      </c>
      <c r="X319" t="s">
        <v>442</v>
      </c>
      <c r="Y319" t="s">
        <v>442</v>
      </c>
      <c r="Z319" t="s">
        <v>442</v>
      </c>
      <c r="AA319" t="s">
        <v>442</v>
      </c>
      <c r="AB319" t="s">
        <v>442</v>
      </c>
      <c r="AC319" t="s">
        <v>442</v>
      </c>
      <c r="AD319" t="s">
        <v>442</v>
      </c>
      <c r="AE319" t="s">
        <v>442</v>
      </c>
      <c r="AF319" t="s">
        <v>442</v>
      </c>
      <c r="AG319" t="s">
        <v>442</v>
      </c>
      <c r="AH319" t="s">
        <v>442</v>
      </c>
      <c r="AI319" t="s">
        <v>442</v>
      </c>
      <c r="AJ319" t="s">
        <v>442</v>
      </c>
      <c r="AK319" t="s">
        <v>442</v>
      </c>
      <c r="AL319" t="s">
        <v>442</v>
      </c>
      <c r="AM319" t="s">
        <v>442</v>
      </c>
      <c r="AN319" t="s">
        <v>442</v>
      </c>
      <c r="AO319" t="s">
        <v>442</v>
      </c>
      <c r="AP319" t="s">
        <v>442</v>
      </c>
      <c r="AQ319" t="s">
        <v>442</v>
      </c>
      <c r="AR319" t="s">
        <v>442</v>
      </c>
      <c r="AS319" t="s">
        <v>442</v>
      </c>
      <c r="AT319" t="s">
        <v>442</v>
      </c>
      <c r="AU319" t="s">
        <v>442</v>
      </c>
      <c r="AV319" t="s">
        <v>442</v>
      </c>
      <c r="AW319" t="s">
        <v>442</v>
      </c>
      <c r="AX319" t="s">
        <v>442</v>
      </c>
      <c r="AY319" t="s">
        <v>442</v>
      </c>
      <c r="AZ319" t="s">
        <v>442</v>
      </c>
      <c r="BA319" t="s">
        <v>442</v>
      </c>
      <c r="BB319" t="s">
        <v>442</v>
      </c>
      <c r="BC319" t="s">
        <v>442</v>
      </c>
      <c r="BD319" t="s">
        <v>442</v>
      </c>
      <c r="BE319" t="s">
        <v>442</v>
      </c>
      <c r="BF319" t="s">
        <v>442</v>
      </c>
      <c r="BG319" t="s">
        <v>442</v>
      </c>
      <c r="BH319" t="s">
        <v>442</v>
      </c>
      <c r="BI319" t="s">
        <v>442</v>
      </c>
    </row>
    <row r="320" spans="1:61" x14ac:dyDescent="0.2">
      <c r="A320" t="s">
        <v>339</v>
      </c>
      <c r="S320" t="s">
        <v>442</v>
      </c>
      <c r="T320" t="s">
        <v>442</v>
      </c>
      <c r="U320" t="s">
        <v>442</v>
      </c>
      <c r="V320" t="s">
        <v>442</v>
      </c>
      <c r="W320" t="s">
        <v>442</v>
      </c>
      <c r="X320" t="s">
        <v>442</v>
      </c>
      <c r="Y320" t="s">
        <v>442</v>
      </c>
      <c r="Z320" t="s">
        <v>442</v>
      </c>
      <c r="AA320" t="s">
        <v>442</v>
      </c>
      <c r="AB320" t="s">
        <v>442</v>
      </c>
      <c r="AC320" t="s">
        <v>442</v>
      </c>
      <c r="AD320" t="s">
        <v>442</v>
      </c>
      <c r="AE320" t="s">
        <v>442</v>
      </c>
      <c r="AF320" t="s">
        <v>442</v>
      </c>
      <c r="AG320" t="s">
        <v>442</v>
      </c>
      <c r="AH320" t="s">
        <v>442</v>
      </c>
      <c r="AI320" t="s">
        <v>442</v>
      </c>
      <c r="AJ320" t="s">
        <v>442</v>
      </c>
      <c r="AK320" t="s">
        <v>442</v>
      </c>
      <c r="AL320" t="s">
        <v>442</v>
      </c>
      <c r="AM320" t="s">
        <v>442</v>
      </c>
      <c r="AN320" t="s">
        <v>442</v>
      </c>
      <c r="AO320" t="s">
        <v>442</v>
      </c>
      <c r="AP320" t="s">
        <v>442</v>
      </c>
      <c r="AQ320" t="s">
        <v>442</v>
      </c>
      <c r="AR320" t="s">
        <v>442</v>
      </c>
      <c r="AS320" t="s">
        <v>442</v>
      </c>
      <c r="AT320" t="s">
        <v>442</v>
      </c>
      <c r="AU320" t="s">
        <v>442</v>
      </c>
      <c r="AV320" t="s">
        <v>442</v>
      </c>
      <c r="AW320" t="s">
        <v>442</v>
      </c>
      <c r="AX320" t="s">
        <v>442</v>
      </c>
      <c r="AY320" t="s">
        <v>442</v>
      </c>
      <c r="AZ320" t="s">
        <v>442</v>
      </c>
      <c r="BA320" t="s">
        <v>442</v>
      </c>
      <c r="BB320" t="s">
        <v>442</v>
      </c>
      <c r="BC320" t="s">
        <v>442</v>
      </c>
      <c r="BD320" t="s">
        <v>442</v>
      </c>
      <c r="BE320" t="s">
        <v>442</v>
      </c>
      <c r="BF320" t="s">
        <v>442</v>
      </c>
      <c r="BG320" t="s">
        <v>442</v>
      </c>
      <c r="BH320" t="s">
        <v>442</v>
      </c>
      <c r="BI320" t="s">
        <v>442</v>
      </c>
    </row>
    <row r="321" spans="1:61" x14ac:dyDescent="0.2">
      <c r="A321" t="s">
        <v>653</v>
      </c>
      <c r="S321" t="s">
        <v>442</v>
      </c>
      <c r="T321" t="s">
        <v>442</v>
      </c>
      <c r="U321" t="s">
        <v>442</v>
      </c>
      <c r="V321" t="s">
        <v>442</v>
      </c>
      <c r="W321" t="s">
        <v>442</v>
      </c>
      <c r="X321" t="s">
        <v>442</v>
      </c>
      <c r="Y321" t="s">
        <v>442</v>
      </c>
      <c r="Z321" t="s">
        <v>442</v>
      </c>
      <c r="AA321" t="s">
        <v>442</v>
      </c>
      <c r="AB321" t="s">
        <v>442</v>
      </c>
      <c r="AC321" t="s">
        <v>442</v>
      </c>
      <c r="AD321" t="s">
        <v>442</v>
      </c>
      <c r="AE321" t="s">
        <v>442</v>
      </c>
      <c r="AF321" t="s">
        <v>442</v>
      </c>
      <c r="AG321" t="s">
        <v>442</v>
      </c>
      <c r="AH321" t="s">
        <v>442</v>
      </c>
      <c r="AI321" t="s">
        <v>442</v>
      </c>
      <c r="AJ321" t="s">
        <v>442</v>
      </c>
      <c r="AK321" t="s">
        <v>442</v>
      </c>
      <c r="AL321" t="s">
        <v>442</v>
      </c>
      <c r="AM321" t="s">
        <v>442</v>
      </c>
      <c r="AN321" t="s">
        <v>442</v>
      </c>
      <c r="AO321" t="s">
        <v>442</v>
      </c>
      <c r="AP321" t="s">
        <v>442</v>
      </c>
      <c r="AQ321" t="s">
        <v>442</v>
      </c>
      <c r="AR321" t="s">
        <v>442</v>
      </c>
      <c r="AS321" t="s">
        <v>442</v>
      </c>
      <c r="AT321" t="s">
        <v>442</v>
      </c>
      <c r="AU321" t="s">
        <v>442</v>
      </c>
      <c r="AV321" t="s">
        <v>442</v>
      </c>
      <c r="AW321" t="s">
        <v>442</v>
      </c>
      <c r="AX321" t="s">
        <v>442</v>
      </c>
      <c r="AY321" t="s">
        <v>442</v>
      </c>
      <c r="AZ321" t="s">
        <v>442</v>
      </c>
      <c r="BA321" t="s">
        <v>442</v>
      </c>
      <c r="BB321" t="s">
        <v>442</v>
      </c>
      <c r="BC321" t="s">
        <v>442</v>
      </c>
      <c r="BD321" t="s">
        <v>442</v>
      </c>
      <c r="BE321" t="s">
        <v>442</v>
      </c>
      <c r="BF321" t="s">
        <v>442</v>
      </c>
      <c r="BG321" t="s">
        <v>442</v>
      </c>
      <c r="BH321" t="s">
        <v>442</v>
      </c>
      <c r="BI321" t="s">
        <v>442</v>
      </c>
    </row>
    <row r="322" spans="1:61" x14ac:dyDescent="0.2">
      <c r="A322" t="s">
        <v>654</v>
      </c>
      <c r="S322" t="s">
        <v>442</v>
      </c>
      <c r="T322" t="s">
        <v>442</v>
      </c>
      <c r="U322" t="s">
        <v>442</v>
      </c>
      <c r="V322" t="s">
        <v>442</v>
      </c>
      <c r="W322" t="s">
        <v>442</v>
      </c>
      <c r="X322" t="s">
        <v>442</v>
      </c>
      <c r="Y322" t="s">
        <v>442</v>
      </c>
      <c r="Z322" t="s">
        <v>442</v>
      </c>
      <c r="AA322" t="s">
        <v>442</v>
      </c>
      <c r="AB322" t="s">
        <v>442</v>
      </c>
      <c r="AC322" t="s">
        <v>442</v>
      </c>
      <c r="AD322" t="s">
        <v>442</v>
      </c>
      <c r="AE322" t="s">
        <v>442</v>
      </c>
      <c r="AF322" t="s">
        <v>442</v>
      </c>
      <c r="AG322" t="s">
        <v>442</v>
      </c>
      <c r="AH322" t="s">
        <v>442</v>
      </c>
      <c r="AI322" t="s">
        <v>442</v>
      </c>
      <c r="AJ322" t="s">
        <v>442</v>
      </c>
      <c r="AK322" t="s">
        <v>442</v>
      </c>
      <c r="AL322" t="s">
        <v>442</v>
      </c>
      <c r="AM322" t="s">
        <v>442</v>
      </c>
      <c r="AN322" t="s">
        <v>442</v>
      </c>
      <c r="AO322" t="s">
        <v>442</v>
      </c>
      <c r="AP322" t="s">
        <v>442</v>
      </c>
      <c r="AQ322" t="s">
        <v>442</v>
      </c>
      <c r="AR322" t="s">
        <v>442</v>
      </c>
      <c r="AS322" t="s">
        <v>442</v>
      </c>
      <c r="AT322" t="s">
        <v>442</v>
      </c>
      <c r="AU322" t="s">
        <v>442</v>
      </c>
      <c r="AV322" t="s">
        <v>442</v>
      </c>
      <c r="AW322" t="s">
        <v>442</v>
      </c>
      <c r="AX322" t="s">
        <v>442</v>
      </c>
      <c r="AY322" t="s">
        <v>442</v>
      </c>
      <c r="AZ322" t="s">
        <v>442</v>
      </c>
      <c r="BA322" t="s">
        <v>442</v>
      </c>
      <c r="BB322" t="s">
        <v>442</v>
      </c>
      <c r="BC322" t="s">
        <v>442</v>
      </c>
      <c r="BD322" t="s">
        <v>442</v>
      </c>
      <c r="BE322" t="s">
        <v>442</v>
      </c>
      <c r="BF322" t="s">
        <v>442</v>
      </c>
      <c r="BG322" t="s">
        <v>442</v>
      </c>
      <c r="BH322" t="s">
        <v>442</v>
      </c>
      <c r="BI322" t="s">
        <v>442</v>
      </c>
    </row>
    <row r="323" spans="1:61" x14ac:dyDescent="0.2">
      <c r="A323" t="s">
        <v>403</v>
      </c>
      <c r="S323" t="s">
        <v>442</v>
      </c>
      <c r="T323" t="s">
        <v>442</v>
      </c>
      <c r="U323" t="s">
        <v>442</v>
      </c>
      <c r="V323" t="s">
        <v>442</v>
      </c>
      <c r="W323" t="s">
        <v>442</v>
      </c>
      <c r="X323" t="s">
        <v>442</v>
      </c>
      <c r="Y323" t="s">
        <v>442</v>
      </c>
      <c r="Z323" t="s">
        <v>442</v>
      </c>
      <c r="AA323" t="s">
        <v>442</v>
      </c>
      <c r="AB323" t="s">
        <v>442</v>
      </c>
      <c r="AC323" t="s">
        <v>442</v>
      </c>
      <c r="AD323" t="s">
        <v>442</v>
      </c>
      <c r="AE323" t="s">
        <v>442</v>
      </c>
      <c r="AF323" t="s">
        <v>442</v>
      </c>
      <c r="AG323" t="s">
        <v>442</v>
      </c>
      <c r="AH323" t="s">
        <v>442</v>
      </c>
      <c r="AI323" t="s">
        <v>442</v>
      </c>
      <c r="AJ323" t="s">
        <v>442</v>
      </c>
      <c r="AK323" t="s">
        <v>442</v>
      </c>
      <c r="AL323" t="s">
        <v>442</v>
      </c>
      <c r="AM323" t="s">
        <v>442</v>
      </c>
      <c r="AN323" t="s">
        <v>442</v>
      </c>
      <c r="AO323" t="s">
        <v>442</v>
      </c>
      <c r="AP323" t="s">
        <v>442</v>
      </c>
      <c r="AQ323" t="s">
        <v>442</v>
      </c>
      <c r="AR323" t="s">
        <v>442</v>
      </c>
      <c r="AS323" t="s">
        <v>442</v>
      </c>
      <c r="AT323" t="s">
        <v>442</v>
      </c>
      <c r="AU323" t="s">
        <v>442</v>
      </c>
      <c r="AV323" t="s">
        <v>442</v>
      </c>
      <c r="AW323" t="s">
        <v>442</v>
      </c>
      <c r="AX323" t="s">
        <v>442</v>
      </c>
      <c r="AY323" t="s">
        <v>442</v>
      </c>
      <c r="AZ323" t="s">
        <v>442</v>
      </c>
      <c r="BA323" t="s">
        <v>442</v>
      </c>
      <c r="BB323" t="s">
        <v>442</v>
      </c>
      <c r="BC323" t="s">
        <v>442</v>
      </c>
      <c r="BD323" t="s">
        <v>442</v>
      </c>
      <c r="BE323" t="s">
        <v>442</v>
      </c>
      <c r="BF323" t="s">
        <v>442</v>
      </c>
      <c r="BG323" t="s">
        <v>442</v>
      </c>
      <c r="BH323" t="s">
        <v>442</v>
      </c>
      <c r="BI323" t="s">
        <v>442</v>
      </c>
    </row>
    <row r="324" spans="1:61" x14ac:dyDescent="0.2">
      <c r="A324" t="s">
        <v>404</v>
      </c>
      <c r="S324" t="s">
        <v>442</v>
      </c>
      <c r="T324" t="s">
        <v>442</v>
      </c>
      <c r="U324" t="s">
        <v>442</v>
      </c>
      <c r="V324" t="s">
        <v>442</v>
      </c>
      <c r="W324" t="s">
        <v>442</v>
      </c>
      <c r="X324" t="s">
        <v>442</v>
      </c>
      <c r="Y324" t="s">
        <v>442</v>
      </c>
      <c r="Z324" t="s">
        <v>442</v>
      </c>
      <c r="AA324" t="s">
        <v>442</v>
      </c>
      <c r="AB324" t="s">
        <v>442</v>
      </c>
      <c r="AC324" t="s">
        <v>442</v>
      </c>
      <c r="AD324" t="s">
        <v>442</v>
      </c>
      <c r="AE324" t="s">
        <v>442</v>
      </c>
      <c r="AF324" t="s">
        <v>442</v>
      </c>
      <c r="AG324" t="s">
        <v>442</v>
      </c>
      <c r="AH324" t="s">
        <v>442</v>
      </c>
      <c r="AI324" t="s">
        <v>442</v>
      </c>
      <c r="AJ324" t="s">
        <v>442</v>
      </c>
      <c r="AK324" t="s">
        <v>442</v>
      </c>
      <c r="AL324" t="s">
        <v>442</v>
      </c>
      <c r="AM324" t="s">
        <v>442</v>
      </c>
      <c r="AN324" t="s">
        <v>442</v>
      </c>
      <c r="AO324" t="s">
        <v>442</v>
      </c>
      <c r="AP324" t="s">
        <v>442</v>
      </c>
      <c r="AQ324" t="s">
        <v>442</v>
      </c>
      <c r="AR324" t="s">
        <v>442</v>
      </c>
      <c r="AS324" t="s">
        <v>442</v>
      </c>
      <c r="AT324" t="s">
        <v>442</v>
      </c>
      <c r="AU324" t="s">
        <v>442</v>
      </c>
      <c r="AV324" t="s">
        <v>442</v>
      </c>
      <c r="AW324" t="s">
        <v>442</v>
      </c>
      <c r="AX324" t="s">
        <v>442</v>
      </c>
      <c r="AY324" t="s">
        <v>442</v>
      </c>
      <c r="AZ324" t="s">
        <v>442</v>
      </c>
      <c r="BA324" t="s">
        <v>442</v>
      </c>
      <c r="BB324" t="s">
        <v>442</v>
      </c>
      <c r="BC324" t="s">
        <v>442</v>
      </c>
      <c r="BD324" t="s">
        <v>442</v>
      </c>
      <c r="BE324" t="s">
        <v>442</v>
      </c>
      <c r="BF324" t="s">
        <v>442</v>
      </c>
      <c r="BG324" t="s">
        <v>442</v>
      </c>
      <c r="BH324" t="s">
        <v>442</v>
      </c>
      <c r="BI324" t="s">
        <v>442</v>
      </c>
    </row>
    <row r="325" spans="1:61" x14ac:dyDescent="0.2">
      <c r="A325" t="s">
        <v>405</v>
      </c>
      <c r="S325" t="s">
        <v>442</v>
      </c>
      <c r="T325" t="s">
        <v>442</v>
      </c>
      <c r="U325" t="s">
        <v>442</v>
      </c>
      <c r="V325" t="s">
        <v>442</v>
      </c>
      <c r="W325" t="s">
        <v>442</v>
      </c>
      <c r="X325" t="s">
        <v>442</v>
      </c>
      <c r="Y325" t="s">
        <v>442</v>
      </c>
      <c r="Z325" t="s">
        <v>442</v>
      </c>
      <c r="AA325" t="s">
        <v>442</v>
      </c>
      <c r="AB325" t="s">
        <v>442</v>
      </c>
      <c r="AC325" t="s">
        <v>442</v>
      </c>
      <c r="AD325" t="s">
        <v>442</v>
      </c>
      <c r="AE325" t="s">
        <v>442</v>
      </c>
      <c r="AF325" t="s">
        <v>442</v>
      </c>
      <c r="AG325" t="s">
        <v>442</v>
      </c>
      <c r="AH325" t="s">
        <v>442</v>
      </c>
      <c r="AI325" t="s">
        <v>442</v>
      </c>
      <c r="AJ325" t="s">
        <v>442</v>
      </c>
      <c r="AK325" t="s">
        <v>442</v>
      </c>
      <c r="AL325" t="s">
        <v>442</v>
      </c>
      <c r="AM325" t="s">
        <v>442</v>
      </c>
      <c r="AN325" t="s">
        <v>442</v>
      </c>
      <c r="AO325" t="s">
        <v>442</v>
      </c>
      <c r="AP325" t="s">
        <v>442</v>
      </c>
      <c r="AQ325" t="s">
        <v>442</v>
      </c>
      <c r="AR325" t="s">
        <v>442</v>
      </c>
      <c r="AS325" t="s">
        <v>442</v>
      </c>
      <c r="AT325" t="s">
        <v>442</v>
      </c>
      <c r="AU325" t="s">
        <v>442</v>
      </c>
      <c r="AV325" t="s">
        <v>442</v>
      </c>
      <c r="AW325" t="s">
        <v>442</v>
      </c>
      <c r="AX325" t="s">
        <v>442</v>
      </c>
      <c r="AY325" t="s">
        <v>442</v>
      </c>
      <c r="AZ325" t="s">
        <v>442</v>
      </c>
      <c r="BA325" t="s">
        <v>442</v>
      </c>
      <c r="BB325" t="s">
        <v>442</v>
      </c>
      <c r="BC325" t="s">
        <v>442</v>
      </c>
      <c r="BD325" t="s">
        <v>442</v>
      </c>
      <c r="BE325" t="s">
        <v>442</v>
      </c>
      <c r="BF325" t="s">
        <v>442</v>
      </c>
      <c r="BG325" t="s">
        <v>442</v>
      </c>
      <c r="BH325" t="s">
        <v>442</v>
      </c>
      <c r="BI325" t="s">
        <v>442</v>
      </c>
    </row>
    <row r="326" spans="1:61" x14ac:dyDescent="0.2">
      <c r="A326" t="s">
        <v>385</v>
      </c>
      <c r="S326" t="s">
        <v>442</v>
      </c>
      <c r="T326" t="s">
        <v>442</v>
      </c>
      <c r="U326" t="s">
        <v>442</v>
      </c>
      <c r="V326" t="s">
        <v>442</v>
      </c>
      <c r="W326" t="s">
        <v>442</v>
      </c>
      <c r="X326" t="s">
        <v>442</v>
      </c>
      <c r="Y326" t="s">
        <v>442</v>
      </c>
      <c r="Z326" t="s">
        <v>442</v>
      </c>
      <c r="AA326" t="s">
        <v>442</v>
      </c>
      <c r="AB326" t="s">
        <v>442</v>
      </c>
      <c r="AC326" t="s">
        <v>442</v>
      </c>
      <c r="AD326" t="s">
        <v>442</v>
      </c>
      <c r="AE326" t="s">
        <v>442</v>
      </c>
      <c r="AF326" t="s">
        <v>442</v>
      </c>
      <c r="AG326" t="s">
        <v>442</v>
      </c>
      <c r="AH326" t="s">
        <v>442</v>
      </c>
      <c r="AI326" t="s">
        <v>442</v>
      </c>
      <c r="AJ326" t="s">
        <v>442</v>
      </c>
      <c r="AK326" t="s">
        <v>442</v>
      </c>
      <c r="AL326" t="s">
        <v>442</v>
      </c>
      <c r="AM326" t="s">
        <v>442</v>
      </c>
      <c r="AN326" t="s">
        <v>442</v>
      </c>
      <c r="AO326" t="s">
        <v>442</v>
      </c>
      <c r="AP326" t="s">
        <v>442</v>
      </c>
      <c r="AQ326" t="s">
        <v>442</v>
      </c>
      <c r="AR326" t="s">
        <v>442</v>
      </c>
      <c r="AS326" t="s">
        <v>442</v>
      </c>
      <c r="AT326" t="s">
        <v>442</v>
      </c>
      <c r="AU326" t="s">
        <v>442</v>
      </c>
      <c r="AV326" t="s">
        <v>442</v>
      </c>
      <c r="AW326" t="s">
        <v>442</v>
      </c>
      <c r="AX326" t="s">
        <v>442</v>
      </c>
      <c r="AY326" t="s">
        <v>442</v>
      </c>
      <c r="AZ326" t="s">
        <v>442</v>
      </c>
      <c r="BA326" t="s">
        <v>442</v>
      </c>
      <c r="BB326" t="s">
        <v>442</v>
      </c>
      <c r="BC326" t="s">
        <v>442</v>
      </c>
      <c r="BD326" t="s">
        <v>442</v>
      </c>
      <c r="BE326" t="s">
        <v>442</v>
      </c>
      <c r="BF326" t="s">
        <v>442</v>
      </c>
      <c r="BG326" t="s">
        <v>442</v>
      </c>
      <c r="BH326" t="s">
        <v>442</v>
      </c>
      <c r="BI326" t="s">
        <v>442</v>
      </c>
    </row>
    <row r="327" spans="1:61" x14ac:dyDescent="0.2">
      <c r="A327" t="s">
        <v>386</v>
      </c>
      <c r="S327" t="s">
        <v>442</v>
      </c>
      <c r="T327" t="s">
        <v>442</v>
      </c>
      <c r="U327" t="s">
        <v>442</v>
      </c>
      <c r="V327" t="s">
        <v>442</v>
      </c>
      <c r="W327" t="s">
        <v>442</v>
      </c>
      <c r="X327" t="s">
        <v>442</v>
      </c>
      <c r="Y327" t="s">
        <v>442</v>
      </c>
      <c r="Z327" t="s">
        <v>442</v>
      </c>
      <c r="AA327" t="s">
        <v>442</v>
      </c>
      <c r="AB327" t="s">
        <v>442</v>
      </c>
      <c r="AC327" t="s">
        <v>442</v>
      </c>
      <c r="AD327" t="s">
        <v>442</v>
      </c>
      <c r="AE327" t="s">
        <v>442</v>
      </c>
      <c r="AF327" t="s">
        <v>442</v>
      </c>
      <c r="AG327" t="s">
        <v>442</v>
      </c>
      <c r="AH327" t="s">
        <v>442</v>
      </c>
      <c r="AI327" t="s">
        <v>442</v>
      </c>
      <c r="AJ327" t="s">
        <v>442</v>
      </c>
      <c r="AK327" t="s">
        <v>442</v>
      </c>
      <c r="AL327" t="s">
        <v>442</v>
      </c>
      <c r="AM327" t="s">
        <v>442</v>
      </c>
      <c r="AN327" t="s">
        <v>442</v>
      </c>
      <c r="AO327" t="s">
        <v>442</v>
      </c>
      <c r="AP327" t="s">
        <v>442</v>
      </c>
      <c r="AQ327" t="s">
        <v>442</v>
      </c>
      <c r="AR327" t="s">
        <v>442</v>
      </c>
      <c r="AS327" t="s">
        <v>442</v>
      </c>
      <c r="AT327" t="s">
        <v>442</v>
      </c>
      <c r="AU327" t="s">
        <v>442</v>
      </c>
      <c r="AV327" t="s">
        <v>442</v>
      </c>
      <c r="AW327" t="s">
        <v>442</v>
      </c>
      <c r="AX327" t="s">
        <v>442</v>
      </c>
      <c r="AY327" t="s">
        <v>442</v>
      </c>
      <c r="AZ327" t="s">
        <v>442</v>
      </c>
      <c r="BA327" t="s">
        <v>442</v>
      </c>
      <c r="BB327" t="s">
        <v>442</v>
      </c>
      <c r="BC327" t="s">
        <v>442</v>
      </c>
      <c r="BD327" t="s">
        <v>442</v>
      </c>
      <c r="BE327" t="s">
        <v>442</v>
      </c>
      <c r="BF327" t="s">
        <v>442</v>
      </c>
      <c r="BG327" t="s">
        <v>442</v>
      </c>
      <c r="BH327" t="s">
        <v>442</v>
      </c>
      <c r="BI327" t="s">
        <v>442</v>
      </c>
    </row>
    <row r="328" spans="1:61" x14ac:dyDescent="0.2">
      <c r="A328" t="s">
        <v>387</v>
      </c>
      <c r="S328" t="s">
        <v>442</v>
      </c>
      <c r="T328" t="s">
        <v>442</v>
      </c>
      <c r="U328" t="s">
        <v>442</v>
      </c>
      <c r="V328" t="s">
        <v>442</v>
      </c>
      <c r="W328" t="s">
        <v>442</v>
      </c>
      <c r="X328" t="s">
        <v>442</v>
      </c>
      <c r="Y328" t="s">
        <v>442</v>
      </c>
      <c r="Z328" t="s">
        <v>442</v>
      </c>
      <c r="AA328" t="s">
        <v>442</v>
      </c>
      <c r="AB328" t="s">
        <v>442</v>
      </c>
      <c r="AC328" t="s">
        <v>442</v>
      </c>
      <c r="AD328" t="s">
        <v>442</v>
      </c>
      <c r="AE328" t="s">
        <v>442</v>
      </c>
      <c r="AF328" t="s">
        <v>442</v>
      </c>
      <c r="AG328" t="s">
        <v>442</v>
      </c>
      <c r="AH328" t="s">
        <v>442</v>
      </c>
      <c r="AI328" t="s">
        <v>442</v>
      </c>
      <c r="AJ328" t="s">
        <v>442</v>
      </c>
      <c r="AK328" t="s">
        <v>442</v>
      </c>
      <c r="AL328" t="s">
        <v>442</v>
      </c>
      <c r="AM328" t="s">
        <v>442</v>
      </c>
      <c r="AN328" t="s">
        <v>442</v>
      </c>
      <c r="AO328" t="s">
        <v>442</v>
      </c>
      <c r="AP328" t="s">
        <v>442</v>
      </c>
      <c r="AQ328" t="s">
        <v>442</v>
      </c>
      <c r="AR328" t="s">
        <v>442</v>
      </c>
      <c r="AS328" t="s">
        <v>442</v>
      </c>
      <c r="AT328" t="s">
        <v>442</v>
      </c>
      <c r="AU328" t="s">
        <v>442</v>
      </c>
      <c r="AV328" t="s">
        <v>442</v>
      </c>
      <c r="AW328" t="s">
        <v>442</v>
      </c>
      <c r="AX328" t="s">
        <v>442</v>
      </c>
      <c r="AY328" t="s">
        <v>442</v>
      </c>
      <c r="AZ328" t="s">
        <v>442</v>
      </c>
      <c r="BA328" t="s">
        <v>442</v>
      </c>
      <c r="BB328" t="s">
        <v>442</v>
      </c>
      <c r="BC328" t="s">
        <v>442</v>
      </c>
      <c r="BD328" t="s">
        <v>442</v>
      </c>
      <c r="BE328" t="s">
        <v>442</v>
      </c>
      <c r="BF328" t="s">
        <v>442</v>
      </c>
      <c r="BG328" t="s">
        <v>442</v>
      </c>
      <c r="BH328" t="s">
        <v>442</v>
      </c>
      <c r="BI328" t="s">
        <v>442</v>
      </c>
    </row>
    <row r="329" spans="1:61" x14ac:dyDescent="0.2">
      <c r="A329" t="s">
        <v>394</v>
      </c>
      <c r="S329" t="s">
        <v>442</v>
      </c>
      <c r="T329" t="s">
        <v>442</v>
      </c>
      <c r="U329" t="s">
        <v>442</v>
      </c>
      <c r="V329" t="s">
        <v>442</v>
      </c>
      <c r="W329" t="s">
        <v>442</v>
      </c>
      <c r="X329" t="s">
        <v>442</v>
      </c>
      <c r="Y329" t="s">
        <v>442</v>
      </c>
      <c r="Z329" t="s">
        <v>442</v>
      </c>
      <c r="AA329" t="s">
        <v>442</v>
      </c>
      <c r="AB329" t="s">
        <v>442</v>
      </c>
      <c r="AC329" t="s">
        <v>442</v>
      </c>
      <c r="AD329" t="s">
        <v>442</v>
      </c>
      <c r="AE329" t="s">
        <v>442</v>
      </c>
      <c r="AF329" t="s">
        <v>442</v>
      </c>
      <c r="AG329" t="s">
        <v>442</v>
      </c>
      <c r="AH329" t="s">
        <v>442</v>
      </c>
      <c r="AI329" t="s">
        <v>442</v>
      </c>
      <c r="AJ329" t="s">
        <v>442</v>
      </c>
      <c r="AK329" t="s">
        <v>442</v>
      </c>
      <c r="AL329" t="s">
        <v>442</v>
      </c>
      <c r="AM329" t="s">
        <v>442</v>
      </c>
      <c r="AN329" t="s">
        <v>442</v>
      </c>
      <c r="AO329" t="s">
        <v>442</v>
      </c>
      <c r="AP329" t="s">
        <v>442</v>
      </c>
      <c r="AQ329" t="s">
        <v>442</v>
      </c>
      <c r="AR329" t="s">
        <v>442</v>
      </c>
      <c r="AS329" t="s">
        <v>442</v>
      </c>
      <c r="AT329" t="s">
        <v>442</v>
      </c>
      <c r="AU329" t="s">
        <v>442</v>
      </c>
      <c r="AV329" t="s">
        <v>442</v>
      </c>
      <c r="AW329" t="s">
        <v>442</v>
      </c>
      <c r="AX329" t="s">
        <v>442</v>
      </c>
      <c r="AY329" t="s">
        <v>442</v>
      </c>
      <c r="AZ329" t="s">
        <v>442</v>
      </c>
      <c r="BA329" t="s">
        <v>442</v>
      </c>
      <c r="BB329" t="s">
        <v>442</v>
      </c>
      <c r="BC329" t="s">
        <v>442</v>
      </c>
      <c r="BD329" t="s">
        <v>442</v>
      </c>
      <c r="BE329" t="s">
        <v>442</v>
      </c>
      <c r="BF329" t="s">
        <v>442</v>
      </c>
      <c r="BG329" t="s">
        <v>442</v>
      </c>
      <c r="BH329" t="s">
        <v>442</v>
      </c>
      <c r="BI329" t="s">
        <v>442</v>
      </c>
    </row>
    <row r="330" spans="1:61" x14ac:dyDescent="0.2">
      <c r="A330" t="s">
        <v>395</v>
      </c>
      <c r="S330" t="s">
        <v>442</v>
      </c>
      <c r="T330" t="s">
        <v>442</v>
      </c>
      <c r="U330" t="s">
        <v>442</v>
      </c>
      <c r="V330" t="s">
        <v>442</v>
      </c>
      <c r="W330" t="s">
        <v>442</v>
      </c>
      <c r="X330" t="s">
        <v>442</v>
      </c>
      <c r="Y330" t="s">
        <v>442</v>
      </c>
      <c r="Z330" t="s">
        <v>442</v>
      </c>
      <c r="AA330" t="s">
        <v>442</v>
      </c>
      <c r="AB330" t="s">
        <v>442</v>
      </c>
      <c r="AC330" t="s">
        <v>442</v>
      </c>
      <c r="AD330" t="s">
        <v>442</v>
      </c>
      <c r="AE330" t="s">
        <v>442</v>
      </c>
      <c r="AF330" t="s">
        <v>442</v>
      </c>
      <c r="AG330" t="s">
        <v>442</v>
      </c>
      <c r="AH330" t="s">
        <v>442</v>
      </c>
      <c r="AI330" t="s">
        <v>442</v>
      </c>
      <c r="AJ330" t="s">
        <v>442</v>
      </c>
      <c r="AK330" t="s">
        <v>442</v>
      </c>
      <c r="AL330" t="s">
        <v>442</v>
      </c>
      <c r="AM330" t="s">
        <v>442</v>
      </c>
      <c r="AN330" t="s">
        <v>442</v>
      </c>
      <c r="AO330" t="s">
        <v>442</v>
      </c>
      <c r="AP330" t="s">
        <v>442</v>
      </c>
      <c r="AQ330" t="s">
        <v>442</v>
      </c>
      <c r="AR330" t="s">
        <v>442</v>
      </c>
      <c r="AS330" t="s">
        <v>442</v>
      </c>
      <c r="AT330" t="s">
        <v>442</v>
      </c>
      <c r="AU330" t="s">
        <v>442</v>
      </c>
      <c r="AV330" t="s">
        <v>442</v>
      </c>
      <c r="AW330" t="s">
        <v>442</v>
      </c>
      <c r="AX330" t="s">
        <v>442</v>
      </c>
      <c r="AY330" t="s">
        <v>442</v>
      </c>
      <c r="AZ330" t="s">
        <v>442</v>
      </c>
      <c r="BA330" t="s">
        <v>442</v>
      </c>
      <c r="BB330" t="s">
        <v>442</v>
      </c>
      <c r="BC330" t="s">
        <v>442</v>
      </c>
      <c r="BD330" t="s">
        <v>442</v>
      </c>
      <c r="BE330" t="s">
        <v>442</v>
      </c>
      <c r="BF330" t="s">
        <v>442</v>
      </c>
      <c r="BG330" t="s">
        <v>442</v>
      </c>
      <c r="BH330" t="s">
        <v>442</v>
      </c>
      <c r="BI330" t="s">
        <v>442</v>
      </c>
    </row>
    <row r="331" spans="1:61" x14ac:dyDescent="0.2">
      <c r="A331" t="s">
        <v>396</v>
      </c>
      <c r="S331" t="s">
        <v>442</v>
      </c>
      <c r="T331" t="s">
        <v>442</v>
      </c>
      <c r="U331" t="s">
        <v>442</v>
      </c>
      <c r="V331" t="s">
        <v>442</v>
      </c>
      <c r="W331" t="s">
        <v>442</v>
      </c>
      <c r="X331" t="s">
        <v>442</v>
      </c>
      <c r="Y331" t="s">
        <v>442</v>
      </c>
      <c r="Z331" t="s">
        <v>442</v>
      </c>
      <c r="AA331" t="s">
        <v>442</v>
      </c>
      <c r="AB331" t="s">
        <v>442</v>
      </c>
      <c r="AC331" t="s">
        <v>442</v>
      </c>
      <c r="AD331" t="s">
        <v>442</v>
      </c>
      <c r="AE331" t="s">
        <v>442</v>
      </c>
      <c r="AF331" t="s">
        <v>442</v>
      </c>
      <c r="AG331" t="s">
        <v>442</v>
      </c>
      <c r="AH331" t="s">
        <v>442</v>
      </c>
      <c r="AI331" t="s">
        <v>442</v>
      </c>
      <c r="AJ331" t="s">
        <v>442</v>
      </c>
      <c r="AK331" t="s">
        <v>442</v>
      </c>
      <c r="AL331" t="s">
        <v>442</v>
      </c>
      <c r="AM331" t="s">
        <v>442</v>
      </c>
      <c r="AN331" t="s">
        <v>442</v>
      </c>
      <c r="AO331" t="s">
        <v>442</v>
      </c>
      <c r="AP331" t="s">
        <v>442</v>
      </c>
      <c r="AQ331" t="s">
        <v>442</v>
      </c>
      <c r="AR331" t="s">
        <v>442</v>
      </c>
      <c r="AS331" t="s">
        <v>442</v>
      </c>
      <c r="AT331" t="s">
        <v>442</v>
      </c>
      <c r="AU331" t="s">
        <v>442</v>
      </c>
      <c r="AV331" t="s">
        <v>442</v>
      </c>
      <c r="AW331" t="s">
        <v>442</v>
      </c>
      <c r="AX331" t="s">
        <v>442</v>
      </c>
      <c r="AY331" t="s">
        <v>442</v>
      </c>
      <c r="AZ331" t="s">
        <v>442</v>
      </c>
      <c r="BA331" t="s">
        <v>442</v>
      </c>
      <c r="BB331" t="s">
        <v>442</v>
      </c>
      <c r="BC331" t="s">
        <v>442</v>
      </c>
      <c r="BD331" t="s">
        <v>442</v>
      </c>
      <c r="BE331" t="s">
        <v>442</v>
      </c>
      <c r="BF331" t="s">
        <v>442</v>
      </c>
      <c r="BG331" t="s">
        <v>442</v>
      </c>
      <c r="BH331" t="s">
        <v>442</v>
      </c>
      <c r="BI331" t="s">
        <v>442</v>
      </c>
    </row>
    <row r="332" spans="1:61" x14ac:dyDescent="0.2">
      <c r="A332" t="s">
        <v>655</v>
      </c>
      <c r="S332" t="s">
        <v>442</v>
      </c>
      <c r="T332" t="s">
        <v>442</v>
      </c>
      <c r="U332" t="s">
        <v>442</v>
      </c>
      <c r="V332" t="s">
        <v>442</v>
      </c>
      <c r="W332" t="s">
        <v>442</v>
      </c>
      <c r="X332" t="s">
        <v>442</v>
      </c>
      <c r="Y332" t="s">
        <v>442</v>
      </c>
      <c r="Z332" t="s">
        <v>442</v>
      </c>
      <c r="AA332" t="s">
        <v>442</v>
      </c>
      <c r="AB332" t="s">
        <v>442</v>
      </c>
      <c r="AC332" t="s">
        <v>442</v>
      </c>
      <c r="AD332" t="s">
        <v>442</v>
      </c>
      <c r="AE332" t="s">
        <v>442</v>
      </c>
      <c r="AF332" t="s">
        <v>442</v>
      </c>
      <c r="AG332" t="s">
        <v>442</v>
      </c>
      <c r="AH332" t="s">
        <v>442</v>
      </c>
      <c r="AI332" t="s">
        <v>442</v>
      </c>
      <c r="AJ332" t="s">
        <v>442</v>
      </c>
      <c r="AK332" t="s">
        <v>442</v>
      </c>
      <c r="AL332" t="s">
        <v>442</v>
      </c>
      <c r="AM332" t="s">
        <v>442</v>
      </c>
      <c r="AN332" t="s">
        <v>442</v>
      </c>
      <c r="AO332" t="s">
        <v>442</v>
      </c>
      <c r="AP332" t="s">
        <v>442</v>
      </c>
      <c r="AQ332" t="s">
        <v>442</v>
      </c>
      <c r="AR332" t="s">
        <v>442</v>
      </c>
      <c r="AS332" t="s">
        <v>442</v>
      </c>
      <c r="AT332" t="s">
        <v>442</v>
      </c>
      <c r="AU332" t="s">
        <v>442</v>
      </c>
      <c r="AV332" t="s">
        <v>442</v>
      </c>
      <c r="AW332" t="s">
        <v>442</v>
      </c>
      <c r="AX332" t="s">
        <v>442</v>
      </c>
      <c r="AY332" t="s">
        <v>442</v>
      </c>
      <c r="AZ332" t="s">
        <v>442</v>
      </c>
      <c r="BA332" t="s">
        <v>442</v>
      </c>
      <c r="BB332" t="s">
        <v>442</v>
      </c>
      <c r="BC332" t="s">
        <v>442</v>
      </c>
      <c r="BD332" t="s">
        <v>442</v>
      </c>
      <c r="BE332" t="s">
        <v>442</v>
      </c>
      <c r="BF332" t="s">
        <v>442</v>
      </c>
      <c r="BG332" t="s">
        <v>442</v>
      </c>
      <c r="BH332" t="s">
        <v>442</v>
      </c>
      <c r="BI332" t="s">
        <v>442</v>
      </c>
    </row>
    <row r="333" spans="1:61" x14ac:dyDescent="0.2">
      <c r="A333" t="s">
        <v>656</v>
      </c>
      <c r="S333" t="s">
        <v>442</v>
      </c>
      <c r="T333" t="s">
        <v>442</v>
      </c>
      <c r="U333" t="s">
        <v>442</v>
      </c>
      <c r="V333" t="s">
        <v>442</v>
      </c>
      <c r="W333" t="s">
        <v>442</v>
      </c>
      <c r="X333" t="s">
        <v>442</v>
      </c>
      <c r="Y333" t="s">
        <v>442</v>
      </c>
      <c r="Z333" t="s">
        <v>442</v>
      </c>
      <c r="AA333" t="s">
        <v>442</v>
      </c>
      <c r="AB333" t="s">
        <v>442</v>
      </c>
      <c r="AC333" t="s">
        <v>442</v>
      </c>
      <c r="AD333" t="s">
        <v>442</v>
      </c>
      <c r="AE333" t="s">
        <v>442</v>
      </c>
      <c r="AF333" t="s">
        <v>442</v>
      </c>
      <c r="AG333" t="s">
        <v>442</v>
      </c>
      <c r="AH333" t="s">
        <v>442</v>
      </c>
      <c r="AI333" t="s">
        <v>442</v>
      </c>
      <c r="AJ333" t="s">
        <v>442</v>
      </c>
      <c r="AK333" t="s">
        <v>442</v>
      </c>
      <c r="AL333" t="s">
        <v>442</v>
      </c>
      <c r="AM333" t="s">
        <v>442</v>
      </c>
      <c r="AN333" t="s">
        <v>442</v>
      </c>
      <c r="AO333" t="s">
        <v>442</v>
      </c>
      <c r="AP333" t="s">
        <v>442</v>
      </c>
      <c r="AQ333" t="s">
        <v>442</v>
      </c>
      <c r="AR333" t="s">
        <v>442</v>
      </c>
      <c r="AS333" t="s">
        <v>442</v>
      </c>
      <c r="AT333" t="s">
        <v>442</v>
      </c>
      <c r="AU333" t="s">
        <v>442</v>
      </c>
      <c r="AV333" t="s">
        <v>442</v>
      </c>
      <c r="AW333" t="s">
        <v>442</v>
      </c>
      <c r="AX333" t="s">
        <v>442</v>
      </c>
      <c r="AY333" t="s">
        <v>442</v>
      </c>
      <c r="AZ333" t="s">
        <v>442</v>
      </c>
      <c r="BA333" t="s">
        <v>442</v>
      </c>
      <c r="BB333" t="s">
        <v>442</v>
      </c>
      <c r="BC333" t="s">
        <v>442</v>
      </c>
      <c r="BD333" t="s">
        <v>442</v>
      </c>
      <c r="BE333" t="s">
        <v>442</v>
      </c>
      <c r="BF333" t="s">
        <v>442</v>
      </c>
      <c r="BG333" t="s">
        <v>442</v>
      </c>
      <c r="BH333" t="s">
        <v>442</v>
      </c>
      <c r="BI333" t="s">
        <v>442</v>
      </c>
    </row>
    <row r="334" spans="1:61" x14ac:dyDescent="0.2">
      <c r="A334" t="s">
        <v>657</v>
      </c>
      <c r="S334" t="s">
        <v>442</v>
      </c>
      <c r="T334" t="s">
        <v>442</v>
      </c>
      <c r="U334" t="s">
        <v>442</v>
      </c>
      <c r="V334" t="s">
        <v>442</v>
      </c>
      <c r="W334" t="s">
        <v>442</v>
      </c>
      <c r="X334" t="s">
        <v>442</v>
      </c>
      <c r="Y334" t="s">
        <v>442</v>
      </c>
      <c r="Z334" t="s">
        <v>442</v>
      </c>
      <c r="AA334" t="s">
        <v>442</v>
      </c>
      <c r="AB334" t="s">
        <v>442</v>
      </c>
      <c r="AC334" t="s">
        <v>442</v>
      </c>
      <c r="AD334" t="s">
        <v>442</v>
      </c>
      <c r="AE334" t="s">
        <v>442</v>
      </c>
      <c r="AF334" t="s">
        <v>442</v>
      </c>
      <c r="AG334" t="s">
        <v>442</v>
      </c>
      <c r="AH334" t="s">
        <v>442</v>
      </c>
      <c r="AI334" t="s">
        <v>442</v>
      </c>
      <c r="AJ334" t="s">
        <v>442</v>
      </c>
      <c r="AK334" t="s">
        <v>442</v>
      </c>
      <c r="AL334" t="s">
        <v>442</v>
      </c>
      <c r="AM334" t="s">
        <v>442</v>
      </c>
      <c r="AN334" t="s">
        <v>442</v>
      </c>
      <c r="AO334" t="s">
        <v>442</v>
      </c>
      <c r="AP334" t="s">
        <v>442</v>
      </c>
      <c r="AQ334" t="s">
        <v>442</v>
      </c>
      <c r="AR334" t="s">
        <v>442</v>
      </c>
      <c r="AS334" t="s">
        <v>442</v>
      </c>
      <c r="AT334" t="s">
        <v>442</v>
      </c>
      <c r="AU334" t="s">
        <v>442</v>
      </c>
      <c r="AV334" t="s">
        <v>442</v>
      </c>
      <c r="AW334" t="s">
        <v>442</v>
      </c>
      <c r="AX334" t="s">
        <v>442</v>
      </c>
      <c r="AY334" t="s">
        <v>442</v>
      </c>
      <c r="AZ334" t="s">
        <v>442</v>
      </c>
      <c r="BA334" t="s">
        <v>442</v>
      </c>
      <c r="BB334" t="s">
        <v>442</v>
      </c>
      <c r="BC334" t="s">
        <v>442</v>
      </c>
      <c r="BD334" t="s">
        <v>442</v>
      </c>
      <c r="BE334" t="s">
        <v>442</v>
      </c>
      <c r="BF334" t="s">
        <v>442</v>
      </c>
      <c r="BG334" t="s">
        <v>442</v>
      </c>
      <c r="BH334" t="s">
        <v>442</v>
      </c>
      <c r="BI334" t="s">
        <v>442</v>
      </c>
    </row>
    <row r="335" spans="1:61" x14ac:dyDescent="0.2">
      <c r="A335" t="s">
        <v>658</v>
      </c>
      <c r="S335" t="s">
        <v>442</v>
      </c>
      <c r="T335" t="s">
        <v>442</v>
      </c>
      <c r="U335" t="s">
        <v>442</v>
      </c>
      <c r="V335" t="s">
        <v>442</v>
      </c>
      <c r="W335" t="s">
        <v>442</v>
      </c>
      <c r="X335" t="s">
        <v>442</v>
      </c>
      <c r="Y335" t="s">
        <v>442</v>
      </c>
      <c r="Z335" t="s">
        <v>442</v>
      </c>
      <c r="AA335" t="s">
        <v>442</v>
      </c>
      <c r="AB335" t="s">
        <v>442</v>
      </c>
      <c r="AC335" t="s">
        <v>442</v>
      </c>
      <c r="AD335" t="s">
        <v>442</v>
      </c>
      <c r="AE335" t="s">
        <v>442</v>
      </c>
      <c r="AF335" t="s">
        <v>442</v>
      </c>
      <c r="AG335" t="s">
        <v>442</v>
      </c>
      <c r="AH335" t="s">
        <v>442</v>
      </c>
      <c r="AI335" t="s">
        <v>442</v>
      </c>
      <c r="AJ335" t="s">
        <v>442</v>
      </c>
      <c r="AK335" t="s">
        <v>442</v>
      </c>
      <c r="AL335" t="s">
        <v>442</v>
      </c>
      <c r="AM335" t="s">
        <v>442</v>
      </c>
      <c r="AN335" t="s">
        <v>442</v>
      </c>
      <c r="AO335" t="s">
        <v>442</v>
      </c>
      <c r="AP335" t="s">
        <v>442</v>
      </c>
      <c r="AQ335" t="s">
        <v>442</v>
      </c>
      <c r="AR335" t="s">
        <v>442</v>
      </c>
      <c r="AS335" t="s">
        <v>442</v>
      </c>
      <c r="AT335" t="s">
        <v>442</v>
      </c>
      <c r="AU335" t="s">
        <v>442</v>
      </c>
      <c r="AV335" t="s">
        <v>442</v>
      </c>
      <c r="AW335" t="s">
        <v>442</v>
      </c>
      <c r="AX335" t="s">
        <v>442</v>
      </c>
      <c r="AY335" t="s">
        <v>442</v>
      </c>
      <c r="AZ335" t="s">
        <v>442</v>
      </c>
      <c r="BA335" t="s">
        <v>442</v>
      </c>
      <c r="BB335" t="s">
        <v>442</v>
      </c>
      <c r="BC335" t="s">
        <v>442</v>
      </c>
      <c r="BD335" t="s">
        <v>442</v>
      </c>
      <c r="BE335" t="s">
        <v>442</v>
      </c>
      <c r="BF335" t="s">
        <v>442</v>
      </c>
      <c r="BG335" t="s">
        <v>442</v>
      </c>
      <c r="BH335" t="s">
        <v>442</v>
      </c>
      <c r="BI335" t="s">
        <v>442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E10" sqref="E10"/>
    </sheetView>
  </sheetViews>
  <sheetFormatPr baseColWidth="10" defaultColWidth="8.83203125" defaultRowHeight="15" x14ac:dyDescent="0.2"/>
  <cols>
    <col min="2" max="2" width="23.33203125" bestFit="1" customWidth="1"/>
    <col min="3" max="3" width="24.5" bestFit="1" customWidth="1"/>
    <col min="4" max="4" width="27.33203125" bestFit="1" customWidth="1"/>
    <col min="5" max="5" width="24.5" bestFit="1" customWidth="1"/>
    <col min="6" max="6" width="27.33203125" bestFit="1" customWidth="1"/>
  </cols>
  <sheetData>
    <row r="1" spans="1:6" x14ac:dyDescent="0.2">
      <c r="A1" t="s">
        <v>67</v>
      </c>
    </row>
    <row r="2" spans="1:6" x14ac:dyDescent="0.2">
      <c r="C2" s="45" t="s">
        <v>296</v>
      </c>
      <c r="D2" s="45"/>
      <c r="E2" s="45" t="s">
        <v>301</v>
      </c>
      <c r="F2" s="45"/>
    </row>
    <row r="3" spans="1:6" x14ac:dyDescent="0.2">
      <c r="C3" t="s">
        <v>297</v>
      </c>
      <c r="D3" t="s">
        <v>298</v>
      </c>
      <c r="E3" t="s">
        <v>297</v>
      </c>
      <c r="F3" t="s">
        <v>298</v>
      </c>
    </row>
    <row r="4" spans="1:6" x14ac:dyDescent="0.2">
      <c r="B4" t="s">
        <v>90</v>
      </c>
      <c r="C4" t="b">
        <v>0</v>
      </c>
      <c r="D4" t="b">
        <v>1</v>
      </c>
      <c r="E4" t="b">
        <v>1</v>
      </c>
      <c r="F4" t="b">
        <v>0</v>
      </c>
    </row>
    <row r="5" spans="1:6" x14ac:dyDescent="0.2">
      <c r="B5" t="s">
        <v>299</v>
      </c>
      <c r="C5" t="b">
        <v>0</v>
      </c>
      <c r="D5" t="b">
        <v>0</v>
      </c>
      <c r="E5" t="b">
        <v>1</v>
      </c>
      <c r="F5" t="b">
        <v>0</v>
      </c>
    </row>
    <row r="6" spans="1:6" x14ac:dyDescent="0.2">
      <c r="B6" t="s">
        <v>111</v>
      </c>
      <c r="C6" t="b">
        <v>0</v>
      </c>
      <c r="D6" t="b">
        <v>1</v>
      </c>
      <c r="E6" t="b">
        <v>1</v>
      </c>
      <c r="F6" t="b">
        <v>0</v>
      </c>
    </row>
    <row r="7" spans="1:6" x14ac:dyDescent="0.2">
      <c r="B7" t="s">
        <v>300</v>
      </c>
      <c r="C7" t="b">
        <v>0</v>
      </c>
      <c r="D7" t="b">
        <v>0</v>
      </c>
      <c r="E7" t="b">
        <v>0</v>
      </c>
      <c r="F7" t="b">
        <v>0</v>
      </c>
    </row>
    <row r="8" spans="1:6" x14ac:dyDescent="0.2">
      <c r="B8" t="s">
        <v>302</v>
      </c>
      <c r="C8" t="b">
        <v>0</v>
      </c>
      <c r="D8" t="b">
        <v>1</v>
      </c>
      <c r="E8" t="b">
        <v>1</v>
      </c>
      <c r="F8" t="b">
        <v>0</v>
      </c>
    </row>
    <row r="9" spans="1:6" x14ac:dyDescent="0.2">
      <c r="B9" t="s">
        <v>303</v>
      </c>
      <c r="C9" t="b">
        <v>0</v>
      </c>
      <c r="D9" t="b">
        <v>0</v>
      </c>
      <c r="E9" t="b">
        <v>0</v>
      </c>
      <c r="F9" t="b">
        <v>0</v>
      </c>
    </row>
    <row r="10" spans="1:6" x14ac:dyDescent="0.2">
      <c r="B10" t="s">
        <v>101</v>
      </c>
      <c r="C10" t="b">
        <v>0</v>
      </c>
      <c r="D10" t="b">
        <v>1</v>
      </c>
      <c r="E10" t="b">
        <v>1</v>
      </c>
      <c r="F10" t="b">
        <v>0</v>
      </c>
    </row>
  </sheetData>
  <mergeCells count="2">
    <mergeCell ref="C2:D2"/>
    <mergeCell ref="E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D38"/>
  <sheetViews>
    <sheetView topLeftCell="A13" workbookViewId="0">
      <selection activeCell="E37" sqref="E37"/>
    </sheetView>
  </sheetViews>
  <sheetFormatPr baseColWidth="10" defaultColWidth="8.83203125" defaultRowHeight="15" x14ac:dyDescent="0.2"/>
  <cols>
    <col min="1" max="1" width="51.6640625" bestFit="1" customWidth="1"/>
    <col min="2" max="2" width="15.33203125" customWidth="1"/>
    <col min="3" max="3" width="17.6640625" customWidth="1"/>
    <col min="4" max="4" width="21.33203125" customWidth="1"/>
    <col min="11" max="56" width="9.1640625"/>
  </cols>
  <sheetData>
    <row r="1" spans="1:56" x14ac:dyDescent="0.2">
      <c r="A1" t="s">
        <v>67</v>
      </c>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row>
    <row r="2" spans="1:56" x14ac:dyDescent="0.2">
      <c r="B2" t="s">
        <v>413</v>
      </c>
      <c r="C2" t="s">
        <v>414</v>
      </c>
      <c r="D2" t="s">
        <v>415</v>
      </c>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row>
    <row r="3" spans="1:56" x14ac:dyDescent="0.2">
      <c r="B3" t="s">
        <v>384</v>
      </c>
      <c r="C3" t="s">
        <v>384</v>
      </c>
      <c r="D3" t="s">
        <v>384</v>
      </c>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row>
    <row r="4" spans="1:56" x14ac:dyDescent="0.2">
      <c r="A4" t="s">
        <v>651</v>
      </c>
      <c r="B4" s="7">
        <v>2.9189999999999999E-6</v>
      </c>
      <c r="C4" s="7">
        <v>1.8370000000000002E-6</v>
      </c>
      <c r="D4" s="7">
        <v>3.0000000000000001E-6</v>
      </c>
    </row>
    <row r="5" spans="1:56" x14ac:dyDescent="0.2">
      <c r="A5" t="s">
        <v>33</v>
      </c>
      <c r="B5" s="7">
        <v>2.9189999999999999E-6</v>
      </c>
      <c r="C5" s="7">
        <v>1.8370000000000002E-6</v>
      </c>
      <c r="D5" s="7">
        <v>3.0000000000000001E-6</v>
      </c>
    </row>
    <row r="6" spans="1:56" x14ac:dyDescent="0.2">
      <c r="A6" t="s">
        <v>262</v>
      </c>
      <c r="B6" s="7">
        <v>2.9189999999999999E-6</v>
      </c>
      <c r="C6" s="7">
        <v>1.8370000000000002E-6</v>
      </c>
      <c r="D6" s="7">
        <v>3.0000000000000001E-6</v>
      </c>
    </row>
    <row r="7" spans="1:56" x14ac:dyDescent="0.2">
      <c r="A7" t="s">
        <v>263</v>
      </c>
      <c r="B7" s="7">
        <v>2.9189999999999999E-6</v>
      </c>
      <c r="C7" s="7">
        <v>1.8370000000000002E-6</v>
      </c>
      <c r="D7" s="7">
        <v>3.0000000000000001E-6</v>
      </c>
      <c r="I7" t="s">
        <v>525</v>
      </c>
      <c r="J7" t="s">
        <v>519</v>
      </c>
      <c r="K7" t="s">
        <v>527</v>
      </c>
      <c r="L7" t="s">
        <v>523</v>
      </c>
      <c r="M7">
        <v>8.1999999999999993</v>
      </c>
      <c r="P7" t="s">
        <v>519</v>
      </c>
      <c r="Q7" t="s">
        <v>520</v>
      </c>
      <c r="R7" t="s">
        <v>521</v>
      </c>
    </row>
    <row r="8" spans="1:56" x14ac:dyDescent="0.2">
      <c r="A8" t="s">
        <v>652</v>
      </c>
      <c r="B8" s="7">
        <v>5.8379999999999998E-6</v>
      </c>
      <c r="C8" s="7">
        <v>3.6740000000000003E-6</v>
      </c>
      <c r="D8" s="7">
        <v>6.0000000000000002E-6</v>
      </c>
      <c r="I8" t="s">
        <v>525</v>
      </c>
      <c r="J8" t="s">
        <v>519</v>
      </c>
      <c r="K8" t="s">
        <v>527</v>
      </c>
      <c r="L8" t="s">
        <v>524</v>
      </c>
      <c r="M8">
        <v>2.2999999999999998</v>
      </c>
      <c r="O8" t="s">
        <v>651</v>
      </c>
      <c r="P8">
        <v>1</v>
      </c>
    </row>
    <row r="9" spans="1:56" x14ac:dyDescent="0.2">
      <c r="A9" t="s">
        <v>346</v>
      </c>
      <c r="B9" s="7">
        <v>5.8379999999999998E-6</v>
      </c>
      <c r="C9" s="7">
        <v>3.6740000000000003E-6</v>
      </c>
      <c r="D9" s="7">
        <v>6.0000000000000002E-6</v>
      </c>
      <c r="I9" t="s">
        <v>525</v>
      </c>
      <c r="J9" t="s">
        <v>519</v>
      </c>
      <c r="K9" t="s">
        <v>528</v>
      </c>
      <c r="L9" t="s">
        <v>523</v>
      </c>
      <c r="M9">
        <v>11</v>
      </c>
      <c r="O9" t="s">
        <v>33</v>
      </c>
      <c r="P9">
        <v>1</v>
      </c>
    </row>
    <row r="10" spans="1:56" x14ac:dyDescent="0.2">
      <c r="A10" t="s">
        <v>347</v>
      </c>
      <c r="B10" s="7">
        <v>5.8379999999999998E-6</v>
      </c>
      <c r="C10" s="7">
        <v>3.6740000000000003E-6</v>
      </c>
      <c r="D10" s="7">
        <v>6.0000000000000002E-6</v>
      </c>
      <c r="I10" t="s">
        <v>525</v>
      </c>
      <c r="J10" t="s">
        <v>519</v>
      </c>
      <c r="K10" t="s">
        <v>528</v>
      </c>
      <c r="L10" t="s">
        <v>524</v>
      </c>
      <c r="M10">
        <v>1.9</v>
      </c>
      <c r="O10" t="s">
        <v>262</v>
      </c>
      <c r="P10">
        <v>1</v>
      </c>
    </row>
    <row r="11" spans="1:56" x14ac:dyDescent="0.2">
      <c r="A11" t="s">
        <v>348</v>
      </c>
      <c r="B11" s="7">
        <v>5.8379999999999998E-6</v>
      </c>
      <c r="C11" s="7">
        <v>3.6740000000000003E-6</v>
      </c>
      <c r="D11" s="7">
        <v>6.0000000000000002E-6</v>
      </c>
      <c r="I11" t="s">
        <v>525</v>
      </c>
      <c r="J11" t="s">
        <v>520</v>
      </c>
      <c r="K11" t="s">
        <v>527</v>
      </c>
      <c r="L11" t="s">
        <v>523</v>
      </c>
      <c r="M11">
        <v>6.4</v>
      </c>
      <c r="O11" t="s">
        <v>263</v>
      </c>
      <c r="P11">
        <v>1</v>
      </c>
    </row>
    <row r="12" spans="1:56" x14ac:dyDescent="0.2">
      <c r="A12" t="s">
        <v>375</v>
      </c>
      <c r="B12" s="7">
        <v>6.3939999999999993E-6</v>
      </c>
      <c r="C12" s="7">
        <v>6.1789999999999996E-6</v>
      </c>
      <c r="D12" s="7">
        <v>6.0000000000000002E-6</v>
      </c>
      <c r="I12" t="s">
        <v>525</v>
      </c>
      <c r="J12" t="s">
        <v>520</v>
      </c>
      <c r="K12" t="s">
        <v>527</v>
      </c>
      <c r="L12" t="s">
        <v>524</v>
      </c>
      <c r="M12">
        <v>2.2999999999999998</v>
      </c>
      <c r="O12" t="s">
        <v>652</v>
      </c>
      <c r="P12">
        <v>1</v>
      </c>
    </row>
    <row r="13" spans="1:56" x14ac:dyDescent="0.2">
      <c r="A13" t="s">
        <v>376</v>
      </c>
      <c r="B13" s="7">
        <v>6.3939999999999993E-6</v>
      </c>
      <c r="C13" s="7">
        <v>6.1789999999999996E-6</v>
      </c>
      <c r="D13" s="7">
        <v>6.0000000000000002E-6</v>
      </c>
      <c r="I13" t="s">
        <v>525</v>
      </c>
      <c r="J13" t="s">
        <v>520</v>
      </c>
      <c r="K13" t="s">
        <v>528</v>
      </c>
      <c r="L13" t="s">
        <v>523</v>
      </c>
      <c r="M13">
        <v>4.5</v>
      </c>
      <c r="O13" t="s">
        <v>346</v>
      </c>
      <c r="P13">
        <v>0.5</v>
      </c>
      <c r="Q13">
        <v>0.5</v>
      </c>
    </row>
    <row r="14" spans="1:56" x14ac:dyDescent="0.2">
      <c r="A14" t="s">
        <v>377</v>
      </c>
      <c r="B14" s="7">
        <v>6.3939999999999993E-6</v>
      </c>
      <c r="C14" s="7">
        <v>6.1789999999999996E-6</v>
      </c>
      <c r="D14" s="7">
        <v>6.0000000000000002E-6</v>
      </c>
      <c r="I14" t="s">
        <v>525</v>
      </c>
      <c r="J14" t="s">
        <v>520</v>
      </c>
      <c r="K14" t="s">
        <v>528</v>
      </c>
      <c r="L14" t="s">
        <v>524</v>
      </c>
      <c r="M14">
        <v>1.5</v>
      </c>
      <c r="O14" t="s">
        <v>347</v>
      </c>
      <c r="P14">
        <v>0.5</v>
      </c>
      <c r="Q14">
        <v>0.5</v>
      </c>
    </row>
    <row r="15" spans="1:56" x14ac:dyDescent="0.2">
      <c r="A15" t="s">
        <v>337</v>
      </c>
      <c r="B15" s="7">
        <v>6.3939999999999993E-6</v>
      </c>
      <c r="C15" s="7">
        <v>6.1789999999999996E-6</v>
      </c>
      <c r="D15" s="7">
        <v>6.0000000000000002E-6</v>
      </c>
      <c r="I15" t="s">
        <v>525</v>
      </c>
      <c r="J15" t="s">
        <v>521</v>
      </c>
      <c r="K15" t="s">
        <v>527</v>
      </c>
      <c r="L15" t="s">
        <v>523</v>
      </c>
      <c r="M15">
        <v>5.5</v>
      </c>
      <c r="O15" t="s">
        <v>348</v>
      </c>
      <c r="P15">
        <v>0.5</v>
      </c>
      <c r="Q15">
        <v>0.5</v>
      </c>
    </row>
    <row r="16" spans="1:56" x14ac:dyDescent="0.2">
      <c r="A16" t="s">
        <v>338</v>
      </c>
      <c r="B16" s="7">
        <v>6.3939999999999993E-6</v>
      </c>
      <c r="C16" s="7">
        <v>6.1789999999999996E-6</v>
      </c>
      <c r="D16" s="7">
        <v>6.0000000000000002E-6</v>
      </c>
      <c r="I16" t="s">
        <v>525</v>
      </c>
      <c r="J16" t="s">
        <v>521</v>
      </c>
      <c r="K16" t="s">
        <v>527</v>
      </c>
      <c r="L16" t="s">
        <v>524</v>
      </c>
      <c r="M16">
        <v>2.2999999999999998</v>
      </c>
      <c r="O16" t="s">
        <v>375</v>
      </c>
      <c r="P16">
        <v>0.5</v>
      </c>
      <c r="Q16">
        <v>0.5</v>
      </c>
    </row>
    <row r="17" spans="1:18" x14ac:dyDescent="0.2">
      <c r="A17" t="s">
        <v>339</v>
      </c>
      <c r="B17" s="7">
        <v>6.3939999999999993E-6</v>
      </c>
      <c r="C17" s="7">
        <v>6.1789999999999996E-6</v>
      </c>
      <c r="D17" s="7">
        <v>6.0000000000000002E-6</v>
      </c>
      <c r="I17" t="s">
        <v>525</v>
      </c>
      <c r="J17" t="s">
        <v>521</v>
      </c>
      <c r="K17" t="s">
        <v>528</v>
      </c>
      <c r="L17" t="s">
        <v>523</v>
      </c>
      <c r="M17">
        <v>1</v>
      </c>
      <c r="O17" t="s">
        <v>376</v>
      </c>
      <c r="P17">
        <v>0.5</v>
      </c>
      <c r="Q17">
        <v>0.5</v>
      </c>
    </row>
    <row r="18" spans="1:18" x14ac:dyDescent="0.2">
      <c r="A18" t="s">
        <v>653</v>
      </c>
      <c r="B18" s="7">
        <v>6.3939999999999993E-6</v>
      </c>
      <c r="C18" s="7">
        <v>3.0894999999999998E-6</v>
      </c>
      <c r="D18" s="7">
        <v>6.0000000000000002E-6</v>
      </c>
      <c r="I18" t="s">
        <v>525</v>
      </c>
      <c r="J18" t="s">
        <v>521</v>
      </c>
      <c r="K18" t="s">
        <v>528</v>
      </c>
      <c r="L18" t="s">
        <v>524</v>
      </c>
      <c r="M18">
        <v>1.3</v>
      </c>
      <c r="O18" t="s">
        <v>377</v>
      </c>
      <c r="P18">
        <v>0.5</v>
      </c>
      <c r="Q18">
        <v>0.5</v>
      </c>
    </row>
    <row r="19" spans="1:18" x14ac:dyDescent="0.2">
      <c r="A19" t="s">
        <v>654</v>
      </c>
      <c r="B19" s="7">
        <v>6.3939999999999993E-6</v>
      </c>
      <c r="C19" s="7">
        <v>3.0894999999999998E-6</v>
      </c>
      <c r="D19" s="7">
        <v>6.0000000000000002E-6</v>
      </c>
      <c r="I19" t="s">
        <v>526</v>
      </c>
      <c r="J19" t="s">
        <v>519</v>
      </c>
      <c r="K19" t="s">
        <v>527</v>
      </c>
      <c r="L19" t="s">
        <v>523</v>
      </c>
      <c r="M19">
        <v>5.8</v>
      </c>
      <c r="O19" t="s">
        <v>337</v>
      </c>
      <c r="P19">
        <v>0.5</v>
      </c>
      <c r="Q19">
        <v>0.5</v>
      </c>
    </row>
    <row r="20" spans="1:18" x14ac:dyDescent="0.2">
      <c r="A20" t="s">
        <v>403</v>
      </c>
      <c r="B20" s="7">
        <v>7.3669999999999991E-6</v>
      </c>
      <c r="C20" s="7">
        <v>8.3499999999999997E-6</v>
      </c>
      <c r="D20" s="7">
        <v>6.0000000000000002E-6</v>
      </c>
      <c r="I20" t="s">
        <v>526</v>
      </c>
      <c r="J20" t="s">
        <v>519</v>
      </c>
      <c r="K20" t="s">
        <v>527</v>
      </c>
      <c r="L20" t="s">
        <v>524</v>
      </c>
      <c r="M20">
        <v>2.2999999999999998</v>
      </c>
      <c r="O20" t="s">
        <v>338</v>
      </c>
      <c r="P20">
        <v>0.5</v>
      </c>
      <c r="Q20">
        <v>0.5</v>
      </c>
    </row>
    <row r="21" spans="1:18" x14ac:dyDescent="0.2">
      <c r="A21" t="s">
        <v>404</v>
      </c>
      <c r="B21" s="7">
        <v>7.3669999999999991E-6</v>
      </c>
      <c r="C21" s="7">
        <v>8.3499999999999997E-6</v>
      </c>
      <c r="D21" s="7">
        <v>6.0000000000000002E-6</v>
      </c>
      <c r="I21" t="s">
        <v>526</v>
      </c>
      <c r="J21" t="s">
        <v>519</v>
      </c>
      <c r="K21" t="s">
        <v>528</v>
      </c>
      <c r="L21" t="s">
        <v>523</v>
      </c>
      <c r="M21">
        <v>4.2</v>
      </c>
      <c r="O21" t="s">
        <v>339</v>
      </c>
      <c r="P21">
        <v>0.5</v>
      </c>
      <c r="Q21">
        <v>0.5</v>
      </c>
    </row>
    <row r="22" spans="1:18" x14ac:dyDescent="0.2">
      <c r="A22" t="s">
        <v>405</v>
      </c>
      <c r="B22" s="7">
        <v>7.3669999999999991E-6</v>
      </c>
      <c r="C22" s="7">
        <v>8.3499999999999997E-6</v>
      </c>
      <c r="D22" s="7">
        <v>6.0000000000000002E-6</v>
      </c>
      <c r="I22" t="s">
        <v>526</v>
      </c>
      <c r="J22" t="s">
        <v>519</v>
      </c>
      <c r="K22" t="s">
        <v>528</v>
      </c>
      <c r="L22" t="s">
        <v>524</v>
      </c>
      <c r="M22">
        <v>1.9</v>
      </c>
      <c r="O22" t="s">
        <v>653</v>
      </c>
      <c r="P22">
        <v>0.5</v>
      </c>
      <c r="Q22">
        <v>0.5</v>
      </c>
    </row>
    <row r="23" spans="1:18" x14ac:dyDescent="0.2">
      <c r="A23" t="s">
        <v>385</v>
      </c>
      <c r="B23" s="7">
        <v>7.3669999999999991E-6</v>
      </c>
      <c r="C23" s="7">
        <v>8.3499999999999997E-6</v>
      </c>
      <c r="D23" s="7">
        <v>6.0000000000000002E-6</v>
      </c>
      <c r="I23" t="s">
        <v>526</v>
      </c>
      <c r="J23" t="s">
        <v>520</v>
      </c>
      <c r="K23" t="s">
        <v>527</v>
      </c>
      <c r="L23" t="s">
        <v>523</v>
      </c>
      <c r="M23">
        <v>4.5</v>
      </c>
      <c r="O23" t="s">
        <v>654</v>
      </c>
      <c r="P23">
        <v>0.5</v>
      </c>
      <c r="Q23">
        <v>0.5</v>
      </c>
    </row>
    <row r="24" spans="1:18" x14ac:dyDescent="0.2">
      <c r="A24" t="s">
        <v>386</v>
      </c>
      <c r="B24" s="7">
        <v>7.3669999999999991E-6</v>
      </c>
      <c r="C24" s="7">
        <v>8.3499999999999997E-6</v>
      </c>
      <c r="D24" s="7">
        <v>6.0000000000000002E-6</v>
      </c>
      <c r="I24" t="s">
        <v>526</v>
      </c>
      <c r="J24" t="s">
        <v>520</v>
      </c>
      <c r="K24" t="s">
        <v>527</v>
      </c>
      <c r="L24" t="s">
        <v>524</v>
      </c>
      <c r="M24">
        <v>2.2999999999999998</v>
      </c>
      <c r="O24" t="s">
        <v>403</v>
      </c>
      <c r="P24">
        <v>0.5</v>
      </c>
      <c r="Q24">
        <v>0.5</v>
      </c>
    </row>
    <row r="25" spans="1:18" x14ac:dyDescent="0.2">
      <c r="A25" t="s">
        <v>387</v>
      </c>
      <c r="B25" s="7">
        <v>7.3669999999999991E-6</v>
      </c>
      <c r="C25" s="7">
        <v>8.3499999999999997E-6</v>
      </c>
      <c r="D25" s="7">
        <v>6.0000000000000002E-6</v>
      </c>
      <c r="I25" t="s">
        <v>526</v>
      </c>
      <c r="J25" t="s">
        <v>520</v>
      </c>
      <c r="K25" t="s">
        <v>528</v>
      </c>
      <c r="L25" t="s">
        <v>523</v>
      </c>
      <c r="M25">
        <v>1.8</v>
      </c>
      <c r="O25" t="s">
        <v>404</v>
      </c>
      <c r="P25">
        <v>0.5</v>
      </c>
      <c r="Q25">
        <v>0.5</v>
      </c>
    </row>
    <row r="26" spans="1:18" x14ac:dyDescent="0.2">
      <c r="A26" t="s">
        <v>394</v>
      </c>
      <c r="B26" s="7">
        <v>7.3669999999999991E-6</v>
      </c>
      <c r="C26" s="7">
        <v>8.3499999999999997E-6</v>
      </c>
      <c r="D26" s="7">
        <v>6.0000000000000002E-6</v>
      </c>
      <c r="I26" t="s">
        <v>526</v>
      </c>
      <c r="J26" t="s">
        <v>520</v>
      </c>
      <c r="K26" t="s">
        <v>528</v>
      </c>
      <c r="L26" t="s">
        <v>524</v>
      </c>
      <c r="M26">
        <v>1.5</v>
      </c>
      <c r="O26" t="s">
        <v>405</v>
      </c>
      <c r="P26">
        <v>0.5</v>
      </c>
      <c r="Q26">
        <v>0.5</v>
      </c>
    </row>
    <row r="27" spans="1:18" x14ac:dyDescent="0.2">
      <c r="A27" t="s">
        <v>395</v>
      </c>
      <c r="B27" s="7">
        <v>7.3669999999999991E-6</v>
      </c>
      <c r="C27" s="7">
        <v>8.3499999999999997E-6</v>
      </c>
      <c r="D27" s="7">
        <v>6.0000000000000002E-6</v>
      </c>
      <c r="I27" t="s">
        <v>526</v>
      </c>
      <c r="J27" t="s">
        <v>521</v>
      </c>
      <c r="K27" t="s">
        <v>527</v>
      </c>
      <c r="L27" t="s">
        <v>523</v>
      </c>
      <c r="M27">
        <v>3.8</v>
      </c>
      <c r="O27" t="s">
        <v>385</v>
      </c>
      <c r="P27">
        <v>0.33</v>
      </c>
      <c r="Q27">
        <v>0.33</v>
      </c>
      <c r="R27">
        <v>0.33</v>
      </c>
    </row>
    <row r="28" spans="1:18" x14ac:dyDescent="0.2">
      <c r="A28" t="s">
        <v>396</v>
      </c>
      <c r="B28" s="7">
        <v>7.3669999999999991E-6</v>
      </c>
      <c r="C28" s="7">
        <v>8.3499999999999997E-6</v>
      </c>
      <c r="D28" s="7">
        <v>6.0000000000000002E-6</v>
      </c>
      <c r="I28" t="s">
        <v>526</v>
      </c>
      <c r="J28" t="s">
        <v>521</v>
      </c>
      <c r="K28" t="s">
        <v>527</v>
      </c>
      <c r="L28" t="s">
        <v>524</v>
      </c>
      <c r="M28">
        <v>2.2999999999999998</v>
      </c>
      <c r="O28" t="s">
        <v>386</v>
      </c>
      <c r="P28">
        <v>0.33</v>
      </c>
      <c r="Q28">
        <v>0.33</v>
      </c>
      <c r="R28">
        <v>0.33</v>
      </c>
    </row>
    <row r="29" spans="1:18" x14ac:dyDescent="0.2">
      <c r="A29" t="s">
        <v>655</v>
      </c>
      <c r="B29" s="7">
        <v>7.3669999999999991E-6</v>
      </c>
      <c r="C29" s="7">
        <v>4.1749999999999998E-6</v>
      </c>
      <c r="D29" s="7">
        <v>6.0000000000000002E-6</v>
      </c>
      <c r="I29" t="s">
        <v>526</v>
      </c>
      <c r="J29" t="s">
        <v>521</v>
      </c>
      <c r="K29" t="s">
        <v>528</v>
      </c>
      <c r="L29" t="s">
        <v>523</v>
      </c>
      <c r="M29">
        <v>0.4</v>
      </c>
      <c r="O29" t="s">
        <v>387</v>
      </c>
      <c r="P29">
        <v>0.33</v>
      </c>
      <c r="Q29">
        <v>0.33</v>
      </c>
      <c r="R29">
        <v>0.33</v>
      </c>
    </row>
    <row r="30" spans="1:18" x14ac:dyDescent="0.2">
      <c r="A30" t="s">
        <v>656</v>
      </c>
      <c r="B30" s="7">
        <v>7.3669999999999991E-6</v>
      </c>
      <c r="C30" s="7">
        <v>4.1749999999999998E-6</v>
      </c>
      <c r="D30" s="7">
        <v>6.0000000000000002E-6</v>
      </c>
      <c r="I30" t="s">
        <v>526</v>
      </c>
      <c r="J30" t="s">
        <v>521</v>
      </c>
      <c r="K30" t="s">
        <v>528</v>
      </c>
      <c r="L30" t="s">
        <v>524</v>
      </c>
      <c r="M30">
        <v>1.3</v>
      </c>
      <c r="O30" t="s">
        <v>394</v>
      </c>
      <c r="P30">
        <v>0.33</v>
      </c>
      <c r="Q30">
        <v>0.33</v>
      </c>
      <c r="R30">
        <v>0.33</v>
      </c>
    </row>
    <row r="31" spans="1:18" x14ac:dyDescent="0.2">
      <c r="A31" t="s">
        <v>657</v>
      </c>
      <c r="B31" s="7">
        <v>7.3669999999999991E-6</v>
      </c>
      <c r="C31" s="7">
        <v>4.1749999999999998E-6</v>
      </c>
      <c r="D31" s="7">
        <v>6.0000000000000002E-6</v>
      </c>
      <c r="I31" t="s">
        <v>526</v>
      </c>
      <c r="K31" t="s">
        <v>529</v>
      </c>
      <c r="L31" t="s">
        <v>523</v>
      </c>
      <c r="M31">
        <v>5.0999999999999996</v>
      </c>
      <c r="O31" t="s">
        <v>395</v>
      </c>
      <c r="P31">
        <v>0.33</v>
      </c>
      <c r="Q31">
        <v>0.33</v>
      </c>
      <c r="R31">
        <v>0.33</v>
      </c>
    </row>
    <row r="32" spans="1:18" x14ac:dyDescent="0.2">
      <c r="A32" t="s">
        <v>658</v>
      </c>
      <c r="B32" s="7">
        <v>7.3669999999999991E-6</v>
      </c>
      <c r="C32" s="7">
        <v>4.1749999999999998E-6</v>
      </c>
      <c r="D32" s="7">
        <v>6.0000000000000002E-6</v>
      </c>
      <c r="I32" t="s">
        <v>526</v>
      </c>
      <c r="K32" t="s">
        <v>529</v>
      </c>
      <c r="L32" t="s">
        <v>524</v>
      </c>
      <c r="M32">
        <v>1.5</v>
      </c>
      <c r="O32" t="s">
        <v>396</v>
      </c>
      <c r="P32">
        <v>0.33</v>
      </c>
      <c r="Q32">
        <v>0.33</v>
      </c>
      <c r="R32">
        <v>0.33</v>
      </c>
    </row>
    <row r="33" spans="9:18" x14ac:dyDescent="0.2">
      <c r="I33" t="s">
        <v>526</v>
      </c>
      <c r="K33" t="s">
        <v>530</v>
      </c>
      <c r="L33" t="s">
        <v>523</v>
      </c>
      <c r="M33">
        <v>8.1999999999999993</v>
      </c>
      <c r="O33" t="s">
        <v>655</v>
      </c>
      <c r="P33">
        <v>0.33</v>
      </c>
      <c r="Q33">
        <v>0.33</v>
      </c>
      <c r="R33">
        <v>0.33</v>
      </c>
    </row>
    <row r="34" spans="9:18" x14ac:dyDescent="0.2">
      <c r="I34" t="s">
        <v>526</v>
      </c>
      <c r="K34" t="s">
        <v>530</v>
      </c>
      <c r="L34" t="s">
        <v>524</v>
      </c>
      <c r="M34">
        <v>1.1000000000000001</v>
      </c>
      <c r="O34" t="s">
        <v>656</v>
      </c>
      <c r="P34">
        <v>0.33</v>
      </c>
      <c r="Q34">
        <v>0.33</v>
      </c>
      <c r="R34">
        <v>0.33</v>
      </c>
    </row>
    <row r="35" spans="9:18" x14ac:dyDescent="0.2">
      <c r="I35" t="s">
        <v>525</v>
      </c>
      <c r="K35" t="s">
        <v>529</v>
      </c>
      <c r="L35" t="s">
        <v>523</v>
      </c>
      <c r="M35">
        <v>5.0999999999999996</v>
      </c>
      <c r="O35" t="s">
        <v>657</v>
      </c>
      <c r="P35">
        <v>0.33</v>
      </c>
      <c r="Q35">
        <v>0.33</v>
      </c>
      <c r="R35">
        <v>0.33</v>
      </c>
    </row>
    <row r="36" spans="9:18" x14ac:dyDescent="0.2">
      <c r="I36" t="s">
        <v>525</v>
      </c>
      <c r="K36" t="s">
        <v>529</v>
      </c>
      <c r="L36" t="s">
        <v>524</v>
      </c>
      <c r="M36">
        <v>1.5</v>
      </c>
      <c r="O36" t="s">
        <v>658</v>
      </c>
      <c r="P36">
        <v>0.33</v>
      </c>
      <c r="Q36">
        <v>0.33</v>
      </c>
      <c r="R36">
        <v>0.33</v>
      </c>
    </row>
    <row r="37" spans="9:18" x14ac:dyDescent="0.2">
      <c r="I37" t="s">
        <v>525</v>
      </c>
      <c r="K37" t="s">
        <v>530</v>
      </c>
      <c r="L37" t="s">
        <v>523</v>
      </c>
      <c r="M37">
        <v>8.1999999999999993</v>
      </c>
    </row>
    <row r="38" spans="9:18" x14ac:dyDescent="0.2">
      <c r="I38" t="s">
        <v>525</v>
      </c>
      <c r="K38" t="s">
        <v>530</v>
      </c>
      <c r="L38" t="s">
        <v>524</v>
      </c>
      <c r="M38">
        <v>1.1000000000000001</v>
      </c>
    </row>
  </sheetData>
  <mergeCells count="32">
    <mergeCell ref="BC3:BD3"/>
    <mergeCell ref="AG3:AH3"/>
    <mergeCell ref="AI3:AJ3"/>
    <mergeCell ref="AK3:AL3"/>
    <mergeCell ref="AM3:AN3"/>
    <mergeCell ref="AO3:AP3"/>
    <mergeCell ref="AQ3:AR3"/>
    <mergeCell ref="AS3:AT3"/>
    <mergeCell ref="AU3:AV3"/>
    <mergeCell ref="AW3:AX3"/>
    <mergeCell ref="AY3:AZ3"/>
    <mergeCell ref="BA3:BB3"/>
    <mergeCell ref="AE3:AF3"/>
    <mergeCell ref="I3:J3"/>
    <mergeCell ref="K3:L3"/>
    <mergeCell ref="O3:P3"/>
    <mergeCell ref="M3:N3"/>
    <mergeCell ref="Q3:R3"/>
    <mergeCell ref="S3:T3"/>
    <mergeCell ref="U3:V3"/>
    <mergeCell ref="W3:X3"/>
    <mergeCell ref="Y3:Z3"/>
    <mergeCell ref="AA3:AB3"/>
    <mergeCell ref="AC3:AD3"/>
    <mergeCell ref="I1:AF1"/>
    <mergeCell ref="AG1:BD1"/>
    <mergeCell ref="Y2:AF2"/>
    <mergeCell ref="Q2:X2"/>
    <mergeCell ref="I2:P2"/>
    <mergeCell ref="AG2:AN2"/>
    <mergeCell ref="AO2:AV2"/>
    <mergeCell ref="AW2:B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election activeCell="C6" sqref="C6"/>
    </sheetView>
  </sheetViews>
  <sheetFormatPr baseColWidth="10" defaultColWidth="8.83203125" defaultRowHeight="15" x14ac:dyDescent="0.2"/>
  <cols>
    <col min="1" max="1" width="31" bestFit="1" customWidth="1"/>
  </cols>
  <sheetData>
    <row r="1" spans="1:4" x14ac:dyDescent="0.2">
      <c r="A1" t="s">
        <v>67</v>
      </c>
      <c r="B1" t="s">
        <v>416</v>
      </c>
    </row>
    <row r="2" spans="1:4" x14ac:dyDescent="0.2">
      <c r="B2" t="s">
        <v>42</v>
      </c>
      <c r="C2" t="s">
        <v>43</v>
      </c>
      <c r="D2" t="s">
        <v>44</v>
      </c>
    </row>
    <row r="3" spans="1:4" x14ac:dyDescent="0.2">
      <c r="A3" s="18">
        <v>2020</v>
      </c>
      <c r="B3">
        <v>0.2</v>
      </c>
      <c r="C3">
        <v>0.15</v>
      </c>
      <c r="D3">
        <v>0.23</v>
      </c>
    </row>
    <row r="4" spans="1:4" x14ac:dyDescent="0.2">
      <c r="A4" s="18">
        <v>2030</v>
      </c>
      <c r="B4">
        <v>0.3</v>
      </c>
      <c r="C4">
        <v>0.18</v>
      </c>
      <c r="D4">
        <v>0.3</v>
      </c>
    </row>
    <row r="5" spans="1:4" x14ac:dyDescent="0.2">
      <c r="A5" s="18">
        <v>2040</v>
      </c>
      <c r="B5">
        <v>0.4</v>
      </c>
      <c r="C5">
        <v>0.18</v>
      </c>
      <c r="D5">
        <v>0.4</v>
      </c>
    </row>
    <row r="6" spans="1:4" x14ac:dyDescent="0.2">
      <c r="A6" s="18">
        <v>2050</v>
      </c>
      <c r="B6">
        <v>0.5</v>
      </c>
      <c r="C6">
        <v>0.2</v>
      </c>
      <c r="D6">
        <v>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26"/>
  <sheetViews>
    <sheetView topLeftCell="A19" zoomScale="70" zoomScaleNormal="70" workbookViewId="0">
      <selection activeCell="A9" sqref="A9"/>
    </sheetView>
  </sheetViews>
  <sheetFormatPr baseColWidth="10" defaultColWidth="8.83203125" defaultRowHeight="15" x14ac:dyDescent="0.2"/>
  <cols>
    <col min="1" max="1" width="8.6640625" bestFit="1" customWidth="1"/>
    <col min="2" max="2" width="15.5" bestFit="1" customWidth="1"/>
    <col min="3" max="4" width="23.33203125" bestFit="1" customWidth="1"/>
    <col min="5" max="5" width="27.33203125" bestFit="1" customWidth="1"/>
    <col min="6" max="6" width="28.5" bestFit="1" customWidth="1"/>
    <col min="7" max="7" width="32.5" bestFit="1" customWidth="1"/>
    <col min="8" max="8" width="28.5" bestFit="1" customWidth="1"/>
    <col min="19" max="19" width="32.5" bestFit="1" customWidth="1"/>
    <col min="20" max="20" width="20" bestFit="1" customWidth="1"/>
    <col min="21" max="40" width="11.33203125" bestFit="1" customWidth="1"/>
  </cols>
  <sheetData>
    <row r="1" spans="1:40" x14ac:dyDescent="0.2">
      <c r="A1" t="s">
        <v>67</v>
      </c>
    </row>
    <row r="2" spans="1:40" x14ac:dyDescent="0.2">
      <c r="B2" t="s">
        <v>48</v>
      </c>
      <c r="C2" t="s">
        <v>50</v>
      </c>
      <c r="D2" t="s">
        <v>52</v>
      </c>
      <c r="E2" t="s">
        <v>53</v>
      </c>
    </row>
    <row r="3" spans="1:40" x14ac:dyDescent="0.2">
      <c r="A3" t="s">
        <v>45</v>
      </c>
      <c r="B3">
        <v>0.75</v>
      </c>
      <c r="C3" s="3">
        <f>42.6/3.6</f>
        <v>11.833333333333334</v>
      </c>
      <c r="D3">
        <v>3.14</v>
      </c>
      <c r="E3" s="7">
        <v>1.5999999999999999E-5</v>
      </c>
    </row>
    <row r="4" spans="1:40" x14ac:dyDescent="0.2">
      <c r="A4" t="s">
        <v>46</v>
      </c>
      <c r="B4">
        <v>0.85</v>
      </c>
      <c r="C4" s="3">
        <f>43/3.6</f>
        <v>11.944444444444445</v>
      </c>
      <c r="D4">
        <v>3.15</v>
      </c>
      <c r="E4" s="7">
        <v>8.8500000000000004E-4</v>
      </c>
    </row>
    <row r="5" spans="1:40" x14ac:dyDescent="0.2">
      <c r="A5" t="s">
        <v>47</v>
      </c>
      <c r="C5" s="3">
        <f>47.5/3.6</f>
        <v>13.194444444444445</v>
      </c>
      <c r="D5">
        <v>2.68</v>
      </c>
      <c r="E5" s="7">
        <v>0</v>
      </c>
    </row>
    <row r="8" spans="1:40" x14ac:dyDescent="0.2">
      <c r="A8" t="s">
        <v>371</v>
      </c>
      <c r="B8" t="s">
        <v>372</v>
      </c>
    </row>
    <row r="9" spans="1:40" x14ac:dyDescent="0.2">
      <c r="A9" t="s">
        <v>369</v>
      </c>
      <c r="C9" t="s">
        <v>362</v>
      </c>
      <c r="D9" t="s">
        <v>363</v>
      </c>
      <c r="E9" t="s">
        <v>364</v>
      </c>
      <c r="F9" t="s">
        <v>365</v>
      </c>
      <c r="G9" t="s">
        <v>366</v>
      </c>
      <c r="H9" t="s">
        <v>367</v>
      </c>
    </row>
    <row r="10" spans="1:40" x14ac:dyDescent="0.2">
      <c r="A10" t="s">
        <v>137</v>
      </c>
      <c r="B10" t="s">
        <v>56</v>
      </c>
      <c r="C10" s="7">
        <v>3.9046610243035027</v>
      </c>
      <c r="D10" s="7">
        <v>4.2084239598411006</v>
      </c>
      <c r="E10" s="7">
        <v>2.9087081117400646</v>
      </c>
      <c r="F10" s="7">
        <v>0.68464461685761435</v>
      </c>
      <c r="G10" s="7">
        <v>0.14864762347812063</v>
      </c>
      <c r="H10" s="7">
        <v>0.14884277886536898</v>
      </c>
      <c r="I10" s="6"/>
      <c r="T10" s="7"/>
      <c r="U10" s="7"/>
      <c r="V10" s="7"/>
      <c r="W10" s="7"/>
      <c r="X10" s="7"/>
      <c r="Y10" s="7"/>
      <c r="Z10" s="7"/>
      <c r="AA10" s="7"/>
      <c r="AB10" s="7"/>
      <c r="AC10" s="7"/>
      <c r="AD10" s="7"/>
      <c r="AE10" s="7"/>
      <c r="AF10" s="7"/>
      <c r="AG10" s="7"/>
      <c r="AH10" s="7"/>
      <c r="AI10" s="7"/>
      <c r="AJ10" s="7"/>
      <c r="AK10" s="7"/>
      <c r="AL10" s="7"/>
      <c r="AM10" s="7"/>
      <c r="AN10" s="7"/>
    </row>
    <row r="11" spans="1:40" x14ac:dyDescent="0.2">
      <c r="A11" t="s">
        <v>137</v>
      </c>
      <c r="B11" t="s">
        <v>59</v>
      </c>
      <c r="C11" s="7">
        <v>0.44542695334279203</v>
      </c>
      <c r="D11" s="7">
        <v>0.44542695334279203</v>
      </c>
      <c r="E11" s="7">
        <v>6.984516274842606E-2</v>
      </c>
      <c r="F11" s="7">
        <v>9.3107814878702483E-2</v>
      </c>
      <c r="G11" s="7">
        <v>1.761857873999224E-2</v>
      </c>
      <c r="H11" s="7">
        <v>1.577375406699133E-2</v>
      </c>
      <c r="I11" s="6"/>
      <c r="T11" s="7"/>
      <c r="U11" s="7"/>
      <c r="V11" s="7"/>
      <c r="W11" s="7"/>
      <c r="X11" s="7"/>
      <c r="Y11" s="7"/>
      <c r="Z11" s="7"/>
      <c r="AA11" s="7"/>
      <c r="AB11" s="7"/>
      <c r="AC11" s="7"/>
      <c r="AD11" s="7"/>
      <c r="AE11" s="7"/>
      <c r="AF11" s="7"/>
      <c r="AG11" s="7"/>
      <c r="AH11" s="7"/>
      <c r="AI11" s="7"/>
      <c r="AJ11" s="7"/>
      <c r="AK11" s="7"/>
      <c r="AL11" s="7"/>
      <c r="AM11" s="7"/>
      <c r="AN11" s="7"/>
    </row>
    <row r="12" spans="1:40" x14ac:dyDescent="0.2">
      <c r="A12" t="s">
        <v>137</v>
      </c>
      <c r="B12" t="s">
        <v>368</v>
      </c>
      <c r="C12" s="7">
        <v>2.1891509709100943</v>
      </c>
      <c r="D12" s="7">
        <v>1.7638828611574571</v>
      </c>
      <c r="E12" s="7">
        <v>0.86889040162410291</v>
      </c>
      <c r="F12" s="7">
        <v>6.3460278570138265E-2</v>
      </c>
      <c r="G12" s="7">
        <v>6.5178455729151596E-2</v>
      </c>
      <c r="H12" s="7">
        <v>6.5377641840979273E-2</v>
      </c>
      <c r="I12" s="6"/>
      <c r="T12" s="7"/>
      <c r="U12" s="7"/>
      <c r="V12" s="7"/>
      <c r="W12" s="7"/>
      <c r="X12" s="7"/>
      <c r="Y12" s="7"/>
      <c r="Z12" s="7"/>
      <c r="AA12" s="7"/>
      <c r="AB12" s="7"/>
      <c r="AC12" s="7"/>
      <c r="AD12" s="7"/>
      <c r="AE12" s="7"/>
      <c r="AF12" s="7"/>
      <c r="AG12" s="7"/>
      <c r="AH12" s="7"/>
      <c r="AI12" s="7"/>
      <c r="AJ12" s="7"/>
      <c r="AK12" s="7"/>
      <c r="AL12" s="7"/>
      <c r="AM12" s="7"/>
      <c r="AN12" s="7"/>
    </row>
    <row r="13" spans="1:40" x14ac:dyDescent="0.2">
      <c r="A13" t="s">
        <v>137</v>
      </c>
      <c r="B13" t="s">
        <v>61</v>
      </c>
      <c r="C13" s="7">
        <v>1.3953205227272419E-2</v>
      </c>
      <c r="D13" s="7">
        <v>9.2280040077986746E-3</v>
      </c>
      <c r="E13" s="7">
        <v>1.0464632968199748E-2</v>
      </c>
      <c r="F13" s="7">
        <v>4.3633358248302487E-3</v>
      </c>
      <c r="G13" s="7">
        <v>1.1133692009041535E-3</v>
      </c>
      <c r="H13" s="7">
        <v>1.1148309127867171E-3</v>
      </c>
      <c r="I13" s="4"/>
      <c r="T13" s="7"/>
      <c r="U13" s="7"/>
      <c r="V13" s="7"/>
      <c r="W13" s="7"/>
      <c r="X13" s="7"/>
      <c r="Y13" s="7"/>
      <c r="Z13" s="7"/>
      <c r="AA13" s="7"/>
      <c r="AB13" s="7"/>
      <c r="AC13" s="7"/>
      <c r="AD13" s="7"/>
      <c r="AE13" s="7"/>
      <c r="AF13" s="7"/>
      <c r="AG13" s="7"/>
      <c r="AH13" s="7"/>
      <c r="AI13" s="7"/>
      <c r="AJ13" s="7"/>
      <c r="AK13" s="7"/>
      <c r="AL13" s="7"/>
      <c r="AM13" s="7"/>
      <c r="AN13" s="7"/>
    </row>
    <row r="14" spans="1:40" x14ac:dyDescent="0.2">
      <c r="A14" t="s">
        <v>137</v>
      </c>
      <c r="B14" t="s">
        <v>55</v>
      </c>
      <c r="C14" s="7">
        <v>2.660963315309357E-2</v>
      </c>
      <c r="D14" s="7">
        <v>2.660963315309357E-2</v>
      </c>
      <c r="E14" s="7">
        <v>1.0791652748455985E-2</v>
      </c>
      <c r="F14" s="7">
        <v>4.8869361238098791E-2</v>
      </c>
      <c r="G14" s="7">
        <v>1.480781037202524E-2</v>
      </c>
      <c r="H14" s="7">
        <v>8.4727149371790506E-3</v>
      </c>
      <c r="I14" s="5"/>
      <c r="T14" s="7"/>
      <c r="U14" s="7"/>
      <c r="V14" s="7"/>
      <c r="W14" s="7"/>
      <c r="X14" s="7"/>
      <c r="Y14" s="7"/>
      <c r="Z14" s="7"/>
      <c r="AA14" s="7"/>
      <c r="AB14" s="7"/>
      <c r="AC14" s="7"/>
      <c r="AD14" s="7"/>
      <c r="AE14" s="7"/>
      <c r="AF14" s="7"/>
      <c r="AG14" s="7"/>
      <c r="AH14" s="7"/>
      <c r="AI14" s="7"/>
      <c r="AJ14" s="7"/>
      <c r="AK14" s="7"/>
      <c r="AL14" s="7"/>
      <c r="AM14" s="7"/>
      <c r="AN14" s="7"/>
    </row>
    <row r="15" spans="1:40" x14ac:dyDescent="0.2">
      <c r="A15" t="s">
        <v>137</v>
      </c>
      <c r="B15" t="s">
        <v>58</v>
      </c>
      <c r="C15" s="7">
        <v>1.350057491278213E-3</v>
      </c>
      <c r="D15" s="7">
        <v>1.350057491278213E-3</v>
      </c>
      <c r="E15" s="7">
        <v>1.744105494699958E-3</v>
      </c>
      <c r="F15" s="7">
        <v>1.7453343299320993E-3</v>
      </c>
      <c r="G15" s="7">
        <v>4.4534768036166134E-4</v>
      </c>
      <c r="H15" s="7">
        <v>4.4593236511468687E-4</v>
      </c>
      <c r="I15" s="5"/>
      <c r="T15" s="7"/>
      <c r="U15" s="7"/>
      <c r="V15" s="7"/>
      <c r="W15" s="7"/>
      <c r="X15" s="7"/>
      <c r="Y15" s="7"/>
      <c r="Z15" s="7"/>
      <c r="AA15" s="7"/>
      <c r="AB15" s="7"/>
      <c r="AC15" s="7"/>
      <c r="AD15" s="7"/>
      <c r="AE15" s="7"/>
      <c r="AF15" s="7"/>
      <c r="AG15" s="7"/>
      <c r="AH15" s="7"/>
      <c r="AI15" s="7"/>
      <c r="AJ15" s="7"/>
      <c r="AK15" s="7"/>
      <c r="AL15" s="7"/>
      <c r="AM15" s="7"/>
      <c r="AN15" s="7"/>
    </row>
    <row r="16" spans="1:40" x14ac:dyDescent="0.2">
      <c r="A16" t="s">
        <v>137</v>
      </c>
      <c r="B16" t="s">
        <v>57</v>
      </c>
      <c r="C16" s="7">
        <v>1.350057491278213E-3</v>
      </c>
      <c r="D16" s="7">
        <v>1.350057491278213E-3</v>
      </c>
      <c r="E16" s="7">
        <v>1.744105494699958E-3</v>
      </c>
      <c r="F16" s="7">
        <v>1.7453343299320993E-3</v>
      </c>
      <c r="G16" s="7">
        <v>4.4534768036166134E-4</v>
      </c>
      <c r="H16" s="7">
        <v>4.4593236511468687E-4</v>
      </c>
      <c r="I16" s="5"/>
    </row>
    <row r="17" spans="1:10" x14ac:dyDescent="0.2">
      <c r="A17" t="s">
        <v>137</v>
      </c>
      <c r="B17" t="s">
        <v>360</v>
      </c>
      <c r="C17" s="7">
        <v>0.99037189923972668</v>
      </c>
      <c r="D17" s="7">
        <v>0.79798060638763357</v>
      </c>
      <c r="E17" s="7">
        <v>0.39308601769474416</v>
      </c>
      <c r="F17" s="7">
        <v>2.8709430025130551E-2</v>
      </c>
      <c r="G17" s="7">
        <v>2.9486733371868183E-2</v>
      </c>
      <c r="H17" s="7">
        <v>2.9576845168859025E-2</v>
      </c>
      <c r="I17" s="5"/>
    </row>
    <row r="18" spans="1:10" x14ac:dyDescent="0.2">
      <c r="A18" t="s">
        <v>137</v>
      </c>
      <c r="B18" t="s">
        <v>309</v>
      </c>
      <c r="C18" s="7">
        <v>6.9833915972032007E-2</v>
      </c>
      <c r="D18" s="7">
        <v>5.6267863270922876E-2</v>
      </c>
      <c r="E18" s="7">
        <v>2.7717603811808881E-2</v>
      </c>
      <c r="F18" s="7">
        <v>2.0243828863874104E-3</v>
      </c>
      <c r="G18" s="7">
        <v>2.0791927377599357E-3</v>
      </c>
      <c r="H18" s="7">
        <v>2.0855467747272387E-3</v>
      </c>
      <c r="I18" s="5"/>
    </row>
    <row r="19" spans="1:10" x14ac:dyDescent="0.2">
      <c r="A19" t="s">
        <v>137</v>
      </c>
      <c r="B19" t="s">
        <v>310</v>
      </c>
      <c r="C19" s="7">
        <v>1.4229481310915611E-2</v>
      </c>
      <c r="D19" s="7">
        <v>1.1465238597523471E-2</v>
      </c>
      <c r="E19" s="7">
        <v>5.6477876105566691E-3</v>
      </c>
      <c r="F19" s="7">
        <v>4.124918107058987E-4</v>
      </c>
      <c r="G19" s="7">
        <v>4.2365996223948536E-4</v>
      </c>
      <c r="H19" s="7">
        <v>4.2495467196636527E-4</v>
      </c>
      <c r="I19" s="5"/>
    </row>
    <row r="20" spans="1:10" x14ac:dyDescent="0.2">
      <c r="A20" t="s">
        <v>137</v>
      </c>
      <c r="B20" t="s">
        <v>311</v>
      </c>
      <c r="C20" s="7">
        <v>0.11471151087568894</v>
      </c>
      <c r="D20" s="7">
        <v>9.2427461924650761E-2</v>
      </c>
      <c r="E20" s="7">
        <v>4.5529857045102998E-2</v>
      </c>
      <c r="F20" s="7">
        <v>3.3253185970752454E-3</v>
      </c>
      <c r="G20" s="7">
        <v>3.4153510802075438E-3</v>
      </c>
      <c r="H20" s="7">
        <v>3.4257884324673141E-3</v>
      </c>
      <c r="I20" s="5"/>
    </row>
    <row r="21" spans="1:10" x14ac:dyDescent="0.2">
      <c r="A21" t="s">
        <v>137</v>
      </c>
      <c r="B21" t="s">
        <v>312</v>
      </c>
      <c r="C21" s="7">
        <v>4.7066745874567023E-2</v>
      </c>
      <c r="D21" s="7">
        <v>3.7923481514885324E-2</v>
      </c>
      <c r="E21" s="7">
        <v>1.8681143634918213E-2</v>
      </c>
      <c r="F21" s="7">
        <v>1.3643959892579726E-3</v>
      </c>
      <c r="G21" s="7">
        <v>1.4013367981767593E-3</v>
      </c>
      <c r="H21" s="7">
        <v>1.4056192995810543E-3</v>
      </c>
      <c r="I21" s="5"/>
    </row>
    <row r="22" spans="1:10" x14ac:dyDescent="0.2">
      <c r="A22" t="s">
        <v>137</v>
      </c>
      <c r="B22" t="s">
        <v>313</v>
      </c>
      <c r="C22" s="7">
        <v>3.524533063165252E-2</v>
      </c>
      <c r="D22" s="7">
        <v>2.8398514064635057E-2</v>
      </c>
      <c r="E22" s="7">
        <v>1.3989135466148057E-2</v>
      </c>
      <c r="F22" s="7">
        <v>1.0217104849792259E-3</v>
      </c>
      <c r="G22" s="7">
        <v>1.0493731372393407E-3</v>
      </c>
      <c r="H22" s="7">
        <v>1.0525800336397663E-3</v>
      </c>
    </row>
    <row r="23" spans="1:10" x14ac:dyDescent="0.2">
      <c r="A23" t="s">
        <v>137</v>
      </c>
      <c r="B23" t="s">
        <v>314</v>
      </c>
      <c r="C23" s="7">
        <v>2.4956321068375076E-2</v>
      </c>
      <c r="D23" s="7">
        <v>2.0108264617195011E-2</v>
      </c>
      <c r="E23" s="7">
        <v>9.9053505785147728E-3</v>
      </c>
      <c r="F23" s="7">
        <v>7.234471756995762E-4</v>
      </c>
      <c r="G23" s="7">
        <v>7.4303439531232817E-4</v>
      </c>
      <c r="H23" s="7">
        <v>7.453051169871637E-4</v>
      </c>
      <c r="I23" s="7"/>
      <c r="J23" s="15"/>
    </row>
    <row r="24" spans="1:10" x14ac:dyDescent="0.2">
      <c r="A24" t="s">
        <v>137</v>
      </c>
      <c r="B24" t="s">
        <v>315</v>
      </c>
      <c r="C24" s="7">
        <v>1.6199717184734699E-2</v>
      </c>
      <c r="D24" s="7">
        <v>1.3052733172565183E-2</v>
      </c>
      <c r="E24" s="7">
        <v>6.4297889720183622E-3</v>
      </c>
      <c r="F24" s="7">
        <v>4.696060614190232E-4</v>
      </c>
      <c r="G24" s="7">
        <v>4.8232057239572186E-4</v>
      </c>
      <c r="H24" s="7">
        <v>4.8379454962324666E-4</v>
      </c>
      <c r="I24" s="7"/>
      <c r="J24" s="15"/>
    </row>
    <row r="25" spans="1:10" x14ac:dyDescent="0.2">
      <c r="A25" t="s">
        <v>137</v>
      </c>
      <c r="B25" t="s">
        <v>316</v>
      </c>
      <c r="C25" s="7">
        <v>0.15980802087643686</v>
      </c>
      <c r="D25" s="7">
        <v>0.12876344886449437</v>
      </c>
      <c r="E25" s="7">
        <v>6.3428999318559512E-2</v>
      </c>
      <c r="F25" s="7">
        <v>4.6326003356200931E-3</v>
      </c>
      <c r="G25" s="7">
        <v>4.7580272682280662E-3</v>
      </c>
      <c r="H25" s="7">
        <v>4.7725678543914865E-3</v>
      </c>
      <c r="I25" s="7"/>
      <c r="J25" s="15"/>
    </row>
    <row r="26" spans="1:10" x14ac:dyDescent="0.2">
      <c r="A26" t="s">
        <v>137</v>
      </c>
      <c r="B26" t="s">
        <v>317</v>
      </c>
      <c r="C26" s="7">
        <v>8.362556708876559E-2</v>
      </c>
      <c r="D26" s="7">
        <v>6.7380325296214863E-2</v>
      </c>
      <c r="E26" s="7">
        <v>3.3191613342040731E-2</v>
      </c>
      <c r="F26" s="7">
        <v>2.4241826413792817E-3</v>
      </c>
      <c r="G26" s="7">
        <v>2.4898170088535907E-3</v>
      </c>
      <c r="H26" s="7">
        <v>2.4974259183254081E-3</v>
      </c>
      <c r="I26" s="7"/>
      <c r="J26" s="15"/>
    </row>
    <row r="27" spans="1:10" x14ac:dyDescent="0.2">
      <c r="A27" t="s">
        <v>137</v>
      </c>
      <c r="B27" t="s">
        <v>318</v>
      </c>
      <c r="C27" s="7">
        <v>2.4080660680011038E-3</v>
      </c>
      <c r="D27" s="7">
        <v>1.9402711472732029E-3</v>
      </c>
      <c r="E27" s="7">
        <v>9.5577944178651321E-4</v>
      </c>
      <c r="F27" s="7">
        <v>6.9806306427152101E-5</v>
      </c>
      <c r="G27" s="7">
        <v>7.1696301302066765E-5</v>
      </c>
      <c r="H27" s="7">
        <v>7.1915406025077199E-5</v>
      </c>
      <c r="I27" s="7"/>
      <c r="J27" s="15"/>
    </row>
    <row r="28" spans="1:10" x14ac:dyDescent="0.2">
      <c r="A28" t="s">
        <v>137</v>
      </c>
      <c r="B28" t="s">
        <v>54</v>
      </c>
      <c r="C28" s="7">
        <v>0.12281136946805628</v>
      </c>
      <c r="D28" s="7">
        <v>9.8953828510933331E-2</v>
      </c>
      <c r="E28" s="7">
        <v>4.8744751531112171E-2</v>
      </c>
      <c r="F28" s="7">
        <v>3.5601216277847563E-3</v>
      </c>
      <c r="G28" s="7">
        <v>3.6565113664054042E-3</v>
      </c>
      <c r="H28" s="7">
        <v>3.6676857072789372E-3</v>
      </c>
      <c r="I28" s="7"/>
      <c r="J28" s="15"/>
    </row>
    <row r="29" spans="1:10" x14ac:dyDescent="0.2">
      <c r="A29" t="s">
        <v>137</v>
      </c>
      <c r="B29" t="s">
        <v>319</v>
      </c>
      <c r="C29" s="7">
        <v>0.24036877660592834</v>
      </c>
      <c r="D29" s="7">
        <v>0.19367433815508878</v>
      </c>
      <c r="E29" s="7">
        <v>9.5404166098326498E-2</v>
      </c>
      <c r="F29" s="7">
        <v>6.9679385870011811E-3</v>
      </c>
      <c r="G29" s="7">
        <v>7.1565944390608446E-3</v>
      </c>
      <c r="H29" s="7">
        <v>7.1784650741395237E-3</v>
      </c>
      <c r="I29" s="7"/>
      <c r="J29" s="15"/>
    </row>
    <row r="30" spans="1:10" x14ac:dyDescent="0.2">
      <c r="A30" t="s">
        <v>137</v>
      </c>
      <c r="B30" t="s">
        <v>320</v>
      </c>
      <c r="C30" s="7">
        <v>0.11887089772041812</v>
      </c>
      <c r="D30" s="7">
        <v>9.5778839360849924E-2</v>
      </c>
      <c r="E30" s="7">
        <v>4.7180748808188788E-2</v>
      </c>
      <c r="F30" s="7">
        <v>3.4458931263585076E-3</v>
      </c>
      <c r="G30" s="7">
        <v>3.5391901460929318E-3</v>
      </c>
      <c r="H30" s="7">
        <v>3.5500059519651744E-3</v>
      </c>
      <c r="I30" s="7"/>
      <c r="J30" s="15"/>
    </row>
    <row r="31" spans="1:10" x14ac:dyDescent="0.2">
      <c r="A31" t="s">
        <v>137</v>
      </c>
      <c r="B31" t="s">
        <v>321</v>
      </c>
      <c r="C31" s="7">
        <v>4.9474811942568128E-2</v>
      </c>
      <c r="D31" s="7">
        <v>3.9863752662158525E-2</v>
      </c>
      <c r="E31" s="7">
        <v>1.9636923076704723E-2</v>
      </c>
      <c r="F31" s="7">
        <v>1.4342022956851247E-3</v>
      </c>
      <c r="G31" s="7">
        <v>1.4730330994788259E-3</v>
      </c>
      <c r="H31" s="7">
        <v>1.4775347056061314E-3</v>
      </c>
      <c r="I31" s="7"/>
      <c r="J31" s="15"/>
    </row>
    <row r="32" spans="1:10" x14ac:dyDescent="0.2">
      <c r="A32" t="s">
        <v>137</v>
      </c>
      <c r="B32" t="s">
        <v>322</v>
      </c>
      <c r="C32" s="7">
        <v>3.7215566505471608E-2</v>
      </c>
      <c r="D32" s="7">
        <v>2.9986008639676771E-2</v>
      </c>
      <c r="E32" s="7">
        <v>1.4771136827609751E-2</v>
      </c>
      <c r="F32" s="7">
        <v>1.0788247356923505E-3</v>
      </c>
      <c r="G32" s="7">
        <v>1.1080337473955773E-3</v>
      </c>
      <c r="H32" s="7">
        <v>1.1114199112966477E-3</v>
      </c>
      <c r="I32" s="7"/>
      <c r="J32" s="15"/>
    </row>
    <row r="33" spans="1:10" x14ac:dyDescent="0.2">
      <c r="A33" t="s">
        <v>137</v>
      </c>
      <c r="B33" t="s">
        <v>323</v>
      </c>
      <c r="C33" s="7">
        <v>1.6418632281825708E-2</v>
      </c>
      <c r="D33" s="7">
        <v>1.3229121458680928E-2</v>
      </c>
      <c r="E33" s="7">
        <v>6.5166780121807717E-3</v>
      </c>
      <c r="F33" s="7">
        <v>4.7595208927603695E-4</v>
      </c>
      <c r="G33" s="7">
        <v>4.8883841796863693E-4</v>
      </c>
      <c r="H33" s="7">
        <v>4.9033231380734448E-4</v>
      </c>
      <c r="I33" s="7"/>
      <c r="J33" s="15"/>
    </row>
    <row r="34" spans="1:10" x14ac:dyDescent="0.2">
      <c r="A34" t="s">
        <v>137</v>
      </c>
      <c r="B34" t="s">
        <v>324</v>
      </c>
      <c r="C34" s="7">
        <v>4.8161321360022076E-3</v>
      </c>
      <c r="D34" s="7">
        <v>3.8805422945464058E-3</v>
      </c>
      <c r="E34" s="7">
        <v>1.9115588835730264E-3</v>
      </c>
      <c r="F34" s="7">
        <v>1.396126128543042E-4</v>
      </c>
      <c r="G34" s="7">
        <v>1.4339260260413353E-4</v>
      </c>
      <c r="H34" s="7">
        <v>1.438308120501544E-4</v>
      </c>
      <c r="I34" s="7"/>
      <c r="J34" s="15"/>
    </row>
    <row r="35" spans="1:10" x14ac:dyDescent="0.2">
      <c r="A35" t="s">
        <v>137</v>
      </c>
      <c r="B35" t="s">
        <v>325</v>
      </c>
      <c r="C35" s="7">
        <v>1.3353820922551576E-2</v>
      </c>
      <c r="D35" s="7">
        <v>1.0759685453060488E-2</v>
      </c>
      <c r="E35" s="7">
        <v>5.3002314499070282E-3</v>
      </c>
      <c r="F35" s="7">
        <v>3.8710769927784345E-4</v>
      </c>
      <c r="G35" s="7">
        <v>3.9758857994782478E-4</v>
      </c>
      <c r="H35" s="7">
        <v>3.9880361522997361E-4</v>
      </c>
      <c r="I35" s="7"/>
      <c r="J35" s="15"/>
    </row>
    <row r="36" spans="1:10" x14ac:dyDescent="0.2">
      <c r="A36" t="s">
        <v>137</v>
      </c>
      <c r="B36" t="s">
        <v>328</v>
      </c>
      <c r="C36" s="7">
        <v>1.0945754854550472E-3</v>
      </c>
      <c r="D36" s="7">
        <v>8.8194143057872851E-4</v>
      </c>
      <c r="E36" s="7">
        <v>4.3444520081205144E-4</v>
      </c>
      <c r="F36" s="7">
        <v>3.1730139285069131E-5</v>
      </c>
      <c r="G36" s="7">
        <v>3.2589227864575796E-5</v>
      </c>
      <c r="H36" s="7">
        <v>3.2688820920489636E-5</v>
      </c>
      <c r="I36" s="7"/>
      <c r="J36" s="15"/>
    </row>
    <row r="37" spans="1:10" x14ac:dyDescent="0.2">
      <c r="A37" t="s">
        <v>137</v>
      </c>
      <c r="B37" t="s">
        <v>326</v>
      </c>
      <c r="C37" s="7">
        <v>4.1593868447291791E-3</v>
      </c>
      <c r="D37" s="7">
        <v>3.3513774361991684E-3</v>
      </c>
      <c r="E37" s="7">
        <v>1.6508917630857955E-3</v>
      </c>
      <c r="F37" s="7">
        <v>1.205745292832627E-4</v>
      </c>
      <c r="G37" s="7">
        <v>1.2383906588538804E-4</v>
      </c>
      <c r="H37" s="7">
        <v>1.2421751949786062E-4</v>
      </c>
      <c r="I37" s="7"/>
      <c r="J37" s="15"/>
    </row>
    <row r="38" spans="1:10" x14ac:dyDescent="0.2">
      <c r="A38" t="s">
        <v>137</v>
      </c>
      <c r="B38" t="s">
        <v>327</v>
      </c>
      <c r="C38" s="7">
        <v>2.211042480619195E-2</v>
      </c>
      <c r="D38" s="7">
        <v>1.7815216897690316E-2</v>
      </c>
      <c r="E38" s="7">
        <v>8.7757930564034397E-3</v>
      </c>
      <c r="F38" s="7">
        <v>6.4094881355839645E-4</v>
      </c>
      <c r="G38" s="7">
        <v>6.5830240286443109E-4</v>
      </c>
      <c r="H38" s="7">
        <v>6.6031418259389059E-4</v>
      </c>
      <c r="I38" s="7"/>
      <c r="J38" s="15"/>
    </row>
    <row r="39" spans="1:10" x14ac:dyDescent="0.2">
      <c r="A39" t="s">
        <v>137</v>
      </c>
      <c r="B39" t="s">
        <v>329</v>
      </c>
      <c r="C39" s="16">
        <v>8.1882352941176475E-7</v>
      </c>
      <c r="D39" s="16">
        <v>8.1882352941176475E-7</v>
      </c>
      <c r="E39" s="16">
        <v>8.1882352941176475E-7</v>
      </c>
      <c r="F39" s="16">
        <v>8.1882352941176475E-7</v>
      </c>
      <c r="G39" s="16">
        <v>8.1882352941176475E-7</v>
      </c>
      <c r="H39" s="16">
        <v>8.1882352941176475E-7</v>
      </c>
      <c r="I39" s="7"/>
      <c r="J39" s="15"/>
    </row>
    <row r="40" spans="1:10" x14ac:dyDescent="0.2">
      <c r="A40" t="s">
        <v>137</v>
      </c>
      <c r="B40" t="s">
        <v>330</v>
      </c>
      <c r="C40" s="16">
        <v>7.0588235294117646E-9</v>
      </c>
      <c r="D40" s="16">
        <v>7.0588235294117646E-9</v>
      </c>
      <c r="E40" s="16">
        <v>7.0588235294117646E-9</v>
      </c>
      <c r="F40" s="16">
        <v>7.0588235294117646E-9</v>
      </c>
      <c r="G40" s="16">
        <v>7.0588235294117646E-9</v>
      </c>
      <c r="H40" s="16">
        <v>7.0588235294117646E-9</v>
      </c>
      <c r="I40" s="7"/>
      <c r="J40" s="15"/>
    </row>
    <row r="41" spans="1:10" x14ac:dyDescent="0.2">
      <c r="A41" t="s">
        <v>137</v>
      </c>
      <c r="B41" t="s">
        <v>331</v>
      </c>
      <c r="C41" s="16">
        <v>4.705882352941177E-9</v>
      </c>
      <c r="D41" s="16">
        <v>4.705882352941177E-9</v>
      </c>
      <c r="E41" s="16">
        <v>4.705882352941177E-9</v>
      </c>
      <c r="F41" s="16">
        <v>4.705882352941177E-9</v>
      </c>
      <c r="G41" s="16">
        <v>4.705882352941177E-9</v>
      </c>
      <c r="H41" s="16">
        <v>4.705882352941177E-9</v>
      </c>
      <c r="I41" s="7"/>
      <c r="J41" s="15"/>
    </row>
    <row r="42" spans="1:10" x14ac:dyDescent="0.2">
      <c r="A42" t="s">
        <v>137</v>
      </c>
      <c r="B42" t="s">
        <v>332</v>
      </c>
      <c r="C42" s="16">
        <v>5.082352941176471E-5</v>
      </c>
      <c r="D42" s="16">
        <v>5.082352941176471E-5</v>
      </c>
      <c r="E42" s="16">
        <v>5.082352941176471E-5</v>
      </c>
      <c r="F42" s="16">
        <v>5.082352941176471E-5</v>
      </c>
      <c r="G42" s="16">
        <v>5.082352941176471E-5</v>
      </c>
      <c r="H42" s="16">
        <v>5.082352941176471E-5</v>
      </c>
      <c r="I42" s="7"/>
      <c r="J42" s="15"/>
    </row>
    <row r="43" spans="1:10" x14ac:dyDescent="0.2">
      <c r="A43" t="s">
        <v>137</v>
      </c>
      <c r="B43" t="s">
        <v>290</v>
      </c>
      <c r="C43" s="16">
        <v>9.8823529411764699E-7</v>
      </c>
      <c r="D43" s="16">
        <v>9.8823529411764699E-7</v>
      </c>
      <c r="E43" s="16">
        <v>9.8823529411764699E-7</v>
      </c>
      <c r="F43" s="16">
        <v>9.8823529411764699E-7</v>
      </c>
      <c r="G43" s="16">
        <v>9.8823529411764699E-7</v>
      </c>
      <c r="H43" s="16">
        <v>9.8823529411764699E-7</v>
      </c>
      <c r="I43" s="7"/>
      <c r="J43" s="15"/>
    </row>
    <row r="44" spans="1:10" x14ac:dyDescent="0.2">
      <c r="A44" t="s">
        <v>137</v>
      </c>
      <c r="B44" t="s">
        <v>292</v>
      </c>
      <c r="C44" s="16">
        <v>3.0588235294117647E-7</v>
      </c>
      <c r="D44" s="16">
        <v>3.0588235294117647E-7</v>
      </c>
      <c r="E44" s="16">
        <v>3.0588235294117647E-7</v>
      </c>
      <c r="F44" s="16">
        <v>3.0588235294117647E-7</v>
      </c>
      <c r="G44" s="16">
        <v>3.0588235294117647E-7</v>
      </c>
      <c r="H44" s="16">
        <v>3.0588235294117647E-7</v>
      </c>
      <c r="I44" s="7"/>
    </row>
    <row r="45" spans="1:10" x14ac:dyDescent="0.2">
      <c r="A45" t="s">
        <v>137</v>
      </c>
      <c r="B45" t="s">
        <v>291</v>
      </c>
      <c r="C45" s="16">
        <v>3.7647058823529416E-7</v>
      </c>
      <c r="D45" s="16">
        <v>3.7647058823529416E-7</v>
      </c>
      <c r="E45" s="16">
        <v>3.7647058823529416E-7</v>
      </c>
      <c r="F45" s="16">
        <v>3.7647058823529416E-7</v>
      </c>
      <c r="G45" s="16">
        <v>3.7647058823529416E-7</v>
      </c>
      <c r="H45" s="16">
        <v>3.7647058823529416E-7</v>
      </c>
    </row>
    <row r="46" spans="1:10" x14ac:dyDescent="0.2">
      <c r="A46" t="s">
        <v>137</v>
      </c>
      <c r="B46" t="s">
        <v>335</v>
      </c>
      <c r="C46" s="16">
        <v>7.5294117647058821E-10</v>
      </c>
      <c r="D46" s="16">
        <v>7.5294117647058821E-10</v>
      </c>
      <c r="E46" s="16">
        <v>7.5294117647058821E-10</v>
      </c>
      <c r="F46" s="16">
        <v>7.5294117647058821E-10</v>
      </c>
      <c r="G46" s="16">
        <v>7.5294117647058821E-10</v>
      </c>
      <c r="H46" s="16">
        <v>7.5294117647058821E-10</v>
      </c>
      <c r="I46" s="17"/>
    </row>
    <row r="47" spans="1:10" x14ac:dyDescent="0.2">
      <c r="A47" t="s">
        <v>137</v>
      </c>
      <c r="B47" t="s">
        <v>333</v>
      </c>
      <c r="C47" s="16">
        <v>2.0470588235294119E-7</v>
      </c>
      <c r="D47" s="16">
        <v>2.0470588235294119E-7</v>
      </c>
      <c r="E47" s="16">
        <v>2.0470588235294119E-7</v>
      </c>
      <c r="F47" s="16">
        <v>2.0470588235294119E-7</v>
      </c>
      <c r="G47" s="16">
        <v>2.0470588235294119E-7</v>
      </c>
      <c r="H47" s="16">
        <v>2.0470588235294119E-7</v>
      </c>
      <c r="I47" s="17"/>
    </row>
    <row r="48" spans="1:10" x14ac:dyDescent="0.2">
      <c r="A48" t="s">
        <v>137</v>
      </c>
      <c r="B48" t="s">
        <v>334</v>
      </c>
      <c r="C48" s="16">
        <v>2.5411764705882357E-7</v>
      </c>
      <c r="D48" s="16">
        <v>2.5411764705882357E-7</v>
      </c>
      <c r="E48" s="16">
        <v>2.5411764705882357E-7</v>
      </c>
      <c r="F48" s="16">
        <v>2.5411764705882357E-7</v>
      </c>
      <c r="G48" s="16">
        <v>2.5411764705882357E-7</v>
      </c>
      <c r="H48" s="16">
        <v>2.5411764705882357E-7</v>
      </c>
      <c r="I48" s="17"/>
    </row>
    <row r="49" spans="1:35" x14ac:dyDescent="0.2">
      <c r="A49" t="s">
        <v>138</v>
      </c>
      <c r="B49" t="s">
        <v>56</v>
      </c>
      <c r="C49" s="7">
        <v>2.915195448533793</v>
      </c>
      <c r="D49" s="7">
        <v>3.2299158780310151</v>
      </c>
      <c r="E49" s="7">
        <v>3.5224878702476778</v>
      </c>
      <c r="F49" s="7">
        <v>0.80889745917939671</v>
      </c>
      <c r="G49" s="7">
        <v>9.5150832475643779E-2</v>
      </c>
      <c r="H49" s="7">
        <v>9.5149632903978362E-2</v>
      </c>
      <c r="I49" s="17"/>
    </row>
    <row r="50" spans="1:35" x14ac:dyDescent="0.2">
      <c r="A50" t="s">
        <v>138</v>
      </c>
      <c r="B50" t="s">
        <v>59</v>
      </c>
      <c r="C50" s="7">
        <v>0.10489381378097931</v>
      </c>
      <c r="D50" s="7">
        <v>0.10489381378097931</v>
      </c>
      <c r="E50" s="7">
        <v>3.8860210090666626E-2</v>
      </c>
      <c r="F50" s="7">
        <v>2.686988232543534E-2</v>
      </c>
      <c r="G50" s="7">
        <v>9.2318827679158492E-3</v>
      </c>
      <c r="H50" s="7">
        <v>7.0497830742104438E-3</v>
      </c>
      <c r="I50" s="17"/>
    </row>
    <row r="51" spans="1:35" x14ac:dyDescent="0.2">
      <c r="A51" t="s">
        <v>138</v>
      </c>
      <c r="B51" t="s">
        <v>368</v>
      </c>
      <c r="C51" s="7">
        <v>1.0838177419178909</v>
      </c>
      <c r="D51" s="7">
        <v>0.64320914062177992</v>
      </c>
      <c r="E51" s="7">
        <v>0.82099046851904756</v>
      </c>
      <c r="F51" s="7">
        <v>9.0637972192836605E-2</v>
      </c>
      <c r="G51" s="7">
        <v>2.307364639176256E-2</v>
      </c>
      <c r="H51" s="7">
        <v>2.3066881837462593E-2</v>
      </c>
      <c r="I51" s="17"/>
    </row>
    <row r="52" spans="1:35" x14ac:dyDescent="0.2">
      <c r="A52" t="s">
        <v>138</v>
      </c>
      <c r="B52" t="s">
        <v>61</v>
      </c>
      <c r="C52" s="7">
        <v>8.0330641182335405E-3</v>
      </c>
      <c r="D52" s="7">
        <v>3.1374129927211969E-3</v>
      </c>
      <c r="E52" s="7">
        <v>1.0638578146824082E-2</v>
      </c>
      <c r="F52" s="7">
        <v>4.9486252530670048E-3</v>
      </c>
      <c r="G52" s="7">
        <v>1.4133139635978708E-3</v>
      </c>
      <c r="H52" s="7">
        <v>1.4132961458726764E-3</v>
      </c>
      <c r="I52" s="17"/>
      <c r="AG52" s="15"/>
      <c r="AH52" s="15"/>
      <c r="AI52" s="15"/>
    </row>
    <row r="53" spans="1:35" x14ac:dyDescent="0.2">
      <c r="A53" t="s">
        <v>138</v>
      </c>
      <c r="B53" t="s">
        <v>55</v>
      </c>
      <c r="C53" s="7">
        <v>2.7569509623956653E-2</v>
      </c>
      <c r="D53" s="7">
        <v>2.7569509623956653E-2</v>
      </c>
      <c r="E53" s="7">
        <v>1.0971033713912328E-2</v>
      </c>
      <c r="F53" s="7">
        <v>5.542460283435046E-2</v>
      </c>
      <c r="G53" s="7">
        <v>1.8797075715851683E-2</v>
      </c>
      <c r="H53" s="7">
        <v>1.0741050708632342E-2</v>
      </c>
      <c r="I53" s="17"/>
      <c r="AG53" s="15"/>
      <c r="AH53" s="15"/>
      <c r="AI53" s="15"/>
    </row>
    <row r="54" spans="1:35" x14ac:dyDescent="0.2">
      <c r="A54" t="s">
        <v>138</v>
      </c>
      <c r="B54" t="s">
        <v>58</v>
      </c>
      <c r="C54" s="7">
        <v>1.3987574644320985E-3</v>
      </c>
      <c r="D54" s="7">
        <v>1.3987574644320985E-3</v>
      </c>
      <c r="E54" s="7">
        <v>1.7730963578040135E-3</v>
      </c>
      <c r="F54" s="7">
        <v>1.9794501012268019E-3</v>
      </c>
      <c r="G54" s="7">
        <v>5.6532558543914832E-4</v>
      </c>
      <c r="H54" s="7">
        <v>5.653184583490706E-4</v>
      </c>
      <c r="I54" s="17"/>
      <c r="AG54" s="15"/>
      <c r="AH54" s="15"/>
      <c r="AI54" s="15"/>
    </row>
    <row r="55" spans="1:35" x14ac:dyDescent="0.2">
      <c r="A55" t="s">
        <v>138</v>
      </c>
      <c r="B55" t="s">
        <v>57</v>
      </c>
      <c r="C55" s="7">
        <v>1.3987574644320985E-3</v>
      </c>
      <c r="D55" s="7">
        <v>1.3987574644320985E-3</v>
      </c>
      <c r="E55" s="7">
        <v>1.7730963578040135E-3</v>
      </c>
      <c r="F55" s="7">
        <v>1.9794501012268019E-3</v>
      </c>
      <c r="G55" s="7">
        <v>5.6532558543914832E-4</v>
      </c>
      <c r="H55" s="7">
        <v>5.653184583490706E-4</v>
      </c>
      <c r="I55" s="17"/>
      <c r="AG55" s="15"/>
      <c r="AH55" s="15"/>
      <c r="AI55" s="15"/>
    </row>
    <row r="56" spans="1:35" x14ac:dyDescent="0.2">
      <c r="A56" t="s">
        <v>138</v>
      </c>
      <c r="B56" t="s">
        <v>360</v>
      </c>
      <c r="C56" s="7">
        <v>0.49031914644365387</v>
      </c>
      <c r="D56" s="7">
        <v>0.29098781521729328</v>
      </c>
      <c r="E56" s="7">
        <v>0.37141608795801712</v>
      </c>
      <c r="F56" s="7">
        <v>4.1004618620039283E-2</v>
      </c>
      <c r="G56" s="7">
        <v>1.0438517627633382E-2</v>
      </c>
      <c r="H56" s="7">
        <v>1.0435457343268078E-2</v>
      </c>
      <c r="I56" s="7"/>
      <c r="AG56" s="15"/>
      <c r="AH56" s="15"/>
      <c r="AI56" s="15"/>
    </row>
    <row r="57" spans="1:35" x14ac:dyDescent="0.2">
      <c r="A57" t="s">
        <v>138</v>
      </c>
      <c r="B57" t="s">
        <v>309</v>
      </c>
      <c r="C57" s="7">
        <v>3.457378596718072E-2</v>
      </c>
      <c r="D57" s="7">
        <v>2.0518371585834777E-2</v>
      </c>
      <c r="E57" s="7">
        <v>2.6189595945757614E-2</v>
      </c>
      <c r="F57" s="7">
        <v>2.8913513129514875E-3</v>
      </c>
      <c r="G57" s="7">
        <v>7.3604931989722558E-4</v>
      </c>
      <c r="H57" s="7">
        <v>7.3583353061505664E-4</v>
      </c>
      <c r="AG57" s="15"/>
      <c r="AH57" s="15"/>
      <c r="AI57" s="15"/>
    </row>
    <row r="58" spans="1:35" x14ac:dyDescent="0.2">
      <c r="A58" t="s">
        <v>138</v>
      </c>
      <c r="B58" t="s">
        <v>310</v>
      </c>
      <c r="C58" s="7">
        <v>7.0448153224662909E-3</v>
      </c>
      <c r="D58" s="7">
        <v>4.1808594140415696E-3</v>
      </c>
      <c r="E58" s="7">
        <v>5.3364380453738086E-3</v>
      </c>
      <c r="F58" s="7">
        <v>5.891468192534379E-4</v>
      </c>
      <c r="G58" s="7">
        <v>1.4997870154645664E-4</v>
      </c>
      <c r="H58" s="7">
        <v>1.4993473194350684E-4</v>
      </c>
      <c r="AG58" s="15"/>
      <c r="AH58" s="15"/>
      <c r="AI58" s="15"/>
    </row>
    <row r="59" spans="1:35" x14ac:dyDescent="0.2">
      <c r="A59" t="s">
        <v>138</v>
      </c>
      <c r="B59" t="s">
        <v>311</v>
      </c>
      <c r="C59" s="7">
        <v>5.6792049676497487E-2</v>
      </c>
      <c r="D59" s="7">
        <v>3.3704158968581269E-2</v>
      </c>
      <c r="E59" s="7">
        <v>4.3019900550398095E-2</v>
      </c>
      <c r="F59" s="7">
        <v>4.7494297429046383E-3</v>
      </c>
      <c r="G59" s="7">
        <v>1.2090590709283582E-3</v>
      </c>
      <c r="H59" s="7">
        <v>1.2087046082830399E-3</v>
      </c>
      <c r="I59" s="5"/>
      <c r="AG59" s="15"/>
      <c r="AH59" s="15"/>
      <c r="AI59" s="15"/>
    </row>
    <row r="60" spans="1:35" x14ac:dyDescent="0.2">
      <c r="A60" t="s">
        <v>138</v>
      </c>
      <c r="B60" t="s">
        <v>312</v>
      </c>
      <c r="C60" s="7">
        <v>2.3302081451234653E-2</v>
      </c>
      <c r="D60" s="7">
        <v>1.3828996523368267E-2</v>
      </c>
      <c r="E60" s="7">
        <v>1.7651295073159521E-2</v>
      </c>
      <c r="F60" s="7">
        <v>1.9487164021459869E-3</v>
      </c>
      <c r="G60" s="7">
        <v>4.9608339742289497E-4</v>
      </c>
      <c r="H60" s="7">
        <v>4.959379595054457E-4</v>
      </c>
      <c r="I60" s="5"/>
      <c r="AG60" s="15"/>
      <c r="AH60" s="15"/>
      <c r="AI60" s="15"/>
    </row>
    <row r="61" spans="1:35" x14ac:dyDescent="0.2">
      <c r="A61" t="s">
        <v>138</v>
      </c>
      <c r="B61" t="s">
        <v>313</v>
      </c>
      <c r="C61" s="7">
        <v>1.7449465644878044E-2</v>
      </c>
      <c r="D61" s="7">
        <v>1.0355667164010656E-2</v>
      </c>
      <c r="E61" s="7">
        <v>1.3217946543156665E-2</v>
      </c>
      <c r="F61" s="7">
        <v>1.4592713523046692E-3</v>
      </c>
      <c r="G61" s="7">
        <v>3.7148570690737721E-4</v>
      </c>
      <c r="H61" s="7">
        <v>3.7137679758314772E-4</v>
      </c>
      <c r="I61" s="5"/>
      <c r="AG61" s="15"/>
      <c r="AH61" s="15"/>
      <c r="AI61" s="15"/>
    </row>
    <row r="62" spans="1:35" x14ac:dyDescent="0.2">
      <c r="A62" t="s">
        <v>138</v>
      </c>
      <c r="B62" t="s">
        <v>314</v>
      </c>
      <c r="C62" s="7">
        <v>1.2355522257863957E-2</v>
      </c>
      <c r="D62" s="7">
        <v>7.3325842030882915E-3</v>
      </c>
      <c r="E62" s="7">
        <v>9.359291341117142E-3</v>
      </c>
      <c r="F62" s="7">
        <v>1.0332728829983374E-3</v>
      </c>
      <c r="G62" s="7">
        <v>2.6303956886609319E-4</v>
      </c>
      <c r="H62" s="7">
        <v>2.6296245294707356E-4</v>
      </c>
      <c r="I62" s="5"/>
      <c r="AG62" s="15"/>
      <c r="AH62" s="15"/>
      <c r="AI62" s="15"/>
    </row>
    <row r="63" spans="1:35" x14ac:dyDescent="0.2">
      <c r="A63" t="s">
        <v>138</v>
      </c>
      <c r="B63" t="s">
        <v>315</v>
      </c>
      <c r="C63" s="7">
        <v>8.0202512901923935E-3</v>
      </c>
      <c r="D63" s="7">
        <v>4.7597476406011719E-3</v>
      </c>
      <c r="E63" s="7">
        <v>6.0753294670409519E-3</v>
      </c>
      <c r="F63" s="7">
        <v>6.7072099422699086E-4</v>
      </c>
      <c r="G63" s="7">
        <v>1.7074498329904296E-4</v>
      </c>
      <c r="H63" s="7">
        <v>1.706949255972232E-4</v>
      </c>
      <c r="I63" s="5"/>
      <c r="AG63" s="15"/>
      <c r="AH63" s="15"/>
      <c r="AI63" s="15"/>
    </row>
    <row r="64" spans="1:35" x14ac:dyDescent="0.2">
      <c r="A64" t="s">
        <v>138</v>
      </c>
      <c r="B64" t="s">
        <v>316</v>
      </c>
      <c r="C64" s="7">
        <v>7.9118695160006039E-2</v>
      </c>
      <c r="D64" s="7">
        <v>4.6954267265389933E-2</v>
      </c>
      <c r="E64" s="7">
        <v>5.9932304201890468E-2</v>
      </c>
      <c r="F64" s="7">
        <v>6.6165719700770715E-3</v>
      </c>
      <c r="G64" s="7">
        <v>1.6843761865986667E-3</v>
      </c>
      <c r="H64" s="7">
        <v>1.6838823741347692E-3</v>
      </c>
      <c r="I64" s="5"/>
      <c r="AG64" s="15"/>
      <c r="AH64" s="15"/>
      <c r="AI64" s="15"/>
    </row>
    <row r="65" spans="1:35" x14ac:dyDescent="0.2">
      <c r="A65" t="s">
        <v>138</v>
      </c>
      <c r="B65" t="s">
        <v>317</v>
      </c>
      <c r="C65" s="7">
        <v>4.1401837741263429E-2</v>
      </c>
      <c r="D65" s="7">
        <v>2.4570589171751991E-2</v>
      </c>
      <c r="E65" s="7">
        <v>3.1361835897427616E-2</v>
      </c>
      <c r="F65" s="7">
        <v>3.4623705377663581E-3</v>
      </c>
      <c r="G65" s="7">
        <v>8.8141329216532974E-4</v>
      </c>
      <c r="H65" s="7">
        <v>8.8115488619107103E-4</v>
      </c>
      <c r="I65" s="5"/>
      <c r="AG65" s="15"/>
      <c r="AH65" s="15"/>
      <c r="AI65" s="15"/>
    </row>
    <row r="66" spans="1:35" x14ac:dyDescent="0.2">
      <c r="A66" t="s">
        <v>138</v>
      </c>
      <c r="B66" t="s">
        <v>318</v>
      </c>
      <c r="C66" s="7">
        <v>1.1921995161096801E-3</v>
      </c>
      <c r="D66" s="7">
        <v>7.0753005468395793E-4</v>
      </c>
      <c r="E66" s="7">
        <v>9.0308951537095233E-4</v>
      </c>
      <c r="F66" s="7">
        <v>9.9701769412120265E-5</v>
      </c>
      <c r="G66" s="7">
        <v>2.5381011030938817E-5</v>
      </c>
      <c r="H66" s="7">
        <v>2.5373570021208853E-5</v>
      </c>
      <c r="I66" s="5"/>
      <c r="AG66" s="15"/>
      <c r="AH66" s="15"/>
      <c r="AI66" s="15"/>
    </row>
    <row r="67" spans="1:35" x14ac:dyDescent="0.2">
      <c r="A67" t="s">
        <v>138</v>
      </c>
      <c r="B67" t="s">
        <v>54</v>
      </c>
      <c r="C67" s="7">
        <v>6.0802175321593675E-2</v>
      </c>
      <c r="D67" s="7">
        <v>3.6084032788881851E-2</v>
      </c>
      <c r="E67" s="7">
        <v>4.6057565283918564E-2</v>
      </c>
      <c r="F67" s="7">
        <v>5.0847902400181335E-3</v>
      </c>
      <c r="G67" s="7">
        <v>1.2944315625778794E-3</v>
      </c>
      <c r="H67" s="7">
        <v>1.2940520710816514E-3</v>
      </c>
      <c r="I67" s="5"/>
      <c r="AG67" s="15"/>
      <c r="AH67" s="15"/>
      <c r="AI67" s="15"/>
    </row>
    <row r="68" spans="1:35" x14ac:dyDescent="0.2">
      <c r="A68" t="s">
        <v>138</v>
      </c>
      <c r="B68" t="s">
        <v>319</v>
      </c>
      <c r="C68" s="7">
        <v>0.11900318806258442</v>
      </c>
      <c r="D68" s="7">
        <v>7.0624363640271429E-2</v>
      </c>
      <c r="E68" s="7">
        <v>9.0144753443391415E-2</v>
      </c>
      <c r="F68" s="7">
        <v>9.9520493467734582E-3</v>
      </c>
      <c r="G68" s="7">
        <v>2.533486373815529E-3</v>
      </c>
      <c r="H68" s="7">
        <v>2.5327436257533927E-3</v>
      </c>
      <c r="I68" s="5"/>
      <c r="AG68" s="15"/>
      <c r="AH68" s="15"/>
      <c r="AI68" s="15"/>
    </row>
    <row r="69" spans="1:35" x14ac:dyDescent="0.2">
      <c r="A69" t="s">
        <v>138</v>
      </c>
      <c r="B69" t="s">
        <v>320</v>
      </c>
      <c r="C69" s="7">
        <v>5.8851303386141481E-2</v>
      </c>
      <c r="D69" s="7">
        <v>3.492625633576265E-2</v>
      </c>
      <c r="E69" s="7">
        <v>4.4579782440584283E-2</v>
      </c>
      <c r="F69" s="7">
        <v>4.9216418900710273E-3</v>
      </c>
      <c r="G69" s="7">
        <v>1.2528989990727071E-3</v>
      </c>
      <c r="H69" s="7">
        <v>1.2525316837742188E-3</v>
      </c>
      <c r="I69" s="5"/>
      <c r="AG69" s="15"/>
      <c r="AH69" s="15"/>
      <c r="AI69" s="15"/>
    </row>
    <row r="70" spans="1:35" x14ac:dyDescent="0.2">
      <c r="A70" t="s">
        <v>138</v>
      </c>
      <c r="B70" t="s">
        <v>321</v>
      </c>
      <c r="C70" s="7">
        <v>2.4494280967344333E-2</v>
      </c>
      <c r="D70" s="7">
        <v>1.4536526578052225E-2</v>
      </c>
      <c r="E70" s="7">
        <v>1.8554384588530475E-2</v>
      </c>
      <c r="F70" s="7">
        <v>2.0484181715581073E-3</v>
      </c>
      <c r="G70" s="7">
        <v>5.2146440845383382E-4</v>
      </c>
      <c r="H70" s="7">
        <v>5.2131152952665462E-4</v>
      </c>
      <c r="I70" s="5"/>
      <c r="AG70" s="15"/>
      <c r="AH70" s="15"/>
      <c r="AI70" s="15"/>
    </row>
    <row r="71" spans="1:35" x14ac:dyDescent="0.2">
      <c r="A71" t="s">
        <v>138</v>
      </c>
      <c r="B71" t="s">
        <v>322</v>
      </c>
      <c r="C71" s="7">
        <v>1.8424901612604148E-2</v>
      </c>
      <c r="D71" s="7">
        <v>1.0934555390570259E-2</v>
      </c>
      <c r="E71" s="7">
        <v>1.3956837964823809E-2</v>
      </c>
      <c r="F71" s="7">
        <v>1.5408455272782225E-3</v>
      </c>
      <c r="G71" s="7">
        <v>3.9225198865996356E-4</v>
      </c>
      <c r="H71" s="7">
        <v>3.9213699123686409E-4</v>
      </c>
      <c r="AG71" s="15"/>
      <c r="AH71" s="15"/>
      <c r="AI71" s="15"/>
    </row>
    <row r="72" spans="1:35" x14ac:dyDescent="0.2">
      <c r="A72" t="s">
        <v>138</v>
      </c>
      <c r="B72" t="s">
        <v>323</v>
      </c>
      <c r="C72" s="7">
        <v>8.1286330643841817E-3</v>
      </c>
      <c r="D72" s="7">
        <v>4.824068554663349E-3</v>
      </c>
      <c r="E72" s="7">
        <v>6.1574285138928566E-3</v>
      </c>
      <c r="F72" s="7">
        <v>6.7978479144627452E-4</v>
      </c>
      <c r="G72" s="7">
        <v>1.7305234793821918E-4</v>
      </c>
      <c r="H72" s="7">
        <v>1.7300161378096946E-4</v>
      </c>
      <c r="I72" s="4"/>
      <c r="L72" s="15"/>
      <c r="M72" s="15"/>
      <c r="N72" s="15"/>
      <c r="AG72" s="15"/>
      <c r="AH72" s="15"/>
      <c r="AI72" s="15"/>
    </row>
    <row r="73" spans="1:35" x14ac:dyDescent="0.2">
      <c r="A73" t="s">
        <v>138</v>
      </c>
      <c r="B73" t="s">
        <v>324</v>
      </c>
      <c r="C73" s="7">
        <v>2.3843990322193601E-3</v>
      </c>
      <c r="D73" s="7">
        <v>1.4150601093679159E-3</v>
      </c>
      <c r="E73" s="7">
        <v>1.8061790307419047E-3</v>
      </c>
      <c r="F73" s="7">
        <v>1.9940353882424053E-4</v>
      </c>
      <c r="G73" s="7">
        <v>5.0762022061877634E-5</v>
      </c>
      <c r="H73" s="7">
        <v>5.0747140042417706E-5</v>
      </c>
      <c r="I73" s="4"/>
      <c r="L73" s="15"/>
      <c r="M73" s="15"/>
      <c r="N73" s="15"/>
      <c r="AG73" s="15"/>
      <c r="AH73" s="15"/>
      <c r="AI73" s="15"/>
    </row>
    <row r="74" spans="1:35" x14ac:dyDescent="0.2">
      <c r="A74" t="s">
        <v>138</v>
      </c>
      <c r="B74" t="s">
        <v>325</v>
      </c>
      <c r="C74" s="7">
        <v>6.6112882256991355E-3</v>
      </c>
      <c r="D74" s="7">
        <v>3.9235757577928574E-3</v>
      </c>
      <c r="E74" s="7">
        <v>5.0080418579661907E-3</v>
      </c>
      <c r="F74" s="7">
        <v>5.5289163037630336E-4</v>
      </c>
      <c r="G74" s="7">
        <v>1.4074924298975163E-4</v>
      </c>
      <c r="H74" s="7">
        <v>1.4070797920852184E-4</v>
      </c>
      <c r="I74" s="4"/>
      <c r="L74" s="15"/>
      <c r="M74" s="15"/>
      <c r="N74" s="15"/>
    </row>
    <row r="75" spans="1:35" x14ac:dyDescent="0.2">
      <c r="A75" t="s">
        <v>138</v>
      </c>
      <c r="B75" t="s">
        <v>361</v>
      </c>
      <c r="C75" s="7">
        <v>5.419088709589455E-4</v>
      </c>
      <c r="D75" s="7">
        <v>3.2160457031088995E-4</v>
      </c>
      <c r="E75" s="7">
        <v>4.1049523425952381E-4</v>
      </c>
      <c r="F75" s="7">
        <v>4.5318986096418302E-5</v>
      </c>
      <c r="G75" s="7">
        <v>1.1536823195881281E-5</v>
      </c>
      <c r="H75" s="7">
        <v>1.1533440918731296E-5</v>
      </c>
      <c r="I75" s="4"/>
      <c r="L75" s="15"/>
      <c r="M75" s="15"/>
      <c r="N75" s="15"/>
    </row>
    <row r="76" spans="1:35" x14ac:dyDescent="0.2">
      <c r="A76" t="s">
        <v>138</v>
      </c>
      <c r="B76" t="s">
        <v>326</v>
      </c>
      <c r="C76" s="7">
        <v>2.0592537096439929E-3</v>
      </c>
      <c r="D76" s="7">
        <v>1.2220973671813818E-3</v>
      </c>
      <c r="E76" s="7">
        <v>1.5598818901861903E-3</v>
      </c>
      <c r="F76" s="7">
        <v>1.7221214716638955E-4</v>
      </c>
      <c r="G76" s="7">
        <v>4.3839928144348865E-5</v>
      </c>
      <c r="H76" s="7">
        <v>4.3827075491178927E-5</v>
      </c>
      <c r="I76" s="4"/>
      <c r="L76" s="15"/>
      <c r="M76" s="15"/>
      <c r="N76" s="15"/>
    </row>
    <row r="77" spans="1:35" x14ac:dyDescent="0.2">
      <c r="A77" t="s">
        <v>138</v>
      </c>
      <c r="B77" t="s">
        <v>327</v>
      </c>
      <c r="C77" s="7">
        <v>1.0946559193370698E-2</v>
      </c>
      <c r="D77" s="7">
        <v>6.496412320279977E-3</v>
      </c>
      <c r="E77" s="7">
        <v>8.2920037320423808E-3</v>
      </c>
      <c r="F77" s="7">
        <v>9.1544351914764972E-4</v>
      </c>
      <c r="G77" s="7">
        <v>2.3304382855680183E-4</v>
      </c>
      <c r="H77" s="7">
        <v>2.3297550655837219E-4</v>
      </c>
      <c r="I77" s="4"/>
      <c r="L77" s="15"/>
      <c r="M77" s="15"/>
      <c r="N77" s="15"/>
    </row>
    <row r="78" spans="1:35" x14ac:dyDescent="0.2">
      <c r="A78" t="s">
        <v>138</v>
      </c>
      <c r="B78" t="s">
        <v>329</v>
      </c>
      <c r="C78" s="16">
        <v>8.1882352941176475E-7</v>
      </c>
      <c r="D78" s="16">
        <v>8.1882352941176475E-7</v>
      </c>
      <c r="E78" s="16">
        <v>8.1882352941176475E-7</v>
      </c>
      <c r="F78" s="16">
        <v>8.1882352941176475E-7</v>
      </c>
      <c r="G78" s="16">
        <v>8.1882352941176475E-7</v>
      </c>
      <c r="H78" s="16">
        <v>8.1882352941176475E-7</v>
      </c>
      <c r="I78" s="4"/>
      <c r="L78" s="15"/>
      <c r="M78" s="15"/>
      <c r="N78" s="15"/>
    </row>
    <row r="79" spans="1:35" x14ac:dyDescent="0.2">
      <c r="A79" t="s">
        <v>138</v>
      </c>
      <c r="B79" t="s">
        <v>330</v>
      </c>
      <c r="C79" s="16">
        <v>7.0588235294117646E-9</v>
      </c>
      <c r="D79" s="16">
        <v>7.0588235294117646E-9</v>
      </c>
      <c r="E79" s="16">
        <v>7.0588235294117646E-9</v>
      </c>
      <c r="F79" s="16">
        <v>7.0588235294117646E-9</v>
      </c>
      <c r="G79" s="16">
        <v>7.0588235294117646E-9</v>
      </c>
      <c r="H79" s="16">
        <v>7.0588235294117646E-9</v>
      </c>
      <c r="I79" s="4"/>
      <c r="L79" s="15"/>
      <c r="M79" s="15"/>
      <c r="N79" s="15"/>
    </row>
    <row r="80" spans="1:35" x14ac:dyDescent="0.2">
      <c r="A80" t="s">
        <v>138</v>
      </c>
      <c r="B80" t="s">
        <v>331</v>
      </c>
      <c r="C80" s="16">
        <v>4.705882352941177E-9</v>
      </c>
      <c r="D80" s="16">
        <v>4.705882352941177E-9</v>
      </c>
      <c r="E80" s="16">
        <v>4.705882352941177E-9</v>
      </c>
      <c r="F80" s="16">
        <v>4.705882352941177E-9</v>
      </c>
      <c r="G80" s="16">
        <v>4.705882352941177E-9</v>
      </c>
      <c r="H80" s="16">
        <v>4.705882352941177E-9</v>
      </c>
      <c r="I80" s="4"/>
      <c r="L80" s="15"/>
      <c r="M80" s="15"/>
      <c r="N80" s="15"/>
    </row>
    <row r="81" spans="1:14" x14ac:dyDescent="0.2">
      <c r="A81" t="s">
        <v>138</v>
      </c>
      <c r="B81" t="s">
        <v>332</v>
      </c>
      <c r="C81" s="16">
        <v>5.082352941176471E-5</v>
      </c>
      <c r="D81" s="16">
        <v>5.082352941176471E-5</v>
      </c>
      <c r="E81" s="16">
        <v>5.082352941176471E-5</v>
      </c>
      <c r="F81" s="16">
        <v>5.082352941176471E-5</v>
      </c>
      <c r="G81" s="16">
        <v>5.082352941176471E-5</v>
      </c>
      <c r="H81" s="16">
        <v>5.082352941176471E-5</v>
      </c>
      <c r="I81" s="4"/>
      <c r="L81" s="15"/>
      <c r="M81" s="15"/>
      <c r="N81" s="15"/>
    </row>
    <row r="82" spans="1:14" x14ac:dyDescent="0.2">
      <c r="A82" t="s">
        <v>138</v>
      </c>
      <c r="B82" t="s">
        <v>290</v>
      </c>
      <c r="C82" s="16">
        <v>9.8823529411764699E-7</v>
      </c>
      <c r="D82" s="16">
        <v>9.8823529411764699E-7</v>
      </c>
      <c r="E82" s="16">
        <v>9.8823529411764699E-7</v>
      </c>
      <c r="F82" s="16">
        <v>9.8823529411764699E-7</v>
      </c>
      <c r="G82" s="16">
        <v>9.8823529411764699E-7</v>
      </c>
      <c r="H82" s="16">
        <v>9.8823529411764699E-7</v>
      </c>
      <c r="I82" s="4"/>
      <c r="L82" s="15"/>
      <c r="M82" s="15"/>
      <c r="N82" s="15"/>
    </row>
    <row r="83" spans="1:14" x14ac:dyDescent="0.2">
      <c r="A83" t="s">
        <v>138</v>
      </c>
      <c r="B83" t="s">
        <v>292</v>
      </c>
      <c r="C83" s="16">
        <v>3.0588235294117647E-7</v>
      </c>
      <c r="D83" s="16">
        <v>3.0588235294117647E-7</v>
      </c>
      <c r="E83" s="16">
        <v>3.0588235294117647E-7</v>
      </c>
      <c r="F83" s="16">
        <v>3.0588235294117647E-7</v>
      </c>
      <c r="G83" s="16">
        <v>3.0588235294117647E-7</v>
      </c>
      <c r="H83" s="16">
        <v>3.0588235294117647E-7</v>
      </c>
      <c r="I83" s="4"/>
      <c r="L83" s="15"/>
      <c r="M83" s="15"/>
      <c r="N83" s="15"/>
    </row>
    <row r="84" spans="1:14" x14ac:dyDescent="0.2">
      <c r="A84" t="s">
        <v>138</v>
      </c>
      <c r="B84" t="s">
        <v>291</v>
      </c>
      <c r="C84" s="16">
        <v>3.7647058823529416E-7</v>
      </c>
      <c r="D84" s="16">
        <v>3.7647058823529416E-7</v>
      </c>
      <c r="E84" s="16">
        <v>3.7647058823529416E-7</v>
      </c>
      <c r="F84" s="16">
        <v>3.7647058823529416E-7</v>
      </c>
      <c r="G84" s="16">
        <v>3.7647058823529416E-7</v>
      </c>
      <c r="H84" s="16">
        <v>3.7647058823529416E-7</v>
      </c>
      <c r="I84" s="4"/>
      <c r="L84" s="15"/>
      <c r="M84" s="15"/>
      <c r="N84" s="15"/>
    </row>
    <row r="85" spans="1:14" x14ac:dyDescent="0.2">
      <c r="A85" t="s">
        <v>138</v>
      </c>
      <c r="B85" t="s">
        <v>335</v>
      </c>
      <c r="C85" s="16">
        <v>7.5294117647058821E-10</v>
      </c>
      <c r="D85" s="16">
        <v>7.5294117647058821E-10</v>
      </c>
      <c r="E85" s="16">
        <v>7.5294117647058821E-10</v>
      </c>
      <c r="F85" s="16">
        <v>7.5294117647058821E-10</v>
      </c>
      <c r="G85" s="16">
        <v>7.5294117647058821E-10</v>
      </c>
      <c r="H85" s="16">
        <v>7.5294117647058821E-10</v>
      </c>
      <c r="I85" s="4"/>
      <c r="L85" s="15"/>
      <c r="M85" s="15"/>
      <c r="N85" s="15"/>
    </row>
    <row r="86" spans="1:14" x14ac:dyDescent="0.2">
      <c r="A86" t="s">
        <v>138</v>
      </c>
      <c r="B86" t="s">
        <v>333</v>
      </c>
      <c r="C86" s="16">
        <v>2.0470588235294119E-7</v>
      </c>
      <c r="D86" s="16">
        <v>2.0470588235294119E-7</v>
      </c>
      <c r="E86" s="16">
        <v>2.0470588235294119E-7</v>
      </c>
      <c r="F86" s="16">
        <v>2.0470588235294119E-7</v>
      </c>
      <c r="G86" s="16">
        <v>2.0470588235294119E-7</v>
      </c>
      <c r="H86" s="16">
        <v>2.0470588235294119E-7</v>
      </c>
      <c r="I86" s="4"/>
      <c r="L86" s="15"/>
      <c r="M86" s="15"/>
      <c r="N86" s="15"/>
    </row>
    <row r="87" spans="1:14" x14ac:dyDescent="0.2">
      <c r="A87" t="s">
        <v>138</v>
      </c>
      <c r="B87" t="s">
        <v>334</v>
      </c>
      <c r="C87" s="16">
        <v>2.5411764705882357E-7</v>
      </c>
      <c r="D87" s="16">
        <v>2.5411764705882357E-7</v>
      </c>
      <c r="E87" s="16">
        <v>2.5411764705882357E-7</v>
      </c>
      <c r="F87" s="16">
        <v>2.5411764705882357E-7</v>
      </c>
      <c r="G87" s="16">
        <v>2.5411764705882357E-7</v>
      </c>
      <c r="H87" s="16">
        <v>2.5411764705882357E-7</v>
      </c>
      <c r="I87" s="4"/>
      <c r="L87" s="15"/>
      <c r="M87" s="15"/>
      <c r="N87" s="15"/>
    </row>
    <row r="88" spans="1:14" x14ac:dyDescent="0.2">
      <c r="A88" t="s">
        <v>139</v>
      </c>
      <c r="B88" t="s">
        <v>56</v>
      </c>
      <c r="C88" s="7">
        <v>2.915195448533793</v>
      </c>
      <c r="D88" s="7">
        <v>3.2299158780310151</v>
      </c>
      <c r="E88" s="7">
        <v>1.4585926343621791</v>
      </c>
      <c r="F88" s="7">
        <v>0.708341892150957</v>
      </c>
      <c r="G88" s="7">
        <v>8.3455151885463486E-2</v>
      </c>
      <c r="H88" s="7">
        <v>8.3454099761872666E-2</v>
      </c>
      <c r="I88" s="4"/>
      <c r="L88" s="15"/>
      <c r="M88" s="15"/>
      <c r="N88" s="15"/>
    </row>
    <row r="89" spans="1:14" x14ac:dyDescent="0.2">
      <c r="A89" t="s">
        <v>139</v>
      </c>
      <c r="B89" t="s">
        <v>59</v>
      </c>
      <c r="C89" s="7">
        <v>0.10489381378097931</v>
      </c>
      <c r="D89" s="7">
        <v>0.10489381378097931</v>
      </c>
      <c r="E89" s="7">
        <v>2.6143425239245593E-2</v>
      </c>
      <c r="F89" s="7">
        <v>1.821059018432937E-2</v>
      </c>
      <c r="G89" s="7">
        <v>6.1620141012972453E-3</v>
      </c>
      <c r="H89" s="7">
        <v>4.7581662322556638E-3</v>
      </c>
      <c r="I89" s="4"/>
      <c r="L89" s="15"/>
      <c r="M89" s="15"/>
      <c r="N89" s="15"/>
    </row>
    <row r="90" spans="1:14" x14ac:dyDescent="0.2">
      <c r="A90" t="s">
        <v>139</v>
      </c>
      <c r="B90" t="s">
        <v>368</v>
      </c>
      <c r="C90" s="7">
        <v>1.0838177419178909</v>
      </c>
      <c r="D90" s="7">
        <v>0.64320914062177992</v>
      </c>
      <c r="E90" s="7">
        <v>0.48292296293835996</v>
      </c>
      <c r="F90" s="7">
        <v>5.3220185225018736E-2</v>
      </c>
      <c r="G90" s="7">
        <v>1.3588965977336222E-2</v>
      </c>
      <c r="H90" s="7">
        <v>1.3583175766044535E-2</v>
      </c>
      <c r="I90" s="4"/>
      <c r="L90" s="15"/>
      <c r="M90" s="15"/>
      <c r="N90" s="15"/>
    </row>
    <row r="91" spans="1:14" x14ac:dyDescent="0.2">
      <c r="A91" t="s">
        <v>139</v>
      </c>
      <c r="B91" t="s">
        <v>61</v>
      </c>
      <c r="C91" s="7">
        <v>8.0330641182335405E-3</v>
      </c>
      <c r="D91" s="7">
        <v>3.1374129927211969E-3</v>
      </c>
      <c r="E91" s="7">
        <v>1.0638578146824082E-2</v>
      </c>
      <c r="F91" s="7">
        <v>4.9486252530670048E-3</v>
      </c>
      <c r="G91" s="7">
        <v>1.4133139635978708E-3</v>
      </c>
      <c r="H91" s="7">
        <v>1.4132961458726764E-3</v>
      </c>
      <c r="I91" s="4"/>
      <c r="L91" s="15"/>
      <c r="M91" s="15"/>
      <c r="N91" s="15"/>
    </row>
    <row r="92" spans="1:14" x14ac:dyDescent="0.2">
      <c r="A92" t="s">
        <v>139</v>
      </c>
      <c r="B92" t="s">
        <v>55</v>
      </c>
      <c r="C92" s="7">
        <v>2.7569509623956653E-2</v>
      </c>
      <c r="D92" s="7">
        <v>2.7569509623956653E-2</v>
      </c>
      <c r="E92" s="7">
        <v>1.0971033713912328E-2</v>
      </c>
      <c r="F92" s="7">
        <v>5.542460283435046E-2</v>
      </c>
      <c r="G92" s="7">
        <v>1.8797075715851683E-2</v>
      </c>
      <c r="H92" s="7">
        <v>1.0741050708632342E-2</v>
      </c>
      <c r="I92" s="4"/>
      <c r="L92" s="15"/>
      <c r="M92" s="15"/>
      <c r="N92" s="15"/>
    </row>
    <row r="93" spans="1:14" x14ac:dyDescent="0.2">
      <c r="A93" t="s">
        <v>139</v>
      </c>
      <c r="B93" t="s">
        <v>58</v>
      </c>
      <c r="C93" s="7">
        <v>1.3987574644320985E-3</v>
      </c>
      <c r="D93" s="7">
        <v>1.3987574644320985E-3</v>
      </c>
      <c r="E93" s="7">
        <v>1.7730963578040135E-3</v>
      </c>
      <c r="F93" s="7">
        <v>1.9794501012268019E-3</v>
      </c>
      <c r="G93" s="7">
        <v>5.6532558543914832E-4</v>
      </c>
      <c r="H93" s="7">
        <v>5.653184583490706E-4</v>
      </c>
      <c r="I93" s="4"/>
      <c r="L93" s="15"/>
      <c r="M93" s="15"/>
      <c r="N93" s="15"/>
    </row>
    <row r="94" spans="1:14" x14ac:dyDescent="0.2">
      <c r="A94" t="s">
        <v>139</v>
      </c>
      <c r="B94" t="s">
        <v>57</v>
      </c>
      <c r="C94" s="7">
        <v>1.3987574644320985E-3</v>
      </c>
      <c r="D94" s="7">
        <v>1.3987574644320985E-3</v>
      </c>
      <c r="E94" s="7">
        <v>1.7730963578040135E-3</v>
      </c>
      <c r="F94" s="7">
        <v>1.9794501012268019E-3</v>
      </c>
      <c r="G94" s="7">
        <v>5.6532558543914832E-4</v>
      </c>
      <c r="H94" s="7">
        <v>5.653184583490706E-4</v>
      </c>
    </row>
    <row r="95" spans="1:14" x14ac:dyDescent="0.2">
      <c r="A95" t="s">
        <v>139</v>
      </c>
      <c r="B95" t="s">
        <v>360</v>
      </c>
      <c r="C95" s="7">
        <v>0.49031914644365387</v>
      </c>
      <c r="D95" s="7">
        <v>0.29098781521729328</v>
      </c>
      <c r="E95" s="7">
        <v>0.21847434843331406</v>
      </c>
      <c r="F95" s="7">
        <v>2.4076811795798476E-2</v>
      </c>
      <c r="G95" s="7">
        <v>6.1476482081469072E-3</v>
      </c>
      <c r="H95" s="7">
        <v>6.145028716558548E-3</v>
      </c>
    </row>
    <row r="96" spans="1:14" x14ac:dyDescent="0.2">
      <c r="A96" t="s">
        <v>139</v>
      </c>
      <c r="B96" t="s">
        <v>309</v>
      </c>
      <c r="C96" s="7">
        <v>3.457378596718072E-2</v>
      </c>
      <c r="D96" s="7">
        <v>2.0518371585834777E-2</v>
      </c>
      <c r="E96" s="7">
        <v>1.5405242517733682E-2</v>
      </c>
      <c r="F96" s="7">
        <v>1.6977239086780976E-3</v>
      </c>
      <c r="G96" s="7">
        <v>4.3348801467702543E-4</v>
      </c>
      <c r="H96" s="7">
        <v>4.3330330693682064E-4</v>
      </c>
    </row>
    <row r="97" spans="1:14" x14ac:dyDescent="0.2">
      <c r="A97" t="s">
        <v>139</v>
      </c>
      <c r="B97" t="s">
        <v>310</v>
      </c>
      <c r="C97" s="7">
        <v>7.0448153224662909E-3</v>
      </c>
      <c r="D97" s="7">
        <v>4.1808594140415696E-3</v>
      </c>
      <c r="E97" s="7">
        <v>3.1389992590993396E-3</v>
      </c>
      <c r="F97" s="7">
        <v>3.4593120396262175E-4</v>
      </c>
      <c r="G97" s="7">
        <v>8.8328278852685434E-5</v>
      </c>
      <c r="H97" s="7">
        <v>8.8290642479289466E-5</v>
      </c>
    </row>
    <row r="98" spans="1:14" x14ac:dyDescent="0.2">
      <c r="A98" t="s">
        <v>139</v>
      </c>
      <c r="B98" t="s">
        <v>311</v>
      </c>
      <c r="C98" s="7">
        <v>5.6792049676497487E-2</v>
      </c>
      <c r="D98" s="7">
        <v>3.3704158968581269E-2</v>
      </c>
      <c r="E98" s="7">
        <v>2.5305163257970064E-2</v>
      </c>
      <c r="F98" s="7">
        <v>2.788737705790982E-3</v>
      </c>
      <c r="G98" s="7">
        <v>7.1206181721241801E-4</v>
      </c>
      <c r="H98" s="7">
        <v>7.117584101407336E-4</v>
      </c>
    </row>
    <row r="99" spans="1:14" x14ac:dyDescent="0.2">
      <c r="A99" t="s">
        <v>139</v>
      </c>
      <c r="B99" t="s">
        <v>312</v>
      </c>
      <c r="C99" s="7">
        <v>2.3302081451234653E-2</v>
      </c>
      <c r="D99" s="7">
        <v>1.3828996523368267E-2</v>
      </c>
      <c r="E99" s="7">
        <v>1.0382843703174738E-2</v>
      </c>
      <c r="F99" s="7">
        <v>1.1442339823379028E-3</v>
      </c>
      <c r="G99" s="7">
        <v>2.9216276851272877E-4</v>
      </c>
      <c r="H99" s="7">
        <v>2.9203827896995748E-4</v>
      </c>
    </row>
    <row r="100" spans="1:14" x14ac:dyDescent="0.2">
      <c r="A100" t="s">
        <v>139</v>
      </c>
      <c r="B100" t="s">
        <v>313</v>
      </c>
      <c r="C100" s="7">
        <v>1.7449465644878044E-2</v>
      </c>
      <c r="D100" s="7">
        <v>1.0355667164010656E-2</v>
      </c>
      <c r="E100" s="7">
        <v>7.7750597033075953E-3</v>
      </c>
      <c r="F100" s="7">
        <v>8.5684498212280165E-4</v>
      </c>
      <c r="G100" s="7">
        <v>2.1878235223511317E-4</v>
      </c>
      <c r="H100" s="7">
        <v>2.18689129833317E-4</v>
      </c>
    </row>
    <row r="101" spans="1:14" x14ac:dyDescent="0.2">
      <c r="A101" t="s">
        <v>139</v>
      </c>
      <c r="B101" t="s">
        <v>314</v>
      </c>
      <c r="C101" s="7">
        <v>1.2355522257863957E-2</v>
      </c>
      <c r="D101" s="7">
        <v>7.3325842030882915E-3</v>
      </c>
      <c r="E101" s="7">
        <v>5.505321777497304E-3</v>
      </c>
      <c r="F101" s="7">
        <v>6.0671011156521366E-4</v>
      </c>
      <c r="G101" s="7">
        <v>1.5491421214163293E-4</v>
      </c>
      <c r="H101" s="7">
        <v>1.5484820373290771E-4</v>
      </c>
    </row>
    <row r="102" spans="1:14" x14ac:dyDescent="0.2">
      <c r="A102" t="s">
        <v>139</v>
      </c>
      <c r="B102" t="s">
        <v>315</v>
      </c>
      <c r="C102" s="7">
        <v>8.0202512901923935E-3</v>
      </c>
      <c r="D102" s="7">
        <v>4.7597476406011719E-3</v>
      </c>
      <c r="E102" s="7">
        <v>3.573629925743864E-3</v>
      </c>
      <c r="F102" s="7">
        <v>3.9382937066513866E-4</v>
      </c>
      <c r="G102" s="7">
        <v>1.0055834823228805E-4</v>
      </c>
      <c r="H102" s="7">
        <v>1.0051550066872956E-4</v>
      </c>
    </row>
    <row r="103" spans="1:14" x14ac:dyDescent="0.2">
      <c r="A103" t="s">
        <v>139</v>
      </c>
      <c r="B103" t="s">
        <v>316</v>
      </c>
      <c r="C103" s="7">
        <v>7.9118695160006039E-2</v>
      </c>
      <c r="D103" s="7">
        <v>4.6954267265389933E-2</v>
      </c>
      <c r="E103" s="7">
        <v>3.5253376294500274E-2</v>
      </c>
      <c r="F103" s="7">
        <v>3.8850735214263675E-3</v>
      </c>
      <c r="G103" s="7">
        <v>9.9199451634554418E-4</v>
      </c>
      <c r="H103" s="7">
        <v>9.9157183092125098E-4</v>
      </c>
    </row>
    <row r="104" spans="1:14" x14ac:dyDescent="0.2">
      <c r="A104" t="s">
        <v>139</v>
      </c>
      <c r="B104" t="s">
        <v>317</v>
      </c>
      <c r="C104" s="7">
        <v>4.1401837741263429E-2</v>
      </c>
      <c r="D104" s="7">
        <v>2.4570589171751991E-2</v>
      </c>
      <c r="E104" s="7">
        <v>1.8447657184245351E-2</v>
      </c>
      <c r="F104" s="7">
        <v>2.0330110755957154E-3</v>
      </c>
      <c r="G104" s="7">
        <v>5.1909850033424361E-4</v>
      </c>
      <c r="H104" s="7">
        <v>5.1887731426290124E-4</v>
      </c>
    </row>
    <row r="105" spans="1:14" x14ac:dyDescent="0.2">
      <c r="A105" t="s">
        <v>139</v>
      </c>
      <c r="B105" t="s">
        <v>318</v>
      </c>
      <c r="C105" s="7">
        <v>1.1921995161096801E-3</v>
      </c>
      <c r="D105" s="7">
        <v>7.0753005468395793E-4</v>
      </c>
      <c r="E105" s="7">
        <v>5.3121525923219596E-4</v>
      </c>
      <c r="F105" s="7">
        <v>5.8542203747520615E-5</v>
      </c>
      <c r="G105" s="7">
        <v>1.4947862575069845E-5</v>
      </c>
      <c r="H105" s="7">
        <v>1.494149334264899E-5</v>
      </c>
    </row>
    <row r="106" spans="1:14" x14ac:dyDescent="0.2">
      <c r="A106" t="s">
        <v>139</v>
      </c>
      <c r="B106" t="s">
        <v>54</v>
      </c>
      <c r="C106" s="7">
        <v>6.0802175321593675E-2</v>
      </c>
      <c r="D106" s="7">
        <v>3.6084032788881851E-2</v>
      </c>
      <c r="E106" s="7">
        <v>2.7091978220841993E-2</v>
      </c>
      <c r="F106" s="7">
        <v>2.9856523911235507E-3</v>
      </c>
      <c r="G106" s="7">
        <v>7.6234099132856201E-4</v>
      </c>
      <c r="H106" s="7">
        <v>7.620161604750984E-4</v>
      </c>
    </row>
    <row r="107" spans="1:14" x14ac:dyDescent="0.2">
      <c r="A107" t="s">
        <v>139</v>
      </c>
      <c r="B107" t="s">
        <v>319</v>
      </c>
      <c r="C107" s="7">
        <v>0.11900318806258442</v>
      </c>
      <c r="D107" s="7">
        <v>7.0624363640271429E-2</v>
      </c>
      <c r="E107" s="7">
        <v>5.3024941330631924E-2</v>
      </c>
      <c r="F107" s="7">
        <v>5.8435763377070573E-3</v>
      </c>
      <c r="G107" s="7">
        <v>1.492068464311517E-3</v>
      </c>
      <c r="H107" s="7">
        <v>1.4914326991116898E-3</v>
      </c>
    </row>
    <row r="108" spans="1:14" x14ac:dyDescent="0.2">
      <c r="A108" t="s">
        <v>139</v>
      </c>
      <c r="B108" t="s">
        <v>320</v>
      </c>
      <c r="C108" s="7">
        <v>5.8851303386141481E-2</v>
      </c>
      <c r="D108" s="7">
        <v>3.492625633576265E-2</v>
      </c>
      <c r="E108" s="7">
        <v>2.6222716887552944E-2</v>
      </c>
      <c r="F108" s="7">
        <v>2.8898560577185176E-3</v>
      </c>
      <c r="G108" s="7">
        <v>7.3788085256935691E-4</v>
      </c>
      <c r="H108" s="7">
        <v>7.3756644409621829E-4</v>
      </c>
      <c r="I108" s="6"/>
      <c r="L108" s="6"/>
      <c r="M108" s="6"/>
      <c r="N108" s="6"/>
    </row>
    <row r="109" spans="1:14" x14ac:dyDescent="0.2">
      <c r="A109" t="s">
        <v>139</v>
      </c>
      <c r="B109" t="s">
        <v>321</v>
      </c>
      <c r="C109" s="7">
        <v>2.4494280967344333E-2</v>
      </c>
      <c r="D109" s="7">
        <v>1.4536526578052225E-2</v>
      </c>
      <c r="E109" s="7">
        <v>1.0914058962406934E-2</v>
      </c>
      <c r="F109" s="7">
        <v>1.2027761860854233E-3</v>
      </c>
      <c r="G109" s="7">
        <v>3.0711063108779859E-4</v>
      </c>
      <c r="H109" s="7">
        <v>3.0697977231260648E-4</v>
      </c>
      <c r="I109" s="6"/>
      <c r="L109" s="6"/>
      <c r="M109" s="6"/>
      <c r="N109" s="6"/>
    </row>
    <row r="110" spans="1:14" x14ac:dyDescent="0.2">
      <c r="A110" t="s">
        <v>139</v>
      </c>
      <c r="B110" t="s">
        <v>322</v>
      </c>
      <c r="C110" s="7">
        <v>1.8424901612604148E-2</v>
      </c>
      <c r="D110" s="7">
        <v>1.0934555390570259E-2</v>
      </c>
      <c r="E110" s="7">
        <v>8.2096903699521197E-3</v>
      </c>
      <c r="F110" s="7">
        <v>9.0474314882531856E-4</v>
      </c>
      <c r="G110" s="7">
        <v>2.310124216147158E-4</v>
      </c>
      <c r="H110" s="7">
        <v>2.309139880227571E-4</v>
      </c>
      <c r="I110" s="6"/>
      <c r="L110" s="6"/>
      <c r="M110" s="6"/>
      <c r="N110" s="6"/>
    </row>
    <row r="111" spans="1:14" x14ac:dyDescent="0.2">
      <c r="A111" t="s">
        <v>139</v>
      </c>
      <c r="B111" t="s">
        <v>323</v>
      </c>
      <c r="C111" s="7">
        <v>8.1286330643841817E-3</v>
      </c>
      <c r="D111" s="7">
        <v>4.824068554663349E-3</v>
      </c>
      <c r="E111" s="7">
        <v>3.6219222220376995E-3</v>
      </c>
      <c r="F111" s="7">
        <v>3.9915138918764049E-4</v>
      </c>
      <c r="G111" s="7">
        <v>1.0191724483002166E-4</v>
      </c>
      <c r="H111" s="7">
        <v>1.01873818245334E-4</v>
      </c>
      <c r="I111" s="6"/>
      <c r="L111" s="6"/>
      <c r="M111" s="6"/>
      <c r="N111" s="6"/>
    </row>
    <row r="112" spans="1:14" x14ac:dyDescent="0.2">
      <c r="A112" t="s">
        <v>139</v>
      </c>
      <c r="B112" t="s">
        <v>324</v>
      </c>
      <c r="C112" s="7">
        <v>2.3843990322193601E-3</v>
      </c>
      <c r="D112" s="7">
        <v>1.4150601093679159E-3</v>
      </c>
      <c r="E112" s="7">
        <v>1.0624305184643919E-3</v>
      </c>
      <c r="F112" s="7">
        <v>1.1708440749504123E-4</v>
      </c>
      <c r="G112" s="7">
        <v>2.9895725150139691E-5</v>
      </c>
      <c r="H112" s="7">
        <v>2.9882986685297979E-5</v>
      </c>
    </row>
    <row r="113" spans="1:13" x14ac:dyDescent="0.2">
      <c r="A113" t="s">
        <v>139</v>
      </c>
      <c r="B113" t="s">
        <v>325</v>
      </c>
      <c r="C113" s="7">
        <v>6.6112882256991355E-3</v>
      </c>
      <c r="D113" s="7">
        <v>3.9235757577928574E-3</v>
      </c>
      <c r="E113" s="7">
        <v>2.9458300739239958E-3</v>
      </c>
      <c r="F113" s="7">
        <v>3.2464312987261429E-4</v>
      </c>
      <c r="G113" s="7">
        <v>8.2892692461750963E-5</v>
      </c>
      <c r="H113" s="7">
        <v>8.285737217287166E-5</v>
      </c>
    </row>
    <row r="114" spans="1:13" x14ac:dyDescent="0.2">
      <c r="A114" t="s">
        <v>139</v>
      </c>
      <c r="B114" t="s">
        <v>361</v>
      </c>
      <c r="C114" s="7">
        <v>5.419088709589455E-4</v>
      </c>
      <c r="D114" s="7">
        <v>3.2160457031088995E-4</v>
      </c>
      <c r="E114" s="7">
        <v>2.4146148146917998E-4</v>
      </c>
      <c r="F114" s="7">
        <v>2.6610092612509368E-5</v>
      </c>
      <c r="G114" s="7">
        <v>6.7944829886681113E-6</v>
      </c>
      <c r="H114" s="7">
        <v>6.7915878830222673E-6</v>
      </c>
    </row>
    <row r="115" spans="1:13" x14ac:dyDescent="0.2">
      <c r="A115" t="s">
        <v>139</v>
      </c>
      <c r="B115" t="s">
        <v>326</v>
      </c>
      <c r="C115" s="7">
        <v>2.0592537096439929E-3</v>
      </c>
      <c r="D115" s="7">
        <v>1.2220973671813818E-3</v>
      </c>
      <c r="E115" s="7">
        <v>9.1755362958288386E-4</v>
      </c>
      <c r="F115" s="7">
        <v>1.0111835192753559E-4</v>
      </c>
      <c r="G115" s="7">
        <v>2.581903535693882E-5</v>
      </c>
      <c r="H115" s="7">
        <v>2.5808033955484614E-5</v>
      </c>
      <c r="I115" s="5"/>
      <c r="L115" s="6"/>
      <c r="M115" s="6"/>
    </row>
    <row r="116" spans="1:13" x14ac:dyDescent="0.2">
      <c r="A116" t="s">
        <v>139</v>
      </c>
      <c r="B116" t="s">
        <v>327</v>
      </c>
      <c r="C116" s="7">
        <v>1.0946559193370698E-2</v>
      </c>
      <c r="D116" s="7">
        <v>6.496412320279977E-3</v>
      </c>
      <c r="E116" s="7">
        <v>4.877521925677435E-3</v>
      </c>
      <c r="F116" s="7">
        <v>5.3752387077268923E-4</v>
      </c>
      <c r="G116" s="7">
        <v>1.3724855637109584E-4</v>
      </c>
      <c r="H116" s="7">
        <v>1.3719007523704981E-4</v>
      </c>
      <c r="I116" s="5"/>
      <c r="L116" s="6"/>
      <c r="M116" s="6"/>
    </row>
    <row r="117" spans="1:13" x14ac:dyDescent="0.2">
      <c r="A117" t="s">
        <v>139</v>
      </c>
      <c r="B117" t="s">
        <v>329</v>
      </c>
      <c r="C117" s="16">
        <v>8.1882352941176475E-7</v>
      </c>
      <c r="D117" s="16">
        <v>8.1882352941176475E-7</v>
      </c>
      <c r="E117" s="16">
        <v>8.1882352941176475E-7</v>
      </c>
      <c r="F117" s="16">
        <v>8.1882352941176475E-7</v>
      </c>
      <c r="G117" s="16">
        <v>8.1882352941176475E-7</v>
      </c>
      <c r="H117" s="16">
        <v>8.1882352941176475E-7</v>
      </c>
      <c r="I117" s="5"/>
      <c r="L117" s="6"/>
      <c r="M117" s="6"/>
    </row>
    <row r="118" spans="1:13" x14ac:dyDescent="0.2">
      <c r="A118" t="s">
        <v>139</v>
      </c>
      <c r="B118" t="s">
        <v>330</v>
      </c>
      <c r="C118" s="16">
        <v>7.0588235294117646E-9</v>
      </c>
      <c r="D118" s="16">
        <v>7.0588235294117646E-9</v>
      </c>
      <c r="E118" s="16">
        <v>7.0588235294117646E-9</v>
      </c>
      <c r="F118" s="16">
        <v>7.0588235294117646E-9</v>
      </c>
      <c r="G118" s="16">
        <v>7.0588235294117646E-9</v>
      </c>
      <c r="H118" s="16">
        <v>7.0588235294117646E-9</v>
      </c>
      <c r="I118" s="4"/>
      <c r="L118" s="6"/>
      <c r="M118" s="6"/>
    </row>
    <row r="119" spans="1:13" x14ac:dyDescent="0.2">
      <c r="A119" t="s">
        <v>139</v>
      </c>
      <c r="B119" t="s">
        <v>331</v>
      </c>
      <c r="C119" s="16">
        <v>4.705882352941177E-9</v>
      </c>
      <c r="D119" s="16">
        <v>4.705882352941177E-9</v>
      </c>
      <c r="E119" s="16">
        <v>4.705882352941177E-9</v>
      </c>
      <c r="F119" s="16">
        <v>4.705882352941177E-9</v>
      </c>
      <c r="G119" s="16">
        <v>4.705882352941177E-9</v>
      </c>
      <c r="H119" s="16">
        <v>4.705882352941177E-9</v>
      </c>
    </row>
    <row r="120" spans="1:13" x14ac:dyDescent="0.2">
      <c r="A120" t="s">
        <v>139</v>
      </c>
      <c r="B120" t="s">
        <v>332</v>
      </c>
      <c r="C120" s="16">
        <v>5.082352941176471E-5</v>
      </c>
      <c r="D120" s="16">
        <v>5.082352941176471E-5</v>
      </c>
      <c r="E120" s="16">
        <v>5.082352941176471E-5</v>
      </c>
      <c r="F120" s="16">
        <v>5.082352941176471E-5</v>
      </c>
      <c r="G120" s="16">
        <v>5.082352941176471E-5</v>
      </c>
      <c r="H120" s="16">
        <v>5.082352941176471E-5</v>
      </c>
    </row>
    <row r="121" spans="1:13" x14ac:dyDescent="0.2">
      <c r="A121" t="s">
        <v>139</v>
      </c>
      <c r="B121" t="s">
        <v>290</v>
      </c>
      <c r="C121" s="16">
        <v>9.8823529411764699E-7</v>
      </c>
      <c r="D121" s="16">
        <v>9.8823529411764699E-7</v>
      </c>
      <c r="E121" s="16">
        <v>9.8823529411764699E-7</v>
      </c>
      <c r="F121" s="16">
        <v>9.8823529411764699E-7</v>
      </c>
      <c r="G121" s="16">
        <v>9.8823529411764699E-7</v>
      </c>
      <c r="H121" s="16">
        <v>9.8823529411764699E-7</v>
      </c>
    </row>
    <row r="122" spans="1:13" x14ac:dyDescent="0.2">
      <c r="A122" t="s">
        <v>139</v>
      </c>
      <c r="B122" t="s">
        <v>292</v>
      </c>
      <c r="C122" s="16">
        <v>3.0588235294117647E-7</v>
      </c>
      <c r="D122" s="16">
        <v>3.0588235294117647E-7</v>
      </c>
      <c r="E122" s="16">
        <v>3.0588235294117647E-7</v>
      </c>
      <c r="F122" s="16">
        <v>3.0588235294117647E-7</v>
      </c>
      <c r="G122" s="16">
        <v>3.0588235294117647E-7</v>
      </c>
      <c r="H122" s="16">
        <v>3.0588235294117647E-7</v>
      </c>
      <c r="I122" s="5"/>
      <c r="L122" s="6"/>
      <c r="M122" s="6"/>
    </row>
    <row r="123" spans="1:13" x14ac:dyDescent="0.2">
      <c r="A123" t="s">
        <v>139</v>
      </c>
      <c r="B123" t="s">
        <v>291</v>
      </c>
      <c r="C123" s="16">
        <v>3.7647058823529416E-7</v>
      </c>
      <c r="D123" s="16">
        <v>3.7647058823529416E-7</v>
      </c>
      <c r="E123" s="16">
        <v>3.7647058823529416E-7</v>
      </c>
      <c r="F123" s="16">
        <v>3.7647058823529416E-7</v>
      </c>
      <c r="G123" s="16">
        <v>3.7647058823529416E-7</v>
      </c>
      <c r="H123" s="16">
        <v>3.7647058823529416E-7</v>
      </c>
      <c r="I123" s="5"/>
      <c r="L123" s="6"/>
      <c r="M123" s="6"/>
    </row>
    <row r="124" spans="1:13" x14ac:dyDescent="0.2">
      <c r="A124" t="s">
        <v>139</v>
      </c>
      <c r="B124" t="s">
        <v>335</v>
      </c>
      <c r="C124" s="16">
        <v>7.5294117647058821E-10</v>
      </c>
      <c r="D124" s="16">
        <v>7.5294117647058821E-10</v>
      </c>
      <c r="E124" s="16">
        <v>7.5294117647058821E-10</v>
      </c>
      <c r="F124" s="16">
        <v>7.5294117647058821E-10</v>
      </c>
      <c r="G124" s="16">
        <v>7.5294117647058821E-10</v>
      </c>
      <c r="H124" s="16">
        <v>7.5294117647058821E-10</v>
      </c>
      <c r="I124" s="5"/>
      <c r="L124" s="6"/>
      <c r="M124" s="6"/>
    </row>
    <row r="125" spans="1:13" x14ac:dyDescent="0.2">
      <c r="A125" t="s">
        <v>139</v>
      </c>
      <c r="B125" t="s">
        <v>333</v>
      </c>
      <c r="C125" s="16">
        <v>2.0470588235294119E-7</v>
      </c>
      <c r="D125" s="16">
        <v>2.0470588235294119E-7</v>
      </c>
      <c r="E125" s="16">
        <v>2.0470588235294119E-7</v>
      </c>
      <c r="F125" s="16">
        <v>2.0470588235294119E-7</v>
      </c>
      <c r="G125" s="16">
        <v>2.0470588235294119E-7</v>
      </c>
      <c r="H125" s="16">
        <v>2.0470588235294119E-7</v>
      </c>
      <c r="I125" s="4"/>
      <c r="L125" s="6"/>
      <c r="M125" s="4"/>
    </row>
    <row r="126" spans="1:13" x14ac:dyDescent="0.2">
      <c r="A126" t="s">
        <v>139</v>
      </c>
      <c r="B126" t="s">
        <v>334</v>
      </c>
      <c r="C126" s="16">
        <v>2.5411764705882357E-7</v>
      </c>
      <c r="D126" s="16">
        <v>2.5411764705882357E-7</v>
      </c>
      <c r="E126" s="16">
        <v>2.5411764705882357E-7</v>
      </c>
      <c r="F126" s="16">
        <v>2.5411764705882357E-7</v>
      </c>
      <c r="G126" s="16">
        <v>2.5411764705882357E-7</v>
      </c>
      <c r="H126" s="16">
        <v>2.5411764705882357E-7</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82"/>
  <sheetViews>
    <sheetView workbookViewId="0">
      <selection activeCell="H41" sqref="H41"/>
    </sheetView>
  </sheetViews>
  <sheetFormatPr baseColWidth="10" defaultColWidth="8.83203125" defaultRowHeight="15" x14ac:dyDescent="0.2"/>
  <cols>
    <col min="1" max="1" width="42.33203125" bestFit="1" customWidth="1"/>
    <col min="6" max="6" width="12.33203125" bestFit="1" customWidth="1"/>
    <col min="7" max="7" width="28.6640625" bestFit="1" customWidth="1"/>
    <col min="8" max="8" width="20" bestFit="1" customWidth="1"/>
    <col min="11" max="12" width="12.6640625" bestFit="1" customWidth="1"/>
    <col min="13" max="13" width="12" bestFit="1" customWidth="1"/>
  </cols>
  <sheetData>
    <row r="1" spans="1:2" x14ac:dyDescent="0.2">
      <c r="A1" s="8" t="s">
        <v>69</v>
      </c>
      <c r="B1" t="s">
        <v>68</v>
      </c>
    </row>
    <row r="3" spans="1:2" ht="16" x14ac:dyDescent="0.2">
      <c r="A3" s="10" t="s">
        <v>70</v>
      </c>
      <c r="B3" s="8" t="s">
        <v>651</v>
      </c>
    </row>
    <row r="4" spans="1:2" x14ac:dyDescent="0.2">
      <c r="A4" t="s">
        <v>71</v>
      </c>
      <c r="B4" t="s">
        <v>37</v>
      </c>
    </row>
    <row r="5" spans="1:2" x14ac:dyDescent="0.2">
      <c r="A5" t="s">
        <v>85</v>
      </c>
      <c r="B5" t="s">
        <v>651</v>
      </c>
    </row>
    <row r="6" spans="1:2" x14ac:dyDescent="0.2">
      <c r="A6" t="s">
        <v>86</v>
      </c>
    </row>
    <row r="7" spans="1:2" x14ac:dyDescent="0.2">
      <c r="A7" t="s">
        <v>87</v>
      </c>
      <c r="B7">
        <v>2020</v>
      </c>
    </row>
    <row r="8" spans="1:2" x14ac:dyDescent="0.2">
      <c r="A8" t="s">
        <v>123</v>
      </c>
      <c r="B8" t="s">
        <v>782</v>
      </c>
    </row>
    <row r="9" spans="1:2" x14ac:dyDescent="0.2">
      <c r="A9" t="s">
        <v>72</v>
      </c>
      <c r="B9" t="s">
        <v>651</v>
      </c>
    </row>
    <row r="10" spans="1:2" x14ac:dyDescent="0.2">
      <c r="A10" t="s">
        <v>73</v>
      </c>
      <c r="B10" t="s">
        <v>74</v>
      </c>
    </row>
    <row r="11" spans="1:2" x14ac:dyDescent="0.2">
      <c r="A11" t="s">
        <v>75</v>
      </c>
      <c r="B11" t="s">
        <v>75</v>
      </c>
    </row>
    <row r="12" spans="1:2" x14ac:dyDescent="0.2">
      <c r="A12" t="s">
        <v>77</v>
      </c>
      <c r="B12" t="s">
        <v>518</v>
      </c>
    </row>
    <row r="13" spans="1:2" x14ac:dyDescent="0.2">
      <c r="A13" t="s">
        <v>124</v>
      </c>
      <c r="B13">
        <v>1785</v>
      </c>
    </row>
    <row r="14" spans="1:2" x14ac:dyDescent="0.2">
      <c r="A14" t="s">
        <v>125</v>
      </c>
      <c r="B14">
        <v>1</v>
      </c>
    </row>
    <row r="15" spans="1:2" x14ac:dyDescent="0.2">
      <c r="A15" t="s">
        <v>126</v>
      </c>
      <c r="B15">
        <v>0</v>
      </c>
    </row>
    <row r="16" spans="1:2" x14ac:dyDescent="0.2">
      <c r="A16" t="s">
        <v>127</v>
      </c>
      <c r="B16">
        <v>0</v>
      </c>
    </row>
    <row r="17" spans="1:2" x14ac:dyDescent="0.2">
      <c r="A17" t="s">
        <v>128</v>
      </c>
      <c r="B17">
        <v>890</v>
      </c>
    </row>
    <row r="18" spans="1:2" x14ac:dyDescent="0.2">
      <c r="A18" t="s">
        <v>129</v>
      </c>
      <c r="B18">
        <v>11.625</v>
      </c>
    </row>
    <row r="19" spans="1:2" x14ac:dyDescent="0.2">
      <c r="A19" t="s">
        <v>130</v>
      </c>
      <c r="B19">
        <v>0.25</v>
      </c>
    </row>
    <row r="20" spans="1:2" x14ac:dyDescent="0.2">
      <c r="A20" t="s">
        <v>417</v>
      </c>
      <c r="B20" s="19" t="s">
        <v>42</v>
      </c>
    </row>
    <row r="21" spans="1:2" x14ac:dyDescent="0.2">
      <c r="A21" t="s">
        <v>131</v>
      </c>
      <c r="B21">
        <v>1.625</v>
      </c>
    </row>
    <row r="22" spans="1:2" x14ac:dyDescent="0.2">
      <c r="A22" t="s">
        <v>99</v>
      </c>
      <c r="B22">
        <v>0.25</v>
      </c>
    </row>
    <row r="23" spans="1:2" x14ac:dyDescent="0.2">
      <c r="A23" t="s">
        <v>355</v>
      </c>
      <c r="B23">
        <v>0.2</v>
      </c>
    </row>
    <row r="24" spans="1:2" x14ac:dyDescent="0.2">
      <c r="A24" t="s">
        <v>134</v>
      </c>
      <c r="B24">
        <v>0</v>
      </c>
    </row>
    <row r="25" spans="1:2" x14ac:dyDescent="0.2">
      <c r="A25" t="s">
        <v>135</v>
      </c>
      <c r="B25">
        <v>0</v>
      </c>
    </row>
    <row r="26" spans="1:2" x14ac:dyDescent="0.2">
      <c r="A26" t="s">
        <v>132</v>
      </c>
      <c r="B26">
        <v>8.3598130841121492</v>
      </c>
    </row>
    <row r="27" spans="1:2" x14ac:dyDescent="0.2">
      <c r="A27" t="s">
        <v>133</v>
      </c>
      <c r="B27" t="s">
        <v>136</v>
      </c>
    </row>
    <row r="28" spans="1:2" x14ac:dyDescent="0.2">
      <c r="A28" t="s">
        <v>540</v>
      </c>
      <c r="B28" s="6">
        <v>0</v>
      </c>
    </row>
    <row r="29" spans="1:2" x14ac:dyDescent="0.2">
      <c r="A29" t="s">
        <v>258</v>
      </c>
      <c r="B29" s="6" t="s">
        <v>259</v>
      </c>
    </row>
    <row r="30" spans="1:2" x14ac:dyDescent="0.2">
      <c r="A30" t="s">
        <v>260</v>
      </c>
      <c r="B30" s="2">
        <v>15900</v>
      </c>
    </row>
    <row r="31" spans="1:2" x14ac:dyDescent="0.2">
      <c r="A31" t="s">
        <v>261</v>
      </c>
      <c r="B31" s="2">
        <v>1000</v>
      </c>
    </row>
    <row r="32" spans="1:2" x14ac:dyDescent="0.2">
      <c r="A32" t="s">
        <v>82</v>
      </c>
      <c r="B32" t="s">
        <v>621</v>
      </c>
    </row>
    <row r="33" spans="1:8" ht="16" x14ac:dyDescent="0.2">
      <c r="A33" s="10" t="s">
        <v>78</v>
      </c>
    </row>
    <row r="34" spans="1:8" x14ac:dyDescent="0.2">
      <c r="A34" t="s">
        <v>79</v>
      </c>
      <c r="B34" t="s">
        <v>80</v>
      </c>
      <c r="C34" t="s">
        <v>71</v>
      </c>
      <c r="D34" t="s">
        <v>75</v>
      </c>
      <c r="E34" t="s">
        <v>81</v>
      </c>
      <c r="F34" t="s">
        <v>73</v>
      </c>
      <c r="G34" t="s">
        <v>82</v>
      </c>
      <c r="H34" t="s">
        <v>72</v>
      </c>
    </row>
    <row r="35" spans="1:8" x14ac:dyDescent="0.2">
      <c r="A35" t="s">
        <v>651</v>
      </c>
      <c r="B35">
        <v>1</v>
      </c>
      <c r="C35" t="s">
        <v>37</v>
      </c>
      <c r="D35" t="s">
        <v>75</v>
      </c>
      <c r="F35" t="s">
        <v>83</v>
      </c>
      <c r="G35" t="s">
        <v>84</v>
      </c>
      <c r="H35" t="s">
        <v>651</v>
      </c>
    </row>
    <row r="36" spans="1:8" x14ac:dyDescent="0.2">
      <c r="A36" t="s">
        <v>90</v>
      </c>
      <c r="B36" s="4">
        <v>0.41176470588235292</v>
      </c>
      <c r="C36" t="s">
        <v>91</v>
      </c>
      <c r="D36" t="s">
        <v>75</v>
      </c>
      <c r="F36" t="s">
        <v>88</v>
      </c>
      <c r="G36" t="s">
        <v>15</v>
      </c>
      <c r="H36" t="s">
        <v>92</v>
      </c>
    </row>
    <row r="37" spans="1:8" x14ac:dyDescent="0.2">
      <c r="A37" t="s">
        <v>225</v>
      </c>
      <c r="B37" s="4">
        <v>3</v>
      </c>
      <c r="C37" t="s">
        <v>94</v>
      </c>
      <c r="D37" t="s">
        <v>76</v>
      </c>
      <c r="F37" t="s">
        <v>88</v>
      </c>
      <c r="G37" t="s">
        <v>269</v>
      </c>
      <c r="H37" t="s">
        <v>224</v>
      </c>
    </row>
    <row r="38" spans="1:8" x14ac:dyDescent="0.2">
      <c r="A38" t="s">
        <v>540</v>
      </c>
      <c r="B38" s="11">
        <v>0</v>
      </c>
      <c r="C38" t="s">
        <v>94</v>
      </c>
      <c r="D38" t="s">
        <v>76</v>
      </c>
      <c r="F38" t="s">
        <v>88</v>
      </c>
      <c r="G38" t="s">
        <v>14</v>
      </c>
      <c r="H38" t="s">
        <v>540</v>
      </c>
    </row>
    <row r="39" spans="1:8" x14ac:dyDescent="0.2">
      <c r="A39" t="s">
        <v>963</v>
      </c>
      <c r="B39" s="4">
        <v>0.25</v>
      </c>
      <c r="C39" t="s">
        <v>94</v>
      </c>
      <c r="D39" t="s">
        <v>95</v>
      </c>
      <c r="F39" t="s">
        <v>88</v>
      </c>
      <c r="H39" t="s">
        <v>964</v>
      </c>
    </row>
    <row r="40" spans="1:8" x14ac:dyDescent="0.2">
      <c r="A40" t="s">
        <v>358</v>
      </c>
      <c r="B40" s="4">
        <v>1</v>
      </c>
      <c r="C40" t="s">
        <v>94</v>
      </c>
      <c r="D40" t="s">
        <v>75</v>
      </c>
      <c r="F40" t="s">
        <v>88</v>
      </c>
      <c r="G40" t="s">
        <v>51</v>
      </c>
      <c r="H40" t="s">
        <v>358</v>
      </c>
    </row>
    <row r="41" spans="1:8" x14ac:dyDescent="0.2">
      <c r="A41" t="s">
        <v>145</v>
      </c>
      <c r="B41" s="4">
        <v>-0.125</v>
      </c>
      <c r="C41" t="s">
        <v>37</v>
      </c>
      <c r="D41" t="s">
        <v>75</v>
      </c>
      <c r="F41" t="s">
        <v>88</v>
      </c>
      <c r="G41" t="s">
        <v>141</v>
      </c>
      <c r="H41" t="s">
        <v>146</v>
      </c>
    </row>
    <row r="42" spans="1:8" x14ac:dyDescent="0.2">
      <c r="A42" t="s">
        <v>282</v>
      </c>
      <c r="B42" s="4">
        <v>-0.41176470588235292</v>
      </c>
      <c r="C42" t="s">
        <v>37</v>
      </c>
      <c r="D42" t="s">
        <v>75</v>
      </c>
      <c r="F42" t="s">
        <v>88</v>
      </c>
      <c r="G42" t="s">
        <v>140</v>
      </c>
      <c r="H42" t="s">
        <v>283</v>
      </c>
    </row>
    <row r="43" spans="1:8" x14ac:dyDescent="0.2">
      <c r="A43" s="35" t="s">
        <v>443</v>
      </c>
      <c r="B43">
        <v>11.625</v>
      </c>
      <c r="C43" t="s">
        <v>91</v>
      </c>
      <c r="D43" t="s">
        <v>191</v>
      </c>
      <c r="F43" t="s">
        <v>88</v>
      </c>
      <c r="H43" s="13" t="s">
        <v>444</v>
      </c>
    </row>
    <row r="44" spans="1:8" x14ac:dyDescent="0.2">
      <c r="A44" s="35" t="s">
        <v>214</v>
      </c>
      <c r="B44" s="2">
        <v>184.83750000000001</v>
      </c>
      <c r="C44" t="s">
        <v>94</v>
      </c>
      <c r="D44" t="s">
        <v>191</v>
      </c>
      <c r="F44" t="s">
        <v>88</v>
      </c>
      <c r="H44" s="13" t="s">
        <v>214</v>
      </c>
    </row>
    <row r="47" spans="1:8" ht="16" x14ac:dyDescent="0.2">
      <c r="A47" s="10" t="s">
        <v>70</v>
      </c>
      <c r="B47" s="8" t="s">
        <v>879</v>
      </c>
    </row>
    <row r="48" spans="1:8" x14ac:dyDescent="0.2">
      <c r="A48" t="s">
        <v>71</v>
      </c>
      <c r="B48" t="s">
        <v>37</v>
      </c>
    </row>
    <row r="49" spans="1:2" x14ac:dyDescent="0.2">
      <c r="A49" t="s">
        <v>85</v>
      </c>
      <c r="B49" t="s">
        <v>651</v>
      </c>
    </row>
    <row r="50" spans="1:2" x14ac:dyDescent="0.2">
      <c r="A50" t="s">
        <v>86</v>
      </c>
    </row>
    <row r="51" spans="1:2" x14ac:dyDescent="0.2">
      <c r="A51" t="s">
        <v>87</v>
      </c>
      <c r="B51">
        <v>2020</v>
      </c>
    </row>
    <row r="52" spans="1:2" x14ac:dyDescent="0.2">
      <c r="A52" t="s">
        <v>123</v>
      </c>
      <c r="B52" t="s">
        <v>782</v>
      </c>
    </row>
    <row r="53" spans="1:2" x14ac:dyDescent="0.2">
      <c r="A53" t="s">
        <v>72</v>
      </c>
      <c r="B53" t="s">
        <v>879</v>
      </c>
    </row>
    <row r="54" spans="1:2" x14ac:dyDescent="0.2">
      <c r="A54" t="s">
        <v>73</v>
      </c>
      <c r="B54" t="s">
        <v>74</v>
      </c>
    </row>
    <row r="55" spans="1:2" x14ac:dyDescent="0.2">
      <c r="A55" t="s">
        <v>75</v>
      </c>
      <c r="B55" t="s">
        <v>162</v>
      </c>
    </row>
    <row r="56" spans="1:2" x14ac:dyDescent="0.2">
      <c r="A56" t="s">
        <v>77</v>
      </c>
      <c r="B56" t="s">
        <v>518</v>
      </c>
    </row>
    <row r="57" spans="1:2" x14ac:dyDescent="0.2">
      <c r="A57" t="s">
        <v>124</v>
      </c>
      <c r="B57">
        <v>1785</v>
      </c>
    </row>
    <row r="58" spans="1:2" x14ac:dyDescent="0.2">
      <c r="A58" t="s">
        <v>125</v>
      </c>
      <c r="B58">
        <v>1</v>
      </c>
    </row>
    <row r="59" spans="1:2" x14ac:dyDescent="0.2">
      <c r="A59" t="s">
        <v>126</v>
      </c>
      <c r="B59">
        <v>0</v>
      </c>
    </row>
    <row r="60" spans="1:2" x14ac:dyDescent="0.2">
      <c r="A60" t="s">
        <v>127</v>
      </c>
      <c r="B60">
        <v>0</v>
      </c>
    </row>
    <row r="61" spans="1:2" x14ac:dyDescent="0.2">
      <c r="A61" t="s">
        <v>128</v>
      </c>
      <c r="B61">
        <v>890</v>
      </c>
    </row>
    <row r="62" spans="1:2" x14ac:dyDescent="0.2">
      <c r="A62" t="s">
        <v>129</v>
      </c>
      <c r="B62">
        <v>11.625</v>
      </c>
    </row>
    <row r="63" spans="1:2" x14ac:dyDescent="0.2">
      <c r="A63" t="s">
        <v>130</v>
      </c>
      <c r="B63">
        <v>0.25</v>
      </c>
    </row>
    <row r="64" spans="1:2" x14ac:dyDescent="0.2">
      <c r="A64" t="s">
        <v>417</v>
      </c>
      <c r="B64" t="s">
        <v>42</v>
      </c>
    </row>
    <row r="65" spans="1:8" x14ac:dyDescent="0.2">
      <c r="A65" t="s">
        <v>131</v>
      </c>
      <c r="B65">
        <v>1.625</v>
      </c>
    </row>
    <row r="66" spans="1:8" x14ac:dyDescent="0.2">
      <c r="A66" t="s">
        <v>99</v>
      </c>
      <c r="B66">
        <v>0.25</v>
      </c>
    </row>
    <row r="67" spans="1:8" x14ac:dyDescent="0.2">
      <c r="A67" t="s">
        <v>355</v>
      </c>
      <c r="B67">
        <v>0.2</v>
      </c>
    </row>
    <row r="68" spans="1:8" x14ac:dyDescent="0.2">
      <c r="A68" t="s">
        <v>134</v>
      </c>
      <c r="B68">
        <v>0</v>
      </c>
    </row>
    <row r="69" spans="1:8" x14ac:dyDescent="0.2">
      <c r="A69" t="s">
        <v>135</v>
      </c>
      <c r="B69">
        <v>0</v>
      </c>
    </row>
    <row r="70" spans="1:8" x14ac:dyDescent="0.2">
      <c r="A70" t="s">
        <v>132</v>
      </c>
      <c r="B70">
        <v>8.3598130841121492</v>
      </c>
    </row>
    <row r="71" spans="1:8" x14ac:dyDescent="0.2">
      <c r="A71" t="s">
        <v>133</v>
      </c>
      <c r="B71" t="s">
        <v>136</v>
      </c>
    </row>
    <row r="72" spans="1:8" x14ac:dyDescent="0.2">
      <c r="A72" t="s">
        <v>540</v>
      </c>
      <c r="B72" s="6">
        <v>0</v>
      </c>
    </row>
    <row r="73" spans="1:8" x14ac:dyDescent="0.2">
      <c r="A73" t="s">
        <v>82</v>
      </c>
      <c r="B73"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74" spans="1:8" ht="16" x14ac:dyDescent="0.2">
      <c r="A74" s="10" t="s">
        <v>78</v>
      </c>
    </row>
    <row r="75" spans="1:8" x14ac:dyDescent="0.2">
      <c r="A75" t="s">
        <v>79</v>
      </c>
      <c r="B75" t="s">
        <v>80</v>
      </c>
      <c r="C75" t="s">
        <v>71</v>
      </c>
      <c r="D75" t="s">
        <v>75</v>
      </c>
      <c r="E75" t="s">
        <v>81</v>
      </c>
      <c r="F75" t="s">
        <v>73</v>
      </c>
      <c r="G75" t="s">
        <v>82</v>
      </c>
      <c r="H75" t="s">
        <v>72</v>
      </c>
    </row>
    <row r="76" spans="1:8" x14ac:dyDescent="0.2">
      <c r="A76" t="s">
        <v>879</v>
      </c>
      <c r="B76">
        <v>1</v>
      </c>
      <c r="C76" t="s">
        <v>37</v>
      </c>
      <c r="D76" t="s">
        <v>162</v>
      </c>
      <c r="F76" t="s">
        <v>83</v>
      </c>
      <c r="G76" t="s">
        <v>84</v>
      </c>
      <c r="H76" t="s">
        <v>879</v>
      </c>
    </row>
    <row r="77" spans="1:8" x14ac:dyDescent="0.2">
      <c r="A77" t="s">
        <v>651</v>
      </c>
      <c r="B77" s="7">
        <v>5.602240896358543E-4</v>
      </c>
      <c r="C77" t="s">
        <v>37</v>
      </c>
      <c r="D77" t="s">
        <v>75</v>
      </c>
      <c r="F77" t="s">
        <v>88</v>
      </c>
      <c r="H77" t="s">
        <v>651</v>
      </c>
    </row>
    <row r="78" spans="1:8" x14ac:dyDescent="0.2">
      <c r="A78" t="s">
        <v>97</v>
      </c>
      <c r="B78" s="7">
        <v>0.023923979877026273</v>
      </c>
      <c r="C78" t="s">
        <v>37</v>
      </c>
      <c r="D78" t="s">
        <v>95</v>
      </c>
      <c r="F78" t="s">
        <v>88</v>
      </c>
      <c r="G78" t="s">
        <v>28</v>
      </c>
      <c r="H78" t="s">
        <v>99</v>
      </c>
    </row>
    <row r="79" spans="1:8" x14ac:dyDescent="0.2">
      <c r="A79" t="s">
        <v>106</v>
      </c>
      <c r="B79" s="7">
        <v>4.6517624999999998E-5</v>
      </c>
      <c r="C79" t="s">
        <v>37</v>
      </c>
      <c r="D79" t="s">
        <v>104</v>
      </c>
      <c r="F79" t="s">
        <v>88</v>
      </c>
      <c r="G79" t="s">
        <v>102</v>
      </c>
      <c r="H79" t="s">
        <v>107</v>
      </c>
    </row>
    <row r="80" spans="1:8" x14ac:dyDescent="0.2">
      <c r="A80" t="s">
        <v>155</v>
      </c>
      <c r="B80" s="7">
        <v>-3.7713826473806454E-6</v>
      </c>
      <c r="C80" t="s">
        <v>91</v>
      </c>
      <c r="D80" t="s">
        <v>76</v>
      </c>
      <c r="F80" t="s">
        <v>88</v>
      </c>
      <c r="G80" t="s">
        <v>29</v>
      </c>
      <c r="H80" t="s">
        <v>157</v>
      </c>
    </row>
    <row r="81" spans="1:8" x14ac:dyDescent="0.2">
      <c r="A81" t="s">
        <v>156</v>
      </c>
      <c r="B81" s="7">
        <v>-3.6670377940073381E-6</v>
      </c>
      <c r="C81" t="s">
        <v>91</v>
      </c>
      <c r="D81" t="s">
        <v>76</v>
      </c>
      <c r="F81" t="s">
        <v>88</v>
      </c>
      <c r="G81" t="s">
        <v>30</v>
      </c>
      <c r="H81" t="s">
        <v>158</v>
      </c>
    </row>
    <row r="82" spans="1:8" x14ac:dyDescent="0.2">
      <c r="A82" t="s">
        <v>164</v>
      </c>
      <c r="B82" s="7">
        <v>-3.4384404710387182E-6</v>
      </c>
      <c r="C82" t="s">
        <v>91</v>
      </c>
      <c r="D82" t="s">
        <v>76</v>
      </c>
      <c r="F82" t="s">
        <v>88</v>
      </c>
      <c r="G82" t="s">
        <v>31</v>
      </c>
      <c r="H82" t="s">
        <v>159</v>
      </c>
    </row>
  </sheetData>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83"/>
  <sheetViews>
    <sheetView topLeftCell="A15" workbookViewId="0">
      <selection activeCell="A37" sqref="A37"/>
    </sheetView>
  </sheetViews>
  <sheetFormatPr baseColWidth="10" defaultColWidth="8.83203125" defaultRowHeight="15" x14ac:dyDescent="0.2"/>
  <cols>
    <col min="1" max="1" width="67.6640625" customWidth="1"/>
    <col min="2" max="2" width="15.6640625" bestFit="1" customWidth="1"/>
    <col min="7" max="7" width="32" bestFit="1" customWidth="1"/>
    <col min="11" max="13" width="12.6640625" bestFit="1" customWidth="1"/>
  </cols>
  <sheetData>
    <row r="1" spans="1:2" ht="16" x14ac:dyDescent="0.2">
      <c r="A1" s="10" t="s">
        <v>70</v>
      </c>
      <c r="B1" s="8" t="s">
        <v>655</v>
      </c>
    </row>
    <row r="2" spans="1:2" x14ac:dyDescent="0.2">
      <c r="A2" t="s">
        <v>71</v>
      </c>
      <c r="B2" t="s">
        <v>37</v>
      </c>
    </row>
    <row r="3" spans="1:2" x14ac:dyDescent="0.2">
      <c r="A3" t="s">
        <v>85</v>
      </c>
      <c r="B3" t="s">
        <v>655</v>
      </c>
    </row>
    <row r="4" spans="1:2" x14ac:dyDescent="0.2">
      <c r="A4" t="s">
        <v>86</v>
      </c>
    </row>
    <row r="5" spans="1:2" x14ac:dyDescent="0.2">
      <c r="A5" t="s">
        <v>87</v>
      </c>
      <c r="B5">
        <v>2020</v>
      </c>
    </row>
    <row r="6" spans="1:2" x14ac:dyDescent="0.2">
      <c r="A6" t="s">
        <v>123</v>
      </c>
      <c r="B6" t="s">
        <v>830</v>
      </c>
    </row>
    <row r="7" spans="1:2" x14ac:dyDescent="0.2">
      <c r="A7" t="s">
        <v>72</v>
      </c>
      <c r="B7" t="s">
        <v>655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76.7</v>
      </c>
    </row>
    <row r="17" spans="1:8" x14ac:dyDescent="0.2">
      <c r="A17" t="s">
        <v>130</v>
      </c>
      <c r="B17">
        <v>2.5</v>
      </c>
    </row>
    <row r="18" spans="1:8" x14ac:dyDescent="0.2">
      <c r="A18" t="s">
        <v>417</v>
      </c>
      <c r="B18" s="19" t="s">
        <v>42</v>
      </c>
    </row>
    <row r="19" spans="1:8" x14ac:dyDescent="0.2">
      <c r="A19" t="s">
        <v>131</v>
      </c>
      <c r="B19">
        <v>11.7</v>
      </c>
    </row>
    <row r="20" spans="1:8" x14ac:dyDescent="0.2">
      <c r="A20" t="s">
        <v>99</v>
      </c>
      <c r="B20">
        <v>1.8</v>
      </c>
    </row>
    <row r="21" spans="1:8" x14ac:dyDescent="0.2">
      <c r="A21" t="s">
        <v>355</v>
      </c>
      <c r="B21">
        <v>1.4400000000000002</v>
      </c>
    </row>
    <row r="22" spans="1:8" x14ac:dyDescent="0.2">
      <c r="A22" t="s">
        <v>134</v>
      </c>
      <c r="B22" s="2">
        <v>0</v>
      </c>
    </row>
    <row r="23" spans="1:8" x14ac:dyDescent="0.2">
      <c r="A23" t="s">
        <v>135</v>
      </c>
      <c r="B23">
        <v>0</v>
      </c>
    </row>
    <row r="24" spans="1:8" x14ac:dyDescent="0.2">
      <c r="A24" t="s">
        <v>132</v>
      </c>
      <c r="B24" s="2">
        <v>42.842975206611577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655</v>
      </c>
      <c r="B33">
        <v>1</v>
      </c>
      <c r="C33" t="s">
        <v>37</v>
      </c>
      <c r="D33" t="s">
        <v>75</v>
      </c>
      <c r="F33" t="s">
        <v>83</v>
      </c>
      <c r="G33" t="s">
        <v>84</v>
      </c>
      <c r="H33" t="s">
        <v>655</v>
      </c>
    </row>
    <row r="34" spans="1:8" x14ac:dyDescent="0.2">
      <c r="A34" t="s">
        <v>187</v>
      </c>
      <c r="B34" s="11">
        <v>53</v>
      </c>
      <c r="C34" t="s">
        <v>94</v>
      </c>
      <c r="D34" t="s">
        <v>76</v>
      </c>
      <c r="F34" t="s">
        <v>88</v>
      </c>
      <c r="G34" t="s">
        <v>15</v>
      </c>
      <c r="H34" t="s">
        <v>120</v>
      </c>
    </row>
    <row r="35" spans="1:8" x14ac:dyDescent="0.2">
      <c r="A35" t="s">
        <v>540</v>
      </c>
      <c r="B35" s="11">
        <v>0</v>
      </c>
      <c r="C35" t="s">
        <v>94</v>
      </c>
      <c r="D35" t="s">
        <v>76</v>
      </c>
      <c r="F35" t="s">
        <v>88</v>
      </c>
      <c r="G35" t="s">
        <v>14</v>
      </c>
      <c r="H35" t="s">
        <v>540</v>
      </c>
    </row>
    <row r="36" spans="1:8" x14ac:dyDescent="0.2">
      <c r="A36" t="inlineStr">
        <is>
          <t>mechanical powertrain, motorcycle, electric, engineering reference</t>
        </is>
      </c>
      <c r="B36" s="11">
        <v>4.5</v>
      </c>
      <c r="C36" t="inlineStr">
        <is>
          <t>GLO</t>
        </is>
      </c>
      <c r="D36" t="inlineStr">
        <is>
          <t>kilogram</t>
        </is>
      </c>
      <c r="F36" t="s">
        <v>88</v>
      </c>
      <c r="G3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6" t="inlineStr">
        <is>
          <t>mechanical powertrain, motorcycle, electric, engineering reference</t>
        </is>
      </c>
    </row>
    <row r="37" spans="1:8" x14ac:dyDescent="0.2">
      <c r="A37" t="inlineStr">
        <is>
          <t>electric powertrain, two-wheeler motor and controller, offboard charging reference</t>
        </is>
      </c>
      <c r="B37" s="11">
        <v>5.244807</v>
      </c>
      <c r="C37" t="inlineStr">
        <is>
          <t>GLO</t>
        </is>
      </c>
      <c r="D37" t="s">
        <v>76</v>
      </c>
      <c r="F37" t="s">
        <v>88</v>
      </c>
      <c r="G37" t="s">
        <v>269</v>
      </c>
      <c r="H37" t="inlineStr">
        <is>
          <t>electric powertrain, two-wheeler motor and controller, offboard charging reference</t>
        </is>
      </c>
    </row>
    <row r="38" spans="1:8" x14ac:dyDescent="0.2">
      <c r="A38" t="s">
        <v>963</v>
      </c>
      <c r="B38" s="4">
        <v>1.8</v>
      </c>
      <c r="C38" t="s">
        <v>94</v>
      </c>
      <c r="D38" t="s">
        <v>95</v>
      </c>
      <c r="F38" t="s">
        <v>88</v>
      </c>
      <c r="H38" t="s">
        <v>964</v>
      </c>
    </row>
    <row r="39" spans="1:8" x14ac:dyDescent="0.2">
      <c r="A39" t="s">
        <v>185</v>
      </c>
      <c r="B39" s="11">
        <v>1</v>
      </c>
      <c r="C39" t="s">
        <v>94</v>
      </c>
      <c r="D39" t="s">
        <v>75</v>
      </c>
      <c r="F39" t="s">
        <v>88</v>
      </c>
      <c r="G39" t="s">
        <v>51</v>
      </c>
      <c r="H39" t="s">
        <v>185</v>
      </c>
    </row>
    <row r="40" spans="1:8" x14ac:dyDescent="0.2">
      <c r="A40" t="s">
        <v>149</v>
      </c>
      <c r="B40" s="11">
        <v>53</v>
      </c>
      <c r="C40" t="s">
        <v>94</v>
      </c>
      <c r="D40" t="s">
        <v>75</v>
      </c>
      <c r="F40" t="s">
        <v>88</v>
      </c>
      <c r="G40" t="s">
        <v>140</v>
      </c>
      <c r="H40" t="s">
        <v>148</v>
      </c>
    </row>
    <row r="41" spans="1:8" x14ac:dyDescent="0.2">
      <c r="A41" t="s">
        <v>149</v>
      </c>
      <c r="B41" s="11">
        <v>12</v>
      </c>
      <c r="C41" t="s">
        <v>94</v>
      </c>
      <c r="D41" t="s">
        <v>75</v>
      </c>
      <c r="F41" t="s">
        <v>88</v>
      </c>
      <c r="G41" t="s">
        <v>141</v>
      </c>
      <c r="H41" t="s">
        <v>148</v>
      </c>
    </row>
    <row r="42" spans="1:8" x14ac:dyDescent="0.2">
      <c r="A42" s="13" t="s">
        <v>443</v>
      </c>
      <c r="B42">
        <v>76.7</v>
      </c>
      <c r="C42" t="s">
        <v>91</v>
      </c>
      <c r="D42" t="s">
        <v>191</v>
      </c>
      <c r="F42" t="s">
        <v>88</v>
      </c>
      <c r="H42" s="13" t="s">
        <v>444</v>
      </c>
    </row>
    <row r="43" spans="1:8" x14ac:dyDescent="0.2">
      <c r="A43" s="13" t="s">
        <v>214</v>
      </c>
      <c r="B43" s="2">
        <v>1219.53</v>
      </c>
      <c r="C43" t="s">
        <v>94</v>
      </c>
      <c r="D43" t="s">
        <v>191</v>
      </c>
      <c r="F43" t="s">
        <v>88</v>
      </c>
      <c r="H43" s="13" t="s">
        <v>214</v>
      </c>
    </row>
    <row r="44" spans="1:8" x14ac:dyDescent="0.2">
      <c r="B44" s="11"/>
    </row>
    <row r="45" spans="1:8" x14ac:dyDescent="0.2">
      <c r="B45" s="2"/>
    </row>
    <row r="46" spans="1:8" ht="16" x14ac:dyDescent="0.2">
      <c r="A46" s="10" t="s">
        <v>70</v>
      </c>
      <c r="B46" s="8" t="s">
        <v>880</v>
      </c>
    </row>
    <row r="47" spans="1:8" x14ac:dyDescent="0.2">
      <c r="A47" t="s">
        <v>71</v>
      </c>
      <c r="B47" t="s">
        <v>37</v>
      </c>
    </row>
    <row r="48" spans="1:8" x14ac:dyDescent="0.2">
      <c r="A48" t="s">
        <v>85</v>
      </c>
      <c r="B48" t="s">
        <v>655</v>
      </c>
    </row>
    <row r="49" spans="1:2" x14ac:dyDescent="0.2">
      <c r="A49" t="s">
        <v>86</v>
      </c>
    </row>
    <row r="50" spans="1:2" x14ac:dyDescent="0.2">
      <c r="A50" t="s">
        <v>87</v>
      </c>
      <c r="B50">
        <v>2020</v>
      </c>
    </row>
    <row r="51" spans="1:2" x14ac:dyDescent="0.2">
      <c r="A51" t="s">
        <v>123</v>
      </c>
      <c r="B51" t="s">
        <v>830</v>
      </c>
    </row>
    <row r="52" spans="1:2" x14ac:dyDescent="0.2">
      <c r="A52" t="s">
        <v>72</v>
      </c>
      <c r="B52" t="s">
        <v>880</v>
      </c>
    </row>
    <row r="53" spans="1:2" x14ac:dyDescent="0.2">
      <c r="A53" t="s">
        <v>73</v>
      </c>
      <c r="B53" t="s">
        <v>74</v>
      </c>
    </row>
    <row r="54" spans="1:2" x14ac:dyDescent="0.2">
      <c r="A54" t="s">
        <v>75</v>
      </c>
      <c r="B54" t="s">
        <v>162</v>
      </c>
    </row>
    <row r="55" spans="1:2" x14ac:dyDescent="0.2">
      <c r="A55" t="s">
        <v>77</v>
      </c>
      <c r="B55" t="s">
        <v>518</v>
      </c>
    </row>
    <row r="56" spans="1:2" x14ac:dyDescent="0.2">
      <c r="A56" t="s">
        <v>124</v>
      </c>
      <c r="B56">
        <v>25000</v>
      </c>
    </row>
    <row r="57" spans="1:2" x14ac:dyDescent="0.2">
      <c r="A57" t="s">
        <v>125</v>
      </c>
      <c r="B57">
        <v>1.1000000000000001</v>
      </c>
    </row>
    <row r="58" spans="1:2" x14ac:dyDescent="0.2">
      <c r="A58" t="s">
        <v>126</v>
      </c>
      <c r="B58">
        <v>1</v>
      </c>
    </row>
    <row r="59" spans="1:2" x14ac:dyDescent="0.2">
      <c r="A59" t="s">
        <v>127</v>
      </c>
      <c r="B59">
        <v>1</v>
      </c>
    </row>
    <row r="60" spans="1:2" x14ac:dyDescent="0.2">
      <c r="A60" t="s">
        <v>128</v>
      </c>
      <c r="B60">
        <v>1776</v>
      </c>
    </row>
    <row r="61" spans="1:2" x14ac:dyDescent="0.2">
      <c r="A61" t="s">
        <v>129</v>
      </c>
      <c r="B61" s="2">
        <v>76.7</v>
      </c>
    </row>
    <row r="62" spans="1:2" x14ac:dyDescent="0.2">
      <c r="A62" t="s">
        <v>130</v>
      </c>
      <c r="B62">
        <v>2.5</v>
      </c>
    </row>
    <row r="63" spans="1:2" x14ac:dyDescent="0.2">
      <c r="A63" t="s">
        <v>417</v>
      </c>
      <c r="B63" s="19" t="s">
        <v>42</v>
      </c>
    </row>
    <row r="64" spans="1:2" x14ac:dyDescent="0.2">
      <c r="A64" t="s">
        <v>131</v>
      </c>
      <c r="B64">
        <v>11.7</v>
      </c>
    </row>
    <row r="65" spans="1:8" x14ac:dyDescent="0.2">
      <c r="A65" t="s">
        <v>99</v>
      </c>
      <c r="B65">
        <v>1.8</v>
      </c>
    </row>
    <row r="66" spans="1:8" x14ac:dyDescent="0.2">
      <c r="A66" t="s">
        <v>355</v>
      </c>
      <c r="B66">
        <v>1.4400000000000002</v>
      </c>
    </row>
    <row r="67" spans="1:8" x14ac:dyDescent="0.2">
      <c r="A67" t="s">
        <v>134</v>
      </c>
      <c r="B67" s="2">
        <v>0</v>
      </c>
    </row>
    <row r="68" spans="1:8" x14ac:dyDescent="0.2">
      <c r="A68" t="s">
        <v>135</v>
      </c>
      <c r="B68">
        <v>0</v>
      </c>
    </row>
    <row r="69" spans="1:8" x14ac:dyDescent="0.2">
      <c r="A69" t="s">
        <v>132</v>
      </c>
      <c r="B69" s="2">
        <v>42.842975206611577</v>
      </c>
    </row>
    <row r="70" spans="1:8" x14ac:dyDescent="0.2">
      <c r="A70" t="s">
        <v>133</v>
      </c>
      <c r="B70" t="s">
        <v>136</v>
      </c>
    </row>
    <row r="71" spans="1:8" x14ac:dyDescent="0.2">
      <c r="A71" t="s">
        <v>540</v>
      </c>
      <c r="B71" s="6">
        <v>0</v>
      </c>
    </row>
    <row r="72" spans="1:8" x14ac:dyDescent="0.2">
      <c r="A72" t="s">
        <v>82</v>
      </c>
      <c r="B72"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3" spans="1:8" ht="16" x14ac:dyDescent="0.2">
      <c r="A73" s="10" t="s">
        <v>78</v>
      </c>
    </row>
    <row r="74" spans="1:8" x14ac:dyDescent="0.2">
      <c r="A74" t="s">
        <v>79</v>
      </c>
      <c r="B74" t="s">
        <v>80</v>
      </c>
      <c r="C74" t="s">
        <v>71</v>
      </c>
      <c r="D74" t="s">
        <v>75</v>
      </c>
      <c r="E74" t="s">
        <v>81</v>
      </c>
      <c r="F74" t="s">
        <v>73</v>
      </c>
      <c r="G74" t="s">
        <v>82</v>
      </c>
      <c r="H74" t="s">
        <v>72</v>
      </c>
    </row>
    <row r="75" spans="1:8" x14ac:dyDescent="0.2">
      <c r="A75" t="s">
        <v>880</v>
      </c>
      <c r="B75">
        <v>1</v>
      </c>
      <c r="C75" t="s">
        <v>37</v>
      </c>
      <c r="D75" t="s">
        <v>162</v>
      </c>
      <c r="F75" t="s">
        <v>83</v>
      </c>
      <c r="G75" t="s">
        <v>84</v>
      </c>
      <c r="H75" t="s">
        <v>880</v>
      </c>
    </row>
    <row r="76" spans="1:8" x14ac:dyDescent="0.2">
      <c r="A76" t="s">
        <v>655</v>
      </c>
      <c r="B76" s="7">
        <v>4.0000000000000003E-5</v>
      </c>
      <c r="C76" t="s">
        <v>37</v>
      </c>
      <c r="D76" t="s">
        <v>75</v>
      </c>
      <c r="F76" t="s">
        <v>88</v>
      </c>
      <c r="H76" t="s">
        <v>655</v>
      </c>
    </row>
    <row r="77" spans="1:8" x14ac:dyDescent="0.2">
      <c r="A77" t="s">
        <v>110</v>
      </c>
      <c r="B77" s="7">
        <v>1.2899999999999999E-3</v>
      </c>
      <c r="C77" t="s">
        <v>37</v>
      </c>
      <c r="D77" t="s">
        <v>104</v>
      </c>
      <c r="F77" t="s">
        <v>88</v>
      </c>
      <c r="G77" t="s">
        <v>109</v>
      </c>
      <c r="H77" t="s">
        <v>110</v>
      </c>
    </row>
    <row r="78" spans="1:8" x14ac:dyDescent="0.2">
      <c r="A78" t="s">
        <v>97</v>
      </c>
      <c r="B78" s="7">
        <v>0.03361111111111111</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106</v>
      </c>
      <c r="B80" s="7">
        <v>8.8712400000000001E-5</v>
      </c>
      <c r="C80" t="s">
        <v>37</v>
      </c>
      <c r="D80" t="s">
        <v>104</v>
      </c>
      <c r="F80" t="s">
        <v>88</v>
      </c>
      <c r="G80" t="s">
        <v>102</v>
      </c>
      <c r="H80" t="s">
        <v>107</v>
      </c>
    </row>
    <row r="81" spans="1:8" x14ac:dyDescent="0.2">
      <c r="A81" t="s">
        <v>155</v>
      </c>
      <c r="B81" s="7">
        <v>-6.2620810940496784E-6</v>
      </c>
      <c r="C81" t="s">
        <v>91</v>
      </c>
      <c r="D81" t="s">
        <v>76</v>
      </c>
      <c r="F81" t="s">
        <v>88</v>
      </c>
      <c r="G81" t="s">
        <v>29</v>
      </c>
      <c r="H81" t="s">
        <v>157</v>
      </c>
    </row>
    <row r="82" spans="1:8" x14ac:dyDescent="0.2">
      <c r="A82" t="s">
        <v>156</v>
      </c>
      <c r="B82" s="7">
        <v>-4.5554631442082041E-6</v>
      </c>
      <c r="C82" t="s">
        <v>91</v>
      </c>
      <c r="D82" t="s">
        <v>76</v>
      </c>
      <c r="F82" t="s">
        <v>88</v>
      </c>
      <c r="G82" t="s">
        <v>30</v>
      </c>
      <c r="H82" t="s">
        <v>158</v>
      </c>
    </row>
    <row r="83" spans="1:8" x14ac:dyDescent="0.2">
      <c r="A83" t="s">
        <v>164</v>
      </c>
      <c r="B83" s="7">
        <v>-2.4211309013042481E-6</v>
      </c>
      <c r="C83" t="s">
        <v>91</v>
      </c>
      <c r="D83" t="s">
        <v>76</v>
      </c>
      <c r="F83" t="s">
        <v>88</v>
      </c>
      <c r="G83" t="s">
        <v>31</v>
      </c>
      <c r="H83" t="s">
        <v>159</v>
      </c>
    </row>
    <row r="84" spans="1:8" x14ac:dyDescent="0.2">
      <c r="B84" s="6"/>
    </row>
    <row r="85" spans="1:8" ht="16" x14ac:dyDescent="0.2">
      <c r="A85" s="10"/>
      <c r="B85" s="8"/>
    </row>
    <row r="100" spans="1:2" x14ac:dyDescent="0.2">
      <c r="B100" s="2"/>
    </row>
    <row r="104" spans="1:2" x14ac:dyDescent="0.2">
      <c r="B104" s="2"/>
    </row>
    <row r="106" spans="1:2" x14ac:dyDescent="0.2">
      <c r="B106" s="2"/>
    </row>
    <row r="108" spans="1:2" x14ac:dyDescent="0.2">
      <c r="B108" s="6"/>
    </row>
    <row r="110" spans="1:2" ht="16" x14ac:dyDescent="0.2">
      <c r="A110" s="10"/>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x14ac:dyDescent="0.2">
      <c r="B123" s="11"/>
    </row>
    <row r="124" spans="1:2" ht="16" x14ac:dyDescent="0.2">
      <c r="A124" s="10"/>
      <c r="B124" s="8"/>
    </row>
    <row r="139" spans="2:2" x14ac:dyDescent="0.2">
      <c r="B139" s="2"/>
    </row>
    <row r="143" spans="2:2" x14ac:dyDescent="0.2">
      <c r="B143" s="2"/>
    </row>
    <row r="145" spans="1:2" x14ac:dyDescent="0.2">
      <c r="B145" s="2"/>
    </row>
    <row r="147" spans="1:2" x14ac:dyDescent="0.2">
      <c r="B147" s="6"/>
    </row>
    <row r="149" spans="1:2" ht="16" x14ac:dyDescent="0.2">
      <c r="A149" s="10"/>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1" spans="1:2" x14ac:dyDescent="0.2">
      <c r="B161" s="11"/>
    </row>
    <row r="163" spans="1:2" ht="16" x14ac:dyDescent="0.2">
      <c r="A163" s="10"/>
      <c r="B163" s="8"/>
    </row>
    <row r="178" spans="1:2" x14ac:dyDescent="0.2">
      <c r="B178" s="2"/>
    </row>
    <row r="182" spans="1:2" x14ac:dyDescent="0.2">
      <c r="B182" s="2"/>
    </row>
    <row r="184" spans="1:2" x14ac:dyDescent="0.2">
      <c r="B184" s="2"/>
    </row>
    <row r="186" spans="1:2" x14ac:dyDescent="0.2">
      <c r="B186" s="6"/>
    </row>
    <row r="188" spans="1:2" ht="16" x14ac:dyDescent="0.2">
      <c r="A188" s="10"/>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0" spans="1:2" x14ac:dyDescent="0.2">
      <c r="B200" s="11"/>
    </row>
    <row r="202" spans="1:2" ht="16" x14ac:dyDescent="0.2">
      <c r="A202" s="10"/>
      <c r="B202" s="8"/>
    </row>
    <row r="217" spans="2:2" x14ac:dyDescent="0.2">
      <c r="B217" s="2"/>
    </row>
    <row r="221" spans="2:2" x14ac:dyDescent="0.2">
      <c r="B221" s="2"/>
    </row>
    <row r="223" spans="2:2" x14ac:dyDescent="0.2">
      <c r="B223" s="2"/>
    </row>
    <row r="225" spans="1:2" x14ac:dyDescent="0.2">
      <c r="B225" s="6"/>
    </row>
    <row r="227" spans="1:2" ht="16" x14ac:dyDescent="0.2">
      <c r="A227" s="10"/>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11"/>
    </row>
    <row r="240" spans="1:2" x14ac:dyDescent="0.2">
      <c r="B240" s="2"/>
    </row>
    <row r="241" spans="1:2" ht="16" x14ac:dyDescent="0.2">
      <c r="A241" s="10"/>
      <c r="B241" s="8"/>
    </row>
    <row r="256" spans="1:2" x14ac:dyDescent="0.2">
      <c r="B256" s="2"/>
    </row>
    <row r="260" spans="1:2" x14ac:dyDescent="0.2">
      <c r="B260" s="2"/>
    </row>
    <row r="262" spans="1:2" x14ac:dyDescent="0.2">
      <c r="B262" s="2"/>
    </row>
    <row r="264" spans="1:2" x14ac:dyDescent="0.2">
      <c r="B264" s="6"/>
    </row>
    <row r="266" spans="1:2" ht="16" x14ac:dyDescent="0.2">
      <c r="A266" s="10"/>
    </row>
    <row r="269" spans="1:2" x14ac:dyDescent="0.2">
      <c r="B269" s="7"/>
    </row>
    <row r="270" spans="1:2" x14ac:dyDescent="0.2">
      <c r="B270" s="11"/>
    </row>
    <row r="271" spans="1:2" x14ac:dyDescent="0.2">
      <c r="B271" s="4"/>
    </row>
    <row r="272" spans="1:2" x14ac:dyDescent="0.2">
      <c r="B272" s="11"/>
    </row>
    <row r="273" spans="1:2" x14ac:dyDescent="0.2">
      <c r="B273" s="11"/>
    </row>
    <row r="274" spans="1:2" x14ac:dyDescent="0.2">
      <c r="B274" s="11"/>
    </row>
    <row r="275" spans="1:2" x14ac:dyDescent="0.2">
      <c r="B275" s="11"/>
    </row>
    <row r="276" spans="1:2" x14ac:dyDescent="0.2">
      <c r="B276" s="6"/>
    </row>
    <row r="277" spans="1:2" ht="16" x14ac:dyDescent="0.2">
      <c r="A277" s="10"/>
      <c r="B277" s="8"/>
    </row>
    <row r="292" spans="1:2" x14ac:dyDescent="0.2">
      <c r="B292" s="2"/>
    </row>
    <row r="296" spans="1:2" x14ac:dyDescent="0.2">
      <c r="B296" s="2"/>
    </row>
    <row r="298" spans="1:2" x14ac:dyDescent="0.2">
      <c r="B298" s="2"/>
    </row>
    <row r="300" spans="1:2" x14ac:dyDescent="0.2">
      <c r="B300" s="6"/>
    </row>
    <row r="302" spans="1:2" ht="16" x14ac:dyDescent="0.2">
      <c r="A302" s="10"/>
    </row>
    <row r="306" spans="1:2" x14ac:dyDescent="0.2">
      <c r="B306" s="11"/>
    </row>
    <row r="307" spans="1:2" x14ac:dyDescent="0.2">
      <c r="B307" s="4"/>
    </row>
    <row r="308" spans="1:2" x14ac:dyDescent="0.2">
      <c r="B308" s="11"/>
    </row>
    <row r="309" spans="1:2" x14ac:dyDescent="0.2">
      <c r="B309" s="11"/>
    </row>
    <row r="310" spans="1:2" x14ac:dyDescent="0.2">
      <c r="B310" s="11"/>
    </row>
    <row r="311" spans="1:2" x14ac:dyDescent="0.2">
      <c r="B311" s="11"/>
    </row>
    <row r="313" spans="1:2" ht="16" x14ac:dyDescent="0.2">
      <c r="A313" s="10"/>
      <c r="B313" s="8"/>
    </row>
    <row r="328" spans="2:2" x14ac:dyDescent="0.2">
      <c r="B328" s="2"/>
    </row>
    <row r="332" spans="2:2" x14ac:dyDescent="0.2">
      <c r="B332" s="2"/>
    </row>
    <row r="334" spans="2:2" x14ac:dyDescent="0.2">
      <c r="B334" s="2"/>
    </row>
    <row r="336" spans="2:2" x14ac:dyDescent="0.2">
      <c r="B336" s="6"/>
    </row>
    <row r="338" spans="1:2" ht="16" x14ac:dyDescent="0.2">
      <c r="A338" s="10"/>
    </row>
    <row r="342" spans="1:2" x14ac:dyDescent="0.2">
      <c r="B342" s="11"/>
    </row>
    <row r="343" spans="1:2" x14ac:dyDescent="0.2">
      <c r="B343" s="4"/>
    </row>
    <row r="344" spans="1:2" x14ac:dyDescent="0.2">
      <c r="B344" s="11"/>
    </row>
    <row r="345" spans="1:2" x14ac:dyDescent="0.2">
      <c r="B345" s="11"/>
    </row>
    <row r="346" spans="1:2" x14ac:dyDescent="0.2">
      <c r="B346" s="11"/>
    </row>
    <row r="347" spans="1:2" x14ac:dyDescent="0.2">
      <c r="B347" s="11"/>
    </row>
    <row r="349" spans="1:2" ht="16" x14ac:dyDescent="0.2">
      <c r="A349" s="10"/>
      <c r="B349" s="8"/>
    </row>
    <row r="364" spans="2:2" x14ac:dyDescent="0.2">
      <c r="B364" s="2"/>
    </row>
    <row r="368" spans="2:2" x14ac:dyDescent="0.2">
      <c r="B368" s="2"/>
    </row>
    <row r="370" spans="1:2" x14ac:dyDescent="0.2">
      <c r="B370" s="2"/>
    </row>
    <row r="372" spans="1:2" x14ac:dyDescent="0.2">
      <c r="B372" s="6"/>
    </row>
    <row r="374" spans="1:2" ht="16" x14ac:dyDescent="0.2">
      <c r="A374" s="10"/>
    </row>
    <row r="378" spans="1:2" x14ac:dyDescent="0.2">
      <c r="B378" s="11"/>
    </row>
    <row r="379" spans="1:2" x14ac:dyDescent="0.2">
      <c r="B379" s="4"/>
    </row>
    <row r="380" spans="1:2" x14ac:dyDescent="0.2">
      <c r="B380" s="11"/>
    </row>
    <row r="381" spans="1:2" x14ac:dyDescent="0.2">
      <c r="B381" s="11"/>
    </row>
    <row r="382" spans="1:2" x14ac:dyDescent="0.2">
      <c r="B382" s="11"/>
    </row>
    <row r="383" spans="1:2" x14ac:dyDescent="0.2">
      <c r="B383" s="1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656</v>
      </c>
    </row>
    <row r="2" spans="1:2" x14ac:dyDescent="0.2">
      <c r="A2" t="s">
        <v>71</v>
      </c>
      <c r="B2" t="s">
        <v>37</v>
      </c>
    </row>
    <row r="3" spans="1:2" x14ac:dyDescent="0.2">
      <c r="A3" t="s">
        <v>85</v>
      </c>
      <c r="B3" t="s">
        <v>656</v>
      </c>
    </row>
    <row r="4" spans="1:2" x14ac:dyDescent="0.2">
      <c r="A4" t="s">
        <v>86</v>
      </c>
    </row>
    <row r="5" spans="1:2" x14ac:dyDescent="0.2">
      <c r="A5" t="s">
        <v>87</v>
      </c>
      <c r="B5">
        <v>2020</v>
      </c>
    </row>
    <row r="6" spans="1:2" x14ac:dyDescent="0.2">
      <c r="A6" t="s">
        <v>123</v>
      </c>
      <c r="B6" t="s">
        <v>834</v>
      </c>
    </row>
    <row r="7" spans="1:2" x14ac:dyDescent="0.2">
      <c r="A7" t="s">
        <v>72</v>
      </c>
      <c r="B7" t="s">
        <v>656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117.00074044049273</v>
      </c>
    </row>
    <row r="17" spans="1:8" x14ac:dyDescent="0.2">
      <c r="A17" t="s">
        <v>130</v>
      </c>
      <c r="B17">
        <v>4.7</v>
      </c>
    </row>
    <row r="18" spans="1:8" x14ac:dyDescent="0.2">
      <c r="A18" t="s">
        <v>417</v>
      </c>
      <c r="B18" s="19" t="s">
        <v>42</v>
      </c>
    </row>
    <row r="19" spans="1:8" x14ac:dyDescent="0.2">
      <c r="A19" t="s">
        <v>131</v>
      </c>
      <c r="B19">
        <v>18.849999999999998</v>
      </c>
    </row>
    <row r="20" spans="1:8" x14ac:dyDescent="0.2">
      <c r="A20" t="s">
        <v>99</v>
      </c>
      <c r="B20">
        <v>2.9</v>
      </c>
    </row>
    <row r="21" spans="1:8" x14ac:dyDescent="0.2">
      <c r="A21" t="s">
        <v>355</v>
      </c>
      <c r="B21">
        <v>2.3199999999999998</v>
      </c>
    </row>
    <row r="22" spans="1:8" x14ac:dyDescent="0.2">
      <c r="A22" t="s">
        <v>134</v>
      </c>
      <c r="B22" s="2">
        <v>0</v>
      </c>
    </row>
    <row r="23" spans="1:8" x14ac:dyDescent="0.2">
      <c r="A23" t="s">
        <v>135</v>
      </c>
      <c r="B23">
        <v>0</v>
      </c>
    </row>
    <row r="24" spans="1:8" x14ac:dyDescent="0.2">
      <c r="A24" t="s">
        <v>132</v>
      </c>
      <c r="B24" s="2">
        <v>45.890109890109891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656</v>
      </c>
      <c r="B33" s="3">
        <v>1</v>
      </c>
      <c r="C33" t="s">
        <v>37</v>
      </c>
      <c r="D33" t="s">
        <v>75</v>
      </c>
      <c r="F33" t="s">
        <v>83</v>
      </c>
      <c r="G33" t="s">
        <v>84</v>
      </c>
      <c r="H33" t="s">
        <v>656</v>
      </c>
    </row>
    <row r="34" spans="1:8" x14ac:dyDescent="0.2">
      <c r="A34" t="s">
        <v>187</v>
      </c>
      <c r="B34" s="3">
        <v>65.433826960328489</v>
      </c>
      <c r="C34" t="s">
        <v>94</v>
      </c>
      <c r="D34" t="s">
        <v>76</v>
      </c>
      <c r="F34" t="s">
        <v>88</v>
      </c>
      <c r="G34" t="s">
        <v>15</v>
      </c>
      <c r="H34" t="s">
        <v>120</v>
      </c>
    </row>
    <row r="35" spans="1:8" x14ac:dyDescent="0.2">
      <c r="A35" t="inlineStr">
        <is>
          <t>mechanical powertrain, motorcycle, electric, engineering reference</t>
        </is>
      </c>
      <c r="B35" s="3">
        <v>13.086765392065699</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13.727511747132784</v>
      </c>
      <c r="C36" t="inlineStr">
        <is>
          <t>GLO</t>
        </is>
      </c>
      <c r="D36" t="s">
        <v>76</v>
      </c>
      <c r="F36" t="s">
        <v>88</v>
      </c>
      <c r="G36" t="s">
        <v>269</v>
      </c>
      <c r="H36" t="inlineStr">
        <is>
          <t>electric powertrain, two-wheeler motor and controller, offboard charging reference</t>
        </is>
      </c>
    </row>
    <row r="37" spans="1:8" x14ac:dyDescent="0.2">
      <c r="A37" t="s">
        <v>963</v>
      </c>
      <c r="B37" s="3">
        <v>2.9</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65.433826960328489</v>
      </c>
      <c r="C39" t="s">
        <v>94</v>
      </c>
      <c r="D39" t="s">
        <v>75</v>
      </c>
      <c r="F39" t="s">
        <v>88</v>
      </c>
      <c r="G39" t="s">
        <v>140</v>
      </c>
      <c r="H39" t="s">
        <v>148</v>
      </c>
    </row>
    <row r="40" spans="1:8" x14ac:dyDescent="0.2">
      <c r="A40" t="s">
        <v>149</v>
      </c>
      <c r="B40" s="3">
        <v>32.716913480164244</v>
      </c>
      <c r="C40" t="s">
        <v>94</v>
      </c>
      <c r="D40" t="s">
        <v>75</v>
      </c>
      <c r="F40" t="s">
        <v>88</v>
      </c>
      <c r="G40" t="s">
        <v>141</v>
      </c>
      <c r="H40" t="s">
        <v>148</v>
      </c>
    </row>
    <row r="41" spans="1:8" x14ac:dyDescent="0.2">
      <c r="A41" s="13" t="s">
        <v>443</v>
      </c>
      <c r="B41" s="3">
        <v>117.00074044049273</v>
      </c>
      <c r="C41" t="s">
        <v>91</v>
      </c>
      <c r="D41" t="s">
        <v>191</v>
      </c>
      <c r="F41" t="s">
        <v>88</v>
      </c>
      <c r="H41" s="13" t="s">
        <v>444</v>
      </c>
    </row>
    <row r="42" spans="1:8" x14ac:dyDescent="0.2">
      <c r="A42" s="13" t="s">
        <v>214</v>
      </c>
      <c r="B42" s="3">
        <v>1860.3117730038343</v>
      </c>
      <c r="C42" t="s">
        <v>94</v>
      </c>
      <c r="D42" t="s">
        <v>191</v>
      </c>
      <c r="F42" t="s">
        <v>88</v>
      </c>
      <c r="H42" s="13" t="s">
        <v>214</v>
      </c>
    </row>
    <row r="43" spans="1:8" x14ac:dyDescent="0.2">
      <c r="B43" s="11"/>
    </row>
    <row r="44" spans="1:8" x14ac:dyDescent="0.2">
      <c r="B44" s="2"/>
    </row>
    <row r="45" spans="1:8" ht="16" x14ac:dyDescent="0.2">
      <c r="A45" s="10" t="s">
        <v>70</v>
      </c>
      <c r="B45" s="8" t="s">
        <v>881</v>
      </c>
    </row>
    <row r="46" spans="1:8" x14ac:dyDescent="0.2">
      <c r="A46" t="s">
        <v>71</v>
      </c>
      <c r="B46" t="s">
        <v>37</v>
      </c>
    </row>
    <row r="47" spans="1:8" x14ac:dyDescent="0.2">
      <c r="A47" t="s">
        <v>85</v>
      </c>
      <c r="B47" t="s">
        <v>656</v>
      </c>
    </row>
    <row r="48" spans="1:8" x14ac:dyDescent="0.2">
      <c r="A48" t="s">
        <v>86</v>
      </c>
    </row>
    <row r="49" spans="1:2" x14ac:dyDescent="0.2">
      <c r="A49" t="s">
        <v>87</v>
      </c>
      <c r="B49">
        <v>2020</v>
      </c>
    </row>
    <row r="50" spans="1:2" x14ac:dyDescent="0.2">
      <c r="A50" t="s">
        <v>123</v>
      </c>
      <c r="B50" t="s">
        <v>834</v>
      </c>
    </row>
    <row r="51" spans="1:2" x14ac:dyDescent="0.2">
      <c r="A51" t="s">
        <v>72</v>
      </c>
      <c r="B51" t="s">
        <v>881</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1.1000000000000001</v>
      </c>
    </row>
    <row r="57" spans="1:2" x14ac:dyDescent="0.2">
      <c r="A57" t="s">
        <v>126</v>
      </c>
      <c r="B57">
        <v>1</v>
      </c>
    </row>
    <row r="58" spans="1:2" x14ac:dyDescent="0.2">
      <c r="A58" t="s">
        <v>127</v>
      </c>
      <c r="B58">
        <v>1</v>
      </c>
    </row>
    <row r="59" spans="1:2" x14ac:dyDescent="0.2">
      <c r="A59" t="s">
        <v>128</v>
      </c>
      <c r="B59">
        <v>1776</v>
      </c>
    </row>
    <row r="60" spans="1:2" x14ac:dyDescent="0.2">
      <c r="A60" t="s">
        <v>129</v>
      </c>
      <c r="B60" s="2">
        <v>117.00074044049273</v>
      </c>
    </row>
    <row r="61" spans="1:2" x14ac:dyDescent="0.2">
      <c r="A61" t="s">
        <v>130</v>
      </c>
      <c r="B61">
        <v>4.7</v>
      </c>
    </row>
    <row r="62" spans="1:2" x14ac:dyDescent="0.2">
      <c r="A62" t="s">
        <v>417</v>
      </c>
      <c r="B62" s="19" t="s">
        <v>42</v>
      </c>
    </row>
    <row r="63" spans="1:2" x14ac:dyDescent="0.2">
      <c r="A63" t="s">
        <v>131</v>
      </c>
      <c r="B63">
        <v>18.849999999999998</v>
      </c>
    </row>
    <row r="64" spans="1:2" x14ac:dyDescent="0.2">
      <c r="A64" t="s">
        <v>99</v>
      </c>
      <c r="B64">
        <v>2.9</v>
      </c>
    </row>
    <row r="65" spans="1:8" x14ac:dyDescent="0.2">
      <c r="A65" t="s">
        <v>355</v>
      </c>
      <c r="B65">
        <v>2.3199999999999998</v>
      </c>
    </row>
    <row r="66" spans="1:8" x14ac:dyDescent="0.2">
      <c r="A66" t="s">
        <v>134</v>
      </c>
      <c r="B66" s="2">
        <v>0</v>
      </c>
    </row>
    <row r="67" spans="1:8" x14ac:dyDescent="0.2">
      <c r="A67" t="s">
        <v>135</v>
      </c>
      <c r="B67">
        <v>0</v>
      </c>
    </row>
    <row r="68" spans="1:8" x14ac:dyDescent="0.2">
      <c r="A68" t="s">
        <v>132</v>
      </c>
      <c r="B68" s="2">
        <v>45.890109890109891</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881</v>
      </c>
      <c r="B74">
        <v>1</v>
      </c>
      <c r="C74" t="s">
        <v>37</v>
      </c>
      <c r="D74" t="s">
        <v>162</v>
      </c>
      <c r="F74" t="s">
        <v>83</v>
      </c>
      <c r="G74" t="s">
        <v>84</v>
      </c>
      <c r="H74" t="s">
        <v>881</v>
      </c>
    </row>
    <row r="75" spans="1:8" x14ac:dyDescent="0.2">
      <c r="A75" t="s">
        <v>656</v>
      </c>
      <c r="B75" s="7">
        <v>4.0000000000000003E-5</v>
      </c>
      <c r="C75" t="s">
        <v>37</v>
      </c>
      <c r="D75" t="s">
        <v>75</v>
      </c>
      <c r="F75" t="s">
        <v>88</v>
      </c>
      <c r="H75" t="s">
        <v>656</v>
      </c>
    </row>
    <row r="76" spans="1:8" x14ac:dyDescent="0.2">
      <c r="A76" t="s">
        <v>106</v>
      </c>
      <c r="B76" s="7">
        <v>1.103538976165446E-4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0.050555555555555555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-7.4436279381371631E-6</v>
      </c>
      <c r="C80" t="s">
        <v>91</v>
      </c>
      <c r="D80" t="s">
        <v>76</v>
      </c>
      <c r="F80" t="s">
        <v>88</v>
      </c>
      <c r="G80" t="s">
        <v>29</v>
      </c>
      <c r="H80" t="s">
        <v>157</v>
      </c>
    </row>
    <row r="81" spans="1:8" x14ac:dyDescent="0.2">
      <c r="A81" t="s">
        <v>156</v>
      </c>
      <c r="B81" s="7">
        <v>-5.1643691334943926E-6</v>
      </c>
      <c r="C81" t="s">
        <v>91</v>
      </c>
      <c r="D81" t="s">
        <v>76</v>
      </c>
      <c r="F81" t="s">
        <v>88</v>
      </c>
      <c r="G81" t="s">
        <v>30</v>
      </c>
      <c r="H81" t="s">
        <v>158</v>
      </c>
    </row>
    <row r="82" spans="1:8" x14ac:dyDescent="0.2">
      <c r="A82" t="s">
        <v>164</v>
      </c>
      <c r="B82" s="7">
        <v>-2.8087754071549858E-6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382"/>
  <sheetViews>
    <sheetView tabSelected="1" topLeftCell="A29" workbookViewId="0">
      <selection activeCell="H44" sqref="H44"/>
    </sheetView>
  </sheetViews>
  <sheetFormatPr baseColWidth="10" defaultColWidth="8.83203125" defaultRowHeight="15" x14ac:dyDescent="0.2"/>
  <cols>
    <col min="1" max="1" width="57.33203125" customWidth="1"/>
    <col min="2" max="2" width="15.6640625" bestFit="1" customWidth="1"/>
    <col min="7" max="7" width="32" bestFit="1" customWidth="1"/>
  </cols>
  <sheetData>
    <row r="1" spans="1:2" ht="16" x14ac:dyDescent="0.2">
      <c r="A1" s="10" t="s">
        <v>70</v>
      </c>
      <c r="B1" s="8" t="s">
        <v>657</v>
      </c>
    </row>
    <row r="2" spans="1:2" x14ac:dyDescent="0.2">
      <c r="A2" t="s">
        <v>71</v>
      </c>
      <c r="B2" t="s">
        <v>37</v>
      </c>
    </row>
    <row r="3" spans="1:2" x14ac:dyDescent="0.2">
      <c r="A3" t="s">
        <v>85</v>
      </c>
      <c r="B3" t="s">
        <v>657</v>
      </c>
    </row>
    <row r="4" spans="1:2" x14ac:dyDescent="0.2">
      <c r="A4" t="s">
        <v>86</v>
      </c>
    </row>
    <row r="5" spans="1:2" x14ac:dyDescent="0.2">
      <c r="A5" t="s">
        <v>87</v>
      </c>
      <c r="B5">
        <v>2020</v>
      </c>
    </row>
    <row r="6" spans="1:2" x14ac:dyDescent="0.2">
      <c r="A6" t="s">
        <v>123</v>
      </c>
      <c r="B6" t="s">
        <v>838</v>
      </c>
    </row>
    <row r="7" spans="1:2" x14ac:dyDescent="0.2">
      <c r="A7" t="s">
        <v>72</v>
      </c>
      <c r="B7" t="s">
        <v>657</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1</v>
      </c>
    </row>
    <row r="15" spans="1:2" x14ac:dyDescent="0.2">
      <c r="A15" t="s">
        <v>128</v>
      </c>
      <c r="B15">
        <v>2405</v>
      </c>
    </row>
    <row r="16" spans="1:2" x14ac:dyDescent="0.2">
      <c r="A16" t="s">
        <v>129</v>
      </c>
      <c r="B16" s="2">
        <v>165.64999999999998</v>
      </c>
    </row>
    <row r="17" spans="1:8" x14ac:dyDescent="0.2">
      <c r="A17" t="s">
        <v>130</v>
      </c>
      <c r="B17">
        <v>14</v>
      </c>
    </row>
    <row r="18" spans="1:8" x14ac:dyDescent="0.2">
      <c r="A18" t="s">
        <v>417</v>
      </c>
      <c r="B18" s="19" t="s">
        <v>42</v>
      </c>
    </row>
    <row r="19" spans="1:8" x14ac:dyDescent="0.2">
      <c r="A19" t="s">
        <v>131</v>
      </c>
      <c r="B19">
        <v>52.649999999999991</v>
      </c>
    </row>
    <row r="20" spans="1:8" x14ac:dyDescent="0.2">
      <c r="A20" t="s">
        <v>99</v>
      </c>
      <c r="B20">
        <v>8.1</v>
      </c>
    </row>
    <row r="21" spans="1:8" x14ac:dyDescent="0.2">
      <c r="A21" t="s">
        <v>355</v>
      </c>
      <c r="B21">
        <v>6.48</v>
      </c>
    </row>
    <row r="22" spans="1:8" x14ac:dyDescent="0.2">
      <c r="A22" t="s">
        <v>134</v>
      </c>
      <c r="B22" s="2">
        <v>0</v>
      </c>
    </row>
    <row r="23" spans="1:8" x14ac:dyDescent="0.2">
      <c r="A23" t="s">
        <v>135</v>
      </c>
      <c r="B23">
        <v>0</v>
      </c>
    </row>
    <row r="24" spans="1:8" x14ac:dyDescent="0.2">
      <c r="A24" t="s">
        <v>132</v>
      </c>
      <c r="B24" s="2">
        <v>94.692311208791224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657</v>
      </c>
      <c r="B33">
        <v>1</v>
      </c>
      <c r="C33" t="s">
        <v>37</v>
      </c>
      <c r="D33" t="s">
        <v>75</v>
      </c>
      <c r="F33" t="s">
        <v>83</v>
      </c>
      <c r="G33" t="s">
        <v>84</v>
      </c>
      <c r="H33" t="s">
        <v>657</v>
      </c>
    </row>
    <row r="34" spans="1:8" x14ac:dyDescent="0.2">
      <c r="A34" t="s">
        <v>187</v>
      </c>
      <c r="B34" s="3">
        <v>81</v>
      </c>
      <c r="C34" t="s">
        <v>94</v>
      </c>
      <c r="D34" t="s">
        <v>76</v>
      </c>
      <c r="F34" t="s">
        <v>88</v>
      </c>
      <c r="G34" t="s">
        <v>15</v>
      </c>
      <c r="H34" t="s">
        <v>120</v>
      </c>
    </row>
    <row r="35" spans="1:8" x14ac:dyDescent="0.2">
      <c r="A35" t="inlineStr">
        <is>
          <t>mechanical powertrain, motorcycle, electric, engineering reference</t>
        </is>
      </c>
      <c r="B35" s="3">
        <v>13</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13.2868444</v>
      </c>
      <c r="C36" t="inlineStr">
        <is>
          <t>GLO</t>
        </is>
      </c>
      <c r="D36" t="s">
        <v>76</v>
      </c>
      <c r="F36" t="s">
        <v>88</v>
      </c>
      <c r="G36" t="s">
        <v>269</v>
      </c>
      <c r="H36" t="inlineStr">
        <is>
          <t>electric powertrain, two-wheeler motor and controller, offboard charging reference</t>
        </is>
      </c>
    </row>
    <row r="37" spans="1:8" x14ac:dyDescent="0.2">
      <c r="A37" t="s">
        <v>963</v>
      </c>
      <c r="B37" s="3">
        <v>8.1</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81</v>
      </c>
      <c r="C39" t="s">
        <v>94</v>
      </c>
      <c r="D39" t="s">
        <v>75</v>
      </c>
      <c r="F39" t="s">
        <v>88</v>
      </c>
      <c r="G39" t="s">
        <v>140</v>
      </c>
      <c r="H39" t="s">
        <v>148</v>
      </c>
    </row>
    <row r="40" spans="1:8" x14ac:dyDescent="0.2">
      <c r="A40" t="s">
        <v>149</v>
      </c>
      <c r="B40" s="3">
        <v>32</v>
      </c>
      <c r="C40" t="s">
        <v>94</v>
      </c>
      <c r="D40" t="s">
        <v>75</v>
      </c>
      <c r="F40" t="s">
        <v>88</v>
      </c>
      <c r="G40" t="s">
        <v>141</v>
      </c>
      <c r="H40" t="s">
        <v>148</v>
      </c>
    </row>
    <row r="41" spans="1:8" x14ac:dyDescent="0.2">
      <c r="A41" s="13" t="s">
        <v>443</v>
      </c>
      <c r="B41" s="3">
        <v>165.64999999999998</v>
      </c>
      <c r="C41" t="s">
        <v>91</v>
      </c>
      <c r="D41" t="s">
        <v>191</v>
      </c>
      <c r="F41" t="s">
        <v>88</v>
      </c>
      <c r="H41" s="13" t="s">
        <v>444</v>
      </c>
    </row>
    <row r="42" spans="1:8" x14ac:dyDescent="0.2">
      <c r="A42" s="13" t="s">
        <v>214</v>
      </c>
      <c r="B42" s="3">
        <v>2633.8349999999996</v>
      </c>
      <c r="C42" t="s">
        <v>94</v>
      </c>
      <c r="D42" t="s">
        <v>191</v>
      </c>
      <c r="F42" t="s">
        <v>88</v>
      </c>
      <c r="H42" s="13" t="s">
        <v>214</v>
      </c>
    </row>
    <row r="43" spans="1:8" x14ac:dyDescent="0.2">
      <c r="B43" s="11"/>
    </row>
    <row r="44" spans="1:8" x14ac:dyDescent="0.2">
      <c r="B44" s="2"/>
    </row>
    <row r="45" spans="1:8" ht="16" x14ac:dyDescent="0.2">
      <c r="A45" s="10" t="s">
        <v>70</v>
      </c>
      <c r="B45" s="8" t="s">
        <v>882</v>
      </c>
    </row>
    <row r="46" spans="1:8" x14ac:dyDescent="0.2">
      <c r="A46" t="s">
        <v>71</v>
      </c>
      <c r="B46" t="s">
        <v>37</v>
      </c>
    </row>
    <row r="47" spans="1:8" x14ac:dyDescent="0.2">
      <c r="A47" t="s">
        <v>85</v>
      </c>
      <c r="B47" t="s">
        <v>657</v>
      </c>
    </row>
    <row r="48" spans="1:8" x14ac:dyDescent="0.2">
      <c r="A48" t="s">
        <v>86</v>
      </c>
    </row>
    <row r="49" spans="1:2" x14ac:dyDescent="0.2">
      <c r="A49" t="s">
        <v>87</v>
      </c>
      <c r="B49">
        <v>2020</v>
      </c>
    </row>
    <row r="50" spans="1:2" x14ac:dyDescent="0.2">
      <c r="A50" t="s">
        <v>123</v>
      </c>
      <c r="B50" t="s">
        <v>838</v>
      </c>
    </row>
    <row r="51" spans="1:2" x14ac:dyDescent="0.2">
      <c r="A51" t="s">
        <v>72</v>
      </c>
      <c r="B51" t="s">
        <v>882</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38500</v>
      </c>
    </row>
    <row r="56" spans="1:2" x14ac:dyDescent="0.2">
      <c r="A56" t="s">
        <v>125</v>
      </c>
      <c r="B56">
        <v>1.1000000000000001</v>
      </c>
    </row>
    <row r="57" spans="1:2" x14ac:dyDescent="0.2">
      <c r="A57" t="s">
        <v>126</v>
      </c>
      <c r="B57">
        <v>1.54</v>
      </c>
    </row>
    <row r="58" spans="1:2" x14ac:dyDescent="0.2">
      <c r="A58" t="s">
        <v>127</v>
      </c>
      <c r="B58">
        <v>1</v>
      </c>
    </row>
    <row r="59" spans="1:2" x14ac:dyDescent="0.2">
      <c r="A59" t="s">
        <v>128</v>
      </c>
      <c r="B59">
        <v>2405</v>
      </c>
    </row>
    <row r="60" spans="1:2" x14ac:dyDescent="0.2">
      <c r="A60" t="s">
        <v>129</v>
      </c>
      <c r="B60" s="2">
        <v>165.64999999999998</v>
      </c>
    </row>
    <row r="61" spans="1:2" x14ac:dyDescent="0.2">
      <c r="A61" t="s">
        <v>130</v>
      </c>
      <c r="B61">
        <v>14</v>
      </c>
    </row>
    <row r="62" spans="1:2" x14ac:dyDescent="0.2">
      <c r="A62" t="s">
        <v>417</v>
      </c>
      <c r="B62" s="19" t="s">
        <v>42</v>
      </c>
    </row>
    <row r="63" spans="1:2" x14ac:dyDescent="0.2">
      <c r="A63" t="s">
        <v>131</v>
      </c>
      <c r="B63">
        <v>52.649999999999991</v>
      </c>
    </row>
    <row r="64" spans="1:2" x14ac:dyDescent="0.2">
      <c r="A64" t="s">
        <v>99</v>
      </c>
      <c r="B64">
        <v>8.1</v>
      </c>
    </row>
    <row r="65" spans="1:8" x14ac:dyDescent="0.2">
      <c r="A65" t="s">
        <v>355</v>
      </c>
      <c r="B65">
        <v>6.48</v>
      </c>
    </row>
    <row r="66" spans="1:8" x14ac:dyDescent="0.2">
      <c r="A66" t="s">
        <v>134</v>
      </c>
      <c r="B66" s="2">
        <v>0</v>
      </c>
    </row>
    <row r="67" spans="1:8" x14ac:dyDescent="0.2">
      <c r="A67" t="s">
        <v>135</v>
      </c>
      <c r="B67">
        <v>0</v>
      </c>
    </row>
    <row r="68" spans="1:8" x14ac:dyDescent="0.2">
      <c r="A68" t="s">
        <v>132</v>
      </c>
      <c r="B68" s="2">
        <v>94.692311208791224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882</v>
      </c>
      <c r="B74">
        <v>1</v>
      </c>
      <c r="C74" t="s">
        <v>37</v>
      </c>
      <c r="D74" t="s">
        <v>162</v>
      </c>
      <c r="F74" t="s">
        <v>83</v>
      </c>
      <c r="G74" t="s">
        <v>84</v>
      </c>
      <c r="H74" t="s">
        <v>882</v>
      </c>
    </row>
    <row r="75" spans="1:8" x14ac:dyDescent="0.2">
      <c r="A75" t="s">
        <v>657</v>
      </c>
      <c r="B75" s="7">
        <v>2.5974025974025975E-5</v>
      </c>
      <c r="C75" t="s">
        <v>37</v>
      </c>
      <c r="D75" t="s">
        <v>75</v>
      </c>
      <c r="F75" t="s">
        <v>88</v>
      </c>
      <c r="H75" t="s">
        <v>657</v>
      </c>
    </row>
    <row r="76" spans="1:8" x14ac:dyDescent="0.2">
      <c r="A76" t="s">
        <v>106</v>
      </c>
      <c r="B76" s="7">
        <v>1.3647854999999999E-4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0.06843216642702875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-8.8133578199366445E-6</v>
      </c>
      <c r="C80" t="s">
        <v>91</v>
      </c>
      <c r="D80" t="s">
        <v>76</v>
      </c>
      <c r="F80" t="s">
        <v>88</v>
      </c>
      <c r="G80" t="s">
        <v>29</v>
      </c>
      <c r="H80" t="s">
        <v>157</v>
      </c>
    </row>
    <row r="81" spans="1:8" x14ac:dyDescent="0.2">
      <c r="A81" t="s">
        <v>156</v>
      </c>
      <c r="B81" s="7">
        <v>-5.7857682258766833E-6</v>
      </c>
      <c r="C81" t="s">
        <v>91</v>
      </c>
      <c r="D81" t="s">
        <v>76</v>
      </c>
      <c r="F81" t="s">
        <v>88</v>
      </c>
      <c r="G81" t="s">
        <v>30</v>
      </c>
      <c r="H81" t="s">
        <v>158</v>
      </c>
    </row>
    <row r="82" spans="1:8" x14ac:dyDescent="0.2">
      <c r="A82" t="s">
        <v>164</v>
      </c>
      <c r="B82" s="7">
        <v>-3.2263949130873107E-6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658</v>
      </c>
    </row>
    <row r="2" spans="1:2" x14ac:dyDescent="0.2">
      <c r="A2" t="s">
        <v>71</v>
      </c>
      <c r="B2" t="s">
        <v>37</v>
      </c>
    </row>
    <row r="3" spans="1:2" x14ac:dyDescent="0.2">
      <c r="A3" t="s">
        <v>85</v>
      </c>
      <c r="B3" t="s">
        <v>658</v>
      </c>
    </row>
    <row r="4" spans="1:2" x14ac:dyDescent="0.2">
      <c r="A4" t="s">
        <v>86</v>
      </c>
    </row>
    <row r="5" spans="1:2" x14ac:dyDescent="0.2">
      <c r="A5" t="s">
        <v>87</v>
      </c>
      <c r="B5">
        <v>2020</v>
      </c>
    </row>
    <row r="6" spans="1:2" x14ac:dyDescent="0.2">
      <c r="A6" t="s">
        <v>123</v>
      </c>
      <c r="B6" t="s">
        <v>842</v>
      </c>
    </row>
    <row r="7" spans="1:2" x14ac:dyDescent="0.2">
      <c r="A7" t="s">
        <v>72</v>
      </c>
      <c r="B7" t="s">
        <v>658</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1</v>
      </c>
    </row>
    <row r="15" spans="1:2" x14ac:dyDescent="0.2">
      <c r="A15" t="s">
        <v>128</v>
      </c>
      <c r="B15">
        <v>2896</v>
      </c>
    </row>
    <row r="16" spans="1:2" x14ac:dyDescent="0.2">
      <c r="A16" t="s">
        <v>129</v>
      </c>
      <c r="B16" s="2">
        <v>254.89</v>
      </c>
    </row>
    <row r="17" spans="1:8" x14ac:dyDescent="0.2">
      <c r="A17" t="s">
        <v>130</v>
      </c>
      <c r="B17">
        <v>49</v>
      </c>
    </row>
    <row r="18" spans="1:8" x14ac:dyDescent="0.2">
      <c r="A18" t="s">
        <v>417</v>
      </c>
      <c r="B18" s="19" t="s">
        <v>42</v>
      </c>
    </row>
    <row r="19" spans="1:8" x14ac:dyDescent="0.2">
      <c r="A19" t="s">
        <v>131</v>
      </c>
      <c r="B19">
        <v>107.25</v>
      </c>
    </row>
    <row r="20" spans="1:8" x14ac:dyDescent="0.2">
      <c r="A20" t="s">
        <v>99</v>
      </c>
      <c r="B20">
        <v>16.5</v>
      </c>
    </row>
    <row r="21" spans="1:8" x14ac:dyDescent="0.2">
      <c r="A21" t="s">
        <v>355</v>
      </c>
      <c r="B21">
        <v>13.200000000000001</v>
      </c>
    </row>
    <row r="22" spans="1:8" x14ac:dyDescent="0.2">
      <c r="A22" t="s">
        <v>134</v>
      </c>
      <c r="B22" s="2">
        <v>0</v>
      </c>
    </row>
    <row r="23" spans="1:8" x14ac:dyDescent="0.2">
      <c r="A23" t="s">
        <v>135</v>
      </c>
      <c r="B23">
        <v>0</v>
      </c>
    </row>
    <row r="24" spans="1:8" x14ac:dyDescent="0.2">
      <c r="A24" t="s">
        <v>132</v>
      </c>
      <c r="B24" s="2">
        <v>172.96867841767528</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658</v>
      </c>
      <c r="B33">
        <v>1</v>
      </c>
      <c r="C33" t="s">
        <v>37</v>
      </c>
      <c r="D33" t="s">
        <v>75</v>
      </c>
      <c r="F33" t="s">
        <v>83</v>
      </c>
      <c r="G33" t="s">
        <v>84</v>
      </c>
      <c r="H33" t="s">
        <v>658</v>
      </c>
    </row>
    <row r="34" spans="1:8" x14ac:dyDescent="0.2">
      <c r="A34" t="s">
        <v>187</v>
      </c>
      <c r="B34" s="3">
        <v>111</v>
      </c>
      <c r="C34" t="s">
        <v>94</v>
      </c>
      <c r="D34" t="s">
        <v>76</v>
      </c>
      <c r="F34" t="s">
        <v>88</v>
      </c>
      <c r="G34" t="s">
        <v>15</v>
      </c>
      <c r="H34" t="s">
        <v>120</v>
      </c>
    </row>
    <row r="35" spans="1:8" x14ac:dyDescent="0.2">
      <c r="A35" t="inlineStr">
        <is>
          <t>mechanical powertrain, motorcycle, electric, engineering reference</t>
        </is>
      </c>
      <c r="B35" s="3">
        <v>13.74</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16.01414404</v>
      </c>
      <c r="C36" t="inlineStr">
        <is>
          <t>GLO</t>
        </is>
      </c>
      <c r="D36" t="s">
        <v>76</v>
      </c>
      <c r="F36" t="s">
        <v>88</v>
      </c>
      <c r="G36" t="s">
        <v>269</v>
      </c>
      <c r="H36" t="inlineStr">
        <is>
          <t>electric powertrain, two-wheeler motor and controller, offboard charging reference</t>
        </is>
      </c>
    </row>
    <row r="37" spans="1:8" x14ac:dyDescent="0.2">
      <c r="A37" t="s">
        <v>963</v>
      </c>
      <c r="B37" s="3">
        <v>16.5</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111</v>
      </c>
      <c r="C39" t="s">
        <v>94</v>
      </c>
      <c r="D39" t="s">
        <v>75</v>
      </c>
      <c r="F39" t="s">
        <v>88</v>
      </c>
      <c r="G39" t="s">
        <v>140</v>
      </c>
      <c r="H39" t="s">
        <v>148</v>
      </c>
    </row>
    <row r="40" spans="1:8" x14ac:dyDescent="0.2">
      <c r="A40" t="s">
        <v>149</v>
      </c>
      <c r="B40" s="3">
        <v>36.64</v>
      </c>
      <c r="C40" t="s">
        <v>94</v>
      </c>
      <c r="D40" t="s">
        <v>75</v>
      </c>
      <c r="F40" t="s">
        <v>88</v>
      </c>
      <c r="G40" t="s">
        <v>141</v>
      </c>
      <c r="H40" t="s">
        <v>148</v>
      </c>
    </row>
    <row r="41" spans="1:8" x14ac:dyDescent="0.2">
      <c r="A41" s="13" t="s">
        <v>443</v>
      </c>
      <c r="B41" s="3">
        <v>254.89000000000001</v>
      </c>
      <c r="C41" t="s">
        <v>91</v>
      </c>
      <c r="D41" t="s">
        <v>191</v>
      </c>
      <c r="F41" t="s">
        <v>88</v>
      </c>
      <c r="H41" s="13" t="s">
        <v>444</v>
      </c>
    </row>
    <row r="42" spans="1:8" x14ac:dyDescent="0.2">
      <c r="A42" s="13" t="s">
        <v>214</v>
      </c>
      <c r="B42" s="3">
        <v>4052.7510000000002</v>
      </c>
      <c r="C42" t="s">
        <v>94</v>
      </c>
      <c r="D42" t="s">
        <v>191</v>
      </c>
      <c r="F42" t="s">
        <v>88</v>
      </c>
      <c r="H42" s="13" t="s">
        <v>214</v>
      </c>
    </row>
    <row r="43" spans="1:8" x14ac:dyDescent="0.2">
      <c r="B43" s="11"/>
    </row>
    <row r="44" spans="1:8" x14ac:dyDescent="0.2">
      <c r="B44" s="2"/>
    </row>
    <row r="45" spans="1:8" ht="16" x14ac:dyDescent="0.2">
      <c r="A45" s="10" t="s">
        <v>70</v>
      </c>
      <c r="B45" s="8" t="s">
        <v>883</v>
      </c>
    </row>
    <row r="46" spans="1:8" x14ac:dyDescent="0.2">
      <c r="A46" t="s">
        <v>71</v>
      </c>
      <c r="B46" t="s">
        <v>37</v>
      </c>
    </row>
    <row r="47" spans="1:8" x14ac:dyDescent="0.2">
      <c r="A47" t="s">
        <v>85</v>
      </c>
      <c r="B47" t="s">
        <v>658</v>
      </c>
    </row>
    <row r="48" spans="1:8" x14ac:dyDescent="0.2">
      <c r="A48" t="s">
        <v>86</v>
      </c>
    </row>
    <row r="49" spans="1:2" x14ac:dyDescent="0.2">
      <c r="A49" t="s">
        <v>87</v>
      </c>
      <c r="B49">
        <v>2020</v>
      </c>
    </row>
    <row r="50" spans="1:2" x14ac:dyDescent="0.2">
      <c r="A50" t="s">
        <v>123</v>
      </c>
      <c r="B50" t="s">
        <v>842</v>
      </c>
    </row>
    <row r="51" spans="1:2" x14ac:dyDescent="0.2">
      <c r="A51" t="s">
        <v>72</v>
      </c>
      <c r="B51" t="s">
        <v>883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40500</v>
      </c>
    </row>
    <row r="56" spans="1:2" x14ac:dyDescent="0.2">
      <c r="A56" t="s">
        <v>125</v>
      </c>
      <c r="B56">
        <v>1.1000000000000001</v>
      </c>
    </row>
    <row r="57" spans="1:2" x14ac:dyDescent="0.2">
      <c r="A57" t="s">
        <v>126</v>
      </c>
      <c r="B57">
        <v>1.62</v>
      </c>
    </row>
    <row r="58" spans="1:2" x14ac:dyDescent="0.2">
      <c r="A58" t="s">
        <v>127</v>
      </c>
      <c r="B58">
        <v>1</v>
      </c>
    </row>
    <row r="59" spans="1:2" x14ac:dyDescent="0.2">
      <c r="A59" t="s">
        <v>128</v>
      </c>
      <c r="B59">
        <v>2896</v>
      </c>
    </row>
    <row r="60" spans="1:2" x14ac:dyDescent="0.2">
      <c r="A60" t="s">
        <v>129</v>
      </c>
      <c r="B60" s="2">
        <v>254.89</v>
      </c>
    </row>
    <row r="61" spans="1:2" x14ac:dyDescent="0.2">
      <c r="A61" t="s">
        <v>130</v>
      </c>
      <c r="B61">
        <v>49</v>
      </c>
    </row>
    <row r="62" spans="1:2" x14ac:dyDescent="0.2">
      <c r="A62" t="s">
        <v>417</v>
      </c>
      <c r="B62" s="19" t="s">
        <v>42</v>
      </c>
    </row>
    <row r="63" spans="1:2" x14ac:dyDescent="0.2">
      <c r="A63" t="s">
        <v>131</v>
      </c>
      <c r="B63">
        <v>107.25</v>
      </c>
    </row>
    <row r="64" spans="1:2" x14ac:dyDescent="0.2">
      <c r="A64" t="s">
        <v>99</v>
      </c>
      <c r="B64">
        <v>16.5</v>
      </c>
    </row>
    <row r="65" spans="1:8" x14ac:dyDescent="0.2">
      <c r="A65" t="s">
        <v>355</v>
      </c>
      <c r="B65">
        <v>13.200000000000001</v>
      </c>
    </row>
    <row r="66" spans="1:8" x14ac:dyDescent="0.2">
      <c r="A66" t="s">
        <v>134</v>
      </c>
      <c r="B66" s="2">
        <v>0</v>
      </c>
    </row>
    <row r="67" spans="1:8" x14ac:dyDescent="0.2">
      <c r="A67" t="s">
        <v>135</v>
      </c>
      <c r="B67">
        <v>0</v>
      </c>
    </row>
    <row r="68" spans="1:8" x14ac:dyDescent="0.2">
      <c r="A68" t="s">
        <v>132</v>
      </c>
      <c r="B68" s="2">
        <v>172.96867841767528</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883</v>
      </c>
      <c r="B74">
        <v>1</v>
      </c>
      <c r="C74" t="s">
        <v>37</v>
      </c>
      <c r="D74" t="s">
        <v>162</v>
      </c>
      <c r="F74" t="s">
        <v>83</v>
      </c>
      <c r="G74" t="s">
        <v>84</v>
      </c>
      <c r="H74" t="s">
        <v>883</v>
      </c>
    </row>
    <row r="75" spans="1:8" x14ac:dyDescent="0.2">
      <c r="A75" t="s">
        <v>658</v>
      </c>
      <c r="B75" s="7">
        <v>2.4691358024691357E-5</v>
      </c>
      <c r="C75" t="s">
        <v>37</v>
      </c>
      <c r="D75" t="s">
        <v>75</v>
      </c>
      <c r="F75" t="s">
        <v>88</v>
      </c>
      <c r="H75" t="s">
        <v>658</v>
      </c>
    </row>
    <row r="76" spans="1:8" x14ac:dyDescent="0.2">
      <c r="A76" t="s">
        <v>106</v>
      </c>
      <c r="B76" s="7">
        <v>1.8440043E-4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0.07631439472599406</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-1.1208085716166707E-5</v>
      </c>
      <c r="C80" t="s">
        <v>91</v>
      </c>
      <c r="D80" t="s">
        <v>76</v>
      </c>
      <c r="F80" t="s">
        <v>88</v>
      </c>
      <c r="G80" t="s">
        <v>29</v>
      </c>
      <c r="H80" t="s">
        <v>157</v>
      </c>
    </row>
    <row r="81" spans="1:8" x14ac:dyDescent="0.2">
      <c r="A81" t="s">
        <v>156</v>
      </c>
      <c r="B81" s="7">
        <v>-6.7357087837460445E-6</v>
      </c>
      <c r="C81" t="s">
        <v>91</v>
      </c>
      <c r="D81" t="s">
        <v>76</v>
      </c>
      <c r="F81" t="s">
        <v>88</v>
      </c>
      <c r="G81" t="s">
        <v>30</v>
      </c>
      <c r="H81" t="s">
        <v>158</v>
      </c>
    </row>
    <row r="82" spans="1:8" x14ac:dyDescent="0.2">
      <c r="A82" t="s">
        <v>164</v>
      </c>
      <c r="B82" s="7">
        <v>-3.9013198843598195E-6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403</v>
      </c>
    </row>
    <row r="2" spans="1:2" x14ac:dyDescent="0.2">
      <c r="A2" t="s">
        <v>71</v>
      </c>
      <c r="B2" t="s">
        <v>37</v>
      </c>
    </row>
    <row r="3" spans="1:2" x14ac:dyDescent="0.2">
      <c r="A3" t="s">
        <v>85</v>
      </c>
      <c r="B3" t="s">
        <v>403</v>
      </c>
    </row>
    <row r="4" spans="1:2" x14ac:dyDescent="0.2">
      <c r="A4" t="s">
        <v>86</v>
      </c>
    </row>
    <row r="5" spans="1:2" x14ac:dyDescent="0.2">
      <c r="A5" t="s">
        <v>87</v>
      </c>
      <c r="B5">
        <v>2006</v>
      </c>
    </row>
    <row r="6" spans="1:2" x14ac:dyDescent="0.2">
      <c r="A6" t="s">
        <v>123</v>
      </c>
      <c r="B6" t="s">
        <v>406</v>
      </c>
    </row>
    <row r="7" spans="1:2" x14ac:dyDescent="0.2">
      <c r="A7" t="s">
        <v>72</v>
      </c>
      <c r="B7" t="s">
        <v>403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0</v>
      </c>
    </row>
    <row r="15" spans="1:2" x14ac:dyDescent="0.2">
      <c r="A15" t="s">
        <v>128</v>
      </c>
      <c r="B15">
        <v>1776</v>
      </c>
    </row>
    <row r="16" spans="1:2" x14ac:dyDescent="0.2">
      <c r="A16" t="s">
        <v>129</v>
      </c>
      <c r="B16" s="2">
        <v>122.27169718057486</v>
      </c>
    </row>
    <row r="17" spans="1:8" x14ac:dyDescent="0.2">
      <c r="A17" t="s">
        <v>130</v>
      </c>
      <c r="B17">
        <v>9</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280.24124403890835</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403</v>
      </c>
      <c r="B31">
        <v>1</v>
      </c>
      <c r="C31" t="s">
        <v>37</v>
      </c>
      <c r="D31" t="s">
        <v>75</v>
      </c>
      <c r="F31" t="s">
        <v>83</v>
      </c>
      <c r="G31" t="s">
        <v>84</v>
      </c>
      <c r="H31" t="s">
        <v>403</v>
      </c>
    </row>
    <row r="32" spans="1:8" x14ac:dyDescent="0.2">
      <c r="A32" t="s">
        <v>111</v>
      </c>
      <c r="B32" s="6">
        <v>0.7270425217814277</v>
      </c>
      <c r="C32" t="s">
        <v>91</v>
      </c>
      <c r="D32" t="s">
        <v>75</v>
      </c>
      <c r="F32" t="s">
        <v>88</v>
      </c>
      <c r="G32" t="s">
        <v>15</v>
      </c>
      <c r="H32" t="s">
        <v>112</v>
      </c>
    </row>
    <row r="33" spans="1:8" x14ac:dyDescent="0.2">
      <c r="A33" t="inlineStr">
        <is>
          <t>mechanical powertrain, motorcycle, gasoline, engineering reference</t>
        </is>
      </c>
      <c r="B33" s="6">
        <v>45.80367887222994</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1.0125</v>
      </c>
      <c r="C34" t="s">
        <v>91</v>
      </c>
      <c r="D34" t="s">
        <v>76</v>
      </c>
      <c r="F34" t="s">
        <v>88</v>
      </c>
      <c r="G34" t="s">
        <v>24</v>
      </c>
      <c r="H34" t="s">
        <v>114</v>
      </c>
    </row>
    <row r="35" spans="1:8" x14ac:dyDescent="0.2">
      <c r="A35" t="inlineStr">
        <is>
          <t>fuel tank forming, motorcycle engineering reference</t>
        </is>
      </c>
      <c r="B35" s="6">
        <v>1.0186116700201207</v>
      </c>
      <c r="C35" t="inlineStr">
        <is>
          <t>RER</t>
        </is>
      </c>
      <c r="D35" t="s">
        <v>76</v>
      </c>
      <c r="F35" t="s">
        <v>88</v>
      </c>
      <c r="G35" t="s">
        <v>412</v>
      </c>
      <c r="H35" t="inlineStr">
        <is>
          <t>fuel tank forming, motorcycle engineering reference</t>
        </is>
      </c>
    </row>
    <row r="36" spans="1:8" x14ac:dyDescent="0.2">
      <c r="A36" s="13" t="s">
        <v>443</v>
      </c>
      <c r="B36" s="2">
        <v>122.27169718057486</v>
      </c>
      <c r="C36" t="s">
        <v>91</v>
      </c>
      <c r="D36" t="s">
        <v>191</v>
      </c>
      <c r="F36" t="s">
        <v>88</v>
      </c>
      <c r="H36" s="13" t="s">
        <v>444</v>
      </c>
    </row>
    <row r="37" spans="1:8" x14ac:dyDescent="0.2">
      <c r="A37" s="13" t="s">
        <v>214</v>
      </c>
      <c r="B37" s="2">
        <v>1944.1199851711403</v>
      </c>
      <c r="C37" t="s">
        <v>94</v>
      </c>
      <c r="D37" t="s">
        <v>191</v>
      </c>
      <c r="F37" t="s">
        <v>88</v>
      </c>
      <c r="H37" s="13" t="s">
        <v>214</v>
      </c>
    </row>
    <row r="38" spans="1:8" x14ac:dyDescent="0.2">
      <c r="B38" s="11"/>
    </row>
    <row r="39" spans="1:8" ht="16" x14ac:dyDescent="0.2">
      <c r="A39" s="10" t="s">
        <v>70</v>
      </c>
      <c r="B39" s="8" t="s">
        <v>404</v>
      </c>
    </row>
    <row r="40" spans="1:8" x14ac:dyDescent="0.2">
      <c r="A40" t="s">
        <v>71</v>
      </c>
      <c r="B40" t="s">
        <v>37</v>
      </c>
    </row>
    <row r="41" spans="1:8" x14ac:dyDescent="0.2">
      <c r="A41" t="s">
        <v>85</v>
      </c>
      <c r="B41" t="s">
        <v>404</v>
      </c>
    </row>
    <row r="42" spans="1:8" x14ac:dyDescent="0.2">
      <c r="A42" t="s">
        <v>86</v>
      </c>
    </row>
    <row r="43" spans="1:8" x14ac:dyDescent="0.2">
      <c r="A43" t="s">
        <v>87</v>
      </c>
      <c r="B43">
        <v>2016</v>
      </c>
    </row>
    <row r="44" spans="1:8" x14ac:dyDescent="0.2">
      <c r="A44" t="s">
        <v>123</v>
      </c>
      <c r="B44" t="s">
        <v>407</v>
      </c>
    </row>
    <row r="45" spans="1:8" x14ac:dyDescent="0.2">
      <c r="A45" t="s">
        <v>72</v>
      </c>
      <c r="B45" t="s">
        <v>404</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1.1000000000000001</v>
      </c>
    </row>
    <row r="51" spans="1:2" x14ac:dyDescent="0.2">
      <c r="A51" t="s">
        <v>126</v>
      </c>
      <c r="B51">
        <v>1</v>
      </c>
    </row>
    <row r="52" spans="1:2" x14ac:dyDescent="0.2">
      <c r="A52" t="s">
        <v>127</v>
      </c>
      <c r="B52">
        <v>0</v>
      </c>
    </row>
    <row r="53" spans="1:2" x14ac:dyDescent="0.2">
      <c r="A53" t="s">
        <v>128</v>
      </c>
      <c r="B53">
        <v>1776</v>
      </c>
    </row>
    <row r="54" spans="1:2" x14ac:dyDescent="0.2">
      <c r="A54" t="s">
        <v>129</v>
      </c>
      <c r="B54" s="2">
        <v>120.308682371765</v>
      </c>
    </row>
    <row r="55" spans="1:2" x14ac:dyDescent="0.2">
      <c r="A55" t="s">
        <v>130</v>
      </c>
      <c r="B55">
        <v>9</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283.0436564792974</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404</v>
      </c>
      <c r="B69">
        <v>1</v>
      </c>
      <c r="C69" t="s">
        <v>37</v>
      </c>
      <c r="D69" t="s">
        <v>75</v>
      </c>
      <c r="F69" t="s">
        <v>83</v>
      </c>
      <c r="G69" t="s">
        <v>84</v>
      </c>
      <c r="H69" t="s">
        <v>404</v>
      </c>
    </row>
    <row r="70" spans="1:8" x14ac:dyDescent="0.2">
      <c r="A70" t="s">
        <v>111</v>
      </c>
      <c r="B70" s="6">
        <v>0.7270425217814277</v>
      </c>
      <c r="C70" t="s">
        <v>91</v>
      </c>
      <c r="D70" t="s">
        <v>75</v>
      </c>
      <c r="F70" t="s">
        <v>88</v>
      </c>
      <c r="G70" t="s">
        <v>15</v>
      </c>
      <c r="H70" t="s">
        <v>112</v>
      </c>
    </row>
    <row r="71" spans="1:8" x14ac:dyDescent="0.2">
      <c r="A71" t="inlineStr">
        <is>
          <t>mechanical powertrain, motorcycle, gasoline, engineering reference</t>
        </is>
      </c>
      <c r="B71" s="6">
        <v>45.80367887222994</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1.0125</v>
      </c>
      <c r="C72" t="s">
        <v>91</v>
      </c>
      <c r="D72" t="s">
        <v>76</v>
      </c>
      <c r="F72" t="s">
        <v>88</v>
      </c>
      <c r="G72" t="s">
        <v>24</v>
      </c>
      <c r="H72" t="s">
        <v>114</v>
      </c>
    </row>
    <row r="73" spans="1:8" x14ac:dyDescent="0.2">
      <c r="A73" t="inlineStr">
        <is>
          <t>fuel tank forming, motorcycle engineering reference</t>
        </is>
      </c>
      <c r="B73" s="6">
        <v>1.0186116700201207</v>
      </c>
      <c r="C73" t="inlineStr">
        <is>
          <t>RER</t>
        </is>
      </c>
      <c r="D73" t="s">
        <v>76</v>
      </c>
      <c r="F73" t="s">
        <v>88</v>
      </c>
      <c r="G73" t="s">
        <v>412</v>
      </c>
      <c r="H73" t="inlineStr">
        <is>
          <t>fuel tank forming, motorcycle engineering reference</t>
        </is>
      </c>
    </row>
    <row r="74" spans="1:8" x14ac:dyDescent="0.2">
      <c r="A74" s="13" t="s">
        <v>443</v>
      </c>
      <c r="B74" s="2">
        <v>120.308682371765</v>
      </c>
      <c r="C74" t="s">
        <v>91</v>
      </c>
      <c r="D74" t="s">
        <v>191</v>
      </c>
      <c r="F74" t="s">
        <v>88</v>
      </c>
      <c r="H74" s="13" t="s">
        <v>444</v>
      </c>
    </row>
    <row r="75" spans="1:8" x14ac:dyDescent="0.2">
      <c r="A75" s="13" t="s">
        <v>214</v>
      </c>
      <c r="B75" s="2">
        <v>1912.9080497110635</v>
      </c>
      <c r="C75" t="s">
        <v>94</v>
      </c>
      <c r="D75" t="s">
        <v>191</v>
      </c>
      <c r="F75" t="s">
        <v>88</v>
      </c>
      <c r="H75" s="13" t="s">
        <v>214</v>
      </c>
    </row>
    <row r="77" spans="1:8" ht="16" x14ac:dyDescent="0.2">
      <c r="A77" s="10" t="s">
        <v>70</v>
      </c>
      <c r="B77" s="8" t="s">
        <v>405</v>
      </c>
    </row>
    <row r="78" spans="1:8" x14ac:dyDescent="0.2">
      <c r="A78" t="s">
        <v>71</v>
      </c>
      <c r="B78" t="s">
        <v>37</v>
      </c>
    </row>
    <row r="79" spans="1:8" x14ac:dyDescent="0.2">
      <c r="A79" t="s">
        <v>85</v>
      </c>
      <c r="B79" t="s">
        <v>405</v>
      </c>
    </row>
    <row r="80" spans="1:8" x14ac:dyDescent="0.2">
      <c r="A80" t="s">
        <v>86</v>
      </c>
    </row>
    <row r="81" spans="1:2" x14ac:dyDescent="0.2">
      <c r="A81" t="s">
        <v>87</v>
      </c>
      <c r="B81">
        <v>2020</v>
      </c>
    </row>
    <row r="82" spans="1:2" x14ac:dyDescent="0.2">
      <c r="A82" t="s">
        <v>123</v>
      </c>
      <c r="B82" t="s">
        <v>408</v>
      </c>
    </row>
    <row r="83" spans="1:2" x14ac:dyDescent="0.2">
      <c r="A83" t="s">
        <v>72</v>
      </c>
      <c r="B83" t="s">
        <v>405</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1.1000000000000001</v>
      </c>
    </row>
    <row r="89" spans="1:2" x14ac:dyDescent="0.2">
      <c r="A89" t="s">
        <v>126</v>
      </c>
      <c r="B89">
        <v>1</v>
      </c>
    </row>
    <row r="90" spans="1:2" x14ac:dyDescent="0.2">
      <c r="A90" t="s">
        <v>127</v>
      </c>
      <c r="B90">
        <v>0</v>
      </c>
    </row>
    <row r="91" spans="1:2" x14ac:dyDescent="0.2">
      <c r="A91" t="s">
        <v>128</v>
      </c>
      <c r="B91">
        <v>1776</v>
      </c>
    </row>
    <row r="92" spans="1:2" x14ac:dyDescent="0.2">
      <c r="A92" t="s">
        <v>129</v>
      </c>
      <c r="B92" s="2">
        <v>119.00000583255843</v>
      </c>
    </row>
    <row r="93" spans="1:2" x14ac:dyDescent="0.2">
      <c r="A93" t="s">
        <v>130</v>
      </c>
      <c r="B93">
        <v>9</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285.90268331242163</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405</v>
      </c>
      <c r="B107">
        <v>1</v>
      </c>
      <c r="C107" t="s">
        <v>37</v>
      </c>
      <c r="D107" t="s">
        <v>75</v>
      </c>
      <c r="F107" t="s">
        <v>83</v>
      </c>
      <c r="G107" t="s">
        <v>84</v>
      </c>
      <c r="H107" t="s">
        <v>405</v>
      </c>
    </row>
    <row r="108" spans="1:8" x14ac:dyDescent="0.2">
      <c r="A108" t="s">
        <v>111</v>
      </c>
      <c r="B108" s="6">
        <v>0.7270425217814277</v>
      </c>
      <c r="C108" t="s">
        <v>91</v>
      </c>
      <c r="D108" t="s">
        <v>75</v>
      </c>
      <c r="F108" t="s">
        <v>88</v>
      </c>
      <c r="G108" t="s">
        <v>15</v>
      </c>
      <c r="H108" t="s">
        <v>112</v>
      </c>
    </row>
    <row r="109" spans="1:8" x14ac:dyDescent="0.2">
      <c r="A109" t="inlineStr">
        <is>
          <t>mechanical powertrain, motorcycle, gasoline, engineering reference</t>
        </is>
      </c>
      <c r="B109" s="6">
        <v>45.80367887222994</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1.0125</v>
      </c>
      <c r="C110" t="s">
        <v>91</v>
      </c>
      <c r="D110" t="s">
        <v>76</v>
      </c>
      <c r="F110" t="s">
        <v>88</v>
      </c>
      <c r="G110" t="s">
        <v>24</v>
      </c>
      <c r="H110" t="s">
        <v>114</v>
      </c>
    </row>
    <row r="111" spans="1:8" x14ac:dyDescent="0.2">
      <c r="A111" t="inlineStr">
        <is>
          <t>fuel tank forming, motorcycle engineering reference</t>
        </is>
      </c>
      <c r="B111" s="6">
        <v>1.0186116700201207</v>
      </c>
      <c r="C111" t="inlineStr">
        <is>
          <t>RER</t>
        </is>
      </c>
      <c r="D111" t="s">
        <v>76</v>
      </c>
      <c r="F111" t="s">
        <v>88</v>
      </c>
      <c r="G111" t="s">
        <v>412</v>
      </c>
      <c r="H111" t="inlineStr">
        <is>
          <t>fuel tank forming, motorcycle engineering reference</t>
        </is>
      </c>
    </row>
    <row r="112" spans="1:8" x14ac:dyDescent="0.2">
      <c r="A112" s="13" t="s">
        <v>443</v>
      </c>
      <c r="B112" s="2">
        <v>119.00000583255843</v>
      </c>
      <c r="C112" t="s">
        <v>91</v>
      </c>
      <c r="D112" t="s">
        <v>191</v>
      </c>
      <c r="F112" t="s">
        <v>88</v>
      </c>
      <c r="H112" s="13" t="s">
        <v>444</v>
      </c>
    </row>
    <row r="113" spans="1:8" x14ac:dyDescent="0.2">
      <c r="A113" s="13" t="s">
        <v>214</v>
      </c>
      <c r="B113" s="2">
        <v>1892.100092737679</v>
      </c>
      <c r="C113" t="s">
        <v>94</v>
      </c>
      <c r="D113" t="s">
        <v>191</v>
      </c>
      <c r="F113" t="s">
        <v>88</v>
      </c>
      <c r="H113" s="13" t="s">
        <v>214</v>
      </c>
    </row>
    <row r="116" spans="1:8" ht="16" x14ac:dyDescent="0.2">
      <c r="A116" s="10" t="s">
        <v>70</v>
      </c>
      <c r="B116" s="8" t="s">
        <v>611</v>
      </c>
    </row>
    <row r="117" spans="1:8" x14ac:dyDescent="0.2">
      <c r="A117" t="s">
        <v>71</v>
      </c>
      <c r="B117" t="s">
        <v>37</v>
      </c>
    </row>
    <row r="118" spans="1:8" x14ac:dyDescent="0.2">
      <c r="A118" t="s">
        <v>85</v>
      </c>
      <c r="B118" t="s">
        <v>403</v>
      </c>
    </row>
    <row r="119" spans="1:8" x14ac:dyDescent="0.2">
      <c r="A119" t="s">
        <v>86</v>
      </c>
    </row>
    <row r="120" spans="1:8" x14ac:dyDescent="0.2">
      <c r="A120" t="s">
        <v>87</v>
      </c>
      <c r="B120">
        <v>2006</v>
      </c>
    </row>
    <row r="121" spans="1:8" x14ac:dyDescent="0.2">
      <c r="A121" t="s">
        <v>123</v>
      </c>
      <c r="B121" t="s">
        <v>406</v>
      </c>
    </row>
    <row r="122" spans="1:8" x14ac:dyDescent="0.2">
      <c r="A122" t="s">
        <v>72</v>
      </c>
      <c r="B122" t="s">
        <v>611</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1.1000000000000001</v>
      </c>
    </row>
    <row r="128" spans="1:8" x14ac:dyDescent="0.2">
      <c r="A128" t="s">
        <v>126</v>
      </c>
      <c r="B128">
        <v>1</v>
      </c>
    </row>
    <row r="129" spans="1:8" x14ac:dyDescent="0.2">
      <c r="A129" t="s">
        <v>127</v>
      </c>
      <c r="B129">
        <v>0</v>
      </c>
    </row>
    <row r="130" spans="1:8" x14ac:dyDescent="0.2">
      <c r="A130" t="s">
        <v>128</v>
      </c>
      <c r="B130">
        <v>1776</v>
      </c>
    </row>
    <row r="131" spans="1:8" x14ac:dyDescent="0.2">
      <c r="A131" t="s">
        <v>129</v>
      </c>
      <c r="B131" s="2">
        <v>122.27169718057486</v>
      </c>
    </row>
    <row r="132" spans="1:8" x14ac:dyDescent="0.2">
      <c r="A132" t="s">
        <v>130</v>
      </c>
      <c r="B132">
        <v>9</v>
      </c>
    </row>
    <row r="133" spans="1:8" x14ac:dyDescent="0.2">
      <c r="A133" t="s">
        <v>131</v>
      </c>
      <c r="B133" t="s">
        <v>84</v>
      </c>
    </row>
    <row r="134" spans="1:8" x14ac:dyDescent="0.2">
      <c r="A134" t="s">
        <v>99</v>
      </c>
      <c r="B134">
        <v>0</v>
      </c>
    </row>
    <row r="135" spans="1:8" x14ac:dyDescent="0.2">
      <c r="A135" t="s">
        <v>134</v>
      </c>
      <c r="B135" s="2">
        <v>79.875</v>
      </c>
    </row>
    <row r="136" spans="1:8" x14ac:dyDescent="0.2">
      <c r="A136" t="s">
        <v>135</v>
      </c>
      <c r="B136">
        <v>6.75</v>
      </c>
    </row>
    <row r="137" spans="1:8" x14ac:dyDescent="0.2">
      <c r="A137" t="s">
        <v>132</v>
      </c>
      <c r="B137" s="2">
        <v>280.24124403890835</v>
      </c>
    </row>
    <row r="138" spans="1:8" x14ac:dyDescent="0.2">
      <c r="A138" t="s">
        <v>133</v>
      </c>
      <c r="B138" t="s">
        <v>137</v>
      </c>
    </row>
    <row r="139" spans="1:8" x14ac:dyDescent="0.2">
      <c r="A139" t="s">
        <v>540</v>
      </c>
      <c r="B139" s="6">
        <v>-0.05</v>
      </c>
    </row>
    <row r="140" spans="1:8" x14ac:dyDescent="0.2">
      <c r="A140" t="s">
        <v>82</v>
      </c>
      <c r="B140" t="s">
        <v>612</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611</v>
      </c>
      <c r="B143">
        <v>1</v>
      </c>
      <c r="C143" t="s">
        <v>37</v>
      </c>
      <c r="D143" t="s">
        <v>162</v>
      </c>
      <c r="F143" t="s">
        <v>83</v>
      </c>
      <c r="G143" t="s">
        <v>84</v>
      </c>
      <c r="H143" t="s">
        <v>611</v>
      </c>
    </row>
    <row r="144" spans="1:8" x14ac:dyDescent="0.2">
      <c r="A144" t="s">
        <v>403</v>
      </c>
      <c r="B144" s="7">
        <v>4.0000000000000003E-5</v>
      </c>
      <c r="C144" t="s">
        <v>37</v>
      </c>
      <c r="D144" t="s">
        <v>75</v>
      </c>
      <c r="F144" t="s">
        <v>88</v>
      </c>
      <c r="H144" t="s">
        <v>403</v>
      </c>
    </row>
    <row r="145" spans="1:8" x14ac:dyDescent="0.2">
      <c r="A145" t="s">
        <v>106</v>
      </c>
      <c r="B145" s="7">
        <v>1.131844013859687E-4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2.4086390363949564E-2</v>
      </c>
      <c r="C148" t="s">
        <v>37</v>
      </c>
      <c r="D148" t="s">
        <v>76</v>
      </c>
      <c r="F148" t="s">
        <v>88</v>
      </c>
      <c r="G148" t="s">
        <v>27</v>
      </c>
      <c r="H148" t="s">
        <v>452</v>
      </c>
    </row>
    <row r="149" spans="1:8" x14ac:dyDescent="0.2">
      <c r="A149" t="s">
        <v>150</v>
      </c>
      <c r="B149" s="11">
        <v>7.4723690553888014E-2</v>
      </c>
      <c r="D149" t="s">
        <v>76</v>
      </c>
      <c r="E149" t="s">
        <v>442</v>
      </c>
      <c r="F149" t="s">
        <v>163</v>
      </c>
      <c r="G149" t="s">
        <v>65</v>
      </c>
    </row>
    <row r="150" spans="1:8" x14ac:dyDescent="0.2">
      <c r="A150" t="s">
        <v>448</v>
      </c>
      <c r="B150" s="11">
        <v>9.0757518891361954E-4</v>
      </c>
      <c r="D150" t="s">
        <v>76</v>
      </c>
      <c r="E150" t="s">
        <v>442</v>
      </c>
      <c r="F150" t="s">
        <v>163</v>
      </c>
      <c r="G150" t="s">
        <v>446</v>
      </c>
    </row>
    <row r="151" spans="1:8" x14ac:dyDescent="0.2">
      <c r="A151" t="s">
        <v>210</v>
      </c>
      <c r="B151" s="7">
        <v>3.8538224582319301E-7</v>
      </c>
      <c r="D151" t="s">
        <v>76</v>
      </c>
      <c r="E151" t="s">
        <v>442</v>
      </c>
      <c r="F151" t="s">
        <v>163</v>
      </c>
      <c r="G151" t="s">
        <v>66</v>
      </c>
    </row>
    <row r="152" spans="1:8" x14ac:dyDescent="0.2">
      <c r="A152" t="s">
        <v>54</v>
      </c>
      <c r="B152" s="7">
        <v>3.6529704169004323E-6</v>
      </c>
      <c r="D152" t="s">
        <v>76</v>
      </c>
      <c r="E152" t="s">
        <v>442</v>
      </c>
      <c r="F152" t="s">
        <v>163</v>
      </c>
      <c r="G152" t="s">
        <v>54</v>
      </c>
    </row>
    <row r="153" spans="1:8" x14ac:dyDescent="0.2">
      <c r="A153" t="s">
        <v>151</v>
      </c>
      <c r="B153" s="7">
        <v>5.0143885394914575E-5</v>
      </c>
      <c r="D153" t="s">
        <v>76</v>
      </c>
      <c r="E153" t="s">
        <v>442</v>
      </c>
      <c r="F153" t="s">
        <v>163</v>
      </c>
      <c r="G153" t="s">
        <v>55</v>
      </c>
    </row>
    <row r="154" spans="1:8" x14ac:dyDescent="0.2">
      <c r="A154" t="s">
        <v>152</v>
      </c>
      <c r="B154" s="7">
        <v>7.0250030559411121E-4</v>
      </c>
      <c r="D154" t="s">
        <v>76</v>
      </c>
      <c r="E154" t="s">
        <v>442</v>
      </c>
      <c r="F154" t="s">
        <v>163</v>
      </c>
      <c r="G154" t="s">
        <v>56</v>
      </c>
    </row>
    <row r="155" spans="1:8" x14ac:dyDescent="0.2">
      <c r="A155" t="s">
        <v>211</v>
      </c>
      <c r="B155" s="7">
        <v>1.7908530498183775E-6</v>
      </c>
      <c r="D155" t="s">
        <v>76</v>
      </c>
      <c r="E155" t="s">
        <v>442</v>
      </c>
      <c r="F155" t="s">
        <v>163</v>
      </c>
      <c r="G155" t="s">
        <v>57</v>
      </c>
    </row>
    <row r="156" spans="1:8" x14ac:dyDescent="0.2">
      <c r="A156" t="s">
        <v>153</v>
      </c>
      <c r="B156" s="7">
        <v>1.7908530498183775E-6</v>
      </c>
      <c r="D156" t="s">
        <v>76</v>
      </c>
      <c r="E156" t="s">
        <v>442</v>
      </c>
      <c r="F156" t="s">
        <v>163</v>
      </c>
      <c r="G156" t="s">
        <v>58</v>
      </c>
    </row>
    <row r="157" spans="1:8" x14ac:dyDescent="0.2">
      <c r="A157" t="s">
        <v>154</v>
      </c>
      <c r="B157" s="7">
        <v>9.5536088059378408E-5</v>
      </c>
      <c r="D157" t="s">
        <v>76</v>
      </c>
      <c r="E157" t="s">
        <v>442</v>
      </c>
      <c r="F157" t="s">
        <v>163</v>
      </c>
      <c r="G157" t="s">
        <v>59</v>
      </c>
    </row>
    <row r="158" spans="1:8" x14ac:dyDescent="0.2">
      <c r="A158" t="s">
        <v>212</v>
      </c>
      <c r="B158" s="7">
        <v>4.4771326245459437E-6</v>
      </c>
      <c r="D158" t="s">
        <v>76</v>
      </c>
      <c r="E158" t="s">
        <v>442</v>
      </c>
      <c r="F158" t="s">
        <v>163</v>
      </c>
      <c r="G158" t="s">
        <v>61</v>
      </c>
    </row>
    <row r="159" spans="1:8" x14ac:dyDescent="0.2">
      <c r="A159" t="s">
        <v>207</v>
      </c>
      <c r="B159" s="7">
        <v>2.9458178549122205E-5</v>
      </c>
      <c r="D159" t="s">
        <v>76</v>
      </c>
      <c r="E159" t="s">
        <v>442</v>
      </c>
      <c r="F159" t="s">
        <v>163</v>
      </c>
      <c r="G159" t="s">
        <v>360</v>
      </c>
    </row>
    <row r="160" spans="1:8" x14ac:dyDescent="0.2">
      <c r="A160" t="s">
        <v>309</v>
      </c>
      <c r="B160" s="7">
        <v>2.077179256668873E-6</v>
      </c>
      <c r="D160" t="s">
        <v>76</v>
      </c>
      <c r="E160" t="s">
        <v>442</v>
      </c>
      <c r="F160" t="s">
        <v>163</v>
      </c>
      <c r="G160" t="s">
        <v>309</v>
      </c>
    </row>
    <row r="161" spans="1:7" x14ac:dyDescent="0.2">
      <c r="A161" t="s">
        <v>310</v>
      </c>
      <c r="B161" s="7">
        <v>4.232496917977328E-7</v>
      </c>
      <c r="D161" t="s">
        <v>76</v>
      </c>
      <c r="E161" t="s">
        <v>442</v>
      </c>
      <c r="F161" t="s">
        <v>163</v>
      </c>
      <c r="G161" t="s">
        <v>310</v>
      </c>
    </row>
    <row r="162" spans="1:7" x14ac:dyDescent="0.2">
      <c r="A162" t="s">
        <v>311</v>
      </c>
      <c r="B162" s="7">
        <v>3.4120436692617235E-6</v>
      </c>
      <c r="D162" t="s">
        <v>76</v>
      </c>
      <c r="E162" t="s">
        <v>442</v>
      </c>
      <c r="F162" t="s">
        <v>163</v>
      </c>
      <c r="G162" t="s">
        <v>311</v>
      </c>
    </row>
    <row r="163" spans="1:7" x14ac:dyDescent="0.2">
      <c r="A163" t="s">
        <v>312</v>
      </c>
      <c r="B163" s="7">
        <v>1.3999797497925008E-6</v>
      </c>
      <c r="D163" t="s">
        <v>76</v>
      </c>
      <c r="E163" t="s">
        <v>442</v>
      </c>
      <c r="F163" t="s">
        <v>163</v>
      </c>
      <c r="G163" t="s">
        <v>312</v>
      </c>
    </row>
    <row r="164" spans="1:7" x14ac:dyDescent="0.2">
      <c r="A164" t="s">
        <v>313</v>
      </c>
      <c r="B164" s="7">
        <v>1.0483569289143844E-6</v>
      </c>
      <c r="D164" t="s">
        <v>76</v>
      </c>
      <c r="E164" t="s">
        <v>442</v>
      </c>
      <c r="F164" t="s">
        <v>163</v>
      </c>
      <c r="G164" t="s">
        <v>313</v>
      </c>
    </row>
    <row r="165" spans="1:7" x14ac:dyDescent="0.2">
      <c r="A165" t="s">
        <v>314</v>
      </c>
      <c r="B165" s="7">
        <v>7.4231484407602367E-7</v>
      </c>
      <c r="D165" t="s">
        <v>76</v>
      </c>
      <c r="E165" t="s">
        <v>442</v>
      </c>
      <c r="F165" t="s">
        <v>163</v>
      </c>
      <c r="G165" t="s">
        <v>314</v>
      </c>
    </row>
    <row r="166" spans="1:7" x14ac:dyDescent="0.2">
      <c r="A166" t="s">
        <v>315</v>
      </c>
      <c r="B166" s="7">
        <v>4.8185349527741892E-7</v>
      </c>
      <c r="D166" t="s">
        <v>76</v>
      </c>
      <c r="E166" t="s">
        <v>442</v>
      </c>
      <c r="F166" t="s">
        <v>163</v>
      </c>
      <c r="G166" t="s">
        <v>315</v>
      </c>
    </row>
    <row r="167" spans="1:7" x14ac:dyDescent="0.2">
      <c r="A167" t="s">
        <v>316</v>
      </c>
      <c r="B167" s="7">
        <v>4.7534196155745371E-6</v>
      </c>
      <c r="D167" t="s">
        <v>76</v>
      </c>
      <c r="E167" t="s">
        <v>442</v>
      </c>
      <c r="F167" t="s">
        <v>163</v>
      </c>
      <c r="G167" t="s">
        <v>316</v>
      </c>
    </row>
    <row r="168" spans="1:7" x14ac:dyDescent="0.2">
      <c r="A168" t="s">
        <v>317</v>
      </c>
      <c r="B168" s="7">
        <v>2.4874058810266758E-6</v>
      </c>
      <c r="D168" t="s">
        <v>76</v>
      </c>
      <c r="E168" t="s">
        <v>442</v>
      </c>
      <c r="F168" t="s">
        <v>163</v>
      </c>
      <c r="G168" t="s">
        <v>317</v>
      </c>
    </row>
    <row r="169" spans="1:7" x14ac:dyDescent="0.2">
      <c r="A169" t="s">
        <v>318</v>
      </c>
      <c r="B169" s="7">
        <v>7.162687091961634E-8</v>
      </c>
      <c r="D169" t="s">
        <v>76</v>
      </c>
      <c r="E169" t="s">
        <v>442</v>
      </c>
      <c r="F169" t="s">
        <v>163</v>
      </c>
      <c r="G169" t="s">
        <v>318</v>
      </c>
    </row>
    <row r="170" spans="1:7" x14ac:dyDescent="0.2">
      <c r="A170" t="s">
        <v>319</v>
      </c>
      <c r="B170" s="7">
        <v>7.1496640245217014E-6</v>
      </c>
      <c r="D170" t="s">
        <v>76</v>
      </c>
      <c r="E170" t="s">
        <v>442</v>
      </c>
      <c r="F170" t="s">
        <v>163</v>
      </c>
      <c r="G170" t="s">
        <v>319</v>
      </c>
    </row>
    <row r="171" spans="1:7" x14ac:dyDescent="0.2">
      <c r="A171" t="s">
        <v>320</v>
      </c>
      <c r="B171" s="7">
        <v>3.5357628099410601E-6</v>
      </c>
      <c r="D171" t="s">
        <v>76</v>
      </c>
      <c r="E171" t="s">
        <v>442</v>
      </c>
      <c r="F171" t="s">
        <v>163</v>
      </c>
      <c r="G171" t="s">
        <v>320</v>
      </c>
    </row>
    <row r="172" spans="1:7" x14ac:dyDescent="0.2">
      <c r="A172" t="s">
        <v>321</v>
      </c>
      <c r="B172" s="7">
        <v>1.471606620712117E-6</v>
      </c>
      <c r="D172" t="s">
        <v>76</v>
      </c>
      <c r="E172" t="s">
        <v>442</v>
      </c>
      <c r="F172" t="s">
        <v>163</v>
      </c>
      <c r="G172" t="s">
        <v>321</v>
      </c>
    </row>
    <row r="173" spans="1:7" x14ac:dyDescent="0.2">
      <c r="A173" t="s">
        <v>322</v>
      </c>
      <c r="B173" s="7">
        <v>1.1069607323940704E-6</v>
      </c>
      <c r="D173" t="s">
        <v>76</v>
      </c>
      <c r="E173" t="s">
        <v>442</v>
      </c>
      <c r="F173" t="s">
        <v>163</v>
      </c>
      <c r="G173" t="s">
        <v>322</v>
      </c>
    </row>
    <row r="174" spans="1:7" x14ac:dyDescent="0.2">
      <c r="A174" t="s">
        <v>323</v>
      </c>
      <c r="B174" s="7">
        <v>4.8836502899738398E-7</v>
      </c>
      <c r="D174" t="s">
        <v>76</v>
      </c>
      <c r="E174" t="s">
        <v>442</v>
      </c>
      <c r="F174" t="s">
        <v>163</v>
      </c>
      <c r="G174" t="s">
        <v>323</v>
      </c>
    </row>
    <row r="175" spans="1:7" x14ac:dyDescent="0.2">
      <c r="A175" t="s">
        <v>324</v>
      </c>
      <c r="B175" s="7">
        <v>1.4325374183923268E-7</v>
      </c>
      <c r="D175" t="s">
        <v>76</v>
      </c>
      <c r="E175" t="s">
        <v>442</v>
      </c>
      <c r="F175" t="s">
        <v>163</v>
      </c>
      <c r="G175" t="s">
        <v>324</v>
      </c>
    </row>
    <row r="176" spans="1:7" x14ac:dyDescent="0.2">
      <c r="A176" t="s">
        <v>325</v>
      </c>
      <c r="B176" s="7">
        <v>3.972035569178724E-7</v>
      </c>
      <c r="D176" t="s">
        <v>76</v>
      </c>
      <c r="E176" t="s">
        <v>442</v>
      </c>
      <c r="F176" t="s">
        <v>163</v>
      </c>
      <c r="G176" t="s">
        <v>325</v>
      </c>
    </row>
    <row r="177" spans="1:8" x14ac:dyDescent="0.2">
      <c r="A177" t="s">
        <v>328</v>
      </c>
      <c r="B177" s="7">
        <v>3.25576685998256E-8</v>
      </c>
      <c r="D177" t="s">
        <v>76</v>
      </c>
      <c r="E177" t="s">
        <v>442</v>
      </c>
      <c r="F177" t="s">
        <v>163</v>
      </c>
      <c r="G177" t="s">
        <v>328</v>
      </c>
    </row>
    <row r="178" spans="1:8" x14ac:dyDescent="0.2">
      <c r="A178" t="s">
        <v>326</v>
      </c>
      <c r="B178" s="7">
        <v>1.2371914067933729E-7</v>
      </c>
      <c r="D178" t="s">
        <v>76</v>
      </c>
      <c r="E178" t="s">
        <v>442</v>
      </c>
      <c r="F178" t="s">
        <v>163</v>
      </c>
      <c r="G178" t="s">
        <v>326</v>
      </c>
    </row>
    <row r="179" spans="1:8" x14ac:dyDescent="0.2">
      <c r="A179" t="s">
        <v>327</v>
      </c>
      <c r="B179" s="7">
        <v>6.5766490571647714E-7</v>
      </c>
      <c r="D179" t="s">
        <v>76</v>
      </c>
      <c r="E179" t="s">
        <v>442</v>
      </c>
      <c r="F179" t="s">
        <v>163</v>
      </c>
      <c r="G179" t="s">
        <v>327</v>
      </c>
    </row>
    <row r="180" spans="1:8" x14ac:dyDescent="0.2">
      <c r="A180" t="s">
        <v>336</v>
      </c>
      <c r="B180" s="7">
        <v>8.4017863498230475E-10</v>
      </c>
      <c r="D180" t="s">
        <v>76</v>
      </c>
      <c r="E180" t="s">
        <v>442</v>
      </c>
      <c r="F180" t="s">
        <v>163</v>
      </c>
      <c r="G180" t="s">
        <v>329</v>
      </c>
    </row>
    <row r="181" spans="1:8" x14ac:dyDescent="0.2">
      <c r="A181" t="s">
        <v>330</v>
      </c>
      <c r="B181" s="7">
        <v>7.2429192670888341E-12</v>
      </c>
      <c r="D181" t="s">
        <v>76</v>
      </c>
      <c r="E181" t="s">
        <v>442</v>
      </c>
      <c r="F181" t="s">
        <v>163</v>
      </c>
      <c r="G181" t="s">
        <v>330</v>
      </c>
    </row>
    <row r="182" spans="1:8" x14ac:dyDescent="0.2">
      <c r="A182" t="s">
        <v>331</v>
      </c>
      <c r="B182" s="7">
        <v>4.8286128447258891E-12</v>
      </c>
      <c r="D182" t="s">
        <v>76</v>
      </c>
      <c r="E182" t="s">
        <v>442</v>
      </c>
      <c r="F182" t="s">
        <v>163</v>
      </c>
      <c r="G182" t="s">
        <v>331</v>
      </c>
    </row>
    <row r="183" spans="1:8" x14ac:dyDescent="0.2">
      <c r="A183" t="s">
        <v>332</v>
      </c>
      <c r="B183" s="7">
        <v>5.2149018723039611E-8</v>
      </c>
      <c r="D183" t="s">
        <v>76</v>
      </c>
      <c r="E183" t="s">
        <v>442</v>
      </c>
      <c r="F183" t="s">
        <v>163</v>
      </c>
      <c r="G183" t="s">
        <v>332</v>
      </c>
    </row>
    <row r="184" spans="1:8" x14ac:dyDescent="0.2">
      <c r="A184" t="s">
        <v>290</v>
      </c>
      <c r="B184" s="7">
        <v>1.0140086973924367E-9</v>
      </c>
      <c r="D184" t="s">
        <v>76</v>
      </c>
      <c r="E184" t="s">
        <v>442</v>
      </c>
      <c r="F184" t="s">
        <v>163</v>
      </c>
      <c r="G184" t="s">
        <v>290</v>
      </c>
    </row>
    <row r="185" spans="1:8" x14ac:dyDescent="0.2">
      <c r="A185" t="s">
        <v>292</v>
      </c>
      <c r="B185" s="7">
        <v>3.1385983490718282E-10</v>
      </c>
      <c r="D185" t="s">
        <v>76</v>
      </c>
      <c r="E185" t="s">
        <v>442</v>
      </c>
      <c r="F185" t="s">
        <v>163</v>
      </c>
      <c r="G185" t="s">
        <v>292</v>
      </c>
    </row>
    <row r="186" spans="1:8" x14ac:dyDescent="0.2">
      <c r="A186" t="s">
        <v>291</v>
      </c>
      <c r="B186" s="7">
        <v>3.862890275780712E-10</v>
      </c>
      <c r="D186" t="s">
        <v>76</v>
      </c>
      <c r="E186" t="s">
        <v>442</v>
      </c>
      <c r="F186" t="s">
        <v>163</v>
      </c>
      <c r="G186" t="s">
        <v>291</v>
      </c>
    </row>
    <row r="187" spans="1:8" x14ac:dyDescent="0.2">
      <c r="A187" t="s">
        <v>335</v>
      </c>
      <c r="B187" s="7">
        <v>7.7257805515614221E-13</v>
      </c>
      <c r="D187" t="s">
        <v>76</v>
      </c>
      <c r="E187" t="s">
        <v>442</v>
      </c>
      <c r="F187" t="s">
        <v>163</v>
      </c>
      <c r="G187" t="s">
        <v>335</v>
      </c>
    </row>
    <row r="188" spans="1:8" x14ac:dyDescent="0.2">
      <c r="A188" t="s">
        <v>333</v>
      </c>
      <c r="B188" s="7">
        <v>2.1004465874557619E-10</v>
      </c>
      <c r="D188" t="s">
        <v>76</v>
      </c>
      <c r="E188" t="s">
        <v>442</v>
      </c>
      <c r="F188" t="s">
        <v>163</v>
      </c>
      <c r="G188" t="s">
        <v>333</v>
      </c>
    </row>
    <row r="189" spans="1:8" x14ac:dyDescent="0.2">
      <c r="A189" t="s">
        <v>334</v>
      </c>
      <c r="B189" s="7">
        <v>2.6074509361519809E-10</v>
      </c>
      <c r="D189" t="s">
        <v>76</v>
      </c>
      <c r="E189" t="s">
        <v>442</v>
      </c>
      <c r="F189" t="s">
        <v>163</v>
      </c>
      <c r="G189" t="s">
        <v>334</v>
      </c>
    </row>
    <row r="190" spans="1:8" x14ac:dyDescent="0.2">
      <c r="A190" t="s">
        <v>155</v>
      </c>
      <c r="B190" s="7">
        <v>-7.5947471854411634E-6</v>
      </c>
      <c r="C190" t="s">
        <v>91</v>
      </c>
      <c r="D190" t="s">
        <v>76</v>
      </c>
      <c r="F190" t="s">
        <v>88</v>
      </c>
      <c r="G190" t="s">
        <v>29</v>
      </c>
      <c r="H190" t="s">
        <v>157</v>
      </c>
    </row>
    <row r="191" spans="1:8" x14ac:dyDescent="0.2">
      <c r="A191" t="s">
        <v>156</v>
      </c>
      <c r="B191" s="7">
        <v>-5.7749536926761575E-6</v>
      </c>
      <c r="C191" t="s">
        <v>91</v>
      </c>
      <c r="D191" t="s">
        <v>76</v>
      </c>
      <c r="F191" t="s">
        <v>88</v>
      </c>
      <c r="G191" t="s">
        <v>30</v>
      </c>
      <c r="H191" t="s">
        <v>158</v>
      </c>
    </row>
    <row r="192" spans="1:8" x14ac:dyDescent="0.2">
      <c r="A192" t="s">
        <v>164</v>
      </c>
      <c r="B192" s="7">
        <v>-4.1370727127059103E-6</v>
      </c>
      <c r="C192" t="s">
        <v>91</v>
      </c>
      <c r="D192" t="s">
        <v>76</v>
      </c>
      <c r="F192" t="s">
        <v>88</v>
      </c>
      <c r="G192" t="s">
        <v>31</v>
      </c>
      <c r="H192" t="s">
        <v>159</v>
      </c>
    </row>
    <row r="194" spans="1:2" ht="16" x14ac:dyDescent="0.2">
      <c r="A194" s="10" t="s">
        <v>70</v>
      </c>
      <c r="B194" s="8" t="s">
        <v>613</v>
      </c>
    </row>
    <row r="195" spans="1:2" x14ac:dyDescent="0.2">
      <c r="A195" t="s">
        <v>71</v>
      </c>
      <c r="B195" t="s">
        <v>37</v>
      </c>
    </row>
    <row r="196" spans="1:2" x14ac:dyDescent="0.2">
      <c r="A196" t="s">
        <v>85</v>
      </c>
      <c r="B196" t="s">
        <v>404</v>
      </c>
    </row>
    <row r="197" spans="1:2" x14ac:dyDescent="0.2">
      <c r="A197" t="s">
        <v>86</v>
      </c>
    </row>
    <row r="198" spans="1:2" x14ac:dyDescent="0.2">
      <c r="A198" t="s">
        <v>87</v>
      </c>
      <c r="B198">
        <v>2016</v>
      </c>
    </row>
    <row r="199" spans="1:2" x14ac:dyDescent="0.2">
      <c r="A199" t="s">
        <v>123</v>
      </c>
      <c r="B199" t="s">
        <v>407</v>
      </c>
    </row>
    <row r="200" spans="1:2" x14ac:dyDescent="0.2">
      <c r="A200" t="s">
        <v>72</v>
      </c>
      <c r="B200" t="s">
        <v>613</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1.1000000000000001</v>
      </c>
    </row>
    <row r="206" spans="1:2" x14ac:dyDescent="0.2">
      <c r="A206" t="s">
        <v>126</v>
      </c>
      <c r="B206">
        <v>1</v>
      </c>
    </row>
    <row r="207" spans="1:2" x14ac:dyDescent="0.2">
      <c r="A207" t="s">
        <v>127</v>
      </c>
      <c r="B207">
        <v>0</v>
      </c>
    </row>
    <row r="208" spans="1:2" x14ac:dyDescent="0.2">
      <c r="A208" t="s">
        <v>128</v>
      </c>
      <c r="B208">
        <v>1776</v>
      </c>
    </row>
    <row r="209" spans="1:8" x14ac:dyDescent="0.2">
      <c r="A209" t="s">
        <v>129</v>
      </c>
      <c r="B209" s="2">
        <v>120.308682371765</v>
      </c>
    </row>
    <row r="210" spans="1:8" x14ac:dyDescent="0.2">
      <c r="A210" t="s">
        <v>130</v>
      </c>
      <c r="B210">
        <v>9</v>
      </c>
    </row>
    <row r="211" spans="1:8" x14ac:dyDescent="0.2">
      <c r="A211" t="s">
        <v>131</v>
      </c>
      <c r="B211" t="s">
        <v>84</v>
      </c>
    </row>
    <row r="212" spans="1:8" x14ac:dyDescent="0.2">
      <c r="A212" t="s">
        <v>99</v>
      </c>
      <c r="B212">
        <v>0</v>
      </c>
    </row>
    <row r="213" spans="1:8" x14ac:dyDescent="0.2">
      <c r="A213" t="s">
        <v>134</v>
      </c>
      <c r="B213" s="2">
        <v>79.875</v>
      </c>
    </row>
    <row r="214" spans="1:8" x14ac:dyDescent="0.2">
      <c r="A214" t="s">
        <v>135</v>
      </c>
      <c r="B214">
        <v>6.75</v>
      </c>
    </row>
    <row r="215" spans="1:8" x14ac:dyDescent="0.2">
      <c r="A215" t="s">
        <v>132</v>
      </c>
      <c r="B215" s="2">
        <v>283.0436564792974</v>
      </c>
    </row>
    <row r="216" spans="1:8" x14ac:dyDescent="0.2">
      <c r="A216" t="s">
        <v>133</v>
      </c>
      <c r="B216" t="s">
        <v>138</v>
      </c>
    </row>
    <row r="217" spans="1:8" x14ac:dyDescent="0.2">
      <c r="A217" t="s">
        <v>540</v>
      </c>
      <c r="B217" s="6">
        <v>-0.02</v>
      </c>
    </row>
    <row r="218" spans="1:8" x14ac:dyDescent="0.2">
      <c r="A218" t="s">
        <v>82</v>
      </c>
      <c r="B218" t="s">
        <v>614</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613</v>
      </c>
      <c r="B221">
        <v>1</v>
      </c>
      <c r="C221" t="s">
        <v>37</v>
      </c>
      <c r="D221" t="s">
        <v>162</v>
      </c>
      <c r="F221" t="s">
        <v>83</v>
      </c>
      <c r="G221" t="s">
        <v>84</v>
      </c>
      <c r="H221" t="s">
        <v>613</v>
      </c>
    </row>
    <row r="222" spans="1:8" x14ac:dyDescent="0.2">
      <c r="A222" t="s">
        <v>404</v>
      </c>
      <c r="B222" s="7">
        <v>4.0000000000000003E-5</v>
      </c>
      <c r="C222" t="s">
        <v>37</v>
      </c>
      <c r="D222" t="s">
        <v>75</v>
      </c>
      <c r="F222" t="s">
        <v>88</v>
      </c>
      <c r="H222" t="s">
        <v>404</v>
      </c>
    </row>
    <row r="223" spans="1:8" x14ac:dyDescent="0.2">
      <c r="A223" t="s">
        <v>106</v>
      </c>
      <c r="B223" s="7">
        <v>1.1213026243363781E-4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2.3847911251435212E-2</v>
      </c>
      <c r="C226" t="s">
        <v>37</v>
      </c>
      <c r="D226" t="s">
        <v>76</v>
      </c>
      <c r="F226" t="s">
        <v>88</v>
      </c>
      <c r="G226" t="s">
        <v>27</v>
      </c>
      <c r="H226" t="s">
        <v>452</v>
      </c>
    </row>
    <row r="227" spans="1:8" x14ac:dyDescent="0.2">
      <c r="A227" t="s">
        <v>150</v>
      </c>
      <c r="B227" s="11">
        <v>7.3983852033552483E-2</v>
      </c>
      <c r="D227" t="s">
        <v>76</v>
      </c>
      <c r="E227" t="s">
        <v>442</v>
      </c>
      <c r="F227" t="s">
        <v>163</v>
      </c>
      <c r="G227" t="s">
        <v>65</v>
      </c>
    </row>
    <row r="228" spans="1:8" x14ac:dyDescent="0.2">
      <c r="A228" t="s">
        <v>448</v>
      </c>
      <c r="B228" s="11">
        <v>8.9858929595407883E-4</v>
      </c>
      <c r="D228" t="s">
        <v>76</v>
      </c>
      <c r="E228" t="s">
        <v>442</v>
      </c>
      <c r="F228" t="s">
        <v>163</v>
      </c>
      <c r="G228" t="s">
        <v>446</v>
      </c>
    </row>
    <row r="229" spans="1:8" x14ac:dyDescent="0.2">
      <c r="A229" t="s">
        <v>210</v>
      </c>
      <c r="B229" s="7">
        <v>3.8156658002296336E-7</v>
      </c>
      <c r="D229" t="s">
        <v>76</v>
      </c>
      <c r="E229" t="s">
        <v>442</v>
      </c>
      <c r="F229" t="s">
        <v>163</v>
      </c>
      <c r="G229" t="s">
        <v>66</v>
      </c>
    </row>
    <row r="230" spans="1:8" x14ac:dyDescent="0.2">
      <c r="A230" t="s">
        <v>54</v>
      </c>
      <c r="B230" s="7">
        <v>5.1657452836225586E-6</v>
      </c>
      <c r="D230" t="s">
        <v>76</v>
      </c>
      <c r="E230" t="s">
        <v>442</v>
      </c>
      <c r="F230" t="s">
        <v>163</v>
      </c>
      <c r="G230" t="s">
        <v>54</v>
      </c>
    </row>
    <row r="231" spans="1:8" x14ac:dyDescent="0.2">
      <c r="A231" t="s">
        <v>151</v>
      </c>
      <c r="B231" s="7">
        <v>5.6307019006388424E-5</v>
      </c>
      <c r="D231" t="s">
        <v>76</v>
      </c>
      <c r="E231" t="s">
        <v>442</v>
      </c>
      <c r="F231" t="s">
        <v>163</v>
      </c>
      <c r="G231" t="s">
        <v>55</v>
      </c>
    </row>
    <row r="232" spans="1:8" x14ac:dyDescent="0.2">
      <c r="A232" t="s">
        <v>152</v>
      </c>
      <c r="B232" s="7">
        <v>8.2177593124772407E-4</v>
      </c>
      <c r="D232" t="s">
        <v>76</v>
      </c>
      <c r="E232" t="s">
        <v>442</v>
      </c>
      <c r="F232" t="s">
        <v>163</v>
      </c>
      <c r="G232" t="s">
        <v>56</v>
      </c>
    </row>
    <row r="233" spans="1:8" x14ac:dyDescent="0.2">
      <c r="A233" t="s">
        <v>211</v>
      </c>
      <c r="B233" s="7">
        <v>2.0109649645138723E-6</v>
      </c>
      <c r="D233" t="s">
        <v>76</v>
      </c>
      <c r="E233" t="s">
        <v>442</v>
      </c>
      <c r="F233" t="s">
        <v>163</v>
      </c>
      <c r="G233" t="s">
        <v>57</v>
      </c>
    </row>
    <row r="234" spans="1:8" x14ac:dyDescent="0.2">
      <c r="A234" t="s">
        <v>153</v>
      </c>
      <c r="B234" s="7">
        <v>2.0109649645138723E-6</v>
      </c>
      <c r="D234" t="s">
        <v>76</v>
      </c>
      <c r="E234" t="s">
        <v>442</v>
      </c>
      <c r="F234" t="s">
        <v>163</v>
      </c>
      <c r="G234" t="s">
        <v>58</v>
      </c>
    </row>
    <row r="235" spans="1:8" x14ac:dyDescent="0.2">
      <c r="A235" t="s">
        <v>154</v>
      </c>
      <c r="B235" s="7">
        <v>2.7297678240826657E-5</v>
      </c>
      <c r="D235" t="s">
        <v>76</v>
      </c>
      <c r="E235" t="s">
        <v>442</v>
      </c>
      <c r="F235" t="s">
        <v>163</v>
      </c>
      <c r="G235" t="s">
        <v>59</v>
      </c>
    </row>
    <row r="236" spans="1:8" x14ac:dyDescent="0.2">
      <c r="A236" t="s">
        <v>212</v>
      </c>
      <c r="B236" s="7">
        <v>5.0274124112846799E-6</v>
      </c>
      <c r="D236" t="s">
        <v>76</v>
      </c>
      <c r="E236" t="s">
        <v>442</v>
      </c>
      <c r="F236" t="s">
        <v>163</v>
      </c>
      <c r="G236" t="s">
        <v>61</v>
      </c>
    </row>
    <row r="237" spans="1:8" x14ac:dyDescent="0.2">
      <c r="A237" t="s">
        <v>207</v>
      </c>
      <c r="B237" s="7">
        <v>4.1657453944934862E-5</v>
      </c>
      <c r="D237" t="s">
        <v>76</v>
      </c>
      <c r="E237" t="s">
        <v>442</v>
      </c>
      <c r="F237" t="s">
        <v>163</v>
      </c>
      <c r="G237" t="s">
        <v>360</v>
      </c>
    </row>
    <row r="238" spans="1:8" x14ac:dyDescent="0.2">
      <c r="A238" t="s">
        <v>309</v>
      </c>
      <c r="B238" s="7">
        <v>2.9373845730402788E-6</v>
      </c>
      <c r="D238" t="s">
        <v>76</v>
      </c>
      <c r="E238" t="s">
        <v>442</v>
      </c>
      <c r="F238" t="s">
        <v>163</v>
      </c>
      <c r="G238" t="s">
        <v>309</v>
      </c>
    </row>
    <row r="239" spans="1:8" x14ac:dyDescent="0.2">
      <c r="A239" t="s">
        <v>310</v>
      </c>
      <c r="B239" s="7">
        <v>5.9852663713986867E-7</v>
      </c>
      <c r="D239" t="s">
        <v>76</v>
      </c>
      <c r="E239" t="s">
        <v>442</v>
      </c>
      <c r="F239" t="s">
        <v>163</v>
      </c>
      <c r="G239" t="s">
        <v>310</v>
      </c>
    </row>
    <row r="240" spans="1:8" x14ac:dyDescent="0.2">
      <c r="A240" t="s">
        <v>311</v>
      </c>
      <c r="B240" s="7">
        <v>4.8250455055583258E-6</v>
      </c>
      <c r="D240" t="s">
        <v>76</v>
      </c>
      <c r="E240" t="s">
        <v>442</v>
      </c>
      <c r="F240" t="s">
        <v>163</v>
      </c>
      <c r="G240" t="s">
        <v>311</v>
      </c>
    </row>
    <row r="241" spans="1:7" x14ac:dyDescent="0.2">
      <c r="A241" t="s">
        <v>312</v>
      </c>
      <c r="B241" s="7">
        <v>1.9797419536164887E-6</v>
      </c>
      <c r="D241" t="s">
        <v>76</v>
      </c>
      <c r="E241" t="s">
        <v>442</v>
      </c>
      <c r="F241" t="s">
        <v>163</v>
      </c>
      <c r="G241" t="s">
        <v>312</v>
      </c>
    </row>
    <row r="242" spans="1:7" x14ac:dyDescent="0.2">
      <c r="A242" t="s">
        <v>313</v>
      </c>
      <c r="B242" s="7">
        <v>1.4825044396849054E-6</v>
      </c>
      <c r="D242" t="s">
        <v>76</v>
      </c>
      <c r="E242" t="s">
        <v>442</v>
      </c>
      <c r="F242" t="s">
        <v>163</v>
      </c>
      <c r="G242" t="s">
        <v>313</v>
      </c>
    </row>
    <row r="243" spans="1:7" x14ac:dyDescent="0.2">
      <c r="A243" t="s">
        <v>314</v>
      </c>
      <c r="B243" s="7">
        <v>1.0497236405222313E-6</v>
      </c>
      <c r="D243" t="s">
        <v>76</v>
      </c>
      <c r="E243" t="s">
        <v>442</v>
      </c>
      <c r="F243" t="s">
        <v>163</v>
      </c>
      <c r="G243" t="s">
        <v>314</v>
      </c>
    </row>
    <row r="244" spans="1:7" x14ac:dyDescent="0.2">
      <c r="A244" t="s">
        <v>315</v>
      </c>
      <c r="B244" s="7">
        <v>6.8139955612846592E-7</v>
      </c>
      <c r="D244" t="s">
        <v>76</v>
      </c>
      <c r="E244" t="s">
        <v>442</v>
      </c>
      <c r="F244" t="s">
        <v>163</v>
      </c>
      <c r="G244" t="s">
        <v>315</v>
      </c>
    </row>
    <row r="245" spans="1:7" x14ac:dyDescent="0.2">
      <c r="A245" t="s">
        <v>316</v>
      </c>
      <c r="B245" s="7">
        <v>6.7219145401862166E-6</v>
      </c>
      <c r="D245" t="s">
        <v>76</v>
      </c>
      <c r="E245" t="s">
        <v>442</v>
      </c>
      <c r="F245" t="s">
        <v>163</v>
      </c>
      <c r="G245" t="s">
        <v>316</v>
      </c>
    </row>
    <row r="246" spans="1:7" x14ac:dyDescent="0.2">
      <c r="A246" t="s">
        <v>317</v>
      </c>
      <c r="B246" s="7">
        <v>3.5174950059604585E-6</v>
      </c>
      <c r="D246" t="s">
        <v>76</v>
      </c>
      <c r="E246" t="s">
        <v>442</v>
      </c>
      <c r="F246" t="s">
        <v>163</v>
      </c>
      <c r="G246" t="s">
        <v>317</v>
      </c>
    </row>
    <row r="247" spans="1:7" x14ac:dyDescent="0.2">
      <c r="A247" t="s">
        <v>318</v>
      </c>
      <c r="B247" s="7">
        <v>1.0128912320828547E-7</v>
      </c>
      <c r="D247" t="s">
        <v>76</v>
      </c>
      <c r="E247" t="s">
        <v>442</v>
      </c>
      <c r="F247" t="s">
        <v>163</v>
      </c>
      <c r="G247" t="s">
        <v>318</v>
      </c>
    </row>
    <row r="248" spans="1:7" x14ac:dyDescent="0.2">
      <c r="A248" t="s">
        <v>319</v>
      </c>
      <c r="B248" s="7">
        <v>1.0110496116608857E-5</v>
      </c>
      <c r="D248" t="s">
        <v>76</v>
      </c>
      <c r="E248" t="s">
        <v>442</v>
      </c>
      <c r="F248" t="s">
        <v>163</v>
      </c>
      <c r="G248" t="s">
        <v>319</v>
      </c>
    </row>
    <row r="249" spans="1:7" x14ac:dyDescent="0.2">
      <c r="A249" t="s">
        <v>320</v>
      </c>
      <c r="B249" s="7">
        <v>4.9999994456453646E-6</v>
      </c>
      <c r="D249" t="s">
        <v>76</v>
      </c>
      <c r="E249" t="s">
        <v>442</v>
      </c>
      <c r="F249" t="s">
        <v>163</v>
      </c>
      <c r="G249" t="s">
        <v>320</v>
      </c>
    </row>
    <row r="250" spans="1:7" x14ac:dyDescent="0.2">
      <c r="A250" t="s">
        <v>321</v>
      </c>
      <c r="B250" s="7">
        <v>2.0810310768247739E-6</v>
      </c>
      <c r="D250" t="s">
        <v>76</v>
      </c>
      <c r="E250" t="s">
        <v>442</v>
      </c>
      <c r="F250" t="s">
        <v>163</v>
      </c>
      <c r="G250" t="s">
        <v>321</v>
      </c>
    </row>
    <row r="251" spans="1:7" x14ac:dyDescent="0.2">
      <c r="A251" t="s">
        <v>322</v>
      </c>
      <c r="B251" s="7">
        <v>1.5653773586735031E-6</v>
      </c>
      <c r="D251" t="s">
        <v>76</v>
      </c>
      <c r="E251" t="s">
        <v>442</v>
      </c>
      <c r="F251" t="s">
        <v>163</v>
      </c>
      <c r="G251" t="s">
        <v>322</v>
      </c>
    </row>
    <row r="252" spans="1:7" x14ac:dyDescent="0.2">
      <c r="A252" t="s">
        <v>323</v>
      </c>
      <c r="B252" s="7">
        <v>6.9060765823831001E-7</v>
      </c>
      <c r="D252" t="s">
        <v>76</v>
      </c>
      <c r="E252" t="s">
        <v>442</v>
      </c>
      <c r="F252" t="s">
        <v>163</v>
      </c>
      <c r="G252" t="s">
        <v>323</v>
      </c>
    </row>
    <row r="253" spans="1:7" x14ac:dyDescent="0.2">
      <c r="A253" t="s">
        <v>324</v>
      </c>
      <c r="B253" s="7">
        <v>2.0257824641657093E-7</v>
      </c>
      <c r="D253" t="s">
        <v>76</v>
      </c>
      <c r="E253" t="s">
        <v>442</v>
      </c>
      <c r="F253" t="s">
        <v>163</v>
      </c>
      <c r="G253" t="s">
        <v>324</v>
      </c>
    </row>
    <row r="254" spans="1:7" x14ac:dyDescent="0.2">
      <c r="A254" t="s">
        <v>325</v>
      </c>
      <c r="B254" s="7">
        <v>5.616942287004922E-7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1.7495394008703853E-7</v>
      </c>
      <c r="D256" t="s">
        <v>76</v>
      </c>
      <c r="E256" t="s">
        <v>442</v>
      </c>
      <c r="F256" t="s">
        <v>163</v>
      </c>
      <c r="G256" t="s">
        <v>326</v>
      </c>
    </row>
    <row r="257" spans="1:8" x14ac:dyDescent="0.2">
      <c r="A257" t="s">
        <v>327</v>
      </c>
      <c r="B257" s="7">
        <v>9.3001831309425754E-7</v>
      </c>
      <c r="D257" t="s">
        <v>76</v>
      </c>
      <c r="E257" t="s">
        <v>442</v>
      </c>
      <c r="F257" t="s">
        <v>163</v>
      </c>
      <c r="G257" t="s">
        <v>327</v>
      </c>
    </row>
    <row r="258" spans="1:8" x14ac:dyDescent="0.2">
      <c r="A258" t="s">
        <v>336</v>
      </c>
      <c r="B258" s="7">
        <v>8.3186003463594531E-10</v>
      </c>
      <c r="D258" t="s">
        <v>76</v>
      </c>
      <c r="E258" t="s">
        <v>442</v>
      </c>
      <c r="F258" t="s">
        <v>163</v>
      </c>
      <c r="G258" t="s">
        <v>329</v>
      </c>
    </row>
    <row r="259" spans="1:8" x14ac:dyDescent="0.2">
      <c r="A259" t="s">
        <v>330</v>
      </c>
      <c r="B259" s="7">
        <v>7.1712071951374601E-12</v>
      </c>
      <c r="D259" t="s">
        <v>76</v>
      </c>
      <c r="E259" t="s">
        <v>442</v>
      </c>
      <c r="F259" t="s">
        <v>163</v>
      </c>
      <c r="G259" t="s">
        <v>330</v>
      </c>
    </row>
    <row r="260" spans="1:8" x14ac:dyDescent="0.2">
      <c r="A260" t="s">
        <v>331</v>
      </c>
      <c r="B260" s="7">
        <v>4.7808047967583062E-12</v>
      </c>
      <c r="D260" t="s">
        <v>76</v>
      </c>
      <c r="E260" t="s">
        <v>442</v>
      </c>
      <c r="F260" t="s">
        <v>163</v>
      </c>
      <c r="G260" t="s">
        <v>331</v>
      </c>
    </row>
    <row r="261" spans="1:8" x14ac:dyDescent="0.2">
      <c r="A261" t="s">
        <v>332</v>
      </c>
      <c r="B261" s="7">
        <v>5.1632691804989713E-8</v>
      </c>
      <c r="D261" t="s">
        <v>76</v>
      </c>
      <c r="E261" t="s">
        <v>442</v>
      </c>
      <c r="F261" t="s">
        <v>163</v>
      </c>
      <c r="G261" t="s">
        <v>332</v>
      </c>
    </row>
    <row r="262" spans="1:8" x14ac:dyDescent="0.2">
      <c r="A262" t="s">
        <v>290</v>
      </c>
      <c r="B262" s="7">
        <v>1.0039690073192443E-9</v>
      </c>
      <c r="D262" t="s">
        <v>76</v>
      </c>
      <c r="E262" t="s">
        <v>442</v>
      </c>
      <c r="F262" t="s">
        <v>163</v>
      </c>
      <c r="G262" t="s">
        <v>290</v>
      </c>
    </row>
    <row r="263" spans="1:8" x14ac:dyDescent="0.2">
      <c r="A263" t="s">
        <v>292</v>
      </c>
      <c r="B263" s="7">
        <v>3.1075231178928993E-10</v>
      </c>
      <c r="D263" t="s">
        <v>76</v>
      </c>
      <c r="E263" t="s">
        <v>442</v>
      </c>
      <c r="F263" t="s">
        <v>163</v>
      </c>
      <c r="G263" t="s">
        <v>292</v>
      </c>
    </row>
    <row r="264" spans="1:8" x14ac:dyDescent="0.2">
      <c r="A264" t="s">
        <v>291</v>
      </c>
      <c r="B264" s="7">
        <v>3.8246438374066455E-10</v>
      </c>
      <c r="D264" t="s">
        <v>76</v>
      </c>
      <c r="E264" t="s">
        <v>442</v>
      </c>
      <c r="F264" t="s">
        <v>163</v>
      </c>
      <c r="G264" t="s">
        <v>291</v>
      </c>
    </row>
    <row r="265" spans="1:8" x14ac:dyDescent="0.2">
      <c r="A265" t="s">
        <v>335</v>
      </c>
      <c r="B265" s="7">
        <v>7.6492876748132895E-13</v>
      </c>
      <c r="D265" t="s">
        <v>76</v>
      </c>
      <c r="E265" t="s">
        <v>442</v>
      </c>
      <c r="F265" t="s">
        <v>163</v>
      </c>
      <c r="G265" t="s">
        <v>335</v>
      </c>
    </row>
    <row r="266" spans="1:8" x14ac:dyDescent="0.2">
      <c r="A266" t="s">
        <v>333</v>
      </c>
      <c r="B266" s="7">
        <v>2.0796500865898633E-10</v>
      </c>
      <c r="D266" t="s">
        <v>76</v>
      </c>
      <c r="E266" t="s">
        <v>442</v>
      </c>
      <c r="F266" t="s">
        <v>163</v>
      </c>
      <c r="G266" t="s">
        <v>333</v>
      </c>
    </row>
    <row r="267" spans="1:8" x14ac:dyDescent="0.2">
      <c r="A267" t="s">
        <v>334</v>
      </c>
      <c r="B267" s="7">
        <v>2.5816345902494862E-10</v>
      </c>
      <c r="D267" t="s">
        <v>76</v>
      </c>
      <c r="E267" t="s">
        <v>442</v>
      </c>
      <c r="F267" t="s">
        <v>163</v>
      </c>
      <c r="G267" t="s">
        <v>334</v>
      </c>
    </row>
    <row r="268" spans="1:8" x14ac:dyDescent="0.2">
      <c r="A268" t="s">
        <v>155</v>
      </c>
      <c r="B268" s="7">
        <v>-7.5385511472227333E-6</v>
      </c>
      <c r="C268" t="s">
        <v>91</v>
      </c>
      <c r="D268" t="s">
        <v>76</v>
      </c>
      <c r="F268" t="s">
        <v>88</v>
      </c>
      <c r="G268" t="s">
        <v>29</v>
      </c>
      <c r="H268" t="s">
        <v>157</v>
      </c>
    </row>
    <row r="269" spans="1:8" x14ac:dyDescent="0.2">
      <c r="A269" t="s">
        <v>156</v>
      </c>
      <c r="B269" s="7">
        <v>-5.7454099761314755E-6</v>
      </c>
      <c r="C269" t="s">
        <v>91</v>
      </c>
      <c r="D269" t="s">
        <v>76</v>
      </c>
      <c r="F269" t="s">
        <v>88</v>
      </c>
      <c r="G269" t="s">
        <v>30</v>
      </c>
      <c r="H269" t="s">
        <v>158</v>
      </c>
    </row>
    <row r="270" spans="1:8" x14ac:dyDescent="0.2">
      <c r="A270" t="s">
        <v>164</v>
      </c>
      <c r="B270" s="7">
        <v>-4.1119376024139909E-6</v>
      </c>
      <c r="C270" t="s">
        <v>91</v>
      </c>
      <c r="D270" t="s">
        <v>76</v>
      </c>
      <c r="F270" t="s">
        <v>88</v>
      </c>
      <c r="G270" t="s">
        <v>31</v>
      </c>
      <c r="H270" t="s">
        <v>159</v>
      </c>
    </row>
    <row r="272" spans="1:8" ht="16" x14ac:dyDescent="0.2">
      <c r="A272" s="10" t="s">
        <v>70</v>
      </c>
      <c r="B272" s="8" t="s">
        <v>615</v>
      </c>
    </row>
    <row r="273" spans="1:2" x14ac:dyDescent="0.2">
      <c r="A273" t="s">
        <v>71</v>
      </c>
      <c r="B273" t="s">
        <v>37</v>
      </c>
    </row>
    <row r="274" spans="1:2" x14ac:dyDescent="0.2">
      <c r="A274" t="s">
        <v>85</v>
      </c>
      <c r="B274" t="s">
        <v>405</v>
      </c>
    </row>
    <row r="275" spans="1:2" x14ac:dyDescent="0.2">
      <c r="A275" t="s">
        <v>86</v>
      </c>
    </row>
    <row r="276" spans="1:2" x14ac:dyDescent="0.2">
      <c r="A276" t="s">
        <v>87</v>
      </c>
      <c r="B276">
        <v>2020</v>
      </c>
    </row>
    <row r="277" spans="1:2" x14ac:dyDescent="0.2">
      <c r="A277" t="s">
        <v>123</v>
      </c>
      <c r="B277" t="s">
        <v>408</v>
      </c>
    </row>
    <row r="278" spans="1:2" x14ac:dyDescent="0.2">
      <c r="A278" t="s">
        <v>72</v>
      </c>
      <c r="B278" t="s">
        <v>615</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1.1000000000000001</v>
      </c>
    </row>
    <row r="284" spans="1:2" x14ac:dyDescent="0.2">
      <c r="A284" t="s">
        <v>126</v>
      </c>
      <c r="B284">
        <v>1</v>
      </c>
    </row>
    <row r="285" spans="1:2" x14ac:dyDescent="0.2">
      <c r="A285" t="s">
        <v>127</v>
      </c>
      <c r="B285">
        <v>0</v>
      </c>
    </row>
    <row r="286" spans="1:2" x14ac:dyDescent="0.2">
      <c r="A286" t="s">
        <v>128</v>
      </c>
      <c r="B286">
        <v>1776</v>
      </c>
    </row>
    <row r="287" spans="1:2" x14ac:dyDescent="0.2">
      <c r="A287" t="s">
        <v>129</v>
      </c>
      <c r="B287" s="2">
        <v>119.00000583255843</v>
      </c>
    </row>
    <row r="288" spans="1:2" x14ac:dyDescent="0.2">
      <c r="A288" t="s">
        <v>130</v>
      </c>
      <c r="B288">
        <v>9</v>
      </c>
    </row>
    <row r="289" spans="1:8" x14ac:dyDescent="0.2">
      <c r="A289" t="s">
        <v>131</v>
      </c>
      <c r="B289" t="s">
        <v>84</v>
      </c>
    </row>
    <row r="290" spans="1:8" x14ac:dyDescent="0.2">
      <c r="A290" t="s">
        <v>99</v>
      </c>
      <c r="B290">
        <v>0</v>
      </c>
    </row>
    <row r="291" spans="1:8" x14ac:dyDescent="0.2">
      <c r="A291" t="s">
        <v>134</v>
      </c>
      <c r="B291" s="2">
        <v>79.875</v>
      </c>
    </row>
    <row r="292" spans="1:8" x14ac:dyDescent="0.2">
      <c r="A292" t="s">
        <v>135</v>
      </c>
      <c r="B292">
        <v>6.75</v>
      </c>
    </row>
    <row r="293" spans="1:8" x14ac:dyDescent="0.2">
      <c r="A293" t="s">
        <v>132</v>
      </c>
      <c r="B293" s="2">
        <v>285.90268331242163</v>
      </c>
    </row>
    <row r="294" spans="1:8" x14ac:dyDescent="0.2">
      <c r="A294" t="s">
        <v>133</v>
      </c>
      <c r="B294" t="s">
        <v>139</v>
      </c>
    </row>
    <row r="295" spans="1:8" x14ac:dyDescent="0.2">
      <c r="A295" t="s">
        <v>540</v>
      </c>
      <c r="B295" s="6">
        <v>0</v>
      </c>
    </row>
    <row r="296" spans="1:8" x14ac:dyDescent="0.2">
      <c r="A296" t="s">
        <v>82</v>
      </c>
      <c r="B296" t="s">
        <v>616</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615</v>
      </c>
      <c r="B299">
        <v>1</v>
      </c>
      <c r="C299" t="s">
        <v>37</v>
      </c>
      <c r="D299" t="s">
        <v>162</v>
      </c>
      <c r="F299" t="s">
        <v>83</v>
      </c>
      <c r="G299" t="s">
        <v>84</v>
      </c>
      <c r="H299" t="s">
        <v>615</v>
      </c>
    </row>
    <row r="300" spans="1:8" x14ac:dyDescent="0.2">
      <c r="A300" t="s">
        <v>405</v>
      </c>
      <c r="B300" s="7">
        <v>4.0000000000000003E-5</v>
      </c>
      <c r="C300" t="s">
        <v>37</v>
      </c>
      <c r="D300" t="s">
        <v>75</v>
      </c>
      <c r="F300" t="s">
        <v>88</v>
      </c>
      <c r="H300" t="s">
        <v>405</v>
      </c>
    </row>
    <row r="301" spans="1:8" x14ac:dyDescent="0.2">
      <c r="A301" t="s">
        <v>106</v>
      </c>
      <c r="B301" s="7">
        <v>1.1142750313208388E-4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2.3609432138920861E-2</v>
      </c>
      <c r="C304" t="s">
        <v>37</v>
      </c>
      <c r="D304" t="s">
        <v>76</v>
      </c>
      <c r="F304" t="s">
        <v>88</v>
      </c>
      <c r="G304" t="s">
        <v>27</v>
      </c>
      <c r="H304" t="s">
        <v>452</v>
      </c>
    </row>
    <row r="305" spans="1:7" x14ac:dyDescent="0.2">
      <c r="A305" t="s">
        <v>150</v>
      </c>
      <c r="B305" s="11">
        <v>7.3244013513216966E-2</v>
      </c>
      <c r="D305" t="s">
        <v>76</v>
      </c>
      <c r="E305" t="s">
        <v>442</v>
      </c>
      <c r="F305" t="s">
        <v>163</v>
      </c>
      <c r="G305" t="s">
        <v>65</v>
      </c>
    </row>
    <row r="306" spans="1:7" x14ac:dyDescent="0.2">
      <c r="A306" t="s">
        <v>448</v>
      </c>
      <c r="B306" s="11">
        <v>8.8960340299453812E-4</v>
      </c>
      <c r="D306" t="s">
        <v>76</v>
      </c>
      <c r="E306" t="s">
        <v>442</v>
      </c>
      <c r="F306" t="s">
        <v>163</v>
      </c>
      <c r="G306" t="s">
        <v>446</v>
      </c>
    </row>
    <row r="307" spans="1:7" x14ac:dyDescent="0.2">
      <c r="A307" t="s">
        <v>210</v>
      </c>
      <c r="B307" s="7">
        <v>3.7775091422273376E-7</v>
      </c>
      <c r="D307" t="s">
        <v>76</v>
      </c>
      <c r="E307" t="s">
        <v>442</v>
      </c>
      <c r="F307" t="s">
        <v>163</v>
      </c>
      <c r="G307" t="s">
        <v>66</v>
      </c>
    </row>
    <row r="308" spans="1:7" x14ac:dyDescent="0.2">
      <c r="A308" t="s">
        <v>54</v>
      </c>
      <c r="B308" s="7">
        <v>3.0028551502939905E-6</v>
      </c>
      <c r="D308" t="s">
        <v>76</v>
      </c>
      <c r="E308" t="s">
        <v>442</v>
      </c>
      <c r="F308" t="s">
        <v>163</v>
      </c>
      <c r="G308" t="s">
        <v>54</v>
      </c>
    </row>
    <row r="309" spans="1:7" x14ac:dyDescent="0.2">
      <c r="A309" t="s">
        <v>151</v>
      </c>
      <c r="B309" s="7">
        <v>5.5743948816324545E-5</v>
      </c>
      <c r="D309" t="s">
        <v>76</v>
      </c>
      <c r="E309" t="s">
        <v>442</v>
      </c>
      <c r="F309" t="s">
        <v>163</v>
      </c>
      <c r="G309" t="s">
        <v>55</v>
      </c>
    </row>
    <row r="310" spans="1:7" x14ac:dyDescent="0.2">
      <c r="A310" t="s">
        <v>152</v>
      </c>
      <c r="B310" s="7">
        <v>7.1242322292383402E-4</v>
      </c>
      <c r="D310" t="s">
        <v>76</v>
      </c>
      <c r="E310" t="s">
        <v>442</v>
      </c>
      <c r="F310" t="s">
        <v>163</v>
      </c>
      <c r="G310" t="s">
        <v>56</v>
      </c>
    </row>
    <row r="311" spans="1:7" x14ac:dyDescent="0.2">
      <c r="A311" t="s">
        <v>211</v>
      </c>
      <c r="B311" s="7">
        <v>1.9908553148687333E-6</v>
      </c>
      <c r="D311" t="s">
        <v>76</v>
      </c>
      <c r="E311" t="s">
        <v>442</v>
      </c>
      <c r="F311" t="s">
        <v>163</v>
      </c>
      <c r="G311" t="s">
        <v>57</v>
      </c>
    </row>
    <row r="312" spans="1:7" x14ac:dyDescent="0.2">
      <c r="A312" t="s">
        <v>153</v>
      </c>
      <c r="B312" s="7">
        <v>1.9908553148687333E-6</v>
      </c>
      <c r="D312" t="s">
        <v>76</v>
      </c>
      <c r="E312" t="s">
        <v>442</v>
      </c>
      <c r="F312" t="s">
        <v>163</v>
      </c>
      <c r="G312" t="s">
        <v>58</v>
      </c>
    </row>
    <row r="313" spans="1:7" x14ac:dyDescent="0.2">
      <c r="A313" t="s">
        <v>154</v>
      </c>
      <c r="B313" s="7">
        <v>1.8315516128898121E-5</v>
      </c>
      <c r="D313" t="s">
        <v>76</v>
      </c>
      <c r="E313" t="s">
        <v>442</v>
      </c>
      <c r="F313" t="s">
        <v>163</v>
      </c>
      <c r="G313" t="s">
        <v>59</v>
      </c>
    </row>
    <row r="314" spans="1:7" x14ac:dyDescent="0.2">
      <c r="A314" t="s">
        <v>212</v>
      </c>
      <c r="B314" s="7">
        <v>4.9771382871718332E-6</v>
      </c>
      <c r="D314" t="s">
        <v>76</v>
      </c>
      <c r="E314" t="s">
        <v>442</v>
      </c>
      <c r="F314" t="s">
        <v>163</v>
      </c>
      <c r="G314" t="s">
        <v>61</v>
      </c>
    </row>
    <row r="315" spans="1:7" x14ac:dyDescent="0.2">
      <c r="A315" t="s">
        <v>207</v>
      </c>
      <c r="B315" s="7">
        <v>2.4215537789536568E-5</v>
      </c>
      <c r="D315" t="s">
        <v>76</v>
      </c>
      <c r="E315" t="s">
        <v>442</v>
      </c>
      <c r="F315" t="s">
        <v>163</v>
      </c>
      <c r="G315" t="s">
        <v>360</v>
      </c>
    </row>
    <row r="316" spans="1:7" x14ac:dyDescent="0.2">
      <c r="A316" t="s">
        <v>309</v>
      </c>
      <c r="B316" s="7">
        <v>1.7075058697750144E-6</v>
      </c>
      <c r="D316" t="s">
        <v>76</v>
      </c>
      <c r="E316" t="s">
        <v>442</v>
      </c>
      <c r="F316" t="s">
        <v>163</v>
      </c>
      <c r="G316" t="s">
        <v>309</v>
      </c>
    </row>
    <row r="317" spans="1:7" x14ac:dyDescent="0.2">
      <c r="A317" t="s">
        <v>310</v>
      </c>
      <c r="B317" s="7">
        <v>3.4792439352782425E-7</v>
      </c>
      <c r="D317" t="s">
        <v>76</v>
      </c>
      <c r="E317" t="s">
        <v>442</v>
      </c>
      <c r="F317" t="s">
        <v>163</v>
      </c>
      <c r="G317" t="s">
        <v>310</v>
      </c>
    </row>
    <row r="318" spans="1:7" x14ac:dyDescent="0.2">
      <c r="A318" t="s">
        <v>311</v>
      </c>
      <c r="B318" s="7">
        <v>2.804805880131999E-6</v>
      </c>
      <c r="D318" t="s">
        <v>76</v>
      </c>
      <c r="E318" t="s">
        <v>442</v>
      </c>
      <c r="F318" t="s">
        <v>163</v>
      </c>
      <c r="G318" t="s">
        <v>311</v>
      </c>
    </row>
    <row r="319" spans="1:7" x14ac:dyDescent="0.2">
      <c r="A319" t="s">
        <v>312</v>
      </c>
      <c r="B319" s="7">
        <v>1.1508268401304956E-6</v>
      </c>
      <c r="D319" t="s">
        <v>76</v>
      </c>
      <c r="E319" t="s">
        <v>442</v>
      </c>
      <c r="F319" t="s">
        <v>163</v>
      </c>
      <c r="G319" t="s">
        <v>312</v>
      </c>
    </row>
    <row r="320" spans="1:7" x14ac:dyDescent="0.2">
      <c r="A320" t="s">
        <v>313</v>
      </c>
      <c r="B320" s="7">
        <v>8.6178195935353402E-7</v>
      </c>
      <c r="D320" t="s">
        <v>76</v>
      </c>
      <c r="E320" t="s">
        <v>442</v>
      </c>
      <c r="F320" t="s">
        <v>163</v>
      </c>
      <c r="G320" t="s">
        <v>313</v>
      </c>
    </row>
    <row r="321" spans="1:7" x14ac:dyDescent="0.2">
      <c r="A321" t="s">
        <v>314</v>
      </c>
      <c r="B321" s="7">
        <v>6.1020585941803032E-7</v>
      </c>
      <c r="D321" t="s">
        <v>76</v>
      </c>
      <c r="E321" t="s">
        <v>442</v>
      </c>
      <c r="F321" t="s">
        <v>163</v>
      </c>
      <c r="G321" t="s">
        <v>314</v>
      </c>
    </row>
    <row r="322" spans="1:7" x14ac:dyDescent="0.2">
      <c r="A322" t="s">
        <v>315</v>
      </c>
      <c r="B322" s="7">
        <v>3.960985403239846E-7</v>
      </c>
      <c r="D322" t="s">
        <v>76</v>
      </c>
      <c r="E322" t="s">
        <v>442</v>
      </c>
      <c r="F322" t="s">
        <v>163</v>
      </c>
      <c r="G322" t="s">
        <v>315</v>
      </c>
    </row>
    <row r="323" spans="1:7" x14ac:dyDescent="0.2">
      <c r="A323" t="s">
        <v>316</v>
      </c>
      <c r="B323" s="7">
        <v>3.9074585734663338E-6</v>
      </c>
      <c r="D323" t="s">
        <v>76</v>
      </c>
      <c r="E323" t="s">
        <v>442</v>
      </c>
      <c r="F323" t="s">
        <v>163</v>
      </c>
      <c r="G323" t="s">
        <v>316</v>
      </c>
    </row>
    <row r="324" spans="1:7" x14ac:dyDescent="0.2">
      <c r="A324" t="s">
        <v>317</v>
      </c>
      <c r="B324" s="7">
        <v>2.0447248973481361E-6</v>
      </c>
      <c r="D324" t="s">
        <v>76</v>
      </c>
      <c r="E324" t="s">
        <v>442</v>
      </c>
      <c r="F324" t="s">
        <v>163</v>
      </c>
      <c r="G324" t="s">
        <v>317</v>
      </c>
    </row>
    <row r="325" spans="1:7" x14ac:dyDescent="0.2">
      <c r="A325" t="s">
        <v>318</v>
      </c>
      <c r="B325" s="7">
        <v>5.8879512750862572E-8</v>
      </c>
      <c r="D325" t="s">
        <v>76</v>
      </c>
      <c r="E325" t="s">
        <v>442</v>
      </c>
      <c r="F325" t="s">
        <v>163</v>
      </c>
      <c r="G325" t="s">
        <v>318</v>
      </c>
    </row>
    <row r="326" spans="1:7" x14ac:dyDescent="0.2">
      <c r="A326" t="s">
        <v>319</v>
      </c>
      <c r="B326" s="7">
        <v>5.877245909131555E-6</v>
      </c>
      <c r="D326" t="s">
        <v>76</v>
      </c>
      <c r="E326" t="s">
        <v>442</v>
      </c>
      <c r="F326" t="s">
        <v>163</v>
      </c>
      <c r="G326" t="s">
        <v>319</v>
      </c>
    </row>
    <row r="327" spans="1:7" x14ac:dyDescent="0.2">
      <c r="A327" t="s">
        <v>320</v>
      </c>
      <c r="B327" s="7">
        <v>2.9065068567016706E-6</v>
      </c>
      <c r="D327" t="s">
        <v>76</v>
      </c>
      <c r="E327" t="s">
        <v>442</v>
      </c>
      <c r="F327" t="s">
        <v>163</v>
      </c>
      <c r="G327" t="s">
        <v>320</v>
      </c>
    </row>
    <row r="328" spans="1:7" x14ac:dyDescent="0.2">
      <c r="A328" t="s">
        <v>321</v>
      </c>
      <c r="B328" s="7">
        <v>1.2097063528813583E-6</v>
      </c>
      <c r="D328" t="s">
        <v>76</v>
      </c>
      <c r="E328" t="s">
        <v>442</v>
      </c>
      <c r="F328" t="s">
        <v>163</v>
      </c>
      <c r="G328" t="s">
        <v>321</v>
      </c>
    </row>
    <row r="329" spans="1:7" x14ac:dyDescent="0.2">
      <c r="A329" t="s">
        <v>322</v>
      </c>
      <c r="B329" s="7">
        <v>9.0995610614969421E-7</v>
      </c>
      <c r="D329" t="s">
        <v>76</v>
      </c>
      <c r="E329" t="s">
        <v>442</v>
      </c>
      <c r="F329" t="s">
        <v>163</v>
      </c>
      <c r="G329" t="s">
        <v>322</v>
      </c>
    </row>
    <row r="330" spans="1:7" x14ac:dyDescent="0.2">
      <c r="A330" t="s">
        <v>323</v>
      </c>
      <c r="B330" s="7">
        <v>4.0145122330133565E-7</v>
      </c>
      <c r="D330" t="s">
        <v>76</v>
      </c>
      <c r="E330" t="s">
        <v>442</v>
      </c>
      <c r="F330" t="s">
        <v>163</v>
      </c>
      <c r="G330" t="s">
        <v>323</v>
      </c>
    </row>
    <row r="331" spans="1:7" x14ac:dyDescent="0.2">
      <c r="A331" t="s">
        <v>324</v>
      </c>
      <c r="B331" s="7">
        <v>1.1775902550172514E-7</v>
      </c>
      <c r="D331" t="s">
        <v>76</v>
      </c>
      <c r="E331" t="s">
        <v>442</v>
      </c>
      <c r="F331" t="s">
        <v>163</v>
      </c>
      <c r="G331" t="s">
        <v>324</v>
      </c>
    </row>
    <row r="332" spans="1:7" x14ac:dyDescent="0.2">
      <c r="A332" t="s">
        <v>325</v>
      </c>
      <c r="B332" s="7">
        <v>3.2651366161841968E-7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1.017009765696717E-7</v>
      </c>
      <c r="D334" t="s">
        <v>76</v>
      </c>
      <c r="E334" t="s">
        <v>442</v>
      </c>
      <c r="F334" t="s">
        <v>163</v>
      </c>
      <c r="G334" t="s">
        <v>326</v>
      </c>
    </row>
    <row r="335" spans="1:7" x14ac:dyDescent="0.2">
      <c r="A335" t="s">
        <v>327</v>
      </c>
      <c r="B335" s="7">
        <v>5.4062098071246539E-7</v>
      </c>
      <c r="D335" t="s">
        <v>76</v>
      </c>
      <c r="E335" t="s">
        <v>442</v>
      </c>
      <c r="F335" t="s">
        <v>163</v>
      </c>
      <c r="G335" t="s">
        <v>327</v>
      </c>
    </row>
    <row r="336" spans="1:7" x14ac:dyDescent="0.2">
      <c r="A336" t="s">
        <v>336</v>
      </c>
      <c r="B336" s="7">
        <v>8.2354143428958587E-10</v>
      </c>
      <c r="D336" t="s">
        <v>76</v>
      </c>
      <c r="E336" t="s">
        <v>442</v>
      </c>
      <c r="F336" t="s">
        <v>163</v>
      </c>
      <c r="G336" t="s">
        <v>329</v>
      </c>
    </row>
    <row r="337" spans="1:8" x14ac:dyDescent="0.2">
      <c r="A337" t="s">
        <v>330</v>
      </c>
      <c r="B337" s="7">
        <v>7.0994951231860852E-12</v>
      </c>
      <c r="D337" t="s">
        <v>76</v>
      </c>
      <c r="E337" t="s">
        <v>442</v>
      </c>
      <c r="F337" t="s">
        <v>163</v>
      </c>
      <c r="G337" t="s">
        <v>330</v>
      </c>
    </row>
    <row r="338" spans="1:8" x14ac:dyDescent="0.2">
      <c r="A338" t="s">
        <v>331</v>
      </c>
      <c r="B338" s="7">
        <v>4.7329967487907232E-12</v>
      </c>
      <c r="D338" t="s">
        <v>76</v>
      </c>
      <c r="E338" t="s">
        <v>442</v>
      </c>
      <c r="F338" t="s">
        <v>163</v>
      </c>
      <c r="G338" t="s">
        <v>331</v>
      </c>
    </row>
    <row r="339" spans="1:8" x14ac:dyDescent="0.2">
      <c r="A339" t="s">
        <v>332</v>
      </c>
      <c r="B339" s="7">
        <v>5.1116364886939815E-8</v>
      </c>
      <c r="D339" t="s">
        <v>76</v>
      </c>
      <c r="E339" t="s">
        <v>442</v>
      </c>
      <c r="F339" t="s">
        <v>163</v>
      </c>
      <c r="G339" t="s">
        <v>332</v>
      </c>
    </row>
    <row r="340" spans="1:8" x14ac:dyDescent="0.2">
      <c r="A340" t="s">
        <v>290</v>
      </c>
      <c r="B340" s="7">
        <v>9.9392931724605184E-10</v>
      </c>
      <c r="D340" t="s">
        <v>76</v>
      </c>
      <c r="E340" t="s">
        <v>442</v>
      </c>
      <c r="F340" t="s">
        <v>163</v>
      </c>
      <c r="G340" t="s">
        <v>290</v>
      </c>
    </row>
    <row r="341" spans="1:8" x14ac:dyDescent="0.2">
      <c r="A341" t="s">
        <v>292</v>
      </c>
      <c r="B341" s="7">
        <v>3.0764478867139705E-10</v>
      </c>
      <c r="D341" t="s">
        <v>76</v>
      </c>
      <c r="E341" t="s">
        <v>442</v>
      </c>
      <c r="F341" t="s">
        <v>163</v>
      </c>
      <c r="G341" t="s">
        <v>292</v>
      </c>
    </row>
    <row r="342" spans="1:8" x14ac:dyDescent="0.2">
      <c r="A342" t="s">
        <v>291</v>
      </c>
      <c r="B342" s="7">
        <v>3.786397399032579E-10</v>
      </c>
      <c r="D342" t="s">
        <v>76</v>
      </c>
      <c r="E342" t="s">
        <v>442</v>
      </c>
      <c r="F342" t="s">
        <v>163</v>
      </c>
      <c r="G342" t="s">
        <v>291</v>
      </c>
    </row>
    <row r="343" spans="1:8" x14ac:dyDescent="0.2">
      <c r="A343" t="s">
        <v>335</v>
      </c>
      <c r="B343" s="7">
        <v>7.5727947980651569E-13</v>
      </c>
      <c r="D343" t="s">
        <v>76</v>
      </c>
      <c r="E343" t="s">
        <v>442</v>
      </c>
      <c r="F343" t="s">
        <v>163</v>
      </c>
      <c r="G343" t="s">
        <v>335</v>
      </c>
    </row>
    <row r="344" spans="1:8" x14ac:dyDescent="0.2">
      <c r="A344" t="s">
        <v>333</v>
      </c>
      <c r="B344" s="7">
        <v>2.0588535857239647E-10</v>
      </c>
      <c r="D344" t="s">
        <v>76</v>
      </c>
      <c r="E344" t="s">
        <v>442</v>
      </c>
      <c r="F344" t="s">
        <v>163</v>
      </c>
      <c r="G344" t="s">
        <v>333</v>
      </c>
    </row>
    <row r="345" spans="1:8" x14ac:dyDescent="0.2">
      <c r="A345" t="s">
        <v>334</v>
      </c>
      <c r="B345" s="7">
        <v>2.5558182443469911E-10</v>
      </c>
      <c r="D345" t="s">
        <v>76</v>
      </c>
      <c r="E345" t="s">
        <v>442</v>
      </c>
      <c r="F345" t="s">
        <v>163</v>
      </c>
      <c r="G345" t="s">
        <v>334</v>
      </c>
    </row>
    <row r="346" spans="1:8" x14ac:dyDescent="0.2">
      <c r="A346" t="s">
        <v>155</v>
      </c>
      <c r="B346" s="7">
        <v>-7.5010320003631441E-6</v>
      </c>
      <c r="C346" t="s">
        <v>91</v>
      </c>
      <c r="D346" t="s">
        <v>76</v>
      </c>
      <c r="F346" t="s">
        <v>88</v>
      </c>
      <c r="G346" t="s">
        <v>29</v>
      </c>
      <c r="H346" t="s">
        <v>157</v>
      </c>
    </row>
    <row r="347" spans="1:8" x14ac:dyDescent="0.2">
      <c r="A347" t="s">
        <v>156</v>
      </c>
      <c r="B347" s="7">
        <v>-5.7255953221129413E-6</v>
      </c>
      <c r="C347" t="s">
        <v>91</v>
      </c>
      <c r="D347" t="s">
        <v>76</v>
      </c>
      <c r="F347" t="s">
        <v>88</v>
      </c>
      <c r="G347" t="s">
        <v>30</v>
      </c>
      <c r="H347" t="s">
        <v>158</v>
      </c>
    </row>
    <row r="348" spans="1:8" x14ac:dyDescent="0.2">
      <c r="A348" t="s">
        <v>164</v>
      </c>
      <c r="B348" s="7">
        <v>-4.0951102276429758E-6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385</v>
      </c>
    </row>
    <row r="2" spans="1:2" x14ac:dyDescent="0.2">
      <c r="A2" t="s">
        <v>71</v>
      </c>
      <c r="B2" t="s">
        <v>37</v>
      </c>
    </row>
    <row r="3" spans="1:2" x14ac:dyDescent="0.2">
      <c r="A3" t="s">
        <v>85</v>
      </c>
      <c r="B3" t="s">
        <v>385</v>
      </c>
    </row>
    <row r="4" spans="1:2" x14ac:dyDescent="0.2">
      <c r="A4" t="s">
        <v>86</v>
      </c>
    </row>
    <row r="5" spans="1:2" x14ac:dyDescent="0.2">
      <c r="A5" t="s">
        <v>87</v>
      </c>
      <c r="B5">
        <v>2006</v>
      </c>
    </row>
    <row r="6" spans="1:2" x14ac:dyDescent="0.2">
      <c r="A6" t="s">
        <v>123</v>
      </c>
      <c r="B6" t="s">
        <v>388</v>
      </c>
    </row>
    <row r="7" spans="1:2" x14ac:dyDescent="0.2">
      <c r="A7" t="s">
        <v>72</v>
      </c>
      <c r="B7" t="s">
        <v>385</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0</v>
      </c>
    </row>
    <row r="15" spans="1:2" x14ac:dyDescent="0.2">
      <c r="A15" t="s">
        <v>128</v>
      </c>
      <c r="B15">
        <v>2405</v>
      </c>
    </row>
    <row r="16" spans="1:2" x14ac:dyDescent="0.2">
      <c r="A16" t="s">
        <v>129</v>
      </c>
      <c r="B16" s="2">
        <v>159.98750000000001</v>
      </c>
    </row>
    <row r="17" spans="1:8" x14ac:dyDescent="0.2">
      <c r="A17" t="s">
        <v>130</v>
      </c>
      <c r="B17">
        <v>20</v>
      </c>
    </row>
    <row r="18" spans="1:8" x14ac:dyDescent="0.2">
      <c r="A18" t="s">
        <v>131</v>
      </c>
      <c r="B18" t="s">
        <v>84</v>
      </c>
    </row>
    <row r="19" spans="1:8" x14ac:dyDescent="0.2">
      <c r="A19" t="s">
        <v>99</v>
      </c>
      <c r="B19">
        <v>0</v>
      </c>
    </row>
    <row r="20" spans="1:8" x14ac:dyDescent="0.2">
      <c r="A20" t="s">
        <v>134</v>
      </c>
      <c r="B20" s="2">
        <v>133.125</v>
      </c>
    </row>
    <row r="21" spans="1:8" x14ac:dyDescent="0.2">
      <c r="A21" t="s">
        <v>135</v>
      </c>
      <c r="B21">
        <v>11.25</v>
      </c>
    </row>
    <row r="22" spans="1:8" x14ac:dyDescent="0.2">
      <c r="A22" t="s">
        <v>132</v>
      </c>
      <c r="B22" s="2">
        <v>322.02291022423861</v>
      </c>
    </row>
    <row r="23" spans="1:8" x14ac:dyDescent="0.2">
      <c r="A23" t="s">
        <v>133</v>
      </c>
      <c r="B23" t="s">
        <v>137</v>
      </c>
    </row>
    <row r="24" spans="1:8" ht="15" customHeight="1"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385</v>
      </c>
      <c r="B31">
        <v>1</v>
      </c>
      <c r="C31" t="s">
        <v>37</v>
      </c>
      <c r="D31" t="s">
        <v>75</v>
      </c>
      <c r="F31" t="s">
        <v>83</v>
      </c>
      <c r="G31" t="s">
        <v>84</v>
      </c>
      <c r="H31" t="s">
        <v>385</v>
      </c>
    </row>
    <row r="32" spans="1:8" x14ac:dyDescent="0.2">
      <c r="A32" t="s">
        <v>111</v>
      </c>
      <c r="B32" s="6">
        <v>0.9</v>
      </c>
      <c r="C32" t="s">
        <v>91</v>
      </c>
      <c r="D32" t="s">
        <v>75</v>
      </c>
      <c r="F32" t="s">
        <v>88</v>
      </c>
      <c r="G32" t="s">
        <v>15</v>
      </c>
      <c r="H32" t="s">
        <v>112</v>
      </c>
    </row>
    <row r="33" spans="1:8" x14ac:dyDescent="0.2">
      <c r="A33" t="inlineStr">
        <is>
          <t>mechanical powertrain, motorcycle, gasoline, engineering reference</t>
        </is>
      </c>
      <c r="B33" s="6">
        <v>62.0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1.6875</v>
      </c>
      <c r="C34" t="s">
        <v>91</v>
      </c>
      <c r="D34" t="s">
        <v>76</v>
      </c>
      <c r="F34" t="s">
        <v>88</v>
      </c>
      <c r="G34" t="s">
        <v>24</v>
      </c>
      <c r="H34" t="s">
        <v>114</v>
      </c>
    </row>
    <row r="35" spans="1:8" x14ac:dyDescent="0.2">
      <c r="A35" t="inlineStr">
        <is>
          <t>fuel tank forming, motorcycle engineering reference</t>
        </is>
      </c>
      <c r="B35" s="6">
        <v>1.6976861167002013</v>
      </c>
      <c r="C35" t="inlineStr">
        <is>
          <t>RER</t>
        </is>
      </c>
      <c r="D35" t="s">
        <v>76</v>
      </c>
      <c r="F35" t="s">
        <v>88</v>
      </c>
      <c r="G35" t="s">
        <v>412</v>
      </c>
      <c r="H35" t="inlineStr">
        <is>
          <t>fuel tank forming, motorcycle engineering reference</t>
        </is>
      </c>
    </row>
    <row r="36" spans="1:8" x14ac:dyDescent="0.2">
      <c r="A36" s="13" t="s">
        <v>443</v>
      </c>
      <c r="B36" s="2">
        <v>159.98750000000001</v>
      </c>
      <c r="C36" t="s">
        <v>91</v>
      </c>
      <c r="D36" t="s">
        <v>191</v>
      </c>
      <c r="F36" t="s">
        <v>88</v>
      </c>
      <c r="H36" s="13" t="s">
        <v>444</v>
      </c>
    </row>
    <row r="37" spans="1:8" x14ac:dyDescent="0.2">
      <c r="A37" s="13" t="s">
        <v>214</v>
      </c>
      <c r="B37" s="2">
        <v>2543.80125</v>
      </c>
      <c r="C37" t="s">
        <v>94</v>
      </c>
      <c r="D37" t="s">
        <v>191</v>
      </c>
      <c r="F37" t="s">
        <v>88</v>
      </c>
      <c r="H37" s="13" t="s">
        <v>214</v>
      </c>
    </row>
    <row r="38" spans="1:8" x14ac:dyDescent="0.2">
      <c r="B38" s="11"/>
    </row>
    <row r="39" spans="1:8" ht="16" x14ac:dyDescent="0.2">
      <c r="A39" s="10" t="s">
        <v>70</v>
      </c>
      <c r="B39" s="8" t="s">
        <v>386</v>
      </c>
    </row>
    <row r="40" spans="1:8" x14ac:dyDescent="0.2">
      <c r="A40" t="s">
        <v>71</v>
      </c>
      <c r="B40" t="s">
        <v>37</v>
      </c>
    </row>
    <row r="41" spans="1:8" x14ac:dyDescent="0.2">
      <c r="A41" t="s">
        <v>85</v>
      </c>
      <c r="B41" t="s">
        <v>386</v>
      </c>
    </row>
    <row r="42" spans="1:8" x14ac:dyDescent="0.2">
      <c r="A42" t="s">
        <v>86</v>
      </c>
    </row>
    <row r="43" spans="1:8" x14ac:dyDescent="0.2">
      <c r="A43" t="s">
        <v>87</v>
      </c>
      <c r="B43">
        <v>2016</v>
      </c>
    </row>
    <row r="44" spans="1:8" x14ac:dyDescent="0.2">
      <c r="A44" t="s">
        <v>123</v>
      </c>
      <c r="B44" t="s">
        <v>389</v>
      </c>
    </row>
    <row r="45" spans="1:8" x14ac:dyDescent="0.2">
      <c r="A45" t="s">
        <v>72</v>
      </c>
      <c r="B45" t="s">
        <v>386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38500</v>
      </c>
    </row>
    <row r="50" spans="1:2" x14ac:dyDescent="0.2">
      <c r="A50" t="s">
        <v>125</v>
      </c>
      <c r="B50">
        <v>1.1000000000000001</v>
      </c>
    </row>
    <row r="51" spans="1:2" x14ac:dyDescent="0.2">
      <c r="A51" t="s">
        <v>126</v>
      </c>
      <c r="B51">
        <v>1.54</v>
      </c>
    </row>
    <row r="52" spans="1:2" x14ac:dyDescent="0.2">
      <c r="A52" t="s">
        <v>127</v>
      </c>
      <c r="B52">
        <v>0</v>
      </c>
    </row>
    <row r="53" spans="1:2" x14ac:dyDescent="0.2">
      <c r="A53" t="s">
        <v>128</v>
      </c>
      <c r="B53">
        <v>2405</v>
      </c>
    </row>
    <row r="54" spans="1:2" x14ac:dyDescent="0.2">
      <c r="A54" t="s">
        <v>129</v>
      </c>
      <c r="B54" s="2">
        <v>157.5575</v>
      </c>
    </row>
    <row r="55" spans="1:2" x14ac:dyDescent="0.2">
      <c r="A55" t="s">
        <v>130</v>
      </c>
      <c r="B55">
        <v>20</v>
      </c>
    </row>
    <row r="56" spans="1:2" x14ac:dyDescent="0.2">
      <c r="A56" t="s">
        <v>131</v>
      </c>
      <c r="B56" t="s">
        <v>84</v>
      </c>
    </row>
    <row r="57" spans="1:2" x14ac:dyDescent="0.2">
      <c r="A57" t="s">
        <v>99</v>
      </c>
      <c r="B57">
        <v>0</v>
      </c>
    </row>
    <row r="58" spans="1:2" x14ac:dyDescent="0.2">
      <c r="A58" t="s">
        <v>134</v>
      </c>
      <c r="B58" s="2">
        <v>133.125</v>
      </c>
    </row>
    <row r="59" spans="1:2" x14ac:dyDescent="0.2">
      <c r="A59" t="s">
        <v>135</v>
      </c>
      <c r="B59">
        <v>11.25</v>
      </c>
    </row>
    <row r="60" spans="1:2" x14ac:dyDescent="0.2">
      <c r="A60" t="s">
        <v>132</v>
      </c>
      <c r="B60" s="2">
        <v>325.24313932648096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386</v>
      </c>
      <c r="B69">
        <v>1</v>
      </c>
      <c r="C69" t="s">
        <v>37</v>
      </c>
      <c r="D69" t="s">
        <v>75</v>
      </c>
      <c r="F69" t="s">
        <v>83</v>
      </c>
      <c r="G69" t="s">
        <v>84</v>
      </c>
      <c r="H69" t="s">
        <v>386</v>
      </c>
    </row>
    <row r="70" spans="1:8" x14ac:dyDescent="0.2">
      <c r="A70" t="s">
        <v>111</v>
      </c>
      <c r="B70" s="6">
        <v>0.9</v>
      </c>
      <c r="C70" t="s">
        <v>91</v>
      </c>
      <c r="D70" t="s">
        <v>75</v>
      </c>
      <c r="F70" t="s">
        <v>88</v>
      </c>
      <c r="G70" t="s">
        <v>15</v>
      </c>
      <c r="H70" t="s">
        <v>112</v>
      </c>
    </row>
    <row r="71" spans="1:8" x14ac:dyDescent="0.2">
      <c r="A71" t="inlineStr">
        <is>
          <t>mechanical powertrain, motorcycle, gasoline, engineering reference</t>
        </is>
      </c>
      <c r="B71" s="6">
        <v>62.0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1.6875</v>
      </c>
      <c r="C72" t="s">
        <v>91</v>
      </c>
      <c r="D72" t="s">
        <v>76</v>
      </c>
      <c r="F72" t="s">
        <v>88</v>
      </c>
      <c r="G72" t="s">
        <v>24</v>
      </c>
      <c r="H72" t="s">
        <v>114</v>
      </c>
    </row>
    <row r="73" spans="1:8" x14ac:dyDescent="0.2">
      <c r="A73" t="inlineStr">
        <is>
          <t>fuel tank forming, motorcycle engineering reference</t>
        </is>
      </c>
      <c r="B73" s="6">
        <v>1.6976861167002013</v>
      </c>
      <c r="C73" t="inlineStr">
        <is>
          <t>RER</t>
        </is>
      </c>
      <c r="D73" t="s">
        <v>76</v>
      </c>
      <c r="F73" t="s">
        <v>88</v>
      </c>
      <c r="G73" t="s">
        <v>412</v>
      </c>
      <c r="H73" t="inlineStr">
        <is>
          <t>fuel tank forming, motorcycle engineering reference</t>
        </is>
      </c>
    </row>
    <row r="74" spans="1:8" x14ac:dyDescent="0.2">
      <c r="A74" s="13" t="s">
        <v>443</v>
      </c>
      <c r="B74" s="2">
        <v>157.5575</v>
      </c>
      <c r="C74" t="s">
        <v>91</v>
      </c>
      <c r="D74" t="s">
        <v>191</v>
      </c>
      <c r="F74" t="s">
        <v>88</v>
      </c>
      <c r="H74" s="13" t="s">
        <v>444</v>
      </c>
    </row>
    <row r="75" spans="1:8" x14ac:dyDescent="0.2">
      <c r="A75" s="13" t="s">
        <v>214</v>
      </c>
      <c r="B75" s="2">
        <v>2505.1642500000003</v>
      </c>
      <c r="C75" t="s">
        <v>94</v>
      </c>
      <c r="D75" t="s">
        <v>191</v>
      </c>
      <c r="F75" t="s">
        <v>88</v>
      </c>
      <c r="H75" s="13" t="s">
        <v>214</v>
      </c>
    </row>
    <row r="77" spans="1:8" ht="16" x14ac:dyDescent="0.2">
      <c r="A77" s="10" t="s">
        <v>70</v>
      </c>
      <c r="B77" s="8" t="s">
        <v>387</v>
      </c>
    </row>
    <row r="78" spans="1:8" x14ac:dyDescent="0.2">
      <c r="A78" t="s">
        <v>71</v>
      </c>
      <c r="B78" t="s">
        <v>37</v>
      </c>
    </row>
    <row r="79" spans="1:8" x14ac:dyDescent="0.2">
      <c r="A79" t="s">
        <v>85</v>
      </c>
      <c r="B79" t="s">
        <v>387</v>
      </c>
    </row>
    <row r="80" spans="1:8" x14ac:dyDescent="0.2">
      <c r="A80" t="s">
        <v>86</v>
      </c>
    </row>
    <row r="81" spans="1:2" x14ac:dyDescent="0.2">
      <c r="A81" t="s">
        <v>87</v>
      </c>
      <c r="B81">
        <v>2020</v>
      </c>
    </row>
    <row r="82" spans="1:2" x14ac:dyDescent="0.2">
      <c r="A82" t="s">
        <v>123</v>
      </c>
      <c r="B82" t="s">
        <v>390</v>
      </c>
    </row>
    <row r="83" spans="1:2" x14ac:dyDescent="0.2">
      <c r="A83" t="s">
        <v>72</v>
      </c>
      <c r="B83" t="s">
        <v>387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38500</v>
      </c>
    </row>
    <row r="88" spans="1:2" x14ac:dyDescent="0.2">
      <c r="A88" t="s">
        <v>125</v>
      </c>
      <c r="B88">
        <v>1.1000000000000001</v>
      </c>
    </row>
    <row r="89" spans="1:2" x14ac:dyDescent="0.2">
      <c r="A89" t="s">
        <v>126</v>
      </c>
      <c r="B89">
        <v>1.54</v>
      </c>
    </row>
    <row r="90" spans="1:2" x14ac:dyDescent="0.2">
      <c r="A90" t="s">
        <v>127</v>
      </c>
      <c r="B90">
        <v>0</v>
      </c>
    </row>
    <row r="91" spans="1:2" x14ac:dyDescent="0.2">
      <c r="A91" t="s">
        <v>128</v>
      </c>
      <c r="B91">
        <v>2405</v>
      </c>
    </row>
    <row r="92" spans="1:2" x14ac:dyDescent="0.2">
      <c r="A92" t="s">
        <v>129</v>
      </c>
      <c r="B92" s="2">
        <v>155.9375</v>
      </c>
    </row>
    <row r="93" spans="1:2" x14ac:dyDescent="0.2">
      <c r="A93" t="s">
        <v>130</v>
      </c>
      <c r="B93">
        <v>20</v>
      </c>
    </row>
    <row r="94" spans="1:2" x14ac:dyDescent="0.2">
      <c r="A94" t="s">
        <v>131</v>
      </c>
      <c r="B94" t="s">
        <v>84</v>
      </c>
    </row>
    <row r="95" spans="1:2" x14ac:dyDescent="0.2">
      <c r="A95" t="s">
        <v>99</v>
      </c>
      <c r="B95">
        <v>0</v>
      </c>
    </row>
    <row r="96" spans="1:2" x14ac:dyDescent="0.2">
      <c r="A96" t="s">
        <v>134</v>
      </c>
      <c r="B96" s="2">
        <v>133.125</v>
      </c>
    </row>
    <row r="97" spans="1:8" x14ac:dyDescent="0.2">
      <c r="A97" t="s">
        <v>135</v>
      </c>
      <c r="B97">
        <v>11.25</v>
      </c>
    </row>
    <row r="98" spans="1:8" x14ac:dyDescent="0.2">
      <c r="A98" t="s">
        <v>132</v>
      </c>
      <c r="B98" s="2">
        <v>328.52842356210198</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387</v>
      </c>
      <c r="B107">
        <v>1</v>
      </c>
      <c r="C107" t="s">
        <v>37</v>
      </c>
      <c r="D107" t="s">
        <v>75</v>
      </c>
      <c r="F107" t="s">
        <v>83</v>
      </c>
      <c r="G107" t="s">
        <v>84</v>
      </c>
      <c r="H107" t="s">
        <v>387</v>
      </c>
    </row>
    <row r="108" spans="1:8" x14ac:dyDescent="0.2">
      <c r="A108" t="s">
        <v>111</v>
      </c>
      <c r="B108" s="6">
        <v>0.9</v>
      </c>
      <c r="C108" t="s">
        <v>91</v>
      </c>
      <c r="D108" t="s">
        <v>75</v>
      </c>
      <c r="F108" t="s">
        <v>88</v>
      </c>
      <c r="G108" t="s">
        <v>15</v>
      </c>
      <c r="H108" t="s">
        <v>112</v>
      </c>
    </row>
    <row r="109" spans="1:8" x14ac:dyDescent="0.2">
      <c r="A109" t="inlineStr">
        <is>
          <t>mechanical powertrain, motorcycle, gasoline, engineering reference</t>
        </is>
      </c>
      <c r="B109" s="6">
        <v>62.0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1.6875</v>
      </c>
      <c r="C110" t="s">
        <v>91</v>
      </c>
      <c r="D110" t="s">
        <v>76</v>
      </c>
      <c r="F110" t="s">
        <v>88</v>
      </c>
      <c r="G110" t="s">
        <v>24</v>
      </c>
      <c r="H110" t="s">
        <v>114</v>
      </c>
    </row>
    <row r="111" spans="1:8" x14ac:dyDescent="0.2">
      <c r="A111" t="inlineStr">
        <is>
          <t>fuel tank forming, motorcycle engineering reference</t>
        </is>
      </c>
      <c r="B111" s="6">
        <v>1.6976861167002013</v>
      </c>
      <c r="C111" t="inlineStr">
        <is>
          <t>RER</t>
        </is>
      </c>
      <c r="D111" t="s">
        <v>76</v>
      </c>
      <c r="F111" t="s">
        <v>88</v>
      </c>
      <c r="G111" t="s">
        <v>412</v>
      </c>
      <c r="H111" t="inlineStr">
        <is>
          <t>fuel tank forming, motorcycle engineering reference</t>
        </is>
      </c>
    </row>
    <row r="112" spans="1:8" x14ac:dyDescent="0.2">
      <c r="A112" s="13" t="s">
        <v>443</v>
      </c>
      <c r="B112" s="2">
        <v>155.9375</v>
      </c>
      <c r="C112" t="s">
        <v>91</v>
      </c>
      <c r="D112" t="s">
        <v>191</v>
      </c>
      <c r="F112" t="s">
        <v>88</v>
      </c>
      <c r="H112" s="13" t="s">
        <v>444</v>
      </c>
    </row>
    <row r="113" spans="1:8" x14ac:dyDescent="0.2">
      <c r="A113" s="13" t="s">
        <v>214</v>
      </c>
      <c r="B113" s="2">
        <v>2479.40625</v>
      </c>
      <c r="C113" t="s">
        <v>94</v>
      </c>
      <c r="D113" t="s">
        <v>191</v>
      </c>
      <c r="F113" t="s">
        <v>88</v>
      </c>
      <c r="H113" s="13" t="s">
        <v>214</v>
      </c>
    </row>
    <row r="116" spans="1:8" ht="16" x14ac:dyDescent="0.2">
      <c r="A116" s="10" t="s">
        <v>70</v>
      </c>
      <c r="B116" s="8" t="s">
        <v>602</v>
      </c>
    </row>
    <row r="117" spans="1:8" x14ac:dyDescent="0.2">
      <c r="A117" t="s">
        <v>71</v>
      </c>
      <c r="B117" t="s">
        <v>37</v>
      </c>
    </row>
    <row r="118" spans="1:8" x14ac:dyDescent="0.2">
      <c r="A118" t="s">
        <v>85</v>
      </c>
      <c r="B118" t="s">
        <v>385</v>
      </c>
    </row>
    <row r="119" spans="1:8" x14ac:dyDescent="0.2">
      <c r="A119" t="s">
        <v>86</v>
      </c>
    </row>
    <row r="120" spans="1:8" x14ac:dyDescent="0.2">
      <c r="A120" t="s">
        <v>87</v>
      </c>
      <c r="B120">
        <v>2006</v>
      </c>
    </row>
    <row r="121" spans="1:8" x14ac:dyDescent="0.2">
      <c r="A121" t="s">
        <v>123</v>
      </c>
      <c r="B121" t="s">
        <v>388</v>
      </c>
    </row>
    <row r="122" spans="1:8" x14ac:dyDescent="0.2">
      <c r="A122" t="s">
        <v>72</v>
      </c>
      <c r="B122" t="s">
        <v>602</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38500</v>
      </c>
    </row>
    <row r="127" spans="1:8" x14ac:dyDescent="0.2">
      <c r="A127" t="s">
        <v>125</v>
      </c>
      <c r="B127">
        <v>1.1000000000000001</v>
      </c>
    </row>
    <row r="128" spans="1:8" x14ac:dyDescent="0.2">
      <c r="A128" t="s">
        <v>126</v>
      </c>
      <c r="B128">
        <v>1.54</v>
      </c>
    </row>
    <row r="129" spans="1:8" x14ac:dyDescent="0.2">
      <c r="A129" t="s">
        <v>127</v>
      </c>
      <c r="B129">
        <v>0</v>
      </c>
    </row>
    <row r="130" spans="1:8" x14ac:dyDescent="0.2">
      <c r="A130" t="s">
        <v>128</v>
      </c>
      <c r="B130">
        <v>2405</v>
      </c>
    </row>
    <row r="131" spans="1:8" x14ac:dyDescent="0.2">
      <c r="A131" t="s">
        <v>129</v>
      </c>
      <c r="B131" s="2">
        <v>159.98750000000001</v>
      </c>
    </row>
    <row r="132" spans="1:8" x14ac:dyDescent="0.2">
      <c r="A132" t="s">
        <v>130</v>
      </c>
      <c r="B132">
        <v>20</v>
      </c>
    </row>
    <row r="133" spans="1:8" x14ac:dyDescent="0.2">
      <c r="A133" t="s">
        <v>131</v>
      </c>
      <c r="B133" t="s">
        <v>84</v>
      </c>
    </row>
    <row r="134" spans="1:8" x14ac:dyDescent="0.2">
      <c r="A134" t="s">
        <v>99</v>
      </c>
      <c r="B134">
        <v>0</v>
      </c>
    </row>
    <row r="135" spans="1:8" x14ac:dyDescent="0.2">
      <c r="A135" t="s">
        <v>134</v>
      </c>
      <c r="B135" s="2">
        <v>133.125</v>
      </c>
    </row>
    <row r="136" spans="1:8" x14ac:dyDescent="0.2">
      <c r="A136" t="s">
        <v>135</v>
      </c>
      <c r="B136">
        <v>11.25</v>
      </c>
    </row>
    <row r="137" spans="1:8" x14ac:dyDescent="0.2">
      <c r="A137" t="s">
        <v>132</v>
      </c>
      <c r="B137" s="2">
        <v>322.02291022423861</v>
      </c>
    </row>
    <row r="138" spans="1:8" x14ac:dyDescent="0.2">
      <c r="A138" t="s">
        <v>133</v>
      </c>
      <c r="B138" t="s">
        <v>137</v>
      </c>
    </row>
    <row r="139" spans="1:8" x14ac:dyDescent="0.2">
      <c r="A139" t="s">
        <v>540</v>
      </c>
      <c r="B139" s="6">
        <v>-0.05</v>
      </c>
    </row>
    <row r="140" spans="1:8" x14ac:dyDescent="0.2">
      <c r="A140" t="s">
        <v>82</v>
      </c>
      <c r="B140" t="s">
        <v>603</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602</v>
      </c>
      <c r="B143">
        <v>1</v>
      </c>
      <c r="C143" t="s">
        <v>37</v>
      </c>
      <c r="D143" t="s">
        <v>162</v>
      </c>
      <c r="F143" t="s">
        <v>83</v>
      </c>
      <c r="G143" t="s">
        <v>84</v>
      </c>
      <c r="H143" t="s">
        <v>602</v>
      </c>
    </row>
    <row r="144" spans="1:8" x14ac:dyDescent="0.2">
      <c r="A144" t="s">
        <v>385</v>
      </c>
      <c r="B144" s="7">
        <v>2.5974025974025975E-5</v>
      </c>
      <c r="C144" t="s">
        <v>37</v>
      </c>
      <c r="D144" t="s">
        <v>75</v>
      </c>
      <c r="F144" t="s">
        <v>88</v>
      </c>
      <c r="H144" t="s">
        <v>385</v>
      </c>
    </row>
    <row r="145" spans="1:8" x14ac:dyDescent="0.2">
      <c r="A145" t="s">
        <v>106</v>
      </c>
      <c r="B145" s="7">
        <v>1.334377875E-4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3.4935402553085845E-2</v>
      </c>
      <c r="C148" t="s">
        <v>37</v>
      </c>
      <c r="D148" t="s">
        <v>76</v>
      </c>
      <c r="F148" t="s">
        <v>88</v>
      </c>
      <c r="G148" t="s">
        <v>27</v>
      </c>
      <c r="H148" t="s">
        <v>452</v>
      </c>
    </row>
    <row r="149" spans="1:8" x14ac:dyDescent="0.2">
      <c r="A149" t="s">
        <v>150</v>
      </c>
      <c r="B149" s="11">
        <v>0.10838079804848928</v>
      </c>
      <c r="D149" t="s">
        <v>76</v>
      </c>
      <c r="E149" t="s">
        <v>442</v>
      </c>
      <c r="F149" t="s">
        <v>163</v>
      </c>
      <c r="G149" t="s">
        <v>65</v>
      </c>
    </row>
    <row r="150" spans="1:8" x14ac:dyDescent="0.2">
      <c r="A150" t="s">
        <v>448</v>
      </c>
      <c r="B150" s="11">
        <v>1.3163659682002746E-3</v>
      </c>
      <c r="D150" t="s">
        <v>76</v>
      </c>
      <c r="E150" t="s">
        <v>442</v>
      </c>
      <c r="F150" t="s">
        <v>163</v>
      </c>
      <c r="G150" t="s">
        <v>446</v>
      </c>
    </row>
    <row r="151" spans="1:8" x14ac:dyDescent="0.2">
      <c r="A151" t="s">
        <v>210</v>
      </c>
      <c r="B151" s="7">
        <v>5.589664408493735E-7</v>
      </c>
      <c r="D151" t="s">
        <v>76</v>
      </c>
      <c r="E151" t="s">
        <v>442</v>
      </c>
      <c r="F151" t="s">
        <v>163</v>
      </c>
      <c r="G151" t="s">
        <v>66</v>
      </c>
    </row>
    <row r="152" spans="1:8" x14ac:dyDescent="0.2">
      <c r="A152" t="s">
        <v>54</v>
      </c>
      <c r="B152" s="7">
        <v>5.4417962719780696E-6</v>
      </c>
      <c r="D152" t="s">
        <v>76</v>
      </c>
      <c r="E152" t="s">
        <v>442</v>
      </c>
      <c r="F152" t="s">
        <v>163</v>
      </c>
      <c r="G152" t="s">
        <v>54</v>
      </c>
    </row>
    <row r="153" spans="1:8" x14ac:dyDescent="0.2">
      <c r="A153" t="s">
        <v>151</v>
      </c>
      <c r="B153" s="7">
        <v>2.203769637337727E-5</v>
      </c>
      <c r="D153" t="s">
        <v>76</v>
      </c>
      <c r="E153" t="s">
        <v>442</v>
      </c>
      <c r="F153" t="s">
        <v>163</v>
      </c>
      <c r="G153" t="s">
        <v>55</v>
      </c>
    </row>
    <row r="154" spans="1:8" x14ac:dyDescent="0.2">
      <c r="A154" t="s">
        <v>152</v>
      </c>
      <c r="B154" s="7">
        <v>2.2122455045910314E-4</v>
      </c>
      <c r="D154" t="s">
        <v>76</v>
      </c>
      <c r="E154" t="s">
        <v>442</v>
      </c>
      <c r="F154" t="s">
        <v>163</v>
      </c>
      <c r="G154" t="s">
        <v>56</v>
      </c>
    </row>
    <row r="155" spans="1:8" x14ac:dyDescent="0.2">
      <c r="A155" t="s">
        <v>211</v>
      </c>
      <c r="B155" s="7">
        <v>6.627878608534517E-7</v>
      </c>
      <c r="D155" t="s">
        <v>76</v>
      </c>
      <c r="E155" t="s">
        <v>442</v>
      </c>
      <c r="F155" t="s">
        <v>163</v>
      </c>
      <c r="G155" t="s">
        <v>57</v>
      </c>
    </row>
    <row r="156" spans="1:8" x14ac:dyDescent="0.2">
      <c r="A156" t="s">
        <v>153</v>
      </c>
      <c r="B156" s="7">
        <v>6.627878608534517E-7</v>
      </c>
      <c r="D156" t="s">
        <v>76</v>
      </c>
      <c r="E156" t="s">
        <v>442</v>
      </c>
      <c r="F156" t="s">
        <v>163</v>
      </c>
      <c r="G156" t="s">
        <v>58</v>
      </c>
    </row>
    <row r="157" spans="1:8" x14ac:dyDescent="0.2">
      <c r="A157" t="s">
        <v>154</v>
      </c>
      <c r="B157" s="7">
        <v>2.6220817193601416E-5</v>
      </c>
      <c r="D157" t="s">
        <v>76</v>
      </c>
      <c r="E157" t="s">
        <v>442</v>
      </c>
      <c r="F157" t="s">
        <v>163</v>
      </c>
      <c r="G157" t="s">
        <v>59</v>
      </c>
    </row>
    <row r="158" spans="1:8" x14ac:dyDescent="0.2">
      <c r="A158" t="s">
        <v>212</v>
      </c>
      <c r="B158" s="7">
        <v>1.6569696521336294E-6</v>
      </c>
      <c r="D158" t="s">
        <v>76</v>
      </c>
      <c r="E158" t="s">
        <v>442</v>
      </c>
      <c r="F158" t="s">
        <v>163</v>
      </c>
      <c r="G158" t="s">
        <v>61</v>
      </c>
    </row>
    <row r="159" spans="1:8" x14ac:dyDescent="0.2">
      <c r="A159" t="s">
        <v>207</v>
      </c>
      <c r="B159" s="7">
        <v>4.3883576353705504E-5</v>
      </c>
      <c r="D159" t="s">
        <v>76</v>
      </c>
      <c r="E159" t="s">
        <v>442</v>
      </c>
      <c r="F159" t="s">
        <v>163</v>
      </c>
      <c r="G159" t="s">
        <v>360</v>
      </c>
    </row>
    <row r="160" spans="1:8" x14ac:dyDescent="0.2">
      <c r="A160" t="s">
        <v>309</v>
      </c>
      <c r="B160" s="7">
        <v>3.09435474288949E-6</v>
      </c>
      <c r="D160" t="s">
        <v>76</v>
      </c>
      <c r="E160" t="s">
        <v>442</v>
      </c>
      <c r="F160" t="s">
        <v>163</v>
      </c>
      <c r="G160" t="s">
        <v>309</v>
      </c>
    </row>
    <row r="161" spans="1:7" x14ac:dyDescent="0.2">
      <c r="A161" t="s">
        <v>310</v>
      </c>
      <c r="B161" s="7">
        <v>6.3051115450726299E-7</v>
      </c>
      <c r="D161" t="s">
        <v>76</v>
      </c>
      <c r="E161" t="s">
        <v>442</v>
      </c>
      <c r="F161" t="s">
        <v>163</v>
      </c>
      <c r="G161" t="s">
        <v>310</v>
      </c>
    </row>
    <row r="162" spans="1:7" x14ac:dyDescent="0.2">
      <c r="A162" t="s">
        <v>311</v>
      </c>
      <c r="B162" s="7">
        <v>5.0828899224893196E-6</v>
      </c>
      <c r="D162" t="s">
        <v>76</v>
      </c>
      <c r="E162" t="s">
        <v>442</v>
      </c>
      <c r="F162" t="s">
        <v>163</v>
      </c>
      <c r="G162" t="s">
        <v>311</v>
      </c>
    </row>
    <row r="163" spans="1:7" x14ac:dyDescent="0.2">
      <c r="A163" t="s">
        <v>312</v>
      </c>
      <c r="B163" s="7">
        <v>2.0855368956778698E-6</v>
      </c>
      <c r="D163" t="s">
        <v>76</v>
      </c>
      <c r="E163" t="s">
        <v>442</v>
      </c>
      <c r="F163" t="s">
        <v>163</v>
      </c>
      <c r="G163" t="s">
        <v>312</v>
      </c>
    </row>
    <row r="164" spans="1:7" x14ac:dyDescent="0.2">
      <c r="A164" t="s">
        <v>313</v>
      </c>
      <c r="B164" s="7">
        <v>1.5617276288564514E-6</v>
      </c>
      <c r="D164" t="s">
        <v>76</v>
      </c>
      <c r="E164" t="s">
        <v>442</v>
      </c>
      <c r="F164" t="s">
        <v>163</v>
      </c>
      <c r="G164" t="s">
        <v>313</v>
      </c>
    </row>
    <row r="165" spans="1:7" x14ac:dyDescent="0.2">
      <c r="A165" t="s">
        <v>314</v>
      </c>
      <c r="B165" s="7">
        <v>1.1058195632896611E-6</v>
      </c>
      <c r="D165" t="s">
        <v>76</v>
      </c>
      <c r="E165" t="s">
        <v>442</v>
      </c>
      <c r="F165" t="s">
        <v>163</v>
      </c>
      <c r="G165" t="s">
        <v>314</v>
      </c>
    </row>
    <row r="166" spans="1:7" x14ac:dyDescent="0.2">
      <c r="A166" t="s">
        <v>315</v>
      </c>
      <c r="B166" s="7">
        <v>7.1781269897749935E-7</v>
      </c>
      <c r="D166" t="s">
        <v>76</v>
      </c>
      <c r="E166" t="s">
        <v>442</v>
      </c>
      <c r="F166" t="s">
        <v>163</v>
      </c>
      <c r="G166" t="s">
        <v>315</v>
      </c>
    </row>
    <row r="167" spans="1:7" x14ac:dyDescent="0.2">
      <c r="A167" t="s">
        <v>316</v>
      </c>
      <c r="B167" s="7">
        <v>7.0811252736969535E-6</v>
      </c>
      <c r="D167" t="s">
        <v>76</v>
      </c>
      <c r="E167" t="s">
        <v>442</v>
      </c>
      <c r="F167" t="s">
        <v>163</v>
      </c>
      <c r="G167" t="s">
        <v>316</v>
      </c>
    </row>
    <row r="168" spans="1:7" x14ac:dyDescent="0.2">
      <c r="A168" t="s">
        <v>317</v>
      </c>
      <c r="B168" s="7">
        <v>3.7054655541811453E-6</v>
      </c>
      <c r="D168" t="s">
        <v>76</v>
      </c>
      <c r="E168" t="s">
        <v>442</v>
      </c>
      <c r="F168" t="s">
        <v>163</v>
      </c>
      <c r="G168" t="s">
        <v>317</v>
      </c>
    </row>
    <row r="169" spans="1:7" x14ac:dyDescent="0.2">
      <c r="A169" t="s">
        <v>318</v>
      </c>
      <c r="B169" s="7">
        <v>1.0670188768584451E-7</v>
      </c>
      <c r="D169" t="s">
        <v>76</v>
      </c>
      <c r="E169" t="s">
        <v>442</v>
      </c>
      <c r="F169" t="s">
        <v>163</v>
      </c>
      <c r="G169" t="s">
        <v>318</v>
      </c>
    </row>
    <row r="170" spans="1:7" x14ac:dyDescent="0.2">
      <c r="A170" t="s">
        <v>319</v>
      </c>
      <c r="B170" s="7">
        <v>1.0650788425368842E-5</v>
      </c>
      <c r="D170" t="s">
        <v>76</v>
      </c>
      <c r="E170" t="s">
        <v>442</v>
      </c>
      <c r="F170" t="s">
        <v>163</v>
      </c>
      <c r="G170" t="s">
        <v>319</v>
      </c>
    </row>
    <row r="171" spans="1:7" x14ac:dyDescent="0.2">
      <c r="A171" t="s">
        <v>320</v>
      </c>
      <c r="B171" s="7">
        <v>5.2671931830375969E-6</v>
      </c>
      <c r="D171" t="s">
        <v>76</v>
      </c>
      <c r="E171" t="s">
        <v>442</v>
      </c>
      <c r="F171" t="s">
        <v>163</v>
      </c>
      <c r="G171" t="s">
        <v>320</v>
      </c>
    </row>
    <row r="172" spans="1:7" x14ac:dyDescent="0.2">
      <c r="A172" t="s">
        <v>321</v>
      </c>
      <c r="B172" s="7">
        <v>2.192238783363714E-6</v>
      </c>
      <c r="D172" t="s">
        <v>76</v>
      </c>
      <c r="E172" t="s">
        <v>442</v>
      </c>
      <c r="F172" t="s">
        <v>163</v>
      </c>
      <c r="G172" t="s">
        <v>321</v>
      </c>
    </row>
    <row r="173" spans="1:7" x14ac:dyDescent="0.2">
      <c r="A173" t="s">
        <v>322</v>
      </c>
      <c r="B173" s="7">
        <v>1.649029173326688E-6</v>
      </c>
      <c r="D173" t="s">
        <v>76</v>
      </c>
      <c r="E173" t="s">
        <v>442</v>
      </c>
      <c r="F173" t="s">
        <v>163</v>
      </c>
      <c r="G173" t="s">
        <v>322</v>
      </c>
    </row>
    <row r="174" spans="1:7" x14ac:dyDescent="0.2">
      <c r="A174" t="s">
        <v>323</v>
      </c>
      <c r="B174" s="7">
        <v>7.2751287058530338E-7</v>
      </c>
      <c r="D174" t="s">
        <v>76</v>
      </c>
      <c r="E174" t="s">
        <v>442</v>
      </c>
      <c r="F174" t="s">
        <v>163</v>
      </c>
      <c r="G174" t="s">
        <v>323</v>
      </c>
    </row>
    <row r="175" spans="1:7" x14ac:dyDescent="0.2">
      <c r="A175" t="s">
        <v>324</v>
      </c>
      <c r="B175" s="7">
        <v>2.1340377537168902E-7</v>
      </c>
      <c r="D175" t="s">
        <v>76</v>
      </c>
      <c r="E175" t="s">
        <v>442</v>
      </c>
      <c r="F175" t="s">
        <v>163</v>
      </c>
      <c r="G175" t="s">
        <v>324</v>
      </c>
    </row>
    <row r="176" spans="1:7" x14ac:dyDescent="0.2">
      <c r="A176" t="s">
        <v>325</v>
      </c>
      <c r="B176" s="7">
        <v>5.9171046807604678E-7</v>
      </c>
      <c r="D176" t="s">
        <v>76</v>
      </c>
      <c r="E176" t="s">
        <v>442</v>
      </c>
      <c r="F176" t="s">
        <v>163</v>
      </c>
      <c r="G176" t="s">
        <v>325</v>
      </c>
    </row>
    <row r="177" spans="1:8" x14ac:dyDescent="0.2">
      <c r="A177" t="s">
        <v>328</v>
      </c>
      <c r="B177" s="7">
        <v>4.8500858039020227E-8</v>
      </c>
      <c r="D177" t="s">
        <v>76</v>
      </c>
      <c r="E177" t="s">
        <v>442</v>
      </c>
      <c r="F177" t="s">
        <v>163</v>
      </c>
      <c r="G177" t="s">
        <v>328</v>
      </c>
    </row>
    <row r="178" spans="1:8" x14ac:dyDescent="0.2">
      <c r="A178" t="s">
        <v>326</v>
      </c>
      <c r="B178" s="7">
        <v>1.8430326054827685E-7</v>
      </c>
      <c r="D178" t="s">
        <v>76</v>
      </c>
      <c r="E178" t="s">
        <v>442</v>
      </c>
      <c r="F178" t="s">
        <v>163</v>
      </c>
      <c r="G178" t="s">
        <v>326</v>
      </c>
    </row>
    <row r="179" spans="1:8" x14ac:dyDescent="0.2">
      <c r="A179" t="s">
        <v>327</v>
      </c>
      <c r="B179" s="7">
        <v>9.7971733238820843E-7</v>
      </c>
      <c r="D179" t="s">
        <v>76</v>
      </c>
      <c r="E179" t="s">
        <v>442</v>
      </c>
      <c r="F179" t="s">
        <v>163</v>
      </c>
      <c r="G179" t="s">
        <v>327</v>
      </c>
    </row>
    <row r="180" spans="1:8" x14ac:dyDescent="0.2">
      <c r="A180" t="s">
        <v>336</v>
      </c>
      <c r="B180" s="7">
        <v>1.2186126018093815E-9</v>
      </c>
      <c r="D180" t="s">
        <v>76</v>
      </c>
      <c r="E180" t="s">
        <v>442</v>
      </c>
      <c r="F180" t="s">
        <v>163</v>
      </c>
      <c r="G180" t="s">
        <v>329</v>
      </c>
    </row>
    <row r="181" spans="1:8" x14ac:dyDescent="0.2">
      <c r="A181" t="s">
        <v>330</v>
      </c>
      <c r="B181" s="7">
        <v>1.0505281050080874E-11</v>
      </c>
      <c r="D181" t="s">
        <v>76</v>
      </c>
      <c r="E181" t="s">
        <v>442</v>
      </c>
      <c r="F181" t="s">
        <v>163</v>
      </c>
      <c r="G181" t="s">
        <v>330</v>
      </c>
    </row>
    <row r="182" spans="1:8" x14ac:dyDescent="0.2">
      <c r="A182" t="s">
        <v>331</v>
      </c>
      <c r="B182" s="7">
        <v>7.0035207000539162E-12</v>
      </c>
      <c r="D182" t="s">
        <v>76</v>
      </c>
      <c r="E182" t="s">
        <v>442</v>
      </c>
      <c r="F182" t="s">
        <v>163</v>
      </c>
      <c r="G182" t="s">
        <v>331</v>
      </c>
    </row>
    <row r="183" spans="1:8" x14ac:dyDescent="0.2">
      <c r="A183" t="s">
        <v>332</v>
      </c>
      <c r="B183" s="7">
        <v>7.5638023560582296E-8</v>
      </c>
      <c r="D183" t="s">
        <v>76</v>
      </c>
      <c r="E183" t="s">
        <v>442</v>
      </c>
      <c r="F183" t="s">
        <v>163</v>
      </c>
      <c r="G183" t="s">
        <v>332</v>
      </c>
    </row>
    <row r="184" spans="1:8" x14ac:dyDescent="0.2">
      <c r="A184" t="s">
        <v>290</v>
      </c>
      <c r="B184" s="7">
        <v>1.4707393470113222E-9</v>
      </c>
      <c r="D184" t="s">
        <v>76</v>
      </c>
      <c r="E184" t="s">
        <v>442</v>
      </c>
      <c r="F184" t="s">
        <v>163</v>
      </c>
      <c r="G184" t="s">
        <v>290</v>
      </c>
    </row>
    <row r="185" spans="1:8" x14ac:dyDescent="0.2">
      <c r="A185" t="s">
        <v>292</v>
      </c>
      <c r="B185" s="7">
        <v>4.5522884550350459E-10</v>
      </c>
      <c r="D185" t="s">
        <v>76</v>
      </c>
      <c r="E185" t="s">
        <v>442</v>
      </c>
      <c r="F185" t="s">
        <v>163</v>
      </c>
      <c r="G185" t="s">
        <v>292</v>
      </c>
    </row>
    <row r="186" spans="1:8" x14ac:dyDescent="0.2">
      <c r="A186" t="s">
        <v>291</v>
      </c>
      <c r="B186" s="7">
        <v>5.6028165600431336E-10</v>
      </c>
      <c r="D186" t="s">
        <v>76</v>
      </c>
      <c r="E186" t="s">
        <v>442</v>
      </c>
      <c r="F186" t="s">
        <v>163</v>
      </c>
      <c r="G186" t="s">
        <v>291</v>
      </c>
    </row>
    <row r="187" spans="1:8" x14ac:dyDescent="0.2">
      <c r="A187" t="s">
        <v>335</v>
      </c>
      <c r="B187" s="7">
        <v>1.1205633120086266E-12</v>
      </c>
      <c r="D187" t="s">
        <v>76</v>
      </c>
      <c r="E187" t="s">
        <v>442</v>
      </c>
      <c r="F187" t="s">
        <v>163</v>
      </c>
      <c r="G187" t="s">
        <v>335</v>
      </c>
    </row>
    <row r="188" spans="1:8" x14ac:dyDescent="0.2">
      <c r="A188" t="s">
        <v>333</v>
      </c>
      <c r="B188" s="7">
        <v>3.0465315045234537E-10</v>
      </c>
      <c r="D188" t="s">
        <v>76</v>
      </c>
      <c r="E188" t="s">
        <v>442</v>
      </c>
      <c r="F188" t="s">
        <v>163</v>
      </c>
      <c r="G188" t="s">
        <v>333</v>
      </c>
    </row>
    <row r="189" spans="1:8" x14ac:dyDescent="0.2">
      <c r="A189" t="s">
        <v>334</v>
      </c>
      <c r="B189" s="7">
        <v>3.7819011780291154E-10</v>
      </c>
      <c r="D189" t="s">
        <v>76</v>
      </c>
      <c r="E189" t="s">
        <v>442</v>
      </c>
      <c r="F189" t="s">
        <v>163</v>
      </c>
      <c r="G189" t="s">
        <v>334</v>
      </c>
    </row>
    <row r="190" spans="1:8" x14ac:dyDescent="0.2">
      <c r="A190" t="s">
        <v>155</v>
      </c>
      <c r="B190" s="7">
        <v>-8.656625299749574E-6</v>
      </c>
      <c r="C190" t="s">
        <v>91</v>
      </c>
      <c r="D190" t="s">
        <v>76</v>
      </c>
      <c r="F190" t="s">
        <v>88</v>
      </c>
      <c r="G190" t="s">
        <v>29</v>
      </c>
      <c r="H190" t="s">
        <v>157</v>
      </c>
    </row>
    <row r="191" spans="1:8" x14ac:dyDescent="0.2">
      <c r="A191" t="s">
        <v>156</v>
      </c>
      <c r="B191" s="7">
        <v>-5.7181641106782229E-6</v>
      </c>
      <c r="C191" t="s">
        <v>91</v>
      </c>
      <c r="D191" t="s">
        <v>76</v>
      </c>
      <c r="F191" t="s">
        <v>88</v>
      </c>
      <c r="G191" t="s">
        <v>30</v>
      </c>
      <c r="H191" t="s">
        <v>158</v>
      </c>
    </row>
    <row r="192" spans="1:8" x14ac:dyDescent="0.2">
      <c r="A192" t="s">
        <v>164</v>
      </c>
      <c r="B192" s="7">
        <v>-3.1799843875219737E-6</v>
      </c>
      <c r="C192" t="s">
        <v>91</v>
      </c>
      <c r="D192" t="s">
        <v>76</v>
      </c>
      <c r="F192" t="s">
        <v>88</v>
      </c>
      <c r="G192" t="s">
        <v>31</v>
      </c>
      <c r="H192" t="s">
        <v>159</v>
      </c>
    </row>
    <row r="194" spans="1:2" ht="16" x14ac:dyDescent="0.2">
      <c r="A194" s="10" t="s">
        <v>70</v>
      </c>
      <c r="B194" s="8" t="s">
        <v>604</v>
      </c>
    </row>
    <row r="195" spans="1:2" x14ac:dyDescent="0.2">
      <c r="A195" t="s">
        <v>71</v>
      </c>
      <c r="B195" t="s">
        <v>37</v>
      </c>
    </row>
    <row r="196" spans="1:2" x14ac:dyDescent="0.2">
      <c r="A196" t="s">
        <v>85</v>
      </c>
      <c r="B196" t="s">
        <v>386</v>
      </c>
    </row>
    <row r="197" spans="1:2" x14ac:dyDescent="0.2">
      <c r="A197" t="s">
        <v>86</v>
      </c>
    </row>
    <row r="198" spans="1:2" x14ac:dyDescent="0.2">
      <c r="A198" t="s">
        <v>87</v>
      </c>
      <c r="B198">
        <v>2016</v>
      </c>
    </row>
    <row r="199" spans="1:2" x14ac:dyDescent="0.2">
      <c r="A199" t="s">
        <v>123</v>
      </c>
      <c r="B199" t="s">
        <v>389</v>
      </c>
    </row>
    <row r="200" spans="1:2" x14ac:dyDescent="0.2">
      <c r="A200" t="s">
        <v>72</v>
      </c>
      <c r="B200" t="s">
        <v>604</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38500</v>
      </c>
    </row>
    <row r="205" spans="1:2" x14ac:dyDescent="0.2">
      <c r="A205" t="s">
        <v>125</v>
      </c>
      <c r="B205">
        <v>1.1000000000000001</v>
      </c>
    </row>
    <row r="206" spans="1:2" x14ac:dyDescent="0.2">
      <c r="A206" t="s">
        <v>126</v>
      </c>
      <c r="B206">
        <v>1.54</v>
      </c>
    </row>
    <row r="207" spans="1:2" x14ac:dyDescent="0.2">
      <c r="A207" t="s">
        <v>127</v>
      </c>
      <c r="B207">
        <v>0</v>
      </c>
    </row>
    <row r="208" spans="1:2" x14ac:dyDescent="0.2">
      <c r="A208" t="s">
        <v>128</v>
      </c>
      <c r="B208">
        <v>2405</v>
      </c>
    </row>
    <row r="209" spans="1:8" x14ac:dyDescent="0.2">
      <c r="A209" t="s">
        <v>129</v>
      </c>
      <c r="B209" s="2">
        <v>157.5575</v>
      </c>
    </row>
    <row r="210" spans="1:8" x14ac:dyDescent="0.2">
      <c r="A210" t="s">
        <v>130</v>
      </c>
      <c r="B210">
        <v>20</v>
      </c>
    </row>
    <row r="211" spans="1:8" x14ac:dyDescent="0.2">
      <c r="A211" t="s">
        <v>131</v>
      </c>
      <c r="B211" t="s">
        <v>84</v>
      </c>
    </row>
    <row r="212" spans="1:8" x14ac:dyDescent="0.2">
      <c r="A212" t="s">
        <v>99</v>
      </c>
      <c r="B212">
        <v>0</v>
      </c>
    </row>
    <row r="213" spans="1:8" x14ac:dyDescent="0.2">
      <c r="A213" t="s">
        <v>134</v>
      </c>
      <c r="B213" s="2">
        <v>133.125</v>
      </c>
    </row>
    <row r="214" spans="1:8" x14ac:dyDescent="0.2">
      <c r="A214" t="s">
        <v>135</v>
      </c>
      <c r="B214">
        <v>11.25</v>
      </c>
    </row>
    <row r="215" spans="1:8" x14ac:dyDescent="0.2">
      <c r="A215" t="s">
        <v>132</v>
      </c>
      <c r="B215" s="2">
        <v>325.24313932648096</v>
      </c>
    </row>
    <row r="216" spans="1:8" x14ac:dyDescent="0.2">
      <c r="A216" t="s">
        <v>133</v>
      </c>
      <c r="B216" t="s">
        <v>138</v>
      </c>
    </row>
    <row r="217" spans="1:8" x14ac:dyDescent="0.2">
      <c r="A217" t="s">
        <v>540</v>
      </c>
      <c r="B217" s="6">
        <v>-0.02</v>
      </c>
    </row>
    <row r="218" spans="1:8" x14ac:dyDescent="0.2">
      <c r="A218" t="s">
        <v>82</v>
      </c>
      <c r="B218" t="s">
        <v>605</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604</v>
      </c>
      <c r="B221">
        <v>1</v>
      </c>
      <c r="C221" t="s">
        <v>37</v>
      </c>
      <c r="D221" t="s">
        <v>162</v>
      </c>
      <c r="F221" t="s">
        <v>83</v>
      </c>
      <c r="G221" t="s">
        <v>84</v>
      </c>
      <c r="H221" t="s">
        <v>604</v>
      </c>
    </row>
    <row r="222" spans="1:8" x14ac:dyDescent="0.2">
      <c r="A222" t="s">
        <v>386</v>
      </c>
      <c r="B222" s="7">
        <v>2.5974025974025975E-5</v>
      </c>
      <c r="C222" t="s">
        <v>37</v>
      </c>
      <c r="D222" t="s">
        <v>75</v>
      </c>
      <c r="F222" t="s">
        <v>88</v>
      </c>
      <c r="H222" t="s">
        <v>386</v>
      </c>
    </row>
    <row r="223" spans="1:8" x14ac:dyDescent="0.2">
      <c r="A223" t="s">
        <v>106</v>
      </c>
      <c r="B223" s="7">
        <v>1.3213287749999999E-4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3.4589507478302819E-2</v>
      </c>
      <c r="C226" t="s">
        <v>37</v>
      </c>
      <c r="D226" t="s">
        <v>76</v>
      </c>
      <c r="F226" t="s">
        <v>88</v>
      </c>
      <c r="G226" t="s">
        <v>27</v>
      </c>
      <c r="H226" t="s">
        <v>452</v>
      </c>
    </row>
    <row r="227" spans="1:8" x14ac:dyDescent="0.2">
      <c r="A227" t="s">
        <v>150</v>
      </c>
      <c r="B227" s="11">
        <v>0.10730772084008841</v>
      </c>
      <c r="D227" t="s">
        <v>76</v>
      </c>
      <c r="E227" t="s">
        <v>442</v>
      </c>
      <c r="F227" t="s">
        <v>163</v>
      </c>
      <c r="G227" t="s">
        <v>65</v>
      </c>
    </row>
    <row r="228" spans="1:8" x14ac:dyDescent="0.2">
      <c r="A228" t="s">
        <v>448</v>
      </c>
      <c r="B228" s="11">
        <v>1.3033326417824505E-3</v>
      </c>
      <c r="D228" t="s">
        <v>76</v>
      </c>
      <c r="E228" t="s">
        <v>442</v>
      </c>
      <c r="F228" t="s">
        <v>163</v>
      </c>
      <c r="G228" t="s">
        <v>446</v>
      </c>
    </row>
    <row r="229" spans="1:8" x14ac:dyDescent="0.2">
      <c r="A229" t="s">
        <v>210</v>
      </c>
      <c r="B229" s="7">
        <v>5.5343211965284504E-7</v>
      </c>
      <c r="D229" t="s">
        <v>76</v>
      </c>
      <c r="E229" t="s">
        <v>442</v>
      </c>
      <c r="F229" t="s">
        <v>163</v>
      </c>
      <c r="G229" t="s">
        <v>66</v>
      </c>
    </row>
    <row r="230" spans="1:8" x14ac:dyDescent="0.2">
      <c r="A230" t="s">
        <v>54</v>
      </c>
      <c r="B230" s="7">
        <v>1.9073617591137917E-6</v>
      </c>
      <c r="D230" t="s">
        <v>76</v>
      </c>
      <c r="E230" t="s">
        <v>442</v>
      </c>
      <c r="F230" t="s">
        <v>163</v>
      </c>
      <c r="G230" t="s">
        <v>54</v>
      </c>
    </row>
    <row r="231" spans="1:8" x14ac:dyDescent="0.2">
      <c r="A231" t="s">
        <v>151</v>
      </c>
      <c r="B231" s="7">
        <v>2.7697735778460602E-5</v>
      </c>
      <c r="D231" t="s">
        <v>76</v>
      </c>
      <c r="E231" t="s">
        <v>442</v>
      </c>
      <c r="F231" t="s">
        <v>163</v>
      </c>
      <c r="G231" t="s">
        <v>55</v>
      </c>
    </row>
    <row r="232" spans="1:8" x14ac:dyDescent="0.2">
      <c r="A232" t="s">
        <v>152</v>
      </c>
      <c r="B232" s="7">
        <v>1.4020599038117664E-4</v>
      </c>
      <c r="D232" t="s">
        <v>76</v>
      </c>
      <c r="E232" t="s">
        <v>442</v>
      </c>
      <c r="F232" t="s">
        <v>163</v>
      </c>
      <c r="G232" t="s">
        <v>56</v>
      </c>
    </row>
    <row r="233" spans="1:8" x14ac:dyDescent="0.2">
      <c r="A233" t="s">
        <v>211</v>
      </c>
      <c r="B233" s="7">
        <v>8.3301460987851437E-7</v>
      </c>
      <c r="D233" t="s">
        <v>76</v>
      </c>
      <c r="E233" t="s">
        <v>442</v>
      </c>
      <c r="F233" t="s">
        <v>163</v>
      </c>
      <c r="G233" t="s">
        <v>57</v>
      </c>
    </row>
    <row r="234" spans="1:8" x14ac:dyDescent="0.2">
      <c r="A234" t="s">
        <v>153</v>
      </c>
      <c r="B234" s="7">
        <v>8.3301460987851437E-7</v>
      </c>
      <c r="D234" t="s">
        <v>76</v>
      </c>
      <c r="E234" t="s">
        <v>442</v>
      </c>
      <c r="F234" t="s">
        <v>163</v>
      </c>
      <c r="G234" t="s">
        <v>58</v>
      </c>
    </row>
    <row r="235" spans="1:8" x14ac:dyDescent="0.2">
      <c r="A235" t="s">
        <v>154</v>
      </c>
      <c r="B235" s="7">
        <v>1.3603299444488674E-5</v>
      </c>
      <c r="D235" t="s">
        <v>76</v>
      </c>
      <c r="E235" t="s">
        <v>442</v>
      </c>
      <c r="F235" t="s">
        <v>163</v>
      </c>
      <c r="G235" t="s">
        <v>59</v>
      </c>
    </row>
    <row r="236" spans="1:8" x14ac:dyDescent="0.2">
      <c r="A236" t="s">
        <v>212</v>
      </c>
      <c r="B236" s="7">
        <v>2.082536524696286E-6</v>
      </c>
      <c r="D236" t="s">
        <v>76</v>
      </c>
      <c r="E236" t="s">
        <v>442</v>
      </c>
      <c r="F236" t="s">
        <v>163</v>
      </c>
      <c r="G236" t="s">
        <v>61</v>
      </c>
    </row>
    <row r="237" spans="1:8" x14ac:dyDescent="0.2">
      <c r="A237" t="s">
        <v>207</v>
      </c>
      <c r="B237" s="7">
        <v>1.5381291618949722E-5</v>
      </c>
      <c r="D237" t="s">
        <v>76</v>
      </c>
      <c r="E237" t="s">
        <v>442</v>
      </c>
      <c r="F237" t="s">
        <v>163</v>
      </c>
      <c r="G237" t="s">
        <v>360</v>
      </c>
    </row>
    <row r="238" spans="1:8" x14ac:dyDescent="0.2">
      <c r="A238" t="s">
        <v>309</v>
      </c>
      <c r="B238" s="7">
        <v>1.084578255182352E-6</v>
      </c>
      <c r="D238" t="s">
        <v>76</v>
      </c>
      <c r="E238" t="s">
        <v>442</v>
      </c>
      <c r="F238" t="s">
        <v>163</v>
      </c>
      <c r="G238" t="s">
        <v>309</v>
      </c>
    </row>
    <row r="239" spans="1:8" x14ac:dyDescent="0.2">
      <c r="A239" t="s">
        <v>310</v>
      </c>
      <c r="B239" s="7">
        <v>2.2099556923778335E-7</v>
      </c>
      <c r="D239" t="s">
        <v>76</v>
      </c>
      <c r="E239" t="s">
        <v>442</v>
      </c>
      <c r="F239" t="s">
        <v>163</v>
      </c>
      <c r="G239" t="s">
        <v>310</v>
      </c>
    </row>
    <row r="240" spans="1:8" x14ac:dyDescent="0.2">
      <c r="A240" t="s">
        <v>311</v>
      </c>
      <c r="B240" s="7">
        <v>1.7815642812399767E-6</v>
      </c>
      <c r="D240" t="s">
        <v>76</v>
      </c>
      <c r="E240" t="s">
        <v>442</v>
      </c>
      <c r="F240" t="s">
        <v>163</v>
      </c>
      <c r="G240" t="s">
        <v>311</v>
      </c>
    </row>
    <row r="241" spans="1:7" x14ac:dyDescent="0.2">
      <c r="A241" t="s">
        <v>312</v>
      </c>
      <c r="B241" s="7">
        <v>7.3098534440189867E-7</v>
      </c>
      <c r="D241" t="s">
        <v>76</v>
      </c>
      <c r="E241" t="s">
        <v>442</v>
      </c>
      <c r="F241" t="s">
        <v>163</v>
      </c>
      <c r="G241" t="s">
        <v>312</v>
      </c>
    </row>
    <row r="242" spans="1:7" x14ac:dyDescent="0.2">
      <c r="A242" t="s">
        <v>313</v>
      </c>
      <c r="B242" s="7">
        <v>5.4738902534281725E-7</v>
      </c>
      <c r="D242" t="s">
        <v>76</v>
      </c>
      <c r="E242" t="s">
        <v>442</v>
      </c>
      <c r="F242" t="s">
        <v>163</v>
      </c>
      <c r="G242" t="s">
        <v>313</v>
      </c>
    </row>
    <row r="243" spans="1:7" x14ac:dyDescent="0.2">
      <c r="A243" t="s">
        <v>314</v>
      </c>
      <c r="B243" s="7">
        <v>3.875922291247277E-7</v>
      </c>
      <c r="D243" t="s">
        <v>76</v>
      </c>
      <c r="E243" t="s">
        <v>442</v>
      </c>
      <c r="F243" t="s">
        <v>163</v>
      </c>
      <c r="G243" t="s">
        <v>314</v>
      </c>
    </row>
    <row r="244" spans="1:7" x14ac:dyDescent="0.2">
      <c r="A244" t="s">
        <v>315</v>
      </c>
      <c r="B244" s="7">
        <v>2.5159495574763026E-7</v>
      </c>
      <c r="D244" t="s">
        <v>76</v>
      </c>
      <c r="E244" t="s">
        <v>442</v>
      </c>
      <c r="F244" t="s">
        <v>163</v>
      </c>
      <c r="G244" t="s">
        <v>315</v>
      </c>
    </row>
    <row r="245" spans="1:7" x14ac:dyDescent="0.2">
      <c r="A245" t="s">
        <v>316</v>
      </c>
      <c r="B245" s="7">
        <v>2.481950239132028E-6</v>
      </c>
      <c r="D245" t="s">
        <v>76</v>
      </c>
      <c r="E245" t="s">
        <v>442</v>
      </c>
      <c r="F245" t="s">
        <v>163</v>
      </c>
      <c r="G245" t="s">
        <v>316</v>
      </c>
    </row>
    <row r="246" spans="1:7" x14ac:dyDescent="0.2">
      <c r="A246" t="s">
        <v>317</v>
      </c>
      <c r="B246" s="7">
        <v>1.2987739607512805E-6</v>
      </c>
      <c r="D246" t="s">
        <v>76</v>
      </c>
      <c r="E246" t="s">
        <v>442</v>
      </c>
      <c r="F246" t="s">
        <v>163</v>
      </c>
      <c r="G246" t="s">
        <v>317</v>
      </c>
    </row>
    <row r="247" spans="1:7" x14ac:dyDescent="0.2">
      <c r="A247" t="s">
        <v>318</v>
      </c>
      <c r="B247" s="7">
        <v>3.73992501787018E-8</v>
      </c>
      <c r="D247" t="s">
        <v>76</v>
      </c>
      <c r="E247" t="s">
        <v>442</v>
      </c>
      <c r="F247" t="s">
        <v>163</v>
      </c>
      <c r="G247" t="s">
        <v>318</v>
      </c>
    </row>
    <row r="248" spans="1:7" x14ac:dyDescent="0.2">
      <c r="A248" t="s">
        <v>319</v>
      </c>
      <c r="B248" s="7">
        <v>3.7331251542013252E-6</v>
      </c>
      <c r="D248" t="s">
        <v>76</v>
      </c>
      <c r="E248" t="s">
        <v>442</v>
      </c>
      <c r="F248" t="s">
        <v>163</v>
      </c>
      <c r="G248" t="s">
        <v>319</v>
      </c>
    </row>
    <row r="249" spans="1:7" x14ac:dyDescent="0.2">
      <c r="A249" t="s">
        <v>320</v>
      </c>
      <c r="B249" s="7">
        <v>1.8461629860940981E-6</v>
      </c>
      <c r="D249" t="s">
        <v>76</v>
      </c>
      <c r="E249" t="s">
        <v>442</v>
      </c>
      <c r="F249" t="s">
        <v>163</v>
      </c>
      <c r="G249" t="s">
        <v>320</v>
      </c>
    </row>
    <row r="250" spans="1:7" x14ac:dyDescent="0.2">
      <c r="A250" t="s">
        <v>321</v>
      </c>
      <c r="B250" s="7">
        <v>7.6838459458060058E-7</v>
      </c>
      <c r="D250" t="s">
        <v>76</v>
      </c>
      <c r="E250" t="s">
        <v>442</v>
      </c>
      <c r="F250" t="s">
        <v>163</v>
      </c>
      <c r="G250" t="s">
        <v>321</v>
      </c>
    </row>
    <row r="251" spans="1:7" x14ac:dyDescent="0.2">
      <c r="A251" t="s">
        <v>322</v>
      </c>
      <c r="B251" s="7">
        <v>5.7798841185266424E-7</v>
      </c>
      <c r="D251" t="s">
        <v>76</v>
      </c>
      <c r="E251" t="s">
        <v>442</v>
      </c>
      <c r="F251" t="s">
        <v>163</v>
      </c>
      <c r="G251" t="s">
        <v>322</v>
      </c>
    </row>
    <row r="252" spans="1:7" x14ac:dyDescent="0.2">
      <c r="A252" t="s">
        <v>323</v>
      </c>
      <c r="B252" s="7">
        <v>2.5499488758205772E-7</v>
      </c>
      <c r="D252" t="s">
        <v>76</v>
      </c>
      <c r="E252" t="s">
        <v>442</v>
      </c>
      <c r="F252" t="s">
        <v>163</v>
      </c>
      <c r="G252" t="s">
        <v>323</v>
      </c>
    </row>
    <row r="253" spans="1:7" x14ac:dyDescent="0.2">
      <c r="A253" t="s">
        <v>324</v>
      </c>
      <c r="B253" s="7">
        <v>7.47985003574036E-8</v>
      </c>
      <c r="D253" t="s">
        <v>76</v>
      </c>
      <c r="E253" t="s">
        <v>442</v>
      </c>
      <c r="F253" t="s">
        <v>163</v>
      </c>
      <c r="G253" t="s">
        <v>324</v>
      </c>
    </row>
    <row r="254" spans="1:7" x14ac:dyDescent="0.2">
      <c r="A254" t="s">
        <v>325</v>
      </c>
      <c r="B254" s="7">
        <v>2.0739584190007364E-7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6.4598704854121283E-8</v>
      </c>
      <c r="D256" t="s">
        <v>76</v>
      </c>
      <c r="E256" t="s">
        <v>442</v>
      </c>
      <c r="F256" t="s">
        <v>163</v>
      </c>
      <c r="G256" t="s">
        <v>326</v>
      </c>
    </row>
    <row r="257" spans="1:8" x14ac:dyDescent="0.2">
      <c r="A257" t="s">
        <v>327</v>
      </c>
      <c r="B257" s="7">
        <v>3.4339311527717102E-7</v>
      </c>
      <c r="D257" t="s">
        <v>76</v>
      </c>
      <c r="E257" t="s">
        <v>442</v>
      </c>
      <c r="F257" t="s">
        <v>163</v>
      </c>
      <c r="G257" t="s">
        <v>327</v>
      </c>
    </row>
    <row r="258" spans="1:8" x14ac:dyDescent="0.2">
      <c r="A258" t="s">
        <v>336</v>
      </c>
      <c r="B258" s="7">
        <v>1.206547130504338E-9</v>
      </c>
      <c r="D258" t="s">
        <v>76</v>
      </c>
      <c r="E258" t="s">
        <v>442</v>
      </c>
      <c r="F258" t="s">
        <v>163</v>
      </c>
      <c r="G258" t="s">
        <v>329</v>
      </c>
    </row>
    <row r="259" spans="1:8" x14ac:dyDescent="0.2">
      <c r="A259" t="s">
        <v>330</v>
      </c>
      <c r="B259" s="7">
        <v>1.0401268366416708E-11</v>
      </c>
      <c r="D259" t="s">
        <v>76</v>
      </c>
      <c r="E259" t="s">
        <v>442</v>
      </c>
      <c r="F259" t="s">
        <v>163</v>
      </c>
      <c r="G259" t="s">
        <v>330</v>
      </c>
    </row>
    <row r="260" spans="1:8" x14ac:dyDescent="0.2">
      <c r="A260" t="s">
        <v>331</v>
      </c>
      <c r="B260" s="7">
        <v>6.9341789109444719E-12</v>
      </c>
      <c r="D260" t="s">
        <v>76</v>
      </c>
      <c r="E260" t="s">
        <v>442</v>
      </c>
      <c r="F260" t="s">
        <v>163</v>
      </c>
      <c r="G260" t="s">
        <v>331</v>
      </c>
    </row>
    <row r="261" spans="1:8" x14ac:dyDescent="0.2">
      <c r="A261" t="s">
        <v>332</v>
      </c>
      <c r="B261" s="7">
        <v>7.4889132238200295E-8</v>
      </c>
      <c r="D261" t="s">
        <v>76</v>
      </c>
      <c r="E261" t="s">
        <v>442</v>
      </c>
      <c r="F261" t="s">
        <v>163</v>
      </c>
      <c r="G261" t="s">
        <v>332</v>
      </c>
    </row>
    <row r="262" spans="1:8" x14ac:dyDescent="0.2">
      <c r="A262" t="s">
        <v>290</v>
      </c>
      <c r="B262" s="7">
        <v>1.4561775712983389E-9</v>
      </c>
      <c r="D262" t="s">
        <v>76</v>
      </c>
      <c r="E262" t="s">
        <v>442</v>
      </c>
      <c r="F262" t="s">
        <v>163</v>
      </c>
      <c r="G262" t="s">
        <v>290</v>
      </c>
    </row>
    <row r="263" spans="1:8" x14ac:dyDescent="0.2">
      <c r="A263" t="s">
        <v>292</v>
      </c>
      <c r="B263" s="7">
        <v>4.5072162921139066E-10</v>
      </c>
      <c r="D263" t="s">
        <v>76</v>
      </c>
      <c r="E263" t="s">
        <v>442</v>
      </c>
      <c r="F263" t="s">
        <v>163</v>
      </c>
      <c r="G263" t="s">
        <v>292</v>
      </c>
    </row>
    <row r="264" spans="1:8" x14ac:dyDescent="0.2">
      <c r="A264" t="s">
        <v>291</v>
      </c>
      <c r="B264" s="7">
        <v>5.5473431287555782E-10</v>
      </c>
      <c r="D264" t="s">
        <v>76</v>
      </c>
      <c r="E264" t="s">
        <v>442</v>
      </c>
      <c r="F264" t="s">
        <v>163</v>
      </c>
      <c r="G264" t="s">
        <v>291</v>
      </c>
    </row>
    <row r="265" spans="1:8" x14ac:dyDescent="0.2">
      <c r="A265" t="s">
        <v>335</v>
      </c>
      <c r="B265" s="7">
        <v>1.1094686257511153E-12</v>
      </c>
      <c r="D265" t="s">
        <v>76</v>
      </c>
      <c r="E265" t="s">
        <v>442</v>
      </c>
      <c r="F265" t="s">
        <v>163</v>
      </c>
      <c r="G265" t="s">
        <v>335</v>
      </c>
    </row>
    <row r="266" spans="1:8" x14ac:dyDescent="0.2">
      <c r="A266" t="s">
        <v>333</v>
      </c>
      <c r="B266" s="7">
        <v>3.016367826260845E-10</v>
      </c>
      <c r="D266" t="s">
        <v>76</v>
      </c>
      <c r="E266" t="s">
        <v>442</v>
      </c>
      <c r="F266" t="s">
        <v>163</v>
      </c>
      <c r="G266" t="s">
        <v>333</v>
      </c>
    </row>
    <row r="267" spans="1:8" x14ac:dyDescent="0.2">
      <c r="A267" t="s">
        <v>334</v>
      </c>
      <c r="B267" s="7">
        <v>3.7444566119100157E-10</v>
      </c>
      <c r="D267" t="s">
        <v>76</v>
      </c>
      <c r="E267" t="s">
        <v>442</v>
      </c>
      <c r="F267" t="s">
        <v>163</v>
      </c>
      <c r="G267" t="s">
        <v>334</v>
      </c>
    </row>
    <row r="268" spans="1:8" x14ac:dyDescent="0.2">
      <c r="A268" t="s">
        <v>155</v>
      </c>
      <c r="B268" s="7">
        <v>-8.5891628161937534E-6</v>
      </c>
      <c r="C268" t="s">
        <v>91</v>
      </c>
      <c r="D268" t="s">
        <v>76</v>
      </c>
      <c r="F268" t="s">
        <v>88</v>
      </c>
      <c r="G268" t="s">
        <v>29</v>
      </c>
      <c r="H268" t="s">
        <v>157</v>
      </c>
    </row>
    <row r="269" spans="1:8" x14ac:dyDescent="0.2">
      <c r="A269" t="s">
        <v>156</v>
      </c>
      <c r="B269" s="7">
        <v>-5.6888158267475719E-6</v>
      </c>
      <c r="C269" t="s">
        <v>91</v>
      </c>
      <c r="D269" t="s">
        <v>76</v>
      </c>
      <c r="F269" t="s">
        <v>88</v>
      </c>
      <c r="G269" t="s">
        <v>30</v>
      </c>
      <c r="H269" t="s">
        <v>158</v>
      </c>
    </row>
    <row r="270" spans="1:8" x14ac:dyDescent="0.2">
      <c r="A270" t="s">
        <v>164</v>
      </c>
      <c r="B270" s="7">
        <v>-3.1599080713138445E-6</v>
      </c>
      <c r="C270" t="s">
        <v>91</v>
      </c>
      <c r="D270" t="s">
        <v>76</v>
      </c>
      <c r="F270" t="s">
        <v>88</v>
      </c>
      <c r="G270" t="s">
        <v>31</v>
      </c>
      <c r="H270" t="s">
        <v>159</v>
      </c>
    </row>
    <row r="272" spans="1:8" ht="16" x14ac:dyDescent="0.2">
      <c r="A272" s="10" t="s">
        <v>70</v>
      </c>
      <c r="B272" s="8" t="s">
        <v>606</v>
      </c>
    </row>
    <row r="273" spans="1:2" x14ac:dyDescent="0.2">
      <c r="A273" t="s">
        <v>71</v>
      </c>
      <c r="B273" t="s">
        <v>37</v>
      </c>
    </row>
    <row r="274" spans="1:2" x14ac:dyDescent="0.2">
      <c r="A274" t="s">
        <v>85</v>
      </c>
      <c r="B274" t="s">
        <v>387</v>
      </c>
    </row>
    <row r="275" spans="1:2" x14ac:dyDescent="0.2">
      <c r="A275" t="s">
        <v>86</v>
      </c>
    </row>
    <row r="276" spans="1:2" x14ac:dyDescent="0.2">
      <c r="A276" t="s">
        <v>87</v>
      </c>
      <c r="B276">
        <v>2020</v>
      </c>
    </row>
    <row r="277" spans="1:2" x14ac:dyDescent="0.2">
      <c r="A277" t="s">
        <v>123</v>
      </c>
      <c r="B277" t="s">
        <v>390</v>
      </c>
    </row>
    <row r="278" spans="1:2" x14ac:dyDescent="0.2">
      <c r="A278" t="s">
        <v>72</v>
      </c>
      <c r="B278" t="s">
        <v>606</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38500</v>
      </c>
    </row>
    <row r="283" spans="1:2" x14ac:dyDescent="0.2">
      <c r="A283" t="s">
        <v>125</v>
      </c>
      <c r="B283">
        <v>1.1000000000000001</v>
      </c>
    </row>
    <row r="284" spans="1:2" x14ac:dyDescent="0.2">
      <c r="A284" t="s">
        <v>126</v>
      </c>
      <c r="B284">
        <v>1.54</v>
      </c>
    </row>
    <row r="285" spans="1:2" x14ac:dyDescent="0.2">
      <c r="A285" t="s">
        <v>127</v>
      </c>
      <c r="B285">
        <v>0</v>
      </c>
    </row>
    <row r="286" spans="1:2" x14ac:dyDescent="0.2">
      <c r="A286" t="s">
        <v>128</v>
      </c>
      <c r="B286">
        <v>2405</v>
      </c>
    </row>
    <row r="287" spans="1:2" x14ac:dyDescent="0.2">
      <c r="A287" t="s">
        <v>129</v>
      </c>
      <c r="B287" s="2">
        <v>155.9375</v>
      </c>
    </row>
    <row r="288" spans="1:2" x14ac:dyDescent="0.2">
      <c r="A288" t="s">
        <v>130</v>
      </c>
      <c r="B288">
        <v>20</v>
      </c>
    </row>
    <row r="289" spans="1:8" x14ac:dyDescent="0.2">
      <c r="A289" t="s">
        <v>131</v>
      </c>
      <c r="B289" t="s">
        <v>84</v>
      </c>
    </row>
    <row r="290" spans="1:8" x14ac:dyDescent="0.2">
      <c r="A290" t="s">
        <v>99</v>
      </c>
      <c r="B290">
        <v>0</v>
      </c>
    </row>
    <row r="291" spans="1:8" x14ac:dyDescent="0.2">
      <c r="A291" t="s">
        <v>134</v>
      </c>
      <c r="B291" s="2">
        <v>133.125</v>
      </c>
    </row>
    <row r="292" spans="1:8" x14ac:dyDescent="0.2">
      <c r="A292" t="s">
        <v>135</v>
      </c>
      <c r="B292">
        <v>11.25</v>
      </c>
    </row>
    <row r="293" spans="1:8" x14ac:dyDescent="0.2">
      <c r="A293" t="s">
        <v>132</v>
      </c>
      <c r="B293" s="2">
        <v>328.52842356210198</v>
      </c>
    </row>
    <row r="294" spans="1:8" x14ac:dyDescent="0.2">
      <c r="A294" t="s">
        <v>133</v>
      </c>
      <c r="B294" t="s">
        <v>139</v>
      </c>
    </row>
    <row r="295" spans="1:8" x14ac:dyDescent="0.2">
      <c r="A295" t="s">
        <v>540</v>
      </c>
      <c r="B295" s="6">
        <v>0</v>
      </c>
    </row>
    <row r="296" spans="1:8" x14ac:dyDescent="0.2">
      <c r="A296" t="s">
        <v>82</v>
      </c>
      <c r="B296" t="s">
        <v>607</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606</v>
      </c>
      <c r="B299">
        <v>1</v>
      </c>
      <c r="C299" t="s">
        <v>37</v>
      </c>
      <c r="D299" t="s">
        <v>162</v>
      </c>
      <c r="F299" t="s">
        <v>83</v>
      </c>
      <c r="G299" t="s">
        <v>84</v>
      </c>
      <c r="H299" t="s">
        <v>606</v>
      </c>
    </row>
    <row r="300" spans="1:8" x14ac:dyDescent="0.2">
      <c r="A300" t="s">
        <v>387</v>
      </c>
      <c r="B300" s="7">
        <v>2.5974025974025975E-5</v>
      </c>
      <c r="C300" t="s">
        <v>37</v>
      </c>
      <c r="D300" t="s">
        <v>75</v>
      </c>
      <c r="F300" t="s">
        <v>88</v>
      </c>
      <c r="H300" t="s">
        <v>387</v>
      </c>
    </row>
    <row r="301" spans="1:8" x14ac:dyDescent="0.2">
      <c r="A301" t="s">
        <v>106</v>
      </c>
      <c r="B301" s="7">
        <v>1.3126293750000001E-4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3.4243612403519794E-2</v>
      </c>
      <c r="C304" t="s">
        <v>37</v>
      </c>
      <c r="D304" t="s">
        <v>76</v>
      </c>
      <c r="F304" t="s">
        <v>88</v>
      </c>
      <c r="G304" t="s">
        <v>27</v>
      </c>
      <c r="H304" t="s">
        <v>452</v>
      </c>
    </row>
    <row r="305" spans="1:7" x14ac:dyDescent="0.2">
      <c r="A305" t="s">
        <v>150</v>
      </c>
      <c r="B305" s="11">
        <v>0.10623464363168753</v>
      </c>
      <c r="D305" t="s">
        <v>76</v>
      </c>
      <c r="E305" t="s">
        <v>442</v>
      </c>
      <c r="F305" t="s">
        <v>163</v>
      </c>
      <c r="G305" t="s">
        <v>65</v>
      </c>
    </row>
    <row r="306" spans="1:7" x14ac:dyDescent="0.2">
      <c r="A306" t="s">
        <v>448</v>
      </c>
      <c r="B306" s="11">
        <v>1.2902993153646259E-3</v>
      </c>
      <c r="D306" t="s">
        <v>76</v>
      </c>
      <c r="E306" t="s">
        <v>442</v>
      </c>
      <c r="F306" t="s">
        <v>163</v>
      </c>
      <c r="G306" t="s">
        <v>446</v>
      </c>
    </row>
    <row r="307" spans="1:7" x14ac:dyDescent="0.2">
      <c r="A307" t="s">
        <v>210</v>
      </c>
      <c r="B307" s="7">
        <v>5.478977984563167E-7</v>
      </c>
      <c r="D307" t="s">
        <v>76</v>
      </c>
      <c r="E307" t="s">
        <v>442</v>
      </c>
      <c r="F307" t="s">
        <v>163</v>
      </c>
      <c r="G307" t="s">
        <v>66</v>
      </c>
    </row>
    <row r="308" spans="1:7" x14ac:dyDescent="0.2">
      <c r="A308" t="s">
        <v>54</v>
      </c>
      <c r="B308" s="7">
        <v>1.1120861815633757E-6</v>
      </c>
      <c r="D308" t="s">
        <v>76</v>
      </c>
      <c r="E308" t="s">
        <v>442</v>
      </c>
      <c r="F308" t="s">
        <v>163</v>
      </c>
      <c r="G308" t="s">
        <v>54</v>
      </c>
    </row>
    <row r="309" spans="1:7" x14ac:dyDescent="0.2">
      <c r="A309" t="s">
        <v>151</v>
      </c>
      <c r="B309" s="7">
        <v>2.7420758420675998E-5</v>
      </c>
      <c r="D309" t="s">
        <v>76</v>
      </c>
      <c r="E309" t="s">
        <v>442</v>
      </c>
      <c r="F309" t="s">
        <v>163</v>
      </c>
      <c r="G309" t="s">
        <v>55</v>
      </c>
    </row>
    <row r="310" spans="1:7" x14ac:dyDescent="0.2">
      <c r="A310" t="s">
        <v>152</v>
      </c>
      <c r="B310" s="7">
        <v>1.217425302427384E-4</v>
      </c>
      <c r="D310" t="s">
        <v>76</v>
      </c>
      <c r="E310" t="s">
        <v>442</v>
      </c>
      <c r="F310" t="s">
        <v>163</v>
      </c>
      <c r="G310" t="s">
        <v>56</v>
      </c>
    </row>
    <row r="311" spans="1:7" x14ac:dyDescent="0.2">
      <c r="A311" t="s">
        <v>211</v>
      </c>
      <c r="B311" s="7">
        <v>8.2468446377972918E-7</v>
      </c>
      <c r="D311" t="s">
        <v>76</v>
      </c>
      <c r="E311" t="s">
        <v>442</v>
      </c>
      <c r="F311" t="s">
        <v>163</v>
      </c>
      <c r="G311" t="s">
        <v>57</v>
      </c>
    </row>
    <row r="312" spans="1:7" x14ac:dyDescent="0.2">
      <c r="A312" t="s">
        <v>153</v>
      </c>
      <c r="B312" s="7">
        <v>8.2468446377972918E-7</v>
      </c>
      <c r="D312" t="s">
        <v>76</v>
      </c>
      <c r="E312" t="s">
        <v>442</v>
      </c>
      <c r="F312" t="s">
        <v>163</v>
      </c>
      <c r="G312" t="s">
        <v>58</v>
      </c>
    </row>
    <row r="313" spans="1:7" x14ac:dyDescent="0.2">
      <c r="A313" t="s">
        <v>154</v>
      </c>
      <c r="B313" s="7">
        <v>8.9890099189194488E-6</v>
      </c>
      <c r="D313" t="s">
        <v>76</v>
      </c>
      <c r="E313" t="s">
        <v>442</v>
      </c>
      <c r="F313" t="s">
        <v>163</v>
      </c>
      <c r="G313" t="s">
        <v>59</v>
      </c>
    </row>
    <row r="314" spans="1:7" x14ac:dyDescent="0.2">
      <c r="A314" t="s">
        <v>212</v>
      </c>
      <c r="B314" s="7">
        <v>2.0617111594493231E-6</v>
      </c>
      <c r="D314" t="s">
        <v>76</v>
      </c>
      <c r="E314" t="s">
        <v>442</v>
      </c>
      <c r="F314" t="s">
        <v>163</v>
      </c>
      <c r="G314" t="s">
        <v>61</v>
      </c>
    </row>
    <row r="315" spans="1:7" x14ac:dyDescent="0.2">
      <c r="A315" t="s">
        <v>207</v>
      </c>
      <c r="B315" s="7">
        <v>8.9680532716447633E-6</v>
      </c>
      <c r="D315" t="s">
        <v>76</v>
      </c>
      <c r="E315" t="s">
        <v>442</v>
      </c>
      <c r="F315" t="s">
        <v>163</v>
      </c>
      <c r="G315" t="s">
        <v>360</v>
      </c>
    </row>
    <row r="316" spans="1:7" x14ac:dyDescent="0.2">
      <c r="A316" t="s">
        <v>309</v>
      </c>
      <c r="B316" s="7">
        <v>6.3236273069289983E-7</v>
      </c>
      <c r="D316" t="s">
        <v>76</v>
      </c>
      <c r="E316" t="s">
        <v>442</v>
      </c>
      <c r="F316" t="s">
        <v>163</v>
      </c>
      <c r="G316" t="s">
        <v>309</v>
      </c>
    </row>
    <row r="317" spans="1:7" x14ac:dyDescent="0.2">
      <c r="A317" t="s">
        <v>310</v>
      </c>
      <c r="B317" s="7">
        <v>1.2885134010983853E-7</v>
      </c>
      <c r="D317" t="s">
        <v>76</v>
      </c>
      <c r="E317" t="s">
        <v>442</v>
      </c>
      <c r="F317" t="s">
        <v>163</v>
      </c>
      <c r="G317" t="s">
        <v>310</v>
      </c>
    </row>
    <row r="318" spans="1:7" x14ac:dyDescent="0.2">
      <c r="A318" t="s">
        <v>311</v>
      </c>
      <c r="B318" s="7">
        <v>1.0387400341162367E-6</v>
      </c>
      <c r="D318" t="s">
        <v>76</v>
      </c>
      <c r="E318" t="s">
        <v>442</v>
      </c>
      <c r="F318" t="s">
        <v>163</v>
      </c>
      <c r="G318" t="s">
        <v>311</v>
      </c>
    </row>
    <row r="319" spans="1:7" x14ac:dyDescent="0.2">
      <c r="A319" t="s">
        <v>312</v>
      </c>
      <c r="B319" s="7">
        <v>4.2620058651715824E-7</v>
      </c>
      <c r="D319" t="s">
        <v>76</v>
      </c>
      <c r="E319" t="s">
        <v>442</v>
      </c>
      <c r="F319" t="s">
        <v>163</v>
      </c>
      <c r="G319" t="s">
        <v>312</v>
      </c>
    </row>
    <row r="320" spans="1:7" x14ac:dyDescent="0.2">
      <c r="A320" t="s">
        <v>313</v>
      </c>
      <c r="B320" s="7">
        <v>3.1915485781052317E-7</v>
      </c>
      <c r="D320" t="s">
        <v>76</v>
      </c>
      <c r="E320" t="s">
        <v>442</v>
      </c>
      <c r="F320" t="s">
        <v>163</v>
      </c>
      <c r="G320" t="s">
        <v>313</v>
      </c>
    </row>
    <row r="321" spans="1:7" x14ac:dyDescent="0.2">
      <c r="A321" t="s">
        <v>314</v>
      </c>
      <c r="B321" s="7">
        <v>2.2598542726956295E-7</v>
      </c>
      <c r="D321" t="s">
        <v>76</v>
      </c>
      <c r="E321" t="s">
        <v>442</v>
      </c>
      <c r="F321" t="s">
        <v>163</v>
      </c>
      <c r="G321" t="s">
        <v>314</v>
      </c>
    </row>
    <row r="322" spans="1:7" x14ac:dyDescent="0.2">
      <c r="A322" t="s">
        <v>315</v>
      </c>
      <c r="B322" s="7">
        <v>1.4669229489427773E-7</v>
      </c>
      <c r="D322" t="s">
        <v>76</v>
      </c>
      <c r="E322" t="s">
        <v>442</v>
      </c>
      <c r="F322" t="s">
        <v>163</v>
      </c>
      <c r="G322" t="s">
        <v>315</v>
      </c>
    </row>
    <row r="323" spans="1:7" x14ac:dyDescent="0.2">
      <c r="A323" t="s">
        <v>316</v>
      </c>
      <c r="B323" s="7">
        <v>1.4470996658489557E-6</v>
      </c>
      <c r="D323" t="s">
        <v>76</v>
      </c>
      <c r="E323" t="s">
        <v>442</v>
      </c>
      <c r="F323" t="s">
        <v>163</v>
      </c>
      <c r="G323" t="s">
        <v>316</v>
      </c>
    </row>
    <row r="324" spans="1:7" x14ac:dyDescent="0.2">
      <c r="A324" t="s">
        <v>317</v>
      </c>
      <c r="B324" s="7">
        <v>7.572494141839741E-7</v>
      </c>
      <c r="D324" t="s">
        <v>76</v>
      </c>
      <c r="E324" t="s">
        <v>442</v>
      </c>
      <c r="F324" t="s">
        <v>163</v>
      </c>
      <c r="G324" t="s">
        <v>317</v>
      </c>
    </row>
    <row r="325" spans="1:7" x14ac:dyDescent="0.2">
      <c r="A325" t="s">
        <v>318</v>
      </c>
      <c r="B325" s="7">
        <v>2.1805611403203451E-8</v>
      </c>
      <c r="D325" t="s">
        <v>76</v>
      </c>
      <c r="E325" t="s">
        <v>442</v>
      </c>
      <c r="F325" t="s">
        <v>163</v>
      </c>
      <c r="G325" t="s">
        <v>318</v>
      </c>
    </row>
    <row r="326" spans="1:7" x14ac:dyDescent="0.2">
      <c r="A326" t="s">
        <v>319</v>
      </c>
      <c r="B326" s="7">
        <v>2.1765964837015801E-6</v>
      </c>
      <c r="D326" t="s">
        <v>76</v>
      </c>
      <c r="E326" t="s">
        <v>442</v>
      </c>
      <c r="F326" t="s">
        <v>163</v>
      </c>
      <c r="G326" t="s">
        <v>319</v>
      </c>
    </row>
    <row r="327" spans="1:7" x14ac:dyDescent="0.2">
      <c r="A327" t="s">
        <v>320</v>
      </c>
      <c r="B327" s="7">
        <v>1.0764042719944975E-6</v>
      </c>
      <c r="D327" t="s">
        <v>76</v>
      </c>
      <c r="E327" t="s">
        <v>442</v>
      </c>
      <c r="F327" t="s">
        <v>163</v>
      </c>
      <c r="G327" t="s">
        <v>320</v>
      </c>
    </row>
    <row r="328" spans="1:7" x14ac:dyDescent="0.2">
      <c r="A328" t="s">
        <v>321</v>
      </c>
      <c r="B328" s="7">
        <v>4.4800619792036162E-7</v>
      </c>
      <c r="D328" t="s">
        <v>76</v>
      </c>
      <c r="E328" t="s">
        <v>442</v>
      </c>
      <c r="F328" t="s">
        <v>163</v>
      </c>
      <c r="G328" t="s">
        <v>321</v>
      </c>
    </row>
    <row r="329" spans="1:7" x14ac:dyDescent="0.2">
      <c r="A329" t="s">
        <v>322</v>
      </c>
      <c r="B329" s="7">
        <v>3.3699581259496236E-7</v>
      </c>
      <c r="D329" t="s">
        <v>76</v>
      </c>
      <c r="E329" t="s">
        <v>442</v>
      </c>
      <c r="F329" t="s">
        <v>163</v>
      </c>
      <c r="G329" t="s">
        <v>322</v>
      </c>
    </row>
    <row r="330" spans="1:7" x14ac:dyDescent="0.2">
      <c r="A330" t="s">
        <v>323</v>
      </c>
      <c r="B330" s="7">
        <v>1.4867462320365984E-7</v>
      </c>
      <c r="D330" t="s">
        <v>76</v>
      </c>
      <c r="E330" t="s">
        <v>442</v>
      </c>
      <c r="F330" t="s">
        <v>163</v>
      </c>
      <c r="G330" t="s">
        <v>323</v>
      </c>
    </row>
    <row r="331" spans="1:7" x14ac:dyDescent="0.2">
      <c r="A331" t="s">
        <v>324</v>
      </c>
      <c r="B331" s="7">
        <v>4.3611222806406902E-8</v>
      </c>
      <c r="D331" t="s">
        <v>76</v>
      </c>
      <c r="E331" t="s">
        <v>442</v>
      </c>
      <c r="F331" t="s">
        <v>163</v>
      </c>
      <c r="G331" t="s">
        <v>324</v>
      </c>
    </row>
    <row r="332" spans="1:7" x14ac:dyDescent="0.2">
      <c r="A332" t="s">
        <v>325</v>
      </c>
      <c r="B332" s="7">
        <v>1.2092202687231004E-7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3.7664237878260496E-8</v>
      </c>
      <c r="D334" t="s">
        <v>76</v>
      </c>
      <c r="E334" t="s">
        <v>442</v>
      </c>
      <c r="F334" t="s">
        <v>163</v>
      </c>
      <c r="G334" t="s">
        <v>326</v>
      </c>
    </row>
    <row r="335" spans="1:7" x14ac:dyDescent="0.2">
      <c r="A335" t="s">
        <v>327</v>
      </c>
      <c r="B335" s="7">
        <v>2.0021515924759527E-7</v>
      </c>
      <c r="D335" t="s">
        <v>76</v>
      </c>
      <c r="E335" t="s">
        <v>442</v>
      </c>
      <c r="F335" t="s">
        <v>163</v>
      </c>
      <c r="G335" t="s">
        <v>327</v>
      </c>
    </row>
    <row r="336" spans="1:7" x14ac:dyDescent="0.2">
      <c r="A336" t="s">
        <v>336</v>
      </c>
      <c r="B336" s="7">
        <v>1.1944816591992947E-9</v>
      </c>
      <c r="D336" t="s">
        <v>76</v>
      </c>
      <c r="E336" t="s">
        <v>442</v>
      </c>
      <c r="F336" t="s">
        <v>163</v>
      </c>
      <c r="G336" t="s">
        <v>329</v>
      </c>
    </row>
    <row r="337" spans="1:8" x14ac:dyDescent="0.2">
      <c r="A337" t="s">
        <v>330</v>
      </c>
      <c r="B337" s="7">
        <v>1.0297255682752541E-11</v>
      </c>
      <c r="D337" t="s">
        <v>76</v>
      </c>
      <c r="E337" t="s">
        <v>442</v>
      </c>
      <c r="F337" t="s">
        <v>163</v>
      </c>
      <c r="G337" t="s">
        <v>330</v>
      </c>
    </row>
    <row r="338" spans="1:8" x14ac:dyDescent="0.2">
      <c r="A338" t="s">
        <v>331</v>
      </c>
      <c r="B338" s="7">
        <v>6.8648371218350269E-12</v>
      </c>
      <c r="D338" t="s">
        <v>76</v>
      </c>
      <c r="E338" t="s">
        <v>442</v>
      </c>
      <c r="F338" t="s">
        <v>163</v>
      </c>
      <c r="G338" t="s">
        <v>331</v>
      </c>
    </row>
    <row r="339" spans="1:8" x14ac:dyDescent="0.2">
      <c r="A339" t="s">
        <v>332</v>
      </c>
      <c r="B339" s="7">
        <v>7.4140240915818294E-8</v>
      </c>
      <c r="D339" t="s">
        <v>76</v>
      </c>
      <c r="E339" t="s">
        <v>442</v>
      </c>
      <c r="F339" t="s">
        <v>163</v>
      </c>
      <c r="G339" t="s">
        <v>332</v>
      </c>
    </row>
    <row r="340" spans="1:8" x14ac:dyDescent="0.2">
      <c r="A340" t="s">
        <v>290</v>
      </c>
      <c r="B340" s="7">
        <v>1.4416157955853554E-9</v>
      </c>
      <c r="D340" t="s">
        <v>76</v>
      </c>
      <c r="E340" t="s">
        <v>442</v>
      </c>
      <c r="F340" t="s">
        <v>163</v>
      </c>
      <c r="G340" t="s">
        <v>290</v>
      </c>
    </row>
    <row r="341" spans="1:8" x14ac:dyDescent="0.2">
      <c r="A341" t="s">
        <v>292</v>
      </c>
      <c r="B341" s="7">
        <v>4.4621441291927677E-10</v>
      </c>
      <c r="D341" t="s">
        <v>76</v>
      </c>
      <c r="E341" t="s">
        <v>442</v>
      </c>
      <c r="F341" t="s">
        <v>163</v>
      </c>
      <c r="G341" t="s">
        <v>292</v>
      </c>
    </row>
    <row r="342" spans="1:8" x14ac:dyDescent="0.2">
      <c r="A342" t="s">
        <v>291</v>
      </c>
      <c r="B342" s="7">
        <v>5.4918696974680217E-10</v>
      </c>
      <c r="D342" t="s">
        <v>76</v>
      </c>
      <c r="E342" t="s">
        <v>442</v>
      </c>
      <c r="F342" t="s">
        <v>163</v>
      </c>
      <c r="G342" t="s">
        <v>291</v>
      </c>
    </row>
    <row r="343" spans="1:8" x14ac:dyDescent="0.2">
      <c r="A343" t="s">
        <v>335</v>
      </c>
      <c r="B343" s="7">
        <v>1.0983739394936042E-12</v>
      </c>
      <c r="D343" t="s">
        <v>76</v>
      </c>
      <c r="E343" t="s">
        <v>442</v>
      </c>
      <c r="F343" t="s">
        <v>163</v>
      </c>
      <c r="G343" t="s">
        <v>335</v>
      </c>
    </row>
    <row r="344" spans="1:8" x14ac:dyDescent="0.2">
      <c r="A344" t="s">
        <v>333</v>
      </c>
      <c r="B344" s="7">
        <v>2.9862041479982367E-10</v>
      </c>
      <c r="D344" t="s">
        <v>76</v>
      </c>
      <c r="E344" t="s">
        <v>442</v>
      </c>
      <c r="F344" t="s">
        <v>163</v>
      </c>
      <c r="G344" t="s">
        <v>333</v>
      </c>
    </row>
    <row r="345" spans="1:8" x14ac:dyDescent="0.2">
      <c r="A345" t="s">
        <v>334</v>
      </c>
      <c r="B345" s="7">
        <v>3.7070120457909154E-10</v>
      </c>
      <c r="D345" t="s">
        <v>76</v>
      </c>
      <c r="E345" t="s">
        <v>442</v>
      </c>
      <c r="F345" t="s">
        <v>163</v>
      </c>
      <c r="G345" t="s">
        <v>334</v>
      </c>
    </row>
    <row r="346" spans="1:8" x14ac:dyDescent="0.2">
      <c r="A346" t="s">
        <v>155</v>
      </c>
      <c r="B346" s="7">
        <v>-8.5441191684619126E-6</v>
      </c>
      <c r="C346" t="s">
        <v>91</v>
      </c>
      <c r="D346" t="s">
        <v>76</v>
      </c>
      <c r="F346" t="s">
        <v>88</v>
      </c>
      <c r="G346" t="s">
        <v>29</v>
      </c>
      <c r="H346" t="s">
        <v>157</v>
      </c>
    </row>
    <row r="347" spans="1:8" x14ac:dyDescent="0.2">
      <c r="A347" t="s">
        <v>156</v>
      </c>
      <c r="B347" s="7">
        <v>-5.6691348947099748E-6</v>
      </c>
      <c r="C347" t="s">
        <v>91</v>
      </c>
      <c r="D347" t="s">
        <v>76</v>
      </c>
      <c r="F347" t="s">
        <v>88</v>
      </c>
      <c r="G347" t="s">
        <v>30</v>
      </c>
      <c r="H347" t="s">
        <v>158</v>
      </c>
    </row>
    <row r="348" spans="1:8" x14ac:dyDescent="0.2">
      <c r="A348" t="s">
        <v>164</v>
      </c>
      <c r="B348" s="7">
        <v>-3.1464693215033047E-6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394</v>
      </c>
    </row>
    <row r="2" spans="1:2" x14ac:dyDescent="0.2">
      <c r="A2" t="s">
        <v>71</v>
      </c>
      <c r="B2" t="s">
        <v>37</v>
      </c>
    </row>
    <row r="3" spans="1:2" x14ac:dyDescent="0.2">
      <c r="A3" t="s">
        <v>85</v>
      </c>
      <c r="B3" t="s">
        <v>394</v>
      </c>
    </row>
    <row r="4" spans="1:2" x14ac:dyDescent="0.2">
      <c r="A4" t="s">
        <v>86</v>
      </c>
    </row>
    <row r="5" spans="1:2" x14ac:dyDescent="0.2">
      <c r="A5" t="s">
        <v>87</v>
      </c>
      <c r="B5">
        <v>2006</v>
      </c>
    </row>
    <row r="6" spans="1:2" x14ac:dyDescent="0.2">
      <c r="A6" t="s">
        <v>123</v>
      </c>
      <c r="B6" t="s">
        <v>397</v>
      </c>
    </row>
    <row r="7" spans="1:2" x14ac:dyDescent="0.2">
      <c r="A7" t="s">
        <v>72</v>
      </c>
      <c r="B7" t="s">
        <v>394</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0</v>
      </c>
    </row>
    <row r="15" spans="1:2" x14ac:dyDescent="0.2">
      <c r="A15" t="s">
        <v>128</v>
      </c>
      <c r="B15">
        <v>2896</v>
      </c>
    </row>
    <row r="16" spans="1:2" x14ac:dyDescent="0.2">
      <c r="A16" t="s">
        <v>129</v>
      </c>
      <c r="B16" s="2">
        <v>262.07499999999999</v>
      </c>
    </row>
    <row r="17" spans="1:8" x14ac:dyDescent="0.2">
      <c r="A17" t="s">
        <v>130</v>
      </c>
      <c r="B17">
        <v>91</v>
      </c>
    </row>
    <row r="18" spans="1:8" x14ac:dyDescent="0.2">
      <c r="A18" t="s">
        <v>131</v>
      </c>
      <c r="B18" t="s">
        <v>84</v>
      </c>
    </row>
    <row r="19" spans="1:8" x14ac:dyDescent="0.2">
      <c r="A19" t="s">
        <v>99</v>
      </c>
      <c r="B19">
        <v>0</v>
      </c>
    </row>
    <row r="20" spans="1:8" x14ac:dyDescent="0.2">
      <c r="A20" t="s">
        <v>134</v>
      </c>
      <c r="B20" s="2">
        <v>159.75</v>
      </c>
    </row>
    <row r="21" spans="1:8" x14ac:dyDescent="0.2">
      <c r="A21" t="s">
        <v>135</v>
      </c>
      <c r="B21">
        <v>13.5</v>
      </c>
    </row>
    <row r="22" spans="1:8" x14ac:dyDescent="0.2">
      <c r="A22" t="s">
        <v>132</v>
      </c>
      <c r="B22" s="2">
        <v>291.42030699682999</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394</v>
      </c>
      <c r="B31">
        <v>1</v>
      </c>
      <c r="C31" t="s">
        <v>37</v>
      </c>
      <c r="D31" t="s">
        <v>75</v>
      </c>
      <c r="F31" t="s">
        <v>83</v>
      </c>
      <c r="G31" t="s">
        <v>84</v>
      </c>
      <c r="H31" t="s">
        <v>394</v>
      </c>
    </row>
    <row r="32" spans="1:8" x14ac:dyDescent="0.2">
      <c r="A32" t="s">
        <v>111</v>
      </c>
      <c r="B32" s="6">
        <v>1.2333333333333334</v>
      </c>
      <c r="C32" t="s">
        <v>91</v>
      </c>
      <c r="D32" t="s">
        <v>75</v>
      </c>
      <c r="F32" t="s">
        <v>88</v>
      </c>
      <c r="G32" t="s">
        <v>15</v>
      </c>
      <c r="H32" t="s">
        <v>112</v>
      </c>
    </row>
    <row r="33" spans="1:8" x14ac:dyDescent="0.2">
      <c r="A33" t="inlineStr">
        <is>
          <t>mechanical powertrain, motorcycle, gasoline, engineering reference</t>
        </is>
      </c>
      <c r="B33" s="6">
        <v>130.0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2.0249999999999999</v>
      </c>
      <c r="C34" t="s">
        <v>91</v>
      </c>
      <c r="D34" t="s">
        <v>76</v>
      </c>
      <c r="F34" t="s">
        <v>88</v>
      </c>
      <c r="G34" t="s">
        <v>24</v>
      </c>
      <c r="H34" t="s">
        <v>114</v>
      </c>
    </row>
    <row r="35" spans="1:8" x14ac:dyDescent="0.2">
      <c r="A35" t="inlineStr">
        <is>
          <t>fuel tank forming, motorcycle engineering reference</t>
        </is>
      </c>
      <c r="B35" s="6">
        <v>2.0372233400402413</v>
      </c>
      <c r="C35" t="inlineStr">
        <is>
          <t>RER</t>
        </is>
      </c>
      <c r="D35" t="s">
        <v>76</v>
      </c>
      <c r="F35" t="s">
        <v>88</v>
      </c>
      <c r="G35" t="s">
        <v>412</v>
      </c>
      <c r="H35" t="inlineStr">
        <is>
          <t>fuel tank forming, motorcycle engineering reference</t>
        </is>
      </c>
    </row>
    <row r="36" spans="1:8" x14ac:dyDescent="0.2">
      <c r="A36" s="13" t="s">
        <v>443</v>
      </c>
      <c r="B36" s="2">
        <v>262.07499999999999</v>
      </c>
      <c r="C36" t="s">
        <v>91</v>
      </c>
      <c r="D36" t="s">
        <v>191</v>
      </c>
      <c r="F36" t="s">
        <v>88</v>
      </c>
      <c r="H36" s="13" t="s">
        <v>444</v>
      </c>
    </row>
    <row r="37" spans="1:8" x14ac:dyDescent="0.2">
      <c r="A37" s="13" t="s">
        <v>214</v>
      </c>
      <c r="B37" s="2">
        <v>4166.9925000000003</v>
      </c>
      <c r="C37" t="s">
        <v>94</v>
      </c>
      <c r="D37" t="s">
        <v>191</v>
      </c>
      <c r="F37" t="s">
        <v>88</v>
      </c>
      <c r="H37" s="13" t="s">
        <v>214</v>
      </c>
    </row>
    <row r="38" spans="1:8" x14ac:dyDescent="0.2">
      <c r="B38" s="11"/>
    </row>
    <row r="39" spans="1:8" ht="16" x14ac:dyDescent="0.2">
      <c r="A39" s="10" t="s">
        <v>70</v>
      </c>
      <c r="B39" s="8" t="s">
        <v>395</v>
      </c>
    </row>
    <row r="40" spans="1:8" x14ac:dyDescent="0.2">
      <c r="A40" t="s">
        <v>71</v>
      </c>
      <c r="B40" t="s">
        <v>37</v>
      </c>
    </row>
    <row r="41" spans="1:8" x14ac:dyDescent="0.2">
      <c r="A41" t="s">
        <v>85</v>
      </c>
      <c r="B41" t="s">
        <v>395</v>
      </c>
    </row>
    <row r="42" spans="1:8" x14ac:dyDescent="0.2">
      <c r="A42" t="s">
        <v>86</v>
      </c>
    </row>
    <row r="43" spans="1:8" x14ac:dyDescent="0.2">
      <c r="A43" t="s">
        <v>87</v>
      </c>
      <c r="B43">
        <v>2016</v>
      </c>
    </row>
    <row r="44" spans="1:8" x14ac:dyDescent="0.2">
      <c r="A44" t="s">
        <v>123</v>
      </c>
      <c r="B44" t="s">
        <v>398</v>
      </c>
    </row>
    <row r="45" spans="1:8" x14ac:dyDescent="0.2">
      <c r="A45" t="s">
        <v>72</v>
      </c>
      <c r="B45" t="s">
        <v>395</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40500</v>
      </c>
    </row>
    <row r="50" spans="1:2" x14ac:dyDescent="0.2">
      <c r="A50" t="s">
        <v>125</v>
      </c>
      <c r="B50">
        <v>1.1000000000000001</v>
      </c>
    </row>
    <row r="51" spans="1:2" x14ac:dyDescent="0.2">
      <c r="A51" t="s">
        <v>126</v>
      </c>
      <c r="B51">
        <v>1.62</v>
      </c>
    </row>
    <row r="52" spans="1:2" x14ac:dyDescent="0.2">
      <c r="A52" t="s">
        <v>127</v>
      </c>
      <c r="B52">
        <v>0</v>
      </c>
    </row>
    <row r="53" spans="1:2" x14ac:dyDescent="0.2">
      <c r="A53" t="s">
        <v>128</v>
      </c>
      <c r="B53">
        <v>2896</v>
      </c>
    </row>
    <row r="54" spans="1:2" x14ac:dyDescent="0.2">
      <c r="A54" t="s">
        <v>129</v>
      </c>
      <c r="B54" s="2">
        <v>258.745</v>
      </c>
    </row>
    <row r="55" spans="1:2" x14ac:dyDescent="0.2">
      <c r="A55" t="s">
        <v>130</v>
      </c>
      <c r="B55">
        <v>91</v>
      </c>
    </row>
    <row r="56" spans="1:2" x14ac:dyDescent="0.2">
      <c r="A56" t="s">
        <v>131</v>
      </c>
      <c r="B56" t="s">
        <v>84</v>
      </c>
    </row>
    <row r="57" spans="1:2" x14ac:dyDescent="0.2">
      <c r="A57" t="s">
        <v>99</v>
      </c>
      <c r="B57">
        <v>0</v>
      </c>
    </row>
    <row r="58" spans="1:2" x14ac:dyDescent="0.2">
      <c r="A58" t="s">
        <v>134</v>
      </c>
      <c r="B58" s="2">
        <v>159.75</v>
      </c>
    </row>
    <row r="59" spans="1:2" x14ac:dyDescent="0.2">
      <c r="A59" t="s">
        <v>135</v>
      </c>
      <c r="B59">
        <v>13.5</v>
      </c>
    </row>
    <row r="60" spans="1:2" x14ac:dyDescent="0.2">
      <c r="A60" t="s">
        <v>132</v>
      </c>
      <c r="B60" s="2">
        <v>294.33451006679832</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395</v>
      </c>
      <c r="B69">
        <v>1</v>
      </c>
      <c r="C69" t="s">
        <v>37</v>
      </c>
      <c r="D69" t="s">
        <v>75</v>
      </c>
      <c r="F69" t="s">
        <v>83</v>
      </c>
      <c r="G69" t="s">
        <v>84</v>
      </c>
      <c r="H69" t="s">
        <v>395</v>
      </c>
    </row>
    <row r="70" spans="1:8" x14ac:dyDescent="0.2">
      <c r="A70" t="s">
        <v>111</v>
      </c>
      <c r="B70" s="6">
        <v>1.2333333333333334</v>
      </c>
      <c r="C70" t="s">
        <v>91</v>
      </c>
      <c r="D70" t="s">
        <v>75</v>
      </c>
      <c r="F70" t="s">
        <v>88</v>
      </c>
      <c r="G70" t="s">
        <v>15</v>
      </c>
      <c r="H70" t="s">
        <v>112</v>
      </c>
    </row>
    <row r="71" spans="1:8" x14ac:dyDescent="0.2">
      <c r="A71" t="inlineStr">
        <is>
          <t>mechanical powertrain, motorcycle, gasoline, engineering reference</t>
        </is>
      </c>
      <c r="B71" s="6">
        <v>130.0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2.0249999999999999</v>
      </c>
      <c r="C72" t="s">
        <v>91</v>
      </c>
      <c r="D72" t="s">
        <v>76</v>
      </c>
      <c r="F72" t="s">
        <v>88</v>
      </c>
      <c r="G72" t="s">
        <v>24</v>
      </c>
      <c r="H72" t="s">
        <v>114</v>
      </c>
    </row>
    <row r="73" spans="1:8" x14ac:dyDescent="0.2">
      <c r="A73" t="inlineStr">
        <is>
          <t>fuel tank forming, motorcycle engineering reference</t>
        </is>
      </c>
      <c r="B73" s="6">
        <v>2.0372233400402413</v>
      </c>
      <c r="C73" t="inlineStr">
        <is>
          <t>RER</t>
        </is>
      </c>
      <c r="D73" t="s">
        <v>76</v>
      </c>
      <c r="F73" t="s">
        <v>88</v>
      </c>
      <c r="G73" t="s">
        <v>412</v>
      </c>
      <c r="H73" t="inlineStr">
        <is>
          <t>fuel tank forming, motorcycle engineering reference</t>
        </is>
      </c>
    </row>
    <row r="74" spans="1:8" x14ac:dyDescent="0.2">
      <c r="A74" s="13" t="s">
        <v>443</v>
      </c>
      <c r="B74" s="2">
        <v>258.745</v>
      </c>
      <c r="C74" t="s">
        <v>91</v>
      </c>
      <c r="D74" t="s">
        <v>191</v>
      </c>
      <c r="F74" t="s">
        <v>88</v>
      </c>
      <c r="H74" s="13" t="s">
        <v>444</v>
      </c>
    </row>
    <row r="75" spans="1:8" x14ac:dyDescent="0.2">
      <c r="A75" s="13" t="s">
        <v>214</v>
      </c>
      <c r="B75" s="2">
        <v>4114.0455000000002</v>
      </c>
      <c r="C75" t="s">
        <v>94</v>
      </c>
      <c r="D75" t="s">
        <v>191</v>
      </c>
      <c r="F75" t="s">
        <v>88</v>
      </c>
      <c r="H75" s="13" t="s">
        <v>214</v>
      </c>
    </row>
    <row r="77" spans="1:8" ht="16" x14ac:dyDescent="0.2">
      <c r="A77" s="10" t="s">
        <v>70</v>
      </c>
      <c r="B77" s="8" t="s">
        <v>396</v>
      </c>
    </row>
    <row r="78" spans="1:8" x14ac:dyDescent="0.2">
      <c r="A78" t="s">
        <v>71</v>
      </c>
      <c r="B78" t="s">
        <v>37</v>
      </c>
    </row>
    <row r="79" spans="1:8" x14ac:dyDescent="0.2">
      <c r="A79" t="s">
        <v>85</v>
      </c>
      <c r="B79" t="s">
        <v>396</v>
      </c>
    </row>
    <row r="80" spans="1:8" x14ac:dyDescent="0.2">
      <c r="A80" t="s">
        <v>86</v>
      </c>
    </row>
    <row r="81" spans="1:2" x14ac:dyDescent="0.2">
      <c r="A81" t="s">
        <v>87</v>
      </c>
      <c r="B81">
        <v>2020</v>
      </c>
    </row>
    <row r="82" spans="1:2" x14ac:dyDescent="0.2">
      <c r="A82" t="s">
        <v>123</v>
      </c>
      <c r="B82" t="s">
        <v>399</v>
      </c>
    </row>
    <row r="83" spans="1:2" x14ac:dyDescent="0.2">
      <c r="A83" t="s">
        <v>72</v>
      </c>
      <c r="B83" t="s">
        <v>396</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40500</v>
      </c>
    </row>
    <row r="88" spans="1:2" x14ac:dyDescent="0.2">
      <c r="A88" t="s">
        <v>125</v>
      </c>
      <c r="B88">
        <v>1.1000000000000001</v>
      </c>
    </row>
    <row r="89" spans="1:2" x14ac:dyDescent="0.2">
      <c r="A89" t="s">
        <v>126</v>
      </c>
      <c r="B89">
        <v>1.62</v>
      </c>
    </row>
    <row r="90" spans="1:2" x14ac:dyDescent="0.2">
      <c r="A90" t="s">
        <v>127</v>
      </c>
      <c r="B90">
        <v>0</v>
      </c>
    </row>
    <row r="91" spans="1:2" x14ac:dyDescent="0.2">
      <c r="A91" t="s">
        <v>128</v>
      </c>
      <c r="B91">
        <v>2896</v>
      </c>
    </row>
    <row r="92" spans="1:2" x14ac:dyDescent="0.2">
      <c r="A92" t="s">
        <v>129</v>
      </c>
      <c r="B92" s="2">
        <v>256.52499999999998</v>
      </c>
    </row>
    <row r="93" spans="1:2" x14ac:dyDescent="0.2">
      <c r="A93" t="s">
        <v>130</v>
      </c>
      <c r="B93">
        <v>91</v>
      </c>
    </row>
    <row r="94" spans="1:2" x14ac:dyDescent="0.2">
      <c r="A94" t="s">
        <v>131</v>
      </c>
      <c r="B94" t="s">
        <v>84</v>
      </c>
    </row>
    <row r="95" spans="1:2" x14ac:dyDescent="0.2">
      <c r="A95" t="s">
        <v>99</v>
      </c>
      <c r="B95">
        <v>0</v>
      </c>
    </row>
    <row r="96" spans="1:2" x14ac:dyDescent="0.2">
      <c r="A96" t="s">
        <v>134</v>
      </c>
      <c r="B96" s="2">
        <v>159.75</v>
      </c>
    </row>
    <row r="97" spans="1:8" x14ac:dyDescent="0.2">
      <c r="A97" t="s">
        <v>135</v>
      </c>
      <c r="B97">
        <v>13.5</v>
      </c>
    </row>
    <row r="98" spans="1:8" x14ac:dyDescent="0.2">
      <c r="A98" t="s">
        <v>132</v>
      </c>
      <c r="B98" s="2">
        <v>297.30758592605895</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396</v>
      </c>
      <c r="B107">
        <v>1</v>
      </c>
      <c r="C107" t="s">
        <v>37</v>
      </c>
      <c r="D107" t="s">
        <v>75</v>
      </c>
      <c r="F107" t="s">
        <v>83</v>
      </c>
      <c r="G107" t="s">
        <v>84</v>
      </c>
      <c r="H107" t="s">
        <v>396</v>
      </c>
    </row>
    <row r="108" spans="1:8" x14ac:dyDescent="0.2">
      <c r="A108" t="s">
        <v>111</v>
      </c>
      <c r="B108" s="6">
        <v>1.2333333333333334</v>
      </c>
      <c r="C108" t="s">
        <v>91</v>
      </c>
      <c r="D108" t="s">
        <v>75</v>
      </c>
      <c r="F108" t="s">
        <v>88</v>
      </c>
      <c r="G108" t="s">
        <v>15</v>
      </c>
      <c r="H108" t="s">
        <v>112</v>
      </c>
    </row>
    <row r="109" spans="1:8" x14ac:dyDescent="0.2">
      <c r="A109" t="inlineStr">
        <is>
          <t>mechanical powertrain, motorcycle, gasoline, engineering reference</t>
        </is>
      </c>
      <c r="B109" s="6">
        <v>130.0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2.0249999999999999</v>
      </c>
      <c r="C110" t="s">
        <v>91</v>
      </c>
      <c r="D110" t="s">
        <v>76</v>
      </c>
      <c r="F110" t="s">
        <v>88</v>
      </c>
      <c r="G110" t="s">
        <v>24</v>
      </c>
      <c r="H110" t="s">
        <v>114</v>
      </c>
    </row>
    <row r="111" spans="1:8" x14ac:dyDescent="0.2">
      <c r="A111" t="inlineStr">
        <is>
          <t>fuel tank forming, motorcycle engineering reference</t>
        </is>
      </c>
      <c r="B111" s="6">
        <v>2.0372233400402413</v>
      </c>
      <c r="C111" t="inlineStr">
        <is>
          <t>RER</t>
        </is>
      </c>
      <c r="D111" t="s">
        <v>76</v>
      </c>
      <c r="F111" t="s">
        <v>88</v>
      </c>
      <c r="G111" t="s">
        <v>412</v>
      </c>
      <c r="H111" t="inlineStr">
        <is>
          <t>fuel tank forming, motorcycle engineering reference</t>
        </is>
      </c>
    </row>
    <row r="112" spans="1:8" x14ac:dyDescent="0.2">
      <c r="A112" s="13" t="s">
        <v>443</v>
      </c>
      <c r="B112" s="2">
        <v>256.52499999999998</v>
      </c>
      <c r="C112" t="s">
        <v>91</v>
      </c>
      <c r="D112" t="s">
        <v>191</v>
      </c>
      <c r="F112" t="s">
        <v>88</v>
      </c>
      <c r="H112" s="13" t="s">
        <v>444</v>
      </c>
    </row>
    <row r="113" spans="1:8" x14ac:dyDescent="0.2">
      <c r="A113" s="13" t="s">
        <v>214</v>
      </c>
      <c r="B113" s="2">
        <v>4078.7474999999999</v>
      </c>
      <c r="C113" t="s">
        <v>94</v>
      </c>
      <c r="D113" t="s">
        <v>191</v>
      </c>
      <c r="F113" t="s">
        <v>88</v>
      </c>
      <c r="H113" s="13" t="s">
        <v>214</v>
      </c>
    </row>
    <row r="115" spans="1:8" ht="16" x14ac:dyDescent="0.2">
      <c r="A115" s="10" t="s">
        <v>70</v>
      </c>
      <c r="B115" s="8" t="s">
        <v>593</v>
      </c>
    </row>
    <row r="116" spans="1:8" x14ac:dyDescent="0.2">
      <c r="A116" t="s">
        <v>71</v>
      </c>
      <c r="B116" t="s">
        <v>37</v>
      </c>
    </row>
    <row r="117" spans="1:8" x14ac:dyDescent="0.2">
      <c r="A117" t="s">
        <v>85</v>
      </c>
      <c r="B117" t="s">
        <v>394</v>
      </c>
    </row>
    <row r="118" spans="1:8" x14ac:dyDescent="0.2">
      <c r="A118" t="s">
        <v>86</v>
      </c>
    </row>
    <row r="119" spans="1:8" x14ac:dyDescent="0.2">
      <c r="A119" t="s">
        <v>87</v>
      </c>
      <c r="B119">
        <v>2006</v>
      </c>
    </row>
    <row r="120" spans="1:8" x14ac:dyDescent="0.2">
      <c r="A120" t="s">
        <v>123</v>
      </c>
      <c r="B120" t="s">
        <v>397</v>
      </c>
    </row>
    <row r="121" spans="1:8" x14ac:dyDescent="0.2">
      <c r="A121" t="s">
        <v>72</v>
      </c>
      <c r="B121" t="s">
        <v>593</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40500</v>
      </c>
    </row>
    <row r="126" spans="1:8" x14ac:dyDescent="0.2">
      <c r="A126" t="s">
        <v>125</v>
      </c>
      <c r="B126">
        <v>1.1000000000000001</v>
      </c>
    </row>
    <row r="127" spans="1:8" x14ac:dyDescent="0.2">
      <c r="A127" t="s">
        <v>126</v>
      </c>
      <c r="B127">
        <v>1.62</v>
      </c>
    </row>
    <row r="128" spans="1:8" x14ac:dyDescent="0.2">
      <c r="A128" t="s">
        <v>127</v>
      </c>
      <c r="B128">
        <v>0</v>
      </c>
    </row>
    <row r="129" spans="1:8" x14ac:dyDescent="0.2">
      <c r="A129" t="s">
        <v>128</v>
      </c>
      <c r="B129">
        <v>2896</v>
      </c>
    </row>
    <row r="130" spans="1:8" x14ac:dyDescent="0.2">
      <c r="A130" t="s">
        <v>129</v>
      </c>
      <c r="B130" s="2">
        <v>262.07499999999999</v>
      </c>
    </row>
    <row r="131" spans="1:8" x14ac:dyDescent="0.2">
      <c r="A131" t="s">
        <v>130</v>
      </c>
      <c r="B131">
        <v>91</v>
      </c>
    </row>
    <row r="132" spans="1:8" x14ac:dyDescent="0.2">
      <c r="A132" t="s">
        <v>131</v>
      </c>
      <c r="B132" t="s">
        <v>84</v>
      </c>
    </row>
    <row r="133" spans="1:8" x14ac:dyDescent="0.2">
      <c r="A133" t="s">
        <v>99</v>
      </c>
      <c r="B133">
        <v>0</v>
      </c>
    </row>
    <row r="134" spans="1:8" x14ac:dyDescent="0.2">
      <c r="A134" t="s">
        <v>134</v>
      </c>
      <c r="B134" s="2">
        <v>159.75</v>
      </c>
    </row>
    <row r="135" spans="1:8" x14ac:dyDescent="0.2">
      <c r="A135" t="s">
        <v>135</v>
      </c>
      <c r="B135">
        <v>13.5</v>
      </c>
    </row>
    <row r="136" spans="1:8" x14ac:dyDescent="0.2">
      <c r="A136" t="s">
        <v>132</v>
      </c>
      <c r="B136" s="2">
        <v>291.42030699682999</v>
      </c>
    </row>
    <row r="137" spans="1:8" x14ac:dyDescent="0.2">
      <c r="A137" t="s">
        <v>133</v>
      </c>
      <c r="B137" t="s">
        <v>137</v>
      </c>
    </row>
    <row r="138" spans="1:8" x14ac:dyDescent="0.2">
      <c r="A138" t="s">
        <v>540</v>
      </c>
      <c r="B138" s="6">
        <v>-0.05</v>
      </c>
    </row>
    <row r="139" spans="1:8" x14ac:dyDescent="0.2">
      <c r="A139" t="s">
        <v>82</v>
      </c>
      <c r="B139" t="s">
        <v>594</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593</v>
      </c>
      <c r="B142">
        <v>1</v>
      </c>
      <c r="C142" t="s">
        <v>37</v>
      </c>
      <c r="D142" t="s">
        <v>162</v>
      </c>
      <c r="F142" t="s">
        <v>83</v>
      </c>
      <c r="G142" t="s">
        <v>84</v>
      </c>
      <c r="H142" t="s">
        <v>593</v>
      </c>
    </row>
    <row r="143" spans="1:8" x14ac:dyDescent="0.2">
      <c r="A143" t="s">
        <v>394</v>
      </c>
      <c r="B143" s="7">
        <v>2.4691358024691357E-5</v>
      </c>
      <c r="C143" t="s">
        <v>37</v>
      </c>
      <c r="D143" t="s">
        <v>75</v>
      </c>
      <c r="F143" t="s">
        <v>88</v>
      </c>
      <c r="H143" t="s">
        <v>394</v>
      </c>
    </row>
    <row r="144" spans="1:8" x14ac:dyDescent="0.2">
      <c r="A144" t="s">
        <v>106</v>
      </c>
      <c r="B144" s="7">
        <v>1.8825877500000001E-4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4.6324843107611056E-2</v>
      </c>
      <c r="C147" t="s">
        <v>37</v>
      </c>
      <c r="D147" t="s">
        <v>76</v>
      </c>
      <c r="F147" t="s">
        <v>88</v>
      </c>
      <c r="G147" t="s">
        <v>27</v>
      </c>
      <c r="H147" t="s">
        <v>452</v>
      </c>
    </row>
    <row r="148" spans="1:8" x14ac:dyDescent="0.2">
      <c r="A148" t="s">
        <v>150</v>
      </c>
      <c r="B148" s="11">
        <v>0.14371448726960392</v>
      </c>
      <c r="D148" t="s">
        <v>76</v>
      </c>
      <c r="E148" t="s">
        <v>442</v>
      </c>
      <c r="F148" t="s">
        <v>163</v>
      </c>
      <c r="G148" t="s">
        <v>65</v>
      </c>
    </row>
    <row r="149" spans="1:8" x14ac:dyDescent="0.2">
      <c r="A149" t="s">
        <v>448</v>
      </c>
      <c r="B149" s="11">
        <v>1.7455200882947846E-3</v>
      </c>
      <c r="D149" t="s">
        <v>76</v>
      </c>
      <c r="E149" t="s">
        <v>442</v>
      </c>
      <c r="F149" t="s">
        <v>163</v>
      </c>
      <c r="G149" t="s">
        <v>446</v>
      </c>
    </row>
    <row r="150" spans="1:8" x14ac:dyDescent="0.2">
      <c r="A150" t="s">
        <v>210</v>
      </c>
      <c r="B150" s="7">
        <v>7.4119748972177688E-7</v>
      </c>
      <c r="D150" t="s">
        <v>76</v>
      </c>
      <c r="E150" t="s">
        <v>442</v>
      </c>
      <c r="F150" t="s">
        <v>163</v>
      </c>
      <c r="G150" t="s">
        <v>66</v>
      </c>
    </row>
    <row r="151" spans="1:8" x14ac:dyDescent="0.2">
      <c r="A151" t="s">
        <v>54</v>
      </c>
      <c r="B151" s="7">
        <v>7.237951507199054E-6</v>
      </c>
      <c r="D151" t="s">
        <v>76</v>
      </c>
      <c r="E151" t="s">
        <v>442</v>
      </c>
      <c r="F151" t="s">
        <v>163</v>
      </c>
      <c r="G151" t="s">
        <v>54</v>
      </c>
    </row>
    <row r="152" spans="1:8" x14ac:dyDescent="0.2">
      <c r="A152" t="s">
        <v>151</v>
      </c>
      <c r="B152" s="7">
        <v>1.6720380300830153E-5</v>
      </c>
      <c r="D152" t="s">
        <v>76</v>
      </c>
      <c r="E152" t="s">
        <v>442</v>
      </c>
      <c r="F152" t="s">
        <v>163</v>
      </c>
      <c r="G152" t="s">
        <v>55</v>
      </c>
    </row>
    <row r="153" spans="1:8" x14ac:dyDescent="0.2">
      <c r="A153" t="s">
        <v>152</v>
      </c>
      <c r="B153" s="7">
        <v>2.9373204293002417E-4</v>
      </c>
      <c r="D153" t="s">
        <v>76</v>
      </c>
      <c r="E153" t="s">
        <v>442</v>
      </c>
      <c r="F153" t="s">
        <v>163</v>
      </c>
      <c r="G153" t="s">
        <v>56</v>
      </c>
    </row>
    <row r="154" spans="1:8" x14ac:dyDescent="0.2">
      <c r="A154" t="s">
        <v>211</v>
      </c>
      <c r="B154" s="7">
        <v>8.8002001583316587E-7</v>
      </c>
      <c r="D154" t="s">
        <v>76</v>
      </c>
      <c r="E154" t="s">
        <v>442</v>
      </c>
      <c r="F154" t="s">
        <v>163</v>
      </c>
      <c r="G154" t="s">
        <v>57</v>
      </c>
    </row>
    <row r="155" spans="1:8" x14ac:dyDescent="0.2">
      <c r="A155" t="s">
        <v>153</v>
      </c>
      <c r="B155" s="7">
        <v>8.8002001583316587E-7</v>
      </c>
      <c r="D155" t="s">
        <v>76</v>
      </c>
      <c r="E155" t="s">
        <v>442</v>
      </c>
      <c r="F155" t="s">
        <v>163</v>
      </c>
      <c r="G155" t="s">
        <v>58</v>
      </c>
    </row>
    <row r="156" spans="1:8" x14ac:dyDescent="0.2">
      <c r="A156" t="s">
        <v>154</v>
      </c>
      <c r="B156" s="7">
        <v>3.1128530669022286E-5</v>
      </c>
      <c r="D156" t="s">
        <v>76</v>
      </c>
      <c r="E156" t="s">
        <v>442</v>
      </c>
      <c r="F156" t="s">
        <v>163</v>
      </c>
      <c r="G156" t="s">
        <v>59</v>
      </c>
    </row>
    <row r="157" spans="1:8" x14ac:dyDescent="0.2">
      <c r="A157" t="s">
        <v>212</v>
      </c>
      <c r="B157" s="7">
        <v>2.2000500395829146E-6</v>
      </c>
      <c r="D157" t="s">
        <v>76</v>
      </c>
      <c r="E157" t="s">
        <v>442</v>
      </c>
      <c r="F157" t="s">
        <v>163</v>
      </c>
      <c r="G157" t="s">
        <v>61</v>
      </c>
    </row>
    <row r="158" spans="1:8" x14ac:dyDescent="0.2">
      <c r="A158" t="s">
        <v>207</v>
      </c>
      <c r="B158" s="7">
        <v>5.8368079533990228E-5</v>
      </c>
      <c r="D158" t="s">
        <v>76</v>
      </c>
      <c r="E158" t="s">
        <v>442</v>
      </c>
      <c r="F158" t="s">
        <v>163</v>
      </c>
      <c r="G158" t="s">
        <v>360</v>
      </c>
    </row>
    <row r="159" spans="1:8" x14ac:dyDescent="0.2">
      <c r="A159" t="s">
        <v>309</v>
      </c>
      <c r="B159" s="7">
        <v>4.1156979158582854E-6</v>
      </c>
      <c r="D159" t="s">
        <v>76</v>
      </c>
      <c r="E159" t="s">
        <v>442</v>
      </c>
      <c r="F159" t="s">
        <v>163</v>
      </c>
      <c r="G159" t="s">
        <v>309</v>
      </c>
    </row>
    <row r="160" spans="1:8" x14ac:dyDescent="0.2">
      <c r="A160" t="s">
        <v>310</v>
      </c>
      <c r="B160" s="7">
        <v>8.3862183238491708E-7</v>
      </c>
      <c r="D160" t="s">
        <v>76</v>
      </c>
      <c r="E160" t="s">
        <v>442</v>
      </c>
      <c r="F160" t="s">
        <v>163</v>
      </c>
      <c r="G160" t="s">
        <v>310</v>
      </c>
    </row>
    <row r="161" spans="1:7" x14ac:dyDescent="0.2">
      <c r="A161" t="s">
        <v>311</v>
      </c>
      <c r="B161" s="7">
        <v>6.7605821564568703E-6</v>
      </c>
      <c r="D161" t="s">
        <v>76</v>
      </c>
      <c r="E161" t="s">
        <v>442</v>
      </c>
      <c r="F161" t="s">
        <v>163</v>
      </c>
      <c r="G161" t="s">
        <v>311</v>
      </c>
    </row>
    <row r="162" spans="1:7" x14ac:dyDescent="0.2">
      <c r="A162" t="s">
        <v>312</v>
      </c>
      <c r="B162" s="7">
        <v>2.7739029840424182E-6</v>
      </c>
      <c r="D162" t="s">
        <v>76</v>
      </c>
      <c r="E162" t="s">
        <v>442</v>
      </c>
      <c r="F162" t="s">
        <v>163</v>
      </c>
      <c r="G162" t="s">
        <v>312</v>
      </c>
    </row>
    <row r="163" spans="1:7" x14ac:dyDescent="0.2">
      <c r="A163" t="s">
        <v>313</v>
      </c>
      <c r="B163" s="7">
        <v>2.0772017694457178E-6</v>
      </c>
      <c r="D163" t="s">
        <v>76</v>
      </c>
      <c r="E163" t="s">
        <v>442</v>
      </c>
      <c r="F163" t="s">
        <v>163</v>
      </c>
      <c r="G163" t="s">
        <v>313</v>
      </c>
    </row>
    <row r="164" spans="1:7" x14ac:dyDescent="0.2">
      <c r="A164" t="s">
        <v>314</v>
      </c>
      <c r="B164" s="7">
        <v>1.4708136752597006E-6</v>
      </c>
      <c r="D164" t="s">
        <v>76</v>
      </c>
      <c r="E164" t="s">
        <v>442</v>
      </c>
      <c r="F164" t="s">
        <v>163</v>
      </c>
      <c r="G164" t="s">
        <v>314</v>
      </c>
    </row>
    <row r="165" spans="1:7" x14ac:dyDescent="0.2">
      <c r="A165" t="s">
        <v>315</v>
      </c>
      <c r="B165" s="7">
        <v>9.5473870148436736E-7</v>
      </c>
      <c r="D165" t="s">
        <v>76</v>
      </c>
      <c r="E165" t="s">
        <v>442</v>
      </c>
      <c r="F165" t="s">
        <v>163</v>
      </c>
      <c r="G165" t="s">
        <v>315</v>
      </c>
    </row>
    <row r="166" spans="1:7" x14ac:dyDescent="0.2">
      <c r="A166" t="s">
        <v>316</v>
      </c>
      <c r="B166" s="7">
        <v>9.4183682713998361E-6</v>
      </c>
      <c r="D166" t="s">
        <v>76</v>
      </c>
      <c r="E166" t="s">
        <v>442</v>
      </c>
      <c r="F166" t="s">
        <v>163</v>
      </c>
      <c r="G166" t="s">
        <v>316</v>
      </c>
    </row>
    <row r="167" spans="1:7" x14ac:dyDescent="0.2">
      <c r="A167" t="s">
        <v>317</v>
      </c>
      <c r="B167" s="7">
        <v>4.928515999554436E-6</v>
      </c>
      <c r="D167" t="s">
        <v>76</v>
      </c>
      <c r="E167" t="s">
        <v>442</v>
      </c>
      <c r="F167" t="s">
        <v>163</v>
      </c>
      <c r="G167" t="s">
        <v>317</v>
      </c>
    </row>
    <row r="168" spans="1:7" x14ac:dyDescent="0.2">
      <c r="A168" t="s">
        <v>318</v>
      </c>
      <c r="B168" s="7">
        <v>1.4192061778821673E-7</v>
      </c>
      <c r="D168" t="s">
        <v>76</v>
      </c>
      <c r="E168" t="s">
        <v>442</v>
      </c>
      <c r="F168" t="s">
        <v>163</v>
      </c>
      <c r="G168" t="s">
        <v>318</v>
      </c>
    </row>
    <row r="169" spans="1:7" x14ac:dyDescent="0.2">
      <c r="A169" t="s">
        <v>319</v>
      </c>
      <c r="B169" s="7">
        <v>1.4166258030132906E-5</v>
      </c>
      <c r="D169" t="s">
        <v>76</v>
      </c>
      <c r="E169" t="s">
        <v>442</v>
      </c>
      <c r="F169" t="s">
        <v>163</v>
      </c>
      <c r="G169" t="s">
        <v>319</v>
      </c>
    </row>
    <row r="170" spans="1:7" x14ac:dyDescent="0.2">
      <c r="A170" t="s">
        <v>320</v>
      </c>
      <c r="B170" s="7">
        <v>7.0057177690001534E-6</v>
      </c>
      <c r="D170" t="s">
        <v>76</v>
      </c>
      <c r="E170" t="s">
        <v>442</v>
      </c>
      <c r="F170" t="s">
        <v>163</v>
      </c>
      <c r="G170" t="s">
        <v>320</v>
      </c>
    </row>
    <row r="171" spans="1:7" x14ac:dyDescent="0.2">
      <c r="A171" t="s">
        <v>321</v>
      </c>
      <c r="B171" s="7">
        <v>2.9158236018306349E-6</v>
      </c>
      <c r="D171" t="s">
        <v>76</v>
      </c>
      <c r="E171" t="s">
        <v>442</v>
      </c>
      <c r="F171" t="s">
        <v>163</v>
      </c>
      <c r="G171" t="s">
        <v>321</v>
      </c>
    </row>
    <row r="172" spans="1:7" x14ac:dyDescent="0.2">
      <c r="A172" t="s">
        <v>322</v>
      </c>
      <c r="B172" s="7">
        <v>2.1933186385451676E-6</v>
      </c>
      <c r="D172" t="s">
        <v>76</v>
      </c>
      <c r="E172" t="s">
        <v>442</v>
      </c>
      <c r="F172" t="s">
        <v>163</v>
      </c>
      <c r="G172" t="s">
        <v>322</v>
      </c>
    </row>
    <row r="173" spans="1:7" x14ac:dyDescent="0.2">
      <c r="A173" t="s">
        <v>323</v>
      </c>
      <c r="B173" s="7">
        <v>9.6764057582875035E-7</v>
      </c>
      <c r="D173" t="s">
        <v>76</v>
      </c>
      <c r="E173" t="s">
        <v>442</v>
      </c>
      <c r="F173" t="s">
        <v>163</v>
      </c>
      <c r="G173" t="s">
        <v>323</v>
      </c>
    </row>
    <row r="174" spans="1:7" x14ac:dyDescent="0.2">
      <c r="A174" t="s">
        <v>324</v>
      </c>
      <c r="B174" s="7">
        <v>2.8384123557643346E-7</v>
      </c>
      <c r="D174" t="s">
        <v>76</v>
      </c>
      <c r="E174" t="s">
        <v>442</v>
      </c>
      <c r="F174" t="s">
        <v>163</v>
      </c>
      <c r="G174" t="s">
        <v>324</v>
      </c>
    </row>
    <row r="175" spans="1:7" x14ac:dyDescent="0.2">
      <c r="A175" t="s">
        <v>325</v>
      </c>
      <c r="B175" s="7">
        <v>7.8701433500738386E-7</v>
      </c>
      <c r="D175" t="s">
        <v>76</v>
      </c>
      <c r="E175" t="s">
        <v>442</v>
      </c>
      <c r="F175" t="s">
        <v>163</v>
      </c>
      <c r="G175" t="s">
        <v>325</v>
      </c>
    </row>
    <row r="176" spans="1:7" x14ac:dyDescent="0.2">
      <c r="A176" t="s">
        <v>328</v>
      </c>
      <c r="B176" s="7">
        <v>6.4509371721916699E-8</v>
      </c>
      <c r="D176" t="s">
        <v>76</v>
      </c>
      <c r="E176" t="s">
        <v>442</v>
      </c>
      <c r="F176" t="s">
        <v>163</v>
      </c>
      <c r="G176" t="s">
        <v>328</v>
      </c>
    </row>
    <row r="177" spans="1:8" x14ac:dyDescent="0.2">
      <c r="A177" t="s">
        <v>326</v>
      </c>
      <c r="B177" s="7">
        <v>2.4513561254328344E-7</v>
      </c>
      <c r="D177" t="s">
        <v>76</v>
      </c>
      <c r="E177" t="s">
        <v>442</v>
      </c>
      <c r="F177" t="s">
        <v>163</v>
      </c>
      <c r="G177" t="s">
        <v>326</v>
      </c>
    </row>
    <row r="178" spans="1:8" x14ac:dyDescent="0.2">
      <c r="A178" t="s">
        <v>327</v>
      </c>
      <c r="B178" s="7">
        <v>1.3030893087827173E-6</v>
      </c>
      <c r="D178" t="s">
        <v>76</v>
      </c>
      <c r="E178" t="s">
        <v>442</v>
      </c>
      <c r="F178" t="s">
        <v>163</v>
      </c>
      <c r="G178" t="s">
        <v>327</v>
      </c>
    </row>
    <row r="179" spans="1:8" x14ac:dyDescent="0.2">
      <c r="A179" t="s">
        <v>336</v>
      </c>
      <c r="B179" s="7">
        <v>1.6158977272981469E-9</v>
      </c>
      <c r="D179" t="s">
        <v>76</v>
      </c>
      <c r="E179" t="s">
        <v>442</v>
      </c>
      <c r="F179" t="s">
        <v>163</v>
      </c>
      <c r="G179" t="s">
        <v>329</v>
      </c>
    </row>
    <row r="180" spans="1:8" x14ac:dyDescent="0.2">
      <c r="A180" t="s">
        <v>330</v>
      </c>
      <c r="B180" s="7">
        <v>1.3930152821535749E-11</v>
      </c>
      <c r="D180" t="s">
        <v>76</v>
      </c>
      <c r="E180" t="s">
        <v>442</v>
      </c>
      <c r="F180" t="s">
        <v>163</v>
      </c>
      <c r="G180" t="s">
        <v>330</v>
      </c>
    </row>
    <row r="181" spans="1:8" x14ac:dyDescent="0.2">
      <c r="A181" t="s">
        <v>331</v>
      </c>
      <c r="B181" s="7">
        <v>9.2867685476904988E-12</v>
      </c>
      <c r="D181" t="s">
        <v>76</v>
      </c>
      <c r="E181" t="s">
        <v>442</v>
      </c>
      <c r="F181" t="s">
        <v>163</v>
      </c>
      <c r="G181" t="s">
        <v>331</v>
      </c>
    </row>
    <row r="182" spans="1:8" x14ac:dyDescent="0.2">
      <c r="A182" t="s">
        <v>332</v>
      </c>
      <c r="B182" s="7">
        <v>1.0029710031505739E-7</v>
      </c>
      <c r="D182" t="s">
        <v>76</v>
      </c>
      <c r="E182" t="s">
        <v>442</v>
      </c>
      <c r="F182" t="s">
        <v>163</v>
      </c>
      <c r="G182" t="s">
        <v>332</v>
      </c>
    </row>
    <row r="183" spans="1:8" x14ac:dyDescent="0.2">
      <c r="A183" t="s">
        <v>290</v>
      </c>
      <c r="B183" s="7">
        <v>1.9502213950150047E-9</v>
      </c>
      <c r="D183" t="s">
        <v>76</v>
      </c>
      <c r="E183" t="s">
        <v>442</v>
      </c>
      <c r="F183" t="s">
        <v>163</v>
      </c>
      <c r="G183" t="s">
        <v>290</v>
      </c>
    </row>
    <row r="184" spans="1:8" x14ac:dyDescent="0.2">
      <c r="A184" t="s">
        <v>292</v>
      </c>
      <c r="B184" s="7">
        <v>6.0363995559988245E-10</v>
      </c>
      <c r="D184" t="s">
        <v>76</v>
      </c>
      <c r="E184" t="s">
        <v>442</v>
      </c>
      <c r="F184" t="s">
        <v>163</v>
      </c>
      <c r="G184" t="s">
        <v>292</v>
      </c>
    </row>
    <row r="185" spans="1:8" x14ac:dyDescent="0.2">
      <c r="A185" t="s">
        <v>291</v>
      </c>
      <c r="B185" s="7">
        <v>7.4294148381523998E-10</v>
      </c>
      <c r="D185" t="s">
        <v>76</v>
      </c>
      <c r="E185" t="s">
        <v>442</v>
      </c>
      <c r="F185" t="s">
        <v>163</v>
      </c>
      <c r="G185" t="s">
        <v>291</v>
      </c>
    </row>
    <row r="186" spans="1:8" x14ac:dyDescent="0.2">
      <c r="A186" t="s">
        <v>335</v>
      </c>
      <c r="B186" s="7">
        <v>1.4858829676304797E-12</v>
      </c>
      <c r="D186" t="s">
        <v>76</v>
      </c>
      <c r="E186" t="s">
        <v>442</v>
      </c>
      <c r="F186" t="s">
        <v>163</v>
      </c>
      <c r="G186" t="s">
        <v>335</v>
      </c>
    </row>
    <row r="187" spans="1:8" x14ac:dyDescent="0.2">
      <c r="A187" t="s">
        <v>333</v>
      </c>
      <c r="B187" s="7">
        <v>4.0397443182453672E-10</v>
      </c>
      <c r="D187" t="s">
        <v>76</v>
      </c>
      <c r="E187" t="s">
        <v>442</v>
      </c>
      <c r="F187" t="s">
        <v>163</v>
      </c>
      <c r="G187" t="s">
        <v>333</v>
      </c>
    </row>
    <row r="188" spans="1:8" x14ac:dyDescent="0.2">
      <c r="A188" t="s">
        <v>334</v>
      </c>
      <c r="B188" s="7">
        <v>5.0148550157528711E-10</v>
      </c>
      <c r="D188" t="s">
        <v>76</v>
      </c>
      <c r="E188" t="s">
        <v>442</v>
      </c>
      <c r="F188" t="s">
        <v>163</v>
      </c>
      <c r="G188" t="s">
        <v>334</v>
      </c>
    </row>
    <row r="189" spans="1:8" x14ac:dyDescent="0.2">
      <c r="A189" t="s">
        <v>155</v>
      </c>
      <c r="B189" s="7">
        <v>-1.1395557468987971E-5</v>
      </c>
      <c r="C189" t="s">
        <v>91</v>
      </c>
      <c r="D189" t="s">
        <v>76</v>
      </c>
      <c r="F189" t="s">
        <v>88</v>
      </c>
      <c r="G189" t="s">
        <v>29</v>
      </c>
      <c r="H189" t="s">
        <v>157</v>
      </c>
    </row>
    <row r="190" spans="1:8" x14ac:dyDescent="0.2">
      <c r="A190" t="s">
        <v>156</v>
      </c>
      <c r="B190" s="7">
        <v>-6.8046284672740703E-6</v>
      </c>
      <c r="C190" t="s">
        <v>91</v>
      </c>
      <c r="D190" t="s">
        <v>76</v>
      </c>
      <c r="F190" t="s">
        <v>88</v>
      </c>
      <c r="G190" t="s">
        <v>30</v>
      </c>
      <c r="H190" t="s">
        <v>158</v>
      </c>
    </row>
    <row r="191" spans="1:8" x14ac:dyDescent="0.2">
      <c r="A191" t="s">
        <v>164</v>
      </c>
      <c r="B191" s="7">
        <v>-3.9518473198543693E-6</v>
      </c>
      <c r="C191" t="s">
        <v>91</v>
      </c>
      <c r="D191" t="s">
        <v>76</v>
      </c>
      <c r="F191" t="s">
        <v>88</v>
      </c>
      <c r="G191" t="s">
        <v>31</v>
      </c>
      <c r="H191" t="s">
        <v>159</v>
      </c>
    </row>
    <row r="193" spans="1:2" ht="16" x14ac:dyDescent="0.2">
      <c r="A193" s="10" t="s">
        <v>70</v>
      </c>
      <c r="B193" s="8" t="s">
        <v>595</v>
      </c>
    </row>
    <row r="194" spans="1:2" x14ac:dyDescent="0.2">
      <c r="A194" t="s">
        <v>71</v>
      </c>
      <c r="B194" t="s">
        <v>37</v>
      </c>
    </row>
    <row r="195" spans="1:2" x14ac:dyDescent="0.2">
      <c r="A195" t="s">
        <v>85</v>
      </c>
      <c r="B195" t="s">
        <v>395</v>
      </c>
    </row>
    <row r="196" spans="1:2" x14ac:dyDescent="0.2">
      <c r="A196" t="s">
        <v>86</v>
      </c>
    </row>
    <row r="197" spans="1:2" x14ac:dyDescent="0.2">
      <c r="A197" t="s">
        <v>87</v>
      </c>
      <c r="B197">
        <v>2016</v>
      </c>
    </row>
    <row r="198" spans="1:2" x14ac:dyDescent="0.2">
      <c r="A198" t="s">
        <v>123</v>
      </c>
      <c r="B198" t="s">
        <v>398</v>
      </c>
    </row>
    <row r="199" spans="1:2" x14ac:dyDescent="0.2">
      <c r="A199" t="s">
        <v>72</v>
      </c>
      <c r="B199" t="s">
        <v>595</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40500</v>
      </c>
    </row>
    <row r="204" spans="1:2" x14ac:dyDescent="0.2">
      <c r="A204" t="s">
        <v>125</v>
      </c>
      <c r="B204">
        <v>1.1000000000000001</v>
      </c>
    </row>
    <row r="205" spans="1:2" x14ac:dyDescent="0.2">
      <c r="A205" t="s">
        <v>126</v>
      </c>
      <c r="B205">
        <v>1.62</v>
      </c>
    </row>
    <row r="206" spans="1:2" x14ac:dyDescent="0.2">
      <c r="A206" t="s">
        <v>127</v>
      </c>
      <c r="B206">
        <v>0</v>
      </c>
    </row>
    <row r="207" spans="1:2" x14ac:dyDescent="0.2">
      <c r="A207" t="s">
        <v>128</v>
      </c>
      <c r="B207">
        <v>2896</v>
      </c>
    </row>
    <row r="208" spans="1:2" x14ac:dyDescent="0.2">
      <c r="A208" t="s">
        <v>129</v>
      </c>
      <c r="B208" s="2">
        <v>258.745</v>
      </c>
    </row>
    <row r="209" spans="1:8" x14ac:dyDescent="0.2">
      <c r="A209" t="s">
        <v>130</v>
      </c>
      <c r="B209">
        <v>91</v>
      </c>
    </row>
    <row r="210" spans="1:8" x14ac:dyDescent="0.2">
      <c r="A210" t="s">
        <v>131</v>
      </c>
      <c r="B210" t="s">
        <v>84</v>
      </c>
    </row>
    <row r="211" spans="1:8" x14ac:dyDescent="0.2">
      <c r="A211" t="s">
        <v>99</v>
      </c>
      <c r="B211">
        <v>0</v>
      </c>
    </row>
    <row r="212" spans="1:8" x14ac:dyDescent="0.2">
      <c r="A212" t="s">
        <v>134</v>
      </c>
      <c r="B212" s="2">
        <v>159.75</v>
      </c>
    </row>
    <row r="213" spans="1:8" x14ac:dyDescent="0.2">
      <c r="A213" t="s">
        <v>135</v>
      </c>
      <c r="B213">
        <v>13.5</v>
      </c>
    </row>
    <row r="214" spans="1:8" x14ac:dyDescent="0.2">
      <c r="A214" t="s">
        <v>132</v>
      </c>
      <c r="B214" s="2">
        <v>294.33451006679832</v>
      </c>
    </row>
    <row r="215" spans="1:8" x14ac:dyDescent="0.2">
      <c r="A215" t="s">
        <v>133</v>
      </c>
      <c r="B215" t="s">
        <v>138</v>
      </c>
    </row>
    <row r="216" spans="1:8" x14ac:dyDescent="0.2">
      <c r="A216" t="s">
        <v>540</v>
      </c>
      <c r="B216" s="6">
        <v>-0.02</v>
      </c>
    </row>
    <row r="217" spans="1:8" x14ac:dyDescent="0.2">
      <c r="A217" t="s">
        <v>82</v>
      </c>
      <c r="B217" t="s">
        <v>596</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595</v>
      </c>
      <c r="B220">
        <v>1</v>
      </c>
      <c r="C220" t="s">
        <v>37</v>
      </c>
      <c r="D220" t="s">
        <v>162</v>
      </c>
      <c r="F220" t="s">
        <v>83</v>
      </c>
      <c r="G220" t="s">
        <v>84</v>
      </c>
      <c r="H220" t="s">
        <v>595</v>
      </c>
    </row>
    <row r="221" spans="1:8" x14ac:dyDescent="0.2">
      <c r="A221" t="s">
        <v>395</v>
      </c>
      <c r="B221" s="7">
        <v>2.4691358024691357E-5</v>
      </c>
      <c r="C221" t="s">
        <v>37</v>
      </c>
      <c r="D221" t="s">
        <v>75</v>
      </c>
      <c r="F221" t="s">
        <v>88</v>
      </c>
      <c r="H221" t="s">
        <v>395</v>
      </c>
    </row>
    <row r="222" spans="1:8" x14ac:dyDescent="0.2">
      <c r="A222" t="s">
        <v>106</v>
      </c>
      <c r="B222" s="7">
        <v>1.8647056500000001E-4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4.586618129466441E-2</v>
      </c>
      <c r="C225" t="s">
        <v>37</v>
      </c>
      <c r="D225" t="s">
        <v>76</v>
      </c>
      <c r="F225" t="s">
        <v>88</v>
      </c>
      <c r="G225" t="s">
        <v>27</v>
      </c>
      <c r="H225" t="s">
        <v>452</v>
      </c>
    </row>
    <row r="226" spans="1:8" x14ac:dyDescent="0.2">
      <c r="A226" t="s">
        <v>150</v>
      </c>
      <c r="B226" s="11">
        <v>0.14229157155406327</v>
      </c>
      <c r="D226" t="s">
        <v>76</v>
      </c>
      <c r="E226" t="s">
        <v>442</v>
      </c>
      <c r="F226" t="s">
        <v>163</v>
      </c>
      <c r="G226" t="s">
        <v>65</v>
      </c>
    </row>
    <row r="227" spans="1:8" x14ac:dyDescent="0.2">
      <c r="A227" t="s">
        <v>448</v>
      </c>
      <c r="B227" s="11">
        <v>1.7282377111829548E-3</v>
      </c>
      <c r="D227" t="s">
        <v>76</v>
      </c>
      <c r="E227" t="s">
        <v>442</v>
      </c>
      <c r="F227" t="s">
        <v>163</v>
      </c>
      <c r="G227" t="s">
        <v>446</v>
      </c>
    </row>
    <row r="228" spans="1:8" x14ac:dyDescent="0.2">
      <c r="A228" t="s">
        <v>210</v>
      </c>
      <c r="B228" s="7">
        <v>7.3385890071463054E-7</v>
      </c>
      <c r="D228" t="s">
        <v>76</v>
      </c>
      <c r="E228" t="s">
        <v>442</v>
      </c>
      <c r="F228" t="s">
        <v>163</v>
      </c>
      <c r="G228" t="s">
        <v>66</v>
      </c>
    </row>
    <row r="229" spans="1:8" x14ac:dyDescent="0.2">
      <c r="A229" t="s">
        <v>54</v>
      </c>
      <c r="B229" s="7">
        <v>2.5284474658107934E-6</v>
      </c>
      <c r="D229" t="s">
        <v>76</v>
      </c>
      <c r="E229" t="s">
        <v>442</v>
      </c>
      <c r="F229" t="s">
        <v>163</v>
      </c>
      <c r="G229" t="s">
        <v>54</v>
      </c>
    </row>
    <row r="230" spans="1:8" x14ac:dyDescent="0.2">
      <c r="A230" t="s">
        <v>151</v>
      </c>
      <c r="B230" s="7">
        <v>2.0986931709545604E-5</v>
      </c>
      <c r="D230" t="s">
        <v>76</v>
      </c>
      <c r="E230" t="s">
        <v>442</v>
      </c>
      <c r="F230" t="s">
        <v>163</v>
      </c>
      <c r="G230" t="s">
        <v>55</v>
      </c>
    </row>
    <row r="231" spans="1:8" x14ac:dyDescent="0.2">
      <c r="A231" t="s">
        <v>152</v>
      </c>
      <c r="B231" s="7">
        <v>1.8591280332931159E-4</v>
      </c>
      <c r="D231" t="s">
        <v>76</v>
      </c>
      <c r="E231" t="s">
        <v>442</v>
      </c>
      <c r="F231" t="s">
        <v>163</v>
      </c>
      <c r="G231" t="s">
        <v>56</v>
      </c>
    </row>
    <row r="232" spans="1:8" x14ac:dyDescent="0.2">
      <c r="A232" t="s">
        <v>211</v>
      </c>
      <c r="B232" s="7">
        <v>1.1045753531339791E-6</v>
      </c>
      <c r="D232" t="s">
        <v>76</v>
      </c>
      <c r="E232" t="s">
        <v>442</v>
      </c>
      <c r="F232" t="s">
        <v>163</v>
      </c>
      <c r="G232" t="s">
        <v>57</v>
      </c>
    </row>
    <row r="233" spans="1:8" x14ac:dyDescent="0.2">
      <c r="A233" t="s">
        <v>153</v>
      </c>
      <c r="B233" s="7">
        <v>1.1045753531339791E-6</v>
      </c>
      <c r="D233" t="s">
        <v>76</v>
      </c>
      <c r="E233" t="s">
        <v>442</v>
      </c>
      <c r="F233" t="s">
        <v>163</v>
      </c>
      <c r="G233" t="s">
        <v>58</v>
      </c>
    </row>
    <row r="234" spans="1:8" x14ac:dyDescent="0.2">
      <c r="A234" t="s">
        <v>154</v>
      </c>
      <c r="B234" s="7">
        <v>1.3774566377073175E-5</v>
      </c>
      <c r="D234" t="s">
        <v>76</v>
      </c>
      <c r="E234" t="s">
        <v>442</v>
      </c>
      <c r="F234" t="s">
        <v>163</v>
      </c>
      <c r="G234" t="s">
        <v>59</v>
      </c>
    </row>
    <row r="235" spans="1:8" x14ac:dyDescent="0.2">
      <c r="A235" t="s">
        <v>212</v>
      </c>
      <c r="B235" s="7">
        <v>2.7614383828349475E-6</v>
      </c>
      <c r="D235" t="s">
        <v>76</v>
      </c>
      <c r="E235" t="s">
        <v>442</v>
      </c>
      <c r="F235" t="s">
        <v>163</v>
      </c>
      <c r="G235" t="s">
        <v>61</v>
      </c>
    </row>
    <row r="236" spans="1:8" x14ac:dyDescent="0.2">
      <c r="A236" t="s">
        <v>207</v>
      </c>
      <c r="B236" s="7">
        <v>2.0389833039800411E-5</v>
      </c>
      <c r="D236" t="s">
        <v>76</v>
      </c>
      <c r="E236" t="s">
        <v>442</v>
      </c>
      <c r="F236" t="s">
        <v>163</v>
      </c>
      <c r="G236" t="s">
        <v>360</v>
      </c>
    </row>
    <row r="237" spans="1:8" x14ac:dyDescent="0.2">
      <c r="A237" t="s">
        <v>309</v>
      </c>
      <c r="B237" s="7">
        <v>1.4377446374218237E-6</v>
      </c>
      <c r="D237" t="s">
        <v>76</v>
      </c>
      <c r="E237" t="s">
        <v>442</v>
      </c>
      <c r="F237" t="s">
        <v>163</v>
      </c>
      <c r="G237" t="s">
        <v>309</v>
      </c>
    </row>
    <row r="238" spans="1:8" x14ac:dyDescent="0.2">
      <c r="A238" t="s">
        <v>310</v>
      </c>
      <c r="B238" s="7">
        <v>2.9295737126150013E-7</v>
      </c>
      <c r="D238" t="s">
        <v>76</v>
      </c>
      <c r="E238" t="s">
        <v>442</v>
      </c>
      <c r="F238" t="s">
        <v>163</v>
      </c>
      <c r="G238" t="s">
        <v>310</v>
      </c>
    </row>
    <row r="239" spans="1:8" x14ac:dyDescent="0.2">
      <c r="A239" t="s">
        <v>311</v>
      </c>
      <c r="B239" s="7">
        <v>2.3616871160157862E-6</v>
      </c>
      <c r="D239" t="s">
        <v>76</v>
      </c>
      <c r="E239" t="s">
        <v>442</v>
      </c>
      <c r="F239" t="s">
        <v>163</v>
      </c>
      <c r="G239" t="s">
        <v>311</v>
      </c>
    </row>
    <row r="240" spans="1:8" x14ac:dyDescent="0.2">
      <c r="A240" t="s">
        <v>312</v>
      </c>
      <c r="B240" s="7">
        <v>9.6901284340342343E-7</v>
      </c>
      <c r="D240" t="s">
        <v>76</v>
      </c>
      <c r="E240" t="s">
        <v>442</v>
      </c>
      <c r="F240" t="s">
        <v>163</v>
      </c>
      <c r="G240" t="s">
        <v>312</v>
      </c>
    </row>
    <row r="241" spans="1:7" x14ac:dyDescent="0.2">
      <c r="A241" t="s">
        <v>313</v>
      </c>
      <c r="B241" s="7">
        <v>7.2563287343233113E-7</v>
      </c>
      <c r="D241" t="s">
        <v>76</v>
      </c>
      <c r="E241" t="s">
        <v>442</v>
      </c>
      <c r="F241" t="s">
        <v>163</v>
      </c>
      <c r="G241" t="s">
        <v>313</v>
      </c>
    </row>
    <row r="242" spans="1:7" x14ac:dyDescent="0.2">
      <c r="A242" t="s">
        <v>314</v>
      </c>
      <c r="B242" s="7">
        <v>5.1380215882786179E-7</v>
      </c>
      <c r="D242" t="s">
        <v>76</v>
      </c>
      <c r="E242" t="s">
        <v>442</v>
      </c>
      <c r="F242" t="s">
        <v>163</v>
      </c>
      <c r="G242" t="s">
        <v>314</v>
      </c>
    </row>
    <row r="243" spans="1:7" x14ac:dyDescent="0.2">
      <c r="A243" t="s">
        <v>315</v>
      </c>
      <c r="B243" s="7">
        <v>3.335206995900156E-7</v>
      </c>
      <c r="D243" t="s">
        <v>76</v>
      </c>
      <c r="E243" t="s">
        <v>442</v>
      </c>
      <c r="F243" t="s">
        <v>163</v>
      </c>
      <c r="G243" t="s">
        <v>315</v>
      </c>
    </row>
    <row r="244" spans="1:7" x14ac:dyDescent="0.2">
      <c r="A244" t="s">
        <v>316</v>
      </c>
      <c r="B244" s="7">
        <v>3.2901366310906936E-6</v>
      </c>
      <c r="D244" t="s">
        <v>76</v>
      </c>
      <c r="E244" t="s">
        <v>442</v>
      </c>
      <c r="F244" t="s">
        <v>163</v>
      </c>
      <c r="G244" t="s">
        <v>316</v>
      </c>
    </row>
    <row r="245" spans="1:7" x14ac:dyDescent="0.2">
      <c r="A245" t="s">
        <v>317</v>
      </c>
      <c r="B245" s="7">
        <v>1.7216879357214317E-6</v>
      </c>
      <c r="D245" t="s">
        <v>76</v>
      </c>
      <c r="E245" t="s">
        <v>442</v>
      </c>
      <c r="F245" t="s">
        <v>163</v>
      </c>
      <c r="G245" t="s">
        <v>317</v>
      </c>
    </row>
    <row r="246" spans="1:7" x14ac:dyDescent="0.2">
      <c r="A246" t="s">
        <v>318</v>
      </c>
      <c r="B246" s="7">
        <v>4.9577401290407721E-8</v>
      </c>
      <c r="D246" t="s">
        <v>76</v>
      </c>
      <c r="E246" t="s">
        <v>442</v>
      </c>
      <c r="F246" t="s">
        <v>163</v>
      </c>
      <c r="G246" t="s">
        <v>318</v>
      </c>
    </row>
    <row r="247" spans="1:7" x14ac:dyDescent="0.2">
      <c r="A247" t="s">
        <v>319</v>
      </c>
      <c r="B247" s="7">
        <v>4.9487260560788793E-6</v>
      </c>
      <c r="D247" t="s">
        <v>76</v>
      </c>
      <c r="E247" t="s">
        <v>442</v>
      </c>
      <c r="F247" t="s">
        <v>163</v>
      </c>
      <c r="G247" t="s">
        <v>319</v>
      </c>
    </row>
    <row r="248" spans="1:7" x14ac:dyDescent="0.2">
      <c r="A248" t="s">
        <v>320</v>
      </c>
      <c r="B248" s="7">
        <v>2.4473208091537626E-6</v>
      </c>
      <c r="D248" t="s">
        <v>76</v>
      </c>
      <c r="E248" t="s">
        <v>442</v>
      </c>
      <c r="F248" t="s">
        <v>163</v>
      </c>
      <c r="G248" t="s">
        <v>320</v>
      </c>
    </row>
    <row r="249" spans="1:7" x14ac:dyDescent="0.2">
      <c r="A249" t="s">
        <v>321</v>
      </c>
      <c r="B249" s="7">
        <v>1.0185902446938312E-6</v>
      </c>
      <c r="D249" t="s">
        <v>76</v>
      </c>
      <c r="E249" t="s">
        <v>442</v>
      </c>
      <c r="F249" t="s">
        <v>163</v>
      </c>
      <c r="G249" t="s">
        <v>321</v>
      </c>
    </row>
    <row r="250" spans="1:7" x14ac:dyDescent="0.2">
      <c r="A250" t="s">
        <v>322</v>
      </c>
      <c r="B250" s="7">
        <v>7.6619620176084655E-7</v>
      </c>
      <c r="D250" t="s">
        <v>76</v>
      </c>
      <c r="E250" t="s">
        <v>442</v>
      </c>
      <c r="F250" t="s">
        <v>163</v>
      </c>
      <c r="G250" t="s">
        <v>322</v>
      </c>
    </row>
    <row r="251" spans="1:7" x14ac:dyDescent="0.2">
      <c r="A251" t="s">
        <v>323</v>
      </c>
      <c r="B251" s="7">
        <v>3.3802773607096173E-7</v>
      </c>
      <c r="D251" t="s">
        <v>76</v>
      </c>
      <c r="E251" t="s">
        <v>442</v>
      </c>
      <c r="F251" t="s">
        <v>163</v>
      </c>
      <c r="G251" t="s">
        <v>323</v>
      </c>
    </row>
    <row r="252" spans="1:7" x14ac:dyDescent="0.2">
      <c r="A252" t="s">
        <v>324</v>
      </c>
      <c r="B252" s="7">
        <v>9.9154802580815442E-8</v>
      </c>
      <c r="D252" t="s">
        <v>76</v>
      </c>
      <c r="E252" t="s">
        <v>442</v>
      </c>
      <c r="F252" t="s">
        <v>163</v>
      </c>
      <c r="G252" t="s">
        <v>324</v>
      </c>
    </row>
    <row r="253" spans="1:7" x14ac:dyDescent="0.2">
      <c r="A253" t="s">
        <v>325</v>
      </c>
      <c r="B253" s="7">
        <v>2.7492922533771551E-7</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8.5633693137976965E-8</v>
      </c>
      <c r="D255" t="s">
        <v>76</v>
      </c>
      <c r="E255" t="s">
        <v>442</v>
      </c>
      <c r="F255" t="s">
        <v>163</v>
      </c>
      <c r="G255" t="s">
        <v>326</v>
      </c>
    </row>
    <row r="256" spans="1:7" x14ac:dyDescent="0.2">
      <c r="A256" t="s">
        <v>327</v>
      </c>
      <c r="B256" s="7">
        <v>4.5521068457556175E-7</v>
      </c>
      <c r="D256" t="s">
        <v>76</v>
      </c>
      <c r="E256" t="s">
        <v>442</v>
      </c>
      <c r="F256" t="s">
        <v>163</v>
      </c>
      <c r="G256" t="s">
        <v>327</v>
      </c>
    </row>
    <row r="257" spans="1:8" x14ac:dyDescent="0.2">
      <c r="A257" t="s">
        <v>336</v>
      </c>
      <c r="B257" s="7">
        <v>1.5998987398991553E-9</v>
      </c>
      <c r="D257" t="s">
        <v>76</v>
      </c>
      <c r="E257" t="s">
        <v>442</v>
      </c>
      <c r="F257" t="s">
        <v>163</v>
      </c>
      <c r="G257" t="s">
        <v>329</v>
      </c>
    </row>
    <row r="258" spans="1:8" x14ac:dyDescent="0.2">
      <c r="A258" t="s">
        <v>330</v>
      </c>
      <c r="B258" s="7">
        <v>1.3792230516372029E-11</v>
      </c>
      <c r="D258" t="s">
        <v>76</v>
      </c>
      <c r="E258" t="s">
        <v>442</v>
      </c>
      <c r="F258" t="s">
        <v>163</v>
      </c>
      <c r="G258" t="s">
        <v>330</v>
      </c>
    </row>
    <row r="259" spans="1:8" x14ac:dyDescent="0.2">
      <c r="A259" t="s">
        <v>331</v>
      </c>
      <c r="B259" s="7">
        <v>9.1948203442480187E-12</v>
      </c>
      <c r="D259" t="s">
        <v>76</v>
      </c>
      <c r="E259" t="s">
        <v>442</v>
      </c>
      <c r="F259" t="s">
        <v>163</v>
      </c>
      <c r="G259" t="s">
        <v>331</v>
      </c>
    </row>
    <row r="260" spans="1:8" x14ac:dyDescent="0.2">
      <c r="A260" t="s">
        <v>332</v>
      </c>
      <c r="B260" s="7">
        <v>9.930405971787861E-8</v>
      </c>
      <c r="D260" t="s">
        <v>76</v>
      </c>
      <c r="E260" t="s">
        <v>442</v>
      </c>
      <c r="F260" t="s">
        <v>163</v>
      </c>
      <c r="G260" t="s">
        <v>332</v>
      </c>
    </row>
    <row r="261" spans="1:8" x14ac:dyDescent="0.2">
      <c r="A261" t="s">
        <v>290</v>
      </c>
      <c r="B261" s="7">
        <v>1.9309122722920839E-9</v>
      </c>
      <c r="D261" t="s">
        <v>76</v>
      </c>
      <c r="E261" t="s">
        <v>442</v>
      </c>
      <c r="F261" t="s">
        <v>163</v>
      </c>
      <c r="G261" t="s">
        <v>290</v>
      </c>
    </row>
    <row r="262" spans="1:8" x14ac:dyDescent="0.2">
      <c r="A262" t="s">
        <v>292</v>
      </c>
      <c r="B262" s="7">
        <v>5.9766332237612127E-10</v>
      </c>
      <c r="D262" t="s">
        <v>76</v>
      </c>
      <c r="E262" t="s">
        <v>442</v>
      </c>
      <c r="F262" t="s">
        <v>163</v>
      </c>
      <c r="G262" t="s">
        <v>292</v>
      </c>
    </row>
    <row r="263" spans="1:8" x14ac:dyDescent="0.2">
      <c r="A263" t="s">
        <v>291</v>
      </c>
      <c r="B263" s="7">
        <v>7.3558562753984162E-10</v>
      </c>
      <c r="D263" t="s">
        <v>76</v>
      </c>
      <c r="E263" t="s">
        <v>442</v>
      </c>
      <c r="F263" t="s">
        <v>163</v>
      </c>
      <c r="G263" t="s">
        <v>291</v>
      </c>
    </row>
    <row r="264" spans="1:8" x14ac:dyDescent="0.2">
      <c r="A264" t="s">
        <v>335</v>
      </c>
      <c r="B264" s="7">
        <v>1.4711712550796828E-12</v>
      </c>
      <c r="D264" t="s">
        <v>76</v>
      </c>
      <c r="E264" t="s">
        <v>442</v>
      </c>
      <c r="F264" t="s">
        <v>163</v>
      </c>
      <c r="G264" t="s">
        <v>335</v>
      </c>
    </row>
    <row r="265" spans="1:8" x14ac:dyDescent="0.2">
      <c r="A265" t="s">
        <v>333</v>
      </c>
      <c r="B265" s="7">
        <v>3.9997468497478883E-10</v>
      </c>
      <c r="D265" t="s">
        <v>76</v>
      </c>
      <c r="E265" t="s">
        <v>442</v>
      </c>
      <c r="F265" t="s">
        <v>163</v>
      </c>
      <c r="G265" t="s">
        <v>333</v>
      </c>
    </row>
    <row r="266" spans="1:8" x14ac:dyDescent="0.2">
      <c r="A266" t="s">
        <v>334</v>
      </c>
      <c r="B266" s="7">
        <v>4.9652029858939313E-10</v>
      </c>
      <c r="D266" t="s">
        <v>76</v>
      </c>
      <c r="E266" t="s">
        <v>442</v>
      </c>
      <c r="F266" t="s">
        <v>163</v>
      </c>
      <c r="G266" t="s">
        <v>334</v>
      </c>
    </row>
    <row r="267" spans="1:8" x14ac:dyDescent="0.2">
      <c r="A267" t="s">
        <v>155</v>
      </c>
      <c r="B267" s="7">
        <v>-1.1308758017520681E-5</v>
      </c>
      <c r="C267" t="s">
        <v>91</v>
      </c>
      <c r="D267" t="s">
        <v>76</v>
      </c>
      <c r="F267" t="s">
        <v>88</v>
      </c>
      <c r="G267" t="s">
        <v>29</v>
      </c>
      <c r="H267" t="s">
        <v>157</v>
      </c>
    </row>
    <row r="268" spans="1:8" x14ac:dyDescent="0.2">
      <c r="A268" t="s">
        <v>156</v>
      </c>
      <c r="B268" s="7">
        <v>-6.7728023675925525E-6</v>
      </c>
      <c r="C268" t="s">
        <v>91</v>
      </c>
      <c r="D268" t="s">
        <v>76</v>
      </c>
      <c r="F268" t="s">
        <v>88</v>
      </c>
      <c r="G268" t="s">
        <v>30</v>
      </c>
      <c r="H268" t="s">
        <v>158</v>
      </c>
    </row>
    <row r="269" spans="1:8" x14ac:dyDescent="0.2">
      <c r="A269" t="s">
        <v>164</v>
      </c>
      <c r="B269" s="7">
        <v>-3.9284895088005455E-6</v>
      </c>
      <c r="C269" t="s">
        <v>91</v>
      </c>
      <c r="D269" t="s">
        <v>76</v>
      </c>
      <c r="F269" t="s">
        <v>88</v>
      </c>
      <c r="G269" t="s">
        <v>31</v>
      </c>
      <c r="H269" t="s">
        <v>159</v>
      </c>
    </row>
    <row r="271" spans="1:8" ht="16" x14ac:dyDescent="0.2">
      <c r="A271" s="10" t="s">
        <v>70</v>
      </c>
      <c r="B271" s="8" t="s">
        <v>597</v>
      </c>
    </row>
    <row r="272" spans="1:8" x14ac:dyDescent="0.2">
      <c r="A272" t="s">
        <v>71</v>
      </c>
      <c r="B272" t="s">
        <v>37</v>
      </c>
    </row>
    <row r="273" spans="1:2" x14ac:dyDescent="0.2">
      <c r="A273" t="s">
        <v>85</v>
      </c>
      <c r="B273" t="s">
        <v>396</v>
      </c>
    </row>
    <row r="274" spans="1:2" x14ac:dyDescent="0.2">
      <c r="A274" t="s">
        <v>86</v>
      </c>
    </row>
    <row r="275" spans="1:2" x14ac:dyDescent="0.2">
      <c r="A275" t="s">
        <v>87</v>
      </c>
      <c r="B275">
        <v>2020</v>
      </c>
    </row>
    <row r="276" spans="1:2" x14ac:dyDescent="0.2">
      <c r="A276" t="s">
        <v>123</v>
      </c>
      <c r="B276" t="s">
        <v>399</v>
      </c>
    </row>
    <row r="277" spans="1:2" x14ac:dyDescent="0.2">
      <c r="A277" t="s">
        <v>72</v>
      </c>
      <c r="B277" t="s">
        <v>597</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40500</v>
      </c>
    </row>
    <row r="282" spans="1:2" x14ac:dyDescent="0.2">
      <c r="A282" t="s">
        <v>125</v>
      </c>
      <c r="B282">
        <v>1.1000000000000001</v>
      </c>
    </row>
    <row r="283" spans="1:2" x14ac:dyDescent="0.2">
      <c r="A283" t="s">
        <v>126</v>
      </c>
      <c r="B283">
        <v>1.62</v>
      </c>
    </row>
    <row r="284" spans="1:2" x14ac:dyDescent="0.2">
      <c r="A284" t="s">
        <v>127</v>
      </c>
      <c r="B284">
        <v>0</v>
      </c>
    </row>
    <row r="285" spans="1:2" x14ac:dyDescent="0.2">
      <c r="A285" t="s">
        <v>128</v>
      </c>
      <c r="B285">
        <v>2896</v>
      </c>
    </row>
    <row r="286" spans="1:2" x14ac:dyDescent="0.2">
      <c r="A286" t="s">
        <v>129</v>
      </c>
      <c r="B286" s="2">
        <v>256.52499999999998</v>
      </c>
    </row>
    <row r="287" spans="1:2" x14ac:dyDescent="0.2">
      <c r="A287" t="s">
        <v>130</v>
      </c>
      <c r="B287">
        <v>91</v>
      </c>
    </row>
    <row r="288" spans="1:2" x14ac:dyDescent="0.2">
      <c r="A288" t="s">
        <v>131</v>
      </c>
      <c r="B288" t="s">
        <v>84</v>
      </c>
    </row>
    <row r="289" spans="1:8" x14ac:dyDescent="0.2">
      <c r="A289" t="s">
        <v>99</v>
      </c>
      <c r="B289">
        <v>0</v>
      </c>
    </row>
    <row r="290" spans="1:8" x14ac:dyDescent="0.2">
      <c r="A290" t="s">
        <v>134</v>
      </c>
      <c r="B290" s="2">
        <v>159.75</v>
      </c>
    </row>
    <row r="291" spans="1:8" x14ac:dyDescent="0.2">
      <c r="A291" t="s">
        <v>135</v>
      </c>
      <c r="B291">
        <v>13.5</v>
      </c>
    </row>
    <row r="292" spans="1:8" x14ac:dyDescent="0.2">
      <c r="A292" t="s">
        <v>132</v>
      </c>
      <c r="B292" s="2">
        <v>297.30758592605895</v>
      </c>
    </row>
    <row r="293" spans="1:8" x14ac:dyDescent="0.2">
      <c r="A293" t="s">
        <v>133</v>
      </c>
      <c r="B293" t="s">
        <v>139</v>
      </c>
    </row>
    <row r="294" spans="1:8" x14ac:dyDescent="0.2">
      <c r="A294" t="s">
        <v>540</v>
      </c>
      <c r="B294" s="6">
        <v>0</v>
      </c>
    </row>
    <row r="295" spans="1:8" x14ac:dyDescent="0.2">
      <c r="A295" t="s">
        <v>82</v>
      </c>
      <c r="B295" t="s">
        <v>598</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597</v>
      </c>
      <c r="B298">
        <v>1</v>
      </c>
      <c r="C298" t="s">
        <v>37</v>
      </c>
      <c r="D298" t="s">
        <v>162</v>
      </c>
      <c r="F298" t="s">
        <v>83</v>
      </c>
      <c r="G298" t="s">
        <v>84</v>
      </c>
      <c r="H298" t="s">
        <v>597</v>
      </c>
    </row>
    <row r="299" spans="1:8" x14ac:dyDescent="0.2">
      <c r="A299" t="s">
        <v>396</v>
      </c>
      <c r="B299" s="7">
        <v>2.4691358024691357E-5</v>
      </c>
      <c r="C299" t="s">
        <v>37</v>
      </c>
      <c r="D299" t="s">
        <v>75</v>
      </c>
      <c r="F299" t="s">
        <v>88</v>
      </c>
      <c r="H299" t="s">
        <v>396</v>
      </c>
    </row>
    <row r="300" spans="1:8" x14ac:dyDescent="0.2">
      <c r="A300" t="s">
        <v>106</v>
      </c>
      <c r="B300" s="7">
        <v>1.8527842499999999E-4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4.5407519481717763E-2</v>
      </c>
      <c r="C303" t="s">
        <v>37</v>
      </c>
      <c r="D303" t="s">
        <v>76</v>
      </c>
      <c r="F303" t="s">
        <v>88</v>
      </c>
      <c r="G303" t="s">
        <v>27</v>
      </c>
      <c r="H303" t="s">
        <v>452</v>
      </c>
    </row>
    <row r="304" spans="1:8" x14ac:dyDescent="0.2">
      <c r="A304" t="s">
        <v>150</v>
      </c>
      <c r="B304" s="7">
        <v>0.14086865583852268</v>
      </c>
      <c r="D304" t="s">
        <v>76</v>
      </c>
      <c r="E304" t="s">
        <v>442</v>
      </c>
      <c r="F304" t="s">
        <v>163</v>
      </c>
      <c r="G304" t="s">
        <v>65</v>
      </c>
    </row>
    <row r="305" spans="1:7" x14ac:dyDescent="0.2">
      <c r="A305" t="s">
        <v>448</v>
      </c>
      <c r="B305" s="11">
        <v>1.7109553340711255E-3</v>
      </c>
      <c r="D305" t="s">
        <v>76</v>
      </c>
      <c r="E305" t="s">
        <v>442</v>
      </c>
      <c r="F305" t="s">
        <v>163</v>
      </c>
      <c r="G305" t="s">
        <v>446</v>
      </c>
    </row>
    <row r="306" spans="1:7" x14ac:dyDescent="0.2">
      <c r="A306" t="s">
        <v>210</v>
      </c>
      <c r="B306" s="7">
        <v>7.265203117074842E-7</v>
      </c>
      <c r="D306" t="s">
        <v>76</v>
      </c>
      <c r="E306" t="s">
        <v>442</v>
      </c>
      <c r="F306" t="s">
        <v>163</v>
      </c>
      <c r="G306" t="s">
        <v>66</v>
      </c>
    </row>
    <row r="307" spans="1:7" x14ac:dyDescent="0.2">
      <c r="A307" t="s">
        <v>54</v>
      </c>
      <c r="B307" s="7">
        <v>1.4740138315818797E-6</v>
      </c>
      <c r="D307" t="s">
        <v>76</v>
      </c>
      <c r="E307" t="s">
        <v>442</v>
      </c>
      <c r="F307" t="s">
        <v>163</v>
      </c>
      <c r="G307" t="s">
        <v>54</v>
      </c>
    </row>
    <row r="308" spans="1:7" x14ac:dyDescent="0.2">
      <c r="A308" t="s">
        <v>151</v>
      </c>
      <c r="B308" s="7">
        <v>2.0777062392450149E-5</v>
      </c>
      <c r="D308" t="s">
        <v>76</v>
      </c>
      <c r="E308" t="s">
        <v>442</v>
      </c>
      <c r="F308" t="s">
        <v>163</v>
      </c>
      <c r="G308" t="s">
        <v>55</v>
      </c>
    </row>
    <row r="309" spans="1:7" x14ac:dyDescent="0.2">
      <c r="A309" t="s">
        <v>152</v>
      </c>
      <c r="B309" s="7">
        <v>1.6143029994865083E-4</v>
      </c>
      <c r="D309" t="s">
        <v>76</v>
      </c>
      <c r="E309" t="s">
        <v>442</v>
      </c>
      <c r="F309" t="s">
        <v>163</v>
      </c>
      <c r="G309" t="s">
        <v>56</v>
      </c>
    </row>
    <row r="310" spans="1:7" x14ac:dyDescent="0.2">
      <c r="A310" t="s">
        <v>211</v>
      </c>
      <c r="B310" s="7">
        <v>1.0935295996026393E-6</v>
      </c>
      <c r="D310" t="s">
        <v>76</v>
      </c>
      <c r="E310" t="s">
        <v>442</v>
      </c>
      <c r="F310" t="s">
        <v>163</v>
      </c>
      <c r="G310" t="s">
        <v>57</v>
      </c>
    </row>
    <row r="311" spans="1:7" x14ac:dyDescent="0.2">
      <c r="A311" t="s">
        <v>153</v>
      </c>
      <c r="B311" s="7">
        <v>1.0935295996026393E-6</v>
      </c>
      <c r="D311" t="s">
        <v>76</v>
      </c>
      <c r="E311" t="s">
        <v>442</v>
      </c>
      <c r="F311" t="s">
        <v>163</v>
      </c>
      <c r="G311" t="s">
        <v>58</v>
      </c>
    </row>
    <row r="312" spans="1:7" x14ac:dyDescent="0.2">
      <c r="A312" t="s">
        <v>154</v>
      </c>
      <c r="B312" s="7">
        <v>9.2040080028458703E-6</v>
      </c>
      <c r="D312" t="s">
        <v>76</v>
      </c>
      <c r="E312" t="s">
        <v>442</v>
      </c>
      <c r="F312" t="s">
        <v>163</v>
      </c>
      <c r="G312" t="s">
        <v>59</v>
      </c>
    </row>
    <row r="313" spans="1:7" x14ac:dyDescent="0.2">
      <c r="A313" t="s">
        <v>212</v>
      </c>
      <c r="B313" s="7">
        <v>2.7338239990065983E-6</v>
      </c>
      <c r="D313" t="s">
        <v>76</v>
      </c>
      <c r="E313" t="s">
        <v>442</v>
      </c>
      <c r="F313" t="s">
        <v>163</v>
      </c>
      <c r="G313" t="s">
        <v>61</v>
      </c>
    </row>
    <row r="314" spans="1:7" x14ac:dyDescent="0.2">
      <c r="A314" t="s">
        <v>207</v>
      </c>
      <c r="B314" s="7">
        <v>1.18866997755373E-5</v>
      </c>
      <c r="D314" t="s">
        <v>76</v>
      </c>
      <c r="E314" t="s">
        <v>442</v>
      </c>
      <c r="F314" t="s">
        <v>163</v>
      </c>
      <c r="G314" t="s">
        <v>360</v>
      </c>
    </row>
    <row r="315" spans="1:7" x14ac:dyDescent="0.2">
      <c r="A315" t="s">
        <v>309</v>
      </c>
      <c r="B315" s="7">
        <v>8.381647277622453E-7</v>
      </c>
      <c r="D315" t="s">
        <v>76</v>
      </c>
      <c r="E315" t="s">
        <v>442</v>
      </c>
      <c r="F315" t="s">
        <v>163</v>
      </c>
      <c r="G315" t="s">
        <v>309</v>
      </c>
    </row>
    <row r="316" spans="1:7" x14ac:dyDescent="0.2">
      <c r="A316" t="s">
        <v>310</v>
      </c>
      <c r="B316" s="7">
        <v>1.7078591631519106E-7</v>
      </c>
      <c r="D316" t="s">
        <v>76</v>
      </c>
      <c r="E316" t="s">
        <v>442</v>
      </c>
      <c r="F316" t="s">
        <v>163</v>
      </c>
      <c r="G316" t="s">
        <v>310</v>
      </c>
    </row>
    <row r="317" spans="1:7" x14ac:dyDescent="0.2">
      <c r="A317" t="s">
        <v>311</v>
      </c>
      <c r="B317" s="7">
        <v>1.3767972330640017E-6</v>
      </c>
      <c r="D317" t="s">
        <v>76</v>
      </c>
      <c r="E317" t="s">
        <v>442</v>
      </c>
      <c r="F317" t="s">
        <v>163</v>
      </c>
      <c r="G317" t="s">
        <v>311</v>
      </c>
    </row>
    <row r="318" spans="1:7" x14ac:dyDescent="0.2">
      <c r="A318" t="s">
        <v>312</v>
      </c>
      <c r="B318" s="7">
        <v>5.6490726165793968E-7</v>
      </c>
      <c r="D318" t="s">
        <v>76</v>
      </c>
      <c r="E318" t="s">
        <v>442</v>
      </c>
      <c r="F318" t="s">
        <v>163</v>
      </c>
      <c r="G318" t="s">
        <v>312</v>
      </c>
    </row>
    <row r="319" spans="1:7" x14ac:dyDescent="0.2">
      <c r="A319" t="s">
        <v>313</v>
      </c>
      <c r="B319" s="7">
        <v>4.2302357733455016E-7</v>
      </c>
      <c r="D319" t="s">
        <v>76</v>
      </c>
      <c r="E319" t="s">
        <v>442</v>
      </c>
      <c r="F319" t="s">
        <v>163</v>
      </c>
      <c r="G319" t="s">
        <v>313</v>
      </c>
    </row>
    <row r="320" spans="1:7" x14ac:dyDescent="0.2">
      <c r="A320" t="s">
        <v>314</v>
      </c>
      <c r="B320" s="7">
        <v>2.9953222246048898E-7</v>
      </c>
      <c r="D320" t="s">
        <v>76</v>
      </c>
      <c r="E320" t="s">
        <v>442</v>
      </c>
      <c r="F320" t="s">
        <v>163</v>
      </c>
      <c r="G320" t="s">
        <v>314</v>
      </c>
    </row>
    <row r="321" spans="1:7" x14ac:dyDescent="0.2">
      <c r="A321" t="s">
        <v>315</v>
      </c>
      <c r="B321" s="7">
        <v>1.9443319703575599E-7</v>
      </c>
      <c r="D321" t="s">
        <v>76</v>
      </c>
      <c r="E321" t="s">
        <v>442</v>
      </c>
      <c r="F321" t="s">
        <v>163</v>
      </c>
      <c r="G321" t="s">
        <v>315</v>
      </c>
    </row>
    <row r="322" spans="1:7" x14ac:dyDescent="0.2">
      <c r="A322" t="s">
        <v>316</v>
      </c>
      <c r="B322" s="7">
        <v>1.9180572140013763E-6</v>
      </c>
      <c r="D322" t="s">
        <v>76</v>
      </c>
      <c r="E322" t="s">
        <v>442</v>
      </c>
      <c r="F322" t="s">
        <v>163</v>
      </c>
      <c r="G322" t="s">
        <v>316</v>
      </c>
    </row>
    <row r="323" spans="1:7" x14ac:dyDescent="0.2">
      <c r="A323" t="s">
        <v>317</v>
      </c>
      <c r="B323" s="7">
        <v>1.0036956928061999E-6</v>
      </c>
      <c r="D323" t="s">
        <v>76</v>
      </c>
      <c r="E323" t="s">
        <v>442</v>
      </c>
      <c r="F323" t="s">
        <v>163</v>
      </c>
      <c r="G323" t="s">
        <v>317</v>
      </c>
    </row>
    <row r="324" spans="1:7" x14ac:dyDescent="0.2">
      <c r="A324" t="s">
        <v>318</v>
      </c>
      <c r="B324" s="7">
        <v>2.8902231991801569E-8</v>
      </c>
      <c r="D324" t="s">
        <v>76</v>
      </c>
      <c r="E324" t="s">
        <v>442</v>
      </c>
      <c r="F324" t="s">
        <v>163</v>
      </c>
      <c r="G324" t="s">
        <v>318</v>
      </c>
    </row>
    <row r="325" spans="1:7" x14ac:dyDescent="0.2">
      <c r="A325" t="s">
        <v>319</v>
      </c>
      <c r="B325" s="7">
        <v>2.8849682479089193E-6</v>
      </c>
      <c r="D325" t="s">
        <v>76</v>
      </c>
      <c r="E325" t="s">
        <v>442</v>
      </c>
      <c r="F325" t="s">
        <v>163</v>
      </c>
      <c r="G325" t="s">
        <v>319</v>
      </c>
    </row>
    <row r="326" spans="1:7" x14ac:dyDescent="0.2">
      <c r="A326" t="s">
        <v>320</v>
      </c>
      <c r="B326" s="7">
        <v>1.42671927014075E-6</v>
      </c>
      <c r="D326" t="s">
        <v>76</v>
      </c>
      <c r="E326" t="s">
        <v>442</v>
      </c>
      <c r="F326" t="s">
        <v>163</v>
      </c>
      <c r="G326" t="s">
        <v>320</v>
      </c>
    </row>
    <row r="327" spans="1:7" x14ac:dyDescent="0.2">
      <c r="A327" t="s">
        <v>321</v>
      </c>
      <c r="B327" s="7">
        <v>5.9380949364974125E-7</v>
      </c>
      <c r="D327" t="s">
        <v>76</v>
      </c>
      <c r="E327" t="s">
        <v>442</v>
      </c>
      <c r="F327" t="s">
        <v>163</v>
      </c>
      <c r="G327" t="s">
        <v>321</v>
      </c>
    </row>
    <row r="328" spans="1:7" x14ac:dyDescent="0.2">
      <c r="A328" t="s">
        <v>322</v>
      </c>
      <c r="B328" s="7">
        <v>4.4667085805511511E-7</v>
      </c>
      <c r="D328" t="s">
        <v>76</v>
      </c>
      <c r="E328" t="s">
        <v>442</v>
      </c>
      <c r="F328" t="s">
        <v>163</v>
      </c>
      <c r="G328" t="s">
        <v>322</v>
      </c>
    </row>
    <row r="329" spans="1:7" x14ac:dyDescent="0.2">
      <c r="A329" t="s">
        <v>323</v>
      </c>
      <c r="B329" s="7">
        <v>1.970606726713743E-7</v>
      </c>
      <c r="D329" t="s">
        <v>76</v>
      </c>
      <c r="E329" t="s">
        <v>442</v>
      </c>
      <c r="F329" t="s">
        <v>163</v>
      </c>
      <c r="G329" t="s">
        <v>323</v>
      </c>
    </row>
    <row r="330" spans="1:7" x14ac:dyDescent="0.2">
      <c r="A330" t="s">
        <v>324</v>
      </c>
      <c r="B330" s="7">
        <v>5.7804463983603138E-8</v>
      </c>
      <c r="D330" t="s">
        <v>76</v>
      </c>
      <c r="E330" t="s">
        <v>442</v>
      </c>
      <c r="F330" t="s">
        <v>163</v>
      </c>
      <c r="G330" t="s">
        <v>324</v>
      </c>
    </row>
    <row r="331" spans="1:7" x14ac:dyDescent="0.2">
      <c r="A331" t="s">
        <v>325</v>
      </c>
      <c r="B331" s="7">
        <v>1.6027601377271776E-7</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4.992203707674815E-8</v>
      </c>
      <c r="D333" t="s">
        <v>76</v>
      </c>
      <c r="E333" t="s">
        <v>442</v>
      </c>
      <c r="F333" t="s">
        <v>163</v>
      </c>
      <c r="G333" t="s">
        <v>326</v>
      </c>
    </row>
    <row r="334" spans="1:7" x14ac:dyDescent="0.2">
      <c r="A334" t="s">
        <v>327</v>
      </c>
      <c r="B334" s="7">
        <v>2.6537503919745075E-7</v>
      </c>
      <c r="D334" t="s">
        <v>76</v>
      </c>
      <c r="E334" t="s">
        <v>442</v>
      </c>
      <c r="F334" t="s">
        <v>163</v>
      </c>
      <c r="G334" t="s">
        <v>327</v>
      </c>
    </row>
    <row r="335" spans="1:7" x14ac:dyDescent="0.2">
      <c r="A335" t="s">
        <v>336</v>
      </c>
      <c r="B335" s="7">
        <v>1.5838997525001637E-9</v>
      </c>
      <c r="D335" t="s">
        <v>76</v>
      </c>
      <c r="E335" t="s">
        <v>442</v>
      </c>
      <c r="F335" t="s">
        <v>163</v>
      </c>
      <c r="G335" t="s">
        <v>329</v>
      </c>
    </row>
    <row r="336" spans="1:7" x14ac:dyDescent="0.2">
      <c r="A336" t="s">
        <v>330</v>
      </c>
      <c r="B336" s="7">
        <v>1.3654308211208309E-11</v>
      </c>
      <c r="D336" t="s">
        <v>76</v>
      </c>
      <c r="E336" t="s">
        <v>442</v>
      </c>
      <c r="F336" t="s">
        <v>163</v>
      </c>
      <c r="G336" t="s">
        <v>330</v>
      </c>
    </row>
    <row r="337" spans="1:8" x14ac:dyDescent="0.2">
      <c r="A337" t="s">
        <v>331</v>
      </c>
      <c r="B337" s="7">
        <v>9.1028721408055385E-12</v>
      </c>
      <c r="D337" t="s">
        <v>76</v>
      </c>
      <c r="E337" t="s">
        <v>442</v>
      </c>
      <c r="F337" t="s">
        <v>163</v>
      </c>
      <c r="G337" t="s">
        <v>331</v>
      </c>
    </row>
    <row r="338" spans="1:8" x14ac:dyDescent="0.2">
      <c r="A338" t="s">
        <v>332</v>
      </c>
      <c r="B338" s="7">
        <v>9.8311019120699828E-8</v>
      </c>
      <c r="D338" t="s">
        <v>76</v>
      </c>
      <c r="E338" t="s">
        <v>442</v>
      </c>
      <c r="F338" t="s">
        <v>163</v>
      </c>
      <c r="G338" t="s">
        <v>332</v>
      </c>
    </row>
    <row r="339" spans="1:8" x14ac:dyDescent="0.2">
      <c r="A339" t="s">
        <v>290</v>
      </c>
      <c r="B339" s="7">
        <v>1.911603149569163E-9</v>
      </c>
      <c r="D339" t="s">
        <v>76</v>
      </c>
      <c r="E339" t="s">
        <v>442</v>
      </c>
      <c r="F339" t="s">
        <v>163</v>
      </c>
      <c r="G339" t="s">
        <v>290</v>
      </c>
    </row>
    <row r="340" spans="1:8" x14ac:dyDescent="0.2">
      <c r="A340" t="s">
        <v>292</v>
      </c>
      <c r="B340" s="7">
        <v>5.9168668915236E-10</v>
      </c>
      <c r="D340" t="s">
        <v>76</v>
      </c>
      <c r="E340" t="s">
        <v>442</v>
      </c>
      <c r="F340" t="s">
        <v>163</v>
      </c>
      <c r="G340" t="s">
        <v>292</v>
      </c>
    </row>
    <row r="341" spans="1:8" x14ac:dyDescent="0.2">
      <c r="A341" t="s">
        <v>291</v>
      </c>
      <c r="B341" s="7">
        <v>7.2822977126444316E-10</v>
      </c>
      <c r="D341" t="s">
        <v>76</v>
      </c>
      <c r="E341" t="s">
        <v>442</v>
      </c>
      <c r="F341" t="s">
        <v>163</v>
      </c>
      <c r="G341" t="s">
        <v>291</v>
      </c>
    </row>
    <row r="342" spans="1:8" x14ac:dyDescent="0.2">
      <c r="A342" t="s">
        <v>335</v>
      </c>
      <c r="B342" s="7">
        <v>1.4564595425288861E-12</v>
      </c>
      <c r="D342" t="s">
        <v>76</v>
      </c>
      <c r="E342" t="s">
        <v>442</v>
      </c>
      <c r="F342" t="s">
        <v>163</v>
      </c>
      <c r="G342" t="s">
        <v>335</v>
      </c>
    </row>
    <row r="343" spans="1:8" x14ac:dyDescent="0.2">
      <c r="A343" t="s">
        <v>333</v>
      </c>
      <c r="B343" s="7">
        <v>3.9597493812504094E-10</v>
      </c>
      <c r="D343" t="s">
        <v>76</v>
      </c>
      <c r="E343" t="s">
        <v>442</v>
      </c>
      <c r="F343" t="s">
        <v>163</v>
      </c>
      <c r="G343" t="s">
        <v>333</v>
      </c>
    </row>
    <row r="344" spans="1:8" x14ac:dyDescent="0.2">
      <c r="A344" t="s">
        <v>334</v>
      </c>
      <c r="B344" s="7">
        <v>4.9155509560349916E-10</v>
      </c>
      <c r="D344" t="s">
        <v>76</v>
      </c>
      <c r="E344" t="s">
        <v>442</v>
      </c>
      <c r="F344" t="s">
        <v>163</v>
      </c>
      <c r="G344" t="s">
        <v>334</v>
      </c>
    </row>
    <row r="345" spans="1:8" x14ac:dyDescent="0.2">
      <c r="A345" t="s">
        <v>155</v>
      </c>
      <c r="B345" s="7">
        <v>-1.1250808142206311E-5</v>
      </c>
      <c r="C345" t="s">
        <v>91</v>
      </c>
      <c r="D345" t="s">
        <v>76</v>
      </c>
      <c r="F345" t="s">
        <v>88</v>
      </c>
      <c r="G345" t="s">
        <v>29</v>
      </c>
      <c r="H345" t="s">
        <v>157</v>
      </c>
    </row>
    <row r="346" spans="1:8" x14ac:dyDescent="0.2">
      <c r="A346" t="s">
        <v>156</v>
      </c>
      <c r="B346" s="7">
        <v>-6.7514741481301901E-6</v>
      </c>
      <c r="C346" t="s">
        <v>91</v>
      </c>
      <c r="D346" t="s">
        <v>76</v>
      </c>
      <c r="F346" t="s">
        <v>88</v>
      </c>
      <c r="G346" t="s">
        <v>30</v>
      </c>
      <c r="H346" t="s">
        <v>158</v>
      </c>
    </row>
    <row r="347" spans="1:8" x14ac:dyDescent="0.2">
      <c r="A347" t="s">
        <v>164</v>
      </c>
      <c r="B347" s="7">
        <v>-3.9128602753765776E-6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420"/>
  <sheetViews>
    <sheetView topLeftCell="A273" workbookViewId="0">
      <selection activeCell="G298" sqref="G298"/>
    </sheetView>
  </sheetViews>
  <sheetFormatPr baseColWidth="10" defaultColWidth="8.6640625" defaultRowHeight="15" x14ac:dyDescent="0.2"/>
  <cols>
    <col min="1" max="1" width="48.33203125" bestFit="1" customWidth="1"/>
    <col min="2" max="2" width="15.6640625" bestFit="1" customWidth="1"/>
    <col min="7" max="7" width="32" bestFit="1" customWidth="1"/>
  </cols>
  <sheetData>
    <row r="1" spans="1:2" ht="16" x14ac:dyDescent="0.2">
      <c r="A1" s="10" t="s">
        <v>70</v>
      </c>
      <c r="B1" s="8" t="s">
        <v>375</v>
      </c>
    </row>
    <row r="2" spans="1:2" x14ac:dyDescent="0.2">
      <c r="A2" t="s">
        <v>71</v>
      </c>
      <c r="B2" t="s">
        <v>37</v>
      </c>
    </row>
    <row r="3" spans="1:2" x14ac:dyDescent="0.2">
      <c r="A3" t="s">
        <v>85</v>
      </c>
      <c r="B3" t="s">
        <v>375</v>
      </c>
    </row>
    <row r="4" spans="1:2" x14ac:dyDescent="0.2">
      <c r="A4" t="s">
        <v>86</v>
      </c>
    </row>
    <row r="5" spans="1:2" x14ac:dyDescent="0.2">
      <c r="A5" t="s">
        <v>87</v>
      </c>
      <c r="B5">
        <v>2006</v>
      </c>
    </row>
    <row r="6" spans="1:2" x14ac:dyDescent="0.2">
      <c r="A6" t="s">
        <v>123</v>
      </c>
      <c r="B6" t="s">
        <v>378</v>
      </c>
    </row>
    <row r="7" spans="1:2" x14ac:dyDescent="0.2">
      <c r="A7" t="s">
        <v>72</v>
      </c>
      <c r="B7" t="s">
        <v>375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93.6875</v>
      </c>
    </row>
    <row r="17" spans="1:8" x14ac:dyDescent="0.2">
      <c r="A17" t="s">
        <v>130</v>
      </c>
      <c r="B17">
        <v>2.8</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162.107934058469</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375</v>
      </c>
      <c r="B31">
        <v>1</v>
      </c>
      <c r="C31" t="s">
        <v>37</v>
      </c>
      <c r="D31" t="s">
        <v>75</v>
      </c>
      <c r="F31" t="s">
        <v>83</v>
      </c>
      <c r="G31" t="s">
        <v>84</v>
      </c>
      <c r="H31" t="s">
        <v>375</v>
      </c>
    </row>
    <row r="32" spans="1:8" x14ac:dyDescent="0.2">
      <c r="A32" t="s">
        <v>111</v>
      </c>
      <c r="B32" s="11">
        <v>0.58888888888888891</v>
      </c>
      <c r="C32" t="s">
        <v>91</v>
      </c>
      <c r="D32" t="s">
        <v>75</v>
      </c>
      <c r="F32" t="s">
        <v>88</v>
      </c>
      <c r="G32" t="s">
        <v>15</v>
      </c>
      <c r="H32" t="s">
        <v>112</v>
      </c>
    </row>
    <row r="33" spans="1:8" x14ac:dyDescent="0.2">
      <c r="A33" t="inlineStr">
        <is>
          <t>mechanical powertrain, motorcycle, gasoline, engineering reference</t>
        </is>
      </c>
      <c r="B33" s="11">
        <v>32.0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0.78749999999999998</v>
      </c>
      <c r="C34" t="s">
        <v>91</v>
      </c>
      <c r="D34" t="s">
        <v>76</v>
      </c>
      <c r="F34" t="s">
        <v>88</v>
      </c>
      <c r="G34" t="s">
        <v>24</v>
      </c>
      <c r="H34" t="s">
        <v>114</v>
      </c>
    </row>
    <row r="35" spans="1:8" x14ac:dyDescent="0.2">
      <c r="A35" t="inlineStr">
        <is>
          <t>fuel tank forming, motorcycle engineering reference</t>
        </is>
      </c>
      <c r="B35" s="11">
        <v>0.79225352112676051</v>
      </c>
      <c r="C35" t="inlineStr">
        <is>
          <t>RER</t>
        </is>
      </c>
      <c r="D35" t="s">
        <v>76</v>
      </c>
      <c r="F35" t="s">
        <v>88</v>
      </c>
      <c r="G35" t="s">
        <v>412</v>
      </c>
      <c r="H35" t="inlineStr">
        <is>
          <t>fuel tank forming, motorcycle engineering reference</t>
        </is>
      </c>
    </row>
    <row r="36" spans="1:8" x14ac:dyDescent="0.2">
      <c r="A36" s="13" t="s">
        <v>443</v>
      </c>
      <c r="B36">
        <v>93.6875</v>
      </c>
      <c r="C36" t="s">
        <v>91</v>
      </c>
      <c r="D36" t="s">
        <v>191</v>
      </c>
      <c r="F36" t="s">
        <v>88</v>
      </c>
      <c r="H36" s="13" t="s">
        <v>444</v>
      </c>
    </row>
    <row r="37" spans="1:8" x14ac:dyDescent="0.2">
      <c r="A37" s="13" t="s">
        <v>214</v>
      </c>
      <c r="B37" s="2">
        <v>1489.6312500000001</v>
      </c>
      <c r="C37" t="s">
        <v>94</v>
      </c>
      <c r="D37" t="s">
        <v>191</v>
      </c>
      <c r="F37" t="s">
        <v>88</v>
      </c>
      <c r="H37" s="13" t="s">
        <v>214</v>
      </c>
    </row>
    <row r="38" spans="1:8" x14ac:dyDescent="0.2">
      <c r="B38" s="11"/>
    </row>
    <row r="39" spans="1:8" ht="16" x14ac:dyDescent="0.2">
      <c r="A39" s="10" t="s">
        <v>70</v>
      </c>
      <c r="B39" s="8" t="s">
        <v>376</v>
      </c>
    </row>
    <row r="40" spans="1:8" x14ac:dyDescent="0.2">
      <c r="A40" t="s">
        <v>71</v>
      </c>
      <c r="B40" t="s">
        <v>37</v>
      </c>
    </row>
    <row r="41" spans="1:8" x14ac:dyDescent="0.2">
      <c r="A41" t="s">
        <v>85</v>
      </c>
      <c r="B41" t="s">
        <v>376</v>
      </c>
    </row>
    <row r="42" spans="1:8" x14ac:dyDescent="0.2">
      <c r="A42" t="s">
        <v>86</v>
      </c>
    </row>
    <row r="43" spans="1:8" x14ac:dyDescent="0.2">
      <c r="A43" t="s">
        <v>87</v>
      </c>
      <c r="B43">
        <v>2016</v>
      </c>
    </row>
    <row r="44" spans="1:8" x14ac:dyDescent="0.2">
      <c r="A44" t="s">
        <v>123</v>
      </c>
      <c r="B44" t="s">
        <v>379</v>
      </c>
    </row>
    <row r="45" spans="1:8" x14ac:dyDescent="0.2">
      <c r="A45" t="s">
        <v>72</v>
      </c>
      <c r="B45" t="s">
        <v>376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v>
      </c>
    </row>
    <row r="51" spans="1:2" x14ac:dyDescent="0.2">
      <c r="A51" t="s">
        <v>126</v>
      </c>
      <c r="B51">
        <v>1</v>
      </c>
    </row>
    <row r="52" spans="1:2" x14ac:dyDescent="0.2">
      <c r="A52" t="s">
        <v>127</v>
      </c>
      <c r="B52">
        <v>0</v>
      </c>
    </row>
    <row r="53" spans="1:2" x14ac:dyDescent="0.2">
      <c r="A53" t="s">
        <v>128</v>
      </c>
      <c r="B53">
        <v>1570</v>
      </c>
    </row>
    <row r="54" spans="1:2" x14ac:dyDescent="0.2">
      <c r="A54" t="s">
        <v>129</v>
      </c>
      <c r="B54" s="2">
        <v>92.097499999999997</v>
      </c>
    </row>
    <row r="55" spans="1:2" x14ac:dyDescent="0.2">
      <c r="A55" t="s">
        <v>130</v>
      </c>
      <c r="B55">
        <v>2.8</v>
      </c>
    </row>
    <row r="56" spans="1:2" x14ac:dyDescent="0.2">
      <c r="A56" t="s">
        <v>131</v>
      </c>
      <c r="B56" t="s">
        <v>84</v>
      </c>
    </row>
    <row r="57" spans="1:2" x14ac:dyDescent="0.2">
      <c r="A57" t="s">
        <v>99</v>
      </c>
      <c r="B57">
        <v>0</v>
      </c>
    </row>
    <row r="58" spans="1:2" x14ac:dyDescent="0.2">
      <c r="A58" t="s">
        <v>134</v>
      </c>
      <c r="B58" s="2">
        <v>62.125</v>
      </c>
    </row>
    <row r="59" spans="1:2" x14ac:dyDescent="0.2">
      <c r="A59" t="s">
        <v>135</v>
      </c>
      <c r="B59">
        <v>5.25</v>
      </c>
    </row>
    <row r="60" spans="1:2" x14ac:dyDescent="0.2">
      <c r="A60" t="s">
        <v>132</v>
      </c>
      <c r="B60" s="2">
        <v>171.83441010197717</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376</v>
      </c>
      <c r="B69">
        <v>1</v>
      </c>
      <c r="C69" t="s">
        <v>37</v>
      </c>
      <c r="D69" t="s">
        <v>75</v>
      </c>
      <c r="F69" t="s">
        <v>83</v>
      </c>
      <c r="G69" t="s">
        <v>84</v>
      </c>
      <c r="H69" t="s">
        <v>376</v>
      </c>
    </row>
    <row r="70" spans="1:8" x14ac:dyDescent="0.2">
      <c r="A70" t="s">
        <v>111</v>
      </c>
      <c r="B70" s="11">
        <v>0.58888888888888891</v>
      </c>
      <c r="C70" t="s">
        <v>91</v>
      </c>
      <c r="D70" t="s">
        <v>75</v>
      </c>
      <c r="F70" t="s">
        <v>88</v>
      </c>
      <c r="G70" t="s">
        <v>15</v>
      </c>
      <c r="H70" t="s">
        <v>112</v>
      </c>
    </row>
    <row r="71" spans="1:8" x14ac:dyDescent="0.2">
      <c r="A71" t="inlineStr">
        <is>
          <t>mechanical powertrain, motorcycle, gasoline, engineering reference</t>
        </is>
      </c>
      <c r="B71" s="11">
        <v>32.0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11">
        <v>0.78749999999999998</v>
      </c>
      <c r="C72" t="s">
        <v>91</v>
      </c>
      <c r="D72" t="s">
        <v>76</v>
      </c>
      <c r="F72" t="s">
        <v>88</v>
      </c>
      <c r="G72" t="s">
        <v>24</v>
      </c>
      <c r="H72" t="s">
        <v>114</v>
      </c>
    </row>
    <row r="73" spans="1:8" x14ac:dyDescent="0.2">
      <c r="A73" t="inlineStr">
        <is>
          <t>fuel tank forming, motorcycle engineering reference</t>
        </is>
      </c>
      <c r="B73" s="11">
        <v>0.79225352112676051</v>
      </c>
      <c r="C73" t="inlineStr">
        <is>
          <t>RER</t>
        </is>
      </c>
      <c r="D73" t="s">
        <v>76</v>
      </c>
      <c r="F73" t="s">
        <v>88</v>
      </c>
      <c r="G73" t="s">
        <v>412</v>
      </c>
      <c r="H73" t="inlineStr">
        <is>
          <t>fuel tank forming, motorcycle engineering reference</t>
        </is>
      </c>
    </row>
    <row r="74" spans="1:8" x14ac:dyDescent="0.2">
      <c r="A74" s="13" t="s">
        <v>443</v>
      </c>
      <c r="B74">
        <v>92.097499999999997</v>
      </c>
      <c r="C74" t="s">
        <v>91</v>
      </c>
      <c r="D74" t="s">
        <v>191</v>
      </c>
      <c r="F74" t="s">
        <v>88</v>
      </c>
      <c r="H74" s="13" t="s">
        <v>444</v>
      </c>
    </row>
    <row r="75" spans="1:8" x14ac:dyDescent="0.2">
      <c r="A75" s="13" t="s">
        <v>214</v>
      </c>
      <c r="B75" s="2">
        <v>1464.35025</v>
      </c>
      <c r="C75" t="s">
        <v>94</v>
      </c>
      <c r="D75" t="s">
        <v>191</v>
      </c>
      <c r="F75" t="s">
        <v>88</v>
      </c>
      <c r="H75" s="13" t="s">
        <v>214</v>
      </c>
    </row>
    <row r="77" spans="1:8" ht="16" x14ac:dyDescent="0.2">
      <c r="A77" s="10" t="s">
        <v>70</v>
      </c>
      <c r="B77" s="8" t="s">
        <v>377</v>
      </c>
    </row>
    <row r="78" spans="1:8" x14ac:dyDescent="0.2">
      <c r="A78" t="s">
        <v>71</v>
      </c>
      <c r="B78" t="s">
        <v>37</v>
      </c>
    </row>
    <row r="79" spans="1:8" x14ac:dyDescent="0.2">
      <c r="A79" t="s">
        <v>85</v>
      </c>
      <c r="B79" t="s">
        <v>377</v>
      </c>
    </row>
    <row r="80" spans="1:8" x14ac:dyDescent="0.2">
      <c r="A80" t="s">
        <v>86</v>
      </c>
    </row>
    <row r="81" spans="1:2" x14ac:dyDescent="0.2">
      <c r="A81" t="s">
        <v>87</v>
      </c>
      <c r="B81">
        <v>2020</v>
      </c>
    </row>
    <row r="82" spans="1:2" x14ac:dyDescent="0.2">
      <c r="A82" t="s">
        <v>123</v>
      </c>
      <c r="B82" t="s">
        <v>380</v>
      </c>
    </row>
    <row r="83" spans="1:2" x14ac:dyDescent="0.2">
      <c r="A83" t="s">
        <v>72</v>
      </c>
      <c r="B83" t="s">
        <v>377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v>
      </c>
    </row>
    <row r="89" spans="1:2" x14ac:dyDescent="0.2">
      <c r="A89" t="s">
        <v>126</v>
      </c>
      <c r="B89">
        <v>1</v>
      </c>
    </row>
    <row r="90" spans="1:2" x14ac:dyDescent="0.2">
      <c r="A90" t="s">
        <v>127</v>
      </c>
      <c r="B90">
        <v>0</v>
      </c>
    </row>
    <row r="91" spans="1:2" x14ac:dyDescent="0.2">
      <c r="A91" t="s">
        <v>128</v>
      </c>
      <c r="B91">
        <v>1570</v>
      </c>
    </row>
    <row r="92" spans="1:2" x14ac:dyDescent="0.2">
      <c r="A92" t="s">
        <v>129</v>
      </c>
      <c r="B92" s="2">
        <v>91.037499999999994</v>
      </c>
    </row>
    <row r="93" spans="1:2" x14ac:dyDescent="0.2">
      <c r="A93" t="s">
        <v>130</v>
      </c>
      <c r="B93">
        <v>2.8</v>
      </c>
    </row>
    <row r="94" spans="1:2" x14ac:dyDescent="0.2">
      <c r="A94" t="s">
        <v>131</v>
      </c>
      <c r="B94" t="s">
        <v>84</v>
      </c>
    </row>
    <row r="95" spans="1:2" x14ac:dyDescent="0.2">
      <c r="A95" t="s">
        <v>99</v>
      </c>
      <c r="B95">
        <v>0</v>
      </c>
    </row>
    <row r="96" spans="1:2" x14ac:dyDescent="0.2">
      <c r="A96" t="s">
        <v>134</v>
      </c>
      <c r="B96" s="2">
        <v>62.125</v>
      </c>
    </row>
    <row r="97" spans="1:8" x14ac:dyDescent="0.2">
      <c r="A97" t="s">
        <v>135</v>
      </c>
      <c r="B97">
        <v>5.25</v>
      </c>
    </row>
    <row r="98" spans="1:8" x14ac:dyDescent="0.2">
      <c r="A98" t="s">
        <v>132</v>
      </c>
      <c r="B98" s="2">
        <v>173.57011121411836</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377</v>
      </c>
      <c r="B107">
        <v>1</v>
      </c>
      <c r="C107" t="s">
        <v>37</v>
      </c>
      <c r="D107" t="s">
        <v>75</v>
      </c>
      <c r="F107" t="s">
        <v>83</v>
      </c>
      <c r="G107" t="s">
        <v>84</v>
      </c>
      <c r="H107" t="s">
        <v>377</v>
      </c>
    </row>
    <row r="108" spans="1:8" x14ac:dyDescent="0.2">
      <c r="A108" t="s">
        <v>111</v>
      </c>
      <c r="B108" s="11">
        <v>0.58888888888888891</v>
      </c>
      <c r="C108" t="s">
        <v>91</v>
      </c>
      <c r="D108" t="s">
        <v>75</v>
      </c>
      <c r="F108" t="s">
        <v>88</v>
      </c>
      <c r="G108" t="s">
        <v>15</v>
      </c>
      <c r="H108" t="s">
        <v>112</v>
      </c>
    </row>
    <row r="109" spans="1:8" x14ac:dyDescent="0.2">
      <c r="A109" t="inlineStr">
        <is>
          <t>mechanical powertrain, motorcycle, gasoline, engineering reference</t>
        </is>
      </c>
      <c r="B109" s="11">
        <v>32.0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11">
        <v>0.78749999999999998</v>
      </c>
      <c r="C110" t="s">
        <v>91</v>
      </c>
      <c r="D110" t="s">
        <v>76</v>
      </c>
      <c r="F110" t="s">
        <v>88</v>
      </c>
      <c r="G110" t="s">
        <v>24</v>
      </c>
      <c r="H110" t="s">
        <v>114</v>
      </c>
    </row>
    <row r="111" spans="1:8" x14ac:dyDescent="0.2">
      <c r="A111" t="inlineStr">
        <is>
          <t>fuel tank forming, motorcycle engineering reference</t>
        </is>
      </c>
      <c r="B111" s="11">
        <v>0.79225352112676051</v>
      </c>
      <c r="C111" t="inlineStr">
        <is>
          <t>RER</t>
        </is>
      </c>
      <c r="D111" t="s">
        <v>76</v>
      </c>
      <c r="F111" t="s">
        <v>88</v>
      </c>
      <c r="G111" t="s">
        <v>412</v>
      </c>
      <c r="H111" t="inlineStr">
        <is>
          <t>fuel tank forming, motorcycle engineering reference</t>
        </is>
      </c>
    </row>
    <row r="112" spans="1:8" x14ac:dyDescent="0.2">
      <c r="A112" s="13" t="s">
        <v>443</v>
      </c>
      <c r="B112">
        <v>91.037499999999994</v>
      </c>
      <c r="C112" t="s">
        <v>91</v>
      </c>
      <c r="D112" t="s">
        <v>191</v>
      </c>
      <c r="F112" t="s">
        <v>88</v>
      </c>
      <c r="H112" s="13" t="s">
        <v>444</v>
      </c>
    </row>
    <row r="113" spans="1:8" x14ac:dyDescent="0.2">
      <c r="A113" s="13" t="s">
        <v>214</v>
      </c>
      <c r="B113" s="2">
        <v>1447.4962499999999</v>
      </c>
      <c r="C113" t="s">
        <v>94</v>
      </c>
      <c r="D113" t="s">
        <v>191</v>
      </c>
      <c r="F113" t="s">
        <v>88</v>
      </c>
      <c r="H113" s="13" t="s">
        <v>214</v>
      </c>
    </row>
    <row r="116" spans="1:8" ht="16" x14ac:dyDescent="0.2">
      <c r="A116" s="10" t="s">
        <v>70</v>
      </c>
      <c r="B116" s="8" t="s">
        <v>584</v>
      </c>
    </row>
    <row r="117" spans="1:8" x14ac:dyDescent="0.2">
      <c r="A117" t="s">
        <v>71</v>
      </c>
      <c r="B117" t="s">
        <v>37</v>
      </c>
    </row>
    <row r="118" spans="1:8" x14ac:dyDescent="0.2">
      <c r="A118" t="s">
        <v>85</v>
      </c>
      <c r="B118" t="s">
        <v>375</v>
      </c>
    </row>
    <row r="119" spans="1:8" x14ac:dyDescent="0.2">
      <c r="A119" t="s">
        <v>86</v>
      </c>
    </row>
    <row r="120" spans="1:8" x14ac:dyDescent="0.2">
      <c r="A120" t="s">
        <v>87</v>
      </c>
      <c r="B120">
        <v>2006</v>
      </c>
    </row>
    <row r="121" spans="1:8" x14ac:dyDescent="0.2">
      <c r="A121" t="s">
        <v>123</v>
      </c>
      <c r="B121" t="s">
        <v>378</v>
      </c>
    </row>
    <row r="122" spans="1:8" x14ac:dyDescent="0.2">
      <c r="A122" t="s">
        <v>72</v>
      </c>
      <c r="B122" t="s">
        <v>584</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v>
      </c>
    </row>
    <row r="128" spans="1:8" x14ac:dyDescent="0.2">
      <c r="A128" t="s">
        <v>126</v>
      </c>
      <c r="B128">
        <v>1</v>
      </c>
    </row>
    <row r="129" spans="1:8" x14ac:dyDescent="0.2">
      <c r="A129" t="s">
        <v>127</v>
      </c>
      <c r="B129">
        <v>0</v>
      </c>
    </row>
    <row r="130" spans="1:8" x14ac:dyDescent="0.2">
      <c r="A130" t="s">
        <v>128</v>
      </c>
      <c r="B130">
        <v>1570</v>
      </c>
    </row>
    <row r="131" spans="1:8" x14ac:dyDescent="0.2">
      <c r="A131" t="s">
        <v>129</v>
      </c>
      <c r="B131" s="2">
        <v>93.6875</v>
      </c>
    </row>
    <row r="132" spans="1:8" x14ac:dyDescent="0.2">
      <c r="A132" t="s">
        <v>130</v>
      </c>
      <c r="B132">
        <v>2.8</v>
      </c>
    </row>
    <row r="133" spans="1:8" x14ac:dyDescent="0.2">
      <c r="A133" t="s">
        <v>131</v>
      </c>
      <c r="B133" t="s">
        <v>84</v>
      </c>
    </row>
    <row r="134" spans="1:8" x14ac:dyDescent="0.2">
      <c r="A134" t="s">
        <v>99</v>
      </c>
      <c r="B134">
        <v>0</v>
      </c>
    </row>
    <row r="135" spans="1:8" x14ac:dyDescent="0.2">
      <c r="A135" t="s">
        <v>134</v>
      </c>
      <c r="B135" s="2">
        <v>62.125</v>
      </c>
    </row>
    <row r="136" spans="1:8" x14ac:dyDescent="0.2">
      <c r="A136" t="s">
        <v>135</v>
      </c>
      <c r="B136">
        <v>5.25</v>
      </c>
    </row>
    <row r="137" spans="1:8" x14ac:dyDescent="0.2">
      <c r="A137" t="s">
        <v>132</v>
      </c>
      <c r="B137" s="2">
        <v>162.107934058469</v>
      </c>
    </row>
    <row r="138" spans="1:8" x14ac:dyDescent="0.2">
      <c r="A138" t="s">
        <v>133</v>
      </c>
      <c r="B138" t="s">
        <v>139</v>
      </c>
    </row>
    <row r="139" spans="1:8" x14ac:dyDescent="0.2">
      <c r="A139" t="s">
        <v>540</v>
      </c>
      <c r="B139" s="6">
        <v>-0.05</v>
      </c>
    </row>
    <row r="140" spans="1:8" x14ac:dyDescent="0.2">
      <c r="A140" t="s">
        <v>82</v>
      </c>
      <c r="B140" t="s">
        <v>585</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584</v>
      </c>
      <c r="B143">
        <v>1</v>
      </c>
      <c r="C143" t="s">
        <v>37</v>
      </c>
      <c r="D143" t="s">
        <v>162</v>
      </c>
      <c r="F143" t="s">
        <v>83</v>
      </c>
      <c r="G143" t="s">
        <v>84</v>
      </c>
      <c r="H143" t="s">
        <v>584</v>
      </c>
    </row>
    <row r="144" spans="1:8" x14ac:dyDescent="0.2">
      <c r="A144" t="s">
        <v>375</v>
      </c>
      <c r="B144" s="7">
        <v>4.0000000000000003E-5</v>
      </c>
      <c r="C144" t="s">
        <v>37</v>
      </c>
      <c r="D144" t="s">
        <v>75</v>
      </c>
      <c r="F144" t="s">
        <v>88</v>
      </c>
      <c r="H144" t="s">
        <v>375</v>
      </c>
    </row>
    <row r="145" spans="1:8" x14ac:dyDescent="0.2">
      <c r="A145" t="s">
        <v>106</v>
      </c>
      <c r="B145" s="7">
        <v>9.2733187500000004E-5</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356</v>
      </c>
      <c r="B148" s="7">
        <v>3.2385830036588042E-2</v>
      </c>
      <c r="C148" t="s">
        <v>37</v>
      </c>
      <c r="D148" t="s">
        <v>76</v>
      </c>
      <c r="F148" t="s">
        <v>88</v>
      </c>
      <c r="G148" t="s">
        <v>27</v>
      </c>
      <c r="H148" t="s">
        <v>357</v>
      </c>
    </row>
    <row r="149" spans="1:8" x14ac:dyDescent="0.2">
      <c r="A149" t="s">
        <v>150</v>
      </c>
      <c r="B149" s="11">
        <v>0.10169150631488645</v>
      </c>
      <c r="D149" t="s">
        <v>76</v>
      </c>
      <c r="E149" t="s">
        <v>442</v>
      </c>
      <c r="F149" t="s">
        <v>163</v>
      </c>
      <c r="G149" t="s">
        <v>65</v>
      </c>
    </row>
    <row r="150" spans="1:8" x14ac:dyDescent="0.2">
      <c r="A150" t="s">
        <v>448</v>
      </c>
      <c r="B150" s="11">
        <v>0</v>
      </c>
      <c r="D150" t="s">
        <v>76</v>
      </c>
      <c r="E150" t="s">
        <v>442</v>
      </c>
      <c r="F150" t="s">
        <v>163</v>
      </c>
      <c r="G150" t="s">
        <v>446</v>
      </c>
    </row>
    <row r="151" spans="1:8" x14ac:dyDescent="0.2">
      <c r="A151" t="s">
        <v>210</v>
      </c>
      <c r="B151" s="7">
        <v>5.1817328058540864E-7</v>
      </c>
      <c r="D151" t="s">
        <v>76</v>
      </c>
      <c r="E151" t="s">
        <v>442</v>
      </c>
      <c r="F151" t="s">
        <v>163</v>
      </c>
      <c r="G151" t="s">
        <v>66</v>
      </c>
    </row>
    <row r="152" spans="1:8" x14ac:dyDescent="0.2">
      <c r="A152" t="s">
        <v>54</v>
      </c>
      <c r="B152" s="7">
        <v>8.3884891813930333E-5</v>
      </c>
      <c r="D152" t="s">
        <v>76</v>
      </c>
      <c r="E152" t="s">
        <v>442</v>
      </c>
      <c r="F152" t="s">
        <v>163</v>
      </c>
      <c r="G152" t="s">
        <v>54</v>
      </c>
    </row>
    <row r="153" spans="1:8" x14ac:dyDescent="0.2">
      <c r="A153" t="s">
        <v>151</v>
      </c>
      <c r="B153" s="7">
        <v>3.8035897892412742E-5</v>
      </c>
      <c r="D153" t="s">
        <v>76</v>
      </c>
      <c r="E153" t="s">
        <v>442</v>
      </c>
      <c r="F153" t="s">
        <v>163</v>
      </c>
      <c r="G153" t="s">
        <v>55</v>
      </c>
    </row>
    <row r="154" spans="1:8" x14ac:dyDescent="0.2">
      <c r="A154" t="s">
        <v>152</v>
      </c>
      <c r="B154" s="7">
        <v>4.0219096360171094E-3</v>
      </c>
      <c r="D154" t="s">
        <v>76</v>
      </c>
      <c r="E154" t="s">
        <v>442</v>
      </c>
      <c r="F154" t="s">
        <v>163</v>
      </c>
      <c r="G154" t="s">
        <v>56</v>
      </c>
    </row>
    <row r="155" spans="1:8" x14ac:dyDescent="0.2">
      <c r="A155" t="s">
        <v>211</v>
      </c>
      <c r="B155" s="7">
        <v>1.9297766561345895E-6</v>
      </c>
      <c r="D155" t="s">
        <v>76</v>
      </c>
      <c r="E155" t="s">
        <v>442</v>
      </c>
      <c r="F155" t="s">
        <v>163</v>
      </c>
      <c r="G155" t="s">
        <v>57</v>
      </c>
    </row>
    <row r="156" spans="1:8" x14ac:dyDescent="0.2">
      <c r="A156" t="s">
        <v>153</v>
      </c>
      <c r="B156" s="7">
        <v>1.9297766561345895E-6</v>
      </c>
      <c r="D156" t="s">
        <v>76</v>
      </c>
      <c r="E156" t="s">
        <v>442</v>
      </c>
      <c r="F156" t="s">
        <v>163</v>
      </c>
      <c r="G156" t="s">
        <v>58</v>
      </c>
    </row>
    <row r="157" spans="1:8" x14ac:dyDescent="0.2">
      <c r="A157" t="s">
        <v>154</v>
      </c>
      <c r="B157" s="7">
        <v>1.4471531938501332E-4</v>
      </c>
      <c r="D157" t="s">
        <v>76</v>
      </c>
      <c r="E157" t="s">
        <v>442</v>
      </c>
      <c r="F157" t="s">
        <v>163</v>
      </c>
      <c r="G157" t="s">
        <v>59</v>
      </c>
    </row>
    <row r="158" spans="1:8" x14ac:dyDescent="0.2">
      <c r="A158" t="s">
        <v>212</v>
      </c>
      <c r="B158" s="7">
        <v>1.1082707336180945E-5</v>
      </c>
      <c r="D158" t="s">
        <v>76</v>
      </c>
      <c r="E158" t="s">
        <v>442</v>
      </c>
      <c r="F158" t="s">
        <v>163</v>
      </c>
      <c r="G158" t="s">
        <v>61</v>
      </c>
    </row>
    <row r="159" spans="1:8" x14ac:dyDescent="0.2">
      <c r="A159" t="s">
        <v>207</v>
      </c>
      <c r="B159" s="7">
        <v>6.764621222214276E-4</v>
      </c>
      <c r="D159" t="s">
        <v>76</v>
      </c>
      <c r="E159" t="s">
        <v>442</v>
      </c>
      <c r="F159" t="s">
        <v>163</v>
      </c>
      <c r="G159" t="s">
        <v>360</v>
      </c>
    </row>
    <row r="160" spans="1:8" x14ac:dyDescent="0.2">
      <c r="A160" t="s">
        <v>309</v>
      </c>
      <c r="B160" s="7">
        <v>4.7699252207921172E-5</v>
      </c>
      <c r="D160" t="s">
        <v>76</v>
      </c>
      <c r="E160" t="s">
        <v>442</v>
      </c>
      <c r="F160" t="s">
        <v>163</v>
      </c>
      <c r="G160" t="s">
        <v>309</v>
      </c>
    </row>
    <row r="161" spans="1:7" x14ac:dyDescent="0.2">
      <c r="A161" t="s">
        <v>310</v>
      </c>
      <c r="B161" s="7">
        <v>9.7192833652503956E-6</v>
      </c>
      <c r="D161" t="s">
        <v>76</v>
      </c>
      <c r="E161" t="s">
        <v>442</v>
      </c>
      <c r="F161" t="s">
        <v>163</v>
      </c>
      <c r="G161" t="s">
        <v>310</v>
      </c>
    </row>
    <row r="162" spans="1:7" x14ac:dyDescent="0.2">
      <c r="A162" t="s">
        <v>311</v>
      </c>
      <c r="B162" s="7">
        <v>7.8352376667557047E-5</v>
      </c>
      <c r="D162" t="s">
        <v>76</v>
      </c>
      <c r="E162" t="s">
        <v>442</v>
      </c>
      <c r="F162" t="s">
        <v>163</v>
      </c>
      <c r="G162" t="s">
        <v>311</v>
      </c>
    </row>
    <row r="163" spans="1:7" x14ac:dyDescent="0.2">
      <c r="A163" t="s">
        <v>312</v>
      </c>
      <c r="B163" s="7">
        <v>3.2148398823520539E-5</v>
      </c>
      <c r="D163" t="s">
        <v>76</v>
      </c>
      <c r="E163" t="s">
        <v>442</v>
      </c>
      <c r="F163" t="s">
        <v>163</v>
      </c>
      <c r="G163" t="s">
        <v>312</v>
      </c>
    </row>
    <row r="164" spans="1:7" x14ac:dyDescent="0.2">
      <c r="A164" t="s">
        <v>313</v>
      </c>
      <c r="B164" s="7">
        <v>2.4073917258543288E-5</v>
      </c>
      <c r="D164" t="s">
        <v>76</v>
      </c>
      <c r="E164" t="s">
        <v>442</v>
      </c>
      <c r="F164" t="s">
        <v>163</v>
      </c>
      <c r="G164" t="s">
        <v>313</v>
      </c>
    </row>
    <row r="165" spans="1:7" x14ac:dyDescent="0.2">
      <c r="A165" t="s">
        <v>314</v>
      </c>
      <c r="B165" s="7">
        <v>1.7046127748285311E-5</v>
      </c>
      <c r="D165" t="s">
        <v>76</v>
      </c>
      <c r="E165" t="s">
        <v>442</v>
      </c>
      <c r="F165" t="s">
        <v>163</v>
      </c>
      <c r="G165" t="s">
        <v>314</v>
      </c>
    </row>
    <row r="166" spans="1:7" x14ac:dyDescent="0.2">
      <c r="A166" t="s">
        <v>315</v>
      </c>
      <c r="B166" s="7">
        <v>1.1065030292746605E-5</v>
      </c>
      <c r="D166" t="s">
        <v>76</v>
      </c>
      <c r="E166" t="s">
        <v>442</v>
      </c>
      <c r="F166" t="s">
        <v>163</v>
      </c>
      <c r="G166" t="s">
        <v>315</v>
      </c>
    </row>
    <row r="167" spans="1:7" x14ac:dyDescent="0.2">
      <c r="A167" t="s">
        <v>316</v>
      </c>
      <c r="B167" s="7">
        <v>1.0915502856358137E-4</v>
      </c>
      <c r="D167" t="s">
        <v>76</v>
      </c>
      <c r="E167" t="s">
        <v>442</v>
      </c>
      <c r="F167" t="s">
        <v>163</v>
      </c>
      <c r="G167" t="s">
        <v>316</v>
      </c>
    </row>
    <row r="168" spans="1:7" x14ac:dyDescent="0.2">
      <c r="A168" t="s">
        <v>317</v>
      </c>
      <c r="B168" s="7">
        <v>5.711948070039463E-5</v>
      </c>
      <c r="D168" t="s">
        <v>76</v>
      </c>
      <c r="E168" t="s">
        <v>442</v>
      </c>
      <c r="F168" t="s">
        <v>163</v>
      </c>
      <c r="G168" t="s">
        <v>317</v>
      </c>
    </row>
    <row r="169" spans="1:7" x14ac:dyDescent="0.2">
      <c r="A169" t="s">
        <v>318</v>
      </c>
      <c r="B169" s="7">
        <v>1.6448018002731441E-6</v>
      </c>
      <c r="D169" t="s">
        <v>76</v>
      </c>
      <c r="E169" t="s">
        <v>442</v>
      </c>
      <c r="F169" t="s">
        <v>163</v>
      </c>
      <c r="G169" t="s">
        <v>318</v>
      </c>
    </row>
    <row r="170" spans="1:7" x14ac:dyDescent="0.2">
      <c r="A170" t="s">
        <v>319</v>
      </c>
      <c r="B170" s="7">
        <v>1.6418112515453746E-4</v>
      </c>
      <c r="D170" t="s">
        <v>76</v>
      </c>
      <c r="E170" t="s">
        <v>442</v>
      </c>
      <c r="F170" t="s">
        <v>163</v>
      </c>
      <c r="G170" t="s">
        <v>319</v>
      </c>
    </row>
    <row r="171" spans="1:7" x14ac:dyDescent="0.2">
      <c r="A171" t="s">
        <v>320</v>
      </c>
      <c r="B171" s="7">
        <v>8.1193397958937932E-5</v>
      </c>
      <c r="D171" t="s">
        <v>76</v>
      </c>
      <c r="E171" t="s">
        <v>442</v>
      </c>
      <c r="F171" t="s">
        <v>163</v>
      </c>
      <c r="G171" t="s">
        <v>320</v>
      </c>
    </row>
    <row r="172" spans="1:7" x14ac:dyDescent="0.2">
      <c r="A172" t="s">
        <v>321</v>
      </c>
      <c r="B172" s="7">
        <v>3.3793200623793681E-5</v>
      </c>
      <c r="D172" t="s">
        <v>76</v>
      </c>
      <c r="E172" t="s">
        <v>442</v>
      </c>
      <c r="F172" t="s">
        <v>163</v>
      </c>
      <c r="G172" t="s">
        <v>321</v>
      </c>
    </row>
    <row r="173" spans="1:7" x14ac:dyDescent="0.2">
      <c r="A173" t="s">
        <v>322</v>
      </c>
      <c r="B173" s="7">
        <v>2.5419664186039499E-5</v>
      </c>
      <c r="D173" t="s">
        <v>76</v>
      </c>
      <c r="E173" t="s">
        <v>442</v>
      </c>
      <c r="F173" t="s">
        <v>163</v>
      </c>
      <c r="G173" t="s">
        <v>322</v>
      </c>
    </row>
    <row r="174" spans="1:7" x14ac:dyDescent="0.2">
      <c r="A174" t="s">
        <v>323</v>
      </c>
      <c r="B174" s="7">
        <v>1.1214557729135072E-5</v>
      </c>
      <c r="D174" t="s">
        <v>76</v>
      </c>
      <c r="E174" t="s">
        <v>442</v>
      </c>
      <c r="F174" t="s">
        <v>163</v>
      </c>
      <c r="G174" t="s">
        <v>323</v>
      </c>
    </row>
    <row r="175" spans="1:7" x14ac:dyDescent="0.2">
      <c r="A175" t="s">
        <v>324</v>
      </c>
      <c r="B175" s="7">
        <v>3.2896036005462881E-6</v>
      </c>
      <c r="D175" t="s">
        <v>76</v>
      </c>
      <c r="E175" t="s">
        <v>442</v>
      </c>
      <c r="F175" t="s">
        <v>163</v>
      </c>
      <c r="G175" t="s">
        <v>324</v>
      </c>
    </row>
    <row r="176" spans="1:7" x14ac:dyDescent="0.2">
      <c r="A176" t="s">
        <v>325</v>
      </c>
      <c r="B176" s="7">
        <v>9.1211736196965272E-6</v>
      </c>
      <c r="D176" t="s">
        <v>76</v>
      </c>
      <c r="E176" t="s">
        <v>442</v>
      </c>
      <c r="F176" t="s">
        <v>163</v>
      </c>
      <c r="G176" t="s">
        <v>325</v>
      </c>
    </row>
    <row r="177" spans="1:8" x14ac:dyDescent="0.2">
      <c r="A177" t="s">
        <v>328</v>
      </c>
      <c r="B177" s="7">
        <v>0</v>
      </c>
      <c r="D177" t="s">
        <v>76</v>
      </c>
      <c r="E177" t="s">
        <v>442</v>
      </c>
      <c r="F177" t="s">
        <v>163</v>
      </c>
      <c r="G177" t="s">
        <v>328</v>
      </c>
    </row>
    <row r="178" spans="1:8" x14ac:dyDescent="0.2">
      <c r="A178" t="s">
        <v>326</v>
      </c>
      <c r="B178" s="7">
        <v>2.8410212913808851E-6</v>
      </c>
      <c r="D178" t="s">
        <v>76</v>
      </c>
      <c r="E178" t="s">
        <v>442</v>
      </c>
      <c r="F178" t="s">
        <v>163</v>
      </c>
      <c r="G178" t="s">
        <v>326</v>
      </c>
    </row>
    <row r="179" spans="1:8" x14ac:dyDescent="0.2">
      <c r="A179" t="s">
        <v>327</v>
      </c>
      <c r="B179" s="7">
        <v>1.5102271075235228E-5</v>
      </c>
      <c r="D179" t="s">
        <v>76</v>
      </c>
      <c r="E179" t="s">
        <v>442</v>
      </c>
      <c r="F179" t="s">
        <v>163</v>
      </c>
      <c r="G179" t="s">
        <v>327</v>
      </c>
    </row>
    <row r="180" spans="1:8" x14ac:dyDescent="0.2">
      <c r="A180" t="s">
        <v>336</v>
      </c>
      <c r="B180" s="7">
        <v>1.1296787132386129E-9</v>
      </c>
      <c r="D180" t="s">
        <v>76</v>
      </c>
      <c r="E180" t="s">
        <v>442</v>
      </c>
      <c r="F180" t="s">
        <v>163</v>
      </c>
      <c r="G180" t="s">
        <v>329</v>
      </c>
    </row>
    <row r="181" spans="1:8" x14ac:dyDescent="0.2">
      <c r="A181" t="s">
        <v>330</v>
      </c>
      <c r="B181" s="7">
        <v>9.7386095968845943E-12</v>
      </c>
      <c r="D181" t="s">
        <v>76</v>
      </c>
      <c r="E181" t="s">
        <v>442</v>
      </c>
      <c r="F181" t="s">
        <v>163</v>
      </c>
      <c r="G181" t="s">
        <v>330</v>
      </c>
    </row>
    <row r="182" spans="1:8" x14ac:dyDescent="0.2">
      <c r="A182" t="s">
        <v>331</v>
      </c>
      <c r="B182" s="7">
        <v>6.4924063979230623E-12</v>
      </c>
      <c r="D182" t="s">
        <v>76</v>
      </c>
      <c r="E182" t="s">
        <v>442</v>
      </c>
      <c r="F182" t="s">
        <v>163</v>
      </c>
      <c r="G182" t="s">
        <v>331</v>
      </c>
    </row>
    <row r="183" spans="1:8" x14ac:dyDescent="0.2">
      <c r="A183" t="s">
        <v>332</v>
      </c>
      <c r="B183" s="7">
        <v>7.0117989097569083E-8</v>
      </c>
      <c r="D183" t="s">
        <v>76</v>
      </c>
      <c r="E183" t="s">
        <v>442</v>
      </c>
      <c r="F183" t="s">
        <v>163</v>
      </c>
      <c r="G183" t="s">
        <v>332</v>
      </c>
    </row>
    <row r="184" spans="1:8" x14ac:dyDescent="0.2">
      <c r="A184" t="s">
        <v>290</v>
      </c>
      <c r="B184" s="7">
        <v>1.363405343563843E-9</v>
      </c>
      <c r="D184" t="s">
        <v>76</v>
      </c>
      <c r="E184" t="s">
        <v>442</v>
      </c>
      <c r="F184" t="s">
        <v>163</v>
      </c>
      <c r="G184" t="s">
        <v>290</v>
      </c>
    </row>
    <row r="185" spans="1:8" x14ac:dyDescent="0.2">
      <c r="A185" t="s">
        <v>292</v>
      </c>
      <c r="B185" s="7">
        <v>4.2200641586499908E-10</v>
      </c>
      <c r="D185" t="s">
        <v>76</v>
      </c>
      <c r="E185" t="s">
        <v>442</v>
      </c>
      <c r="F185" t="s">
        <v>163</v>
      </c>
      <c r="G185" t="s">
        <v>292</v>
      </c>
    </row>
    <row r="186" spans="1:8" x14ac:dyDescent="0.2">
      <c r="A186" t="s">
        <v>291</v>
      </c>
      <c r="B186" s="7">
        <v>5.1939251183384506E-10</v>
      </c>
      <c r="D186" t="s">
        <v>76</v>
      </c>
      <c r="E186" t="s">
        <v>442</v>
      </c>
      <c r="F186" t="s">
        <v>163</v>
      </c>
      <c r="G186" t="s">
        <v>291</v>
      </c>
    </row>
    <row r="187" spans="1:8" x14ac:dyDescent="0.2">
      <c r="A187" t="s">
        <v>335</v>
      </c>
      <c r="B187" s="7">
        <v>1.0387850236676899E-12</v>
      </c>
      <c r="D187" t="s">
        <v>76</v>
      </c>
      <c r="E187" t="s">
        <v>442</v>
      </c>
      <c r="F187" t="s">
        <v>163</v>
      </c>
      <c r="G187" t="s">
        <v>335</v>
      </c>
    </row>
    <row r="188" spans="1:8" x14ac:dyDescent="0.2">
      <c r="A188" t="s">
        <v>333</v>
      </c>
      <c r="B188" s="7">
        <v>2.8241967830965323E-10</v>
      </c>
      <c r="D188" t="s">
        <v>76</v>
      </c>
      <c r="E188" t="s">
        <v>442</v>
      </c>
      <c r="F188" t="s">
        <v>163</v>
      </c>
      <c r="G188" t="s">
        <v>333</v>
      </c>
    </row>
    <row r="189" spans="1:8" x14ac:dyDescent="0.2">
      <c r="A189" t="s">
        <v>334</v>
      </c>
      <c r="B189" s="7">
        <v>3.5058994548784547E-10</v>
      </c>
      <c r="D189" t="s">
        <v>76</v>
      </c>
      <c r="E189" t="s">
        <v>442</v>
      </c>
      <c r="F189" t="s">
        <v>163</v>
      </c>
      <c r="G189" t="s">
        <v>334</v>
      </c>
    </row>
    <row r="190" spans="1:8" x14ac:dyDescent="0.2">
      <c r="A190" t="s">
        <v>155</v>
      </c>
      <c r="B190" s="7">
        <v>-6.4854046101046892E-6</v>
      </c>
      <c r="C190" t="s">
        <v>91</v>
      </c>
      <c r="D190" t="s">
        <v>76</v>
      </c>
      <c r="F190" t="s">
        <v>88</v>
      </c>
      <c r="G190" t="s">
        <v>29</v>
      </c>
      <c r="H190" t="s">
        <v>157</v>
      </c>
    </row>
    <row r="191" spans="1:8" x14ac:dyDescent="0.2">
      <c r="A191" t="s">
        <v>156</v>
      </c>
      <c r="B191" s="7">
        <v>-5.2412620052459845E-6</v>
      </c>
      <c r="C191" t="s">
        <v>91</v>
      </c>
      <c r="D191" t="s">
        <v>76</v>
      </c>
      <c r="F191" t="s">
        <v>88</v>
      </c>
      <c r="G191" t="s">
        <v>30</v>
      </c>
      <c r="H191" t="s">
        <v>158</v>
      </c>
    </row>
    <row r="192" spans="1:8" x14ac:dyDescent="0.2">
      <c r="A192" t="s">
        <v>164</v>
      </c>
      <c r="B192" s="7">
        <v>-3.6696652794461515E-6</v>
      </c>
      <c r="C192" t="s">
        <v>91</v>
      </c>
      <c r="D192" t="s">
        <v>76</v>
      </c>
      <c r="F192" t="s">
        <v>88</v>
      </c>
      <c r="G192" t="s">
        <v>31</v>
      </c>
      <c r="H192" t="s">
        <v>159</v>
      </c>
    </row>
    <row r="194" spans="1:2" ht="16" x14ac:dyDescent="0.2">
      <c r="A194" s="10" t="s">
        <v>70</v>
      </c>
      <c r="B194" s="8" t="s">
        <v>586</v>
      </c>
    </row>
    <row r="195" spans="1:2" x14ac:dyDescent="0.2">
      <c r="A195" t="s">
        <v>71</v>
      </c>
      <c r="B195" t="s">
        <v>37</v>
      </c>
    </row>
    <row r="196" spans="1:2" x14ac:dyDescent="0.2">
      <c r="A196" t="s">
        <v>85</v>
      </c>
      <c r="B196" t="s">
        <v>376</v>
      </c>
    </row>
    <row r="197" spans="1:2" x14ac:dyDescent="0.2">
      <c r="A197" t="s">
        <v>86</v>
      </c>
    </row>
    <row r="198" spans="1:2" x14ac:dyDescent="0.2">
      <c r="A198" t="s">
        <v>87</v>
      </c>
      <c r="B198">
        <v>2016</v>
      </c>
    </row>
    <row r="199" spans="1:2" x14ac:dyDescent="0.2">
      <c r="A199" t="s">
        <v>123</v>
      </c>
      <c r="B199" t="s">
        <v>379</v>
      </c>
    </row>
    <row r="200" spans="1:2" x14ac:dyDescent="0.2">
      <c r="A200" t="s">
        <v>72</v>
      </c>
      <c r="B200" t="s">
        <v>586</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v>
      </c>
    </row>
    <row r="206" spans="1:2" x14ac:dyDescent="0.2">
      <c r="A206" t="s">
        <v>126</v>
      </c>
      <c r="B206">
        <v>1</v>
      </c>
    </row>
    <row r="207" spans="1:2" x14ac:dyDescent="0.2">
      <c r="A207" t="s">
        <v>127</v>
      </c>
      <c r="B207">
        <v>0</v>
      </c>
    </row>
    <row r="208" spans="1:2" x14ac:dyDescent="0.2">
      <c r="A208" t="s">
        <v>128</v>
      </c>
      <c r="B208">
        <v>1570</v>
      </c>
    </row>
    <row r="209" spans="1:8" x14ac:dyDescent="0.2">
      <c r="A209" t="s">
        <v>129</v>
      </c>
      <c r="B209" s="2">
        <v>92.097499999999997</v>
      </c>
    </row>
    <row r="210" spans="1:8" x14ac:dyDescent="0.2">
      <c r="A210" t="s">
        <v>130</v>
      </c>
      <c r="B210">
        <v>2.8</v>
      </c>
    </row>
    <row r="211" spans="1:8" x14ac:dyDescent="0.2">
      <c r="A211" t="s">
        <v>131</v>
      </c>
      <c r="B211" t="s">
        <v>84</v>
      </c>
    </row>
    <row r="212" spans="1:8" x14ac:dyDescent="0.2">
      <c r="A212" t="s">
        <v>99</v>
      </c>
      <c r="B212">
        <v>0</v>
      </c>
    </row>
    <row r="213" spans="1:8" x14ac:dyDescent="0.2">
      <c r="A213" t="s">
        <v>134</v>
      </c>
      <c r="B213" s="2">
        <v>62.125</v>
      </c>
    </row>
    <row r="214" spans="1:8" x14ac:dyDescent="0.2">
      <c r="A214" t="s">
        <v>135</v>
      </c>
      <c r="B214">
        <v>5.25</v>
      </c>
    </row>
    <row r="215" spans="1:8" x14ac:dyDescent="0.2">
      <c r="A215" t="s">
        <v>132</v>
      </c>
      <c r="B215" s="2">
        <v>171.83441010197717</v>
      </c>
    </row>
    <row r="216" spans="1:8" x14ac:dyDescent="0.2">
      <c r="A216" t="s">
        <v>133</v>
      </c>
      <c r="B216" t="s">
        <v>138</v>
      </c>
    </row>
    <row r="217" spans="1:8" x14ac:dyDescent="0.2">
      <c r="A217" t="s">
        <v>540</v>
      </c>
      <c r="B217" s="6">
        <v>-0.02</v>
      </c>
    </row>
    <row r="218" spans="1:8" x14ac:dyDescent="0.2">
      <c r="A218" t="s">
        <v>82</v>
      </c>
      <c r="B218" t="s">
        <v>587</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586</v>
      </c>
      <c r="B221">
        <v>1</v>
      </c>
      <c r="C221" t="s">
        <v>37</v>
      </c>
      <c r="D221" t="s">
        <v>162</v>
      </c>
      <c r="F221" t="s">
        <v>83</v>
      </c>
      <c r="G221" t="s">
        <v>84</v>
      </c>
      <c r="H221" t="s">
        <v>586</v>
      </c>
    </row>
    <row r="222" spans="1:8" x14ac:dyDescent="0.2">
      <c r="A222" t="s">
        <v>376</v>
      </c>
      <c r="B222" s="7">
        <v>4.0000000000000003E-5</v>
      </c>
      <c r="C222" t="s">
        <v>37</v>
      </c>
      <c r="D222" t="s">
        <v>75</v>
      </c>
      <c r="F222" t="s">
        <v>88</v>
      </c>
      <c r="H222" t="s">
        <v>376</v>
      </c>
    </row>
    <row r="223" spans="1:8" x14ac:dyDescent="0.2">
      <c r="A223" t="s">
        <v>106</v>
      </c>
      <c r="B223" s="7">
        <v>9.18793575E-5</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356</v>
      </c>
      <c r="B226" s="7">
        <v>3.0552669845837776E-2</v>
      </c>
      <c r="C226" t="s">
        <v>37</v>
      </c>
      <c r="D226" t="s">
        <v>76</v>
      </c>
      <c r="F226" t="s">
        <v>88</v>
      </c>
      <c r="G226" t="s">
        <v>27</v>
      </c>
      <c r="H226" t="s">
        <v>357</v>
      </c>
    </row>
    <row r="227" spans="1:8" x14ac:dyDescent="0.2">
      <c r="A227" t="s">
        <v>150</v>
      </c>
      <c r="B227" s="11">
        <v>9.5935383315930614E-2</v>
      </c>
      <c r="D227" t="s">
        <v>76</v>
      </c>
      <c r="E227" t="s">
        <v>442</v>
      </c>
      <c r="F227" t="s">
        <v>163</v>
      </c>
      <c r="G227" t="s">
        <v>65</v>
      </c>
    </row>
    <row r="228" spans="1:8" x14ac:dyDescent="0.2">
      <c r="A228" t="s">
        <v>448</v>
      </c>
      <c r="B228" s="11">
        <v>0</v>
      </c>
      <c r="D228" t="s">
        <v>76</v>
      </c>
      <c r="E228" t="s">
        <v>442</v>
      </c>
      <c r="F228" t="s">
        <v>163</v>
      </c>
      <c r="G228" t="s">
        <v>446</v>
      </c>
    </row>
    <row r="229" spans="1:8" x14ac:dyDescent="0.2">
      <c r="A229" t="s">
        <v>210</v>
      </c>
      <c r="B229" s="7">
        <v>4.8884271753340442E-7</v>
      </c>
      <c r="D229" t="s">
        <v>76</v>
      </c>
      <c r="E229" t="s">
        <v>442</v>
      </c>
      <c r="F229" t="s">
        <v>163</v>
      </c>
      <c r="G229" t="s">
        <v>66</v>
      </c>
    </row>
    <row r="230" spans="1:8" x14ac:dyDescent="0.2">
      <c r="A230" t="s">
        <v>54</v>
      </c>
      <c r="B230" s="7">
        <v>7.9136690390500312E-5</v>
      </c>
      <c r="D230" t="s">
        <v>76</v>
      </c>
      <c r="E230" t="s">
        <v>442</v>
      </c>
      <c r="F230" t="s">
        <v>163</v>
      </c>
      <c r="G230" t="s">
        <v>54</v>
      </c>
    </row>
    <row r="231" spans="1:8" x14ac:dyDescent="0.2">
      <c r="A231" t="s">
        <v>151</v>
      </c>
      <c r="B231" s="7">
        <v>3.588292254001202E-5</v>
      </c>
      <c r="D231" t="s">
        <v>76</v>
      </c>
      <c r="E231" t="s">
        <v>442</v>
      </c>
      <c r="F231" t="s">
        <v>163</v>
      </c>
      <c r="G231" t="s">
        <v>55</v>
      </c>
    </row>
    <row r="232" spans="1:8" x14ac:dyDescent="0.2">
      <c r="A232" t="s">
        <v>152</v>
      </c>
      <c r="B232" s="7">
        <v>3.7942543736010467E-3</v>
      </c>
      <c r="D232" t="s">
        <v>76</v>
      </c>
      <c r="E232" t="s">
        <v>442</v>
      </c>
      <c r="F232" t="s">
        <v>163</v>
      </c>
      <c r="G232" t="s">
        <v>56</v>
      </c>
    </row>
    <row r="233" spans="1:8" x14ac:dyDescent="0.2">
      <c r="A233" t="s">
        <v>211</v>
      </c>
      <c r="B233" s="7">
        <v>1.8205440152213105E-6</v>
      </c>
      <c r="D233" t="s">
        <v>76</v>
      </c>
      <c r="E233" t="s">
        <v>442</v>
      </c>
      <c r="F233" t="s">
        <v>163</v>
      </c>
      <c r="G233" t="s">
        <v>57</v>
      </c>
    </row>
    <row r="234" spans="1:8" x14ac:dyDescent="0.2">
      <c r="A234" t="s">
        <v>153</v>
      </c>
      <c r="B234" s="7">
        <v>1.8205440152213105E-6</v>
      </c>
      <c r="D234" t="s">
        <v>76</v>
      </c>
      <c r="E234" t="s">
        <v>442</v>
      </c>
      <c r="F234" t="s">
        <v>163</v>
      </c>
      <c r="G234" t="s">
        <v>58</v>
      </c>
    </row>
    <row r="235" spans="1:8" x14ac:dyDescent="0.2">
      <c r="A235" t="s">
        <v>154</v>
      </c>
      <c r="B235" s="7">
        <v>1.3652388621227673E-4</v>
      </c>
      <c r="D235" t="s">
        <v>76</v>
      </c>
      <c r="E235" t="s">
        <v>442</v>
      </c>
      <c r="F235" t="s">
        <v>163</v>
      </c>
      <c r="G235" t="s">
        <v>59</v>
      </c>
    </row>
    <row r="236" spans="1:8" x14ac:dyDescent="0.2">
      <c r="A236" t="s">
        <v>212</v>
      </c>
      <c r="B236" s="7">
        <v>1.0455384279415984E-5</v>
      </c>
      <c r="D236" t="s">
        <v>76</v>
      </c>
      <c r="E236" t="s">
        <v>442</v>
      </c>
      <c r="F236" t="s">
        <v>163</v>
      </c>
      <c r="G236" t="s">
        <v>61</v>
      </c>
    </row>
    <row r="237" spans="1:8" x14ac:dyDescent="0.2">
      <c r="A237" t="s">
        <v>207</v>
      </c>
      <c r="B237" s="7">
        <v>6.3817181341644107E-4</v>
      </c>
      <c r="D237" t="s">
        <v>76</v>
      </c>
      <c r="E237" t="s">
        <v>442</v>
      </c>
      <c r="F237" t="s">
        <v>163</v>
      </c>
      <c r="G237" t="s">
        <v>360</v>
      </c>
    </row>
    <row r="238" spans="1:8" x14ac:dyDescent="0.2">
      <c r="A238" t="s">
        <v>309</v>
      </c>
      <c r="B238" s="7">
        <v>4.499929453577469E-5</v>
      </c>
      <c r="D238" t="s">
        <v>76</v>
      </c>
      <c r="E238" t="s">
        <v>442</v>
      </c>
      <c r="F238" t="s">
        <v>163</v>
      </c>
      <c r="G238" t="s">
        <v>309</v>
      </c>
    </row>
    <row r="239" spans="1:8" x14ac:dyDescent="0.2">
      <c r="A239" t="s">
        <v>310</v>
      </c>
      <c r="B239" s="7">
        <v>9.169135250236222E-6</v>
      </c>
      <c r="D239" t="s">
        <v>76</v>
      </c>
      <c r="E239" t="s">
        <v>442</v>
      </c>
      <c r="F239" t="s">
        <v>163</v>
      </c>
      <c r="G239" t="s">
        <v>310</v>
      </c>
    </row>
    <row r="240" spans="1:8" x14ac:dyDescent="0.2">
      <c r="A240" t="s">
        <v>311</v>
      </c>
      <c r="B240" s="7">
        <v>7.3917336478827389E-5</v>
      </c>
      <c r="D240" t="s">
        <v>76</v>
      </c>
      <c r="E240" t="s">
        <v>442</v>
      </c>
      <c r="F240" t="s">
        <v>163</v>
      </c>
      <c r="G240" t="s">
        <v>311</v>
      </c>
    </row>
    <row r="241" spans="1:7" x14ac:dyDescent="0.2">
      <c r="A241" t="s">
        <v>312</v>
      </c>
      <c r="B241" s="7">
        <v>3.0328678135396732E-5</v>
      </c>
      <c r="D241" t="s">
        <v>76</v>
      </c>
      <c r="E241" t="s">
        <v>442</v>
      </c>
      <c r="F241" t="s">
        <v>163</v>
      </c>
      <c r="G241" t="s">
        <v>312</v>
      </c>
    </row>
    <row r="242" spans="1:7" x14ac:dyDescent="0.2">
      <c r="A242" t="s">
        <v>313</v>
      </c>
      <c r="B242" s="7">
        <v>2.2711242696738953E-5</v>
      </c>
      <c r="D242" t="s">
        <v>76</v>
      </c>
      <c r="E242" t="s">
        <v>442</v>
      </c>
      <c r="F242" t="s">
        <v>163</v>
      </c>
      <c r="G242" t="s">
        <v>313</v>
      </c>
    </row>
    <row r="243" spans="1:7" x14ac:dyDescent="0.2">
      <c r="A243" t="s">
        <v>314</v>
      </c>
      <c r="B243" s="7">
        <v>1.6081252592721991E-5</v>
      </c>
      <c r="D243" t="s">
        <v>76</v>
      </c>
      <c r="E243" t="s">
        <v>442</v>
      </c>
      <c r="F243" t="s">
        <v>163</v>
      </c>
      <c r="G243" t="s">
        <v>314</v>
      </c>
    </row>
    <row r="244" spans="1:7" x14ac:dyDescent="0.2">
      <c r="A244" t="s">
        <v>315</v>
      </c>
      <c r="B244" s="7">
        <v>1.0438707823345854E-5</v>
      </c>
      <c r="D244" t="s">
        <v>76</v>
      </c>
      <c r="E244" t="s">
        <v>442</v>
      </c>
      <c r="F244" t="s">
        <v>163</v>
      </c>
      <c r="G244" t="s">
        <v>315</v>
      </c>
    </row>
    <row r="245" spans="1:7" x14ac:dyDescent="0.2">
      <c r="A245" t="s">
        <v>316</v>
      </c>
      <c r="B245" s="7">
        <v>1.029764420411145E-4</v>
      </c>
      <c r="D245" t="s">
        <v>76</v>
      </c>
      <c r="E245" t="s">
        <v>442</v>
      </c>
      <c r="F245" t="s">
        <v>163</v>
      </c>
      <c r="G245" t="s">
        <v>316</v>
      </c>
    </row>
    <row r="246" spans="1:7" x14ac:dyDescent="0.2">
      <c r="A246" t="s">
        <v>317</v>
      </c>
      <c r="B246" s="7">
        <v>5.3886302547542099E-5</v>
      </c>
      <c r="D246" t="s">
        <v>76</v>
      </c>
      <c r="E246" t="s">
        <v>442</v>
      </c>
      <c r="F246" t="s">
        <v>163</v>
      </c>
      <c r="G246" t="s">
        <v>317</v>
      </c>
    </row>
    <row r="247" spans="1:7" x14ac:dyDescent="0.2">
      <c r="A247" t="s">
        <v>318</v>
      </c>
      <c r="B247" s="7">
        <v>1.5516998115784377E-6</v>
      </c>
      <c r="D247" t="s">
        <v>76</v>
      </c>
      <c r="E247" t="s">
        <v>442</v>
      </c>
      <c r="F247" t="s">
        <v>163</v>
      </c>
      <c r="G247" t="s">
        <v>318</v>
      </c>
    </row>
    <row r="248" spans="1:7" x14ac:dyDescent="0.2">
      <c r="A248" t="s">
        <v>319</v>
      </c>
      <c r="B248" s="7">
        <v>1.5488785391937494E-4</v>
      </c>
      <c r="D248" t="s">
        <v>76</v>
      </c>
      <c r="E248" t="s">
        <v>442</v>
      </c>
      <c r="F248" t="s">
        <v>163</v>
      </c>
      <c r="G248" t="s">
        <v>319</v>
      </c>
    </row>
    <row r="249" spans="1:7" x14ac:dyDescent="0.2">
      <c r="A249" t="s">
        <v>320</v>
      </c>
      <c r="B249" s="7">
        <v>7.6597545244281066E-5</v>
      </c>
      <c r="D249" t="s">
        <v>76</v>
      </c>
      <c r="E249" t="s">
        <v>442</v>
      </c>
      <c r="F249" t="s">
        <v>163</v>
      </c>
      <c r="G249" t="s">
        <v>320</v>
      </c>
    </row>
    <row r="250" spans="1:7" x14ac:dyDescent="0.2">
      <c r="A250" t="s">
        <v>321</v>
      </c>
      <c r="B250" s="7">
        <v>3.1880377946975169E-5</v>
      </c>
      <c r="D250" t="s">
        <v>76</v>
      </c>
      <c r="E250" t="s">
        <v>442</v>
      </c>
      <c r="F250" t="s">
        <v>163</v>
      </c>
      <c r="G250" t="s">
        <v>321</v>
      </c>
    </row>
    <row r="251" spans="1:7" x14ac:dyDescent="0.2">
      <c r="A251" t="s">
        <v>322</v>
      </c>
      <c r="B251" s="7">
        <v>2.3980815269848583E-5</v>
      </c>
      <c r="D251" t="s">
        <v>76</v>
      </c>
      <c r="E251" t="s">
        <v>442</v>
      </c>
      <c r="F251" t="s">
        <v>163</v>
      </c>
      <c r="G251" t="s">
        <v>322</v>
      </c>
    </row>
    <row r="252" spans="1:7" x14ac:dyDescent="0.2">
      <c r="A252" t="s">
        <v>323</v>
      </c>
      <c r="B252" s="7">
        <v>1.0579771442580255E-5</v>
      </c>
      <c r="D252" t="s">
        <v>76</v>
      </c>
      <c r="E252" t="s">
        <v>442</v>
      </c>
      <c r="F252" t="s">
        <v>163</v>
      </c>
      <c r="G252" t="s">
        <v>323</v>
      </c>
    </row>
    <row r="253" spans="1:7" x14ac:dyDescent="0.2">
      <c r="A253" t="s">
        <v>324</v>
      </c>
      <c r="B253" s="7">
        <v>3.1033996231568754E-6</v>
      </c>
      <c r="D253" t="s">
        <v>76</v>
      </c>
      <c r="E253" t="s">
        <v>442</v>
      </c>
      <c r="F253" t="s">
        <v>163</v>
      </c>
      <c r="G253" t="s">
        <v>324</v>
      </c>
    </row>
    <row r="254" spans="1:7" x14ac:dyDescent="0.2">
      <c r="A254" t="s">
        <v>325</v>
      </c>
      <c r="B254" s="7">
        <v>8.6048807732986105E-6</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2.680208765453665E-6</v>
      </c>
      <c r="D256" t="s">
        <v>76</v>
      </c>
      <c r="E256" t="s">
        <v>442</v>
      </c>
      <c r="F256" t="s">
        <v>163</v>
      </c>
      <c r="G256" t="s">
        <v>326</v>
      </c>
    </row>
    <row r="257" spans="1:8" x14ac:dyDescent="0.2">
      <c r="A257" t="s">
        <v>327</v>
      </c>
      <c r="B257" s="7">
        <v>1.4247425542674743E-5</v>
      </c>
      <c r="D257" t="s">
        <v>76</v>
      </c>
      <c r="E257" t="s">
        <v>442</v>
      </c>
      <c r="F257" t="s">
        <v>163</v>
      </c>
      <c r="G257" t="s">
        <v>327</v>
      </c>
    </row>
    <row r="258" spans="1:8" x14ac:dyDescent="0.2">
      <c r="A258" t="s">
        <v>336</v>
      </c>
      <c r="B258" s="7">
        <v>1.0657346351307668E-9</v>
      </c>
      <c r="D258" t="s">
        <v>76</v>
      </c>
      <c r="E258" t="s">
        <v>442</v>
      </c>
      <c r="F258" t="s">
        <v>163</v>
      </c>
      <c r="G258" t="s">
        <v>329</v>
      </c>
    </row>
    <row r="259" spans="1:8" x14ac:dyDescent="0.2">
      <c r="A259" t="s">
        <v>330</v>
      </c>
      <c r="B259" s="7">
        <v>9.1873675442307481E-12</v>
      </c>
      <c r="D259" t="s">
        <v>76</v>
      </c>
      <c r="E259" t="s">
        <v>442</v>
      </c>
      <c r="F259" t="s">
        <v>163</v>
      </c>
      <c r="G259" t="s">
        <v>330</v>
      </c>
    </row>
    <row r="260" spans="1:8" x14ac:dyDescent="0.2">
      <c r="A260" t="s">
        <v>331</v>
      </c>
      <c r="B260" s="7">
        <v>6.1249116961538321E-12</v>
      </c>
      <c r="D260" t="s">
        <v>76</v>
      </c>
      <c r="E260" t="s">
        <v>442</v>
      </c>
      <c r="F260" t="s">
        <v>163</v>
      </c>
      <c r="G260" t="s">
        <v>331</v>
      </c>
    </row>
    <row r="261" spans="1:8" x14ac:dyDescent="0.2">
      <c r="A261" t="s">
        <v>332</v>
      </c>
      <c r="B261" s="7">
        <v>6.6149046318461386E-8</v>
      </c>
      <c r="D261" t="s">
        <v>76</v>
      </c>
      <c r="E261" t="s">
        <v>442</v>
      </c>
      <c r="F261" t="s">
        <v>163</v>
      </c>
      <c r="G261" t="s">
        <v>332</v>
      </c>
    </row>
    <row r="262" spans="1:8" x14ac:dyDescent="0.2">
      <c r="A262" t="s">
        <v>290</v>
      </c>
      <c r="B262" s="7">
        <v>1.2862314561923045E-9</v>
      </c>
      <c r="D262" t="s">
        <v>76</v>
      </c>
      <c r="E262" t="s">
        <v>442</v>
      </c>
      <c r="F262" t="s">
        <v>163</v>
      </c>
      <c r="G262" t="s">
        <v>290</v>
      </c>
    </row>
    <row r="263" spans="1:8" x14ac:dyDescent="0.2">
      <c r="A263" t="s">
        <v>292</v>
      </c>
      <c r="B263" s="7">
        <v>3.9811926024999908E-10</v>
      </c>
      <c r="D263" t="s">
        <v>76</v>
      </c>
      <c r="E263" t="s">
        <v>442</v>
      </c>
      <c r="F263" t="s">
        <v>163</v>
      </c>
      <c r="G263" t="s">
        <v>292</v>
      </c>
    </row>
    <row r="264" spans="1:8" x14ac:dyDescent="0.2">
      <c r="A264" t="s">
        <v>291</v>
      </c>
      <c r="B264" s="7">
        <v>4.8999293569230657E-10</v>
      </c>
      <c r="D264" t="s">
        <v>76</v>
      </c>
      <c r="E264" t="s">
        <v>442</v>
      </c>
      <c r="F264" t="s">
        <v>163</v>
      </c>
      <c r="G264" t="s">
        <v>291</v>
      </c>
    </row>
    <row r="265" spans="1:8" x14ac:dyDescent="0.2">
      <c r="A265" t="s">
        <v>335</v>
      </c>
      <c r="B265" s="7">
        <v>9.7998587138461305E-13</v>
      </c>
      <c r="D265" t="s">
        <v>76</v>
      </c>
      <c r="E265" t="s">
        <v>442</v>
      </c>
      <c r="F265" t="s">
        <v>163</v>
      </c>
      <c r="G265" t="s">
        <v>335</v>
      </c>
    </row>
    <row r="266" spans="1:8" x14ac:dyDescent="0.2">
      <c r="A266" t="s">
        <v>333</v>
      </c>
      <c r="B266" s="7">
        <v>2.6643365878269169E-10</v>
      </c>
      <c r="D266" t="s">
        <v>76</v>
      </c>
      <c r="E266" t="s">
        <v>442</v>
      </c>
      <c r="F266" t="s">
        <v>163</v>
      </c>
      <c r="G266" t="s">
        <v>333</v>
      </c>
    </row>
    <row r="267" spans="1:8" x14ac:dyDescent="0.2">
      <c r="A267" t="s">
        <v>334</v>
      </c>
      <c r="B267" s="7">
        <v>3.3074523159230703E-10</v>
      </c>
      <c r="D267" t="s">
        <v>76</v>
      </c>
      <c r="E267" t="s">
        <v>442</v>
      </c>
      <c r="F267" t="s">
        <v>163</v>
      </c>
      <c r="G267" t="s">
        <v>334</v>
      </c>
    </row>
    <row r="268" spans="1:8" x14ac:dyDescent="0.2">
      <c r="A268" t="s">
        <v>155</v>
      </c>
      <c r="B268" s="7">
        <v>-6.43813816279788E-6</v>
      </c>
      <c r="C268" t="s">
        <v>91</v>
      </c>
      <c r="D268" t="s">
        <v>76</v>
      </c>
      <c r="F268" t="s">
        <v>88</v>
      </c>
      <c r="G268" t="s">
        <v>29</v>
      </c>
      <c r="H268" t="s">
        <v>157</v>
      </c>
    </row>
    <row r="269" spans="1:8" x14ac:dyDescent="0.2">
      <c r="A269" t="s">
        <v>156</v>
      </c>
      <c r="B269" s="7">
        <v>-5.2139692048332967E-6</v>
      </c>
      <c r="C269" t="s">
        <v>91</v>
      </c>
      <c r="D269" t="s">
        <v>76</v>
      </c>
      <c r="F269" t="s">
        <v>88</v>
      </c>
      <c r="G269" t="s">
        <v>30</v>
      </c>
      <c r="H269" t="s">
        <v>158</v>
      </c>
    </row>
    <row r="270" spans="1:8" x14ac:dyDescent="0.2">
      <c r="A270" t="s">
        <v>164</v>
      </c>
      <c r="B270" s="7">
        <v>-3.6472541097287021E-6</v>
      </c>
      <c r="C270" t="s">
        <v>91</v>
      </c>
      <c r="D270" t="s">
        <v>76</v>
      </c>
      <c r="F270" t="s">
        <v>88</v>
      </c>
      <c r="G270" t="s">
        <v>31</v>
      </c>
      <c r="H270" t="s">
        <v>159</v>
      </c>
    </row>
    <row r="272" spans="1:8" ht="16" x14ac:dyDescent="0.2">
      <c r="A272" s="10" t="s">
        <v>70</v>
      </c>
      <c r="B272" s="8" t="s">
        <v>588</v>
      </c>
    </row>
    <row r="273" spans="1:2" x14ac:dyDescent="0.2">
      <c r="A273" t="s">
        <v>71</v>
      </c>
      <c r="B273" t="s">
        <v>37</v>
      </c>
    </row>
    <row r="274" spans="1:2" x14ac:dyDescent="0.2">
      <c r="A274" t="s">
        <v>85</v>
      </c>
      <c r="B274" t="s">
        <v>377</v>
      </c>
    </row>
    <row r="275" spans="1:2" x14ac:dyDescent="0.2">
      <c r="A275" t="s">
        <v>86</v>
      </c>
    </row>
    <row r="276" spans="1:2" x14ac:dyDescent="0.2">
      <c r="A276" t="s">
        <v>87</v>
      </c>
      <c r="B276">
        <v>2020</v>
      </c>
    </row>
    <row r="277" spans="1:2" x14ac:dyDescent="0.2">
      <c r="A277" t="s">
        <v>123</v>
      </c>
      <c r="B277" t="s">
        <v>380</v>
      </c>
    </row>
    <row r="278" spans="1:2" x14ac:dyDescent="0.2">
      <c r="A278" t="s">
        <v>72</v>
      </c>
      <c r="B278" t="s">
        <v>588</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v>
      </c>
    </row>
    <row r="284" spans="1:2" x14ac:dyDescent="0.2">
      <c r="A284" t="s">
        <v>126</v>
      </c>
      <c r="B284">
        <v>1</v>
      </c>
    </row>
    <row r="285" spans="1:2" x14ac:dyDescent="0.2">
      <c r="A285" t="s">
        <v>127</v>
      </c>
      <c r="B285">
        <v>0</v>
      </c>
    </row>
    <row r="286" spans="1:2" x14ac:dyDescent="0.2">
      <c r="A286" t="s">
        <v>128</v>
      </c>
      <c r="B286">
        <v>1570</v>
      </c>
    </row>
    <row r="287" spans="1:2" x14ac:dyDescent="0.2">
      <c r="A287" t="s">
        <v>129</v>
      </c>
      <c r="B287" s="2">
        <v>91.037499999999994</v>
      </c>
    </row>
    <row r="288" spans="1:2" x14ac:dyDescent="0.2">
      <c r="A288" t="s">
        <v>130</v>
      </c>
      <c r="B288">
        <v>2.8</v>
      </c>
    </row>
    <row r="289" spans="1:8" x14ac:dyDescent="0.2">
      <c r="A289" t="s">
        <v>131</v>
      </c>
      <c r="B289" t="s">
        <v>84</v>
      </c>
    </row>
    <row r="290" spans="1:8" x14ac:dyDescent="0.2">
      <c r="A290" t="s">
        <v>99</v>
      </c>
      <c r="B290">
        <v>0</v>
      </c>
    </row>
    <row r="291" spans="1:8" x14ac:dyDescent="0.2">
      <c r="A291" t="s">
        <v>134</v>
      </c>
      <c r="B291" s="2">
        <v>62.125</v>
      </c>
    </row>
    <row r="292" spans="1:8" x14ac:dyDescent="0.2">
      <c r="A292" t="s">
        <v>135</v>
      </c>
      <c r="B292">
        <v>5.25</v>
      </c>
    </row>
    <row r="293" spans="1:8" x14ac:dyDescent="0.2">
      <c r="A293" t="s">
        <v>132</v>
      </c>
      <c r="B293" s="2">
        <v>173.57011121411836</v>
      </c>
    </row>
    <row r="294" spans="1:8" x14ac:dyDescent="0.2">
      <c r="A294" t="s">
        <v>133</v>
      </c>
      <c r="B294" t="s">
        <v>139</v>
      </c>
    </row>
    <row r="295" spans="1:8" x14ac:dyDescent="0.2">
      <c r="A295" t="s">
        <v>540</v>
      </c>
      <c r="B295" s="6">
        <v>0</v>
      </c>
    </row>
    <row r="296" spans="1:8" x14ac:dyDescent="0.2">
      <c r="A296" t="s">
        <v>82</v>
      </c>
      <c r="B296" t="s">
        <v>589</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588</v>
      </c>
      <c r="B299">
        <v>1</v>
      </c>
      <c r="C299" t="s">
        <v>37</v>
      </c>
      <c r="D299" t="s">
        <v>162</v>
      </c>
      <c r="F299" t="s">
        <v>83</v>
      </c>
      <c r="G299" t="s">
        <v>84</v>
      </c>
      <c r="H299" t="s">
        <v>588</v>
      </c>
    </row>
    <row r="300" spans="1:8" x14ac:dyDescent="0.2">
      <c r="A300" t="s">
        <v>377</v>
      </c>
      <c r="B300" s="7">
        <v>4.0000000000000003E-5</v>
      </c>
      <c r="C300" t="s">
        <v>37</v>
      </c>
      <c r="D300" t="s">
        <v>75</v>
      </c>
      <c r="F300" t="s">
        <v>88</v>
      </c>
      <c r="H300" t="s">
        <v>377</v>
      </c>
    </row>
    <row r="301" spans="1:8" x14ac:dyDescent="0.2">
      <c r="A301" t="s">
        <v>106</v>
      </c>
      <c r="B301" s="7">
        <v>9.1310137499999998E-5</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356</v>
      </c>
      <c r="B304" s="7">
        <v>3.0247143147379398E-2</v>
      </c>
      <c r="C304" t="s">
        <v>37</v>
      </c>
      <c r="D304" t="s">
        <v>76</v>
      </c>
      <c r="F304" t="s">
        <v>88</v>
      </c>
      <c r="G304" t="s">
        <v>27</v>
      </c>
      <c r="H304" t="s">
        <v>357</v>
      </c>
    </row>
    <row r="305" spans="1:7" x14ac:dyDescent="0.2">
      <c r="A305" t="s">
        <v>150</v>
      </c>
      <c r="B305" s="11">
        <v>9.4976029482771313E-2</v>
      </c>
      <c r="D305" t="s">
        <v>76</v>
      </c>
      <c r="E305" t="s">
        <v>442</v>
      </c>
      <c r="F305" t="s">
        <v>163</v>
      </c>
      <c r="G305" t="s">
        <v>65</v>
      </c>
    </row>
    <row r="306" spans="1:7" x14ac:dyDescent="0.2">
      <c r="A306" t="s">
        <v>448</v>
      </c>
      <c r="B306" s="11">
        <v>0</v>
      </c>
      <c r="D306" t="s">
        <v>76</v>
      </c>
      <c r="E306" t="s">
        <v>442</v>
      </c>
      <c r="F306" t="s">
        <v>163</v>
      </c>
      <c r="G306" t="s">
        <v>446</v>
      </c>
    </row>
    <row r="307" spans="1:7" x14ac:dyDescent="0.2">
      <c r="A307" t="s">
        <v>210</v>
      </c>
      <c r="B307" s="7">
        <v>4.839542903580703E-7</v>
      </c>
      <c r="D307" t="s">
        <v>76</v>
      </c>
      <c r="E307" t="s">
        <v>442</v>
      </c>
      <c r="F307" t="s">
        <v>163</v>
      </c>
      <c r="G307" t="s">
        <v>66</v>
      </c>
    </row>
    <row r="308" spans="1:7" x14ac:dyDescent="0.2">
      <c r="A308" t="s">
        <v>54</v>
      </c>
      <c r="B308" s="7">
        <v>7.8345323486595295E-5</v>
      </c>
      <c r="D308" t="s">
        <v>76</v>
      </c>
      <c r="E308" t="s">
        <v>442</v>
      </c>
      <c r="F308" t="s">
        <v>163</v>
      </c>
      <c r="G308" t="s">
        <v>54</v>
      </c>
    </row>
    <row r="309" spans="1:7" x14ac:dyDescent="0.2">
      <c r="A309" t="s">
        <v>151</v>
      </c>
      <c r="B309" s="7">
        <v>3.5524093314611898E-5</v>
      </c>
      <c r="D309" t="s">
        <v>76</v>
      </c>
      <c r="E309" t="s">
        <v>442</v>
      </c>
      <c r="F309" t="s">
        <v>163</v>
      </c>
      <c r="G309" t="s">
        <v>55</v>
      </c>
    </row>
    <row r="310" spans="1:7" x14ac:dyDescent="0.2">
      <c r="A310" t="s">
        <v>152</v>
      </c>
      <c r="B310" s="7">
        <v>3.7563118298650361E-3</v>
      </c>
      <c r="D310" t="s">
        <v>76</v>
      </c>
      <c r="E310" t="s">
        <v>442</v>
      </c>
      <c r="F310" t="s">
        <v>163</v>
      </c>
      <c r="G310" t="s">
        <v>56</v>
      </c>
    </row>
    <row r="311" spans="1:7" x14ac:dyDescent="0.2">
      <c r="A311" t="s">
        <v>211</v>
      </c>
      <c r="B311" s="7">
        <v>1.8023385750690973E-6</v>
      </c>
      <c r="D311" t="s">
        <v>76</v>
      </c>
      <c r="E311" t="s">
        <v>442</v>
      </c>
      <c r="F311" t="s">
        <v>163</v>
      </c>
      <c r="G311" t="s">
        <v>57</v>
      </c>
    </row>
    <row r="312" spans="1:7" x14ac:dyDescent="0.2">
      <c r="A312" t="s">
        <v>153</v>
      </c>
      <c r="B312" s="7">
        <v>1.8023385750690973E-6</v>
      </c>
      <c r="D312" t="s">
        <v>76</v>
      </c>
      <c r="E312" t="s">
        <v>442</v>
      </c>
      <c r="F312" t="s">
        <v>163</v>
      </c>
      <c r="G312" t="s">
        <v>58</v>
      </c>
    </row>
    <row r="313" spans="1:7" x14ac:dyDescent="0.2">
      <c r="A313" t="s">
        <v>154</v>
      </c>
      <c r="B313" s="7">
        <v>1.3515864735015395E-4</v>
      </c>
      <c r="D313" t="s">
        <v>76</v>
      </c>
      <c r="E313" t="s">
        <v>442</v>
      </c>
      <c r="F313" t="s">
        <v>163</v>
      </c>
      <c r="G313" t="s">
        <v>59</v>
      </c>
    </row>
    <row r="314" spans="1:7" x14ac:dyDescent="0.2">
      <c r="A314" t="s">
        <v>212</v>
      </c>
      <c r="B314" s="7">
        <v>1.0350830436621825E-5</v>
      </c>
      <c r="D314" t="s">
        <v>76</v>
      </c>
      <c r="E314" t="s">
        <v>442</v>
      </c>
      <c r="F314" t="s">
        <v>163</v>
      </c>
      <c r="G314" t="s">
        <v>61</v>
      </c>
    </row>
    <row r="315" spans="1:7" x14ac:dyDescent="0.2">
      <c r="A315" t="s">
        <v>207</v>
      </c>
      <c r="B315" s="7">
        <v>6.3179009528227666E-4</v>
      </c>
      <c r="D315" t="s">
        <v>76</v>
      </c>
      <c r="E315" t="s">
        <v>442</v>
      </c>
      <c r="F315" t="s">
        <v>163</v>
      </c>
      <c r="G315" t="s">
        <v>360</v>
      </c>
    </row>
    <row r="316" spans="1:7" x14ac:dyDescent="0.2">
      <c r="A316" t="s">
        <v>309</v>
      </c>
      <c r="B316" s="7">
        <v>4.4549301590416936E-5</v>
      </c>
      <c r="D316" t="s">
        <v>76</v>
      </c>
      <c r="E316" t="s">
        <v>442</v>
      </c>
      <c r="F316" t="s">
        <v>163</v>
      </c>
      <c r="G316" t="s">
        <v>309</v>
      </c>
    </row>
    <row r="317" spans="1:7" x14ac:dyDescent="0.2">
      <c r="A317" t="s">
        <v>310</v>
      </c>
      <c r="B317" s="7">
        <v>9.0774438977338592E-6</v>
      </c>
      <c r="D317" t="s">
        <v>76</v>
      </c>
      <c r="E317" t="s">
        <v>442</v>
      </c>
      <c r="F317" t="s">
        <v>163</v>
      </c>
      <c r="G317" t="s">
        <v>310</v>
      </c>
    </row>
    <row r="318" spans="1:7" x14ac:dyDescent="0.2">
      <c r="A318" t="s">
        <v>311</v>
      </c>
      <c r="B318" s="7">
        <v>7.3178163114039118E-5</v>
      </c>
      <c r="D318" t="s">
        <v>76</v>
      </c>
      <c r="E318" t="s">
        <v>442</v>
      </c>
      <c r="F318" t="s">
        <v>163</v>
      </c>
      <c r="G318" t="s">
        <v>311</v>
      </c>
    </row>
    <row r="319" spans="1:7" x14ac:dyDescent="0.2">
      <c r="A319" t="s">
        <v>312</v>
      </c>
      <c r="B319" s="7">
        <v>3.0025391354042764E-5</v>
      </c>
      <c r="D319" t="s">
        <v>76</v>
      </c>
      <c r="E319" t="s">
        <v>442</v>
      </c>
      <c r="F319" t="s">
        <v>163</v>
      </c>
      <c r="G319" t="s">
        <v>312</v>
      </c>
    </row>
    <row r="320" spans="1:7" x14ac:dyDescent="0.2">
      <c r="A320" t="s">
        <v>313</v>
      </c>
      <c r="B320" s="7">
        <v>2.248413026977156E-5</v>
      </c>
      <c r="D320" t="s">
        <v>76</v>
      </c>
      <c r="E320" t="s">
        <v>442</v>
      </c>
      <c r="F320" t="s">
        <v>163</v>
      </c>
      <c r="G320" t="s">
        <v>313</v>
      </c>
    </row>
    <row r="321" spans="1:7" x14ac:dyDescent="0.2">
      <c r="A321" t="s">
        <v>314</v>
      </c>
      <c r="B321" s="7">
        <v>1.5920440066794769E-5</v>
      </c>
      <c r="D321" t="s">
        <v>76</v>
      </c>
      <c r="E321" t="s">
        <v>442</v>
      </c>
      <c r="F321" t="s">
        <v>163</v>
      </c>
      <c r="G321" t="s">
        <v>314</v>
      </c>
    </row>
    <row r="322" spans="1:7" x14ac:dyDescent="0.2">
      <c r="A322" t="s">
        <v>315</v>
      </c>
      <c r="B322" s="7">
        <v>1.0334320745112393E-5</v>
      </c>
      <c r="D322" t="s">
        <v>76</v>
      </c>
      <c r="E322" t="s">
        <v>442</v>
      </c>
      <c r="F322" t="s">
        <v>163</v>
      </c>
      <c r="G322" t="s">
        <v>315</v>
      </c>
    </row>
    <row r="323" spans="1:7" x14ac:dyDescent="0.2">
      <c r="A323" t="s">
        <v>316</v>
      </c>
      <c r="B323" s="7">
        <v>1.0194667762070334E-4</v>
      </c>
      <c r="D323" t="s">
        <v>76</v>
      </c>
      <c r="E323" t="s">
        <v>442</v>
      </c>
      <c r="F323" t="s">
        <v>163</v>
      </c>
      <c r="G323" t="s">
        <v>316</v>
      </c>
    </row>
    <row r="324" spans="1:7" x14ac:dyDescent="0.2">
      <c r="A324" t="s">
        <v>317</v>
      </c>
      <c r="B324" s="7">
        <v>5.3347439522066674E-5</v>
      </c>
      <c r="D324" t="s">
        <v>76</v>
      </c>
      <c r="E324" t="s">
        <v>442</v>
      </c>
      <c r="F324" t="s">
        <v>163</v>
      </c>
      <c r="G324" t="s">
        <v>317</v>
      </c>
    </row>
    <row r="325" spans="1:7" x14ac:dyDescent="0.2">
      <c r="A325" t="s">
        <v>318</v>
      </c>
      <c r="B325" s="7">
        <v>1.5361828134626532E-6</v>
      </c>
      <c r="D325" t="s">
        <v>76</v>
      </c>
      <c r="E325" t="s">
        <v>442</v>
      </c>
      <c r="F325" t="s">
        <v>163</v>
      </c>
      <c r="G325" t="s">
        <v>318</v>
      </c>
    </row>
    <row r="326" spans="1:7" x14ac:dyDescent="0.2">
      <c r="A326" t="s">
        <v>319</v>
      </c>
      <c r="B326" s="7">
        <v>1.5333897538018121E-4</v>
      </c>
      <c r="D326" t="s">
        <v>76</v>
      </c>
      <c r="E326" t="s">
        <v>442</v>
      </c>
      <c r="F326" t="s">
        <v>163</v>
      </c>
      <c r="G326" t="s">
        <v>319</v>
      </c>
    </row>
    <row r="327" spans="1:7" x14ac:dyDescent="0.2">
      <c r="A327" t="s">
        <v>320</v>
      </c>
      <c r="B327" s="7">
        <v>7.583156979183825E-5</v>
      </c>
      <c r="D327" t="s">
        <v>76</v>
      </c>
      <c r="E327" t="s">
        <v>442</v>
      </c>
      <c r="F327" t="s">
        <v>163</v>
      </c>
      <c r="G327" t="s">
        <v>320</v>
      </c>
    </row>
    <row r="328" spans="1:7" x14ac:dyDescent="0.2">
      <c r="A328" t="s">
        <v>321</v>
      </c>
      <c r="B328" s="7">
        <v>3.1561574167505416E-5</v>
      </c>
      <c r="D328" t="s">
        <v>76</v>
      </c>
      <c r="E328" t="s">
        <v>442</v>
      </c>
      <c r="F328" t="s">
        <v>163</v>
      </c>
      <c r="G328" t="s">
        <v>321</v>
      </c>
    </row>
    <row r="329" spans="1:7" x14ac:dyDescent="0.2">
      <c r="A329" t="s">
        <v>322</v>
      </c>
      <c r="B329" s="7">
        <v>2.3741007117150096E-5</v>
      </c>
      <c r="D329" t="s">
        <v>76</v>
      </c>
      <c r="E329" t="s">
        <v>442</v>
      </c>
      <c r="F329" t="s">
        <v>163</v>
      </c>
      <c r="G329" t="s">
        <v>322</v>
      </c>
    </row>
    <row r="330" spans="1:7" x14ac:dyDescent="0.2">
      <c r="A330" t="s">
        <v>323</v>
      </c>
      <c r="B330" s="7">
        <v>1.0473973728154453E-5</v>
      </c>
      <c r="D330" t="s">
        <v>76</v>
      </c>
      <c r="E330" t="s">
        <v>442</v>
      </c>
      <c r="F330" t="s">
        <v>163</v>
      </c>
      <c r="G330" t="s">
        <v>323</v>
      </c>
    </row>
    <row r="331" spans="1:7" x14ac:dyDescent="0.2">
      <c r="A331" t="s">
        <v>324</v>
      </c>
      <c r="B331" s="7">
        <v>3.0723656269253065E-6</v>
      </c>
      <c r="D331" t="s">
        <v>76</v>
      </c>
      <c r="E331" t="s">
        <v>442</v>
      </c>
      <c r="F331" t="s">
        <v>163</v>
      </c>
      <c r="G331" t="s">
        <v>324</v>
      </c>
    </row>
    <row r="332" spans="1:7" x14ac:dyDescent="0.2">
      <c r="A332" t="s">
        <v>325</v>
      </c>
      <c r="B332" s="7">
        <v>8.5188319655656235E-6</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2.653406677799128E-6</v>
      </c>
      <c r="D334" t="s">
        <v>76</v>
      </c>
      <c r="E334" t="s">
        <v>442</v>
      </c>
      <c r="F334" t="s">
        <v>163</v>
      </c>
      <c r="G334" t="s">
        <v>326</v>
      </c>
    </row>
    <row r="335" spans="1:7" x14ac:dyDescent="0.2">
      <c r="A335" t="s">
        <v>327</v>
      </c>
      <c r="B335" s="7">
        <v>1.4104951287247996E-5</v>
      </c>
      <c r="D335" t="s">
        <v>76</v>
      </c>
      <c r="E335" t="s">
        <v>442</v>
      </c>
      <c r="F335" t="s">
        <v>163</v>
      </c>
      <c r="G335" t="s">
        <v>327</v>
      </c>
    </row>
    <row r="336" spans="1:7" x14ac:dyDescent="0.2">
      <c r="A336" t="s">
        <v>336</v>
      </c>
      <c r="B336" s="7">
        <v>1.0550772887794592E-9</v>
      </c>
      <c r="D336" t="s">
        <v>76</v>
      </c>
      <c r="E336" t="s">
        <v>442</v>
      </c>
      <c r="F336" t="s">
        <v>163</v>
      </c>
      <c r="G336" t="s">
        <v>329</v>
      </c>
    </row>
    <row r="337" spans="1:8" x14ac:dyDescent="0.2">
      <c r="A337" t="s">
        <v>330</v>
      </c>
      <c r="B337" s="7">
        <v>9.0954938687884409E-12</v>
      </c>
      <c r="D337" t="s">
        <v>76</v>
      </c>
      <c r="E337" t="s">
        <v>442</v>
      </c>
      <c r="F337" t="s">
        <v>163</v>
      </c>
      <c r="G337" t="s">
        <v>330</v>
      </c>
    </row>
    <row r="338" spans="1:8" x14ac:dyDescent="0.2">
      <c r="A338" t="s">
        <v>331</v>
      </c>
      <c r="B338" s="7">
        <v>6.0636625791922934E-12</v>
      </c>
      <c r="D338" t="s">
        <v>76</v>
      </c>
      <c r="E338" t="s">
        <v>442</v>
      </c>
      <c r="F338" t="s">
        <v>163</v>
      </c>
      <c r="G338" t="s">
        <v>331</v>
      </c>
    </row>
    <row r="339" spans="1:8" x14ac:dyDescent="0.2">
      <c r="A339" t="s">
        <v>332</v>
      </c>
      <c r="B339" s="7">
        <v>6.5487555855276772E-8</v>
      </c>
      <c r="D339" t="s">
        <v>76</v>
      </c>
      <c r="E339" t="s">
        <v>442</v>
      </c>
      <c r="F339" t="s">
        <v>163</v>
      </c>
      <c r="G339" t="s">
        <v>332</v>
      </c>
    </row>
    <row r="340" spans="1:8" x14ac:dyDescent="0.2">
      <c r="A340" t="s">
        <v>290</v>
      </c>
      <c r="B340" s="7">
        <v>1.2733691416303815E-9</v>
      </c>
      <c r="D340" t="s">
        <v>76</v>
      </c>
      <c r="E340" t="s">
        <v>442</v>
      </c>
      <c r="F340" t="s">
        <v>163</v>
      </c>
      <c r="G340" t="s">
        <v>290</v>
      </c>
    </row>
    <row r="341" spans="1:8" x14ac:dyDescent="0.2">
      <c r="A341" t="s">
        <v>292</v>
      </c>
      <c r="B341" s="7">
        <v>3.9413806764749909E-10</v>
      </c>
      <c r="D341" t="s">
        <v>76</v>
      </c>
      <c r="E341" t="s">
        <v>442</v>
      </c>
      <c r="F341" t="s">
        <v>163</v>
      </c>
      <c r="G341" t="s">
        <v>292</v>
      </c>
    </row>
    <row r="342" spans="1:8" x14ac:dyDescent="0.2">
      <c r="A342" t="s">
        <v>291</v>
      </c>
      <c r="B342" s="7">
        <v>4.850930063353835E-10</v>
      </c>
      <c r="D342" t="s">
        <v>76</v>
      </c>
      <c r="E342" t="s">
        <v>442</v>
      </c>
      <c r="F342" t="s">
        <v>163</v>
      </c>
      <c r="G342" t="s">
        <v>291</v>
      </c>
    </row>
    <row r="343" spans="1:8" x14ac:dyDescent="0.2">
      <c r="A343" t="s">
        <v>335</v>
      </c>
      <c r="B343" s="7">
        <v>9.701860126707668E-13</v>
      </c>
      <c r="D343" t="s">
        <v>76</v>
      </c>
      <c r="E343" t="s">
        <v>442</v>
      </c>
      <c r="F343" t="s">
        <v>163</v>
      </c>
      <c r="G343" t="s">
        <v>335</v>
      </c>
    </row>
    <row r="344" spans="1:8" x14ac:dyDescent="0.2">
      <c r="A344" t="s">
        <v>333</v>
      </c>
      <c r="B344" s="7">
        <v>2.637693221948648E-10</v>
      </c>
      <c r="D344" t="s">
        <v>76</v>
      </c>
      <c r="E344" t="s">
        <v>442</v>
      </c>
      <c r="F344" t="s">
        <v>163</v>
      </c>
      <c r="G344" t="s">
        <v>333</v>
      </c>
    </row>
    <row r="345" spans="1:8" x14ac:dyDescent="0.2">
      <c r="A345" t="s">
        <v>334</v>
      </c>
      <c r="B345" s="7">
        <v>3.2743777927638394E-10</v>
      </c>
      <c r="D345" t="s">
        <v>76</v>
      </c>
      <c r="E345" t="s">
        <v>442</v>
      </c>
      <c r="F345" t="s">
        <v>163</v>
      </c>
      <c r="G345" t="s">
        <v>334</v>
      </c>
    </row>
    <row r="346" spans="1:8" x14ac:dyDescent="0.2">
      <c r="A346" t="s">
        <v>155</v>
      </c>
      <c r="B346" s="7">
        <v>-6.4065806791504937E-6</v>
      </c>
      <c r="C346" t="s">
        <v>91</v>
      </c>
      <c r="D346" t="s">
        <v>76</v>
      </c>
      <c r="F346" t="s">
        <v>88</v>
      </c>
      <c r="G346" t="s">
        <v>29</v>
      </c>
      <c r="H346" t="s">
        <v>157</v>
      </c>
    </row>
    <row r="347" spans="1:8" x14ac:dyDescent="0.2">
      <c r="A347" t="s">
        <v>156</v>
      </c>
      <c r="B347" s="7">
        <v>-5.1956600387737995E-6</v>
      </c>
      <c r="C347" t="s">
        <v>91</v>
      </c>
      <c r="D347" t="s">
        <v>76</v>
      </c>
      <c r="F347" t="s">
        <v>88</v>
      </c>
      <c r="G347" t="s">
        <v>30</v>
      </c>
      <c r="H347" t="s">
        <v>158</v>
      </c>
    </row>
    <row r="348" spans="1:8" x14ac:dyDescent="0.2">
      <c r="A348" t="s">
        <v>164</v>
      </c>
      <c r="B348" s="7">
        <v>-3.632248632002054E-6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337</v>
      </c>
    </row>
    <row r="2" spans="1:2" x14ac:dyDescent="0.2">
      <c r="A2" t="s">
        <v>71</v>
      </c>
      <c r="B2" t="s">
        <v>37</v>
      </c>
    </row>
    <row r="3" spans="1:2" x14ac:dyDescent="0.2">
      <c r="A3" t="s">
        <v>85</v>
      </c>
      <c r="B3" t="s">
        <v>337</v>
      </c>
    </row>
    <row r="4" spans="1:2" x14ac:dyDescent="0.2">
      <c r="A4" t="s">
        <v>86</v>
      </c>
    </row>
    <row r="5" spans="1:2" x14ac:dyDescent="0.2">
      <c r="A5" t="s">
        <v>87</v>
      </c>
      <c r="B5">
        <v>2006</v>
      </c>
    </row>
    <row r="6" spans="1:2" x14ac:dyDescent="0.2">
      <c r="A6" t="s">
        <v>123</v>
      </c>
      <c r="B6" t="s">
        <v>340</v>
      </c>
    </row>
    <row r="7" spans="1:2" x14ac:dyDescent="0.2">
      <c r="A7" t="s">
        <v>72</v>
      </c>
      <c r="B7" t="s">
        <v>337</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1.2</v>
      </c>
    </row>
    <row r="14" spans="1:2" x14ac:dyDescent="0.2">
      <c r="A14" t="s">
        <v>127</v>
      </c>
      <c r="B14">
        <v>0</v>
      </c>
    </row>
    <row r="15" spans="1:2" x14ac:dyDescent="0.2">
      <c r="A15" t="s">
        <v>128</v>
      </c>
      <c r="B15">
        <v>1870</v>
      </c>
    </row>
    <row r="16" spans="1:2" x14ac:dyDescent="0.2">
      <c r="A16" t="s">
        <v>129</v>
      </c>
      <c r="B16" s="2">
        <v>133.26249999999999</v>
      </c>
    </row>
    <row r="17" spans="1:8" x14ac:dyDescent="0.2">
      <c r="A17" t="s">
        <v>130</v>
      </c>
      <c r="B17">
        <v>8.8000000000000007</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271.7451869178301</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337</v>
      </c>
      <c r="B31">
        <v>1</v>
      </c>
      <c r="C31" t="s">
        <v>37</v>
      </c>
      <c r="D31" t="s">
        <v>75</v>
      </c>
      <c r="F31" t="s">
        <v>83</v>
      </c>
      <c r="G31" t="s">
        <v>84</v>
      </c>
      <c r="H31" t="s">
        <v>337</v>
      </c>
    </row>
    <row r="32" spans="1:8" x14ac:dyDescent="0.2">
      <c r="A32" t="s">
        <v>111</v>
      </c>
      <c r="B32" s="11">
        <v>0.77777777777777779</v>
      </c>
      <c r="C32" t="s">
        <v>91</v>
      </c>
      <c r="D32" t="s">
        <v>75</v>
      </c>
      <c r="F32" t="s">
        <v>88</v>
      </c>
      <c r="G32" t="s">
        <v>15</v>
      </c>
      <c r="H32" t="s">
        <v>112</v>
      </c>
    </row>
    <row r="33" spans="1:8" x14ac:dyDescent="0.2">
      <c r="A33" t="inlineStr">
        <is>
          <t>mechanical powertrain, motorcycle, gasoline, engineering reference</t>
        </is>
      </c>
      <c r="B33" s="11">
        <v>52.00000000000001</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1.0125</v>
      </c>
      <c r="C34" t="s">
        <v>91</v>
      </c>
      <c r="D34" t="s">
        <v>76</v>
      </c>
      <c r="F34" t="s">
        <v>88</v>
      </c>
      <c r="G34" t="s">
        <v>24</v>
      </c>
      <c r="H34" t="s">
        <v>114</v>
      </c>
    </row>
    <row r="35" spans="1:8" x14ac:dyDescent="0.2">
      <c r="A35" t="inlineStr">
        <is>
          <t>fuel tank forming, motorcycle engineering reference</t>
        </is>
      </c>
      <c r="B35" s="11">
        <v>1.0186116700201207</v>
      </c>
      <c r="C35" t="inlineStr">
        <is>
          <t>RER</t>
        </is>
      </c>
      <c r="D35" t="s">
        <v>76</v>
      </c>
      <c r="F35" t="s">
        <v>88</v>
      </c>
      <c r="G35" t="s">
        <v>412</v>
      </c>
      <c r="H35" t="inlineStr">
        <is>
          <t>fuel tank forming, motorcycle engineering reference</t>
        </is>
      </c>
    </row>
    <row r="36" spans="1:8" x14ac:dyDescent="0.2">
      <c r="A36" s="13" t="s">
        <v>443</v>
      </c>
      <c r="B36">
        <v>133.26249999999999</v>
      </c>
      <c r="C36" t="s">
        <v>91</v>
      </c>
      <c r="D36" t="s">
        <v>191</v>
      </c>
      <c r="F36" t="s">
        <v>88</v>
      </c>
      <c r="H36" s="13" t="s">
        <v>444</v>
      </c>
    </row>
    <row r="37" spans="1:8" x14ac:dyDescent="0.2">
      <c r="A37" s="13" t="s">
        <v>214</v>
      </c>
      <c r="B37" s="2">
        <v>2118.8737499999997</v>
      </c>
      <c r="C37" t="s">
        <v>94</v>
      </c>
      <c r="D37" t="s">
        <v>191</v>
      </c>
      <c r="F37" t="s">
        <v>88</v>
      </c>
      <c r="H37" s="13" t="s">
        <v>214</v>
      </c>
    </row>
    <row r="38" spans="1:8" x14ac:dyDescent="0.2">
      <c r="B38" s="11"/>
    </row>
    <row r="39" spans="1:8" ht="16" x14ac:dyDescent="0.2">
      <c r="A39" s="10" t="s">
        <v>70</v>
      </c>
      <c r="B39" s="8" t="s">
        <v>338</v>
      </c>
    </row>
    <row r="40" spans="1:8" x14ac:dyDescent="0.2">
      <c r="A40" t="s">
        <v>71</v>
      </c>
      <c r="B40" t="s">
        <v>37</v>
      </c>
    </row>
    <row r="41" spans="1:8" x14ac:dyDescent="0.2">
      <c r="A41" t="s">
        <v>85</v>
      </c>
      <c r="B41" t="s">
        <v>338</v>
      </c>
    </row>
    <row r="42" spans="1:8" x14ac:dyDescent="0.2">
      <c r="A42" t="s">
        <v>86</v>
      </c>
    </row>
    <row r="43" spans="1:8" x14ac:dyDescent="0.2">
      <c r="A43" t="s">
        <v>87</v>
      </c>
      <c r="B43">
        <v>2016</v>
      </c>
    </row>
    <row r="44" spans="1:8" x14ac:dyDescent="0.2">
      <c r="A44" t="s">
        <v>123</v>
      </c>
      <c r="B44" t="s">
        <v>341</v>
      </c>
    </row>
    <row r="45" spans="1:8" x14ac:dyDescent="0.2">
      <c r="A45" t="s">
        <v>72</v>
      </c>
      <c r="B45" t="s">
        <v>338</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30000</v>
      </c>
    </row>
    <row r="50" spans="1:2" x14ac:dyDescent="0.2">
      <c r="A50" t="s">
        <v>125</v>
      </c>
      <c r="B50">
        <v>1</v>
      </c>
    </row>
    <row r="51" spans="1:2" x14ac:dyDescent="0.2">
      <c r="A51" t="s">
        <v>126</v>
      </c>
      <c r="B51">
        <v>1.2</v>
      </c>
    </row>
    <row r="52" spans="1:2" x14ac:dyDescent="0.2">
      <c r="A52" t="s">
        <v>127</v>
      </c>
      <c r="B52">
        <v>0</v>
      </c>
    </row>
    <row r="53" spans="1:2" x14ac:dyDescent="0.2">
      <c r="A53" t="s">
        <v>128</v>
      </c>
      <c r="B53">
        <v>1870</v>
      </c>
    </row>
    <row r="54" spans="1:2" x14ac:dyDescent="0.2">
      <c r="A54" t="s">
        <v>129</v>
      </c>
      <c r="B54" s="2">
        <v>131.16249999999999</v>
      </c>
    </row>
    <row r="55" spans="1:2" x14ac:dyDescent="0.2">
      <c r="A55" t="s">
        <v>130</v>
      </c>
      <c r="B55">
        <v>8.8000000000000007</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274.46263878700836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338</v>
      </c>
      <c r="B69">
        <v>1</v>
      </c>
      <c r="C69" t="s">
        <v>37</v>
      </c>
      <c r="D69" t="s">
        <v>75</v>
      </c>
      <c r="F69" t="s">
        <v>83</v>
      </c>
      <c r="G69" t="s">
        <v>84</v>
      </c>
      <c r="H69" t="s">
        <v>338</v>
      </c>
    </row>
    <row r="70" spans="1:8" x14ac:dyDescent="0.2">
      <c r="A70" t="s">
        <v>111</v>
      </c>
      <c r="B70" s="11">
        <v>0.77777777777777779</v>
      </c>
      <c r="C70" t="s">
        <v>91</v>
      </c>
      <c r="D70" t="s">
        <v>75</v>
      </c>
      <c r="F70" t="s">
        <v>88</v>
      </c>
      <c r="G70" t="s">
        <v>15</v>
      </c>
      <c r="H70" t="s">
        <v>112</v>
      </c>
    </row>
    <row r="71" spans="1:8" x14ac:dyDescent="0.2">
      <c r="A71" t="inlineStr">
        <is>
          <t>mechanical powertrain, motorcycle, gasoline, engineering reference</t>
        </is>
      </c>
      <c r="B71" s="11">
        <v>52.00000000000001</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11">
        <v>1.0125</v>
      </c>
      <c r="C72" t="s">
        <v>91</v>
      </c>
      <c r="D72" t="s">
        <v>76</v>
      </c>
      <c r="F72" t="s">
        <v>88</v>
      </c>
      <c r="G72" t="s">
        <v>24</v>
      </c>
      <c r="H72" t="s">
        <v>114</v>
      </c>
    </row>
    <row r="73" spans="1:8" x14ac:dyDescent="0.2">
      <c r="A73" t="inlineStr">
        <is>
          <t>fuel tank forming, motorcycle engineering reference</t>
        </is>
      </c>
      <c r="B73" s="11">
        <v>1.0186116700201207</v>
      </c>
      <c r="C73" t="inlineStr">
        <is>
          <t>RER</t>
        </is>
      </c>
      <c r="D73" t="s">
        <v>76</v>
      </c>
      <c r="F73" t="s">
        <v>88</v>
      </c>
      <c r="G73" t="s">
        <v>412</v>
      </c>
      <c r="H73" t="inlineStr">
        <is>
          <t>fuel tank forming, motorcycle engineering reference</t>
        </is>
      </c>
    </row>
    <row r="74" spans="1:8" x14ac:dyDescent="0.2">
      <c r="A74" s="13" t="s">
        <v>443</v>
      </c>
      <c r="B74">
        <v>131.16249999999999</v>
      </c>
      <c r="C74" t="s">
        <v>91</v>
      </c>
      <c r="D74" t="s">
        <v>191</v>
      </c>
      <c r="F74" t="s">
        <v>88</v>
      </c>
      <c r="H74" s="13" t="s">
        <v>444</v>
      </c>
    </row>
    <row r="75" spans="1:8" x14ac:dyDescent="0.2">
      <c r="A75" s="13" t="s">
        <v>214</v>
      </c>
      <c r="B75" s="2">
        <v>2085.4837499999999</v>
      </c>
      <c r="C75" t="s">
        <v>94</v>
      </c>
      <c r="D75" t="s">
        <v>191</v>
      </c>
      <c r="F75" t="s">
        <v>88</v>
      </c>
      <c r="H75" s="13" t="s">
        <v>214</v>
      </c>
    </row>
    <row r="77" spans="1:8" ht="16" x14ac:dyDescent="0.2">
      <c r="A77" s="10" t="s">
        <v>70</v>
      </c>
      <c r="B77" s="8" t="s">
        <v>339</v>
      </c>
    </row>
    <row r="78" spans="1:8" x14ac:dyDescent="0.2">
      <c r="A78" t="s">
        <v>71</v>
      </c>
      <c r="B78" t="s">
        <v>37</v>
      </c>
    </row>
    <row r="79" spans="1:8" x14ac:dyDescent="0.2">
      <c r="A79" t="s">
        <v>85</v>
      </c>
      <c r="B79" t="s">
        <v>339</v>
      </c>
    </row>
    <row r="80" spans="1:8" x14ac:dyDescent="0.2">
      <c r="A80" t="s">
        <v>86</v>
      </c>
    </row>
    <row r="81" spans="1:2" x14ac:dyDescent="0.2">
      <c r="A81" t="s">
        <v>87</v>
      </c>
      <c r="B81">
        <v>2020</v>
      </c>
    </row>
    <row r="82" spans="1:2" x14ac:dyDescent="0.2">
      <c r="A82" t="s">
        <v>123</v>
      </c>
      <c r="B82" t="s">
        <v>342</v>
      </c>
    </row>
    <row r="83" spans="1:2" x14ac:dyDescent="0.2">
      <c r="A83" t="s">
        <v>72</v>
      </c>
      <c r="B83" t="s">
        <v>339</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30000</v>
      </c>
    </row>
    <row r="88" spans="1:2" x14ac:dyDescent="0.2">
      <c r="A88" t="s">
        <v>125</v>
      </c>
      <c r="B88">
        <v>1</v>
      </c>
    </row>
    <row r="89" spans="1:2" x14ac:dyDescent="0.2">
      <c r="A89" t="s">
        <v>126</v>
      </c>
      <c r="B89">
        <v>1.2</v>
      </c>
    </row>
    <row r="90" spans="1:2" x14ac:dyDescent="0.2">
      <c r="A90" t="s">
        <v>127</v>
      </c>
      <c r="B90">
        <v>0</v>
      </c>
    </row>
    <row r="91" spans="1:2" x14ac:dyDescent="0.2">
      <c r="A91" t="s">
        <v>128</v>
      </c>
      <c r="B91">
        <v>1870</v>
      </c>
    </row>
    <row r="92" spans="1:2" x14ac:dyDescent="0.2">
      <c r="A92" t="s">
        <v>129</v>
      </c>
      <c r="B92" s="2">
        <v>129.76249999999999</v>
      </c>
    </row>
    <row r="93" spans="1:2" x14ac:dyDescent="0.2">
      <c r="A93" t="s">
        <v>130</v>
      </c>
      <c r="B93">
        <v>8.8000000000000007</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277.23498867374587</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339</v>
      </c>
      <c r="B107">
        <v>1</v>
      </c>
      <c r="C107" t="s">
        <v>37</v>
      </c>
      <c r="D107" t="s">
        <v>75</v>
      </c>
      <c r="F107" t="s">
        <v>83</v>
      </c>
      <c r="G107" t="s">
        <v>84</v>
      </c>
      <c r="H107" t="s">
        <v>339</v>
      </c>
    </row>
    <row r="108" spans="1:8" x14ac:dyDescent="0.2">
      <c r="A108" t="s">
        <v>111</v>
      </c>
      <c r="B108" s="11">
        <v>0.77777777777777779</v>
      </c>
      <c r="C108" t="s">
        <v>91</v>
      </c>
      <c r="D108" t="s">
        <v>75</v>
      </c>
      <c r="F108" t="s">
        <v>88</v>
      </c>
      <c r="G108" t="s">
        <v>15</v>
      </c>
      <c r="H108" t="s">
        <v>112</v>
      </c>
    </row>
    <row r="109" spans="1:8" x14ac:dyDescent="0.2">
      <c r="A109" t="inlineStr">
        <is>
          <t>mechanical powertrain, motorcycle, gasoline, engineering reference</t>
        </is>
      </c>
      <c r="B109" s="11">
        <v>52.00000000000001</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11">
        <v>1.0125</v>
      </c>
      <c r="C110" t="s">
        <v>91</v>
      </c>
      <c r="D110" t="s">
        <v>76</v>
      </c>
      <c r="F110" t="s">
        <v>88</v>
      </c>
      <c r="G110" t="s">
        <v>24</v>
      </c>
      <c r="H110" t="s">
        <v>114</v>
      </c>
    </row>
    <row r="111" spans="1:8" x14ac:dyDescent="0.2">
      <c r="A111" t="inlineStr">
        <is>
          <t>fuel tank forming, motorcycle engineering reference</t>
        </is>
      </c>
      <c r="B111" s="11">
        <v>1.0186116700201207</v>
      </c>
      <c r="C111" t="inlineStr">
        <is>
          <t>RER</t>
        </is>
      </c>
      <c r="D111" t="s">
        <v>76</v>
      </c>
      <c r="F111" t="s">
        <v>88</v>
      </c>
      <c r="G111" t="s">
        <v>412</v>
      </c>
      <c r="H111" t="inlineStr">
        <is>
          <t>fuel tank forming, motorcycle engineering reference</t>
        </is>
      </c>
    </row>
    <row r="112" spans="1:8" x14ac:dyDescent="0.2">
      <c r="A112" s="13" t="s">
        <v>443</v>
      </c>
      <c r="B112">
        <v>129.76249999999999</v>
      </c>
      <c r="C112" t="s">
        <v>91</v>
      </c>
      <c r="D112" t="s">
        <v>191</v>
      </c>
      <c r="F112" t="s">
        <v>88</v>
      </c>
      <c r="H112" s="13" t="s">
        <v>444</v>
      </c>
    </row>
    <row r="113" spans="1:8" x14ac:dyDescent="0.2">
      <c r="A113" s="13" t="s">
        <v>214</v>
      </c>
      <c r="B113" s="2">
        <v>2063.2237499999997</v>
      </c>
      <c r="C113" t="s">
        <v>94</v>
      </c>
      <c r="D113" t="s">
        <v>191</v>
      </c>
      <c r="F113" t="s">
        <v>88</v>
      </c>
      <c r="H113" s="13" t="s">
        <v>214</v>
      </c>
    </row>
    <row r="115" spans="1:8" ht="16" x14ac:dyDescent="0.2">
      <c r="A115" s="10" t="s">
        <v>70</v>
      </c>
      <c r="B115" s="8" t="s">
        <v>575</v>
      </c>
    </row>
    <row r="116" spans="1:8" x14ac:dyDescent="0.2">
      <c r="A116" t="s">
        <v>71</v>
      </c>
      <c r="B116" t="s">
        <v>37</v>
      </c>
    </row>
    <row r="117" spans="1:8" x14ac:dyDescent="0.2">
      <c r="A117" t="s">
        <v>85</v>
      </c>
      <c r="B117" t="s">
        <v>337</v>
      </c>
    </row>
    <row r="118" spans="1:8" x14ac:dyDescent="0.2">
      <c r="A118" t="s">
        <v>86</v>
      </c>
    </row>
    <row r="119" spans="1:8" x14ac:dyDescent="0.2">
      <c r="A119" t="s">
        <v>87</v>
      </c>
      <c r="B119">
        <v>2006</v>
      </c>
    </row>
    <row r="120" spans="1:8" x14ac:dyDescent="0.2">
      <c r="A120" t="s">
        <v>123</v>
      </c>
      <c r="B120" t="s">
        <v>340</v>
      </c>
    </row>
    <row r="121" spans="1:8" x14ac:dyDescent="0.2">
      <c r="A121" t="s">
        <v>72</v>
      </c>
      <c r="B121" t="s">
        <v>575</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30000</v>
      </c>
    </row>
    <row r="126" spans="1:8" x14ac:dyDescent="0.2">
      <c r="A126" t="s">
        <v>125</v>
      </c>
      <c r="B126">
        <v>1</v>
      </c>
    </row>
    <row r="127" spans="1:8" x14ac:dyDescent="0.2">
      <c r="A127" t="s">
        <v>126</v>
      </c>
      <c r="B127">
        <v>1.2</v>
      </c>
    </row>
    <row r="128" spans="1:8" x14ac:dyDescent="0.2">
      <c r="A128" t="s">
        <v>127</v>
      </c>
      <c r="B128">
        <v>0</v>
      </c>
    </row>
    <row r="129" spans="1:8" x14ac:dyDescent="0.2">
      <c r="A129" t="s">
        <v>128</v>
      </c>
      <c r="B129">
        <v>1870</v>
      </c>
    </row>
    <row r="130" spans="1:8" x14ac:dyDescent="0.2">
      <c r="A130" t="s">
        <v>129</v>
      </c>
      <c r="B130" s="2">
        <v>133.26249999999999</v>
      </c>
    </row>
    <row r="131" spans="1:8" x14ac:dyDescent="0.2">
      <c r="A131" t="s">
        <v>130</v>
      </c>
      <c r="B131">
        <v>8.8000000000000007</v>
      </c>
    </row>
    <row r="132" spans="1:8" x14ac:dyDescent="0.2">
      <c r="A132" t="s">
        <v>131</v>
      </c>
      <c r="B132" t="s">
        <v>84</v>
      </c>
    </row>
    <row r="133" spans="1:8" x14ac:dyDescent="0.2">
      <c r="A133" t="s">
        <v>99</v>
      </c>
      <c r="B133">
        <v>0</v>
      </c>
    </row>
    <row r="134" spans="1:8" x14ac:dyDescent="0.2">
      <c r="A134" t="s">
        <v>134</v>
      </c>
      <c r="B134" s="2">
        <v>79.875</v>
      </c>
    </row>
    <row r="135" spans="1:8" x14ac:dyDescent="0.2">
      <c r="A135" t="s">
        <v>135</v>
      </c>
      <c r="B135">
        <v>6.75</v>
      </c>
    </row>
    <row r="136" spans="1:8" x14ac:dyDescent="0.2">
      <c r="A136" t="s">
        <v>132</v>
      </c>
      <c r="B136" s="2">
        <v>271.7451869178301</v>
      </c>
    </row>
    <row r="137" spans="1:8" x14ac:dyDescent="0.2">
      <c r="A137" t="s">
        <v>133</v>
      </c>
      <c r="B137" t="s">
        <v>139</v>
      </c>
    </row>
    <row r="138" spans="1:8" x14ac:dyDescent="0.2">
      <c r="A138" t="s">
        <v>540</v>
      </c>
      <c r="B138" s="6">
        <v>-0.05</v>
      </c>
    </row>
    <row r="139" spans="1:8" x14ac:dyDescent="0.2">
      <c r="A139" t="s">
        <v>82</v>
      </c>
      <c r="B139" t="s">
        <v>576</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575</v>
      </c>
      <c r="B142">
        <v>1</v>
      </c>
      <c r="C142" t="s">
        <v>37</v>
      </c>
      <c r="D142" t="s">
        <v>162</v>
      </c>
      <c r="F142" t="s">
        <v>83</v>
      </c>
      <c r="G142" t="s">
        <v>84</v>
      </c>
      <c r="H142" t="s">
        <v>575</v>
      </c>
    </row>
    <row r="143" spans="1:8" x14ac:dyDescent="0.2">
      <c r="A143" t="s">
        <v>337</v>
      </c>
      <c r="B143" s="7">
        <v>3.3333333333333335E-5</v>
      </c>
      <c r="C143" t="s">
        <v>37</v>
      </c>
      <c r="D143" t="s">
        <v>75</v>
      </c>
      <c r="F143" t="s">
        <v>88</v>
      </c>
      <c r="H143" t="s">
        <v>337</v>
      </c>
    </row>
    <row r="144" spans="1:8" x14ac:dyDescent="0.2">
      <c r="A144" t="s">
        <v>106</v>
      </c>
      <c r="B144" s="7">
        <v>1.139849625E-4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2.4839446381955812E-2</v>
      </c>
      <c r="C147" t="s">
        <v>37</v>
      </c>
      <c r="D147" t="s">
        <v>76</v>
      </c>
      <c r="F147" t="s">
        <v>88</v>
      </c>
      <c r="G147" t="s">
        <v>27</v>
      </c>
      <c r="H147" t="s">
        <v>452</v>
      </c>
    </row>
    <row r="148" spans="1:8" x14ac:dyDescent="0.2">
      <c r="A148" t="s">
        <v>150</v>
      </c>
      <c r="B148" s="11">
        <v>7.7059911299669145E-2</v>
      </c>
      <c r="D148" t="s">
        <v>76</v>
      </c>
      <c r="E148" t="s">
        <v>442</v>
      </c>
      <c r="F148" t="s">
        <v>163</v>
      </c>
      <c r="G148" t="s">
        <v>65</v>
      </c>
    </row>
    <row r="149" spans="1:8" x14ac:dyDescent="0.2">
      <c r="A149" t="s">
        <v>448</v>
      </c>
      <c r="B149" s="11">
        <v>9.3595033967209498E-4</v>
      </c>
      <c r="D149" t="s">
        <v>76</v>
      </c>
      <c r="E149" t="s">
        <v>442</v>
      </c>
      <c r="F149" t="s">
        <v>163</v>
      </c>
      <c r="G149" t="s">
        <v>446</v>
      </c>
    </row>
    <row r="150" spans="1:8" x14ac:dyDescent="0.2">
      <c r="A150" t="s">
        <v>210</v>
      </c>
      <c r="B150" s="7">
        <v>3.9743114211129298E-7</v>
      </c>
      <c r="D150" t="s">
        <v>76</v>
      </c>
      <c r="E150" t="s">
        <v>442</v>
      </c>
      <c r="F150" t="s">
        <v>163</v>
      </c>
      <c r="G150" t="s">
        <v>66</v>
      </c>
    </row>
    <row r="151" spans="1:8" x14ac:dyDescent="0.2">
      <c r="A151" t="s">
        <v>54</v>
      </c>
      <c r="B151" s="7">
        <v>3.8182695142197475E-5</v>
      </c>
      <c r="D151" t="s">
        <v>76</v>
      </c>
      <c r="E151" t="s">
        <v>442</v>
      </c>
      <c r="F151" t="s">
        <v>163</v>
      </c>
      <c r="G151" t="s">
        <v>54</v>
      </c>
    </row>
    <row r="152" spans="1:8" x14ac:dyDescent="0.2">
      <c r="A152" t="s">
        <v>151</v>
      </c>
      <c r="B152" s="7">
        <v>2.9172963769054263E-5</v>
      </c>
      <c r="D152" t="s">
        <v>76</v>
      </c>
      <c r="E152" t="s">
        <v>442</v>
      </c>
      <c r="F152" t="s">
        <v>163</v>
      </c>
      <c r="G152" t="s">
        <v>55</v>
      </c>
    </row>
    <row r="153" spans="1:8" x14ac:dyDescent="0.2">
      <c r="A153" t="s">
        <v>152</v>
      </c>
      <c r="B153" s="7">
        <v>3.4177691287266706E-3</v>
      </c>
      <c r="D153" t="s">
        <v>76</v>
      </c>
      <c r="E153" t="s">
        <v>442</v>
      </c>
      <c r="F153" t="s">
        <v>163</v>
      </c>
      <c r="G153" t="s">
        <v>56</v>
      </c>
    </row>
    <row r="154" spans="1:8" x14ac:dyDescent="0.2">
      <c r="A154" t="s">
        <v>211</v>
      </c>
      <c r="B154" s="7">
        <v>1.4801097802665792E-6</v>
      </c>
      <c r="D154" t="s">
        <v>76</v>
      </c>
      <c r="E154" t="s">
        <v>442</v>
      </c>
      <c r="F154" t="s">
        <v>163</v>
      </c>
      <c r="G154" t="s">
        <v>57</v>
      </c>
    </row>
    <row r="155" spans="1:8" x14ac:dyDescent="0.2">
      <c r="A155" t="s">
        <v>153</v>
      </c>
      <c r="B155" s="7">
        <v>1.4801097802665792E-6</v>
      </c>
      <c r="D155" t="s">
        <v>76</v>
      </c>
      <c r="E155" t="s">
        <v>442</v>
      </c>
      <c r="F155" t="s">
        <v>163</v>
      </c>
      <c r="G155" t="s">
        <v>58</v>
      </c>
    </row>
    <row r="156" spans="1:8" x14ac:dyDescent="0.2">
      <c r="A156" t="s">
        <v>154</v>
      </c>
      <c r="B156" s="7">
        <v>1.1099448161280961E-4</v>
      </c>
      <c r="D156" t="s">
        <v>76</v>
      </c>
      <c r="E156" t="s">
        <v>442</v>
      </c>
      <c r="F156" t="s">
        <v>163</v>
      </c>
      <c r="G156" t="s">
        <v>59</v>
      </c>
    </row>
    <row r="157" spans="1:8" x14ac:dyDescent="0.2">
      <c r="A157" t="s">
        <v>212</v>
      </c>
      <c r="B157" s="7">
        <v>3.3198862371379369E-6</v>
      </c>
      <c r="D157" t="s">
        <v>76</v>
      </c>
      <c r="E157" t="s">
        <v>442</v>
      </c>
      <c r="F157" t="s">
        <v>163</v>
      </c>
      <c r="G157" t="s">
        <v>61</v>
      </c>
    </row>
    <row r="158" spans="1:8" x14ac:dyDescent="0.2">
      <c r="A158" t="s">
        <v>207</v>
      </c>
      <c r="B158" s="7">
        <v>3.0791178756381718E-4</v>
      </c>
      <c r="D158" t="s">
        <v>76</v>
      </c>
      <c r="E158" t="s">
        <v>442</v>
      </c>
      <c r="F158" t="s">
        <v>163</v>
      </c>
      <c r="G158" t="s">
        <v>360</v>
      </c>
    </row>
    <row r="159" spans="1:8" x14ac:dyDescent="0.2">
      <c r="A159" t="s">
        <v>309</v>
      </c>
      <c r="B159" s="7">
        <v>2.1711728610269153E-5</v>
      </c>
      <c r="D159" t="s">
        <v>76</v>
      </c>
      <c r="E159" t="s">
        <v>442</v>
      </c>
      <c r="F159" t="s">
        <v>163</v>
      </c>
      <c r="G159" t="s">
        <v>309</v>
      </c>
    </row>
    <row r="160" spans="1:8" x14ac:dyDescent="0.2">
      <c r="A160" t="s">
        <v>310</v>
      </c>
      <c r="B160" s="7">
        <v>4.4240199362617406E-6</v>
      </c>
      <c r="D160" t="s">
        <v>76</v>
      </c>
      <c r="E160" t="s">
        <v>442</v>
      </c>
      <c r="F160" t="s">
        <v>163</v>
      </c>
      <c r="G160" t="s">
        <v>310</v>
      </c>
    </row>
    <row r="161" spans="1:7" x14ac:dyDescent="0.2">
      <c r="A161" t="s">
        <v>311</v>
      </c>
      <c r="B161" s="7">
        <v>3.5664406870786949E-5</v>
      </c>
      <c r="D161" t="s">
        <v>76</v>
      </c>
      <c r="E161" t="s">
        <v>442</v>
      </c>
      <c r="F161" t="s">
        <v>163</v>
      </c>
      <c r="G161" t="s">
        <v>311</v>
      </c>
    </row>
    <row r="162" spans="1:7" x14ac:dyDescent="0.2">
      <c r="A162" t="s">
        <v>312</v>
      </c>
      <c r="B162" s="7">
        <v>1.4633296712250369E-5</v>
      </c>
      <c r="D162" t="s">
        <v>76</v>
      </c>
      <c r="E162" t="s">
        <v>442</v>
      </c>
      <c r="F162" t="s">
        <v>163</v>
      </c>
      <c r="G162" t="s">
        <v>312</v>
      </c>
    </row>
    <row r="163" spans="1:7" x14ac:dyDescent="0.2">
      <c r="A163" t="s">
        <v>313</v>
      </c>
      <c r="B163" s="7">
        <v>1.0957957072894464E-5</v>
      </c>
      <c r="D163" t="s">
        <v>76</v>
      </c>
      <c r="E163" t="s">
        <v>442</v>
      </c>
      <c r="F163" t="s">
        <v>163</v>
      </c>
      <c r="G163" t="s">
        <v>313</v>
      </c>
    </row>
    <row r="164" spans="1:7" x14ac:dyDescent="0.2">
      <c r="A164" t="s">
        <v>314</v>
      </c>
      <c r="B164" s="7">
        <v>7.7590503497513607E-6</v>
      </c>
      <c r="D164" t="s">
        <v>76</v>
      </c>
      <c r="E164" t="s">
        <v>442</v>
      </c>
      <c r="F164" t="s">
        <v>163</v>
      </c>
      <c r="G164" t="s">
        <v>314</v>
      </c>
    </row>
    <row r="165" spans="1:7" x14ac:dyDescent="0.2">
      <c r="A165" t="s">
        <v>315</v>
      </c>
      <c r="B165" s="7">
        <v>5.0365765428210587E-6</v>
      </c>
      <c r="D165" t="s">
        <v>76</v>
      </c>
      <c r="E165" t="s">
        <v>442</v>
      </c>
      <c r="F165" t="s">
        <v>163</v>
      </c>
      <c r="G165" t="s">
        <v>315</v>
      </c>
    </row>
    <row r="166" spans="1:7" x14ac:dyDescent="0.2">
      <c r="A166" t="s">
        <v>316</v>
      </c>
      <c r="B166" s="7">
        <v>4.9685146976478002E-5</v>
      </c>
      <c r="D166" t="s">
        <v>76</v>
      </c>
      <c r="E166" t="s">
        <v>442</v>
      </c>
      <c r="F166" t="s">
        <v>163</v>
      </c>
      <c r="G166" t="s">
        <v>316</v>
      </c>
    </row>
    <row r="167" spans="1:7" x14ac:dyDescent="0.2">
      <c r="A167" t="s">
        <v>317</v>
      </c>
      <c r="B167" s="7">
        <v>2.5999624856184379E-5</v>
      </c>
      <c r="D167" t="s">
        <v>76</v>
      </c>
      <c r="E167" t="s">
        <v>442</v>
      </c>
      <c r="F167" t="s">
        <v>163</v>
      </c>
      <c r="G167" t="s">
        <v>317</v>
      </c>
    </row>
    <row r="168" spans="1:7" x14ac:dyDescent="0.2">
      <c r="A168" t="s">
        <v>318</v>
      </c>
      <c r="B168" s="7">
        <v>7.4868029690583294E-7</v>
      </c>
      <c r="D168" t="s">
        <v>76</v>
      </c>
      <c r="E168" t="s">
        <v>442</v>
      </c>
      <c r="F168" t="s">
        <v>163</v>
      </c>
      <c r="G168" t="s">
        <v>318</v>
      </c>
    </row>
    <row r="169" spans="1:7" x14ac:dyDescent="0.2">
      <c r="A169" t="s">
        <v>319</v>
      </c>
      <c r="B169" s="7">
        <v>7.4731906000236774E-5</v>
      </c>
      <c r="D169" t="s">
        <v>76</v>
      </c>
      <c r="E169" t="s">
        <v>442</v>
      </c>
      <c r="F169" t="s">
        <v>163</v>
      </c>
      <c r="G169" t="s">
        <v>319</v>
      </c>
    </row>
    <row r="170" spans="1:7" x14ac:dyDescent="0.2">
      <c r="A170" t="s">
        <v>320</v>
      </c>
      <c r="B170" s="7">
        <v>3.695758192907885E-5</v>
      </c>
      <c r="D170" t="s">
        <v>76</v>
      </c>
      <c r="E170" t="s">
        <v>442</v>
      </c>
      <c r="F170" t="s">
        <v>163</v>
      </c>
      <c r="G170" t="s">
        <v>320</v>
      </c>
    </row>
    <row r="171" spans="1:7" x14ac:dyDescent="0.2">
      <c r="A171" t="s">
        <v>321</v>
      </c>
      <c r="B171" s="7">
        <v>1.5381977009156206E-5</v>
      </c>
      <c r="D171" t="s">
        <v>76</v>
      </c>
      <c r="E171" t="s">
        <v>442</v>
      </c>
      <c r="F171" t="s">
        <v>163</v>
      </c>
      <c r="G171" t="s">
        <v>321</v>
      </c>
    </row>
    <row r="172" spans="1:7" x14ac:dyDescent="0.2">
      <c r="A172" t="s">
        <v>322</v>
      </c>
      <c r="B172" s="7">
        <v>1.1570513679453783E-5</v>
      </c>
      <c r="D172" t="s">
        <v>76</v>
      </c>
      <c r="E172" t="s">
        <v>442</v>
      </c>
      <c r="F172" t="s">
        <v>163</v>
      </c>
      <c r="G172" t="s">
        <v>322</v>
      </c>
    </row>
    <row r="173" spans="1:7" x14ac:dyDescent="0.2">
      <c r="A173" t="s">
        <v>323</v>
      </c>
      <c r="B173" s="7">
        <v>5.1046383879943157E-6</v>
      </c>
      <c r="D173" t="s">
        <v>76</v>
      </c>
      <c r="E173" t="s">
        <v>442</v>
      </c>
      <c r="F173" t="s">
        <v>163</v>
      </c>
      <c r="G173" t="s">
        <v>323</v>
      </c>
    </row>
    <row r="174" spans="1:7" x14ac:dyDescent="0.2">
      <c r="A174" t="s">
        <v>324</v>
      </c>
      <c r="B174" s="7">
        <v>1.4973605938116659E-6</v>
      </c>
      <c r="D174" t="s">
        <v>76</v>
      </c>
      <c r="E174" t="s">
        <v>442</v>
      </c>
      <c r="F174" t="s">
        <v>163</v>
      </c>
      <c r="G174" t="s">
        <v>324</v>
      </c>
    </row>
    <row r="175" spans="1:7" x14ac:dyDescent="0.2">
      <c r="A175" t="s">
        <v>325</v>
      </c>
      <c r="B175" s="7">
        <v>4.1517725555687101E-6</v>
      </c>
      <c r="D175" t="s">
        <v>76</v>
      </c>
      <c r="E175" t="s">
        <v>442</v>
      </c>
      <c r="F175" t="s">
        <v>163</v>
      </c>
      <c r="G175" t="s">
        <v>325</v>
      </c>
    </row>
    <row r="176" spans="1:7" x14ac:dyDescent="0.2">
      <c r="A176" t="s">
        <v>328</v>
      </c>
      <c r="B176" s="7">
        <v>0</v>
      </c>
      <c r="D176" t="s">
        <v>76</v>
      </c>
      <c r="E176" t="s">
        <v>442</v>
      </c>
      <c r="F176" t="s">
        <v>163</v>
      </c>
      <c r="G176" t="s">
        <v>328</v>
      </c>
    </row>
    <row r="177" spans="1:8" x14ac:dyDescent="0.2">
      <c r="A177" t="s">
        <v>326</v>
      </c>
      <c r="B177" s="7">
        <v>1.2931750582918932E-6</v>
      </c>
      <c r="D177" t="s">
        <v>76</v>
      </c>
      <c r="E177" t="s">
        <v>442</v>
      </c>
      <c r="F177" t="s">
        <v>163</v>
      </c>
      <c r="G177" t="s">
        <v>326</v>
      </c>
    </row>
    <row r="178" spans="1:8" x14ac:dyDescent="0.2">
      <c r="A178" t="s">
        <v>327</v>
      </c>
      <c r="B178" s="7">
        <v>6.8742463624990121E-6</v>
      </c>
      <c r="D178" t="s">
        <v>76</v>
      </c>
      <c r="E178" t="s">
        <v>442</v>
      </c>
      <c r="F178" t="s">
        <v>163</v>
      </c>
      <c r="G178" t="s">
        <v>327</v>
      </c>
    </row>
    <row r="179" spans="1:8" x14ac:dyDescent="0.2">
      <c r="A179" t="s">
        <v>336</v>
      </c>
      <c r="B179" s="7">
        <v>8.6644664640757301E-10</v>
      </c>
      <c r="D179" t="s">
        <v>76</v>
      </c>
      <c r="E179" t="s">
        <v>442</v>
      </c>
      <c r="F179" t="s">
        <v>163</v>
      </c>
      <c r="G179" t="s">
        <v>329</v>
      </c>
    </row>
    <row r="180" spans="1:8" x14ac:dyDescent="0.2">
      <c r="A180" t="s">
        <v>330</v>
      </c>
      <c r="B180" s="7">
        <v>7.4693676414445949E-12</v>
      </c>
      <c r="D180" t="s">
        <v>76</v>
      </c>
      <c r="E180" t="s">
        <v>442</v>
      </c>
      <c r="F180" t="s">
        <v>163</v>
      </c>
      <c r="G180" t="s">
        <v>330</v>
      </c>
    </row>
    <row r="181" spans="1:8" x14ac:dyDescent="0.2">
      <c r="A181" t="s">
        <v>331</v>
      </c>
      <c r="B181" s="7">
        <v>4.9795784276297299E-12</v>
      </c>
      <c r="D181" t="s">
        <v>76</v>
      </c>
      <c r="E181" t="s">
        <v>442</v>
      </c>
      <c r="F181" t="s">
        <v>163</v>
      </c>
      <c r="G181" t="s">
        <v>331</v>
      </c>
    </row>
    <row r="182" spans="1:8" x14ac:dyDescent="0.2">
      <c r="A182" t="s">
        <v>332</v>
      </c>
      <c r="B182" s="7">
        <v>5.3779447018401084E-8</v>
      </c>
      <c r="D182" t="s">
        <v>76</v>
      </c>
      <c r="E182" t="s">
        <v>442</v>
      </c>
      <c r="F182" t="s">
        <v>163</v>
      </c>
      <c r="G182" t="s">
        <v>332</v>
      </c>
    </row>
    <row r="183" spans="1:8" x14ac:dyDescent="0.2">
      <c r="A183" t="s">
        <v>290</v>
      </c>
      <c r="B183" s="7">
        <v>1.0457114698022433E-9</v>
      </c>
      <c r="D183" s="7" t="s">
        <v>76</v>
      </c>
      <c r="E183" t="s">
        <v>442</v>
      </c>
      <c r="F183" t="s">
        <v>163</v>
      </c>
      <c r="G183" t="s">
        <v>290</v>
      </c>
    </row>
    <row r="184" spans="1:8" x14ac:dyDescent="0.2">
      <c r="A184" t="s">
        <v>292</v>
      </c>
      <c r="B184" s="7">
        <v>3.2367259779593247E-10</v>
      </c>
      <c r="D184" t="s">
        <v>76</v>
      </c>
      <c r="E184" t="s">
        <v>442</v>
      </c>
      <c r="F184" t="s">
        <v>163</v>
      </c>
      <c r="G184" t="s">
        <v>292</v>
      </c>
    </row>
    <row r="185" spans="1:8" x14ac:dyDescent="0.2">
      <c r="A185" t="s">
        <v>291</v>
      </c>
      <c r="B185" s="7">
        <v>3.9836627421037845E-10</v>
      </c>
      <c r="D185" t="s">
        <v>76</v>
      </c>
      <c r="E185" t="s">
        <v>442</v>
      </c>
      <c r="F185" t="s">
        <v>163</v>
      </c>
      <c r="G185" t="s">
        <v>291</v>
      </c>
    </row>
    <row r="186" spans="1:8" x14ac:dyDescent="0.2">
      <c r="A186" t="s">
        <v>335</v>
      </c>
      <c r="B186" s="7">
        <v>7.9673254842075675E-13</v>
      </c>
      <c r="D186" t="s">
        <v>76</v>
      </c>
      <c r="E186" t="s">
        <v>442</v>
      </c>
      <c r="F186" t="s">
        <v>163</v>
      </c>
      <c r="G186" t="s">
        <v>335</v>
      </c>
    </row>
    <row r="187" spans="1:8" x14ac:dyDescent="0.2">
      <c r="A187" t="s">
        <v>333</v>
      </c>
      <c r="B187" s="7">
        <v>2.1661166160189325E-10</v>
      </c>
      <c r="D187" t="s">
        <v>76</v>
      </c>
      <c r="E187" t="s">
        <v>442</v>
      </c>
      <c r="F187" t="s">
        <v>163</v>
      </c>
      <c r="G187" t="s">
        <v>333</v>
      </c>
    </row>
    <row r="188" spans="1:8" x14ac:dyDescent="0.2">
      <c r="A188" t="s">
        <v>334</v>
      </c>
      <c r="B188" s="7">
        <v>2.688972350920055E-10</v>
      </c>
      <c r="D188" t="s">
        <v>76</v>
      </c>
      <c r="E188" t="s">
        <v>442</v>
      </c>
      <c r="F188" t="s">
        <v>163</v>
      </c>
      <c r="G188" t="s">
        <v>334</v>
      </c>
    </row>
    <row r="189" spans="1:8" x14ac:dyDescent="0.2">
      <c r="A189" t="s">
        <v>155</v>
      </c>
      <c r="B189" s="7">
        <v>-7.6373593576640838E-6</v>
      </c>
      <c r="C189" t="s">
        <v>91</v>
      </c>
      <c r="D189" t="s">
        <v>76</v>
      </c>
      <c r="F189" t="s">
        <v>88</v>
      </c>
      <c r="G189" t="s">
        <v>29</v>
      </c>
      <c r="H189" t="s">
        <v>157</v>
      </c>
    </row>
    <row r="190" spans="1:8" x14ac:dyDescent="0.2">
      <c r="A190" t="s">
        <v>156</v>
      </c>
      <c r="B190" s="7">
        <v>-5.8650969734680398E-6</v>
      </c>
      <c r="C190" t="s">
        <v>91</v>
      </c>
      <c r="D190" t="s">
        <v>76</v>
      </c>
      <c r="F190" t="s">
        <v>88</v>
      </c>
      <c r="G190" t="s">
        <v>30</v>
      </c>
      <c r="H190" t="s">
        <v>158</v>
      </c>
    </row>
    <row r="191" spans="1:8" x14ac:dyDescent="0.2">
      <c r="A191" t="s">
        <v>164</v>
      </c>
      <c r="B191" s="7">
        <v>-4.1951287868901756E-6</v>
      </c>
      <c r="C191" t="s">
        <v>91</v>
      </c>
      <c r="D191" t="s">
        <v>76</v>
      </c>
      <c r="F191" t="s">
        <v>88</v>
      </c>
      <c r="G191" t="s">
        <v>31</v>
      </c>
      <c r="H191" t="s">
        <v>159</v>
      </c>
    </row>
    <row r="193" spans="1:2" ht="16" x14ac:dyDescent="0.2">
      <c r="A193" s="10" t="s">
        <v>70</v>
      </c>
      <c r="B193" s="8" t="s">
        <v>577</v>
      </c>
    </row>
    <row r="194" spans="1:2" x14ac:dyDescent="0.2">
      <c r="A194" t="s">
        <v>71</v>
      </c>
      <c r="B194" t="s">
        <v>37</v>
      </c>
    </row>
    <row r="195" spans="1:2" x14ac:dyDescent="0.2">
      <c r="A195" t="s">
        <v>85</v>
      </c>
      <c r="B195" t="s">
        <v>338</v>
      </c>
    </row>
    <row r="196" spans="1:2" x14ac:dyDescent="0.2">
      <c r="A196" t="s">
        <v>86</v>
      </c>
    </row>
    <row r="197" spans="1:2" x14ac:dyDescent="0.2">
      <c r="A197" t="s">
        <v>87</v>
      </c>
      <c r="B197">
        <v>2016</v>
      </c>
    </row>
    <row r="198" spans="1:2" x14ac:dyDescent="0.2">
      <c r="A198" t="s">
        <v>123</v>
      </c>
      <c r="B198" t="s">
        <v>341</v>
      </c>
    </row>
    <row r="199" spans="1:2" x14ac:dyDescent="0.2">
      <c r="A199" t="s">
        <v>72</v>
      </c>
      <c r="B199" t="s">
        <v>577</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30000</v>
      </c>
    </row>
    <row r="204" spans="1:2" x14ac:dyDescent="0.2">
      <c r="A204" t="s">
        <v>125</v>
      </c>
      <c r="B204">
        <v>1</v>
      </c>
    </row>
    <row r="205" spans="1:2" x14ac:dyDescent="0.2">
      <c r="A205" t="s">
        <v>126</v>
      </c>
      <c r="B205">
        <v>1.2</v>
      </c>
    </row>
    <row r="206" spans="1:2" x14ac:dyDescent="0.2">
      <c r="A206" t="s">
        <v>127</v>
      </c>
      <c r="B206">
        <v>0</v>
      </c>
    </row>
    <row r="207" spans="1:2" x14ac:dyDescent="0.2">
      <c r="A207" t="s">
        <v>128</v>
      </c>
      <c r="B207">
        <v>1870</v>
      </c>
    </row>
    <row r="208" spans="1:2" x14ac:dyDescent="0.2">
      <c r="A208" t="s">
        <v>129</v>
      </c>
      <c r="B208" s="2">
        <v>131.16249999999999</v>
      </c>
    </row>
    <row r="209" spans="1:8" x14ac:dyDescent="0.2">
      <c r="A209" t="s">
        <v>130</v>
      </c>
      <c r="B209">
        <v>8.8000000000000007</v>
      </c>
    </row>
    <row r="210" spans="1:8" x14ac:dyDescent="0.2">
      <c r="A210" t="s">
        <v>131</v>
      </c>
      <c r="B210" t="s">
        <v>84</v>
      </c>
    </row>
    <row r="211" spans="1:8" x14ac:dyDescent="0.2">
      <c r="A211" t="s">
        <v>99</v>
      </c>
      <c r="B211">
        <v>0</v>
      </c>
    </row>
    <row r="212" spans="1:8" x14ac:dyDescent="0.2">
      <c r="A212" t="s">
        <v>134</v>
      </c>
      <c r="B212" s="2">
        <v>79.875</v>
      </c>
    </row>
    <row r="213" spans="1:8" x14ac:dyDescent="0.2">
      <c r="A213" t="s">
        <v>135</v>
      </c>
      <c r="B213">
        <v>6.75</v>
      </c>
    </row>
    <row r="214" spans="1:8" x14ac:dyDescent="0.2">
      <c r="A214" t="s">
        <v>132</v>
      </c>
      <c r="B214" s="2">
        <v>274.46263878700836</v>
      </c>
    </row>
    <row r="215" spans="1:8" x14ac:dyDescent="0.2">
      <c r="A215" t="s">
        <v>133</v>
      </c>
      <c r="B215" t="s">
        <v>138</v>
      </c>
    </row>
    <row r="216" spans="1:8" x14ac:dyDescent="0.2">
      <c r="A216" t="s">
        <v>540</v>
      </c>
      <c r="B216" s="6">
        <v>-0.02</v>
      </c>
    </row>
    <row r="217" spans="1:8" x14ac:dyDescent="0.2">
      <c r="A217" t="s">
        <v>82</v>
      </c>
      <c r="B217" t="s">
        <v>578</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577</v>
      </c>
      <c r="B220">
        <v>1</v>
      </c>
      <c r="C220" t="s">
        <v>37</v>
      </c>
      <c r="D220" t="s">
        <v>162</v>
      </c>
      <c r="F220" t="s">
        <v>83</v>
      </c>
      <c r="G220" t="s">
        <v>84</v>
      </c>
      <c r="H220" t="s">
        <v>577</v>
      </c>
    </row>
    <row r="221" spans="1:8" x14ac:dyDescent="0.2">
      <c r="A221" t="s">
        <v>338</v>
      </c>
      <c r="B221" s="7">
        <v>3.3333333333333335E-5</v>
      </c>
      <c r="C221" t="s">
        <v>37</v>
      </c>
      <c r="D221" t="s">
        <v>75</v>
      </c>
      <c r="F221" t="s">
        <v>88</v>
      </c>
      <c r="H221" t="s">
        <v>338</v>
      </c>
    </row>
    <row r="222" spans="1:8" x14ac:dyDescent="0.2">
      <c r="A222" t="s">
        <v>106</v>
      </c>
      <c r="B222" s="7">
        <v>1.128572625E-4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2.459351126926318E-2</v>
      </c>
      <c r="C225" t="s">
        <v>37</v>
      </c>
      <c r="D225" t="s">
        <v>76</v>
      </c>
      <c r="F225" t="s">
        <v>88</v>
      </c>
      <c r="G225" t="s">
        <v>27</v>
      </c>
      <c r="H225" t="s">
        <v>452</v>
      </c>
    </row>
    <row r="226" spans="1:8" x14ac:dyDescent="0.2">
      <c r="A226" t="s">
        <v>150</v>
      </c>
      <c r="B226" s="11">
        <v>7.6296941880860544E-2</v>
      </c>
      <c r="D226" t="s">
        <v>76</v>
      </c>
      <c r="E226" t="s">
        <v>442</v>
      </c>
      <c r="F226" t="s">
        <v>163</v>
      </c>
      <c r="G226" t="s">
        <v>65</v>
      </c>
    </row>
    <row r="227" spans="1:8" x14ac:dyDescent="0.2">
      <c r="A227" t="s">
        <v>448</v>
      </c>
      <c r="B227" s="11">
        <v>9.2668350462583665E-4</v>
      </c>
      <c r="D227" t="s">
        <v>76</v>
      </c>
      <c r="E227" t="s">
        <v>442</v>
      </c>
      <c r="F227" t="s">
        <v>163</v>
      </c>
      <c r="G227" t="s">
        <v>446</v>
      </c>
    </row>
    <row r="228" spans="1:8" x14ac:dyDescent="0.2">
      <c r="A228" t="s">
        <v>210</v>
      </c>
      <c r="B228" s="7">
        <v>3.9349618030821087E-7</v>
      </c>
      <c r="D228" t="s">
        <v>76</v>
      </c>
      <c r="E228" t="s">
        <v>442</v>
      </c>
      <c r="F228" t="s">
        <v>163</v>
      </c>
      <c r="G228" t="s">
        <v>66</v>
      </c>
    </row>
    <row r="229" spans="1:8" x14ac:dyDescent="0.2">
      <c r="A229" t="s">
        <v>54</v>
      </c>
      <c r="B229" s="7">
        <v>3.7804648655641067E-5</v>
      </c>
      <c r="D229" t="s">
        <v>76</v>
      </c>
      <c r="E229" t="s">
        <v>442</v>
      </c>
      <c r="F229" t="s">
        <v>163</v>
      </c>
      <c r="G229" t="s">
        <v>54</v>
      </c>
    </row>
    <row r="230" spans="1:8" x14ac:dyDescent="0.2">
      <c r="A230" t="s">
        <v>151</v>
      </c>
      <c r="B230" s="7">
        <v>2.8884122543618082E-5</v>
      </c>
      <c r="D230" t="s">
        <v>76</v>
      </c>
      <c r="E230" t="s">
        <v>442</v>
      </c>
      <c r="F230" t="s">
        <v>163</v>
      </c>
      <c r="G230" t="s">
        <v>55</v>
      </c>
    </row>
    <row r="231" spans="1:8" x14ac:dyDescent="0.2">
      <c r="A231" t="s">
        <v>152</v>
      </c>
      <c r="B231" s="7">
        <v>3.383929830422446E-3</v>
      </c>
      <c r="D231" t="s">
        <v>76</v>
      </c>
      <c r="E231" t="s">
        <v>442</v>
      </c>
      <c r="F231" t="s">
        <v>163</v>
      </c>
      <c r="G231" t="s">
        <v>56</v>
      </c>
    </row>
    <row r="232" spans="1:8" x14ac:dyDescent="0.2">
      <c r="A232" t="s">
        <v>211</v>
      </c>
      <c r="B232" s="7">
        <v>1.465455227986712E-6</v>
      </c>
      <c r="D232" t="s">
        <v>76</v>
      </c>
      <c r="E232" t="s">
        <v>442</v>
      </c>
      <c r="F232" t="s">
        <v>163</v>
      </c>
      <c r="G232" t="s">
        <v>57</v>
      </c>
    </row>
    <row r="233" spans="1:8" x14ac:dyDescent="0.2">
      <c r="A233" t="s">
        <v>153</v>
      </c>
      <c r="B233" s="7">
        <v>1.465455227986712E-6</v>
      </c>
      <c r="D233" t="s">
        <v>76</v>
      </c>
      <c r="E233" t="s">
        <v>442</v>
      </c>
      <c r="F233" t="s">
        <v>163</v>
      </c>
      <c r="G233" t="s">
        <v>58</v>
      </c>
    </row>
    <row r="234" spans="1:8" x14ac:dyDescent="0.2">
      <c r="A234" t="s">
        <v>154</v>
      </c>
      <c r="B234" s="7">
        <v>1.0989552634931646E-4</v>
      </c>
      <c r="D234" t="s">
        <v>76</v>
      </c>
      <c r="E234" t="s">
        <v>442</v>
      </c>
      <c r="F234" t="s">
        <v>163</v>
      </c>
      <c r="G234" t="s">
        <v>59</v>
      </c>
    </row>
    <row r="235" spans="1:8" x14ac:dyDescent="0.2">
      <c r="A235" t="s">
        <v>212</v>
      </c>
      <c r="B235" s="7">
        <v>3.2870160763741949E-6</v>
      </c>
      <c r="D235" t="s">
        <v>76</v>
      </c>
      <c r="E235" t="s">
        <v>442</v>
      </c>
      <c r="F235" t="s">
        <v>163</v>
      </c>
      <c r="G235" t="s">
        <v>61</v>
      </c>
    </row>
    <row r="236" spans="1:8" x14ac:dyDescent="0.2">
      <c r="A236" t="s">
        <v>207</v>
      </c>
      <c r="B236" s="7">
        <v>3.0486315600377939E-4</v>
      </c>
      <c r="D236" t="s">
        <v>76</v>
      </c>
      <c r="E236" t="s">
        <v>442</v>
      </c>
      <c r="F236" t="s">
        <v>163</v>
      </c>
      <c r="G236" t="s">
        <v>360</v>
      </c>
    </row>
    <row r="237" spans="1:8" x14ac:dyDescent="0.2">
      <c r="A237" t="s">
        <v>309</v>
      </c>
      <c r="B237" s="7">
        <v>2.1496761000266487E-5</v>
      </c>
      <c r="D237" t="s">
        <v>76</v>
      </c>
      <c r="E237" t="s">
        <v>442</v>
      </c>
      <c r="F237" t="s">
        <v>163</v>
      </c>
      <c r="G237" t="s">
        <v>309</v>
      </c>
    </row>
    <row r="238" spans="1:8" x14ac:dyDescent="0.2">
      <c r="A238" t="s">
        <v>310</v>
      </c>
      <c r="B238" s="7">
        <v>4.3802177586749907E-6</v>
      </c>
      <c r="D238" t="s">
        <v>76</v>
      </c>
      <c r="E238" t="s">
        <v>442</v>
      </c>
      <c r="F238" t="s">
        <v>163</v>
      </c>
      <c r="G238" t="s">
        <v>310</v>
      </c>
    </row>
    <row r="239" spans="1:8" x14ac:dyDescent="0.2">
      <c r="A239" t="s">
        <v>311</v>
      </c>
      <c r="B239" s="7">
        <v>3.5311293931472228E-5</v>
      </c>
      <c r="D239" t="s">
        <v>76</v>
      </c>
      <c r="E239" t="s">
        <v>442</v>
      </c>
      <c r="F239" t="s">
        <v>163</v>
      </c>
      <c r="G239" t="s">
        <v>311</v>
      </c>
    </row>
    <row r="240" spans="1:8" x14ac:dyDescent="0.2">
      <c r="A240" t="s">
        <v>312</v>
      </c>
      <c r="B240" s="7">
        <v>1.4488412586386504E-5</v>
      </c>
      <c r="D240" t="s">
        <v>76</v>
      </c>
      <c r="E240" t="s">
        <v>442</v>
      </c>
      <c r="F240" t="s">
        <v>163</v>
      </c>
      <c r="G240" t="s">
        <v>312</v>
      </c>
    </row>
    <row r="241" spans="1:7" x14ac:dyDescent="0.2">
      <c r="A241" t="s">
        <v>313</v>
      </c>
      <c r="B241" s="7">
        <v>1.0849462448410361E-5</v>
      </c>
      <c r="D241" t="s">
        <v>76</v>
      </c>
      <c r="E241" t="s">
        <v>442</v>
      </c>
      <c r="F241" t="s">
        <v>163</v>
      </c>
      <c r="G241" t="s">
        <v>313</v>
      </c>
    </row>
    <row r="242" spans="1:7" x14ac:dyDescent="0.2">
      <c r="A242" t="s">
        <v>314</v>
      </c>
      <c r="B242" s="7">
        <v>7.6822280690607534E-6</v>
      </c>
      <c r="D242" t="s">
        <v>76</v>
      </c>
      <c r="E242" t="s">
        <v>442</v>
      </c>
      <c r="F242" t="s">
        <v>163</v>
      </c>
      <c r="G242" t="s">
        <v>314</v>
      </c>
    </row>
    <row r="243" spans="1:7" x14ac:dyDescent="0.2">
      <c r="A243" t="s">
        <v>315</v>
      </c>
      <c r="B243" s="7">
        <v>4.986709448337682E-6</v>
      </c>
      <c r="D243" t="s">
        <v>76</v>
      </c>
      <c r="E243" t="s">
        <v>442</v>
      </c>
      <c r="F243" t="s">
        <v>163</v>
      </c>
      <c r="G243" t="s">
        <v>315</v>
      </c>
    </row>
    <row r="244" spans="1:7" x14ac:dyDescent="0.2">
      <c r="A244" t="s">
        <v>316</v>
      </c>
      <c r="B244" s="7">
        <v>4.9193214828196046E-5</v>
      </c>
      <c r="D244" t="s">
        <v>76</v>
      </c>
      <c r="E244" t="s">
        <v>442</v>
      </c>
      <c r="F244" t="s">
        <v>163</v>
      </c>
      <c r="G244" t="s">
        <v>316</v>
      </c>
    </row>
    <row r="245" spans="1:7" x14ac:dyDescent="0.2">
      <c r="A245" t="s">
        <v>317</v>
      </c>
      <c r="B245" s="7">
        <v>2.5742202827905325E-5</v>
      </c>
      <c r="D245" t="s">
        <v>76</v>
      </c>
      <c r="E245" t="s">
        <v>442</v>
      </c>
      <c r="F245" t="s">
        <v>163</v>
      </c>
      <c r="G245" t="s">
        <v>317</v>
      </c>
    </row>
    <row r="246" spans="1:7" x14ac:dyDescent="0.2">
      <c r="A246" t="s">
        <v>318</v>
      </c>
      <c r="B246" s="7">
        <v>7.412676206988445E-7</v>
      </c>
      <c r="D246" t="s">
        <v>76</v>
      </c>
      <c r="E246" t="s">
        <v>442</v>
      </c>
      <c r="F246" t="s">
        <v>163</v>
      </c>
      <c r="G246" t="s">
        <v>318</v>
      </c>
    </row>
    <row r="247" spans="1:7" x14ac:dyDescent="0.2">
      <c r="A247" t="s">
        <v>319</v>
      </c>
      <c r="B247" s="7">
        <v>7.3991986138848291E-5</v>
      </c>
      <c r="D247" t="s">
        <v>76</v>
      </c>
      <c r="E247" t="s">
        <v>442</v>
      </c>
      <c r="F247" t="s">
        <v>163</v>
      </c>
      <c r="G247" t="s">
        <v>319</v>
      </c>
    </row>
    <row r="248" spans="1:7" x14ac:dyDescent="0.2">
      <c r="A248" t="s">
        <v>320</v>
      </c>
      <c r="B248" s="7">
        <v>3.6591665276315688E-5</v>
      </c>
      <c r="D248" t="s">
        <v>76</v>
      </c>
      <c r="E248" t="s">
        <v>442</v>
      </c>
      <c r="F248" t="s">
        <v>163</v>
      </c>
      <c r="G248" t="s">
        <v>320</v>
      </c>
    </row>
    <row r="249" spans="1:7" x14ac:dyDescent="0.2">
      <c r="A249" t="s">
        <v>321</v>
      </c>
      <c r="B249" s="7">
        <v>1.522968020708535E-5</v>
      </c>
      <c r="D249" t="s">
        <v>76</v>
      </c>
      <c r="E249" t="s">
        <v>442</v>
      </c>
      <c r="F249" t="s">
        <v>163</v>
      </c>
      <c r="G249" t="s">
        <v>321</v>
      </c>
    </row>
    <row r="250" spans="1:7" x14ac:dyDescent="0.2">
      <c r="A250" t="s">
        <v>322</v>
      </c>
      <c r="B250" s="7">
        <v>1.1455954138073051E-5</v>
      </c>
      <c r="D250" t="s">
        <v>76</v>
      </c>
      <c r="E250" t="s">
        <v>442</v>
      </c>
      <c r="F250" t="s">
        <v>163</v>
      </c>
      <c r="G250" t="s">
        <v>322</v>
      </c>
    </row>
    <row r="251" spans="1:7" x14ac:dyDescent="0.2">
      <c r="A251" t="s">
        <v>323</v>
      </c>
      <c r="B251" s="7">
        <v>5.0540974138557577E-6</v>
      </c>
      <c r="D251" t="s">
        <v>76</v>
      </c>
      <c r="E251" t="s">
        <v>442</v>
      </c>
      <c r="F251" t="s">
        <v>163</v>
      </c>
      <c r="G251" t="s">
        <v>323</v>
      </c>
    </row>
    <row r="252" spans="1:7" x14ac:dyDescent="0.2">
      <c r="A252" t="s">
        <v>324</v>
      </c>
      <c r="B252" s="7">
        <v>1.482535241397689E-6</v>
      </c>
      <c r="D252" t="s">
        <v>76</v>
      </c>
      <c r="E252" t="s">
        <v>442</v>
      </c>
      <c r="F252" t="s">
        <v>163</v>
      </c>
      <c r="G252" t="s">
        <v>324</v>
      </c>
    </row>
    <row r="253" spans="1:7" x14ac:dyDescent="0.2">
      <c r="A253" t="s">
        <v>325</v>
      </c>
      <c r="B253" s="7">
        <v>4.1106658966026837E-6</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1.2803713448434585E-6</v>
      </c>
      <c r="D255" t="s">
        <v>76</v>
      </c>
      <c r="E255" t="s">
        <v>442</v>
      </c>
      <c r="F255" t="s">
        <v>163</v>
      </c>
      <c r="G255" t="s">
        <v>326</v>
      </c>
    </row>
    <row r="256" spans="1:7" x14ac:dyDescent="0.2">
      <c r="A256" t="s">
        <v>327</v>
      </c>
      <c r="B256" s="7">
        <v>6.8061845173257543E-6</v>
      </c>
      <c r="D256" t="s">
        <v>76</v>
      </c>
      <c r="E256" t="s">
        <v>442</v>
      </c>
      <c r="F256" t="s">
        <v>163</v>
      </c>
      <c r="G256" t="s">
        <v>327</v>
      </c>
    </row>
    <row r="257" spans="1:8" x14ac:dyDescent="0.2">
      <c r="A257" t="s">
        <v>336</v>
      </c>
      <c r="B257" s="7">
        <v>8.5786796674017128E-10</v>
      </c>
      <c r="D257" t="s">
        <v>76</v>
      </c>
      <c r="E257" t="s">
        <v>442</v>
      </c>
      <c r="F257" t="s">
        <v>163</v>
      </c>
      <c r="G257" t="s">
        <v>329</v>
      </c>
    </row>
    <row r="258" spans="1:8" x14ac:dyDescent="0.2">
      <c r="A258" t="s">
        <v>330</v>
      </c>
      <c r="B258" s="7">
        <v>7.3954135063807875E-12</v>
      </c>
      <c r="D258" t="s">
        <v>76</v>
      </c>
      <c r="E258" t="s">
        <v>442</v>
      </c>
      <c r="F258" t="s">
        <v>163</v>
      </c>
      <c r="G258" t="s">
        <v>330</v>
      </c>
    </row>
    <row r="259" spans="1:8" x14ac:dyDescent="0.2">
      <c r="A259" t="s">
        <v>331</v>
      </c>
      <c r="B259" s="7">
        <v>4.9302756709205247E-12</v>
      </c>
      <c r="D259" t="s">
        <v>76</v>
      </c>
      <c r="E259" t="s">
        <v>442</v>
      </c>
      <c r="F259" t="s">
        <v>163</v>
      </c>
      <c r="G259" t="s">
        <v>331</v>
      </c>
    </row>
    <row r="260" spans="1:8" x14ac:dyDescent="0.2">
      <c r="A260" t="s">
        <v>332</v>
      </c>
      <c r="B260" s="7">
        <v>5.324697724594167E-8</v>
      </c>
      <c r="D260" t="s">
        <v>76</v>
      </c>
      <c r="E260" t="s">
        <v>442</v>
      </c>
      <c r="F260" t="s">
        <v>163</v>
      </c>
      <c r="G260" t="s">
        <v>332</v>
      </c>
    </row>
    <row r="261" spans="1:8" x14ac:dyDescent="0.2">
      <c r="A261" t="s">
        <v>290</v>
      </c>
      <c r="B261" s="7">
        <v>1.0353578908933101E-9</v>
      </c>
      <c r="D261" t="s">
        <v>76</v>
      </c>
      <c r="E261" t="s">
        <v>442</v>
      </c>
      <c r="F261" t="s">
        <v>163</v>
      </c>
      <c r="G261" t="s">
        <v>290</v>
      </c>
    </row>
    <row r="262" spans="1:8" x14ac:dyDescent="0.2">
      <c r="A262" t="s">
        <v>292</v>
      </c>
      <c r="B262" s="7">
        <v>3.2046791860983413E-10</v>
      </c>
      <c r="D262" t="s">
        <v>76</v>
      </c>
      <c r="E262" t="s">
        <v>442</v>
      </c>
      <c r="F262" t="s">
        <v>163</v>
      </c>
      <c r="G262" t="s">
        <v>292</v>
      </c>
    </row>
    <row r="263" spans="1:8" x14ac:dyDescent="0.2">
      <c r="A263" t="s">
        <v>291</v>
      </c>
      <c r="B263" s="7">
        <v>3.9442205367364202E-10</v>
      </c>
      <c r="D263" t="s">
        <v>76</v>
      </c>
      <c r="E263" t="s">
        <v>442</v>
      </c>
      <c r="F263" t="s">
        <v>163</v>
      </c>
      <c r="G263" t="s">
        <v>291</v>
      </c>
    </row>
    <row r="264" spans="1:8" x14ac:dyDescent="0.2">
      <c r="A264" t="s">
        <v>335</v>
      </c>
      <c r="B264" s="7">
        <v>7.8884410734728391E-13</v>
      </c>
      <c r="D264" t="s">
        <v>76</v>
      </c>
      <c r="E264" t="s">
        <v>442</v>
      </c>
      <c r="F264" t="s">
        <v>163</v>
      </c>
      <c r="G264" t="s">
        <v>335</v>
      </c>
    </row>
    <row r="265" spans="1:8" x14ac:dyDescent="0.2">
      <c r="A265" t="s">
        <v>333</v>
      </c>
      <c r="B265" s="7">
        <v>2.1446699168504282E-10</v>
      </c>
      <c r="D265" t="s">
        <v>76</v>
      </c>
      <c r="E265" t="s">
        <v>442</v>
      </c>
      <c r="F265" t="s">
        <v>163</v>
      </c>
      <c r="G265" t="s">
        <v>333</v>
      </c>
    </row>
    <row r="266" spans="1:8" x14ac:dyDescent="0.2">
      <c r="A266" t="s">
        <v>334</v>
      </c>
      <c r="B266" s="7">
        <v>2.6623488622970838E-10</v>
      </c>
      <c r="D266" t="s">
        <v>76</v>
      </c>
      <c r="E266" t="s">
        <v>442</v>
      </c>
      <c r="F266" t="s">
        <v>163</v>
      </c>
      <c r="G266" t="s">
        <v>334</v>
      </c>
    </row>
    <row r="267" spans="1:8" x14ac:dyDescent="0.2">
      <c r="A267" t="s">
        <v>155</v>
      </c>
      <c r="B267" s="7">
        <v>-7.5773180063729661E-6</v>
      </c>
      <c r="C267" t="s">
        <v>91</v>
      </c>
      <c r="D267" t="s">
        <v>76</v>
      </c>
      <c r="F267" t="s">
        <v>88</v>
      </c>
      <c r="G267" t="s">
        <v>29</v>
      </c>
      <c r="H267" t="s">
        <v>157</v>
      </c>
    </row>
    <row r="268" spans="1:8" x14ac:dyDescent="0.2">
      <c r="A268" t="s">
        <v>156</v>
      </c>
      <c r="B268" s="7">
        <v>-5.8342899858966527E-6</v>
      </c>
      <c r="C268" t="s">
        <v>91</v>
      </c>
      <c r="D268" t="s">
        <v>76</v>
      </c>
      <c r="F268" t="s">
        <v>88</v>
      </c>
      <c r="G268" t="s">
        <v>30</v>
      </c>
      <c r="H268" t="s">
        <v>158</v>
      </c>
    </row>
    <row r="269" spans="1:8" x14ac:dyDescent="0.2">
      <c r="A269" t="s">
        <v>164</v>
      </c>
      <c r="B269" s="7">
        <v>-4.1686167334246386E-6</v>
      </c>
      <c r="C269" t="s">
        <v>91</v>
      </c>
      <c r="D269" t="s">
        <v>76</v>
      </c>
      <c r="F269" t="s">
        <v>88</v>
      </c>
      <c r="G269" t="s">
        <v>31</v>
      </c>
      <c r="H269" t="s">
        <v>159</v>
      </c>
    </row>
    <row r="271" spans="1:8" ht="16" x14ac:dyDescent="0.2">
      <c r="A271" s="10" t="s">
        <v>70</v>
      </c>
      <c r="B271" s="8" t="s">
        <v>579</v>
      </c>
    </row>
    <row r="272" spans="1:8" x14ac:dyDescent="0.2">
      <c r="A272" t="s">
        <v>71</v>
      </c>
      <c r="B272" t="s">
        <v>37</v>
      </c>
    </row>
    <row r="273" spans="1:2" x14ac:dyDescent="0.2">
      <c r="A273" t="s">
        <v>85</v>
      </c>
      <c r="B273" t="s">
        <v>339</v>
      </c>
    </row>
    <row r="274" spans="1:2" x14ac:dyDescent="0.2">
      <c r="A274" t="s">
        <v>86</v>
      </c>
    </row>
    <row r="275" spans="1:2" x14ac:dyDescent="0.2">
      <c r="A275" t="s">
        <v>87</v>
      </c>
      <c r="B275">
        <v>2020</v>
      </c>
    </row>
    <row r="276" spans="1:2" x14ac:dyDescent="0.2">
      <c r="A276" t="s">
        <v>123</v>
      </c>
      <c r="B276" t="s">
        <v>342</v>
      </c>
    </row>
    <row r="277" spans="1:2" x14ac:dyDescent="0.2">
      <c r="A277" t="s">
        <v>72</v>
      </c>
      <c r="B277" t="s">
        <v>579</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30000</v>
      </c>
    </row>
    <row r="282" spans="1:2" x14ac:dyDescent="0.2">
      <c r="A282" t="s">
        <v>125</v>
      </c>
      <c r="B282">
        <v>1</v>
      </c>
    </row>
    <row r="283" spans="1:2" x14ac:dyDescent="0.2">
      <c r="A283" t="s">
        <v>126</v>
      </c>
      <c r="B283">
        <v>1.2</v>
      </c>
    </row>
    <row r="284" spans="1:2" x14ac:dyDescent="0.2">
      <c r="A284" t="s">
        <v>127</v>
      </c>
      <c r="B284">
        <v>0</v>
      </c>
    </row>
    <row r="285" spans="1:2" x14ac:dyDescent="0.2">
      <c r="A285" t="s">
        <v>128</v>
      </c>
      <c r="B285">
        <v>1870</v>
      </c>
    </row>
    <row r="286" spans="1:2" x14ac:dyDescent="0.2">
      <c r="A286" t="s">
        <v>129</v>
      </c>
      <c r="B286" s="2">
        <v>129.76249999999999</v>
      </c>
    </row>
    <row r="287" spans="1:2" x14ac:dyDescent="0.2">
      <c r="A287" t="s">
        <v>130</v>
      </c>
      <c r="B287">
        <v>8.8000000000000007</v>
      </c>
    </row>
    <row r="288" spans="1:2" x14ac:dyDescent="0.2">
      <c r="A288" t="s">
        <v>131</v>
      </c>
      <c r="B288" t="s">
        <v>84</v>
      </c>
    </row>
    <row r="289" spans="1:8" x14ac:dyDescent="0.2">
      <c r="A289" t="s">
        <v>99</v>
      </c>
      <c r="B289">
        <v>0</v>
      </c>
    </row>
    <row r="290" spans="1:8" x14ac:dyDescent="0.2">
      <c r="A290" t="s">
        <v>134</v>
      </c>
      <c r="B290" s="2">
        <v>79.875</v>
      </c>
    </row>
    <row r="291" spans="1:8" x14ac:dyDescent="0.2">
      <c r="A291" t="s">
        <v>135</v>
      </c>
      <c r="B291">
        <v>6.75</v>
      </c>
    </row>
    <row r="292" spans="1:8" x14ac:dyDescent="0.2">
      <c r="A292" t="s">
        <v>132</v>
      </c>
      <c r="B292" s="2">
        <v>277.23498867374587</v>
      </c>
    </row>
    <row r="293" spans="1:8" x14ac:dyDescent="0.2">
      <c r="A293" t="s">
        <v>133</v>
      </c>
      <c r="B293" t="s">
        <v>139</v>
      </c>
    </row>
    <row r="294" spans="1:8" x14ac:dyDescent="0.2">
      <c r="A294" t="s">
        <v>540</v>
      </c>
      <c r="B294" s="6">
        <v>0</v>
      </c>
    </row>
    <row r="295" spans="1:8" x14ac:dyDescent="0.2">
      <c r="A295" t="s">
        <v>82</v>
      </c>
      <c r="B295" t="s">
        <v>580</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579</v>
      </c>
      <c r="B298">
        <v>1</v>
      </c>
      <c r="C298" t="s">
        <v>37</v>
      </c>
      <c r="D298" t="s">
        <v>162</v>
      </c>
      <c r="F298" t="s">
        <v>83</v>
      </c>
      <c r="G298" t="s">
        <v>84</v>
      </c>
      <c r="H298" t="s">
        <v>579</v>
      </c>
    </row>
    <row r="299" spans="1:8" x14ac:dyDescent="0.2">
      <c r="A299" t="s">
        <v>339</v>
      </c>
      <c r="B299" s="7">
        <v>3.3333333333333335E-5</v>
      </c>
      <c r="C299" t="s">
        <v>37</v>
      </c>
      <c r="D299" t="s">
        <v>75</v>
      </c>
      <c r="F299" t="s">
        <v>88</v>
      </c>
      <c r="H299" t="s">
        <v>339</v>
      </c>
    </row>
    <row r="300" spans="1:8" x14ac:dyDescent="0.2">
      <c r="A300" t="s">
        <v>106</v>
      </c>
      <c r="B300" s="7">
        <v>1.1210546249999999E-4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2.4347576156570547E-2</v>
      </c>
      <c r="C303" t="s">
        <v>37</v>
      </c>
      <c r="D303" t="s">
        <v>76</v>
      </c>
      <c r="F303" t="s">
        <v>88</v>
      </c>
      <c r="G303" t="s">
        <v>27</v>
      </c>
      <c r="H303" t="s">
        <v>452</v>
      </c>
    </row>
    <row r="304" spans="1:8" x14ac:dyDescent="0.2">
      <c r="A304" t="s">
        <v>150</v>
      </c>
      <c r="B304" s="11">
        <v>7.5533972462051943E-2</v>
      </c>
      <c r="D304" t="s">
        <v>76</v>
      </c>
      <c r="E304" t="s">
        <v>442</v>
      </c>
      <c r="F304" t="s">
        <v>163</v>
      </c>
      <c r="G304" t="s">
        <v>65</v>
      </c>
    </row>
    <row r="305" spans="1:7" x14ac:dyDescent="0.2">
      <c r="A305" t="s">
        <v>448</v>
      </c>
      <c r="B305" s="11">
        <v>9.1741666957957831E-4</v>
      </c>
      <c r="D305" t="s">
        <v>76</v>
      </c>
      <c r="E305" t="s">
        <v>442</v>
      </c>
      <c r="F305" t="s">
        <v>163</v>
      </c>
      <c r="G305" t="s">
        <v>446</v>
      </c>
    </row>
    <row r="306" spans="1:7" x14ac:dyDescent="0.2">
      <c r="A306" t="s">
        <v>210</v>
      </c>
      <c r="B306" s="7">
        <v>3.8956121850512876E-7</v>
      </c>
      <c r="D306" t="s">
        <v>76</v>
      </c>
      <c r="E306" t="s">
        <v>442</v>
      </c>
      <c r="F306" t="s">
        <v>163</v>
      </c>
      <c r="G306" t="s">
        <v>66</v>
      </c>
    </row>
    <row r="307" spans="1:7" x14ac:dyDescent="0.2">
      <c r="A307" t="s">
        <v>54</v>
      </c>
      <c r="B307" s="7">
        <v>3.7426602169084653E-5</v>
      </c>
      <c r="D307" t="s">
        <v>76</v>
      </c>
      <c r="E307" t="s">
        <v>442</v>
      </c>
      <c r="F307" t="s">
        <v>163</v>
      </c>
      <c r="G307" t="s">
        <v>54</v>
      </c>
    </row>
    <row r="308" spans="1:7" x14ac:dyDescent="0.2">
      <c r="A308" t="s">
        <v>151</v>
      </c>
      <c r="B308" s="7">
        <v>2.8595281318181901E-5</v>
      </c>
      <c r="D308" t="s">
        <v>76</v>
      </c>
      <c r="E308" t="s">
        <v>442</v>
      </c>
      <c r="F308" t="s">
        <v>163</v>
      </c>
      <c r="G308" t="s">
        <v>55</v>
      </c>
    </row>
    <row r="309" spans="1:7" x14ac:dyDescent="0.2">
      <c r="A309" t="s">
        <v>152</v>
      </c>
      <c r="B309" s="7">
        <v>3.3500905321182215E-3</v>
      </c>
      <c r="D309" t="s">
        <v>76</v>
      </c>
      <c r="E309" t="s">
        <v>442</v>
      </c>
      <c r="F309" t="s">
        <v>163</v>
      </c>
      <c r="G309" t="s">
        <v>56</v>
      </c>
    </row>
    <row r="310" spans="1:7" x14ac:dyDescent="0.2">
      <c r="A310" t="s">
        <v>211</v>
      </c>
      <c r="B310" s="7">
        <v>1.4508006757068449E-6</v>
      </c>
      <c r="D310" t="s">
        <v>76</v>
      </c>
      <c r="E310" t="s">
        <v>442</v>
      </c>
      <c r="F310" t="s">
        <v>163</v>
      </c>
      <c r="G310" t="s">
        <v>57</v>
      </c>
    </row>
    <row r="311" spans="1:7" x14ac:dyDescent="0.2">
      <c r="A311" t="s">
        <v>153</v>
      </c>
      <c r="B311" s="7">
        <v>1.4508006757068449E-6</v>
      </c>
      <c r="D311" t="s">
        <v>76</v>
      </c>
      <c r="E311" t="s">
        <v>442</v>
      </c>
      <c r="F311" t="s">
        <v>163</v>
      </c>
      <c r="G311" t="s">
        <v>58</v>
      </c>
    </row>
    <row r="312" spans="1:7" x14ac:dyDescent="0.2">
      <c r="A312" t="s">
        <v>154</v>
      </c>
      <c r="B312" s="7">
        <v>1.0879657108582329E-4</v>
      </c>
      <c r="D312" t="s">
        <v>76</v>
      </c>
      <c r="E312" t="s">
        <v>442</v>
      </c>
      <c r="F312" t="s">
        <v>163</v>
      </c>
      <c r="G312" t="s">
        <v>59</v>
      </c>
    </row>
    <row r="313" spans="1:7" x14ac:dyDescent="0.2">
      <c r="A313" t="s">
        <v>212</v>
      </c>
      <c r="B313" s="7">
        <v>3.2541459156104529E-6</v>
      </c>
      <c r="D313" t="s">
        <v>76</v>
      </c>
      <c r="E313" t="s">
        <v>442</v>
      </c>
      <c r="F313" t="s">
        <v>163</v>
      </c>
      <c r="G313" t="s">
        <v>61</v>
      </c>
    </row>
    <row r="314" spans="1:7" x14ac:dyDescent="0.2">
      <c r="A314" t="s">
        <v>207</v>
      </c>
      <c r="B314" s="7">
        <v>3.018145244437416E-4</v>
      </c>
      <c r="D314" t="s">
        <v>76</v>
      </c>
      <c r="E314" t="s">
        <v>442</v>
      </c>
      <c r="F314" t="s">
        <v>163</v>
      </c>
      <c r="G314" t="s">
        <v>360</v>
      </c>
    </row>
    <row r="315" spans="1:7" x14ac:dyDescent="0.2">
      <c r="A315" t="s">
        <v>309</v>
      </c>
      <c r="B315" s="7">
        <v>2.1281793390263825E-5</v>
      </c>
      <c r="D315" t="s">
        <v>76</v>
      </c>
      <c r="E315" t="s">
        <v>442</v>
      </c>
      <c r="F315" t="s">
        <v>163</v>
      </c>
      <c r="G315" t="s">
        <v>309</v>
      </c>
    </row>
    <row r="316" spans="1:7" x14ac:dyDescent="0.2">
      <c r="A316" t="s">
        <v>310</v>
      </c>
      <c r="B316" s="7">
        <v>4.3364155810882407E-6</v>
      </c>
      <c r="D316" t="s">
        <v>76</v>
      </c>
      <c r="E316" t="s">
        <v>442</v>
      </c>
      <c r="F316" t="s">
        <v>163</v>
      </c>
      <c r="G316" t="s">
        <v>310</v>
      </c>
    </row>
    <row r="317" spans="1:7" x14ac:dyDescent="0.2">
      <c r="A317" t="s">
        <v>311</v>
      </c>
      <c r="B317" s="7">
        <v>3.4958180992157506E-5</v>
      </c>
      <c r="D317" t="s">
        <v>76</v>
      </c>
      <c r="E317" t="s">
        <v>442</v>
      </c>
      <c r="F317" t="s">
        <v>163</v>
      </c>
      <c r="G317" t="s">
        <v>311</v>
      </c>
    </row>
    <row r="318" spans="1:7" x14ac:dyDescent="0.2">
      <c r="A318" t="s">
        <v>312</v>
      </c>
      <c r="B318" s="7">
        <v>1.4343528460522639E-5</v>
      </c>
      <c r="D318" t="s">
        <v>76</v>
      </c>
      <c r="E318" t="s">
        <v>442</v>
      </c>
      <c r="F318" t="s">
        <v>163</v>
      </c>
      <c r="G318" t="s">
        <v>312</v>
      </c>
    </row>
    <row r="319" spans="1:7" x14ac:dyDescent="0.2">
      <c r="A319" t="s">
        <v>313</v>
      </c>
      <c r="B319" s="7">
        <v>1.0740967823926257E-5</v>
      </c>
      <c r="D319" t="s">
        <v>76</v>
      </c>
      <c r="E319" t="s">
        <v>442</v>
      </c>
      <c r="F319" t="s">
        <v>163</v>
      </c>
      <c r="G319" t="s">
        <v>313</v>
      </c>
    </row>
    <row r="320" spans="1:7" x14ac:dyDescent="0.2">
      <c r="A320" t="s">
        <v>314</v>
      </c>
      <c r="B320" s="7">
        <v>7.6054057883701452E-6</v>
      </c>
      <c r="D320" t="s">
        <v>76</v>
      </c>
      <c r="E320" t="s">
        <v>442</v>
      </c>
      <c r="F320" t="s">
        <v>163</v>
      </c>
      <c r="G320" t="s">
        <v>314</v>
      </c>
    </row>
    <row r="321" spans="1:7" x14ac:dyDescent="0.2">
      <c r="A321" t="s">
        <v>315</v>
      </c>
      <c r="B321" s="7">
        <v>4.9368423538543053E-6</v>
      </c>
      <c r="D321" t="s">
        <v>76</v>
      </c>
      <c r="E321" t="s">
        <v>442</v>
      </c>
      <c r="F321" t="s">
        <v>163</v>
      </c>
      <c r="G321" t="s">
        <v>315</v>
      </c>
    </row>
    <row r="322" spans="1:7" x14ac:dyDescent="0.2">
      <c r="A322" t="s">
        <v>316</v>
      </c>
      <c r="B322" s="7">
        <v>4.8701282679914084E-5</v>
      </c>
      <c r="D322" t="s">
        <v>76</v>
      </c>
      <c r="E322" t="s">
        <v>442</v>
      </c>
      <c r="F322" t="s">
        <v>163</v>
      </c>
      <c r="G322" t="s">
        <v>316</v>
      </c>
    </row>
    <row r="323" spans="1:7" x14ac:dyDescent="0.2">
      <c r="A323" t="s">
        <v>317</v>
      </c>
      <c r="B323" s="7">
        <v>2.5484780799626274E-5</v>
      </c>
      <c r="D323" t="s">
        <v>76</v>
      </c>
      <c r="E323" t="s">
        <v>442</v>
      </c>
      <c r="F323" t="s">
        <v>163</v>
      </c>
      <c r="G323" t="s">
        <v>317</v>
      </c>
    </row>
    <row r="324" spans="1:7" x14ac:dyDescent="0.2">
      <c r="A324" t="s">
        <v>318</v>
      </c>
      <c r="B324" s="7">
        <v>7.3385494449185606E-7</v>
      </c>
      <c r="D324" t="s">
        <v>76</v>
      </c>
      <c r="E324" t="s">
        <v>442</v>
      </c>
      <c r="F324" t="s">
        <v>163</v>
      </c>
      <c r="G324" t="s">
        <v>318</v>
      </c>
    </row>
    <row r="325" spans="1:7" x14ac:dyDescent="0.2">
      <c r="A325" t="s">
        <v>319</v>
      </c>
      <c r="B325" s="7">
        <v>7.3252066277459808E-5</v>
      </c>
      <c r="D325" t="s">
        <v>76</v>
      </c>
      <c r="E325" t="s">
        <v>442</v>
      </c>
      <c r="F325" t="s">
        <v>163</v>
      </c>
      <c r="G325" t="s">
        <v>319</v>
      </c>
    </row>
    <row r="326" spans="1:7" x14ac:dyDescent="0.2">
      <c r="A326" t="s">
        <v>320</v>
      </c>
      <c r="B326" s="7">
        <v>3.6225748623552532E-5</v>
      </c>
      <c r="D326" t="s">
        <v>76</v>
      </c>
      <c r="E326" t="s">
        <v>442</v>
      </c>
      <c r="F326" t="s">
        <v>163</v>
      </c>
      <c r="G326" t="s">
        <v>320</v>
      </c>
    </row>
    <row r="327" spans="1:7" x14ac:dyDescent="0.2">
      <c r="A327" t="s">
        <v>321</v>
      </c>
      <c r="B327" s="7">
        <v>1.5077383405014497E-5</v>
      </c>
      <c r="D327" t="s">
        <v>76</v>
      </c>
      <c r="E327" t="s">
        <v>442</v>
      </c>
      <c r="F327" t="s">
        <v>163</v>
      </c>
      <c r="G327" t="s">
        <v>321</v>
      </c>
    </row>
    <row r="328" spans="1:7" x14ac:dyDescent="0.2">
      <c r="A328" t="s">
        <v>322</v>
      </c>
      <c r="B328" s="7">
        <v>1.1341394596692321E-5</v>
      </c>
      <c r="D328" t="s">
        <v>76</v>
      </c>
      <c r="E328" t="s">
        <v>442</v>
      </c>
      <c r="F328" t="s">
        <v>163</v>
      </c>
      <c r="G328" t="s">
        <v>322</v>
      </c>
    </row>
    <row r="329" spans="1:7" x14ac:dyDescent="0.2">
      <c r="A329" t="s">
        <v>323</v>
      </c>
      <c r="B329" s="7">
        <v>5.0035564397171996E-6</v>
      </c>
      <c r="D329" t="s">
        <v>76</v>
      </c>
      <c r="E329" t="s">
        <v>442</v>
      </c>
      <c r="F329" t="s">
        <v>163</v>
      </c>
      <c r="G329" t="s">
        <v>323</v>
      </c>
    </row>
    <row r="330" spans="1:7" x14ac:dyDescent="0.2">
      <c r="A330" t="s">
        <v>324</v>
      </c>
      <c r="B330" s="7">
        <v>1.4677098889837121E-6</v>
      </c>
      <c r="D330" t="s">
        <v>76</v>
      </c>
      <c r="E330" t="s">
        <v>442</v>
      </c>
      <c r="F330" t="s">
        <v>163</v>
      </c>
      <c r="G330" t="s">
        <v>324</v>
      </c>
    </row>
    <row r="331" spans="1:7" x14ac:dyDescent="0.2">
      <c r="A331" t="s">
        <v>325</v>
      </c>
      <c r="B331" s="7">
        <v>4.0695592376366564E-6</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1.2675676313950239E-6</v>
      </c>
      <c r="D333" t="s">
        <v>76</v>
      </c>
      <c r="E333" t="s">
        <v>442</v>
      </c>
      <c r="F333" t="s">
        <v>163</v>
      </c>
      <c r="G333" t="s">
        <v>326</v>
      </c>
    </row>
    <row r="334" spans="1:7" x14ac:dyDescent="0.2">
      <c r="A334" t="s">
        <v>327</v>
      </c>
      <c r="B334" s="7">
        <v>6.7381226721524973E-6</v>
      </c>
      <c r="D334" t="s">
        <v>76</v>
      </c>
      <c r="E334" t="s">
        <v>442</v>
      </c>
      <c r="F334" t="s">
        <v>163</v>
      </c>
      <c r="G334" t="s">
        <v>327</v>
      </c>
    </row>
    <row r="335" spans="1:7" x14ac:dyDescent="0.2">
      <c r="A335" t="s">
        <v>336</v>
      </c>
      <c r="B335" s="7">
        <v>8.4928928707276964E-10</v>
      </c>
      <c r="D335" t="s">
        <v>76</v>
      </c>
      <c r="E335" t="s">
        <v>442</v>
      </c>
      <c r="F335" t="s">
        <v>163</v>
      </c>
      <c r="G335" t="s">
        <v>329</v>
      </c>
    </row>
    <row r="336" spans="1:7" x14ac:dyDescent="0.2">
      <c r="A336" t="s">
        <v>330</v>
      </c>
      <c r="B336" s="7">
        <v>7.3214593713169786E-12</v>
      </c>
      <c r="D336" t="s">
        <v>76</v>
      </c>
      <c r="E336" t="s">
        <v>442</v>
      </c>
      <c r="F336" t="s">
        <v>163</v>
      </c>
      <c r="G336" t="s">
        <v>330</v>
      </c>
    </row>
    <row r="337" spans="1:8" x14ac:dyDescent="0.2">
      <c r="A337" t="s">
        <v>331</v>
      </c>
      <c r="B337" s="7">
        <v>4.8809729142113196E-12</v>
      </c>
      <c r="D337" t="s">
        <v>76</v>
      </c>
      <c r="E337" t="s">
        <v>442</v>
      </c>
      <c r="F337" t="s">
        <v>163</v>
      </c>
      <c r="G337" t="s">
        <v>331</v>
      </c>
    </row>
    <row r="338" spans="1:8" x14ac:dyDescent="0.2">
      <c r="A338" t="s">
        <v>332</v>
      </c>
      <c r="B338" s="7">
        <v>5.271450747348225E-8</v>
      </c>
      <c r="D338" t="s">
        <v>76</v>
      </c>
      <c r="E338" t="s">
        <v>442</v>
      </c>
      <c r="F338" t="s">
        <v>163</v>
      </c>
      <c r="G338" t="s">
        <v>332</v>
      </c>
    </row>
    <row r="339" spans="1:8" x14ac:dyDescent="0.2">
      <c r="A339" t="s">
        <v>290</v>
      </c>
      <c r="B339" s="7">
        <v>1.025004311984377E-9</v>
      </c>
      <c r="D339" t="s">
        <v>76</v>
      </c>
      <c r="E339" t="s">
        <v>442</v>
      </c>
      <c r="F339" t="s">
        <v>163</v>
      </c>
      <c r="G339" t="s">
        <v>290</v>
      </c>
    </row>
    <row r="340" spans="1:8" x14ac:dyDescent="0.2">
      <c r="A340" t="s">
        <v>292</v>
      </c>
      <c r="B340" s="7">
        <v>3.1726323942373574E-10</v>
      </c>
      <c r="D340" t="s">
        <v>76</v>
      </c>
      <c r="E340" t="s">
        <v>442</v>
      </c>
      <c r="F340" t="s">
        <v>163</v>
      </c>
      <c r="G340" t="s">
        <v>292</v>
      </c>
    </row>
    <row r="341" spans="1:8" x14ac:dyDescent="0.2">
      <c r="A341" t="s">
        <v>291</v>
      </c>
      <c r="B341" s="7">
        <v>3.9047783313690559E-10</v>
      </c>
      <c r="D341" t="s">
        <v>76</v>
      </c>
      <c r="E341" t="s">
        <v>442</v>
      </c>
      <c r="F341" t="s">
        <v>163</v>
      </c>
      <c r="G341" t="s">
        <v>291</v>
      </c>
    </row>
    <row r="342" spans="1:8" x14ac:dyDescent="0.2">
      <c r="A342" t="s">
        <v>335</v>
      </c>
      <c r="B342" s="7">
        <v>7.8095566627381107E-13</v>
      </c>
      <c r="D342" t="s">
        <v>76</v>
      </c>
      <c r="E342" t="s">
        <v>442</v>
      </c>
      <c r="F342" t="s">
        <v>163</v>
      </c>
      <c r="G342" t="s">
        <v>335</v>
      </c>
    </row>
    <row r="343" spans="1:8" x14ac:dyDescent="0.2">
      <c r="A343" t="s">
        <v>333</v>
      </c>
      <c r="B343" s="7">
        <v>2.1232232176819241E-10</v>
      </c>
      <c r="D343" t="s">
        <v>76</v>
      </c>
      <c r="E343" t="s">
        <v>442</v>
      </c>
      <c r="F343" t="s">
        <v>163</v>
      </c>
      <c r="G343" t="s">
        <v>333</v>
      </c>
    </row>
    <row r="344" spans="1:8" x14ac:dyDescent="0.2">
      <c r="A344" t="s">
        <v>334</v>
      </c>
      <c r="B344" s="7">
        <v>2.6357253736741131E-10</v>
      </c>
      <c r="D344" t="s">
        <v>76</v>
      </c>
      <c r="E344" t="s">
        <v>442</v>
      </c>
      <c r="F344" t="s">
        <v>163</v>
      </c>
      <c r="G344" t="s">
        <v>334</v>
      </c>
    </row>
    <row r="345" spans="1:8" x14ac:dyDescent="0.2">
      <c r="A345" t="s">
        <v>155</v>
      </c>
      <c r="B345" s="7">
        <v>-7.5372278737950211E-6</v>
      </c>
      <c r="C345" t="s">
        <v>91</v>
      </c>
      <c r="D345" t="s">
        <v>76</v>
      </c>
      <c r="F345" t="s">
        <v>88</v>
      </c>
      <c r="G345" t="s">
        <v>29</v>
      </c>
      <c r="H345" t="s">
        <v>157</v>
      </c>
    </row>
    <row r="346" spans="1:8" x14ac:dyDescent="0.2">
      <c r="A346" t="s">
        <v>156</v>
      </c>
      <c r="B346" s="7">
        <v>-5.8136272579670234E-6</v>
      </c>
      <c r="C346" t="s">
        <v>91</v>
      </c>
      <c r="D346" t="s">
        <v>76</v>
      </c>
      <c r="F346" t="s">
        <v>88</v>
      </c>
      <c r="G346" t="s">
        <v>30</v>
      </c>
      <c r="H346" t="s">
        <v>158</v>
      </c>
    </row>
    <row r="347" spans="1:8" x14ac:dyDescent="0.2">
      <c r="A347" t="s">
        <v>164</v>
      </c>
      <c r="B347" s="7">
        <v>-4.1508659623612624E-6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83"/>
  <sheetViews>
    <sheetView topLeftCell="A10" zoomScale="85" zoomScaleNormal="85" workbookViewId="0">
      <selection activeCell="A36" sqref="A36"/>
    </sheetView>
  </sheetViews>
  <sheetFormatPr baseColWidth="10" defaultColWidth="8.66406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653</v>
      </c>
    </row>
    <row r="2" spans="1:2" x14ac:dyDescent="0.2">
      <c r="A2" t="s">
        <v>71</v>
      </c>
      <c r="B2" t="s">
        <v>37</v>
      </c>
    </row>
    <row r="3" spans="1:2" x14ac:dyDescent="0.2">
      <c r="A3" t="s">
        <v>85</v>
      </c>
      <c r="B3" t="s">
        <v>653</v>
      </c>
    </row>
    <row r="4" spans="1:2" x14ac:dyDescent="0.2">
      <c r="A4" t="s">
        <v>86</v>
      </c>
    </row>
    <row r="5" spans="1:2" x14ac:dyDescent="0.2">
      <c r="A5" t="s">
        <v>87</v>
      </c>
      <c r="B5">
        <v>2020</v>
      </c>
    </row>
    <row r="6" spans="1:2" x14ac:dyDescent="0.2">
      <c r="A6" t="s">
        <v>123</v>
      </c>
      <c r="B6" t="s">
        <v>806</v>
      </c>
    </row>
    <row r="7" spans="1:2" x14ac:dyDescent="0.2">
      <c r="A7" t="s">
        <v>72</v>
      </c>
      <c r="B7" t="s">
        <v>653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100.95</v>
      </c>
    </row>
    <row r="17" spans="1:8" x14ac:dyDescent="0.2">
      <c r="A17" t="s">
        <v>130</v>
      </c>
      <c r="B17">
        <v>2.6</v>
      </c>
    </row>
    <row r="18" spans="1:8" x14ac:dyDescent="0.2">
      <c r="A18" t="s">
        <v>417</v>
      </c>
      <c r="B18" s="19" t="s">
        <v>42</v>
      </c>
    </row>
    <row r="19" spans="1:8" x14ac:dyDescent="0.2">
      <c r="A19" t="s">
        <v>131</v>
      </c>
      <c r="B19">
        <v>14.949999999999998</v>
      </c>
    </row>
    <row r="20" spans="1:8" x14ac:dyDescent="0.2">
      <c r="A20" t="s">
        <v>99</v>
      </c>
      <c r="B20">
        <v>2.2999999999999998</v>
      </c>
    </row>
    <row r="21" spans="1:8" x14ac:dyDescent="0.2">
      <c r="A21" t="s">
        <v>355</v>
      </c>
      <c r="B21">
        <v>1.8399999999999999</v>
      </c>
    </row>
    <row r="22" spans="1:8" x14ac:dyDescent="0.2">
      <c r="A22" t="s">
        <v>134</v>
      </c>
      <c r="B22" s="2">
        <v>0</v>
      </c>
    </row>
    <row r="23" spans="1:8" x14ac:dyDescent="0.2">
      <c r="A23" t="s">
        <v>135</v>
      </c>
      <c r="B23">
        <v>0</v>
      </c>
    </row>
    <row r="24" spans="1:8" x14ac:dyDescent="0.2">
      <c r="A24" t="s">
        <v>132</v>
      </c>
      <c r="B24" s="2">
        <v>49.641735985533444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653</v>
      </c>
      <c r="B33">
        <v>1</v>
      </c>
      <c r="C33" t="s">
        <v>37</v>
      </c>
      <c r="D33" t="s">
        <v>75</v>
      </c>
      <c r="F33" t="s">
        <v>83</v>
      </c>
      <c r="G33" t="s">
        <v>84</v>
      </c>
      <c r="H33" t="s">
        <v>653</v>
      </c>
    </row>
    <row r="34" spans="1:8" x14ac:dyDescent="0.2">
      <c r="A34" t="s">
        <v>187</v>
      </c>
      <c r="B34" s="3">
        <v>73</v>
      </c>
      <c r="C34" t="s">
        <v>94</v>
      </c>
      <c r="D34" t="s">
        <v>76</v>
      </c>
      <c r="F34" t="s">
        <v>88</v>
      </c>
      <c r="G34" t="s">
        <v>15</v>
      </c>
      <c r="H34" t="s">
        <v>120</v>
      </c>
    </row>
    <row r="35" spans="1:8" x14ac:dyDescent="0.2">
      <c r="A35" t="inlineStr">
        <is>
          <t>mechanical powertrain, motorcycle, electric, engineering reference</t>
        </is>
      </c>
      <c r="B35" s="3">
        <v>5</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5.5944608</v>
      </c>
      <c r="C36" t="inlineStr">
        <is>
          <t>GLO</t>
        </is>
      </c>
      <c r="D36" t="s">
        <v>76</v>
      </c>
      <c r="F36" t="s">
        <v>88</v>
      </c>
      <c r="G36" t="s">
        <v>269</v>
      </c>
      <c r="H36" t="inlineStr">
        <is>
          <t>electric powertrain, two-wheeler motor and controller, offboard charging reference</t>
        </is>
      </c>
    </row>
    <row r="37" spans="1:8" x14ac:dyDescent="0.2">
      <c r="A37" t="s">
        <v>963</v>
      </c>
      <c r="B37" s="3">
        <v>2.2999999999999998</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73</v>
      </c>
      <c r="C39" t="s">
        <v>94</v>
      </c>
      <c r="D39" t="s">
        <v>75</v>
      </c>
      <c r="F39" t="s">
        <v>88</v>
      </c>
      <c r="G39" t="s">
        <v>140</v>
      </c>
      <c r="H39" t="s">
        <v>148</v>
      </c>
    </row>
    <row r="40" spans="1:8" x14ac:dyDescent="0.2">
      <c r="A40" t="s">
        <v>149</v>
      </c>
      <c r="B40" s="3">
        <v>13</v>
      </c>
      <c r="C40" t="s">
        <v>94</v>
      </c>
      <c r="D40" t="s">
        <v>75</v>
      </c>
      <c r="F40" t="s">
        <v>88</v>
      </c>
      <c r="G40" t="s">
        <v>141</v>
      </c>
      <c r="H40" t="s">
        <v>148</v>
      </c>
    </row>
    <row r="41" spans="1:8" x14ac:dyDescent="0.2">
      <c r="A41" s="13" t="s">
        <v>443</v>
      </c>
      <c r="B41">
        <v>100.95</v>
      </c>
      <c r="C41" t="s">
        <v>91</v>
      </c>
      <c r="D41" t="s">
        <v>191</v>
      </c>
      <c r="F41" t="s">
        <v>88</v>
      </c>
      <c r="H41" s="13" t="s">
        <v>444</v>
      </c>
    </row>
    <row r="42" spans="1:8" x14ac:dyDescent="0.2">
      <c r="A42" s="13" t="s">
        <v>214</v>
      </c>
      <c r="B42" s="2">
        <v>1605.105</v>
      </c>
      <c r="C42" t="s">
        <v>94</v>
      </c>
      <c r="D42" t="s">
        <v>191</v>
      </c>
      <c r="F42" t="s">
        <v>88</v>
      </c>
      <c r="H42" s="13" t="s">
        <v>214</v>
      </c>
    </row>
    <row r="43" spans="1:8" x14ac:dyDescent="0.2">
      <c r="B43" s="11"/>
    </row>
    <row r="44" spans="1:8" x14ac:dyDescent="0.2">
      <c r="B44" s="2"/>
    </row>
    <row r="45" spans="1:8" ht="16" x14ac:dyDescent="0.2">
      <c r="A45" s="10" t="s">
        <v>70</v>
      </c>
      <c r="B45" s="8" t="s">
        <v>884</v>
      </c>
    </row>
    <row r="46" spans="1:8" x14ac:dyDescent="0.2">
      <c r="A46" t="s">
        <v>71</v>
      </c>
      <c r="B46" t="s">
        <v>37</v>
      </c>
    </row>
    <row r="47" spans="1:8" x14ac:dyDescent="0.2">
      <c r="A47" t="s">
        <v>85</v>
      </c>
      <c r="B47" t="s">
        <v>653</v>
      </c>
    </row>
    <row r="48" spans="1:8" x14ac:dyDescent="0.2">
      <c r="A48" t="s">
        <v>86</v>
      </c>
    </row>
    <row r="49" spans="1:2" x14ac:dyDescent="0.2">
      <c r="A49" t="s">
        <v>87</v>
      </c>
      <c r="B49">
        <v>2020</v>
      </c>
    </row>
    <row r="50" spans="1:2" x14ac:dyDescent="0.2">
      <c r="A50" t="s">
        <v>123</v>
      </c>
      <c r="B50" t="s">
        <v>806</v>
      </c>
    </row>
    <row r="51" spans="1:2" x14ac:dyDescent="0.2">
      <c r="A51" t="s">
        <v>72</v>
      </c>
      <c r="B51" t="s">
        <v>884</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100.95</v>
      </c>
    </row>
    <row r="61" spans="1:2" x14ac:dyDescent="0.2">
      <c r="A61" t="s">
        <v>130</v>
      </c>
      <c r="B61">
        <v>2.6</v>
      </c>
    </row>
    <row r="62" spans="1:2" x14ac:dyDescent="0.2">
      <c r="A62" t="s">
        <v>417</v>
      </c>
      <c r="B62" s="19" t="s">
        <v>42</v>
      </c>
    </row>
    <row r="63" spans="1:2" x14ac:dyDescent="0.2">
      <c r="A63" t="s">
        <v>131</v>
      </c>
      <c r="B63">
        <v>14.949999999999998</v>
      </c>
    </row>
    <row r="64" spans="1:2" x14ac:dyDescent="0.2">
      <c r="A64" t="s">
        <v>99</v>
      </c>
      <c r="B64">
        <v>2.2999999999999998</v>
      </c>
    </row>
    <row r="65" spans="1:8" x14ac:dyDescent="0.2">
      <c r="A65" t="s">
        <v>355</v>
      </c>
      <c r="B65">
        <v>1.8399999999999999</v>
      </c>
    </row>
    <row r="66" spans="1:8" x14ac:dyDescent="0.2">
      <c r="A66" t="s">
        <v>134</v>
      </c>
      <c r="B66" s="2">
        <v>0</v>
      </c>
    </row>
    <row r="67" spans="1:8" x14ac:dyDescent="0.2">
      <c r="A67" t="s">
        <v>135</v>
      </c>
      <c r="B67">
        <v>0</v>
      </c>
    </row>
    <row r="68" spans="1:8" x14ac:dyDescent="0.2">
      <c r="A68" t="s">
        <v>132</v>
      </c>
      <c r="B68" s="2">
        <v>49.641735985533444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884</v>
      </c>
      <c r="B74">
        <v>1</v>
      </c>
      <c r="C74" t="s">
        <v>37</v>
      </c>
      <c r="D74" t="s">
        <v>162</v>
      </c>
      <c r="F74" t="s">
        <v>83</v>
      </c>
      <c r="G74" t="s">
        <v>84</v>
      </c>
      <c r="H74" t="s">
        <v>884</v>
      </c>
    </row>
    <row r="75" spans="1:8" x14ac:dyDescent="0.2">
      <c r="A75" t="s">
        <v>653</v>
      </c>
      <c r="B75" s="7">
        <v>4.0000000000000003E-5</v>
      </c>
      <c r="C75" t="s">
        <v>37</v>
      </c>
      <c r="D75" t="s">
        <v>75</v>
      </c>
      <c r="F75" t="s">
        <v>88</v>
      </c>
      <c r="H75" t="s">
        <v>653</v>
      </c>
    </row>
    <row r="76" spans="1:8" x14ac:dyDescent="0.2">
      <c r="A76" t="s">
        <v>106</v>
      </c>
      <c r="B76" s="7">
        <v>9.6633149999999991E-5</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0.03706558530781863</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-6.7002598724957677E-6</v>
      </c>
      <c r="C80" t="s">
        <v>91</v>
      </c>
      <c r="D80" t="s">
        <v>76</v>
      </c>
      <c r="F80" t="s">
        <v>88</v>
      </c>
      <c r="G80" t="s">
        <v>29</v>
      </c>
      <c r="H80" t="s">
        <v>157</v>
      </c>
    </row>
    <row r="81" spans="1:8" x14ac:dyDescent="0.2">
      <c r="A81" t="s">
        <v>156</v>
      </c>
      <c r="B81" s="7">
        <v>-5.363432834513244E-6</v>
      </c>
      <c r="C81" t="s">
        <v>91</v>
      </c>
      <c r="D81" t="s">
        <v>76</v>
      </c>
      <c r="F81" t="s">
        <v>88</v>
      </c>
      <c r="G81" t="s">
        <v>30</v>
      </c>
      <c r="H81" t="s">
        <v>158</v>
      </c>
    </row>
    <row r="82" spans="1:8" x14ac:dyDescent="0.2">
      <c r="A82" t="s">
        <v>164</v>
      </c>
      <c r="B82" s="7">
        <v>-3.7706056904982231E-6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83"/>
  <sheetViews>
    <sheetView topLeftCell="A10" zoomScale="85" zoomScaleNormal="85" workbookViewId="0">
      <selection activeCell="A36" sqref="A36"/>
    </sheetView>
  </sheetViews>
  <sheetFormatPr baseColWidth="10" defaultColWidth="8.832031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654</v>
      </c>
    </row>
    <row r="2" spans="1:2" x14ac:dyDescent="0.2">
      <c r="A2" t="s">
        <v>71</v>
      </c>
      <c r="B2" t="s">
        <v>37</v>
      </c>
    </row>
    <row r="3" spans="1:2" x14ac:dyDescent="0.2">
      <c r="A3" t="s">
        <v>85</v>
      </c>
      <c r="B3" t="s">
        <v>654</v>
      </c>
    </row>
    <row r="4" spans="1:2" x14ac:dyDescent="0.2">
      <c r="A4" t="s">
        <v>86</v>
      </c>
    </row>
    <row r="5" spans="1:2" x14ac:dyDescent="0.2">
      <c r="A5" t="s">
        <v>87</v>
      </c>
      <c r="B5">
        <v>2020</v>
      </c>
    </row>
    <row r="6" spans="1:2" x14ac:dyDescent="0.2">
      <c r="A6" t="s">
        <v>123</v>
      </c>
      <c r="B6" t="s">
        <v>818</v>
      </c>
    </row>
    <row r="7" spans="1:2" x14ac:dyDescent="0.2">
      <c r="A7" t="s">
        <v>72</v>
      </c>
      <c r="B7" t="s">
        <v>654</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131.44999999999999</v>
      </c>
    </row>
    <row r="17" spans="1:8" x14ac:dyDescent="0.2">
      <c r="A17" t="s">
        <v>130</v>
      </c>
      <c r="B17">
        <v>6.1</v>
      </c>
    </row>
    <row r="18" spans="1:8" x14ac:dyDescent="0.2">
      <c r="A18" t="s">
        <v>417</v>
      </c>
      <c r="B18" s="19" t="s">
        <v>42</v>
      </c>
    </row>
    <row r="19" spans="1:8" x14ac:dyDescent="0.2">
      <c r="A19" t="s">
        <v>131</v>
      </c>
      <c r="B19">
        <v>21.449999999999996</v>
      </c>
    </row>
    <row r="20" spans="1:8" x14ac:dyDescent="0.2">
      <c r="A20" t="s">
        <v>99</v>
      </c>
      <c r="B20">
        <v>3.3</v>
      </c>
    </row>
    <row r="21" spans="1:8" x14ac:dyDescent="0.2">
      <c r="A21" t="s">
        <v>355</v>
      </c>
      <c r="B21">
        <v>2.64</v>
      </c>
    </row>
    <row r="22" spans="1:8" x14ac:dyDescent="0.2">
      <c r="A22" t="s">
        <v>134</v>
      </c>
      <c r="B22" s="2">
        <v>0</v>
      </c>
    </row>
    <row r="23" spans="1:8" x14ac:dyDescent="0.2">
      <c r="A23" t="s">
        <v>135</v>
      </c>
      <c r="B23">
        <v>0</v>
      </c>
    </row>
    <row r="24" spans="1:8" x14ac:dyDescent="0.2">
      <c r="A24" t="s">
        <v>132</v>
      </c>
      <c r="B24" s="2">
        <v>50.175550663414057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654</v>
      </c>
      <c r="B33">
        <v>1</v>
      </c>
      <c r="C33" t="s">
        <v>37</v>
      </c>
      <c r="D33" t="s">
        <v>75</v>
      </c>
      <c r="F33" t="s">
        <v>83</v>
      </c>
      <c r="G33" t="s">
        <v>84</v>
      </c>
      <c r="H33" t="s">
        <v>654</v>
      </c>
    </row>
    <row r="34" spans="1:8" x14ac:dyDescent="0.2">
      <c r="A34" t="s">
        <v>187</v>
      </c>
      <c r="B34" s="3">
        <v>84</v>
      </c>
      <c r="C34" t="s">
        <v>94</v>
      </c>
      <c r="D34" t="s">
        <v>76</v>
      </c>
      <c r="F34" t="s">
        <v>88</v>
      </c>
      <c r="G34" t="s">
        <v>15</v>
      </c>
      <c r="H34" t="s">
        <v>120</v>
      </c>
    </row>
    <row r="35" spans="1:8" x14ac:dyDescent="0.2">
      <c r="A35" t="inlineStr">
        <is>
          <t>mechanical powertrain, motorcycle, electric, engineering reference</t>
        </is>
      </c>
      <c r="B35" s="3">
        <v>10</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11.1889216</v>
      </c>
      <c r="C36" t="inlineStr">
        <is>
          <t>GLO</t>
        </is>
      </c>
      <c r="D36" t="s">
        <v>76</v>
      </c>
      <c r="F36" t="s">
        <v>88</v>
      </c>
      <c r="G36" t="s">
        <v>269</v>
      </c>
      <c r="H36" t="inlineStr">
        <is>
          <t>electric powertrain, two-wheeler motor and controller, offboard charging reference</t>
        </is>
      </c>
    </row>
    <row r="37" spans="1:8" x14ac:dyDescent="0.2">
      <c r="A37" t="s">
        <v>963</v>
      </c>
      <c r="B37" s="3">
        <v>3.3</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84</v>
      </c>
      <c r="C39" t="s">
        <v>94</v>
      </c>
      <c r="D39" t="s">
        <v>75</v>
      </c>
      <c r="F39" t="s">
        <v>88</v>
      </c>
      <c r="G39" t="s">
        <v>140</v>
      </c>
      <c r="H39" t="s">
        <v>148</v>
      </c>
    </row>
    <row r="40" spans="1:8" x14ac:dyDescent="0.2">
      <c r="A40" t="s">
        <v>149</v>
      </c>
      <c r="B40" s="3">
        <v>26</v>
      </c>
      <c r="C40" t="s">
        <v>94</v>
      </c>
      <c r="D40" t="s">
        <v>75</v>
      </c>
      <c r="F40" t="s">
        <v>88</v>
      </c>
      <c r="G40" t="s">
        <v>141</v>
      </c>
      <c r="H40" t="s">
        <v>148</v>
      </c>
    </row>
    <row r="41" spans="1:8" x14ac:dyDescent="0.2">
      <c r="A41" s="13" t="s">
        <v>443</v>
      </c>
      <c r="B41">
        <v>131.44999999999999</v>
      </c>
      <c r="C41" t="s">
        <v>91</v>
      </c>
      <c r="D41" t="s">
        <v>191</v>
      </c>
      <c r="F41" t="s">
        <v>88</v>
      </c>
      <c r="H41" s="13" t="s">
        <v>444</v>
      </c>
    </row>
    <row r="42" spans="1:8" x14ac:dyDescent="0.2">
      <c r="A42" s="13" t="s">
        <v>214</v>
      </c>
      <c r="B42" s="2">
        <v>2090.0549999999998</v>
      </c>
      <c r="C42" t="s">
        <v>94</v>
      </c>
      <c r="D42" t="s">
        <v>191</v>
      </c>
      <c r="F42" t="s">
        <v>88</v>
      </c>
      <c r="H42" s="13" t="s">
        <v>214</v>
      </c>
    </row>
    <row r="43" spans="1:8" x14ac:dyDescent="0.2">
      <c r="B43" s="11"/>
    </row>
    <row r="44" spans="1:8" x14ac:dyDescent="0.2">
      <c r="B44" s="2"/>
    </row>
    <row r="45" spans="1:8" ht="16" x14ac:dyDescent="0.2">
      <c r="A45" s="10" t="s">
        <v>70</v>
      </c>
      <c r="B45" s="8" t="s">
        <v>885</v>
      </c>
    </row>
    <row r="46" spans="1:8" x14ac:dyDescent="0.2">
      <c r="A46" t="s">
        <v>71</v>
      </c>
      <c r="B46" t="s">
        <v>37</v>
      </c>
    </row>
    <row r="47" spans="1:8" x14ac:dyDescent="0.2">
      <c r="A47" t="s">
        <v>85</v>
      </c>
      <c r="B47" t="s">
        <v>654</v>
      </c>
    </row>
    <row r="48" spans="1:8" x14ac:dyDescent="0.2">
      <c r="A48" t="s">
        <v>86</v>
      </c>
    </row>
    <row r="49" spans="1:2" x14ac:dyDescent="0.2">
      <c r="A49" t="s">
        <v>87</v>
      </c>
      <c r="B49">
        <v>2020</v>
      </c>
    </row>
    <row r="50" spans="1:2" x14ac:dyDescent="0.2">
      <c r="A50" t="s">
        <v>123</v>
      </c>
      <c r="B50" t="s">
        <v>818</v>
      </c>
    </row>
    <row r="51" spans="1:2" x14ac:dyDescent="0.2">
      <c r="A51" t="s">
        <v>72</v>
      </c>
      <c r="B51" t="s">
        <v>885</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131.44999999999999</v>
      </c>
    </row>
    <row r="61" spans="1:2" x14ac:dyDescent="0.2">
      <c r="A61" t="s">
        <v>130</v>
      </c>
      <c r="B61">
        <v>6.1</v>
      </c>
    </row>
    <row r="62" spans="1:2" x14ac:dyDescent="0.2">
      <c r="A62" t="s">
        <v>417</v>
      </c>
      <c r="B62" s="19" t="s">
        <v>42</v>
      </c>
    </row>
    <row r="63" spans="1:2" x14ac:dyDescent="0.2">
      <c r="A63" t="s">
        <v>131</v>
      </c>
      <c r="B63">
        <v>21.449999999999996</v>
      </c>
    </row>
    <row r="64" spans="1:2" x14ac:dyDescent="0.2">
      <c r="A64" t="s">
        <v>99</v>
      </c>
      <c r="B64">
        <v>3.3</v>
      </c>
    </row>
    <row r="65" spans="1:8" x14ac:dyDescent="0.2">
      <c r="A65" t="s">
        <v>355</v>
      </c>
      <c r="B65">
        <v>2.64</v>
      </c>
    </row>
    <row r="66" spans="1:8" x14ac:dyDescent="0.2">
      <c r="A66" t="s">
        <v>134</v>
      </c>
      <c r="B66" s="2">
        <v>0</v>
      </c>
    </row>
    <row r="67" spans="1:8" x14ac:dyDescent="0.2">
      <c r="A67" t="s">
        <v>135</v>
      </c>
      <c r="B67">
        <v>0</v>
      </c>
    </row>
    <row r="68" spans="1:8" x14ac:dyDescent="0.2">
      <c r="A68" t="s">
        <v>132</v>
      </c>
      <c r="B68" s="2">
        <v>50.175550663414057</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885</v>
      </c>
      <c r="B74">
        <v>1</v>
      </c>
      <c r="C74" t="s">
        <v>37</v>
      </c>
      <c r="D74" t="s">
        <v>162</v>
      </c>
      <c r="F74" t="s">
        <v>83</v>
      </c>
      <c r="G74" t="s">
        <v>84</v>
      </c>
      <c r="H74" t="s">
        <v>885</v>
      </c>
    </row>
    <row r="75" spans="1:8" x14ac:dyDescent="0.2">
      <c r="A75" t="s">
        <v>654</v>
      </c>
      <c r="B75" s="7">
        <v>4.0000000000000003E-5</v>
      </c>
      <c r="C75" t="s">
        <v>37</v>
      </c>
      <c r="D75" t="s">
        <v>75</v>
      </c>
      <c r="F75" t="s">
        <v>88</v>
      </c>
      <c r="H75" t="s">
        <v>654</v>
      </c>
    </row>
    <row r="76" spans="1:8" x14ac:dyDescent="0.2">
      <c r="A76" t="s">
        <v>106</v>
      </c>
      <c r="B76" s="7">
        <v>1.1301165E-4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0.0526152670991009</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-7.5855445843363987E-6</v>
      </c>
      <c r="C80" t="s">
        <v>91</v>
      </c>
      <c r="D80" t="s">
        <v>76</v>
      </c>
      <c r="F80" t="s">
        <v>88</v>
      </c>
      <c r="G80" t="s">
        <v>29</v>
      </c>
      <c r="H80" t="s">
        <v>157</v>
      </c>
    </row>
    <row r="81" spans="1:8" x14ac:dyDescent="0.2">
      <c r="A81" t="s">
        <v>156</v>
      </c>
      <c r="B81" s="7">
        <v>-5.8385207989719453E-6</v>
      </c>
      <c r="C81" t="s">
        <v>91</v>
      </c>
      <c r="D81" t="s">
        <v>76</v>
      </c>
      <c r="F81" t="s">
        <v>88</v>
      </c>
      <c r="G81" t="s">
        <v>30</v>
      </c>
      <c r="H81" t="s">
        <v>158</v>
      </c>
    </row>
    <row r="82" spans="1:8" x14ac:dyDescent="0.2">
      <c r="A82" t="s">
        <v>164</v>
      </c>
      <c r="B82" s="7">
        <v>-4.1722544100886321E-6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15"/>
  <sheetViews>
    <sheetView topLeftCell="A269" workbookViewId="0">
      <selection activeCell="G294" sqref="G294"/>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346</v>
      </c>
    </row>
    <row r="2" spans="1:2" x14ac:dyDescent="0.2">
      <c r="A2" t="s">
        <v>71</v>
      </c>
      <c r="B2" t="s">
        <v>37</v>
      </c>
    </row>
    <row r="3" spans="1:2" x14ac:dyDescent="0.2">
      <c r="A3" t="s">
        <v>85</v>
      </c>
      <c r="B3" t="s">
        <v>346</v>
      </c>
    </row>
    <row r="4" spans="1:2" x14ac:dyDescent="0.2">
      <c r="A4" t="s">
        <v>86</v>
      </c>
    </row>
    <row r="5" spans="1:2" x14ac:dyDescent="0.2">
      <c r="A5" t="s">
        <v>87</v>
      </c>
      <c r="B5">
        <v>2006</v>
      </c>
    </row>
    <row r="6" spans="1:2" x14ac:dyDescent="0.2">
      <c r="A6" t="s">
        <v>123</v>
      </c>
      <c r="B6" t="s">
        <v>349</v>
      </c>
    </row>
    <row r="7" spans="1:2" x14ac:dyDescent="0.2">
      <c r="A7" t="s">
        <v>72</v>
      </c>
      <c r="B7" t="s">
        <v>346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65.098124999999996</v>
      </c>
    </row>
    <row r="17" spans="1:8" x14ac:dyDescent="0.2">
      <c r="A17" t="s">
        <v>130</v>
      </c>
      <c r="B17">
        <v>2.5</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266.4078995516374</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346</v>
      </c>
      <c r="B31">
        <v>1</v>
      </c>
      <c r="C31" t="s">
        <v>37</v>
      </c>
      <c r="D31" t="s">
        <v>75</v>
      </c>
      <c r="F31" t="s">
        <v>83</v>
      </c>
      <c r="G31" t="s">
        <v>84</v>
      </c>
      <c r="H31" t="s">
        <v>346</v>
      </c>
    </row>
    <row r="32" spans="1:8" x14ac:dyDescent="0.2">
      <c r="A32" t="s">
        <v>111</v>
      </c>
      <c r="B32" s="11">
        <v>0.46625</v>
      </c>
      <c r="C32" t="s">
        <v>91</v>
      </c>
      <c r="D32" t="s">
        <v>75</v>
      </c>
      <c r="F32" t="s">
        <v>88</v>
      </c>
      <c r="G32" t="s">
        <v>15</v>
      </c>
      <c r="H32" t="s">
        <v>112</v>
      </c>
    </row>
    <row r="33" spans="1:8" x14ac:dyDescent="0.2">
      <c r="A33" t="inlineStr">
        <is>
          <t>mechanical powertrain, motorcycle, gasoline, engineering reference</t>
        </is>
      </c>
      <c r="B33" s="11">
        <v>15.000000000000002</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0.78749999999999998</v>
      </c>
      <c r="C34" t="s">
        <v>91</v>
      </c>
      <c r="D34" t="s">
        <v>76</v>
      </c>
      <c r="F34" t="s">
        <v>88</v>
      </c>
      <c r="G34" t="s">
        <v>24</v>
      </c>
      <c r="H34" t="s">
        <v>114</v>
      </c>
    </row>
    <row r="35" spans="1:8" x14ac:dyDescent="0.2">
      <c r="A35" s="13" t="s">
        <v>443</v>
      </c>
      <c r="B35">
        <v>65.098124999999996</v>
      </c>
      <c r="C35" t="s">
        <v>91</v>
      </c>
      <c r="D35" t="s">
        <v>191</v>
      </c>
      <c r="F35" t="s">
        <v>88</v>
      </c>
      <c r="H35" s="13" t="s">
        <v>444</v>
      </c>
    </row>
    <row r="36" spans="1:8" x14ac:dyDescent="0.2">
      <c r="A36" s="13" t="s">
        <v>214</v>
      </c>
      <c r="B36" s="2">
        <v>1035.0601875</v>
      </c>
      <c r="C36" t="s">
        <v>94</v>
      </c>
      <c r="D36" t="s">
        <v>191</v>
      </c>
      <c r="F36" t="s">
        <v>88</v>
      </c>
      <c r="H36" s="13" t="s">
        <v>214</v>
      </c>
    </row>
    <row r="37" spans="1:8" x14ac:dyDescent="0.2">
      <c r="B37" s="11"/>
    </row>
    <row r="38" spans="1:8" ht="16" x14ac:dyDescent="0.2">
      <c r="A38" s="10" t="s">
        <v>70</v>
      </c>
      <c r="B38" s="8" t="s">
        <v>347</v>
      </c>
    </row>
    <row r="39" spans="1:8" x14ac:dyDescent="0.2">
      <c r="A39" t="s">
        <v>71</v>
      </c>
      <c r="B39" t="s">
        <v>37</v>
      </c>
    </row>
    <row r="40" spans="1:8" x14ac:dyDescent="0.2">
      <c r="A40" t="s">
        <v>85</v>
      </c>
      <c r="B40" t="s">
        <v>347</v>
      </c>
    </row>
    <row r="41" spans="1:8" x14ac:dyDescent="0.2">
      <c r="A41" t="s">
        <v>86</v>
      </c>
    </row>
    <row r="42" spans="1:8" x14ac:dyDescent="0.2">
      <c r="A42" t="s">
        <v>87</v>
      </c>
      <c r="B42">
        <v>2016</v>
      </c>
    </row>
    <row r="43" spans="1:8" x14ac:dyDescent="0.2">
      <c r="A43" t="s">
        <v>123</v>
      </c>
      <c r="B43" t="s">
        <v>350</v>
      </c>
    </row>
    <row r="44" spans="1:8" x14ac:dyDescent="0.2">
      <c r="A44" t="s">
        <v>72</v>
      </c>
      <c r="B44" t="s">
        <v>347</v>
      </c>
    </row>
    <row r="45" spans="1:8" x14ac:dyDescent="0.2">
      <c r="A45" t="s">
        <v>73</v>
      </c>
      <c r="B45" t="s">
        <v>74</v>
      </c>
    </row>
    <row r="46" spans="1:8" x14ac:dyDescent="0.2">
      <c r="A46" t="s">
        <v>75</v>
      </c>
      <c r="B46" t="s">
        <v>75</v>
      </c>
    </row>
    <row r="47" spans="1:8" x14ac:dyDescent="0.2">
      <c r="A47" t="s">
        <v>77</v>
      </c>
      <c r="B47" t="s">
        <v>518</v>
      </c>
    </row>
    <row r="48" spans="1:8" x14ac:dyDescent="0.2">
      <c r="A48" t="s">
        <v>124</v>
      </c>
      <c r="B48">
        <v>25000</v>
      </c>
    </row>
    <row r="49" spans="1:2" x14ac:dyDescent="0.2">
      <c r="A49" t="s">
        <v>125</v>
      </c>
      <c r="B49">
        <v>1</v>
      </c>
    </row>
    <row r="50" spans="1:2" x14ac:dyDescent="0.2">
      <c r="A50" t="s">
        <v>126</v>
      </c>
      <c r="B50">
        <v>1</v>
      </c>
    </row>
    <row r="51" spans="1:2" x14ac:dyDescent="0.2">
      <c r="A51" t="s">
        <v>127</v>
      </c>
      <c r="B51">
        <v>0</v>
      </c>
    </row>
    <row r="52" spans="1:2" x14ac:dyDescent="0.2">
      <c r="A52" t="s">
        <v>128</v>
      </c>
      <c r="B52">
        <v>1570</v>
      </c>
    </row>
    <row r="53" spans="1:2" x14ac:dyDescent="0.2">
      <c r="A53" t="s">
        <v>129</v>
      </c>
      <c r="B53" s="2">
        <v>63.83925</v>
      </c>
    </row>
    <row r="54" spans="1:2" x14ac:dyDescent="0.2">
      <c r="A54" t="s">
        <v>130</v>
      </c>
      <c r="B54">
        <v>2.5</v>
      </c>
    </row>
    <row r="55" spans="1:2" x14ac:dyDescent="0.2">
      <c r="A55" t="s">
        <v>131</v>
      </c>
      <c r="B55" t="s">
        <v>84</v>
      </c>
    </row>
    <row r="56" spans="1:2" x14ac:dyDescent="0.2">
      <c r="A56" t="s">
        <v>99</v>
      </c>
      <c r="B56">
        <v>0</v>
      </c>
    </row>
    <row r="57" spans="1:2" x14ac:dyDescent="0.2">
      <c r="A57" t="s">
        <v>134</v>
      </c>
      <c r="B57" s="2">
        <v>62.125</v>
      </c>
    </row>
    <row r="58" spans="1:2" x14ac:dyDescent="0.2">
      <c r="A58" t="s">
        <v>135</v>
      </c>
      <c r="B58">
        <v>5.25</v>
      </c>
    </row>
    <row r="59" spans="1:2" x14ac:dyDescent="0.2">
      <c r="A59" t="s">
        <v>132</v>
      </c>
      <c r="B59" s="2">
        <v>269.07197854715383</v>
      </c>
    </row>
    <row r="60" spans="1:2" x14ac:dyDescent="0.2">
      <c r="A60" t="s">
        <v>133</v>
      </c>
      <c r="B60" t="s">
        <v>138</v>
      </c>
    </row>
    <row r="61" spans="1:2" x14ac:dyDescent="0.2">
      <c r="A61" t="s">
        <v>540</v>
      </c>
      <c r="B61" s="6">
        <v>-0.02</v>
      </c>
    </row>
    <row r="62" spans="1:2" x14ac:dyDescent="0.2">
      <c r="A62" t="s">
        <v>258</v>
      </c>
      <c r="B62" s="6" t="s">
        <v>259</v>
      </c>
    </row>
    <row r="63" spans="1:2" x14ac:dyDescent="0.2">
      <c r="A63" t="s">
        <v>260</v>
      </c>
      <c r="B63" s="2">
        <v>15900</v>
      </c>
    </row>
    <row r="64" spans="1:2" x14ac:dyDescent="0.2">
      <c r="A64" t="s">
        <v>261</v>
      </c>
      <c r="B64" s="2">
        <v>1000</v>
      </c>
    </row>
    <row r="65" spans="1:8" x14ac:dyDescent="0.2">
      <c r="A65" t="s">
        <v>82</v>
      </c>
      <c r="B6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spans="1:8" ht="16" x14ac:dyDescent="0.2">
      <c r="A66" s="10" t="s">
        <v>78</v>
      </c>
    </row>
    <row r="67" spans="1:8" x14ac:dyDescent="0.2">
      <c r="A67" t="s">
        <v>79</v>
      </c>
      <c r="B67" t="s">
        <v>80</v>
      </c>
      <c r="C67" t="s">
        <v>71</v>
      </c>
      <c r="D67" t="s">
        <v>75</v>
      </c>
      <c r="E67" t="s">
        <v>81</v>
      </c>
      <c r="F67" t="s">
        <v>73</v>
      </c>
      <c r="G67" t="s">
        <v>82</v>
      </c>
      <c r="H67" t="s">
        <v>72</v>
      </c>
    </row>
    <row r="68" spans="1:8" x14ac:dyDescent="0.2">
      <c r="A68" t="s">
        <v>347</v>
      </c>
      <c r="B68">
        <v>1</v>
      </c>
      <c r="C68" t="s">
        <v>37</v>
      </c>
      <c r="D68" t="s">
        <v>75</v>
      </c>
      <c r="F68" t="s">
        <v>83</v>
      </c>
      <c r="G68" t="s">
        <v>84</v>
      </c>
      <c r="H68" t="s">
        <v>347</v>
      </c>
    </row>
    <row r="69" spans="1:8" x14ac:dyDescent="0.2">
      <c r="A69" t="s">
        <v>111</v>
      </c>
      <c r="B69" s="11">
        <v>0.46625</v>
      </c>
      <c r="C69" t="s">
        <v>91</v>
      </c>
      <c r="D69" t="s">
        <v>75</v>
      </c>
      <c r="F69" t="s">
        <v>88</v>
      </c>
      <c r="G69" t="s">
        <v>15</v>
      </c>
      <c r="H69" t="s">
        <v>112</v>
      </c>
    </row>
    <row r="70" spans="1:8" x14ac:dyDescent="0.2">
      <c r="A70" t="inlineStr">
        <is>
          <t>mechanical powertrain, motorcycle, gasoline, engineering reference</t>
        </is>
      </c>
      <c r="B70" s="11">
        <v>15.000000000000002</v>
      </c>
      <c r="C70" t="inlineStr">
        <is>
          <t>GLO</t>
        </is>
      </c>
      <c r="D70" t="inlineStr">
        <is>
          <t>kilogram</t>
        </is>
      </c>
      <c r="F70" t="s">
        <v>88</v>
      </c>
      <c r="G7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0" t="inlineStr">
        <is>
          <t>mechanical powertrain, motorcycle, gasoline, engineering reference</t>
        </is>
      </c>
    </row>
    <row r="71" spans="1:8" x14ac:dyDescent="0.2">
      <c r="A71" t="s">
        <v>113</v>
      </c>
      <c r="B71" s="11">
        <v>0.78749999999999998</v>
      </c>
      <c r="C71" t="s">
        <v>91</v>
      </c>
      <c r="D71" t="s">
        <v>76</v>
      </c>
      <c r="F71" t="s">
        <v>88</v>
      </c>
      <c r="G71" t="s">
        <v>24</v>
      </c>
      <c r="H71" t="s">
        <v>114</v>
      </c>
    </row>
    <row r="72" spans="1:8" x14ac:dyDescent="0.2">
      <c r="A72" s="13" t="s">
        <v>443</v>
      </c>
      <c r="B72">
        <v>63.83925</v>
      </c>
      <c r="C72" t="s">
        <v>91</v>
      </c>
      <c r="D72" t="s">
        <v>191</v>
      </c>
      <c r="F72" t="s">
        <v>88</v>
      </c>
      <c r="H72" s="13" t="s">
        <v>444</v>
      </c>
    </row>
    <row r="73" spans="1:8" x14ac:dyDescent="0.2">
      <c r="A73" s="13" t="s">
        <v>214</v>
      </c>
      <c r="B73" s="2">
        <v>1015.044075</v>
      </c>
      <c r="C73" t="s">
        <v>94</v>
      </c>
      <c r="D73" t="s">
        <v>191</v>
      </c>
      <c r="F73" t="s">
        <v>88</v>
      </c>
      <c r="H73" s="13" t="s">
        <v>214</v>
      </c>
    </row>
    <row r="75" spans="1:8" ht="16" x14ac:dyDescent="0.2">
      <c r="A75" s="10" t="s">
        <v>70</v>
      </c>
      <c r="B75" s="8" t="s">
        <v>348</v>
      </c>
    </row>
    <row r="76" spans="1:8" x14ac:dyDescent="0.2">
      <c r="A76" t="s">
        <v>71</v>
      </c>
      <c r="B76" t="s">
        <v>37</v>
      </c>
    </row>
    <row r="77" spans="1:8" x14ac:dyDescent="0.2">
      <c r="A77" t="s">
        <v>85</v>
      </c>
      <c r="B77" t="s">
        <v>348</v>
      </c>
    </row>
    <row r="78" spans="1:8" x14ac:dyDescent="0.2">
      <c r="A78" t="s">
        <v>86</v>
      </c>
    </row>
    <row r="79" spans="1:8" x14ac:dyDescent="0.2">
      <c r="A79" t="s">
        <v>87</v>
      </c>
      <c r="B79">
        <v>2020</v>
      </c>
    </row>
    <row r="80" spans="1:8" x14ac:dyDescent="0.2">
      <c r="A80" t="s">
        <v>123</v>
      </c>
      <c r="B80" t="s">
        <v>351</v>
      </c>
    </row>
    <row r="81" spans="1:2" x14ac:dyDescent="0.2">
      <c r="A81" t="s">
        <v>72</v>
      </c>
      <c r="B81" t="s">
        <v>348</v>
      </c>
    </row>
    <row r="82" spans="1:2" x14ac:dyDescent="0.2">
      <c r="A82" t="s">
        <v>73</v>
      </c>
      <c r="B82" t="s">
        <v>74</v>
      </c>
    </row>
    <row r="83" spans="1:2" x14ac:dyDescent="0.2">
      <c r="A83" t="s">
        <v>75</v>
      </c>
      <c r="B83" t="s">
        <v>75</v>
      </c>
    </row>
    <row r="84" spans="1:2" x14ac:dyDescent="0.2">
      <c r="A84" t="s">
        <v>77</v>
      </c>
      <c r="B84" t="s">
        <v>518</v>
      </c>
    </row>
    <row r="85" spans="1:2" x14ac:dyDescent="0.2">
      <c r="A85" t="s">
        <v>124</v>
      </c>
      <c r="B85">
        <v>25000</v>
      </c>
    </row>
    <row r="86" spans="1:2" x14ac:dyDescent="0.2">
      <c r="A86" t="s">
        <v>125</v>
      </c>
      <c r="B86">
        <v>1</v>
      </c>
    </row>
    <row r="87" spans="1:2" x14ac:dyDescent="0.2">
      <c r="A87" t="s">
        <v>126</v>
      </c>
      <c r="B87">
        <v>1</v>
      </c>
    </row>
    <row r="88" spans="1:2" x14ac:dyDescent="0.2">
      <c r="A88" t="s">
        <v>127</v>
      </c>
      <c r="B88">
        <v>0</v>
      </c>
    </row>
    <row r="89" spans="1:2" x14ac:dyDescent="0.2">
      <c r="A89" t="s">
        <v>128</v>
      </c>
      <c r="B89">
        <v>1570</v>
      </c>
    </row>
    <row r="90" spans="1:2" x14ac:dyDescent="0.2">
      <c r="A90" t="s">
        <v>129</v>
      </c>
      <c r="B90" s="2">
        <v>63</v>
      </c>
    </row>
    <row r="91" spans="1:2" x14ac:dyDescent="0.2">
      <c r="A91" t="s">
        <v>130</v>
      </c>
      <c r="B91">
        <v>2.5</v>
      </c>
    </row>
    <row r="92" spans="1:2" x14ac:dyDescent="0.2">
      <c r="A92" t="s">
        <v>131</v>
      </c>
      <c r="B92" t="s">
        <v>84</v>
      </c>
    </row>
    <row r="93" spans="1:2" x14ac:dyDescent="0.2">
      <c r="A93" t="s">
        <v>99</v>
      </c>
      <c r="B93">
        <v>0</v>
      </c>
    </row>
    <row r="94" spans="1:2" x14ac:dyDescent="0.2">
      <c r="A94" t="s">
        <v>134</v>
      </c>
      <c r="B94" s="2">
        <v>62.125</v>
      </c>
    </row>
    <row r="95" spans="1:2" x14ac:dyDescent="0.2">
      <c r="A95" t="s">
        <v>135</v>
      </c>
      <c r="B95">
        <v>5.25</v>
      </c>
    </row>
    <row r="96" spans="1:2" x14ac:dyDescent="0.2">
      <c r="A96" t="s">
        <v>132</v>
      </c>
      <c r="B96" s="2">
        <v>271.78987732035739</v>
      </c>
    </row>
    <row r="97" spans="1:8" x14ac:dyDescent="0.2">
      <c r="A97" t="s">
        <v>133</v>
      </c>
      <c r="B97" t="s">
        <v>139</v>
      </c>
    </row>
    <row r="98" spans="1:8" x14ac:dyDescent="0.2">
      <c r="A98" t="s">
        <v>540</v>
      </c>
      <c r="B98" s="6">
        <v>0</v>
      </c>
    </row>
    <row r="99" spans="1:8" x14ac:dyDescent="0.2">
      <c r="A99" t="s">
        <v>258</v>
      </c>
      <c r="B99" s="6" t="s">
        <v>259</v>
      </c>
    </row>
    <row r="100" spans="1:8" x14ac:dyDescent="0.2">
      <c r="A100" t="s">
        <v>260</v>
      </c>
      <c r="B100" s="2">
        <v>15900</v>
      </c>
    </row>
    <row r="101" spans="1:8" x14ac:dyDescent="0.2">
      <c r="A101" t="s">
        <v>261</v>
      </c>
      <c r="B101" s="2">
        <v>1000</v>
      </c>
    </row>
    <row r="102" spans="1:8" x14ac:dyDescent="0.2">
      <c r="A102" t="s">
        <v>82</v>
      </c>
      <c r="B1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spans="1:8" ht="16" x14ac:dyDescent="0.2">
      <c r="A103" s="10" t="s">
        <v>78</v>
      </c>
    </row>
    <row r="104" spans="1:8" x14ac:dyDescent="0.2">
      <c r="A104" t="s">
        <v>79</v>
      </c>
      <c r="B104" t="s">
        <v>80</v>
      </c>
      <c r="C104" t="s">
        <v>71</v>
      </c>
      <c r="D104" t="s">
        <v>75</v>
      </c>
      <c r="E104" t="s">
        <v>81</v>
      </c>
      <c r="F104" t="s">
        <v>73</v>
      </c>
      <c r="G104" t="s">
        <v>82</v>
      </c>
      <c r="H104" t="s">
        <v>72</v>
      </c>
    </row>
    <row r="105" spans="1:8" x14ac:dyDescent="0.2">
      <c r="A105" t="s">
        <v>348</v>
      </c>
      <c r="B105">
        <v>1</v>
      </c>
      <c r="C105" t="s">
        <v>37</v>
      </c>
      <c r="D105" t="s">
        <v>75</v>
      </c>
      <c r="F105" t="s">
        <v>83</v>
      </c>
      <c r="G105" t="s">
        <v>84</v>
      </c>
      <c r="H105" t="s">
        <v>348</v>
      </c>
    </row>
    <row r="106" spans="1:8" x14ac:dyDescent="0.2">
      <c r="A106" t="s">
        <v>111</v>
      </c>
      <c r="B106" s="11">
        <v>0.46625</v>
      </c>
      <c r="C106" t="s">
        <v>91</v>
      </c>
      <c r="D106" t="s">
        <v>75</v>
      </c>
      <c r="F106" t="s">
        <v>88</v>
      </c>
      <c r="G106" t="s">
        <v>15</v>
      </c>
      <c r="H106" t="s">
        <v>112</v>
      </c>
    </row>
    <row r="107" spans="1:8" x14ac:dyDescent="0.2">
      <c r="A107" t="inlineStr">
        <is>
          <t>mechanical powertrain, motorcycle, gasoline, engineering reference</t>
        </is>
      </c>
      <c r="B107" s="11">
        <v>15.000000000000002</v>
      </c>
      <c r="C107" t="inlineStr">
        <is>
          <t>GLO</t>
        </is>
      </c>
      <c r="D107" t="inlineStr">
        <is>
          <t>kilogram</t>
        </is>
      </c>
      <c r="F107" t="s">
        <v>88</v>
      </c>
      <c r="G10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7" t="inlineStr">
        <is>
          <t>mechanical powertrain, motorcycle, gasoline, engineering reference</t>
        </is>
      </c>
    </row>
    <row r="108" spans="1:8" x14ac:dyDescent="0.2">
      <c r="A108" t="s">
        <v>540</v>
      </c>
      <c r="B108" s="11">
        <v>0</v>
      </c>
      <c r="C108" t="s">
        <v>94</v>
      </c>
      <c r="D108" t="s">
        <v>76</v>
      </c>
      <c r="F108" t="s">
        <v>88</v>
      </c>
      <c r="G108" t="s">
        <v>14</v>
      </c>
      <c r="H108" t="s">
        <v>540</v>
      </c>
    </row>
    <row r="109" spans="1:8" x14ac:dyDescent="0.2">
      <c r="A109" t="s">
        <v>113</v>
      </c>
      <c r="B109" s="11">
        <v>0.78749999999999998</v>
      </c>
      <c r="C109" t="s">
        <v>91</v>
      </c>
      <c r="D109" t="s">
        <v>76</v>
      </c>
      <c r="F109" t="s">
        <v>88</v>
      </c>
      <c r="G109" t="s">
        <v>24</v>
      </c>
      <c r="H109" t="s">
        <v>114</v>
      </c>
    </row>
    <row r="110" spans="1:8" x14ac:dyDescent="0.2">
      <c r="A110" s="13" t="s">
        <v>443</v>
      </c>
      <c r="B110">
        <v>63</v>
      </c>
      <c r="C110" t="s">
        <v>91</v>
      </c>
      <c r="D110" t="s">
        <v>191</v>
      </c>
      <c r="F110" t="s">
        <v>88</v>
      </c>
      <c r="H110" s="13" t="s">
        <v>444</v>
      </c>
    </row>
    <row r="111" spans="1:8" x14ac:dyDescent="0.2">
      <c r="A111" s="13" t="s">
        <v>214</v>
      </c>
      <c r="B111" s="2">
        <v>1001.7</v>
      </c>
      <c r="C111" t="s">
        <v>94</v>
      </c>
      <c r="D111" t="s">
        <v>191</v>
      </c>
      <c r="F111" t="s">
        <v>88</v>
      </c>
      <c r="H111" s="13" t="s">
        <v>214</v>
      </c>
    </row>
    <row r="114" spans="1:2" ht="16" x14ac:dyDescent="0.2">
      <c r="A114" s="10" t="s">
        <v>70</v>
      </c>
      <c r="B114" s="8" t="s">
        <v>562</v>
      </c>
    </row>
    <row r="115" spans="1:2" x14ac:dyDescent="0.2">
      <c r="A115" t="s">
        <v>71</v>
      </c>
      <c r="B115" t="s">
        <v>37</v>
      </c>
    </row>
    <row r="116" spans="1:2" x14ac:dyDescent="0.2">
      <c r="A116" t="s">
        <v>85</v>
      </c>
      <c r="B116" t="s">
        <v>346</v>
      </c>
    </row>
    <row r="117" spans="1:2" x14ac:dyDescent="0.2">
      <c r="A117" t="s">
        <v>86</v>
      </c>
    </row>
    <row r="118" spans="1:2" x14ac:dyDescent="0.2">
      <c r="A118" t="s">
        <v>87</v>
      </c>
      <c r="B118">
        <v>2006</v>
      </c>
    </row>
    <row r="119" spans="1:2" x14ac:dyDescent="0.2">
      <c r="A119" t="s">
        <v>123</v>
      </c>
      <c r="B119" t="s">
        <v>349</v>
      </c>
    </row>
    <row r="120" spans="1:2" x14ac:dyDescent="0.2">
      <c r="A120" t="s">
        <v>72</v>
      </c>
      <c r="B120" t="s">
        <v>562</v>
      </c>
    </row>
    <row r="121" spans="1:2" x14ac:dyDescent="0.2">
      <c r="A121" t="s">
        <v>73</v>
      </c>
      <c r="B121" t="s">
        <v>74</v>
      </c>
    </row>
    <row r="122" spans="1:2" x14ac:dyDescent="0.2">
      <c r="A122" t="s">
        <v>75</v>
      </c>
      <c r="B122" t="s">
        <v>162</v>
      </c>
    </row>
    <row r="123" spans="1:2" x14ac:dyDescent="0.2">
      <c r="A123" t="s">
        <v>77</v>
      </c>
      <c r="B123" t="s">
        <v>518</v>
      </c>
    </row>
    <row r="124" spans="1:2" x14ac:dyDescent="0.2">
      <c r="A124" t="s">
        <v>124</v>
      </c>
      <c r="B124">
        <v>25000</v>
      </c>
    </row>
    <row r="125" spans="1:2" x14ac:dyDescent="0.2">
      <c r="A125" t="s">
        <v>125</v>
      </c>
      <c r="B125">
        <v>1</v>
      </c>
    </row>
    <row r="126" spans="1:2" x14ac:dyDescent="0.2">
      <c r="A126" t="s">
        <v>126</v>
      </c>
      <c r="B126">
        <v>1</v>
      </c>
    </row>
    <row r="127" spans="1:2" x14ac:dyDescent="0.2">
      <c r="A127" t="s">
        <v>127</v>
      </c>
      <c r="B127">
        <v>0</v>
      </c>
    </row>
    <row r="128" spans="1:2" x14ac:dyDescent="0.2">
      <c r="A128" t="s">
        <v>128</v>
      </c>
      <c r="B128">
        <v>1570</v>
      </c>
    </row>
    <row r="129" spans="1:8" x14ac:dyDescent="0.2">
      <c r="A129" t="s">
        <v>129</v>
      </c>
      <c r="B129" s="2">
        <v>65.098124999999996</v>
      </c>
    </row>
    <row r="130" spans="1:8" x14ac:dyDescent="0.2">
      <c r="A130" t="s">
        <v>130</v>
      </c>
      <c r="B130">
        <v>2.5</v>
      </c>
    </row>
    <row r="131" spans="1:8" x14ac:dyDescent="0.2">
      <c r="A131" t="s">
        <v>131</v>
      </c>
      <c r="B131" t="s">
        <v>84</v>
      </c>
    </row>
    <row r="132" spans="1:8" x14ac:dyDescent="0.2">
      <c r="A132" t="s">
        <v>99</v>
      </c>
      <c r="B132">
        <v>0</v>
      </c>
    </row>
    <row r="133" spans="1:8" x14ac:dyDescent="0.2">
      <c r="A133" t="s">
        <v>134</v>
      </c>
      <c r="B133" s="2">
        <v>62.125</v>
      </c>
    </row>
    <row r="134" spans="1:8" x14ac:dyDescent="0.2">
      <c r="A134" t="s">
        <v>135</v>
      </c>
      <c r="B134">
        <v>5.25</v>
      </c>
    </row>
    <row r="135" spans="1:8" x14ac:dyDescent="0.2">
      <c r="A135" t="s">
        <v>132</v>
      </c>
      <c r="B135" s="2">
        <v>266.4078995516374</v>
      </c>
    </row>
    <row r="136" spans="1:8" x14ac:dyDescent="0.2">
      <c r="A136" t="s">
        <v>133</v>
      </c>
      <c r="B136" t="s">
        <v>137</v>
      </c>
    </row>
    <row r="137" spans="1:8" x14ac:dyDescent="0.2">
      <c r="A137" t="s">
        <v>540</v>
      </c>
      <c r="B137" s="6">
        <v>-0.05</v>
      </c>
    </row>
    <row r="138" spans="1:8" x14ac:dyDescent="0.2">
      <c r="A138" t="s">
        <v>82</v>
      </c>
      <c r="B138" t="s">
        <v>563</v>
      </c>
    </row>
    <row r="139" spans="1:8" ht="16" x14ac:dyDescent="0.2">
      <c r="A139" s="10" t="s">
        <v>78</v>
      </c>
    </row>
    <row r="140" spans="1:8" x14ac:dyDescent="0.2">
      <c r="A140" t="s">
        <v>79</v>
      </c>
      <c r="B140" t="s">
        <v>80</v>
      </c>
      <c r="C140" t="s">
        <v>71</v>
      </c>
      <c r="D140" t="s">
        <v>75</v>
      </c>
      <c r="E140" t="s">
        <v>81</v>
      </c>
      <c r="F140" t="s">
        <v>73</v>
      </c>
      <c r="G140" t="s">
        <v>82</v>
      </c>
      <c r="H140" t="s">
        <v>72</v>
      </c>
    </row>
    <row r="141" spans="1:8" x14ac:dyDescent="0.2">
      <c r="A141" t="s">
        <v>562</v>
      </c>
      <c r="B141">
        <v>1</v>
      </c>
      <c r="C141" t="s">
        <v>37</v>
      </c>
      <c r="D141" t="s">
        <v>162</v>
      </c>
      <c r="F141" t="s">
        <v>83</v>
      </c>
      <c r="G141" t="s">
        <v>84</v>
      </c>
      <c r="H141" t="s">
        <v>562</v>
      </c>
    </row>
    <row r="142" spans="1:8" x14ac:dyDescent="0.2">
      <c r="A142" t="s">
        <v>346</v>
      </c>
      <c r="B142" s="7">
        <v>4.0000000000000003E-5</v>
      </c>
      <c r="C142" t="s">
        <v>37</v>
      </c>
      <c r="D142" t="s">
        <v>75</v>
      </c>
      <c r="F142" t="s">
        <v>88</v>
      </c>
      <c r="H142" t="s">
        <v>346</v>
      </c>
    </row>
    <row r="143" spans="1:8" x14ac:dyDescent="0.2">
      <c r="A143" t="s">
        <v>106</v>
      </c>
      <c r="B143" s="7">
        <v>7.6306693124999993E-5</v>
      </c>
      <c r="C143" t="s">
        <v>37</v>
      </c>
      <c r="D143" t="s">
        <v>104</v>
      </c>
      <c r="F143" t="s">
        <v>88</v>
      </c>
      <c r="G143" t="s">
        <v>102</v>
      </c>
      <c r="H143" t="s">
        <v>107</v>
      </c>
    </row>
    <row r="144" spans="1:8" x14ac:dyDescent="0.2">
      <c r="A144" t="s">
        <v>110</v>
      </c>
      <c r="B144" s="7">
        <v>1.2899999999999999E-3</v>
      </c>
      <c r="C144" t="s">
        <v>37</v>
      </c>
      <c r="D144" t="s">
        <v>104</v>
      </c>
      <c r="F144" t="s">
        <v>88</v>
      </c>
      <c r="G144" t="s">
        <v>109</v>
      </c>
      <c r="H144" t="s">
        <v>110</v>
      </c>
    </row>
    <row r="145" spans="1:8" x14ac:dyDescent="0.2">
      <c r="A145" t="s">
        <v>118</v>
      </c>
      <c r="B145" s="7">
        <v>4.0000000000000003E-5</v>
      </c>
      <c r="C145" t="s">
        <v>37</v>
      </c>
      <c r="D145" t="s">
        <v>75</v>
      </c>
      <c r="F145" t="s">
        <v>88</v>
      </c>
      <c r="G145" t="s">
        <v>115</v>
      </c>
      <c r="H145" t="s">
        <v>118</v>
      </c>
    </row>
    <row r="146" spans="1:8" x14ac:dyDescent="0.2">
      <c r="A146" t="s">
        <v>356</v>
      </c>
      <c r="B146" s="7">
        <v>1.9706622847279347E-2</v>
      </c>
      <c r="C146" t="s">
        <v>37</v>
      </c>
      <c r="D146" t="s">
        <v>76</v>
      </c>
      <c r="F146" t="s">
        <v>88</v>
      </c>
      <c r="G146" t="s">
        <v>27</v>
      </c>
      <c r="H146" t="s">
        <v>357</v>
      </c>
    </row>
    <row r="147" spans="1:8" x14ac:dyDescent="0.2">
      <c r="A147" t="s">
        <v>150</v>
      </c>
      <c r="B147" s="7">
        <v>6.1878795740457154E-2</v>
      </c>
      <c r="D147" t="s">
        <v>76</v>
      </c>
      <c r="E147" t="s">
        <v>442</v>
      </c>
      <c r="F147" t="s">
        <v>163</v>
      </c>
      <c r="G147" t="s">
        <v>65</v>
      </c>
    </row>
    <row r="148" spans="1:8" x14ac:dyDescent="0.2">
      <c r="A148" t="s">
        <v>210</v>
      </c>
      <c r="B148" s="7">
        <v>3.1530596555646953E-7</v>
      </c>
      <c r="D148" t="s">
        <v>76</v>
      </c>
      <c r="E148" t="s">
        <v>442</v>
      </c>
      <c r="F148" t="s">
        <v>163</v>
      </c>
      <c r="G148" t="s">
        <v>66</v>
      </c>
    </row>
    <row r="149" spans="1:8" x14ac:dyDescent="0.2">
      <c r="A149" t="s">
        <v>54</v>
      </c>
      <c r="B149" s="7">
        <v>1.0310040666120319E-4</v>
      </c>
      <c r="D149" t="s">
        <v>76</v>
      </c>
      <c r="E149" t="s">
        <v>442</v>
      </c>
      <c r="F149" t="s">
        <v>163</v>
      </c>
      <c r="G149" t="s">
        <v>54</v>
      </c>
    </row>
    <row r="150" spans="1:8" x14ac:dyDescent="0.2">
      <c r="A150" t="s">
        <v>151</v>
      </c>
      <c r="B150" s="7">
        <v>2.2338843798195468E-5</v>
      </c>
      <c r="D150" t="s">
        <v>76</v>
      </c>
      <c r="E150" t="s">
        <v>442</v>
      </c>
      <c r="F150" t="s">
        <v>163</v>
      </c>
      <c r="G150" t="s">
        <v>55</v>
      </c>
    </row>
    <row r="151" spans="1:8" x14ac:dyDescent="0.2">
      <c r="A151" t="s">
        <v>152</v>
      </c>
      <c r="B151" s="7">
        <v>3.277971259693117E-3</v>
      </c>
      <c r="D151" t="s">
        <v>76</v>
      </c>
      <c r="E151" t="s">
        <v>442</v>
      </c>
      <c r="F151" t="s">
        <v>163</v>
      </c>
      <c r="G151" t="s">
        <v>56</v>
      </c>
    </row>
    <row r="152" spans="1:8" x14ac:dyDescent="0.2">
      <c r="A152" t="s">
        <v>211</v>
      </c>
      <c r="B152" s="7">
        <v>1.1333761439977408E-6</v>
      </c>
      <c r="D152" t="s">
        <v>76</v>
      </c>
      <c r="E152" t="s">
        <v>442</v>
      </c>
      <c r="F152" t="s">
        <v>163</v>
      </c>
      <c r="G152" t="s">
        <v>57</v>
      </c>
    </row>
    <row r="153" spans="1:8" x14ac:dyDescent="0.2">
      <c r="A153" t="s">
        <v>153</v>
      </c>
      <c r="B153" s="7">
        <v>1.1333761439977408E-6</v>
      </c>
      <c r="D153" t="s">
        <v>76</v>
      </c>
      <c r="E153" t="s">
        <v>442</v>
      </c>
      <c r="F153" t="s">
        <v>163</v>
      </c>
      <c r="G153" t="s">
        <v>58</v>
      </c>
    </row>
    <row r="154" spans="1:8" x14ac:dyDescent="0.2">
      <c r="A154" t="s">
        <v>154</v>
      </c>
      <c r="B154" s="7">
        <v>3.7393687755796559E-4</v>
      </c>
      <c r="D154" t="s">
        <v>76</v>
      </c>
      <c r="E154" t="s">
        <v>442</v>
      </c>
      <c r="F154" t="s">
        <v>163</v>
      </c>
      <c r="G154" t="s">
        <v>59</v>
      </c>
    </row>
    <row r="155" spans="1:8" x14ac:dyDescent="0.2">
      <c r="A155" t="s">
        <v>212</v>
      </c>
      <c r="B155" s="7">
        <v>1.1713745554585587E-5</v>
      </c>
      <c r="D155" t="s">
        <v>76</v>
      </c>
      <c r="E155" t="s">
        <v>442</v>
      </c>
      <c r="F155" t="s">
        <v>163</v>
      </c>
      <c r="G155" t="s">
        <v>61</v>
      </c>
    </row>
    <row r="156" spans="1:8" x14ac:dyDescent="0.2">
      <c r="A156" t="s">
        <v>207</v>
      </c>
      <c r="B156" s="7">
        <v>8.3141932216628021E-4</v>
      </c>
      <c r="D156" t="s">
        <v>76</v>
      </c>
      <c r="E156" t="s">
        <v>442</v>
      </c>
      <c r="F156" t="s">
        <v>163</v>
      </c>
      <c r="G156" t="s">
        <v>360</v>
      </c>
    </row>
    <row r="157" spans="1:8" x14ac:dyDescent="0.2">
      <c r="A157" t="s">
        <v>309</v>
      </c>
      <c r="B157" s="7">
        <v>5.8625721434801813E-5</v>
      </c>
      <c r="D157" t="s">
        <v>76</v>
      </c>
      <c r="E157" t="s">
        <v>442</v>
      </c>
      <c r="F157" t="s">
        <v>163</v>
      </c>
      <c r="G157" t="s">
        <v>309</v>
      </c>
    </row>
    <row r="158" spans="1:8" x14ac:dyDescent="0.2">
      <c r="A158" t="s">
        <v>310</v>
      </c>
      <c r="B158" s="7">
        <v>1.1945679916182187E-5</v>
      </c>
      <c r="D158" t="s">
        <v>76</v>
      </c>
      <c r="E158" t="s">
        <v>442</v>
      </c>
      <c r="F158" t="s">
        <v>163</v>
      </c>
      <c r="G158" t="s">
        <v>310</v>
      </c>
    </row>
    <row r="159" spans="1:8" x14ac:dyDescent="0.2">
      <c r="A159" t="s">
        <v>311</v>
      </c>
      <c r="B159" s="7">
        <v>9.6300558093530248E-5</v>
      </c>
      <c r="D159" t="s">
        <v>76</v>
      </c>
      <c r="E159" t="s">
        <v>442</v>
      </c>
      <c r="F159" t="s">
        <v>163</v>
      </c>
      <c r="G159" t="s">
        <v>311</v>
      </c>
    </row>
    <row r="160" spans="1:8" x14ac:dyDescent="0.2">
      <c r="A160" t="s">
        <v>312</v>
      </c>
      <c r="B160" s="7">
        <v>3.9512633568910311E-5</v>
      </c>
      <c r="D160" t="s">
        <v>76</v>
      </c>
      <c r="E160" t="s">
        <v>442</v>
      </c>
      <c r="F160" t="s">
        <v>163</v>
      </c>
      <c r="G160" t="s">
        <v>312</v>
      </c>
    </row>
    <row r="161" spans="1:7" x14ac:dyDescent="0.2">
      <c r="A161" t="s">
        <v>313</v>
      </c>
      <c r="B161" s="7">
        <v>2.9588530253928191E-5</v>
      </c>
      <c r="D161" t="s">
        <v>76</v>
      </c>
      <c r="E161" t="s">
        <v>442</v>
      </c>
      <c r="F161" t="s">
        <v>163</v>
      </c>
      <c r="G161" t="s">
        <v>313</v>
      </c>
    </row>
    <row r="162" spans="1:7" x14ac:dyDescent="0.2">
      <c r="A162" t="s">
        <v>314</v>
      </c>
      <c r="B162" s="7">
        <v>2.0950884776073375E-5</v>
      </c>
      <c r="D162" t="s">
        <v>76</v>
      </c>
      <c r="E162" t="s">
        <v>442</v>
      </c>
      <c r="F162" t="s">
        <v>163</v>
      </c>
      <c r="G162" t="s">
        <v>314</v>
      </c>
    </row>
    <row r="163" spans="1:7" x14ac:dyDescent="0.2">
      <c r="A163" t="s">
        <v>315</v>
      </c>
      <c r="B163" s="7">
        <v>1.3599697135345875E-5</v>
      </c>
      <c r="D163" t="s">
        <v>76</v>
      </c>
      <c r="E163" t="s">
        <v>442</v>
      </c>
      <c r="F163" t="s">
        <v>163</v>
      </c>
      <c r="G163" t="s">
        <v>315</v>
      </c>
    </row>
    <row r="164" spans="1:7" x14ac:dyDescent="0.2">
      <c r="A164" t="s">
        <v>316</v>
      </c>
      <c r="B164" s="7">
        <v>1.3415917444327687E-4</v>
      </c>
      <c r="D164" t="s">
        <v>76</v>
      </c>
      <c r="E164" t="s">
        <v>442</v>
      </c>
      <c r="F164" t="s">
        <v>163</v>
      </c>
      <c r="G164" t="s">
        <v>316</v>
      </c>
    </row>
    <row r="165" spans="1:7" x14ac:dyDescent="0.2">
      <c r="A165" t="s">
        <v>317</v>
      </c>
      <c r="B165" s="7">
        <v>7.0203841968947625E-5</v>
      </c>
      <c r="D165" t="s">
        <v>76</v>
      </c>
      <c r="E165" t="s">
        <v>442</v>
      </c>
      <c r="F165" t="s">
        <v>163</v>
      </c>
      <c r="G165" t="s">
        <v>317</v>
      </c>
    </row>
    <row r="166" spans="1:7" x14ac:dyDescent="0.2">
      <c r="A166" t="s">
        <v>318</v>
      </c>
      <c r="B166" s="7">
        <v>2.0215766012000624E-6</v>
      </c>
      <c r="D166" t="s">
        <v>76</v>
      </c>
      <c r="E166" t="s">
        <v>442</v>
      </c>
      <c r="F166" t="s">
        <v>163</v>
      </c>
      <c r="G166" t="s">
        <v>318</v>
      </c>
    </row>
    <row r="167" spans="1:7" x14ac:dyDescent="0.2">
      <c r="A167" t="s">
        <v>319</v>
      </c>
      <c r="B167" s="7">
        <v>2.0179010073796986E-4</v>
      </c>
      <c r="D167" t="s">
        <v>76</v>
      </c>
      <c r="E167" t="s">
        <v>442</v>
      </c>
      <c r="F167" t="s">
        <v>163</v>
      </c>
      <c r="G167" t="s">
        <v>319</v>
      </c>
    </row>
    <row r="168" spans="1:7" x14ac:dyDescent="0.2">
      <c r="A168" t="s">
        <v>320</v>
      </c>
      <c r="B168" s="7">
        <v>9.9792372222875822E-5</v>
      </c>
      <c r="D168" t="s">
        <v>76</v>
      </c>
      <c r="E168" t="s">
        <v>442</v>
      </c>
      <c r="F168" t="s">
        <v>163</v>
      </c>
      <c r="G168" t="s">
        <v>320</v>
      </c>
    </row>
    <row r="169" spans="1:7" x14ac:dyDescent="0.2">
      <c r="A169" t="s">
        <v>321</v>
      </c>
      <c r="B169" s="7">
        <v>4.1534210170110372E-5</v>
      </c>
      <c r="D169" t="s">
        <v>76</v>
      </c>
      <c r="E169" t="s">
        <v>442</v>
      </c>
      <c r="F169" t="s">
        <v>163</v>
      </c>
      <c r="G169" t="s">
        <v>321</v>
      </c>
    </row>
    <row r="170" spans="1:7" x14ac:dyDescent="0.2">
      <c r="A170" t="s">
        <v>322</v>
      </c>
      <c r="B170" s="7">
        <v>3.1242547473091882E-5</v>
      </c>
      <c r="D170" t="s">
        <v>76</v>
      </c>
      <c r="E170" t="s">
        <v>442</v>
      </c>
      <c r="F170" t="s">
        <v>163</v>
      </c>
      <c r="G170" t="s">
        <v>322</v>
      </c>
    </row>
    <row r="171" spans="1:7" x14ac:dyDescent="0.2">
      <c r="A171" t="s">
        <v>323</v>
      </c>
      <c r="B171" s="7">
        <v>1.3783476826364063E-5</v>
      </c>
      <c r="D171" t="s">
        <v>76</v>
      </c>
      <c r="E171" t="s">
        <v>442</v>
      </c>
      <c r="F171" t="s">
        <v>163</v>
      </c>
      <c r="G171" t="s">
        <v>323</v>
      </c>
    </row>
    <row r="172" spans="1:7" x14ac:dyDescent="0.2">
      <c r="A172" t="s">
        <v>324</v>
      </c>
      <c r="B172" s="7">
        <v>4.0431532024001248E-6</v>
      </c>
      <c r="D172" t="s">
        <v>76</v>
      </c>
      <c r="E172" t="s">
        <v>442</v>
      </c>
      <c r="F172" t="s">
        <v>163</v>
      </c>
      <c r="G172" t="s">
        <v>324</v>
      </c>
    </row>
    <row r="173" spans="1:7" x14ac:dyDescent="0.2">
      <c r="A173" t="s">
        <v>325</v>
      </c>
      <c r="B173" s="7">
        <v>1.1210561152109439E-5</v>
      </c>
      <c r="D173" t="s">
        <v>76</v>
      </c>
      <c r="E173" t="s">
        <v>442</v>
      </c>
      <c r="F173" t="s">
        <v>163</v>
      </c>
      <c r="G173" t="s">
        <v>325</v>
      </c>
    </row>
    <row r="174" spans="1:7" x14ac:dyDescent="0.2">
      <c r="A174" t="s">
        <v>328</v>
      </c>
      <c r="B174" s="7">
        <v>9.1889845509093757E-7</v>
      </c>
      <c r="D174" t="s">
        <v>76</v>
      </c>
      <c r="E174" t="s">
        <v>442</v>
      </c>
      <c r="F174" t="s">
        <v>163</v>
      </c>
      <c r="G174" t="s">
        <v>328</v>
      </c>
    </row>
    <row r="175" spans="1:7" x14ac:dyDescent="0.2">
      <c r="A175" t="s">
        <v>326</v>
      </c>
      <c r="B175" s="7">
        <v>3.4918141293455624E-6</v>
      </c>
      <c r="D175" t="s">
        <v>76</v>
      </c>
      <c r="E175" t="s">
        <v>442</v>
      </c>
      <c r="F175" t="s">
        <v>163</v>
      </c>
      <c r="G175" t="s">
        <v>326</v>
      </c>
    </row>
    <row r="176" spans="1:7" x14ac:dyDescent="0.2">
      <c r="A176" t="s">
        <v>327</v>
      </c>
      <c r="B176" s="7">
        <v>1.8561748792836937E-5</v>
      </c>
      <c r="D176" t="s">
        <v>76</v>
      </c>
      <c r="E176" t="s">
        <v>442</v>
      </c>
      <c r="F176" t="s">
        <v>163</v>
      </c>
      <c r="G176" t="s">
        <v>327</v>
      </c>
    </row>
    <row r="177" spans="1:8" x14ac:dyDescent="0.2">
      <c r="A177" t="s">
        <v>336</v>
      </c>
      <c r="B177" s="7">
        <v>6.8740409973258097E-10</v>
      </c>
      <c r="D177" t="s">
        <v>76</v>
      </c>
      <c r="E177" t="s">
        <v>442</v>
      </c>
      <c r="F177" t="s">
        <v>163</v>
      </c>
      <c r="G177" t="s">
        <v>329</v>
      </c>
    </row>
    <row r="178" spans="1:8" x14ac:dyDescent="0.2">
      <c r="A178" t="s">
        <v>330</v>
      </c>
      <c r="B178" s="7">
        <v>5.9258974114877665E-12</v>
      </c>
      <c r="D178" t="s">
        <v>76</v>
      </c>
      <c r="E178" t="s">
        <v>442</v>
      </c>
      <c r="F178" t="s">
        <v>163</v>
      </c>
      <c r="G178" t="s">
        <v>330</v>
      </c>
    </row>
    <row r="179" spans="1:8" x14ac:dyDescent="0.2">
      <c r="A179" t="s">
        <v>331</v>
      </c>
      <c r="B179" s="7">
        <v>3.9505982743251777E-12</v>
      </c>
      <c r="D179" t="s">
        <v>76</v>
      </c>
      <c r="E179" t="s">
        <v>442</v>
      </c>
      <c r="F179" t="s">
        <v>163</v>
      </c>
      <c r="G179" t="s">
        <v>331</v>
      </c>
    </row>
    <row r="180" spans="1:8" x14ac:dyDescent="0.2">
      <c r="A180" t="s">
        <v>332</v>
      </c>
      <c r="B180" s="7">
        <v>4.2666461362711927E-8</v>
      </c>
      <c r="D180" t="s">
        <v>76</v>
      </c>
      <c r="E180" t="s">
        <v>442</v>
      </c>
      <c r="F180" t="s">
        <v>163</v>
      </c>
      <c r="G180" t="s">
        <v>332</v>
      </c>
    </row>
    <row r="181" spans="1:8" x14ac:dyDescent="0.2">
      <c r="A181" t="s">
        <v>290</v>
      </c>
      <c r="B181" s="7">
        <v>8.2962563760828726E-10</v>
      </c>
      <c r="D181" t="s">
        <v>76</v>
      </c>
      <c r="E181" t="s">
        <v>442</v>
      </c>
      <c r="F181" t="s">
        <v>163</v>
      </c>
      <c r="G181" t="s">
        <v>290</v>
      </c>
    </row>
    <row r="182" spans="1:8" x14ac:dyDescent="0.2">
      <c r="A182" t="s">
        <v>292</v>
      </c>
      <c r="B182" s="7">
        <v>2.5678888783113659E-10</v>
      </c>
      <c r="D182" t="s">
        <v>76</v>
      </c>
      <c r="E182" t="s">
        <v>442</v>
      </c>
      <c r="F182" t="s">
        <v>163</v>
      </c>
      <c r="G182" t="s">
        <v>292</v>
      </c>
    </row>
    <row r="183" spans="1:8" x14ac:dyDescent="0.2">
      <c r="A183" t="s">
        <v>291</v>
      </c>
      <c r="B183" s="7">
        <v>3.1604786194601424E-10</v>
      </c>
      <c r="D183" t="s">
        <v>76</v>
      </c>
      <c r="E183" t="s">
        <v>442</v>
      </c>
      <c r="F183" t="s">
        <v>163</v>
      </c>
      <c r="G183" t="s">
        <v>291</v>
      </c>
    </row>
    <row r="184" spans="1:8" x14ac:dyDescent="0.2">
      <c r="A184" t="s">
        <v>335</v>
      </c>
      <c r="B184" s="7">
        <v>6.3209572389202838E-13</v>
      </c>
      <c r="D184" t="s">
        <v>76</v>
      </c>
      <c r="E184" t="s">
        <v>442</v>
      </c>
      <c r="F184" t="s">
        <v>163</v>
      </c>
      <c r="G184" t="s">
        <v>335</v>
      </c>
    </row>
    <row r="185" spans="1:8" x14ac:dyDescent="0.2">
      <c r="A185" t="s">
        <v>333</v>
      </c>
      <c r="B185" s="7">
        <v>1.7185102493314524E-10</v>
      </c>
      <c r="D185" t="s">
        <v>76</v>
      </c>
      <c r="E185" t="s">
        <v>442</v>
      </c>
      <c r="F185" t="s">
        <v>163</v>
      </c>
      <c r="G185" t="s">
        <v>333</v>
      </c>
    </row>
    <row r="186" spans="1:8" x14ac:dyDescent="0.2">
      <c r="A186" t="s">
        <v>334</v>
      </c>
      <c r="B186" s="7">
        <v>2.1333230681355966E-10</v>
      </c>
      <c r="D186" t="s">
        <v>76</v>
      </c>
      <c r="E186" t="s">
        <v>442</v>
      </c>
      <c r="F186" t="s">
        <v>163</v>
      </c>
      <c r="G186" t="s">
        <v>334</v>
      </c>
    </row>
    <row r="187" spans="1:8" x14ac:dyDescent="0.2">
      <c r="A187" t="s">
        <v>155</v>
      </c>
      <c r="B187" s="7">
        <v>-5.5602526913109987E-6</v>
      </c>
      <c r="C187" t="s">
        <v>91</v>
      </c>
      <c r="D187" t="s">
        <v>76</v>
      </c>
      <c r="F187" t="s">
        <v>88</v>
      </c>
      <c r="G187" t="s">
        <v>29</v>
      </c>
      <c r="H187" t="s">
        <v>157</v>
      </c>
    </row>
    <row r="188" spans="1:8" x14ac:dyDescent="0.2">
      <c r="A188" t="s">
        <v>156</v>
      </c>
      <c r="B188" s="7">
        <v>-4.6954824543521508E-6</v>
      </c>
      <c r="C188" t="s">
        <v>91</v>
      </c>
      <c r="D188" t="s">
        <v>76</v>
      </c>
      <c r="F188" t="s">
        <v>88</v>
      </c>
      <c r="G188" t="s">
        <v>30</v>
      </c>
      <c r="H188" t="s">
        <v>158</v>
      </c>
    </row>
    <row r="189" spans="1:8" x14ac:dyDescent="0.2">
      <c r="A189" t="s">
        <v>164</v>
      </c>
      <c r="B189" s="7">
        <v>-3.2264697142314886E-6</v>
      </c>
      <c r="C189" t="s">
        <v>91</v>
      </c>
      <c r="D189" t="s">
        <v>76</v>
      </c>
      <c r="F189" t="s">
        <v>88</v>
      </c>
      <c r="G189" t="s">
        <v>31</v>
      </c>
      <c r="H189" t="s">
        <v>159</v>
      </c>
    </row>
    <row r="191" spans="1:8" ht="16" x14ac:dyDescent="0.2">
      <c r="A191" s="10" t="s">
        <v>70</v>
      </c>
      <c r="B191" s="8" t="s">
        <v>564</v>
      </c>
    </row>
    <row r="192" spans="1:8" x14ac:dyDescent="0.2">
      <c r="A192" t="s">
        <v>71</v>
      </c>
      <c r="B192" t="s">
        <v>37</v>
      </c>
    </row>
    <row r="193" spans="1:2" x14ac:dyDescent="0.2">
      <c r="A193" t="s">
        <v>85</v>
      </c>
      <c r="B193" t="s">
        <v>347</v>
      </c>
    </row>
    <row r="194" spans="1:2" x14ac:dyDescent="0.2">
      <c r="A194" t="s">
        <v>86</v>
      </c>
    </row>
    <row r="195" spans="1:2" x14ac:dyDescent="0.2">
      <c r="A195" t="s">
        <v>87</v>
      </c>
      <c r="B195">
        <v>2016</v>
      </c>
    </row>
    <row r="196" spans="1:2" x14ac:dyDescent="0.2">
      <c r="A196" t="s">
        <v>123</v>
      </c>
      <c r="B196" t="s">
        <v>350</v>
      </c>
    </row>
    <row r="197" spans="1:2" x14ac:dyDescent="0.2">
      <c r="A197" t="s">
        <v>72</v>
      </c>
      <c r="B197" t="s">
        <v>564</v>
      </c>
    </row>
    <row r="198" spans="1:2" x14ac:dyDescent="0.2">
      <c r="A198" t="s">
        <v>73</v>
      </c>
      <c r="B198" t="s">
        <v>74</v>
      </c>
    </row>
    <row r="199" spans="1:2" x14ac:dyDescent="0.2">
      <c r="A199" t="s">
        <v>75</v>
      </c>
      <c r="B199" t="s">
        <v>162</v>
      </c>
    </row>
    <row r="200" spans="1:2" x14ac:dyDescent="0.2">
      <c r="A200" t="s">
        <v>77</v>
      </c>
      <c r="B200" t="s">
        <v>518</v>
      </c>
    </row>
    <row r="201" spans="1:2" x14ac:dyDescent="0.2">
      <c r="A201" t="s">
        <v>124</v>
      </c>
      <c r="B201">
        <v>25000</v>
      </c>
    </row>
    <row r="202" spans="1:2" x14ac:dyDescent="0.2">
      <c r="A202" t="s">
        <v>125</v>
      </c>
      <c r="B202">
        <v>1</v>
      </c>
    </row>
    <row r="203" spans="1:2" x14ac:dyDescent="0.2">
      <c r="A203" t="s">
        <v>126</v>
      </c>
      <c r="B203">
        <v>1</v>
      </c>
    </row>
    <row r="204" spans="1:2" x14ac:dyDescent="0.2">
      <c r="A204" t="s">
        <v>127</v>
      </c>
      <c r="B204">
        <v>0</v>
      </c>
    </row>
    <row r="205" spans="1:2" x14ac:dyDescent="0.2">
      <c r="A205" t="s">
        <v>128</v>
      </c>
      <c r="B205">
        <v>1570</v>
      </c>
    </row>
    <row r="206" spans="1:2" x14ac:dyDescent="0.2">
      <c r="A206" t="s">
        <v>129</v>
      </c>
      <c r="B206" s="2">
        <v>63.83925</v>
      </c>
    </row>
    <row r="207" spans="1:2" x14ac:dyDescent="0.2">
      <c r="A207" t="s">
        <v>130</v>
      </c>
      <c r="B207">
        <v>2.5</v>
      </c>
    </row>
    <row r="208" spans="1:2" x14ac:dyDescent="0.2">
      <c r="A208" t="s">
        <v>131</v>
      </c>
      <c r="B208" t="s">
        <v>84</v>
      </c>
    </row>
    <row r="209" spans="1:8" x14ac:dyDescent="0.2">
      <c r="A209" t="s">
        <v>99</v>
      </c>
      <c r="B209">
        <v>0</v>
      </c>
    </row>
    <row r="210" spans="1:8" x14ac:dyDescent="0.2">
      <c r="A210" t="s">
        <v>134</v>
      </c>
      <c r="B210" s="2">
        <v>62.125</v>
      </c>
    </row>
    <row r="211" spans="1:8" x14ac:dyDescent="0.2">
      <c r="A211" t="s">
        <v>135</v>
      </c>
      <c r="B211">
        <v>5.25</v>
      </c>
    </row>
    <row r="212" spans="1:8" x14ac:dyDescent="0.2">
      <c r="A212" t="s">
        <v>132</v>
      </c>
      <c r="B212" s="2">
        <v>269.07197854715383</v>
      </c>
    </row>
    <row r="213" spans="1:8" x14ac:dyDescent="0.2">
      <c r="A213" t="s">
        <v>133</v>
      </c>
      <c r="B213" t="s">
        <v>138</v>
      </c>
    </row>
    <row r="214" spans="1:8" x14ac:dyDescent="0.2">
      <c r="A214" t="s">
        <v>540</v>
      </c>
      <c r="B214" s="6">
        <v>-0.02</v>
      </c>
    </row>
    <row r="215" spans="1:8" x14ac:dyDescent="0.2">
      <c r="A215" t="s">
        <v>82</v>
      </c>
      <c r="B215" t="s">
        <v>565</v>
      </c>
    </row>
    <row r="216" spans="1:8" ht="16" x14ac:dyDescent="0.2">
      <c r="A216" s="10" t="s">
        <v>78</v>
      </c>
    </row>
    <row r="217" spans="1:8" x14ac:dyDescent="0.2">
      <c r="A217" t="s">
        <v>79</v>
      </c>
      <c r="B217" t="s">
        <v>80</v>
      </c>
      <c r="C217" t="s">
        <v>71</v>
      </c>
      <c r="D217" t="s">
        <v>75</v>
      </c>
      <c r="E217" t="s">
        <v>81</v>
      </c>
      <c r="F217" t="s">
        <v>73</v>
      </c>
      <c r="G217" t="s">
        <v>82</v>
      </c>
      <c r="H217" t="s">
        <v>72</v>
      </c>
    </row>
    <row r="218" spans="1:8" x14ac:dyDescent="0.2">
      <c r="A218" t="s">
        <v>564</v>
      </c>
      <c r="B218">
        <v>1</v>
      </c>
      <c r="C218" t="s">
        <v>37</v>
      </c>
      <c r="D218" t="s">
        <v>162</v>
      </c>
      <c r="F218" t="s">
        <v>83</v>
      </c>
      <c r="G218" t="s">
        <v>84</v>
      </c>
      <c r="H218" t="s">
        <v>564</v>
      </c>
    </row>
    <row r="219" spans="1:8" x14ac:dyDescent="0.2">
      <c r="A219" t="s">
        <v>347</v>
      </c>
      <c r="B219" s="7">
        <v>4.0000000000000003E-5</v>
      </c>
      <c r="C219" t="s">
        <v>37</v>
      </c>
      <c r="D219" t="s">
        <v>75</v>
      </c>
      <c r="F219" t="s">
        <v>88</v>
      </c>
      <c r="H219" t="s">
        <v>347</v>
      </c>
    </row>
    <row r="220" spans="1:8" x14ac:dyDescent="0.2">
      <c r="A220" t="s">
        <v>106</v>
      </c>
      <c r="B220" s="7">
        <v>7.5630677249999997E-5</v>
      </c>
      <c r="C220" t="s">
        <v>37</v>
      </c>
      <c r="D220" t="s">
        <v>104</v>
      </c>
      <c r="F220" t="s">
        <v>88</v>
      </c>
      <c r="G220" t="s">
        <v>102</v>
      </c>
      <c r="H220" t="s">
        <v>107</v>
      </c>
    </row>
    <row r="221" spans="1:8" x14ac:dyDescent="0.2">
      <c r="A221" t="s">
        <v>110</v>
      </c>
      <c r="B221" s="7">
        <v>1.2899999999999999E-3</v>
      </c>
      <c r="C221" t="s">
        <v>37</v>
      </c>
      <c r="D221" t="s">
        <v>104</v>
      </c>
      <c r="F221" t="s">
        <v>88</v>
      </c>
      <c r="G221" t="s">
        <v>109</v>
      </c>
      <c r="H221" t="s">
        <v>110</v>
      </c>
    </row>
    <row r="222" spans="1:8" x14ac:dyDescent="0.2">
      <c r="A222" t="s">
        <v>118</v>
      </c>
      <c r="B222" s="7">
        <v>4.0000000000000003E-5</v>
      </c>
      <c r="C222" t="s">
        <v>37</v>
      </c>
      <c r="D222" t="s">
        <v>75</v>
      </c>
      <c r="F222" t="s">
        <v>88</v>
      </c>
      <c r="G222" t="s">
        <v>115</v>
      </c>
      <c r="H222" t="s">
        <v>118</v>
      </c>
    </row>
    <row r="223" spans="1:8" x14ac:dyDescent="0.2">
      <c r="A223" t="s">
        <v>356</v>
      </c>
      <c r="B223" s="7">
        <v>1.9511507769583512E-2</v>
      </c>
      <c r="C223" t="s">
        <v>37</v>
      </c>
      <c r="D223" t="s">
        <v>76</v>
      </c>
      <c r="F223" t="s">
        <v>88</v>
      </c>
      <c r="G223" t="s">
        <v>27</v>
      </c>
      <c r="H223" t="s">
        <v>357</v>
      </c>
    </row>
    <row r="224" spans="1:8" x14ac:dyDescent="0.2">
      <c r="A224" t="s">
        <v>150</v>
      </c>
      <c r="B224" s="7">
        <v>6.1266134396492228E-2</v>
      </c>
      <c r="D224" t="s">
        <v>76</v>
      </c>
      <c r="E224" t="s">
        <v>442</v>
      </c>
      <c r="F224" t="s">
        <v>163</v>
      </c>
      <c r="G224" t="s">
        <v>65</v>
      </c>
    </row>
    <row r="225" spans="1:7" x14ac:dyDescent="0.2">
      <c r="A225" t="s">
        <v>210</v>
      </c>
      <c r="B225" s="7">
        <v>3.1218412431333619E-7</v>
      </c>
      <c r="D225" t="s">
        <v>76</v>
      </c>
      <c r="E225" t="s">
        <v>442</v>
      </c>
      <c r="F225" t="s">
        <v>163</v>
      </c>
      <c r="G225" t="s">
        <v>66</v>
      </c>
    </row>
    <row r="226" spans="1:7" x14ac:dyDescent="0.2">
      <c r="A226" t="s">
        <v>54</v>
      </c>
      <c r="B226" s="7">
        <v>5.0538174149900782E-5</v>
      </c>
      <c r="D226" t="s">
        <v>76</v>
      </c>
      <c r="E226" t="s">
        <v>442</v>
      </c>
      <c r="F226" t="s">
        <v>163</v>
      </c>
      <c r="G226" t="s">
        <v>54</v>
      </c>
    </row>
    <row r="227" spans="1:7" x14ac:dyDescent="0.2">
      <c r="A227" t="s">
        <v>151</v>
      </c>
      <c r="B227" s="7">
        <v>2.2915507072459244E-5</v>
      </c>
      <c r="D227" t="s">
        <v>76</v>
      </c>
      <c r="E227" t="s">
        <v>442</v>
      </c>
      <c r="F227" t="s">
        <v>163</v>
      </c>
      <c r="G227" t="s">
        <v>55</v>
      </c>
    </row>
    <row r="228" spans="1:7" x14ac:dyDescent="0.2">
      <c r="A228" t="s">
        <v>152</v>
      </c>
      <c r="B228" s="7">
        <v>2.4230819782310601E-3</v>
      </c>
      <c r="D228" t="s">
        <v>76</v>
      </c>
      <c r="E228" t="s">
        <v>442</v>
      </c>
      <c r="F228" t="s">
        <v>163</v>
      </c>
      <c r="G228" t="s">
        <v>56</v>
      </c>
    </row>
    <row r="229" spans="1:7" x14ac:dyDescent="0.2">
      <c r="A229" t="s">
        <v>211</v>
      </c>
      <c r="B229" s="7">
        <v>1.1626335399522705E-6</v>
      </c>
      <c r="D229" t="s">
        <v>76</v>
      </c>
      <c r="E229" t="s">
        <v>442</v>
      </c>
      <c r="F229" t="s">
        <v>163</v>
      </c>
      <c r="G229" t="s">
        <v>57</v>
      </c>
    </row>
    <row r="230" spans="1:7" x14ac:dyDescent="0.2">
      <c r="A230" t="s">
        <v>153</v>
      </c>
      <c r="B230" s="7">
        <v>1.1626335399522705E-6</v>
      </c>
      <c r="D230" t="s">
        <v>76</v>
      </c>
      <c r="E230" t="s">
        <v>442</v>
      </c>
      <c r="F230" t="s">
        <v>163</v>
      </c>
      <c r="G230" t="s">
        <v>58</v>
      </c>
    </row>
    <row r="231" spans="1:7" x14ac:dyDescent="0.2">
      <c r="A231" t="s">
        <v>154</v>
      </c>
      <c r="B231" s="7">
        <v>8.7186713305431907E-5</v>
      </c>
      <c r="D231" t="s">
        <v>76</v>
      </c>
      <c r="E231" t="s">
        <v>442</v>
      </c>
      <c r="F231" t="s">
        <v>163</v>
      </c>
      <c r="G231" t="s">
        <v>59</v>
      </c>
    </row>
    <row r="232" spans="1:7" x14ac:dyDescent="0.2">
      <c r="A232" t="s">
        <v>212</v>
      </c>
      <c r="B232" s="7">
        <v>6.6770044199458891E-6</v>
      </c>
      <c r="D232" t="s">
        <v>76</v>
      </c>
      <c r="E232" t="s">
        <v>442</v>
      </c>
      <c r="F232" t="s">
        <v>163</v>
      </c>
      <c r="G232" t="s">
        <v>61</v>
      </c>
    </row>
    <row r="233" spans="1:7" x14ac:dyDescent="0.2">
      <c r="A233" t="s">
        <v>207</v>
      </c>
      <c r="B233" s="7">
        <v>4.0754848458850478E-4</v>
      </c>
      <c r="D233" t="s">
        <v>76</v>
      </c>
      <c r="E233" t="s">
        <v>442</v>
      </c>
      <c r="F233" t="s">
        <v>163</v>
      </c>
      <c r="G233" t="s">
        <v>360</v>
      </c>
    </row>
    <row r="234" spans="1:7" x14ac:dyDescent="0.2">
      <c r="A234" t="s">
        <v>309</v>
      </c>
      <c r="B234" s="7">
        <v>2.873739314406123E-5</v>
      </c>
      <c r="D234" t="s">
        <v>76</v>
      </c>
      <c r="E234" t="s">
        <v>442</v>
      </c>
      <c r="F234" t="s">
        <v>163</v>
      </c>
      <c r="G234" t="s">
        <v>309</v>
      </c>
    </row>
    <row r="235" spans="1:7" x14ac:dyDescent="0.2">
      <c r="A235" t="s">
        <v>310</v>
      </c>
      <c r="B235" s="7">
        <v>5.8555816751221947E-6</v>
      </c>
      <c r="D235" t="s">
        <v>76</v>
      </c>
      <c r="E235" t="s">
        <v>442</v>
      </c>
      <c r="F235" t="s">
        <v>163</v>
      </c>
      <c r="G235" t="s">
        <v>310</v>
      </c>
    </row>
    <row r="236" spans="1:7" x14ac:dyDescent="0.2">
      <c r="A236" t="s">
        <v>311</v>
      </c>
      <c r="B236" s="7">
        <v>4.7204996888677385E-5</v>
      </c>
      <c r="D236" t="s">
        <v>76</v>
      </c>
      <c r="E236" t="s">
        <v>442</v>
      </c>
      <c r="F236" t="s">
        <v>163</v>
      </c>
      <c r="G236" t="s">
        <v>311</v>
      </c>
    </row>
    <row r="237" spans="1:7" x14ac:dyDescent="0.2">
      <c r="A237" t="s">
        <v>312</v>
      </c>
      <c r="B237" s="7">
        <v>1.936846246386572E-5</v>
      </c>
      <c r="D237" t="s">
        <v>76</v>
      </c>
      <c r="E237" t="s">
        <v>442</v>
      </c>
      <c r="F237" t="s">
        <v>163</v>
      </c>
      <c r="G237" t="s">
        <v>312</v>
      </c>
    </row>
    <row r="238" spans="1:7" x14ac:dyDescent="0.2">
      <c r="A238" t="s">
        <v>313</v>
      </c>
      <c r="B238" s="7">
        <v>1.4503825379918051E-5</v>
      </c>
      <c r="D238" t="s">
        <v>76</v>
      </c>
      <c r="E238" t="s">
        <v>442</v>
      </c>
      <c r="F238" t="s">
        <v>163</v>
      </c>
      <c r="G238" t="s">
        <v>313</v>
      </c>
    </row>
    <row r="239" spans="1:7" x14ac:dyDescent="0.2">
      <c r="A239" t="s">
        <v>314</v>
      </c>
      <c r="B239" s="7">
        <v>1.0269789399445079E-5</v>
      </c>
      <c r="D239" t="s">
        <v>76</v>
      </c>
      <c r="E239" t="s">
        <v>442</v>
      </c>
      <c r="F239" t="s">
        <v>163</v>
      </c>
      <c r="G239" t="s">
        <v>314</v>
      </c>
    </row>
    <row r="240" spans="1:7" x14ac:dyDescent="0.2">
      <c r="A240" t="s">
        <v>315</v>
      </c>
      <c r="B240" s="7">
        <v>6.6663545224468059E-6</v>
      </c>
      <c r="D240" t="s">
        <v>76</v>
      </c>
      <c r="E240" t="s">
        <v>442</v>
      </c>
      <c r="F240" t="s">
        <v>163</v>
      </c>
      <c r="G240" t="s">
        <v>315</v>
      </c>
    </row>
    <row r="241" spans="1:7" x14ac:dyDescent="0.2">
      <c r="A241" t="s">
        <v>316</v>
      </c>
      <c r="B241" s="7">
        <v>6.5762686505218488E-5</v>
      </c>
      <c r="D241" t="s">
        <v>76</v>
      </c>
      <c r="E241" t="s">
        <v>442</v>
      </c>
      <c r="F241" t="s">
        <v>163</v>
      </c>
      <c r="G241" t="s">
        <v>316</v>
      </c>
    </row>
    <row r="242" spans="1:7" x14ac:dyDescent="0.2">
      <c r="A242" t="s">
        <v>317</v>
      </c>
      <c r="B242" s="7">
        <v>3.441280307533351E-5</v>
      </c>
      <c r="D242" t="s">
        <v>76</v>
      </c>
      <c r="E242" t="s">
        <v>442</v>
      </c>
      <c r="F242" t="s">
        <v>163</v>
      </c>
      <c r="G242" t="s">
        <v>317</v>
      </c>
    </row>
    <row r="243" spans="1:7" x14ac:dyDescent="0.2">
      <c r="A243" t="s">
        <v>318</v>
      </c>
      <c r="B243" s="7">
        <v>9.9094459117452519E-7</v>
      </c>
      <c r="D243" t="s">
        <v>76</v>
      </c>
      <c r="E243" t="s">
        <v>442</v>
      </c>
      <c r="F243" t="s">
        <v>163</v>
      </c>
      <c r="G243" t="s">
        <v>318</v>
      </c>
    </row>
    <row r="244" spans="1:7" x14ac:dyDescent="0.2">
      <c r="A244" t="s">
        <v>319</v>
      </c>
      <c r="B244" s="7">
        <v>9.8914287373602611E-5</v>
      </c>
      <c r="D244" t="s">
        <v>76</v>
      </c>
      <c r="E244" t="s">
        <v>442</v>
      </c>
      <c r="F244" t="s">
        <v>163</v>
      </c>
      <c r="G244" t="s">
        <v>319</v>
      </c>
    </row>
    <row r="245" spans="1:7" x14ac:dyDescent="0.2">
      <c r="A245" t="s">
        <v>320</v>
      </c>
      <c r="B245" s="7">
        <v>4.8916628455251568E-5</v>
      </c>
      <c r="D245" t="s">
        <v>76</v>
      </c>
      <c r="E245" t="s">
        <v>442</v>
      </c>
      <c r="F245" t="s">
        <v>163</v>
      </c>
      <c r="G245" t="s">
        <v>320</v>
      </c>
    </row>
    <row r="246" spans="1:7" x14ac:dyDescent="0.2">
      <c r="A246" t="s">
        <v>321</v>
      </c>
      <c r="B246" s="7">
        <v>2.0359407055040244E-5</v>
      </c>
      <c r="D246" t="s">
        <v>76</v>
      </c>
      <c r="E246" t="s">
        <v>442</v>
      </c>
      <c r="F246" t="s">
        <v>163</v>
      </c>
      <c r="G246" t="s">
        <v>321</v>
      </c>
    </row>
    <row r="247" spans="1:7" x14ac:dyDescent="0.2">
      <c r="A247" t="s">
        <v>322</v>
      </c>
      <c r="B247" s="7">
        <v>1.5314598227242665E-5</v>
      </c>
      <c r="D247" t="s">
        <v>76</v>
      </c>
      <c r="E247" t="s">
        <v>442</v>
      </c>
      <c r="F247" t="s">
        <v>163</v>
      </c>
      <c r="G247" t="s">
        <v>322</v>
      </c>
    </row>
    <row r="248" spans="1:7" x14ac:dyDescent="0.2">
      <c r="A248" t="s">
        <v>323</v>
      </c>
      <c r="B248" s="7">
        <v>6.7564403943717619E-6</v>
      </c>
      <c r="D248" t="s">
        <v>76</v>
      </c>
      <c r="E248" t="s">
        <v>442</v>
      </c>
      <c r="F248" t="s">
        <v>163</v>
      </c>
      <c r="G248" t="s">
        <v>323</v>
      </c>
    </row>
    <row r="249" spans="1:7" x14ac:dyDescent="0.2">
      <c r="A249" t="s">
        <v>324</v>
      </c>
      <c r="B249" s="7">
        <v>1.9818891823490504E-6</v>
      </c>
      <c r="D249" t="s">
        <v>76</v>
      </c>
      <c r="E249" t="s">
        <v>442</v>
      </c>
      <c r="F249" t="s">
        <v>163</v>
      </c>
      <c r="G249" t="s">
        <v>324</v>
      </c>
    </row>
    <row r="250" spans="1:7" x14ac:dyDescent="0.2">
      <c r="A250" t="s">
        <v>325</v>
      </c>
      <c r="B250" s="7">
        <v>5.495238187422368E-6</v>
      </c>
      <c r="D250" t="s">
        <v>76</v>
      </c>
      <c r="E250" t="s">
        <v>442</v>
      </c>
      <c r="F250" t="s">
        <v>163</v>
      </c>
      <c r="G250" t="s">
        <v>325</v>
      </c>
    </row>
    <row r="251" spans="1:7" x14ac:dyDescent="0.2">
      <c r="A251" t="s">
        <v>328</v>
      </c>
      <c r="B251" s="7">
        <v>0</v>
      </c>
      <c r="D251" t="s">
        <v>76</v>
      </c>
      <c r="E251" t="s">
        <v>442</v>
      </c>
      <c r="F251" t="s">
        <v>163</v>
      </c>
      <c r="G251" t="s">
        <v>328</v>
      </c>
    </row>
    <row r="252" spans="1:7" x14ac:dyDescent="0.2">
      <c r="A252" t="s">
        <v>326</v>
      </c>
      <c r="B252" s="7">
        <v>1.7116315665741799E-6</v>
      </c>
      <c r="D252" t="s">
        <v>76</v>
      </c>
      <c r="E252" t="s">
        <v>442</v>
      </c>
      <c r="F252" t="s">
        <v>163</v>
      </c>
      <c r="G252" t="s">
        <v>326</v>
      </c>
    </row>
    <row r="253" spans="1:7" x14ac:dyDescent="0.2">
      <c r="A253" t="s">
        <v>327</v>
      </c>
      <c r="B253" s="7">
        <v>9.0986730644206395E-6</v>
      </c>
      <c r="D253" t="s">
        <v>76</v>
      </c>
      <c r="E253" t="s">
        <v>442</v>
      </c>
      <c r="F253" t="s">
        <v>163</v>
      </c>
      <c r="G253" t="s">
        <v>327</v>
      </c>
    </row>
    <row r="254" spans="1:7" x14ac:dyDescent="0.2">
      <c r="A254" t="s">
        <v>336</v>
      </c>
      <c r="B254" s="7">
        <v>6.8059811854710989E-10</v>
      </c>
      <c r="D254" t="s">
        <v>76</v>
      </c>
      <c r="E254" t="s">
        <v>442</v>
      </c>
      <c r="F254" t="s">
        <v>163</v>
      </c>
      <c r="G254" t="s">
        <v>329</v>
      </c>
    </row>
    <row r="255" spans="1:7" x14ac:dyDescent="0.2">
      <c r="A255" t="s">
        <v>330</v>
      </c>
      <c r="B255" s="7">
        <v>5.8672251598888778E-12</v>
      </c>
      <c r="D255" t="s">
        <v>76</v>
      </c>
      <c r="E255" t="s">
        <v>442</v>
      </c>
      <c r="F255" t="s">
        <v>163</v>
      </c>
      <c r="G255" t="s">
        <v>330</v>
      </c>
    </row>
    <row r="256" spans="1:7" x14ac:dyDescent="0.2">
      <c r="A256" t="s">
        <v>331</v>
      </c>
      <c r="B256" s="7">
        <v>3.9114834399259186E-12</v>
      </c>
      <c r="D256" t="s">
        <v>76</v>
      </c>
      <c r="E256" t="s">
        <v>442</v>
      </c>
      <c r="F256" t="s">
        <v>163</v>
      </c>
      <c r="G256" t="s">
        <v>331</v>
      </c>
    </row>
    <row r="257" spans="1:8" x14ac:dyDescent="0.2">
      <c r="A257" t="s">
        <v>332</v>
      </c>
      <c r="B257" s="7">
        <v>4.2244021151199922E-8</v>
      </c>
      <c r="D257" t="s">
        <v>76</v>
      </c>
      <c r="E257" t="s">
        <v>442</v>
      </c>
      <c r="F257" t="s">
        <v>163</v>
      </c>
      <c r="G257" t="s">
        <v>332</v>
      </c>
    </row>
    <row r="258" spans="1:8" x14ac:dyDescent="0.2">
      <c r="A258" t="s">
        <v>290</v>
      </c>
      <c r="B258" s="7">
        <v>8.2141152238444284E-10</v>
      </c>
      <c r="D258" t="s">
        <v>76</v>
      </c>
      <c r="E258" t="s">
        <v>442</v>
      </c>
      <c r="F258" t="s">
        <v>163</v>
      </c>
      <c r="G258" t="s">
        <v>290</v>
      </c>
    </row>
    <row r="259" spans="1:8" x14ac:dyDescent="0.2">
      <c r="A259" t="s">
        <v>292</v>
      </c>
      <c r="B259" s="7">
        <v>2.5424642359518471E-10</v>
      </c>
      <c r="D259" t="s">
        <v>76</v>
      </c>
      <c r="E259" t="s">
        <v>442</v>
      </c>
      <c r="F259" t="s">
        <v>163</v>
      </c>
      <c r="G259" t="s">
        <v>292</v>
      </c>
    </row>
    <row r="260" spans="1:8" x14ac:dyDescent="0.2">
      <c r="A260" t="s">
        <v>291</v>
      </c>
      <c r="B260" s="7">
        <v>3.1291867519407351E-10</v>
      </c>
      <c r="D260" t="s">
        <v>76</v>
      </c>
      <c r="E260" t="s">
        <v>442</v>
      </c>
      <c r="F260" t="s">
        <v>163</v>
      </c>
      <c r="G260" t="s">
        <v>291</v>
      </c>
    </row>
    <row r="261" spans="1:8" x14ac:dyDescent="0.2">
      <c r="A261" t="s">
        <v>335</v>
      </c>
      <c r="B261" s="7">
        <v>6.258373503881469E-13</v>
      </c>
      <c r="D261" t="s">
        <v>76</v>
      </c>
      <c r="E261" t="s">
        <v>442</v>
      </c>
      <c r="F261" t="s">
        <v>163</v>
      </c>
      <c r="G261" t="s">
        <v>335</v>
      </c>
    </row>
    <row r="262" spans="1:8" x14ac:dyDescent="0.2">
      <c r="A262" t="s">
        <v>333</v>
      </c>
      <c r="B262" s="7">
        <v>1.7014952963677747E-10</v>
      </c>
      <c r="D262" t="s">
        <v>76</v>
      </c>
      <c r="E262" t="s">
        <v>442</v>
      </c>
      <c r="F262" t="s">
        <v>163</v>
      </c>
      <c r="G262" t="s">
        <v>333</v>
      </c>
    </row>
    <row r="263" spans="1:8" x14ac:dyDescent="0.2">
      <c r="A263" t="s">
        <v>334</v>
      </c>
      <c r="B263" s="7">
        <v>2.1122010575599965E-10</v>
      </c>
      <c r="D263" t="s">
        <v>76</v>
      </c>
      <c r="E263" t="s">
        <v>442</v>
      </c>
      <c r="F263" t="s">
        <v>163</v>
      </c>
      <c r="G263" t="s">
        <v>334</v>
      </c>
    </row>
    <row r="264" spans="1:8" x14ac:dyDescent="0.2">
      <c r="A264" t="s">
        <v>155</v>
      </c>
      <c r="B264" s="7">
        <v>-5.5214033406186255E-6</v>
      </c>
      <c r="C264" t="s">
        <v>91</v>
      </c>
      <c r="D264" t="s">
        <v>76</v>
      </c>
      <c r="F264" t="s">
        <v>88</v>
      </c>
      <c r="G264" t="s">
        <v>29</v>
      </c>
      <c r="H264" t="s">
        <v>157</v>
      </c>
    </row>
    <row r="265" spans="1:8" x14ac:dyDescent="0.2">
      <c r="A265" t="s">
        <v>156</v>
      </c>
      <c r="B265" s="7">
        <v>-4.6701389954751309E-6</v>
      </c>
      <c r="C265" t="s">
        <v>91</v>
      </c>
      <c r="D265" t="s">
        <v>76</v>
      </c>
      <c r="F265" t="s">
        <v>88</v>
      </c>
      <c r="G265" t="s">
        <v>30</v>
      </c>
      <c r="H265" t="s">
        <v>158</v>
      </c>
    </row>
    <row r="266" spans="1:8" x14ac:dyDescent="0.2">
      <c r="A266" t="s">
        <v>164</v>
      </c>
      <c r="B266" s="7">
        <v>-3.206660819959009E-6</v>
      </c>
      <c r="C266" t="s">
        <v>91</v>
      </c>
      <c r="D266" t="s">
        <v>76</v>
      </c>
      <c r="F266" t="s">
        <v>88</v>
      </c>
      <c r="G266" t="s">
        <v>31</v>
      </c>
      <c r="H266" t="s">
        <v>159</v>
      </c>
    </row>
    <row r="268" spans="1:8" ht="16" x14ac:dyDescent="0.2">
      <c r="A268" s="10" t="s">
        <v>70</v>
      </c>
      <c r="B268" s="8" t="s">
        <v>566</v>
      </c>
    </row>
    <row r="269" spans="1:8" x14ac:dyDescent="0.2">
      <c r="A269" t="s">
        <v>71</v>
      </c>
      <c r="B269" t="s">
        <v>37</v>
      </c>
    </row>
    <row r="270" spans="1:8" x14ac:dyDescent="0.2">
      <c r="A270" t="s">
        <v>85</v>
      </c>
      <c r="B270" t="s">
        <v>348</v>
      </c>
    </row>
    <row r="271" spans="1:8" x14ac:dyDescent="0.2">
      <c r="A271" t="s">
        <v>86</v>
      </c>
    </row>
    <row r="272" spans="1:8" x14ac:dyDescent="0.2">
      <c r="A272" t="s">
        <v>87</v>
      </c>
      <c r="B272">
        <v>2020</v>
      </c>
    </row>
    <row r="273" spans="1:2" x14ac:dyDescent="0.2">
      <c r="A273" t="s">
        <v>123</v>
      </c>
      <c r="B273" t="s">
        <v>351</v>
      </c>
    </row>
    <row r="274" spans="1:2" x14ac:dyDescent="0.2">
      <c r="A274" t="s">
        <v>72</v>
      </c>
      <c r="B274" t="s">
        <v>566</v>
      </c>
    </row>
    <row r="275" spans="1:2" x14ac:dyDescent="0.2">
      <c r="A275" t="s">
        <v>73</v>
      </c>
      <c r="B275" t="s">
        <v>74</v>
      </c>
    </row>
    <row r="276" spans="1:2" x14ac:dyDescent="0.2">
      <c r="A276" t="s">
        <v>75</v>
      </c>
      <c r="B276" t="s">
        <v>162</v>
      </c>
    </row>
    <row r="277" spans="1:2" x14ac:dyDescent="0.2">
      <c r="A277" t="s">
        <v>77</v>
      </c>
      <c r="B277" t="s">
        <v>518</v>
      </c>
    </row>
    <row r="278" spans="1:2" x14ac:dyDescent="0.2">
      <c r="A278" t="s">
        <v>124</v>
      </c>
      <c r="B278">
        <v>25000</v>
      </c>
    </row>
    <row r="279" spans="1:2" x14ac:dyDescent="0.2">
      <c r="A279" t="s">
        <v>125</v>
      </c>
      <c r="B279">
        <v>1</v>
      </c>
    </row>
    <row r="280" spans="1:2" x14ac:dyDescent="0.2">
      <c r="A280" t="s">
        <v>126</v>
      </c>
      <c r="B280">
        <v>1</v>
      </c>
    </row>
    <row r="281" spans="1:2" x14ac:dyDescent="0.2">
      <c r="A281" t="s">
        <v>127</v>
      </c>
      <c r="B281">
        <v>0</v>
      </c>
    </row>
    <row r="282" spans="1:2" x14ac:dyDescent="0.2">
      <c r="A282" t="s">
        <v>128</v>
      </c>
      <c r="B282">
        <v>1570</v>
      </c>
    </row>
    <row r="283" spans="1:2" x14ac:dyDescent="0.2">
      <c r="A283" t="s">
        <v>129</v>
      </c>
      <c r="B283" s="2">
        <v>63</v>
      </c>
    </row>
    <row r="284" spans="1:2" x14ac:dyDescent="0.2">
      <c r="A284" t="s">
        <v>130</v>
      </c>
      <c r="B284">
        <v>2.5</v>
      </c>
    </row>
    <row r="285" spans="1:2" x14ac:dyDescent="0.2">
      <c r="A285" t="s">
        <v>131</v>
      </c>
      <c r="B285" t="s">
        <v>84</v>
      </c>
    </row>
    <row r="286" spans="1:2" x14ac:dyDescent="0.2">
      <c r="A286" t="s">
        <v>99</v>
      </c>
      <c r="B286">
        <v>0</v>
      </c>
    </row>
    <row r="287" spans="1:2" x14ac:dyDescent="0.2">
      <c r="A287" t="s">
        <v>134</v>
      </c>
      <c r="B287" s="2">
        <v>62.125</v>
      </c>
    </row>
    <row r="288" spans="1:2" x14ac:dyDescent="0.2">
      <c r="A288" t="s">
        <v>135</v>
      </c>
      <c r="B288">
        <v>5.25</v>
      </c>
    </row>
    <row r="289" spans="1:8" x14ac:dyDescent="0.2">
      <c r="A289" t="s">
        <v>132</v>
      </c>
      <c r="B289" s="2">
        <v>271.78987732035739</v>
      </c>
    </row>
    <row r="290" spans="1:8" x14ac:dyDescent="0.2">
      <c r="A290" t="s">
        <v>133</v>
      </c>
      <c r="B290" t="s">
        <v>139</v>
      </c>
    </row>
    <row r="291" spans="1:8" x14ac:dyDescent="0.2">
      <c r="A291" t="s">
        <v>540</v>
      </c>
      <c r="B291" s="6">
        <v>0</v>
      </c>
    </row>
    <row r="292" spans="1:8" x14ac:dyDescent="0.2">
      <c r="A292" t="s">
        <v>82</v>
      </c>
      <c r="B292" t="s">
        <v>567</v>
      </c>
    </row>
    <row r="293" spans="1:8" ht="16" x14ac:dyDescent="0.2">
      <c r="A293" s="10" t="s">
        <v>78</v>
      </c>
    </row>
    <row r="294" spans="1:8" x14ac:dyDescent="0.2">
      <c r="A294" t="s">
        <v>79</v>
      </c>
      <c r="B294" t="s">
        <v>80</v>
      </c>
      <c r="C294" t="s">
        <v>71</v>
      </c>
      <c r="D294" t="s">
        <v>75</v>
      </c>
      <c r="E294" t="s">
        <v>81</v>
      </c>
      <c r="F294" t="s">
        <v>73</v>
      </c>
      <c r="G294" t="s">
        <v>82</v>
      </c>
      <c r="H294" t="s">
        <v>72</v>
      </c>
    </row>
    <row r="295" spans="1:8" x14ac:dyDescent="0.2">
      <c r="A295" t="s">
        <v>566</v>
      </c>
      <c r="B295">
        <v>1</v>
      </c>
      <c r="C295" t="s">
        <v>37</v>
      </c>
      <c r="D295" t="s">
        <v>162</v>
      </c>
      <c r="F295" t="s">
        <v>83</v>
      </c>
      <c r="G295" t="s">
        <v>84</v>
      </c>
      <c r="H295" t="s">
        <v>566</v>
      </c>
    </row>
    <row r="296" spans="1:8" x14ac:dyDescent="0.2">
      <c r="A296" t="s">
        <v>348</v>
      </c>
      <c r="B296" s="7">
        <v>4.0000000000000003E-5</v>
      </c>
      <c r="C296" t="s">
        <v>37</v>
      </c>
      <c r="D296" t="s">
        <v>75</v>
      </c>
      <c r="F296" t="s">
        <v>88</v>
      </c>
      <c r="H296" t="s">
        <v>348</v>
      </c>
    </row>
    <row r="297" spans="1:8" x14ac:dyDescent="0.2">
      <c r="A297" t="s">
        <v>106</v>
      </c>
      <c r="B297" s="7">
        <v>7.5179999999999995E-5</v>
      </c>
      <c r="C297" t="s">
        <v>37</v>
      </c>
      <c r="D297" t="s">
        <v>104</v>
      </c>
      <c r="F297" t="s">
        <v>88</v>
      </c>
      <c r="G297" t="s">
        <v>102</v>
      </c>
      <c r="H297" t="s">
        <v>107</v>
      </c>
    </row>
    <row r="298" spans="1:8" x14ac:dyDescent="0.2">
      <c r="A298" t="s">
        <v>110</v>
      </c>
      <c r="B298" s="7">
        <v>1.2899999999999999E-3</v>
      </c>
      <c r="C298" t="s">
        <v>37</v>
      </c>
      <c r="D298" t="s">
        <v>104</v>
      </c>
      <c r="F298" t="s">
        <v>88</v>
      </c>
      <c r="G298" t="s">
        <v>109</v>
      </c>
      <c r="H298" t="s">
        <v>110</v>
      </c>
    </row>
    <row r="299" spans="1:8" x14ac:dyDescent="0.2">
      <c r="A299" t="s">
        <v>118</v>
      </c>
      <c r="B299" s="7">
        <v>4.0000000000000003E-5</v>
      </c>
      <c r="C299" t="s">
        <v>37</v>
      </c>
      <c r="D299" t="s">
        <v>75</v>
      </c>
      <c r="F299" t="s">
        <v>88</v>
      </c>
      <c r="G299" t="s">
        <v>115</v>
      </c>
      <c r="H299" t="s">
        <v>118</v>
      </c>
    </row>
    <row r="300" spans="1:8" x14ac:dyDescent="0.2">
      <c r="A300" t="s">
        <v>356</v>
      </c>
      <c r="B300" s="7">
        <v>1.9316392691887677E-2</v>
      </c>
      <c r="C300" t="s">
        <v>37</v>
      </c>
      <c r="D300" t="s">
        <v>76</v>
      </c>
      <c r="F300" t="s">
        <v>88</v>
      </c>
      <c r="G300" t="s">
        <v>27</v>
      </c>
      <c r="H300" t="s">
        <v>357</v>
      </c>
    </row>
    <row r="301" spans="1:8" x14ac:dyDescent="0.2">
      <c r="A301" t="s">
        <v>150</v>
      </c>
      <c r="B301" s="7">
        <v>6.0653473052527308E-2</v>
      </c>
      <c r="D301" t="s">
        <v>76</v>
      </c>
      <c r="E301" t="s">
        <v>442</v>
      </c>
      <c r="F301" t="s">
        <v>163</v>
      </c>
      <c r="G301" t="s">
        <v>65</v>
      </c>
    </row>
    <row r="302" spans="1:8" x14ac:dyDescent="0.2">
      <c r="A302" t="s">
        <v>210</v>
      </c>
      <c r="B302" s="7">
        <v>3.0906228307020284E-7</v>
      </c>
      <c r="D302" t="s">
        <v>76</v>
      </c>
      <c r="E302" t="s">
        <v>442</v>
      </c>
      <c r="F302" t="s">
        <v>163</v>
      </c>
      <c r="G302" t="s">
        <v>66</v>
      </c>
    </row>
    <row r="303" spans="1:8" x14ac:dyDescent="0.2">
      <c r="A303" t="s">
        <v>54</v>
      </c>
      <c r="B303" s="7">
        <v>5.0032792408401772E-5</v>
      </c>
      <c r="D303" t="s">
        <v>76</v>
      </c>
      <c r="E303" t="s">
        <v>442</v>
      </c>
      <c r="F303" t="s">
        <v>163</v>
      </c>
      <c r="G303" t="s">
        <v>54</v>
      </c>
    </row>
    <row r="304" spans="1:8" x14ac:dyDescent="0.2">
      <c r="A304" t="s">
        <v>151</v>
      </c>
      <c r="B304" s="7">
        <v>2.2686352001734651E-5</v>
      </c>
      <c r="D304" t="s">
        <v>76</v>
      </c>
      <c r="E304" t="s">
        <v>442</v>
      </c>
      <c r="F304" t="s">
        <v>163</v>
      </c>
      <c r="G304" t="s">
        <v>55</v>
      </c>
    </row>
    <row r="305" spans="1:7" x14ac:dyDescent="0.2">
      <c r="A305" t="s">
        <v>152</v>
      </c>
      <c r="B305" s="7">
        <v>2.3988511584487494E-3</v>
      </c>
      <c r="D305" t="s">
        <v>76</v>
      </c>
      <c r="E305" t="s">
        <v>442</v>
      </c>
      <c r="F305" t="s">
        <v>163</v>
      </c>
      <c r="G305" t="s">
        <v>56</v>
      </c>
    </row>
    <row r="306" spans="1:7" x14ac:dyDescent="0.2">
      <c r="A306" t="s">
        <v>211</v>
      </c>
      <c r="B306" s="7">
        <v>1.1510072045527478E-6</v>
      </c>
      <c r="D306" t="s">
        <v>76</v>
      </c>
      <c r="E306" t="s">
        <v>442</v>
      </c>
      <c r="F306" t="s">
        <v>163</v>
      </c>
      <c r="G306" t="s">
        <v>57</v>
      </c>
    </row>
    <row r="307" spans="1:7" x14ac:dyDescent="0.2">
      <c r="A307" t="s">
        <v>153</v>
      </c>
      <c r="B307" s="7">
        <v>1.1510072045527478E-6</v>
      </c>
      <c r="D307" t="s">
        <v>76</v>
      </c>
      <c r="E307" t="s">
        <v>442</v>
      </c>
      <c r="F307" t="s">
        <v>163</v>
      </c>
      <c r="G307" t="s">
        <v>58</v>
      </c>
    </row>
    <row r="308" spans="1:7" x14ac:dyDescent="0.2">
      <c r="A308" t="s">
        <v>154</v>
      </c>
      <c r="B308" s="7">
        <v>8.6314846172377596E-5</v>
      </c>
      <c r="D308" t="s">
        <v>76</v>
      </c>
      <c r="E308" t="s">
        <v>442</v>
      </c>
      <c r="F308" t="s">
        <v>163</v>
      </c>
      <c r="G308" t="s">
        <v>59</v>
      </c>
    </row>
    <row r="309" spans="1:7" x14ac:dyDescent="0.2">
      <c r="A309" t="s">
        <v>212</v>
      </c>
      <c r="B309" s="7">
        <v>6.6102343757464297E-6</v>
      </c>
      <c r="D309" t="s">
        <v>76</v>
      </c>
      <c r="E309" t="s">
        <v>442</v>
      </c>
      <c r="F309" t="s">
        <v>163</v>
      </c>
      <c r="G309" t="s">
        <v>61</v>
      </c>
    </row>
    <row r="310" spans="1:7" x14ac:dyDescent="0.2">
      <c r="A310" t="s">
        <v>207</v>
      </c>
      <c r="B310" s="7">
        <v>4.0347299974261968E-4</v>
      </c>
      <c r="D310" t="s">
        <v>76</v>
      </c>
      <c r="E310" t="s">
        <v>442</v>
      </c>
      <c r="F310" t="s">
        <v>163</v>
      </c>
      <c r="G310" t="s">
        <v>360</v>
      </c>
    </row>
    <row r="311" spans="1:7" x14ac:dyDescent="0.2">
      <c r="A311" t="s">
        <v>309</v>
      </c>
      <c r="B311" s="7">
        <v>2.8450019212620617E-5</v>
      </c>
      <c r="D311" t="s">
        <v>76</v>
      </c>
      <c r="E311" t="s">
        <v>442</v>
      </c>
      <c r="F311" t="s">
        <v>163</v>
      </c>
      <c r="G311" t="s">
        <v>309</v>
      </c>
    </row>
    <row r="312" spans="1:7" x14ac:dyDescent="0.2">
      <c r="A312" t="s">
        <v>310</v>
      </c>
      <c r="B312" s="7">
        <v>5.7970258583709726E-6</v>
      </c>
      <c r="D312" t="s">
        <v>76</v>
      </c>
      <c r="E312" t="s">
        <v>442</v>
      </c>
      <c r="F312" t="s">
        <v>163</v>
      </c>
      <c r="G312" t="s">
        <v>310</v>
      </c>
    </row>
    <row r="313" spans="1:7" x14ac:dyDescent="0.2">
      <c r="A313" t="s">
        <v>311</v>
      </c>
      <c r="B313" s="7">
        <v>4.6732946919790611E-5</v>
      </c>
      <c r="D313" t="s">
        <v>76</v>
      </c>
      <c r="E313" t="s">
        <v>442</v>
      </c>
      <c r="F313" t="s">
        <v>163</v>
      </c>
      <c r="G313" t="s">
        <v>311</v>
      </c>
    </row>
    <row r="314" spans="1:7" x14ac:dyDescent="0.2">
      <c r="A314" t="s">
        <v>312</v>
      </c>
      <c r="B314" s="7">
        <v>1.9174777839227063E-5</v>
      </c>
      <c r="D314" t="s">
        <v>76</v>
      </c>
      <c r="E314" t="s">
        <v>442</v>
      </c>
      <c r="F314" t="s">
        <v>163</v>
      </c>
      <c r="G314" t="s">
        <v>312</v>
      </c>
    </row>
    <row r="315" spans="1:7" x14ac:dyDescent="0.2">
      <c r="A315" t="s">
        <v>313</v>
      </c>
      <c r="B315" s="7">
        <v>1.4358787126118871E-5</v>
      </c>
      <c r="D315" t="s">
        <v>76</v>
      </c>
      <c r="E315" t="s">
        <v>442</v>
      </c>
      <c r="F315" t="s">
        <v>163</v>
      </c>
      <c r="G315" t="s">
        <v>313</v>
      </c>
    </row>
    <row r="316" spans="1:7" x14ac:dyDescent="0.2">
      <c r="A316" t="s">
        <v>314</v>
      </c>
      <c r="B316" s="7">
        <v>1.016709150545063E-5</v>
      </c>
      <c r="D316" t="s">
        <v>76</v>
      </c>
      <c r="E316" t="s">
        <v>442</v>
      </c>
      <c r="F316" t="s">
        <v>163</v>
      </c>
      <c r="G316" t="s">
        <v>314</v>
      </c>
    </row>
    <row r="317" spans="1:7" x14ac:dyDescent="0.2">
      <c r="A317" t="s">
        <v>315</v>
      </c>
      <c r="B317" s="7">
        <v>6.599690977222338E-6</v>
      </c>
      <c r="D317" t="s">
        <v>76</v>
      </c>
      <c r="E317" t="s">
        <v>442</v>
      </c>
      <c r="F317" t="s">
        <v>163</v>
      </c>
      <c r="G317" t="s">
        <v>315</v>
      </c>
    </row>
    <row r="318" spans="1:7" x14ac:dyDescent="0.2">
      <c r="A318" t="s">
        <v>316</v>
      </c>
      <c r="B318" s="7">
        <v>6.5105059640166308E-5</v>
      </c>
      <c r="D318" t="s">
        <v>76</v>
      </c>
      <c r="E318" t="s">
        <v>442</v>
      </c>
      <c r="F318" t="s">
        <v>163</v>
      </c>
      <c r="G318" t="s">
        <v>316</v>
      </c>
    </row>
    <row r="319" spans="1:7" x14ac:dyDescent="0.2">
      <c r="A319" t="s">
        <v>317</v>
      </c>
      <c r="B319" s="7">
        <v>3.406867504458017E-5</v>
      </c>
      <c r="D319" t="s">
        <v>76</v>
      </c>
      <c r="E319" t="s">
        <v>442</v>
      </c>
      <c r="F319" t="s">
        <v>163</v>
      </c>
      <c r="G319" t="s">
        <v>317</v>
      </c>
    </row>
    <row r="320" spans="1:7" x14ac:dyDescent="0.2">
      <c r="A320" t="s">
        <v>318</v>
      </c>
      <c r="B320" s="7">
        <v>9.8103514526278003E-7</v>
      </c>
      <c r="D320" t="s">
        <v>76</v>
      </c>
      <c r="E320" t="s">
        <v>442</v>
      </c>
      <c r="F320" t="s">
        <v>163</v>
      </c>
      <c r="G320" t="s">
        <v>318</v>
      </c>
    </row>
    <row r="321" spans="1:7" x14ac:dyDescent="0.2">
      <c r="A321" t="s">
        <v>319</v>
      </c>
      <c r="B321" s="7">
        <v>9.7925144499866576E-5</v>
      </c>
      <c r="D321" t="s">
        <v>76</v>
      </c>
      <c r="E321" t="s">
        <v>442</v>
      </c>
      <c r="F321" t="s">
        <v>163</v>
      </c>
      <c r="G321" t="s">
        <v>319</v>
      </c>
    </row>
    <row r="322" spans="1:7" x14ac:dyDescent="0.2">
      <c r="A322" t="s">
        <v>320</v>
      </c>
      <c r="B322" s="7">
        <v>4.8427462170699053E-5</v>
      </c>
      <c r="D322" t="s">
        <v>76</v>
      </c>
      <c r="E322" t="s">
        <v>442</v>
      </c>
      <c r="F322" t="s">
        <v>163</v>
      </c>
      <c r="G322" t="s">
        <v>320</v>
      </c>
    </row>
    <row r="323" spans="1:7" x14ac:dyDescent="0.2">
      <c r="A323" t="s">
        <v>321</v>
      </c>
      <c r="B323" s="7">
        <v>2.0155812984489841E-5</v>
      </c>
      <c r="D323" t="s">
        <v>76</v>
      </c>
      <c r="E323" t="s">
        <v>442</v>
      </c>
      <c r="F323" t="s">
        <v>163</v>
      </c>
      <c r="G323" t="s">
        <v>321</v>
      </c>
    </row>
    <row r="324" spans="1:7" x14ac:dyDescent="0.2">
      <c r="A324" t="s">
        <v>322</v>
      </c>
      <c r="B324" s="7">
        <v>1.5161452244970237E-5</v>
      </c>
      <c r="D324" t="s">
        <v>76</v>
      </c>
      <c r="E324" t="s">
        <v>442</v>
      </c>
      <c r="F324" t="s">
        <v>163</v>
      </c>
      <c r="G324" t="s">
        <v>322</v>
      </c>
    </row>
    <row r="325" spans="1:7" x14ac:dyDescent="0.2">
      <c r="A325" t="s">
        <v>323</v>
      </c>
      <c r="B325" s="7">
        <v>6.6888759904280447E-6</v>
      </c>
      <c r="D325" t="s">
        <v>76</v>
      </c>
      <c r="E325" t="s">
        <v>442</v>
      </c>
      <c r="F325" t="s">
        <v>163</v>
      </c>
      <c r="G325" t="s">
        <v>323</v>
      </c>
    </row>
    <row r="326" spans="1:7" x14ac:dyDescent="0.2">
      <c r="A326" t="s">
        <v>324</v>
      </c>
      <c r="B326" s="7">
        <v>1.9620702905255601E-6</v>
      </c>
      <c r="D326" t="s">
        <v>76</v>
      </c>
      <c r="E326" t="s">
        <v>442</v>
      </c>
      <c r="F326" t="s">
        <v>163</v>
      </c>
      <c r="G326" t="s">
        <v>324</v>
      </c>
    </row>
    <row r="327" spans="1:7" x14ac:dyDescent="0.2">
      <c r="A327" t="s">
        <v>325</v>
      </c>
      <c r="B327" s="7">
        <v>5.4402858055481441E-6</v>
      </c>
      <c r="D327" t="s">
        <v>76</v>
      </c>
      <c r="E327" t="s">
        <v>442</v>
      </c>
      <c r="F327" t="s">
        <v>163</v>
      </c>
      <c r="G327" t="s">
        <v>325</v>
      </c>
    </row>
    <row r="328" spans="1:7" x14ac:dyDescent="0.2">
      <c r="A328" t="s">
        <v>328</v>
      </c>
      <c r="B328" s="7">
        <v>0</v>
      </c>
      <c r="D328" t="s">
        <v>76</v>
      </c>
      <c r="E328" t="s">
        <v>442</v>
      </c>
      <c r="F328" t="s">
        <v>163</v>
      </c>
      <c r="G328" t="s">
        <v>328</v>
      </c>
    </row>
    <row r="329" spans="1:7" x14ac:dyDescent="0.2">
      <c r="A329" t="s">
        <v>326</v>
      </c>
      <c r="B329" s="7">
        <v>1.6945152509084381E-6</v>
      </c>
      <c r="D329" t="s">
        <v>76</v>
      </c>
      <c r="E329" t="s">
        <v>442</v>
      </c>
      <c r="F329" t="s">
        <v>163</v>
      </c>
      <c r="G329" t="s">
        <v>326</v>
      </c>
    </row>
    <row r="330" spans="1:7" x14ac:dyDescent="0.2">
      <c r="A330" t="s">
        <v>327</v>
      </c>
      <c r="B330" s="7">
        <v>9.0076863337764332E-6</v>
      </c>
      <c r="D330" t="s">
        <v>76</v>
      </c>
      <c r="E330" t="s">
        <v>442</v>
      </c>
      <c r="F330" t="s">
        <v>163</v>
      </c>
      <c r="G330" t="s">
        <v>327</v>
      </c>
    </row>
    <row r="331" spans="1:7" x14ac:dyDescent="0.2">
      <c r="A331" t="s">
        <v>336</v>
      </c>
      <c r="B331" s="7">
        <v>6.7379213736163881E-10</v>
      </c>
      <c r="D331" t="s">
        <v>76</v>
      </c>
      <c r="E331" t="s">
        <v>442</v>
      </c>
      <c r="F331" t="s">
        <v>163</v>
      </c>
      <c r="G331" t="s">
        <v>329</v>
      </c>
    </row>
    <row r="332" spans="1:7" x14ac:dyDescent="0.2">
      <c r="A332" t="s">
        <v>330</v>
      </c>
      <c r="B332" s="7">
        <v>5.8085529082899891E-12</v>
      </c>
      <c r="D332" t="s">
        <v>76</v>
      </c>
      <c r="E332" t="s">
        <v>442</v>
      </c>
      <c r="F332" t="s">
        <v>163</v>
      </c>
      <c r="G332" t="s">
        <v>330</v>
      </c>
    </row>
    <row r="333" spans="1:7" x14ac:dyDescent="0.2">
      <c r="A333" t="s">
        <v>331</v>
      </c>
      <c r="B333" s="7">
        <v>3.8723686055266594E-12</v>
      </c>
      <c r="D333" t="s">
        <v>76</v>
      </c>
      <c r="E333" t="s">
        <v>442</v>
      </c>
      <c r="F333" t="s">
        <v>163</v>
      </c>
      <c r="G333" t="s">
        <v>331</v>
      </c>
    </row>
    <row r="334" spans="1:7" x14ac:dyDescent="0.2">
      <c r="A334" t="s">
        <v>332</v>
      </c>
      <c r="B334" s="7">
        <v>4.1821580939687923E-8</v>
      </c>
      <c r="D334" t="s">
        <v>76</v>
      </c>
      <c r="E334" t="s">
        <v>442</v>
      </c>
      <c r="F334" t="s">
        <v>163</v>
      </c>
      <c r="G334" t="s">
        <v>332</v>
      </c>
    </row>
    <row r="335" spans="1:7" x14ac:dyDescent="0.2">
      <c r="A335" t="s">
        <v>290</v>
      </c>
      <c r="B335" s="7">
        <v>8.1319740716059841E-10</v>
      </c>
      <c r="D335" t="s">
        <v>76</v>
      </c>
      <c r="E335" t="s">
        <v>442</v>
      </c>
      <c r="F335" t="s">
        <v>163</v>
      </c>
      <c r="G335" t="s">
        <v>290</v>
      </c>
    </row>
    <row r="336" spans="1:7" x14ac:dyDescent="0.2">
      <c r="A336" t="s">
        <v>292</v>
      </c>
      <c r="B336" s="7">
        <v>2.5170395935923289E-10</v>
      </c>
      <c r="D336" t="s">
        <v>76</v>
      </c>
      <c r="E336" t="s">
        <v>442</v>
      </c>
      <c r="F336" t="s">
        <v>163</v>
      </c>
      <c r="G336" t="s">
        <v>292</v>
      </c>
    </row>
    <row r="337" spans="1:8" x14ac:dyDescent="0.2">
      <c r="A337" t="s">
        <v>291</v>
      </c>
      <c r="B337" s="7">
        <v>3.0978948844213278E-10</v>
      </c>
      <c r="D337" t="s">
        <v>76</v>
      </c>
      <c r="E337" t="s">
        <v>442</v>
      </c>
      <c r="F337" t="s">
        <v>163</v>
      </c>
      <c r="G337" t="s">
        <v>291</v>
      </c>
    </row>
    <row r="338" spans="1:8" x14ac:dyDescent="0.2">
      <c r="A338" t="s">
        <v>335</v>
      </c>
      <c r="B338" s="7">
        <v>6.1957897688426542E-13</v>
      </c>
      <c r="D338" t="s">
        <v>76</v>
      </c>
      <c r="E338" t="s">
        <v>442</v>
      </c>
      <c r="F338" t="s">
        <v>163</v>
      </c>
      <c r="G338" t="s">
        <v>335</v>
      </c>
    </row>
    <row r="339" spans="1:8" x14ac:dyDescent="0.2">
      <c r="A339" t="s">
        <v>333</v>
      </c>
      <c r="B339" s="7">
        <v>1.684480343404097E-10</v>
      </c>
      <c r="D339" t="s">
        <v>76</v>
      </c>
      <c r="E339" t="s">
        <v>442</v>
      </c>
      <c r="F339" t="s">
        <v>163</v>
      </c>
      <c r="G339" t="s">
        <v>333</v>
      </c>
    </row>
    <row r="340" spans="1:8" x14ac:dyDescent="0.2">
      <c r="A340" t="s">
        <v>334</v>
      </c>
      <c r="B340" s="7">
        <v>2.0910790469843966E-10</v>
      </c>
      <c r="D340" t="s">
        <v>76</v>
      </c>
      <c r="E340" t="s">
        <v>442</v>
      </c>
      <c r="F340" t="s">
        <v>163</v>
      </c>
      <c r="G340" t="s">
        <v>334</v>
      </c>
    </row>
    <row r="341" spans="1:8" x14ac:dyDescent="0.2">
      <c r="A341" t="s">
        <v>155</v>
      </c>
      <c r="B341" s="7">
        <v>-5.4954664602228434E-6</v>
      </c>
      <c r="C341" t="s">
        <v>91</v>
      </c>
      <c r="D341" t="s">
        <v>76</v>
      </c>
      <c r="F341" t="s">
        <v>88</v>
      </c>
      <c r="G341" t="s">
        <v>29</v>
      </c>
      <c r="H341" t="s">
        <v>157</v>
      </c>
    </row>
    <row r="342" spans="1:8" x14ac:dyDescent="0.2">
      <c r="A342" t="s">
        <v>156</v>
      </c>
      <c r="B342" s="7">
        <v>-4.653127067963281E-6</v>
      </c>
      <c r="C342" t="s">
        <v>91</v>
      </c>
      <c r="D342" t="s">
        <v>76</v>
      </c>
      <c r="F342" t="s">
        <v>88</v>
      </c>
      <c r="G342" t="s">
        <v>30</v>
      </c>
      <c r="H342" t="s">
        <v>158</v>
      </c>
    </row>
    <row r="343" spans="1:8" x14ac:dyDescent="0.2">
      <c r="A343" t="s">
        <v>164</v>
      </c>
      <c r="B343" s="7">
        <v>-3.1933938505570598E-6</v>
      </c>
      <c r="C343" t="s">
        <v>91</v>
      </c>
      <c r="D343" t="s">
        <v>76</v>
      </c>
      <c r="F343" t="s">
        <v>88</v>
      </c>
      <c r="G343" t="s">
        <v>31</v>
      </c>
      <c r="H343" t="s">
        <v>159</v>
      </c>
    </row>
    <row r="344" spans="1:8" x14ac:dyDescent="0.2">
      <c r="B344" s="6"/>
    </row>
    <row r="347" spans="1:8" x14ac:dyDescent="0.2">
      <c r="B347" s="11"/>
    </row>
    <row r="348" spans="1:8" x14ac:dyDescent="0.2">
      <c r="B348" s="12"/>
    </row>
    <row r="349" spans="1:8" x14ac:dyDescent="0.2">
      <c r="B349" s="11"/>
    </row>
    <row r="351" spans="1:8" ht="16" x14ac:dyDescent="0.2">
      <c r="A351" s="10"/>
      <c r="B351" s="8"/>
    </row>
    <row r="374" spans="1:2" x14ac:dyDescent="0.2">
      <c r="B374" s="6"/>
    </row>
    <row r="376" spans="1:2" ht="16" x14ac:dyDescent="0.2">
      <c r="A376" s="10"/>
    </row>
    <row r="380" spans="1:2" x14ac:dyDescent="0.2">
      <c r="B380" s="11"/>
    </row>
    <row r="381" spans="1:2" x14ac:dyDescent="0.2">
      <c r="B381" s="12"/>
    </row>
    <row r="382" spans="1:2" x14ac:dyDescent="0.2">
      <c r="B382" s="11"/>
    </row>
    <row r="384" spans="1:2" ht="16" x14ac:dyDescent="0.2">
      <c r="A384" s="10"/>
      <c r="B384" s="8"/>
    </row>
    <row r="407" spans="1:2" x14ac:dyDescent="0.2">
      <c r="B407" s="6"/>
    </row>
    <row r="409" spans="1:2" ht="16" x14ac:dyDescent="0.2">
      <c r="A409" s="10"/>
    </row>
    <row r="413" spans="1:2" x14ac:dyDescent="0.2">
      <c r="B413" s="11"/>
    </row>
    <row r="414" spans="1:2" x14ac:dyDescent="0.2">
      <c r="B414" s="12"/>
    </row>
    <row r="415" spans="1:2" x14ac:dyDescent="0.2">
      <c r="B415" s="1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71"/>
  <sheetViews>
    <sheetView topLeftCell="A39" workbookViewId="0">
      <selection activeCell="G64" sqref="G64"/>
    </sheetView>
  </sheetViews>
  <sheetFormatPr baseColWidth="10" defaultColWidth="8.83203125" defaultRowHeight="15" x14ac:dyDescent="0.2"/>
  <cols>
    <col min="1" max="1" width="44.5" customWidth="1"/>
    <col min="2" max="2" width="15.6640625" bestFit="1" customWidth="1"/>
    <col min="7" max="7" width="14" bestFit="1" customWidth="1"/>
  </cols>
  <sheetData>
    <row r="1" spans="1:2" ht="16" x14ac:dyDescent="0.2">
      <c r="A1" s="10" t="s">
        <v>70</v>
      </c>
      <c r="B1" s="8" t="s">
        <v>33</v>
      </c>
    </row>
    <row r="2" spans="1:2" x14ac:dyDescent="0.2">
      <c r="A2" t="s">
        <v>71</v>
      </c>
      <c r="B2" t="s">
        <v>37</v>
      </c>
    </row>
    <row r="3" spans="1:2" x14ac:dyDescent="0.2">
      <c r="A3" t="s">
        <v>85</v>
      </c>
      <c r="B3" t="s">
        <v>33</v>
      </c>
    </row>
    <row r="4" spans="1:2" x14ac:dyDescent="0.2">
      <c r="A4" t="s">
        <v>86</v>
      </c>
    </row>
    <row r="5" spans="1:2" x14ac:dyDescent="0.2">
      <c r="A5" t="s">
        <v>87</v>
      </c>
      <c r="B5">
        <v>2020</v>
      </c>
    </row>
    <row r="6" spans="1:2" x14ac:dyDescent="0.2">
      <c r="A6" t="s">
        <v>123</v>
      </c>
      <c r="B6" t="s">
        <v>166</v>
      </c>
    </row>
    <row r="7" spans="1:2" x14ac:dyDescent="0.2">
      <c r="A7" t="s">
        <v>72</v>
      </c>
      <c r="B7" t="s">
        <v>33</v>
      </c>
    </row>
    <row r="8" spans="1:2" x14ac:dyDescent="0.2">
      <c r="A8" t="s">
        <v>73</v>
      </c>
      <c r="B8" t="s">
        <v>74</v>
      </c>
    </row>
    <row r="9" spans="1:2" x14ac:dyDescent="0.2">
      <c r="A9" t="s">
        <v>75</v>
      </c>
      <c r="B9" t="s">
        <v>75</v>
      </c>
    </row>
    <row r="10" spans="1:2" x14ac:dyDescent="0.2">
      <c r="A10" t="s">
        <v>77</v>
      </c>
      <c r="B10" t="s">
        <v>518</v>
      </c>
    </row>
    <row r="11" spans="1:2" x14ac:dyDescent="0.2">
      <c r="A11" t="s">
        <v>124</v>
      </c>
      <c r="B11">
        <v>15000</v>
      </c>
    </row>
    <row r="12" spans="1:2" x14ac:dyDescent="0.2">
      <c r="A12" t="s">
        <v>125</v>
      </c>
      <c r="B12">
        <v>1</v>
      </c>
    </row>
    <row r="13" spans="1:2" x14ac:dyDescent="0.2">
      <c r="A13" t="s">
        <v>126</v>
      </c>
      <c r="B13">
        <v>1</v>
      </c>
    </row>
    <row r="14" spans="1:2" x14ac:dyDescent="0.2">
      <c r="A14" t="s">
        <v>127</v>
      </c>
      <c r="B14">
        <v>0</v>
      </c>
    </row>
    <row r="15" spans="1:2" x14ac:dyDescent="0.2">
      <c r="A15" t="s">
        <v>128</v>
      </c>
      <c r="B15">
        <v>1000</v>
      </c>
    </row>
    <row r="16" spans="1:2" x14ac:dyDescent="0.2">
      <c r="A16" t="s">
        <v>129</v>
      </c>
      <c r="B16">
        <v>12</v>
      </c>
    </row>
    <row r="17" spans="1:8" x14ac:dyDescent="0.2">
      <c r="A17" t="s">
        <v>130</v>
      </c>
      <c r="B17">
        <v>0</v>
      </c>
    </row>
    <row r="18" spans="1:8" x14ac:dyDescent="0.2">
      <c r="A18" t="s">
        <v>131</v>
      </c>
      <c r="B18" t="s">
        <v>84</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s">
        <v>556</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v>
      </c>
      <c r="B31">
        <v>1</v>
      </c>
      <c r="C31" t="s">
        <v>37</v>
      </c>
      <c r="D31" t="s">
        <v>75</v>
      </c>
      <c r="F31" t="s">
        <v>83</v>
      </c>
      <c r="G31" t="s">
        <v>84</v>
      </c>
      <c r="H31" t="s">
        <v>33</v>
      </c>
    </row>
    <row r="32" spans="1:8" x14ac:dyDescent="0.2">
      <c r="A32" t="s">
        <v>90</v>
      </c>
      <c r="B32" s="4">
        <v>0.70588235294117641</v>
      </c>
      <c r="C32" t="s">
        <v>91</v>
      </c>
      <c r="D32" t="s">
        <v>75</v>
      </c>
      <c r="F32" t="s">
        <v>88</v>
      </c>
      <c r="G32" t="s">
        <v>15</v>
      </c>
      <c r="H32" t="s">
        <v>92</v>
      </c>
    </row>
    <row r="33" spans="1:8" x14ac:dyDescent="0.2">
      <c r="A33" t="s">
        <v>540</v>
      </c>
      <c r="B33" s="11">
        <v>0</v>
      </c>
      <c r="C33" t="s">
        <v>94</v>
      </c>
      <c r="D33" t="s">
        <v>76</v>
      </c>
      <c r="F33" t="s">
        <v>88</v>
      </c>
      <c r="G33" t="s">
        <v>14</v>
      </c>
      <c r="H33" t="s">
        <v>540</v>
      </c>
    </row>
    <row r="34" spans="1:8" x14ac:dyDescent="0.2">
      <c r="A34" s="13" t="s">
        <v>443</v>
      </c>
      <c r="B34">
        <v>12</v>
      </c>
      <c r="C34" t="s">
        <v>91</v>
      </c>
      <c r="D34" t="s">
        <v>191</v>
      </c>
      <c r="F34" t="s">
        <v>88</v>
      </c>
      <c r="H34" s="13" t="s">
        <v>444</v>
      </c>
    </row>
    <row r="35" spans="1:8" x14ac:dyDescent="0.2">
      <c r="A35" s="13" t="s">
        <v>214</v>
      </c>
      <c r="B35" s="2">
        <v>190.8</v>
      </c>
      <c r="C35" t="s">
        <v>94</v>
      </c>
      <c r="D35" t="s">
        <v>191</v>
      </c>
      <c r="F35" t="s">
        <v>88</v>
      </c>
      <c r="H35" s="13" t="s">
        <v>214</v>
      </c>
    </row>
    <row r="38" spans="1:8" ht="16" x14ac:dyDescent="0.2">
      <c r="A38" s="10" t="s">
        <v>70</v>
      </c>
      <c r="B38" s="8" t="s">
        <v>557</v>
      </c>
    </row>
    <row r="39" spans="1:8" x14ac:dyDescent="0.2">
      <c r="A39" t="s">
        <v>71</v>
      </c>
      <c r="B39" t="s">
        <v>37</v>
      </c>
    </row>
    <row r="40" spans="1:8" x14ac:dyDescent="0.2">
      <c r="A40" t="s">
        <v>85</v>
      </c>
      <c r="B40" t="s">
        <v>33</v>
      </c>
    </row>
    <row r="41" spans="1:8" x14ac:dyDescent="0.2">
      <c r="A41" t="s">
        <v>86</v>
      </c>
    </row>
    <row r="42" spans="1:8" x14ac:dyDescent="0.2">
      <c r="A42" t="s">
        <v>87</v>
      </c>
      <c r="B42">
        <v>2020</v>
      </c>
    </row>
    <row r="43" spans="1:8" x14ac:dyDescent="0.2">
      <c r="A43" t="s">
        <v>123</v>
      </c>
      <c r="B43" t="s">
        <v>166</v>
      </c>
    </row>
    <row r="44" spans="1:8" x14ac:dyDescent="0.2">
      <c r="A44" t="s">
        <v>72</v>
      </c>
      <c r="B44" t="s">
        <v>557</v>
      </c>
    </row>
    <row r="45" spans="1:8" x14ac:dyDescent="0.2">
      <c r="A45" t="s">
        <v>73</v>
      </c>
      <c r="B45" t="s">
        <v>74</v>
      </c>
    </row>
    <row r="46" spans="1:8" x14ac:dyDescent="0.2">
      <c r="A46" t="s">
        <v>75</v>
      </c>
      <c r="B46" t="s">
        <v>162</v>
      </c>
    </row>
    <row r="47" spans="1:8" x14ac:dyDescent="0.2">
      <c r="A47" t="s">
        <v>77</v>
      </c>
      <c r="B47" t="s">
        <v>518</v>
      </c>
    </row>
    <row r="48" spans="1:8" x14ac:dyDescent="0.2">
      <c r="A48" t="s">
        <v>124</v>
      </c>
      <c r="B48">
        <v>15000</v>
      </c>
    </row>
    <row r="49" spans="1:8" x14ac:dyDescent="0.2">
      <c r="A49" t="s">
        <v>125</v>
      </c>
      <c r="B49">
        <v>1</v>
      </c>
    </row>
    <row r="50" spans="1:8" x14ac:dyDescent="0.2">
      <c r="A50" t="s">
        <v>126</v>
      </c>
      <c r="B50">
        <v>1</v>
      </c>
    </row>
    <row r="51" spans="1:8" x14ac:dyDescent="0.2">
      <c r="A51" t="s">
        <v>127</v>
      </c>
      <c r="B51">
        <v>0</v>
      </c>
    </row>
    <row r="52" spans="1:8" x14ac:dyDescent="0.2">
      <c r="A52" t="s">
        <v>128</v>
      </c>
      <c r="B52">
        <v>1000</v>
      </c>
    </row>
    <row r="53" spans="1:8" x14ac:dyDescent="0.2">
      <c r="A53" t="s">
        <v>129</v>
      </c>
      <c r="B53">
        <v>12</v>
      </c>
    </row>
    <row r="54" spans="1:8" x14ac:dyDescent="0.2">
      <c r="A54" t="s">
        <v>130</v>
      </c>
      <c r="B54">
        <v>0</v>
      </c>
    </row>
    <row r="55" spans="1:8" x14ac:dyDescent="0.2">
      <c r="A55" t="s">
        <v>131</v>
      </c>
      <c r="B55" t="s">
        <v>84</v>
      </c>
    </row>
    <row r="56" spans="1:8" x14ac:dyDescent="0.2">
      <c r="A56" t="s">
        <v>99</v>
      </c>
      <c r="B56">
        <v>0</v>
      </c>
    </row>
    <row r="57" spans="1:8" x14ac:dyDescent="0.2">
      <c r="A57" t="s">
        <v>134</v>
      </c>
      <c r="B57">
        <v>0</v>
      </c>
    </row>
    <row r="58" spans="1:8" x14ac:dyDescent="0.2">
      <c r="A58" t="s">
        <v>135</v>
      </c>
      <c r="B58">
        <v>0</v>
      </c>
    </row>
    <row r="59" spans="1:8" x14ac:dyDescent="0.2">
      <c r="A59" t="s">
        <v>132</v>
      </c>
      <c r="B59">
        <v>0</v>
      </c>
    </row>
    <row r="60" spans="1:8" x14ac:dyDescent="0.2">
      <c r="A60" t="s">
        <v>133</v>
      </c>
      <c r="B60" t="s">
        <v>136</v>
      </c>
    </row>
    <row r="61" spans="1:8" x14ac:dyDescent="0.2">
      <c r="A61" t="s">
        <v>540</v>
      </c>
      <c r="B61" s="6">
        <v>0</v>
      </c>
    </row>
    <row r="62" spans="1:8" x14ac:dyDescent="0.2">
      <c r="A62" t="s">
        <v>82</v>
      </c>
      <c r="B62" t="s">
        <v>558</v>
      </c>
    </row>
    <row r="63" spans="1:8" ht="16" x14ac:dyDescent="0.2">
      <c r="A63" s="10" t="s">
        <v>78</v>
      </c>
    </row>
    <row r="64" spans="1:8" x14ac:dyDescent="0.2">
      <c r="A64" t="s">
        <v>79</v>
      </c>
      <c r="B64" t="s">
        <v>80</v>
      </c>
      <c r="C64" t="s">
        <v>71</v>
      </c>
      <c r="D64" t="s">
        <v>75</v>
      </c>
      <c r="E64" t="s">
        <v>81</v>
      </c>
      <c r="F64" t="s">
        <v>73</v>
      </c>
      <c r="G64" t="s">
        <v>82</v>
      </c>
      <c r="H64" t="s">
        <v>72</v>
      </c>
    </row>
    <row r="65" spans="1:8" x14ac:dyDescent="0.2">
      <c r="A65" t="s">
        <v>557</v>
      </c>
      <c r="B65">
        <v>1</v>
      </c>
      <c r="C65" t="s">
        <v>37</v>
      </c>
      <c r="D65" t="s">
        <v>162</v>
      </c>
      <c r="F65" t="s">
        <v>83</v>
      </c>
      <c r="G65" t="s">
        <v>84</v>
      </c>
      <c r="H65" t="s">
        <v>557</v>
      </c>
    </row>
    <row r="66" spans="1:8" x14ac:dyDescent="0.2">
      <c r="A66" t="s">
        <v>33</v>
      </c>
      <c r="B66" s="7">
        <v>6.666666666666667E-5</v>
      </c>
      <c r="C66" t="s">
        <v>37</v>
      </c>
      <c r="D66" t="s">
        <v>75</v>
      </c>
      <c r="F66" t="s">
        <v>88</v>
      </c>
      <c r="H66" t="s">
        <v>33</v>
      </c>
    </row>
    <row r="67" spans="1:8" x14ac:dyDescent="0.2">
      <c r="A67" t="s">
        <v>106</v>
      </c>
      <c r="B67" s="7">
        <v>4.7256000000000003E-5</v>
      </c>
      <c r="C67" t="s">
        <v>37</v>
      </c>
      <c r="D67" t="s">
        <v>104</v>
      </c>
      <c r="F67" t="s">
        <v>88</v>
      </c>
      <c r="G67" t="s">
        <v>102</v>
      </c>
      <c r="H67" t="s">
        <v>107</v>
      </c>
    </row>
    <row r="68" spans="1:8" x14ac:dyDescent="0.2">
      <c r="A68" t="s">
        <v>116</v>
      </c>
      <c r="B68" s="7">
        <v>6.666666666666667E-5</v>
      </c>
      <c r="C68" t="s">
        <v>37</v>
      </c>
      <c r="D68" t="s">
        <v>75</v>
      </c>
      <c r="F68" t="s">
        <v>88</v>
      </c>
      <c r="G68" t="s">
        <v>115</v>
      </c>
      <c r="H68" t="s">
        <v>116</v>
      </c>
    </row>
    <row r="69" spans="1:8" x14ac:dyDescent="0.2">
      <c r="A69" t="s">
        <v>155</v>
      </c>
      <c r="B69" s="7">
        <v>-3.8180456867451752E-6</v>
      </c>
      <c r="C69" t="s">
        <v>91</v>
      </c>
      <c r="D69" t="s">
        <v>76</v>
      </c>
      <c r="F69" t="s">
        <v>88</v>
      </c>
      <c r="G69" t="s">
        <v>29</v>
      </c>
      <c r="H69" t="s">
        <v>157</v>
      </c>
    </row>
    <row r="70" spans="1:8" x14ac:dyDescent="0.2">
      <c r="A70" t="s">
        <v>156</v>
      </c>
      <c r="B70" s="7">
        <v>-3.6981099122289053E-6</v>
      </c>
      <c r="C70" t="s">
        <v>91</v>
      </c>
      <c r="D70" t="s">
        <v>76</v>
      </c>
      <c r="F70" t="s">
        <v>88</v>
      </c>
      <c r="G70" t="s">
        <v>30</v>
      </c>
      <c r="H70" t="s">
        <v>158</v>
      </c>
    </row>
    <row r="71" spans="1:8" x14ac:dyDescent="0.2">
      <c r="A71" t="s">
        <v>164</v>
      </c>
      <c r="B71" s="7">
        <v>-3.470493115296593E-6</v>
      </c>
      <c r="C71" t="s">
        <v>91</v>
      </c>
      <c r="D71" t="s">
        <v>76</v>
      </c>
      <c r="F71" t="s">
        <v>88</v>
      </c>
      <c r="G71" t="s">
        <v>31</v>
      </c>
      <c r="H71" t="s">
        <v>159</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262</v>
      </c>
    </row>
    <row r="2" spans="1:2" x14ac:dyDescent="0.2">
      <c r="A2" t="s">
        <v>71</v>
      </c>
      <c r="B2" t="s">
        <v>37</v>
      </c>
    </row>
    <row r="3" spans="1:2" x14ac:dyDescent="0.2">
      <c r="A3" t="s">
        <v>85</v>
      </c>
      <c r="B3" t="s">
        <v>262</v>
      </c>
    </row>
    <row r="4" spans="1:2" x14ac:dyDescent="0.2">
      <c r="A4" t="s">
        <v>86</v>
      </c>
    </row>
    <row r="5" spans="1:2" x14ac:dyDescent="0.2">
      <c r="A5" t="s">
        <v>87</v>
      </c>
      <c r="B5">
        <v>2020</v>
      </c>
    </row>
    <row r="6" spans="1:2" x14ac:dyDescent="0.2">
      <c r="A6" t="s">
        <v>123</v>
      </c>
      <c r="B6" t="s">
        <v>418</v>
      </c>
    </row>
    <row r="7" spans="1:2" x14ac:dyDescent="0.2">
      <c r="A7" t="s">
        <v>72</v>
      </c>
      <c r="B7" t="s">
        <v>262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23.25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58.368978251949123</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554</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262</v>
      </c>
      <c r="B33">
        <v>1</v>
      </c>
      <c r="C33" t="s">
        <v>37</v>
      </c>
      <c r="D33" t="s">
        <v>75</v>
      </c>
      <c r="F33" t="s">
        <v>83</v>
      </c>
      <c r="G33" t="s">
        <v>84</v>
      </c>
      <c r="H33" t="s">
        <v>262</v>
      </c>
    </row>
    <row r="34" spans="1:8" x14ac:dyDescent="0.2">
      <c r="A34" t="s">
        <v>247</v>
      </c>
      <c r="B34" s="4">
        <v>0.94117647058823528</v>
      </c>
      <c r="C34" t="s">
        <v>91</v>
      </c>
      <c r="D34" t="s">
        <v>75</v>
      </c>
      <c r="F34" t="s">
        <v>88</v>
      </c>
      <c r="G34" t="s">
        <v>15</v>
      </c>
      <c r="H34" t="s">
        <v>246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-0.66666666666666663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23.25</v>
      </c>
      <c r="C41" t="s">
        <v>91</v>
      </c>
      <c r="D41" t="s">
        <v>191</v>
      </c>
      <c r="F41" t="s">
        <v>88</v>
      </c>
      <c r="H41" s="13" t="s">
        <v>444</v>
      </c>
    </row>
    <row r="42" spans="1:8" x14ac:dyDescent="0.2">
      <c r="A42" s="13" t="s">
        <v>214</v>
      </c>
      <c r="B42" s="2">
        <v>369.67500000000001</v>
      </c>
      <c r="C42" t="s">
        <v>94</v>
      </c>
      <c r="D42" t="s">
        <v>191</v>
      </c>
      <c r="F42" t="s">
        <v>88</v>
      </c>
      <c r="H42" s="13" t="s">
        <v>214</v>
      </c>
    </row>
    <row r="43" spans="1:8" x14ac:dyDescent="0.2">
      <c r="B43" s="11"/>
    </row>
    <row r="45" spans="1:8" ht="16" x14ac:dyDescent="0.2">
      <c r="A45" s="10" t="s">
        <v>70</v>
      </c>
      <c r="B45" s="8" t="s">
        <v>553</v>
      </c>
    </row>
    <row r="46" spans="1:8" x14ac:dyDescent="0.2">
      <c r="A46" t="s">
        <v>71</v>
      </c>
      <c r="B46" t="s">
        <v>37</v>
      </c>
    </row>
    <row r="47" spans="1:8" x14ac:dyDescent="0.2">
      <c r="A47" t="s">
        <v>85</v>
      </c>
      <c r="B47" t="s">
        <v>262</v>
      </c>
    </row>
    <row r="48" spans="1:8" x14ac:dyDescent="0.2">
      <c r="A48" t="s">
        <v>86</v>
      </c>
    </row>
    <row r="49" spans="1:2" x14ac:dyDescent="0.2">
      <c r="A49" t="s">
        <v>87</v>
      </c>
      <c r="B49">
        <v>2020</v>
      </c>
    </row>
    <row r="50" spans="1:2" x14ac:dyDescent="0.2">
      <c r="A50" t="s">
        <v>123</v>
      </c>
      <c r="B50" t="s">
        <v>418</v>
      </c>
    </row>
    <row r="51" spans="1:2" x14ac:dyDescent="0.2">
      <c r="A51" t="s">
        <v>72</v>
      </c>
      <c r="B51" t="s">
        <v>553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20000</v>
      </c>
    </row>
    <row r="56" spans="1:2" x14ac:dyDescent="0.2">
      <c r="A56" t="s">
        <v>125</v>
      </c>
      <c r="B56">
        <v>1</v>
      </c>
    </row>
    <row r="57" spans="1:2" x14ac:dyDescent="0.2">
      <c r="A57" t="s">
        <v>126</v>
      </c>
      <c r="B57">
        <v>1.3333333333333333</v>
      </c>
    </row>
    <row r="58" spans="1:2" x14ac:dyDescent="0.2">
      <c r="A58" t="s">
        <v>127</v>
      </c>
      <c r="B58">
        <v>1</v>
      </c>
    </row>
    <row r="59" spans="1:2" x14ac:dyDescent="0.2">
      <c r="A59" t="s">
        <v>128</v>
      </c>
      <c r="B59">
        <v>2000</v>
      </c>
    </row>
    <row r="60" spans="1:2" x14ac:dyDescent="0.2">
      <c r="A60" t="s">
        <v>129</v>
      </c>
      <c r="B60">
        <v>23.25</v>
      </c>
    </row>
    <row r="61" spans="1:2" x14ac:dyDescent="0.2">
      <c r="A61" t="s">
        <v>130</v>
      </c>
      <c r="B61">
        <v>0.25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s="2">
        <v>58.368978251949123</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553</v>
      </c>
      <c r="B74">
        <v>1</v>
      </c>
      <c r="C74" t="s">
        <v>37</v>
      </c>
      <c r="D74" t="s">
        <v>162</v>
      </c>
      <c r="F74" t="s">
        <v>83</v>
      </c>
      <c r="G74" t="s">
        <v>84</v>
      </c>
      <c r="H74" t="s">
        <v>553</v>
      </c>
    </row>
    <row r="75" spans="1:8" x14ac:dyDescent="0.2">
      <c r="A75" t="s">
        <v>262</v>
      </c>
      <c r="B75" s="7">
        <v>5.0000000000000002E-5</v>
      </c>
      <c r="C75" t="s">
        <v>37</v>
      </c>
      <c r="D75" t="s">
        <v>75</v>
      </c>
      <c r="F75" t="s">
        <v>88</v>
      </c>
      <c r="H75" t="s">
        <v>262</v>
      </c>
    </row>
    <row r="76" spans="1:8" x14ac:dyDescent="0.2">
      <c r="A76" t="s">
        <v>106</v>
      </c>
      <c r="B76" s="7">
        <v>5.3297249999999999E-5</v>
      </c>
      <c r="C76" t="s">
        <v>37</v>
      </c>
      <c r="D76" t="s">
        <v>104</v>
      </c>
      <c r="F76" t="s">
        <v>88</v>
      </c>
      <c r="G76" t="s">
        <v>102</v>
      </c>
      <c r="H76" t="s">
        <v>107</v>
      </c>
    </row>
    <row r="77" spans="1:8" x14ac:dyDescent="0.2">
      <c r="A77" t="s">
        <v>97</v>
      </c>
      <c r="B77" s="7">
        <v>0.006852955319406208</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-4.1946004585487268E-6</v>
      </c>
      <c r="C79" t="s">
        <v>91</v>
      </c>
      <c r="D79" t="s">
        <v>76</v>
      </c>
      <c r="F79" t="s">
        <v>88</v>
      </c>
      <c r="G79" t="s">
        <v>29</v>
      </c>
      <c r="H79" t="s">
        <v>157</v>
      </c>
    </row>
    <row r="80" spans="1:8" x14ac:dyDescent="0.2">
      <c r="A80" t="s">
        <v>156</v>
      </c>
      <c r="B80" s="7">
        <v>-4.1336328964445005E-6</v>
      </c>
      <c r="C80" t="s">
        <v>91</v>
      </c>
      <c r="D80" t="s">
        <v>76</v>
      </c>
      <c r="F80" t="s">
        <v>88</v>
      </c>
      <c r="G80" t="s">
        <v>30</v>
      </c>
      <c r="H80" t="s">
        <v>158</v>
      </c>
    </row>
    <row r="81" spans="1:8" x14ac:dyDescent="0.2">
      <c r="A81" t="s">
        <v>164</v>
      </c>
      <c r="B81" s="7">
        <v>-3.8410985523805933E-6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263</v>
      </c>
    </row>
    <row r="2" spans="1:2" x14ac:dyDescent="0.2">
      <c r="A2" t="s">
        <v>71</v>
      </c>
      <c r="B2" t="s">
        <v>37</v>
      </c>
    </row>
    <row r="3" spans="1:2" x14ac:dyDescent="0.2">
      <c r="A3" t="s">
        <v>85</v>
      </c>
      <c r="B3" t="s">
        <v>263</v>
      </c>
    </row>
    <row r="4" spans="1:2" x14ac:dyDescent="0.2">
      <c r="A4" t="s">
        <v>86</v>
      </c>
    </row>
    <row r="5" spans="1:2" x14ac:dyDescent="0.2">
      <c r="A5" t="s">
        <v>87</v>
      </c>
      <c r="B5">
        <v>2020</v>
      </c>
    </row>
    <row r="6" spans="1:2" x14ac:dyDescent="0.2">
      <c r="A6" t="s">
        <v>123</v>
      </c>
      <c r="B6" t="s">
        <v>422</v>
      </c>
    </row>
    <row r="7" spans="1:2" x14ac:dyDescent="0.2">
      <c r="A7" t="s">
        <v>72</v>
      </c>
      <c r="B7" t="s">
        <v>263</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2</v>
      </c>
    </row>
    <row r="14" spans="1:2" x14ac:dyDescent="0.2">
      <c r="A14" t="s">
        <v>127</v>
      </c>
      <c r="B14">
        <v>1</v>
      </c>
    </row>
    <row r="15" spans="1:2" x14ac:dyDescent="0.2">
      <c r="A15" t="s">
        <v>128</v>
      </c>
      <c r="B15">
        <v>3000</v>
      </c>
    </row>
    <row r="16" spans="1:2" x14ac:dyDescent="0.2">
      <c r="A16" t="s">
        <v>129</v>
      </c>
      <c r="B16">
        <v>27.25</v>
      </c>
    </row>
    <row r="17" spans="1:8" x14ac:dyDescent="0.2">
      <c r="A17" t="s">
        <v>130</v>
      </c>
      <c r="B17">
        <v>0.5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v>31.78180669614656</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551</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263</v>
      </c>
      <c r="B33">
        <v>1</v>
      </c>
      <c r="C33" t="s">
        <v>37</v>
      </c>
      <c r="D33" t="s">
        <v>75</v>
      </c>
      <c r="F33" t="s">
        <v>83</v>
      </c>
      <c r="G33" t="s">
        <v>84</v>
      </c>
      <c r="H33" t="s">
        <v>263</v>
      </c>
    </row>
    <row r="34" spans="1:8" x14ac:dyDescent="0.2">
      <c r="A34" t="s">
        <v>247</v>
      </c>
      <c r="B34" s="4">
        <v>1.1176470588235294</v>
      </c>
      <c r="C34" t="s">
        <v>91</v>
      </c>
      <c r="D34" t="s">
        <v>75</v>
      </c>
      <c r="F34" t="s">
        <v>88</v>
      </c>
      <c r="G34" t="s">
        <v>15</v>
      </c>
      <c r="H34" t="s">
        <v>246</v>
      </c>
    </row>
    <row r="35" spans="1:8" x14ac:dyDescent="0.2">
      <c r="A35" t="s">
        <v>225</v>
      </c>
      <c r="B35" s="4">
        <v>5</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-0.79166666666666663</v>
      </c>
      <c r="C39" t="s">
        <v>37</v>
      </c>
      <c r="D39" t="s">
        <v>75</v>
      </c>
      <c r="F39" t="s">
        <v>88</v>
      </c>
      <c r="G39" t="s">
        <v>140</v>
      </c>
      <c r="H39" t="s">
        <v>146</v>
      </c>
    </row>
    <row r="40" spans="1:8" x14ac:dyDescent="0.2">
      <c r="A40" t="s">
        <v>145</v>
      </c>
      <c r="B40" s="4">
        <v>-0.20833333333333331</v>
      </c>
      <c r="C40" t="s">
        <v>37</v>
      </c>
      <c r="D40" t="s">
        <v>75</v>
      </c>
      <c r="F40" t="s">
        <v>88</v>
      </c>
      <c r="G40" t="s">
        <v>141</v>
      </c>
      <c r="H40" t="s">
        <v>146</v>
      </c>
    </row>
    <row r="41" spans="1:8" x14ac:dyDescent="0.2">
      <c r="A41" s="13" t="s">
        <v>443</v>
      </c>
      <c r="B41">
        <v>27.25</v>
      </c>
      <c r="C41" t="s">
        <v>91</v>
      </c>
      <c r="D41" t="s">
        <v>191</v>
      </c>
      <c r="F41" t="s">
        <v>88</v>
      </c>
      <c r="H41" s="13" t="s">
        <v>444</v>
      </c>
    </row>
    <row r="42" spans="1:8" x14ac:dyDescent="0.2">
      <c r="A42" s="13" t="s">
        <v>214</v>
      </c>
      <c r="B42" s="2">
        <v>433.27499999999998</v>
      </c>
      <c r="C42" t="s">
        <v>94</v>
      </c>
      <c r="D42" t="s">
        <v>191</v>
      </c>
      <c r="F42" t="s">
        <v>88</v>
      </c>
      <c r="H42" s="13" t="s">
        <v>214</v>
      </c>
    </row>
    <row r="43" spans="1:8" x14ac:dyDescent="0.2">
      <c r="B43" s="11"/>
    </row>
    <row r="45" spans="1:8" ht="16" x14ac:dyDescent="0.2">
      <c r="A45" s="10" t="s">
        <v>70</v>
      </c>
      <c r="B45" s="8" t="s">
        <v>550</v>
      </c>
    </row>
    <row r="46" spans="1:8" x14ac:dyDescent="0.2">
      <c r="A46" t="s">
        <v>71</v>
      </c>
      <c r="B46" t="s">
        <v>37</v>
      </c>
    </row>
    <row r="47" spans="1:8" x14ac:dyDescent="0.2">
      <c r="A47" t="s">
        <v>85</v>
      </c>
      <c r="B47" t="s">
        <v>263</v>
      </c>
    </row>
    <row r="48" spans="1:8" x14ac:dyDescent="0.2">
      <c r="A48" t="s">
        <v>86</v>
      </c>
    </row>
    <row r="49" spans="1:2" x14ac:dyDescent="0.2">
      <c r="A49" t="s">
        <v>87</v>
      </c>
      <c r="B49">
        <v>2020</v>
      </c>
    </row>
    <row r="50" spans="1:2" x14ac:dyDescent="0.2">
      <c r="A50" t="s">
        <v>123</v>
      </c>
      <c r="B50" t="s">
        <v>422</v>
      </c>
    </row>
    <row r="51" spans="1:2" x14ac:dyDescent="0.2">
      <c r="A51" t="s">
        <v>72</v>
      </c>
      <c r="B51" t="s">
        <v>550</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30000</v>
      </c>
    </row>
    <row r="56" spans="1:2" x14ac:dyDescent="0.2">
      <c r="A56" t="s">
        <v>125</v>
      </c>
      <c r="B56">
        <v>1</v>
      </c>
    </row>
    <row r="57" spans="1:2" x14ac:dyDescent="0.2">
      <c r="A57" t="s">
        <v>126</v>
      </c>
      <c r="B57">
        <v>2</v>
      </c>
    </row>
    <row r="58" spans="1:2" x14ac:dyDescent="0.2">
      <c r="A58" t="s">
        <v>127</v>
      </c>
      <c r="B58">
        <v>1</v>
      </c>
    </row>
    <row r="59" spans="1:2" x14ac:dyDescent="0.2">
      <c r="A59" t="s">
        <v>128</v>
      </c>
      <c r="B59">
        <v>3000</v>
      </c>
    </row>
    <row r="60" spans="1:2" x14ac:dyDescent="0.2">
      <c r="A60" t="s">
        <v>129</v>
      </c>
      <c r="B60">
        <v>27.25</v>
      </c>
    </row>
    <row r="61" spans="1:2" x14ac:dyDescent="0.2">
      <c r="A61" t="s">
        <v>130</v>
      </c>
      <c r="B61">
        <v>0.5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v>31.78180669614656</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550</v>
      </c>
      <c r="B74">
        <v>1</v>
      </c>
      <c r="C74" t="s">
        <v>37</v>
      </c>
      <c r="D74" t="s">
        <v>162</v>
      </c>
      <c r="F74" t="s">
        <v>83</v>
      </c>
      <c r="G74" t="s">
        <v>84</v>
      </c>
      <c r="H74" t="s">
        <v>550</v>
      </c>
    </row>
    <row r="75" spans="1:8" x14ac:dyDescent="0.2">
      <c r="A75" t="s">
        <v>263</v>
      </c>
      <c r="B75" s="7">
        <v>3.3333333333333335E-5</v>
      </c>
      <c r="C75" t="s">
        <v>37</v>
      </c>
      <c r="D75" t="s">
        <v>75</v>
      </c>
      <c r="F75" t="s">
        <v>88</v>
      </c>
      <c r="H75" t="s">
        <v>263</v>
      </c>
    </row>
    <row r="76" spans="1:8" x14ac:dyDescent="0.2">
      <c r="A76" t="s">
        <v>106</v>
      </c>
      <c r="B76" s="7">
        <v>5.5445249999999999E-5</v>
      </c>
      <c r="C76" t="s">
        <v>37</v>
      </c>
      <c r="D76" t="s">
        <v>104</v>
      </c>
      <c r="F76" t="s">
        <v>88</v>
      </c>
      <c r="G76" t="s">
        <v>102</v>
      </c>
      <c r="H76" t="s">
        <v>107</v>
      </c>
    </row>
    <row r="77" spans="1:8" x14ac:dyDescent="0.2">
      <c r="A77" t="s">
        <v>97</v>
      </c>
      <c r="B77" s="7">
        <v>0.012585816905383755</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-4.3264006015800174E-6</v>
      </c>
      <c r="C79" t="s">
        <v>91</v>
      </c>
      <c r="D79" t="s">
        <v>76</v>
      </c>
      <c r="F79" t="s">
        <v>88</v>
      </c>
      <c r="G79" t="s">
        <v>29</v>
      </c>
      <c r="H79" t="s">
        <v>157</v>
      </c>
    </row>
    <row r="80" spans="1:8" x14ac:dyDescent="0.2">
      <c r="A80" t="s">
        <v>156</v>
      </c>
      <c r="B80" s="7">
        <v>-4.2664398392934627E-6</v>
      </c>
      <c r="C80" t="s">
        <v>91</v>
      </c>
      <c r="D80" t="s">
        <v>76</v>
      </c>
      <c r="F80" t="s">
        <v>88</v>
      </c>
      <c r="G80" t="s">
        <v>30</v>
      </c>
      <c r="H80" t="s">
        <v>158</v>
      </c>
    </row>
    <row r="81" spans="1:8" x14ac:dyDescent="0.2">
      <c r="A81" t="s">
        <v>164</v>
      </c>
      <c r="B81" s="7">
        <v>-3.960170488563306E-6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H80"/>
  <sheetViews>
    <sheetView workbookViewId="0">
      <selection activeCell="A38" sqref="A3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652</v>
      </c>
    </row>
    <row r="2" spans="1:2" x14ac:dyDescent="0.2">
      <c r="A2" t="s">
        <v>71</v>
      </c>
      <c r="B2" t="s">
        <v>37</v>
      </c>
    </row>
    <row r="3" spans="1:2" x14ac:dyDescent="0.2">
      <c r="A3" t="s">
        <v>85</v>
      </c>
      <c r="B3" t="s">
        <v>652</v>
      </c>
    </row>
    <row r="4" spans="1:2" x14ac:dyDescent="0.2">
      <c r="A4" t="s">
        <v>86</v>
      </c>
    </row>
    <row r="5" spans="1:2" x14ac:dyDescent="0.2">
      <c r="A5" t="s">
        <v>87</v>
      </c>
      <c r="B5">
        <v>2020</v>
      </c>
    </row>
    <row r="6" spans="1:2" x14ac:dyDescent="0.2">
      <c r="A6" t="s">
        <v>123</v>
      </c>
      <c r="B6" t="s">
        <v>794</v>
      </c>
    </row>
    <row r="7" spans="1:2" x14ac:dyDescent="0.2">
      <c r="A7" t="s">
        <v>72</v>
      </c>
      <c r="B7" t="s">
        <v>652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45.25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41.48860759493671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548</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652</v>
      </c>
      <c r="B33">
        <v>1</v>
      </c>
      <c r="C33" t="s">
        <v>37</v>
      </c>
      <c r="D33" t="s">
        <v>75</v>
      </c>
      <c r="F33" t="s">
        <v>83</v>
      </c>
      <c r="G33" t="s">
        <v>84</v>
      </c>
      <c r="H33" t="s">
        <v>652</v>
      </c>
    </row>
    <row r="34" spans="1:8" x14ac:dyDescent="0.2">
      <c r="A34" t="s">
        <v>965</v>
      </c>
      <c r="B34" s="4">
        <v>2.2352941176470589</v>
      </c>
      <c r="C34" t="s">
        <v>91</v>
      </c>
      <c r="D34" t="s">
        <v>75</v>
      </c>
      <c r="F34" t="s">
        <v>88</v>
      </c>
      <c r="G34" t="s">
        <v>15</v>
      </c>
      <c r="H34" t="s">
        <v>966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-1.5833333333333333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45.25</v>
      </c>
      <c r="C41" t="s">
        <v>91</v>
      </c>
      <c r="D41" t="s">
        <v>191</v>
      </c>
      <c r="F41" t="s">
        <v>88</v>
      </c>
      <c r="H41" s="13" t="s">
        <v>444</v>
      </c>
    </row>
    <row r="42" spans="1:8" x14ac:dyDescent="0.2">
      <c r="A42" s="13" t="s">
        <v>214</v>
      </c>
      <c r="B42" s="2">
        <v>719.47500000000002</v>
      </c>
      <c r="C42" t="s">
        <v>94</v>
      </c>
      <c r="D42" t="s">
        <v>191</v>
      </c>
      <c r="F42" t="s">
        <v>88</v>
      </c>
      <c r="H42" s="13" t="s">
        <v>214</v>
      </c>
    </row>
    <row r="44" spans="1:8" ht="16" x14ac:dyDescent="0.2">
      <c r="A44" s="10" t="s">
        <v>70</v>
      </c>
      <c r="B44" s="8" t="s">
        <v>886</v>
      </c>
    </row>
    <row r="45" spans="1:8" x14ac:dyDescent="0.2">
      <c r="A45" t="s">
        <v>71</v>
      </c>
      <c r="B45" t="s">
        <v>37</v>
      </c>
    </row>
    <row r="46" spans="1:8" x14ac:dyDescent="0.2">
      <c r="A46" t="s">
        <v>85</v>
      </c>
      <c r="B46" t="s">
        <v>652</v>
      </c>
    </row>
    <row r="47" spans="1:8" x14ac:dyDescent="0.2">
      <c r="A47" t="s">
        <v>86</v>
      </c>
    </row>
    <row r="48" spans="1:8" x14ac:dyDescent="0.2">
      <c r="A48" t="s">
        <v>87</v>
      </c>
      <c r="B48">
        <v>2020</v>
      </c>
    </row>
    <row r="49" spans="1:2" x14ac:dyDescent="0.2">
      <c r="A49" t="s">
        <v>123</v>
      </c>
      <c r="B49" t="s">
        <v>794</v>
      </c>
    </row>
    <row r="50" spans="1:2" x14ac:dyDescent="0.2">
      <c r="A50" t="s">
        <v>72</v>
      </c>
      <c r="B50" t="s">
        <v>886</v>
      </c>
    </row>
    <row r="51" spans="1:2" x14ac:dyDescent="0.2">
      <c r="A51" t="s">
        <v>73</v>
      </c>
      <c r="B51" t="s">
        <v>74</v>
      </c>
    </row>
    <row r="52" spans="1:2" x14ac:dyDescent="0.2">
      <c r="A52" t="s">
        <v>75</v>
      </c>
      <c r="B52" t="s">
        <v>162</v>
      </c>
    </row>
    <row r="53" spans="1:2" x14ac:dyDescent="0.2">
      <c r="A53" t="s">
        <v>77</v>
      </c>
      <c r="B53" t="s">
        <v>518</v>
      </c>
    </row>
    <row r="54" spans="1:2" x14ac:dyDescent="0.2">
      <c r="A54" t="s">
        <v>124</v>
      </c>
      <c r="B54">
        <v>20000</v>
      </c>
    </row>
    <row r="55" spans="1:2" x14ac:dyDescent="0.2">
      <c r="A55" t="s">
        <v>125</v>
      </c>
      <c r="B55">
        <v>1</v>
      </c>
    </row>
    <row r="56" spans="1:2" x14ac:dyDescent="0.2">
      <c r="A56" t="s">
        <v>126</v>
      </c>
      <c r="B56">
        <v>1.3333333333333333</v>
      </c>
    </row>
    <row r="57" spans="1:2" x14ac:dyDescent="0.2">
      <c r="A57" t="s">
        <v>127</v>
      </c>
      <c r="B57">
        <v>1</v>
      </c>
    </row>
    <row r="58" spans="1:2" x14ac:dyDescent="0.2">
      <c r="A58" t="s">
        <v>128</v>
      </c>
      <c r="B58">
        <v>2000</v>
      </c>
    </row>
    <row r="59" spans="1:2" x14ac:dyDescent="0.2">
      <c r="A59" t="s">
        <v>129</v>
      </c>
      <c r="B59">
        <v>45.25</v>
      </c>
    </row>
    <row r="60" spans="1:2" x14ac:dyDescent="0.2">
      <c r="A60" t="s">
        <v>130</v>
      </c>
      <c r="B60">
        <v>0.25</v>
      </c>
    </row>
    <row r="61" spans="1:2" x14ac:dyDescent="0.2">
      <c r="A61" t="s">
        <v>417</v>
      </c>
      <c r="B61" s="19" t="s">
        <v>42</v>
      </c>
    </row>
    <row r="62" spans="1:2" x14ac:dyDescent="0.2">
      <c r="A62" t="s">
        <v>131</v>
      </c>
      <c r="B62">
        <v>3.25</v>
      </c>
    </row>
    <row r="63" spans="1:2" x14ac:dyDescent="0.2">
      <c r="A63" t="s">
        <v>99</v>
      </c>
      <c r="B63">
        <v>0.5</v>
      </c>
    </row>
    <row r="64" spans="1:2" x14ac:dyDescent="0.2">
      <c r="A64" t="s">
        <v>355</v>
      </c>
      <c r="B64">
        <v>0.4</v>
      </c>
    </row>
    <row r="65" spans="1:8" x14ac:dyDescent="0.2">
      <c r="A65" t="s">
        <v>134</v>
      </c>
      <c r="B65">
        <v>0</v>
      </c>
    </row>
    <row r="66" spans="1:8" x14ac:dyDescent="0.2">
      <c r="A66" t="s">
        <v>135</v>
      </c>
      <c r="B66">
        <v>0</v>
      </c>
    </row>
    <row r="67" spans="1:8" x14ac:dyDescent="0.2">
      <c r="A67" t="s">
        <v>132</v>
      </c>
      <c r="B67">
        <v>41.48860759493671</v>
      </c>
    </row>
    <row r="68" spans="1:8" x14ac:dyDescent="0.2">
      <c r="A68" t="s">
        <v>133</v>
      </c>
      <c r="B68" t="s">
        <v>136</v>
      </c>
    </row>
    <row r="69" spans="1:8" x14ac:dyDescent="0.2">
      <c r="A69" t="s">
        <v>540</v>
      </c>
      <c r="B69" s="6">
        <v>0</v>
      </c>
    </row>
    <row r="70" spans="1:8" x14ac:dyDescent="0.2">
      <c r="A70" t="s">
        <v>82</v>
      </c>
      <c r="B70"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1" spans="1:8" ht="16" x14ac:dyDescent="0.2">
      <c r="A71" s="10" t="s">
        <v>78</v>
      </c>
    </row>
    <row r="72" spans="1:8" x14ac:dyDescent="0.2">
      <c r="A72" t="s">
        <v>79</v>
      </c>
      <c r="B72" t="s">
        <v>80</v>
      </c>
      <c r="C72" t="s">
        <v>71</v>
      </c>
      <c r="D72" t="s">
        <v>75</v>
      </c>
      <c r="E72" t="s">
        <v>81</v>
      </c>
      <c r="F72" t="s">
        <v>73</v>
      </c>
      <c r="G72" t="s">
        <v>82</v>
      </c>
      <c r="H72" t="s">
        <v>72</v>
      </c>
    </row>
    <row r="73" spans="1:8" x14ac:dyDescent="0.2">
      <c r="A73" t="s">
        <v>886</v>
      </c>
      <c r="B73">
        <v>1</v>
      </c>
      <c r="C73" t="s">
        <v>37</v>
      </c>
      <c r="D73" t="s">
        <v>162</v>
      </c>
      <c r="F73" t="s">
        <v>83</v>
      </c>
      <c r="G73" t="s">
        <v>84</v>
      </c>
      <c r="H73" t="s">
        <v>886</v>
      </c>
    </row>
    <row r="74" spans="1:8" x14ac:dyDescent="0.2">
      <c r="A74" t="s">
        <v>652</v>
      </c>
      <c r="B74" s="7">
        <v>5.0000000000000002E-5</v>
      </c>
      <c r="C74" t="s">
        <v>37</v>
      </c>
      <c r="D74" t="s">
        <v>75</v>
      </c>
      <c r="F74" t="s">
        <v>88</v>
      </c>
      <c r="H74" t="s">
        <v>652</v>
      </c>
    </row>
    <row r="75" spans="1:8" x14ac:dyDescent="0.2">
      <c r="A75" t="s">
        <v>106</v>
      </c>
      <c r="B75" s="7">
        <v>9.1424250000000001E-5</v>
      </c>
      <c r="C75" t="s">
        <v>37</v>
      </c>
      <c r="D75" t="s">
        <v>104</v>
      </c>
      <c r="F75" t="s">
        <v>88</v>
      </c>
      <c r="G75" t="s">
        <v>102</v>
      </c>
      <c r="H75" t="s">
        <v>107</v>
      </c>
    </row>
    <row r="76" spans="1:8" x14ac:dyDescent="0.2">
      <c r="A76" t="s">
        <v>97</v>
      </c>
      <c r="B76" s="7">
        <v>0.009641200878691726</v>
      </c>
      <c r="C76" t="s">
        <v>37</v>
      </c>
      <c r="D76" t="s">
        <v>95</v>
      </c>
      <c r="F76" t="s">
        <v>88</v>
      </c>
      <c r="G76" t="s">
        <v>28</v>
      </c>
      <c r="H76" t="s">
        <v>99</v>
      </c>
    </row>
    <row r="77" spans="1:8" x14ac:dyDescent="0.2">
      <c r="A77" t="s">
        <v>248</v>
      </c>
      <c r="B77" s="7">
        <v>6.666666666666667E-5</v>
      </c>
      <c r="C77" t="s">
        <v>37</v>
      </c>
      <c r="D77" t="s">
        <v>75</v>
      </c>
      <c r="F77" t="s">
        <v>88</v>
      </c>
      <c r="G77" t="s">
        <v>115</v>
      </c>
      <c r="H77" t="s">
        <v>248</v>
      </c>
    </row>
    <row r="78" spans="1:8" x14ac:dyDescent="0.2">
      <c r="A78" t="s">
        <v>155</v>
      </c>
      <c r="B78" s="7">
        <v>-6.4129100619129601E-6</v>
      </c>
      <c r="C78" t="s">
        <v>91</v>
      </c>
      <c r="D78" t="s">
        <v>76</v>
      </c>
      <c r="F78" t="s">
        <v>88</v>
      </c>
      <c r="G78" t="s">
        <v>29</v>
      </c>
      <c r="H78" t="s">
        <v>157</v>
      </c>
    </row>
    <row r="79" spans="1:8" x14ac:dyDescent="0.2">
      <c r="A79" t="s">
        <v>156</v>
      </c>
      <c r="B79" s="7">
        <v>-5.307335850102609E-6</v>
      </c>
      <c r="C79" t="s">
        <v>91</v>
      </c>
      <c r="D79" t="s">
        <v>76</v>
      </c>
      <c r="F79" t="s">
        <v>88</v>
      </c>
      <c r="G79" t="s">
        <v>30</v>
      </c>
      <c r="H79" t="s">
        <v>158</v>
      </c>
    </row>
    <row r="80" spans="1:8" x14ac:dyDescent="0.2">
      <c r="A80" t="s">
        <v>164</v>
      </c>
      <c r="B80" s="7">
        <v>-5.1556634746423041E-6</v>
      </c>
      <c r="C80" t="s">
        <v>91</v>
      </c>
      <c r="D80" t="s">
        <v>76</v>
      </c>
      <c r="F80" t="s">
        <v>88</v>
      </c>
      <c r="G80" t="s">
        <v>31</v>
      </c>
      <c r="H80" t="s">
        <v>159</v>
      </c>
    </row>
  </sheetData>
  <pageMargins left="0.7" right="0.7" top="0.75" bottom="0.75" header="0.3" footer="0.3"/>
  <pageSetup orientation="portrait"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82"/>
  <sheetViews>
    <sheetView topLeftCell="A42" workbookViewId="0">
      <selection activeCell="G67" sqref="G6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264</v>
      </c>
    </row>
    <row r="2" spans="1:2" x14ac:dyDescent="0.2">
      <c r="A2" t="s">
        <v>71</v>
      </c>
      <c r="B2" t="s">
        <v>37</v>
      </c>
    </row>
    <row r="3" spans="1:2" x14ac:dyDescent="0.2">
      <c r="A3" t="s">
        <v>85</v>
      </c>
      <c r="B3" t="s">
        <v>264</v>
      </c>
    </row>
    <row r="4" spans="1:2" x14ac:dyDescent="0.2">
      <c r="A4" t="s">
        <v>86</v>
      </c>
    </row>
    <row r="5" spans="1:2" x14ac:dyDescent="0.2">
      <c r="A5" t="s">
        <v>87</v>
      </c>
      <c r="B5">
        <v>2020</v>
      </c>
    </row>
    <row r="6" spans="1:2" x14ac:dyDescent="0.2">
      <c r="A6" t="s">
        <v>123</v>
      </c>
      <c r="B6" t="s">
        <v>265</v>
      </c>
    </row>
    <row r="7" spans="1:2" x14ac:dyDescent="0.2">
      <c r="A7" t="s">
        <v>72</v>
      </c>
      <c r="B7" t="s">
        <v>264</v>
      </c>
    </row>
    <row r="8" spans="1:2" x14ac:dyDescent="0.2">
      <c r="A8" t="s">
        <v>73</v>
      </c>
      <c r="B8" t="s">
        <v>74</v>
      </c>
    </row>
    <row r="9" spans="1:2" x14ac:dyDescent="0.2">
      <c r="A9" t="s">
        <v>75</v>
      </c>
      <c r="B9" t="s">
        <v>75</v>
      </c>
    </row>
    <row r="10" spans="1:2" x14ac:dyDescent="0.2">
      <c r="A10" t="s">
        <v>77</v>
      </c>
      <c r="B10" t="s">
        <v>518</v>
      </c>
    </row>
    <row r="11" spans="1:2" x14ac:dyDescent="0.2">
      <c r="A11" t="s">
        <v>124</v>
      </c>
      <c r="B11">
        <v>2800000</v>
      </c>
    </row>
    <row r="12" spans="1:2" x14ac:dyDescent="0.2">
      <c r="A12" t="s">
        <v>125</v>
      </c>
      <c r="B12">
        <v>38</v>
      </c>
    </row>
    <row r="13" spans="1:2" x14ac:dyDescent="0.2">
      <c r="A13" t="s">
        <v>126</v>
      </c>
      <c r="B13">
        <v>1.3333333333333333</v>
      </c>
    </row>
    <row r="14" spans="1:2" x14ac:dyDescent="0.2">
      <c r="A14" t="s">
        <v>127</v>
      </c>
      <c r="B14">
        <v>0</v>
      </c>
    </row>
    <row r="15" spans="1:2" x14ac:dyDescent="0.2">
      <c r="A15" t="s">
        <v>128</v>
      </c>
      <c r="B15">
        <v>70000</v>
      </c>
    </row>
    <row r="16" spans="1:2" x14ac:dyDescent="0.2">
      <c r="A16" t="s">
        <v>129</v>
      </c>
      <c r="B16">
        <v>54000</v>
      </c>
    </row>
    <row r="17" spans="1:8" x14ac:dyDescent="0.2">
      <c r="A17" t="s">
        <v>130</v>
      </c>
      <c r="B17">
        <v>660</v>
      </c>
    </row>
    <row r="18" spans="1:8" x14ac:dyDescent="0.2">
      <c r="A18" t="s">
        <v>131</v>
      </c>
      <c r="B18">
        <v>0</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270</v>
      </c>
    </row>
    <row r="26" spans="1:8" x14ac:dyDescent="0.2">
      <c r="A26" t="s">
        <v>260</v>
      </c>
      <c r="B26" s="2">
        <v>0</v>
      </c>
    </row>
    <row r="27" spans="1:8" x14ac:dyDescent="0.2">
      <c r="A27" t="s">
        <v>261</v>
      </c>
      <c r="B27" s="2">
        <v>1000</v>
      </c>
    </row>
    <row r="28" spans="1:8" x14ac:dyDescent="0.2">
      <c r="A28" t="s">
        <v>82</v>
      </c>
      <c r="B28" t="s">
        <v>545</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264</v>
      </c>
      <c r="B31">
        <v>1</v>
      </c>
      <c r="C31" t="s">
        <v>37</v>
      </c>
      <c r="D31" t="s">
        <v>75</v>
      </c>
      <c r="F31" t="s">
        <v>83</v>
      </c>
      <c r="G31" t="s">
        <v>84</v>
      </c>
      <c r="H31" t="s">
        <v>264</v>
      </c>
    </row>
    <row r="32" spans="1:8" x14ac:dyDescent="0.2">
      <c r="A32" t="s">
        <v>101</v>
      </c>
      <c r="B32" s="4">
        <v>2.0579268292682928</v>
      </c>
      <c r="C32" t="s">
        <v>91</v>
      </c>
      <c r="D32" t="s">
        <v>75</v>
      </c>
      <c r="F32" t="s">
        <v>88</v>
      </c>
      <c r="G32" t="s">
        <v>15</v>
      </c>
      <c r="H32" t="s">
        <v>100</v>
      </c>
    </row>
    <row r="33" spans="1:8" x14ac:dyDescent="0.2">
      <c r="A33" t="s">
        <v>101</v>
      </c>
      <c r="B33" s="4">
        <v>0.37157012195121952</v>
      </c>
      <c r="C33" t="s">
        <v>91</v>
      </c>
      <c r="D33" t="s">
        <v>75</v>
      </c>
      <c r="F33" t="s">
        <v>88</v>
      </c>
      <c r="G33" t="s">
        <v>16</v>
      </c>
      <c r="H33" t="s">
        <v>100</v>
      </c>
    </row>
    <row r="34" spans="1:8" x14ac:dyDescent="0.2">
      <c r="A34" t="s">
        <v>101</v>
      </c>
      <c r="B34" s="4">
        <v>0.14291158536585366</v>
      </c>
      <c r="C34" t="s">
        <v>91</v>
      </c>
      <c r="D34" t="s">
        <v>75</v>
      </c>
      <c r="F34" t="s">
        <v>88</v>
      </c>
      <c r="G34" t="s">
        <v>269</v>
      </c>
      <c r="H34" t="s">
        <v>100</v>
      </c>
    </row>
    <row r="35" spans="1:8" x14ac:dyDescent="0.2">
      <c r="A35" t="s">
        <v>540</v>
      </c>
      <c r="B35" s="11">
        <v>0</v>
      </c>
      <c r="C35" t="s">
        <v>94</v>
      </c>
      <c r="D35" t="s">
        <v>76</v>
      </c>
      <c r="F35" t="s">
        <v>88</v>
      </c>
      <c r="G35" t="s">
        <v>14</v>
      </c>
      <c r="H35" t="s">
        <v>540</v>
      </c>
    </row>
    <row r="36" spans="1:8" x14ac:dyDescent="0.2">
      <c r="A36" t="s">
        <v>103</v>
      </c>
      <c r="B36" s="2">
        <v>4.5599999999999998E-3</v>
      </c>
      <c r="C36" t="s">
        <v>37</v>
      </c>
      <c r="D36" t="s">
        <v>104</v>
      </c>
      <c r="F36" t="s">
        <v>88</v>
      </c>
      <c r="G36" t="s">
        <v>102</v>
      </c>
      <c r="H36" t="s">
        <v>105</v>
      </c>
    </row>
    <row r="37" spans="1:8" x14ac:dyDescent="0.2">
      <c r="A37" t="s">
        <v>281</v>
      </c>
      <c r="B37" s="2">
        <v>-4.5599999999999998E-3</v>
      </c>
      <c r="C37" t="s">
        <v>37</v>
      </c>
      <c r="D37" t="s">
        <v>104</v>
      </c>
      <c r="F37" t="s">
        <v>88</v>
      </c>
      <c r="G37" t="s">
        <v>279</v>
      </c>
      <c r="H37" t="s">
        <v>280</v>
      </c>
    </row>
    <row r="38" spans="1:8" x14ac:dyDescent="0.2">
      <c r="A38" s="13" t="s">
        <v>443</v>
      </c>
      <c r="B38">
        <v>54000</v>
      </c>
      <c r="C38" t="s">
        <v>91</v>
      </c>
      <c r="D38" t="s">
        <v>191</v>
      </c>
      <c r="F38" t="s">
        <v>88</v>
      </c>
      <c r="H38" s="13" t="s">
        <v>444</v>
      </c>
    </row>
    <row r="39" spans="1:8" x14ac:dyDescent="0.2">
      <c r="B39" s="11"/>
    </row>
    <row r="41" spans="1:8" ht="16" x14ac:dyDescent="0.2">
      <c r="A41" s="10" t="s">
        <v>70</v>
      </c>
      <c r="B41" s="8" t="s">
        <v>546</v>
      </c>
    </row>
    <row r="42" spans="1:8" x14ac:dyDescent="0.2">
      <c r="A42" t="s">
        <v>71</v>
      </c>
      <c r="B42" t="s">
        <v>37</v>
      </c>
    </row>
    <row r="43" spans="1:8" x14ac:dyDescent="0.2">
      <c r="A43" t="s">
        <v>85</v>
      </c>
      <c r="B43" t="s">
        <v>264</v>
      </c>
    </row>
    <row r="44" spans="1:8" x14ac:dyDescent="0.2">
      <c r="A44" t="s">
        <v>86</v>
      </c>
    </row>
    <row r="45" spans="1:8" x14ac:dyDescent="0.2">
      <c r="A45" t="s">
        <v>87</v>
      </c>
      <c r="B45">
        <v>2020</v>
      </c>
    </row>
    <row r="46" spans="1:8" x14ac:dyDescent="0.2">
      <c r="A46" t="s">
        <v>123</v>
      </c>
      <c r="B46" t="s">
        <v>265</v>
      </c>
    </row>
    <row r="47" spans="1:8" x14ac:dyDescent="0.2">
      <c r="A47" t="s">
        <v>72</v>
      </c>
      <c r="B47" t="s">
        <v>546</v>
      </c>
    </row>
    <row r="48" spans="1:8" x14ac:dyDescent="0.2">
      <c r="A48" t="s">
        <v>73</v>
      </c>
      <c r="B48" t="s">
        <v>74</v>
      </c>
    </row>
    <row r="49" spans="1:2" x14ac:dyDescent="0.2">
      <c r="A49" t="s">
        <v>75</v>
      </c>
      <c r="B49" t="s">
        <v>165</v>
      </c>
    </row>
    <row r="50" spans="1:2" x14ac:dyDescent="0.2">
      <c r="A50" t="s">
        <v>77</v>
      </c>
      <c r="B50" t="s">
        <v>518</v>
      </c>
    </row>
    <row r="51" spans="1:2" x14ac:dyDescent="0.2">
      <c r="A51" t="s">
        <v>124</v>
      </c>
      <c r="B51">
        <v>2800000</v>
      </c>
    </row>
    <row r="52" spans="1:2" x14ac:dyDescent="0.2">
      <c r="A52" t="s">
        <v>125</v>
      </c>
      <c r="B52">
        <v>38</v>
      </c>
    </row>
    <row r="53" spans="1:2" x14ac:dyDescent="0.2">
      <c r="A53" t="s">
        <v>126</v>
      </c>
      <c r="B53">
        <v>1.3333333333333333</v>
      </c>
    </row>
    <row r="54" spans="1:2" x14ac:dyDescent="0.2">
      <c r="A54" t="s">
        <v>127</v>
      </c>
      <c r="B54">
        <v>0</v>
      </c>
    </row>
    <row r="55" spans="1:2" x14ac:dyDescent="0.2">
      <c r="A55" t="s">
        <v>128</v>
      </c>
      <c r="B55">
        <v>70000</v>
      </c>
    </row>
    <row r="56" spans="1:2" x14ac:dyDescent="0.2">
      <c r="A56" t="s">
        <v>129</v>
      </c>
      <c r="B56">
        <v>54000</v>
      </c>
    </row>
    <row r="57" spans="1:2" x14ac:dyDescent="0.2">
      <c r="A57" t="s">
        <v>130</v>
      </c>
      <c r="B57">
        <v>660</v>
      </c>
    </row>
    <row r="58" spans="1:2" x14ac:dyDescent="0.2">
      <c r="A58" t="s">
        <v>131</v>
      </c>
      <c r="B58">
        <v>0</v>
      </c>
    </row>
    <row r="59" spans="1:2" x14ac:dyDescent="0.2">
      <c r="A59" t="s">
        <v>99</v>
      </c>
      <c r="B59">
        <v>0</v>
      </c>
    </row>
    <row r="60" spans="1:2" x14ac:dyDescent="0.2">
      <c r="A60" t="s">
        <v>134</v>
      </c>
      <c r="B60">
        <v>0</v>
      </c>
    </row>
    <row r="61" spans="1:2" x14ac:dyDescent="0.2">
      <c r="A61" t="s">
        <v>135</v>
      </c>
      <c r="B61">
        <v>0</v>
      </c>
    </row>
    <row r="62" spans="1:2" x14ac:dyDescent="0.2">
      <c r="A62" t="s">
        <v>132</v>
      </c>
      <c r="B62">
        <v>0</v>
      </c>
    </row>
    <row r="63" spans="1:2" x14ac:dyDescent="0.2">
      <c r="A63" t="s">
        <v>133</v>
      </c>
      <c r="B63" t="s">
        <v>136</v>
      </c>
    </row>
    <row r="64" spans="1:2" x14ac:dyDescent="0.2">
      <c r="A64" t="s">
        <v>540</v>
      </c>
      <c r="B64" s="6">
        <v>0</v>
      </c>
    </row>
    <row r="65" spans="1:12" x14ac:dyDescent="0.2">
      <c r="A65" t="s">
        <v>82</v>
      </c>
      <c r="B65" t="s">
        <v>547</v>
      </c>
    </row>
    <row r="66" spans="1:12" ht="16" x14ac:dyDescent="0.2">
      <c r="A66" s="10" t="s">
        <v>78</v>
      </c>
    </row>
    <row r="67" spans="1:12" x14ac:dyDescent="0.2">
      <c r="A67" t="s">
        <v>79</v>
      </c>
      <c r="B67" t="s">
        <v>80</v>
      </c>
      <c r="C67" t="s">
        <v>71</v>
      </c>
      <c r="D67" t="s">
        <v>75</v>
      </c>
      <c r="E67" t="s">
        <v>81</v>
      </c>
      <c r="F67" t="s">
        <v>73</v>
      </c>
      <c r="G67" t="s">
        <v>82</v>
      </c>
      <c r="H67" t="s">
        <v>72</v>
      </c>
    </row>
    <row r="68" spans="1:12" x14ac:dyDescent="0.2">
      <c r="A68" t="s">
        <v>546</v>
      </c>
      <c r="B68">
        <v>1</v>
      </c>
      <c r="C68" t="s">
        <v>37</v>
      </c>
      <c r="D68" t="s">
        <v>165</v>
      </c>
      <c r="F68" t="s">
        <v>83</v>
      </c>
      <c r="G68" t="s">
        <v>84</v>
      </c>
      <c r="H68" t="s">
        <v>546</v>
      </c>
    </row>
    <row r="69" spans="1:12" x14ac:dyDescent="0.2">
      <c r="A69" t="s">
        <v>264</v>
      </c>
      <c r="B69">
        <v>9.3984962406015038E-9</v>
      </c>
      <c r="C69" t="s">
        <v>37</v>
      </c>
      <c r="D69" t="s">
        <v>75</v>
      </c>
      <c r="F69" t="s">
        <v>88</v>
      </c>
      <c r="H69" t="s">
        <v>264</v>
      </c>
    </row>
    <row r="70" spans="1:12" x14ac:dyDescent="0.2">
      <c r="A70" t="s">
        <v>108</v>
      </c>
      <c r="B70" s="4">
        <v>9.7222222222222224E-2</v>
      </c>
      <c r="C70" t="s">
        <v>37</v>
      </c>
      <c r="D70" t="s">
        <v>95</v>
      </c>
      <c r="F70" t="s">
        <v>88</v>
      </c>
      <c r="G70" t="s">
        <v>28</v>
      </c>
      <c r="H70" t="s">
        <v>121</v>
      </c>
    </row>
    <row r="71" spans="1:12" x14ac:dyDescent="0.2">
      <c r="A71" t="s">
        <v>284</v>
      </c>
      <c r="B71" s="7">
        <v>2.2086466165413533E-7</v>
      </c>
      <c r="C71" t="s">
        <v>94</v>
      </c>
      <c r="D71" t="s">
        <v>76</v>
      </c>
      <c r="F71" t="s">
        <v>88</v>
      </c>
      <c r="G71" t="s">
        <v>286</v>
      </c>
      <c r="H71" t="s">
        <v>285</v>
      </c>
    </row>
    <row r="72" spans="1:12" x14ac:dyDescent="0.2">
      <c r="A72" t="s">
        <v>117</v>
      </c>
      <c r="B72" s="7">
        <v>1.2531328320802004E-8</v>
      </c>
      <c r="C72" t="s">
        <v>37</v>
      </c>
      <c r="D72" t="s">
        <v>75</v>
      </c>
      <c r="F72" t="s">
        <v>88</v>
      </c>
      <c r="G72" t="s">
        <v>115</v>
      </c>
      <c r="H72" t="s">
        <v>117</v>
      </c>
    </row>
    <row r="73" spans="1:12" x14ac:dyDescent="0.2">
      <c r="A73" t="s">
        <v>287</v>
      </c>
      <c r="B73" s="7">
        <v>1.5037593984962406E-7</v>
      </c>
      <c r="D73" t="s">
        <v>76</v>
      </c>
      <c r="E73" t="s">
        <v>161</v>
      </c>
      <c r="F73" t="s">
        <v>163</v>
      </c>
      <c r="G73" t="s">
        <v>288</v>
      </c>
      <c r="L73" s="6"/>
    </row>
    <row r="74" spans="1:12" x14ac:dyDescent="0.2">
      <c r="A74" t="s">
        <v>212</v>
      </c>
      <c r="B74" s="7">
        <v>4.2105263157894742E-9</v>
      </c>
      <c r="D74" t="s">
        <v>76</v>
      </c>
      <c r="E74" t="s">
        <v>161</v>
      </c>
      <c r="F74" t="s">
        <v>163</v>
      </c>
      <c r="G74" t="s">
        <v>293</v>
      </c>
    </row>
    <row r="75" spans="1:12" x14ac:dyDescent="0.2">
      <c r="A75" t="s">
        <v>289</v>
      </c>
      <c r="B75" s="7">
        <v>8.4210526315789483E-9</v>
      </c>
      <c r="D75" t="s">
        <v>76</v>
      </c>
      <c r="E75" t="s">
        <v>161</v>
      </c>
      <c r="F75" t="s">
        <v>163</v>
      </c>
      <c r="G75" t="s">
        <v>293</v>
      </c>
    </row>
    <row r="76" spans="1:12" x14ac:dyDescent="0.2">
      <c r="A76" t="s">
        <v>290</v>
      </c>
      <c r="B76" s="7">
        <v>8.6842105263157895E-9</v>
      </c>
      <c r="D76" t="s">
        <v>76</v>
      </c>
      <c r="E76" t="s">
        <v>161</v>
      </c>
      <c r="F76" t="s">
        <v>163</v>
      </c>
      <c r="G76" t="s">
        <v>293</v>
      </c>
    </row>
    <row r="77" spans="1:12" x14ac:dyDescent="0.2">
      <c r="A77" t="s">
        <v>212</v>
      </c>
      <c r="B77" s="7">
        <v>2.368421052631579E-7</v>
      </c>
      <c r="D77" t="s">
        <v>76</v>
      </c>
      <c r="E77" t="s">
        <v>161</v>
      </c>
      <c r="F77" t="s">
        <v>163</v>
      </c>
      <c r="G77" t="s">
        <v>294</v>
      </c>
    </row>
    <row r="78" spans="1:12" x14ac:dyDescent="0.2">
      <c r="A78" t="s">
        <v>289</v>
      </c>
      <c r="B78" s="7">
        <v>4.736842105263158E-7</v>
      </c>
      <c r="D78" t="s">
        <v>76</v>
      </c>
      <c r="E78" t="s">
        <v>161</v>
      </c>
      <c r="F78" t="s">
        <v>163</v>
      </c>
      <c r="G78" t="s">
        <v>294</v>
      </c>
    </row>
    <row r="79" spans="1:12" x14ac:dyDescent="0.2">
      <c r="A79" t="s">
        <v>212</v>
      </c>
      <c r="B79" s="7">
        <v>1.0526315789473683E-7</v>
      </c>
      <c r="D79" t="s">
        <v>76</v>
      </c>
      <c r="E79" t="s">
        <v>161</v>
      </c>
      <c r="F79" t="s">
        <v>163</v>
      </c>
      <c r="G79" t="s">
        <v>295</v>
      </c>
    </row>
    <row r="80" spans="1:12" x14ac:dyDescent="0.2">
      <c r="A80" t="s">
        <v>289</v>
      </c>
      <c r="B80" s="7">
        <v>2.1052631578947366E-7</v>
      </c>
      <c r="D80" t="s">
        <v>76</v>
      </c>
      <c r="E80" t="s">
        <v>161</v>
      </c>
      <c r="F80" t="s">
        <v>163</v>
      </c>
      <c r="G80" t="s">
        <v>295</v>
      </c>
    </row>
    <row r="81" spans="1:7" x14ac:dyDescent="0.2">
      <c r="A81" t="s">
        <v>291</v>
      </c>
      <c r="B81" s="7">
        <v>2.1052631578947371E-9</v>
      </c>
      <c r="D81" t="s">
        <v>76</v>
      </c>
      <c r="E81" t="s">
        <v>161</v>
      </c>
      <c r="F81" t="s">
        <v>163</v>
      </c>
      <c r="G81" t="s">
        <v>295</v>
      </c>
    </row>
    <row r="82" spans="1:7" x14ac:dyDescent="0.2">
      <c r="A82" t="s">
        <v>292</v>
      </c>
      <c r="B82" s="7">
        <v>4.2105263157894742E-9</v>
      </c>
      <c r="D82" t="s">
        <v>76</v>
      </c>
      <c r="E82" t="s">
        <v>161</v>
      </c>
      <c r="F82" t="s">
        <v>163</v>
      </c>
      <c r="G82" t="s">
        <v>295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239"/>
  <sheetViews>
    <sheetView topLeftCell="A133" workbookViewId="0">
      <selection activeCell="B136" sqref="B1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8" ht="16" x14ac:dyDescent="0.2">
      <c r="A1" s="10" t="s">
        <v>70</v>
      </c>
      <c r="B1" s="8" t="s">
        <v>358</v>
      </c>
    </row>
    <row r="2" spans="1:8" x14ac:dyDescent="0.2">
      <c r="A2" t="s">
        <v>71</v>
      </c>
      <c r="B2" t="s">
        <v>94</v>
      </c>
    </row>
    <row r="3" spans="1:8" x14ac:dyDescent="0.2">
      <c r="A3" t="s">
        <v>72</v>
      </c>
      <c r="B3" t="str">
        <f>B1</f>
        <v>charging station, 100W</v>
      </c>
    </row>
    <row r="4" spans="1:8" x14ac:dyDescent="0.2">
      <c r="A4" t="s">
        <v>73</v>
      </c>
      <c r="B4" t="s">
        <v>74</v>
      </c>
    </row>
    <row r="5" spans="1:8" x14ac:dyDescent="0.2">
      <c r="A5" t="s">
        <v>75</v>
      </c>
      <c r="B5" t="s">
        <v>75</v>
      </c>
    </row>
    <row r="6" spans="1:8" x14ac:dyDescent="0.2">
      <c r="A6" t="s">
        <v>77</v>
      </c>
      <c r="B6" t="s">
        <v>518</v>
      </c>
    </row>
    <row r="7" spans="1:8" x14ac:dyDescent="0.2">
      <c r="A7" t="s">
        <v>82</v>
      </c>
      <c r="B7" t="s">
        <v>359</v>
      </c>
    </row>
    <row r="8" spans="1:8" ht="16" x14ac:dyDescent="0.2">
      <c r="A8" s="10" t="s">
        <v>78</v>
      </c>
    </row>
    <row r="9" spans="1:8" x14ac:dyDescent="0.2">
      <c r="A9" t="s">
        <v>79</v>
      </c>
      <c r="B9" t="s">
        <v>80</v>
      </c>
      <c r="C9" t="s">
        <v>71</v>
      </c>
      <c r="D9" t="s">
        <v>75</v>
      </c>
      <c r="E9" t="s">
        <v>81</v>
      </c>
      <c r="F9" t="s">
        <v>73</v>
      </c>
      <c r="G9" t="s">
        <v>82</v>
      </c>
      <c r="H9" t="s">
        <v>72</v>
      </c>
    </row>
    <row r="10" spans="1:8" x14ac:dyDescent="0.2">
      <c r="A10" t="str">
        <f>B1</f>
        <v>charging station, 100W</v>
      </c>
      <c r="B10">
        <v>1</v>
      </c>
      <c r="C10" t="str">
        <f>B2</f>
        <v>GLO</v>
      </c>
      <c r="D10" t="str">
        <f>B5</f>
        <v>unit</v>
      </c>
      <c r="F10" t="s">
        <v>83</v>
      </c>
      <c r="G10" t="s">
        <v>84</v>
      </c>
      <c r="H10" t="str">
        <f>B3</f>
        <v>charging station, 100W</v>
      </c>
    </row>
    <row r="11" spans="1:8" x14ac:dyDescent="0.2">
      <c r="A11" s="13" t="s">
        <v>172</v>
      </c>
      <c r="B11" s="5">
        <f>0.5/3</f>
        <v>0.16666666666666666</v>
      </c>
      <c r="C11" t="s">
        <v>94</v>
      </c>
      <c r="D11" t="s">
        <v>76</v>
      </c>
      <c r="F11" t="s">
        <v>88</v>
      </c>
      <c r="H11" t="s">
        <v>173</v>
      </c>
    </row>
    <row r="12" spans="1:8" x14ac:dyDescent="0.2">
      <c r="A12" s="13" t="s">
        <v>214</v>
      </c>
      <c r="B12" s="5">
        <f>15900*(B11/1000)</f>
        <v>2.65</v>
      </c>
      <c r="C12" t="s">
        <v>94</v>
      </c>
      <c r="D12" t="s">
        <v>191</v>
      </c>
      <c r="F12" t="s">
        <v>88</v>
      </c>
      <c r="H12" t="s">
        <v>214</v>
      </c>
    </row>
    <row r="13" spans="1:8" x14ac:dyDescent="0.2">
      <c r="A13" s="13" t="s">
        <v>443</v>
      </c>
      <c r="B13" s="5">
        <f>1000*(B11/1000)</f>
        <v>0.16666666666666666</v>
      </c>
      <c r="C13" t="s">
        <v>91</v>
      </c>
      <c r="D13" t="s">
        <v>191</v>
      </c>
      <c r="F13" t="s">
        <v>88</v>
      </c>
      <c r="H13" t="s">
        <v>444</v>
      </c>
    </row>
    <row r="14" spans="1:8" x14ac:dyDescent="0.2">
      <c r="A14" t="s">
        <v>174</v>
      </c>
      <c r="B14" s="5">
        <f>-1*B11</f>
        <v>-0.16666666666666666</v>
      </c>
      <c r="C14" t="s">
        <v>94</v>
      </c>
      <c r="D14" t="s">
        <v>76</v>
      </c>
      <c r="F14" t="s">
        <v>88</v>
      </c>
      <c r="H14" t="s">
        <v>175</v>
      </c>
    </row>
    <row r="15" spans="1:8" x14ac:dyDescent="0.2">
      <c r="B15" s="11"/>
    </row>
    <row r="16" spans="1:8" ht="16" x14ac:dyDescent="0.2">
      <c r="A16" s="10" t="s">
        <v>70</v>
      </c>
      <c r="B16" s="8" t="s">
        <v>184</v>
      </c>
    </row>
    <row r="17" spans="1:8" x14ac:dyDescent="0.2">
      <c r="A17" t="s">
        <v>71</v>
      </c>
      <c r="B17" t="s">
        <v>94</v>
      </c>
    </row>
    <row r="18" spans="1:8" x14ac:dyDescent="0.2">
      <c r="A18" t="s">
        <v>72</v>
      </c>
      <c r="B18" t="str">
        <f>B16</f>
        <v>charging station, 500W</v>
      </c>
    </row>
    <row r="19" spans="1:8" x14ac:dyDescent="0.2">
      <c r="A19" t="s">
        <v>73</v>
      </c>
      <c r="B19" t="s">
        <v>74</v>
      </c>
    </row>
    <row r="20" spans="1:8" x14ac:dyDescent="0.2">
      <c r="A20" t="s">
        <v>75</v>
      </c>
      <c r="B20" t="s">
        <v>75</v>
      </c>
    </row>
    <row r="21" spans="1:8" x14ac:dyDescent="0.2">
      <c r="A21" t="s">
        <v>77</v>
      </c>
      <c r="B21" t="s">
        <v>518</v>
      </c>
    </row>
    <row r="22" spans="1:8" x14ac:dyDescent="0.2">
      <c r="A22" t="s">
        <v>82</v>
      </c>
      <c r="B22" t="s">
        <v>213</v>
      </c>
    </row>
    <row r="23" spans="1:8" ht="16" x14ac:dyDescent="0.2">
      <c r="A23" s="10" t="s">
        <v>78</v>
      </c>
    </row>
    <row r="24" spans="1:8" x14ac:dyDescent="0.2">
      <c r="A24" t="s">
        <v>79</v>
      </c>
      <c r="B24" t="s">
        <v>80</v>
      </c>
      <c r="C24" t="s">
        <v>71</v>
      </c>
      <c r="D24" t="s">
        <v>75</v>
      </c>
      <c r="E24" t="s">
        <v>81</v>
      </c>
      <c r="F24" t="s">
        <v>73</v>
      </c>
      <c r="G24" t="s">
        <v>82</v>
      </c>
      <c r="H24" t="s">
        <v>72</v>
      </c>
    </row>
    <row r="25" spans="1:8" x14ac:dyDescent="0.2">
      <c r="A25" t="str">
        <f>B16</f>
        <v>charging station, 500W</v>
      </c>
      <c r="B25">
        <v>1</v>
      </c>
      <c r="C25" t="str">
        <f>B17</f>
        <v>GLO</v>
      </c>
      <c r="D25" t="str">
        <f>B20</f>
        <v>unit</v>
      </c>
      <c r="F25" t="s">
        <v>83</v>
      </c>
      <c r="G25" t="s">
        <v>84</v>
      </c>
      <c r="H25" t="str">
        <f>B18</f>
        <v>charging station, 500W</v>
      </c>
    </row>
    <row r="26" spans="1:8" x14ac:dyDescent="0.2">
      <c r="A26" s="13" t="s">
        <v>172</v>
      </c>
      <c r="B26" s="5">
        <v>0.5</v>
      </c>
      <c r="C26" t="s">
        <v>94</v>
      </c>
      <c r="D26" t="s">
        <v>76</v>
      </c>
      <c r="F26" t="s">
        <v>88</v>
      </c>
      <c r="H26" t="s">
        <v>173</v>
      </c>
    </row>
    <row r="27" spans="1:8" x14ac:dyDescent="0.2">
      <c r="A27" s="13" t="s">
        <v>214</v>
      </c>
      <c r="B27" s="5">
        <f>15900*(B26/1000)</f>
        <v>7.95</v>
      </c>
      <c r="C27" t="s">
        <v>94</v>
      </c>
      <c r="D27" t="s">
        <v>191</v>
      </c>
      <c r="F27" t="s">
        <v>88</v>
      </c>
      <c r="H27" t="s">
        <v>214</v>
      </c>
    </row>
    <row r="28" spans="1:8" x14ac:dyDescent="0.2">
      <c r="A28" s="13" t="s">
        <v>443</v>
      </c>
      <c r="B28" s="5">
        <f>1000*(B26/1000)</f>
        <v>0.5</v>
      </c>
      <c r="C28" t="s">
        <v>91</v>
      </c>
      <c r="D28" t="s">
        <v>191</v>
      </c>
      <c r="F28" t="s">
        <v>88</v>
      </c>
      <c r="H28" t="s">
        <v>444</v>
      </c>
    </row>
    <row r="29" spans="1:8" x14ac:dyDescent="0.2">
      <c r="A29" t="s">
        <v>174</v>
      </c>
      <c r="B29" s="5">
        <f>-1*B26</f>
        <v>-0.5</v>
      </c>
      <c r="C29" t="s">
        <v>94</v>
      </c>
      <c r="D29" t="s">
        <v>76</v>
      </c>
      <c r="F29" t="s">
        <v>88</v>
      </c>
      <c r="H29" t="s">
        <v>175</v>
      </c>
    </row>
    <row r="30" spans="1:8" x14ac:dyDescent="0.2">
      <c r="B30" s="11"/>
    </row>
    <row r="31" spans="1:8" ht="16" x14ac:dyDescent="0.2">
      <c r="A31" s="10" t="s">
        <v>70</v>
      </c>
      <c r="B31" s="8" t="s">
        <v>185</v>
      </c>
    </row>
    <row r="32" spans="1:8" x14ac:dyDescent="0.2">
      <c r="A32" t="s">
        <v>71</v>
      </c>
      <c r="B32" t="s">
        <v>94</v>
      </c>
    </row>
    <row r="33" spans="1:8" x14ac:dyDescent="0.2">
      <c r="A33" t="s">
        <v>72</v>
      </c>
      <c r="B33" t="str">
        <f>B31</f>
        <v>charging station, 3kW</v>
      </c>
    </row>
    <row r="34" spans="1:8" x14ac:dyDescent="0.2">
      <c r="A34" t="s">
        <v>73</v>
      </c>
      <c r="B34" t="s">
        <v>74</v>
      </c>
    </row>
    <row r="35" spans="1:8" x14ac:dyDescent="0.2">
      <c r="A35" t="s">
        <v>75</v>
      </c>
      <c r="B35" t="s">
        <v>75</v>
      </c>
    </row>
    <row r="36" spans="1:8" x14ac:dyDescent="0.2">
      <c r="A36" t="s">
        <v>77</v>
      </c>
      <c r="B36" t="s">
        <v>518</v>
      </c>
    </row>
    <row r="37" spans="1:8" x14ac:dyDescent="0.2">
      <c r="A37" t="s">
        <v>82</v>
      </c>
      <c r="B37"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Uses an electric scooter charger from ecoinvent 3.7 as a proxy.</t>
        </is>
      </c>
    </row>
    <row r="38" spans="1:8" ht="16" x14ac:dyDescent="0.2">
      <c r="A38" s="10" t="s">
        <v>78</v>
      </c>
    </row>
    <row r="39" spans="1:8" x14ac:dyDescent="0.2">
      <c r="A39" t="s">
        <v>79</v>
      </c>
      <c r="B39" t="s">
        <v>80</v>
      </c>
      <c r="C39" t="s">
        <v>71</v>
      </c>
      <c r="D39" t="s">
        <v>75</v>
      </c>
      <c r="E39" t="s">
        <v>81</v>
      </c>
      <c r="F39" t="s">
        <v>73</v>
      </c>
      <c r="G39" t="s">
        <v>82</v>
      </c>
      <c r="H39" t="s">
        <v>72</v>
      </c>
    </row>
    <row r="40" spans="1:8" x14ac:dyDescent="0.2">
      <c r="A40" t="str">
        <f>B31</f>
        <v>charging station, 3kW</v>
      </c>
      <c r="B40">
        <v>1</v>
      </c>
      <c r="C40" t="str">
        <f>B32</f>
        <v>GLO</v>
      </c>
      <c r="D40" t="str">
        <f>B35</f>
        <v>unit</v>
      </c>
      <c r="F40" t="s">
        <v>83</v>
      </c>
      <c r="G40" t="s">
        <v>84</v>
      </c>
      <c r="H40" t="str">
        <f>B33</f>
        <v>charging station, 3kW</v>
      </c>
    </row>
    <row r="41" spans="1:8" x14ac:dyDescent="0.2">
      <c r="A41" s="13" t="s">
        <v>172</v>
      </c>
      <c r="B41" s="5">
        <v>9.075</v>
      </c>
      <c r="C41" t="s">
        <v>94</v>
      </c>
      <c r="D41" t="s">
        <v>76</v>
      </c>
      <c r="F41" t="s">
        <v>88</v>
      </c>
      <c r="H41" t="s">
        <v>173</v>
      </c>
    </row>
    <row r="42" spans="1:8" x14ac:dyDescent="0.2">
      <c r="A42" s="13" t="s">
        <v>214</v>
      </c>
      <c r="B42" s="5">
        <f>15900*(B41/1000)</f>
        <v>47.7</v>
      </c>
      <c r="C42" t="s">
        <v>94</v>
      </c>
      <c r="D42" t="s">
        <v>191</v>
      </c>
      <c r="F42" t="s">
        <v>88</v>
      </c>
      <c r="H42" t="s">
        <v>214</v>
      </c>
    </row>
    <row r="43" spans="1:8" x14ac:dyDescent="0.2">
      <c r="A43" s="13" t="s">
        <v>443</v>
      </c>
      <c r="B43" s="5">
        <f>1000*(B41/1000)</f>
        <v>3</v>
      </c>
      <c r="C43" t="s">
        <v>91</v>
      </c>
      <c r="D43" t="s">
        <v>191</v>
      </c>
      <c r="F43" t="s">
        <v>88</v>
      </c>
      <c r="H43" t="s">
        <v>444</v>
      </c>
    </row>
    <row r="44" spans="1:8" x14ac:dyDescent="0.2">
      <c r="A44" t="s">
        <v>174</v>
      </c>
      <c r="B44" s="5">
        <f>-1*B41</f>
        <v>-3</v>
      </c>
      <c r="C44" t="s">
        <v>94</v>
      </c>
      <c r="D44" t="s">
        <v>76</v>
      </c>
      <c r="F44" t="s">
        <v>88</v>
      </c>
      <c r="H44" t="s">
        <v>175</v>
      </c>
    </row>
    <row r="46" spans="1:8" ht="16" x14ac:dyDescent="0.2">
      <c r="A46" s="10" t="s">
        <v>70</v>
      </c>
      <c r="B46" s="10" t="s">
        <v>540</v>
      </c>
    </row>
    <row r="47" spans="1:8" x14ac:dyDescent="0.2">
      <c r="A47" t="s">
        <v>82</v>
      </c>
      <c r="B47" t="s">
        <v>539</v>
      </c>
    </row>
    <row r="48" spans="1:8" x14ac:dyDescent="0.2">
      <c r="A48" t="s">
        <v>71</v>
      </c>
      <c r="B48" t="s">
        <v>94</v>
      </c>
    </row>
    <row r="49" spans="1:7" x14ac:dyDescent="0.2">
      <c r="A49" t="s">
        <v>176</v>
      </c>
      <c r="B49">
        <v>1</v>
      </c>
    </row>
    <row r="50" spans="1:7" x14ac:dyDescent="0.2">
      <c r="A50" t="s">
        <v>72</v>
      </c>
      <c r="B50" t="s">
        <v>540</v>
      </c>
    </row>
    <row r="51" spans="1:7" x14ac:dyDescent="0.2">
      <c r="A51" t="s">
        <v>75</v>
      </c>
      <c r="B51" t="s">
        <v>76</v>
      </c>
    </row>
    <row r="52" spans="1:7" ht="16" x14ac:dyDescent="0.2">
      <c r="A52" s="10" t="s">
        <v>78</v>
      </c>
    </row>
    <row r="53" spans="1:7" x14ac:dyDescent="0.2">
      <c r="A53" t="s">
        <v>79</v>
      </c>
      <c r="B53" t="s">
        <v>80</v>
      </c>
      <c r="C53" t="s">
        <v>178</v>
      </c>
      <c r="D53" t="s">
        <v>71</v>
      </c>
      <c r="E53" t="s">
        <v>75</v>
      </c>
      <c r="F53" t="s">
        <v>73</v>
      </c>
      <c r="G53" t="s">
        <v>72</v>
      </c>
    </row>
    <row r="54" spans="1:7" x14ac:dyDescent="0.2">
      <c r="A54" t="s">
        <v>540</v>
      </c>
      <c r="B54">
        <v>1</v>
      </c>
      <c r="C54" t="s">
        <v>177</v>
      </c>
      <c r="D54" t="s">
        <v>94</v>
      </c>
      <c r="E54" t="s">
        <v>76</v>
      </c>
      <c r="F54" t="s">
        <v>83</v>
      </c>
      <c r="G54" t="s">
        <v>540</v>
      </c>
    </row>
    <row r="55" spans="1:7" x14ac:dyDescent="0.2">
      <c r="A55" t="s">
        <v>181</v>
      </c>
      <c r="B55">
        <v>1.77</v>
      </c>
      <c r="C55" t="s">
        <v>182</v>
      </c>
      <c r="D55" t="s">
        <v>94</v>
      </c>
      <c r="E55" t="s">
        <v>76</v>
      </c>
      <c r="F55" t="s">
        <v>88</v>
      </c>
      <c r="G55" t="s">
        <v>183</v>
      </c>
    </row>
    <row r="56" spans="1:7" x14ac:dyDescent="0.2">
      <c r="A56" t="s">
        <v>179</v>
      </c>
      <c r="B56">
        <v>0.8</v>
      </c>
      <c r="C56" t="s">
        <v>182</v>
      </c>
      <c r="D56" t="s">
        <v>94</v>
      </c>
      <c r="E56" t="s">
        <v>76</v>
      </c>
      <c r="F56" t="s">
        <v>88</v>
      </c>
      <c r="G56" t="s">
        <v>180</v>
      </c>
    </row>
    <row r="57" spans="1:7" x14ac:dyDescent="0.2">
      <c r="A57" t="s">
        <v>200</v>
      </c>
      <c r="B57">
        <v>0.8</v>
      </c>
      <c r="C57" t="s">
        <v>182</v>
      </c>
      <c r="D57" t="s">
        <v>91</v>
      </c>
      <c r="E57" t="s">
        <v>76</v>
      </c>
      <c r="F57" t="s">
        <v>88</v>
      </c>
      <c r="G57" t="s">
        <v>200</v>
      </c>
    </row>
    <row r="58" spans="1:7" x14ac:dyDescent="0.2">
      <c r="A58" t="s">
        <v>181</v>
      </c>
      <c r="B58">
        <v>-3.57</v>
      </c>
      <c r="C58" t="s">
        <v>182</v>
      </c>
      <c r="D58" t="s">
        <v>94</v>
      </c>
      <c r="E58" t="s">
        <v>76</v>
      </c>
      <c r="F58" t="s">
        <v>88</v>
      </c>
      <c r="G58" t="s">
        <v>183</v>
      </c>
    </row>
    <row r="61" spans="1:7" ht="16" x14ac:dyDescent="0.2">
      <c r="A61" s="10" t="s">
        <v>70</v>
      </c>
      <c r="B61" s="10" t="s">
        <v>247</v>
      </c>
    </row>
    <row r="62" spans="1:7" x14ac:dyDescent="0.2">
      <c r="A62" t="s">
        <v>82</v>
      </c>
      <c r="B62" t="s">
        <v>84</v>
      </c>
    </row>
    <row r="63" spans="1:7" x14ac:dyDescent="0.2">
      <c r="A63" t="s">
        <v>71</v>
      </c>
      <c r="B63" t="s">
        <v>91</v>
      </c>
    </row>
    <row r="64" spans="1:7" x14ac:dyDescent="0.2">
      <c r="A64" t="s">
        <v>176</v>
      </c>
      <c r="B64">
        <v>1</v>
      </c>
    </row>
    <row r="65" spans="1:8" x14ac:dyDescent="0.2">
      <c r="A65" t="s">
        <v>72</v>
      </c>
      <c r="B65" t="s">
        <v>246</v>
      </c>
    </row>
    <row r="66" spans="1:8" x14ac:dyDescent="0.2">
      <c r="A66" t="s">
        <v>75</v>
      </c>
      <c r="B66" t="s">
        <v>75</v>
      </c>
    </row>
    <row r="67" spans="1:8" x14ac:dyDescent="0.2">
      <c r="A67" t="s">
        <v>82</v>
      </c>
      <c r="B67" t="s">
        <v>245</v>
      </c>
    </row>
    <row r="68" spans="1:8" ht="16" x14ac:dyDescent="0.2">
      <c r="A68" s="10" t="s">
        <v>78</v>
      </c>
    </row>
    <row r="69" spans="1:8" x14ac:dyDescent="0.2">
      <c r="A69" t="s">
        <v>79</v>
      </c>
      <c r="B69" t="s">
        <v>80</v>
      </c>
      <c r="C69" t="s">
        <v>178</v>
      </c>
      <c r="D69" t="s">
        <v>71</v>
      </c>
      <c r="E69" t="s">
        <v>81</v>
      </c>
      <c r="F69" t="s">
        <v>75</v>
      </c>
      <c r="G69" t="s">
        <v>73</v>
      </c>
      <c r="H69" t="s">
        <v>72</v>
      </c>
    </row>
    <row r="70" spans="1:8" x14ac:dyDescent="0.2">
      <c r="A70" t="s">
        <v>247</v>
      </c>
      <c r="B70">
        <v>1</v>
      </c>
      <c r="C70" t="s">
        <v>177</v>
      </c>
      <c r="D70" t="s">
        <v>91</v>
      </c>
      <c r="F70" t="s">
        <v>75</v>
      </c>
      <c r="G70" t="s">
        <v>83</v>
      </c>
      <c r="H70" t="s">
        <v>246</v>
      </c>
    </row>
    <row r="71" spans="1:8" x14ac:dyDescent="0.2">
      <c r="A71" t="s">
        <v>198</v>
      </c>
      <c r="B71">
        <v>4.6000000000000001E-10</v>
      </c>
      <c r="C71" t="s">
        <v>182</v>
      </c>
      <c r="D71" t="s">
        <v>94</v>
      </c>
      <c r="F71" t="s">
        <v>75</v>
      </c>
      <c r="G71" t="s">
        <v>88</v>
      </c>
      <c r="H71" t="s">
        <v>199</v>
      </c>
    </row>
    <row r="72" spans="1:8" x14ac:dyDescent="0.2">
      <c r="A72" t="s">
        <v>201</v>
      </c>
      <c r="B72">
        <v>1</v>
      </c>
      <c r="C72" t="s">
        <v>182</v>
      </c>
      <c r="D72" t="s">
        <v>94</v>
      </c>
      <c r="F72" t="s">
        <v>76</v>
      </c>
      <c r="G72" t="s">
        <v>88</v>
      </c>
      <c r="H72" t="s">
        <v>202</v>
      </c>
    </row>
    <row r="73" spans="1:8" x14ac:dyDescent="0.2">
      <c r="A73" t="s">
        <v>203</v>
      </c>
      <c r="B73">
        <v>1</v>
      </c>
      <c r="C73" t="s">
        <v>182</v>
      </c>
      <c r="D73" t="s">
        <v>94</v>
      </c>
      <c r="F73" t="s">
        <v>76</v>
      </c>
      <c r="G73" t="s">
        <v>88</v>
      </c>
      <c r="H73" t="s">
        <v>204</v>
      </c>
    </row>
    <row r="74" spans="1:8" x14ac:dyDescent="0.2">
      <c r="A74" t="s">
        <v>215</v>
      </c>
      <c r="B74">
        <v>1.9575</v>
      </c>
      <c r="C74" t="s">
        <v>182</v>
      </c>
      <c r="D74" t="s">
        <v>94</v>
      </c>
      <c r="F74" t="s">
        <v>76</v>
      </c>
      <c r="G74" t="s">
        <v>88</v>
      </c>
      <c r="H74" t="s">
        <v>114</v>
      </c>
    </row>
    <row r="75" spans="1:8" x14ac:dyDescent="0.2">
      <c r="A75" t="s">
        <v>197</v>
      </c>
      <c r="B75">
        <v>1.9575</v>
      </c>
      <c r="C75" t="s">
        <v>182</v>
      </c>
      <c r="D75" t="s">
        <v>91</v>
      </c>
      <c r="F75" t="s">
        <v>76</v>
      </c>
      <c r="G75" t="s">
        <v>88</v>
      </c>
      <c r="H75" t="s">
        <v>197</v>
      </c>
    </row>
    <row r="76" spans="1:8" x14ac:dyDescent="0.2">
      <c r="A76" t="s">
        <v>217</v>
      </c>
      <c r="B76" s="7">
        <v>1.3227E-9</v>
      </c>
      <c r="C76" t="s">
        <v>182</v>
      </c>
      <c r="D76" t="s">
        <v>91</v>
      </c>
      <c r="F76" t="s">
        <v>75</v>
      </c>
      <c r="G76" t="s">
        <v>88</v>
      </c>
      <c r="H76" t="s">
        <v>216</v>
      </c>
    </row>
    <row r="77" spans="1:8" x14ac:dyDescent="0.2">
      <c r="A77" t="s">
        <v>219</v>
      </c>
      <c r="B77">
        <v>-4.5</v>
      </c>
      <c r="C77" t="s">
        <v>182</v>
      </c>
      <c r="D77" t="s">
        <v>91</v>
      </c>
      <c r="F77" t="s">
        <v>76</v>
      </c>
      <c r="G77" t="s">
        <v>88</v>
      </c>
      <c r="H77" t="s">
        <v>218</v>
      </c>
    </row>
    <row r="78" spans="1:8" x14ac:dyDescent="0.2">
      <c r="A78" t="s">
        <v>220</v>
      </c>
      <c r="B78">
        <v>13.580249999999999</v>
      </c>
      <c r="C78" t="s">
        <v>182</v>
      </c>
      <c r="D78" t="s">
        <v>91</v>
      </c>
      <c r="F78" t="s">
        <v>189</v>
      </c>
      <c r="G78" t="s">
        <v>88</v>
      </c>
      <c r="H78" t="s">
        <v>193</v>
      </c>
    </row>
    <row r="79" spans="1:8" x14ac:dyDescent="0.2">
      <c r="A79" t="s">
        <v>221</v>
      </c>
      <c r="B79">
        <v>5.1220999999999997</v>
      </c>
      <c r="C79" t="s">
        <v>182</v>
      </c>
      <c r="D79" t="s">
        <v>94</v>
      </c>
      <c r="F79" t="s">
        <v>76</v>
      </c>
      <c r="G79" t="s">
        <v>88</v>
      </c>
      <c r="H79" t="s">
        <v>190</v>
      </c>
    </row>
    <row r="80" spans="1:8" x14ac:dyDescent="0.2">
      <c r="A80" t="s">
        <v>222</v>
      </c>
      <c r="B80">
        <v>0.33750000000000002</v>
      </c>
      <c r="C80" t="s">
        <v>182</v>
      </c>
      <c r="D80" t="s">
        <v>91</v>
      </c>
      <c r="F80" t="s">
        <v>76</v>
      </c>
      <c r="G80" t="s">
        <v>88</v>
      </c>
      <c r="H80" t="s">
        <v>222</v>
      </c>
    </row>
    <row r="81" spans="1:8" x14ac:dyDescent="0.2">
      <c r="A81" t="s">
        <v>192</v>
      </c>
      <c r="B81">
        <v>6.8902000000000001</v>
      </c>
      <c r="C81" t="s">
        <v>182</v>
      </c>
      <c r="D81" t="s">
        <v>91</v>
      </c>
      <c r="F81" t="s">
        <v>95</v>
      </c>
      <c r="G81" t="s">
        <v>88</v>
      </c>
      <c r="H81" t="s">
        <v>121</v>
      </c>
    </row>
    <row r="82" spans="1:8" x14ac:dyDescent="0.2">
      <c r="A82" t="s">
        <v>181</v>
      </c>
      <c r="B82">
        <v>4.9024999999999999</v>
      </c>
      <c r="C82" t="s">
        <v>182</v>
      </c>
      <c r="D82" t="s">
        <v>94</v>
      </c>
      <c r="F82" t="s">
        <v>76</v>
      </c>
      <c r="G82" t="s">
        <v>88</v>
      </c>
      <c r="H82" t="s">
        <v>183</v>
      </c>
    </row>
    <row r="83" spans="1:8" x14ac:dyDescent="0.2">
      <c r="A83" t="s">
        <v>223</v>
      </c>
      <c r="B83">
        <v>3.7663000000000002</v>
      </c>
      <c r="C83" t="s">
        <v>182</v>
      </c>
      <c r="D83" t="s">
        <v>91</v>
      </c>
      <c r="F83" t="s">
        <v>76</v>
      </c>
      <c r="G83" t="s">
        <v>88</v>
      </c>
      <c r="H83" t="s">
        <v>223</v>
      </c>
    </row>
    <row r="84" spans="1:8" x14ac:dyDescent="0.2">
      <c r="A84" t="s">
        <v>227</v>
      </c>
      <c r="B84">
        <v>0.19269800000000001</v>
      </c>
      <c r="C84" t="s">
        <v>182</v>
      </c>
      <c r="D84" t="s">
        <v>91</v>
      </c>
      <c r="F84" t="s">
        <v>189</v>
      </c>
      <c r="G84" t="s">
        <v>88</v>
      </c>
      <c r="H84" t="s">
        <v>226</v>
      </c>
    </row>
    <row r="85" spans="1:8" x14ac:dyDescent="0.2">
      <c r="A85" t="s">
        <v>229</v>
      </c>
      <c r="B85">
        <v>0.74399999999999999</v>
      </c>
      <c r="C85" t="s">
        <v>182</v>
      </c>
      <c r="D85" t="s">
        <v>91</v>
      </c>
      <c r="F85" t="s">
        <v>76</v>
      </c>
      <c r="G85" t="s">
        <v>88</v>
      </c>
      <c r="H85" t="s">
        <v>228</v>
      </c>
    </row>
    <row r="86" spans="1:8" x14ac:dyDescent="0.2">
      <c r="A86" t="s">
        <v>231</v>
      </c>
      <c r="B86">
        <v>2.4104000000000001</v>
      </c>
      <c r="C86" t="s">
        <v>182</v>
      </c>
      <c r="D86" t="s">
        <v>94</v>
      </c>
      <c r="F86" t="s">
        <v>76</v>
      </c>
      <c r="G86" t="s">
        <v>88</v>
      </c>
      <c r="H86" t="s">
        <v>230</v>
      </c>
    </row>
    <row r="87" spans="1:8" x14ac:dyDescent="0.2">
      <c r="A87" t="s">
        <v>233</v>
      </c>
      <c r="B87">
        <v>0.03</v>
      </c>
      <c r="C87" t="s">
        <v>182</v>
      </c>
      <c r="D87" t="s">
        <v>91</v>
      </c>
      <c r="F87" t="s">
        <v>76</v>
      </c>
      <c r="G87" t="s">
        <v>88</v>
      </c>
      <c r="H87" t="s">
        <v>232</v>
      </c>
    </row>
    <row r="88" spans="1:8" x14ac:dyDescent="0.2">
      <c r="A88" t="s">
        <v>195</v>
      </c>
      <c r="B88">
        <v>0.5625</v>
      </c>
      <c r="C88" t="s">
        <v>182</v>
      </c>
      <c r="D88" t="s">
        <v>94</v>
      </c>
      <c r="F88" t="s">
        <v>76</v>
      </c>
      <c r="G88" t="s">
        <v>88</v>
      </c>
      <c r="H88" t="s">
        <v>196</v>
      </c>
    </row>
    <row r="89" spans="1:8" x14ac:dyDescent="0.2">
      <c r="A89" t="s">
        <v>235</v>
      </c>
      <c r="B89">
        <v>1.59</v>
      </c>
      <c r="C89" t="s">
        <v>182</v>
      </c>
      <c r="D89" t="s">
        <v>94</v>
      </c>
      <c r="F89" t="s">
        <v>76</v>
      </c>
      <c r="G89" t="s">
        <v>88</v>
      </c>
      <c r="H89" t="s">
        <v>234</v>
      </c>
    </row>
    <row r="90" spans="1:8" x14ac:dyDescent="0.2">
      <c r="A90" t="s">
        <v>237</v>
      </c>
      <c r="B90">
        <v>0.35</v>
      </c>
      <c r="C90" t="s">
        <v>182</v>
      </c>
      <c r="D90" t="s">
        <v>91</v>
      </c>
      <c r="F90" t="s">
        <v>209</v>
      </c>
      <c r="G90" t="s">
        <v>88</v>
      </c>
      <c r="H90" t="s">
        <v>236</v>
      </c>
    </row>
    <row r="91" spans="1:8" x14ac:dyDescent="0.2">
      <c r="A91" t="s">
        <v>239</v>
      </c>
      <c r="B91">
        <v>0.159</v>
      </c>
      <c r="C91" t="s">
        <v>182</v>
      </c>
      <c r="D91" t="s">
        <v>91</v>
      </c>
      <c r="F91" t="s">
        <v>76</v>
      </c>
      <c r="G91" t="s">
        <v>88</v>
      </c>
      <c r="H91" t="s">
        <v>238</v>
      </c>
    </row>
    <row r="92" spans="1:8" x14ac:dyDescent="0.2">
      <c r="A92" t="s">
        <v>241</v>
      </c>
      <c r="B92">
        <v>0.75</v>
      </c>
      <c r="C92" t="s">
        <v>182</v>
      </c>
      <c r="D92" t="s">
        <v>91</v>
      </c>
      <c r="F92" t="s">
        <v>240</v>
      </c>
      <c r="G92" t="s">
        <v>88</v>
      </c>
      <c r="H92" t="s">
        <v>241</v>
      </c>
    </row>
    <row r="93" spans="1:8" x14ac:dyDescent="0.2">
      <c r="A93" t="s">
        <v>243</v>
      </c>
      <c r="B93">
        <v>-6.7137031720422395E-4</v>
      </c>
      <c r="C93" t="s">
        <v>182</v>
      </c>
      <c r="D93" t="s">
        <v>194</v>
      </c>
      <c r="F93" t="s">
        <v>208</v>
      </c>
      <c r="G93" t="s">
        <v>88</v>
      </c>
      <c r="H93" t="s">
        <v>242</v>
      </c>
    </row>
    <row r="94" spans="1:8" x14ac:dyDescent="0.2">
      <c r="A94" t="s">
        <v>243</v>
      </c>
      <c r="B94" s="7">
        <v>-7.2629682795775403E-5</v>
      </c>
      <c r="C94" t="s">
        <v>182</v>
      </c>
      <c r="D94" t="s">
        <v>37</v>
      </c>
      <c r="F94" t="s">
        <v>208</v>
      </c>
      <c r="G94" t="s">
        <v>88</v>
      </c>
      <c r="H94" t="s">
        <v>242</v>
      </c>
    </row>
    <row r="95" spans="1:8" x14ac:dyDescent="0.2">
      <c r="A95" t="s">
        <v>244</v>
      </c>
      <c r="B95">
        <v>1.116E-4</v>
      </c>
      <c r="C95" t="s">
        <v>206</v>
      </c>
      <c r="E95" t="s">
        <v>161</v>
      </c>
      <c r="F95" t="s">
        <v>208</v>
      </c>
      <c r="G95" t="s">
        <v>163</v>
      </c>
    </row>
    <row r="98" spans="1:8" ht="16" x14ac:dyDescent="0.2">
      <c r="A98" s="10" t="s">
        <v>70</v>
      </c>
      <c r="B98" s="10" t="s">
        <v>248</v>
      </c>
    </row>
    <row r="99" spans="1:8" x14ac:dyDescent="0.2">
      <c r="A99" t="s">
        <v>82</v>
      </c>
      <c r="B99" t="s">
        <v>84</v>
      </c>
    </row>
    <row r="100" spans="1:8" x14ac:dyDescent="0.2">
      <c r="A100" t="s">
        <v>71</v>
      </c>
      <c r="B100" t="s">
        <v>37</v>
      </c>
    </row>
    <row r="101" spans="1:8" x14ac:dyDescent="0.2">
      <c r="A101" t="s">
        <v>176</v>
      </c>
      <c r="B101">
        <v>1</v>
      </c>
    </row>
    <row r="102" spans="1:8" x14ac:dyDescent="0.2">
      <c r="A102" t="s">
        <v>72</v>
      </c>
      <c r="B102" t="s">
        <v>248</v>
      </c>
    </row>
    <row r="103" spans="1:8" x14ac:dyDescent="0.2">
      <c r="A103" t="s">
        <v>75</v>
      </c>
      <c r="B103" t="s">
        <v>75</v>
      </c>
    </row>
    <row r="104" spans="1:8" x14ac:dyDescent="0.2">
      <c r="A104" t="s">
        <v>82</v>
      </c>
      <c r="B104" t="s">
        <v>257</v>
      </c>
    </row>
    <row r="105" spans="1:8" ht="16" x14ac:dyDescent="0.2">
      <c r="A105" s="10" t="s">
        <v>78</v>
      </c>
    </row>
    <row r="106" spans="1:8" x14ac:dyDescent="0.2">
      <c r="A106" t="s">
        <v>79</v>
      </c>
      <c r="B106" t="s">
        <v>80</v>
      </c>
      <c r="C106" t="s">
        <v>178</v>
      </c>
      <c r="D106" t="s">
        <v>71</v>
      </c>
      <c r="E106" t="s">
        <v>81</v>
      </c>
      <c r="F106" t="s">
        <v>75</v>
      </c>
      <c r="G106" t="s">
        <v>73</v>
      </c>
      <c r="H106" t="s">
        <v>72</v>
      </c>
    </row>
    <row r="107" spans="1:8" x14ac:dyDescent="0.2">
      <c r="A107" t="s">
        <v>248</v>
      </c>
      <c r="B107">
        <v>1</v>
      </c>
      <c r="C107" t="s">
        <v>177</v>
      </c>
      <c r="D107" t="s">
        <v>37</v>
      </c>
      <c r="F107" t="s">
        <v>75</v>
      </c>
      <c r="G107" t="s">
        <v>83</v>
      </c>
      <c r="H107" t="s">
        <v>248</v>
      </c>
    </row>
    <row r="108" spans="1:8" x14ac:dyDescent="0.2">
      <c r="A108" t="s">
        <v>250</v>
      </c>
      <c r="B108">
        <v>0.37662000000000001</v>
      </c>
      <c r="C108" t="s">
        <v>256</v>
      </c>
      <c r="D108" t="s">
        <v>94</v>
      </c>
      <c r="F108" t="s">
        <v>76</v>
      </c>
      <c r="G108" t="s">
        <v>88</v>
      </c>
      <c r="H108" t="s">
        <v>249</v>
      </c>
    </row>
    <row r="109" spans="1:8" x14ac:dyDescent="0.2">
      <c r="A109" t="s">
        <v>239</v>
      </c>
      <c r="B109">
        <v>0.22825000000000001</v>
      </c>
      <c r="C109" t="s">
        <v>256</v>
      </c>
      <c r="D109" t="s">
        <v>91</v>
      </c>
      <c r="F109" t="s">
        <v>76</v>
      </c>
      <c r="G109" t="s">
        <v>88</v>
      </c>
      <c r="H109" t="s">
        <v>238</v>
      </c>
    </row>
    <row r="110" spans="1:8" x14ac:dyDescent="0.2">
      <c r="A110" t="s">
        <v>252</v>
      </c>
      <c r="B110">
        <v>-1.0087999999999999</v>
      </c>
      <c r="C110" t="s">
        <v>256</v>
      </c>
      <c r="D110" t="s">
        <v>37</v>
      </c>
      <c r="F110" t="s">
        <v>76</v>
      </c>
      <c r="G110" t="s">
        <v>88</v>
      </c>
      <c r="H110" t="s">
        <v>251</v>
      </c>
    </row>
    <row r="111" spans="1:8" x14ac:dyDescent="0.2">
      <c r="A111" t="s">
        <v>197</v>
      </c>
      <c r="B111">
        <v>0.97875000000000001</v>
      </c>
      <c r="C111" t="s">
        <v>256</v>
      </c>
      <c r="D111" t="s">
        <v>91</v>
      </c>
      <c r="F111" t="s">
        <v>76</v>
      </c>
      <c r="G111" t="s">
        <v>88</v>
      </c>
      <c r="H111" t="s">
        <v>197</v>
      </c>
    </row>
    <row r="112" spans="1:8" x14ac:dyDescent="0.2">
      <c r="A112" t="s">
        <v>195</v>
      </c>
      <c r="B112">
        <v>1.6875</v>
      </c>
      <c r="C112" t="s">
        <v>256</v>
      </c>
      <c r="D112" t="s">
        <v>94</v>
      </c>
      <c r="F112" t="s">
        <v>76</v>
      </c>
      <c r="G112" t="s">
        <v>88</v>
      </c>
      <c r="H112" t="s">
        <v>196</v>
      </c>
    </row>
    <row r="113" spans="1:8" x14ac:dyDescent="0.2">
      <c r="A113" t="s">
        <v>233</v>
      </c>
      <c r="B113">
        <v>0.03</v>
      </c>
      <c r="C113" t="s">
        <v>256</v>
      </c>
      <c r="D113" t="s">
        <v>91</v>
      </c>
      <c r="F113" t="s">
        <v>76</v>
      </c>
      <c r="G113" t="s">
        <v>88</v>
      </c>
      <c r="H113" t="s">
        <v>232</v>
      </c>
    </row>
    <row r="114" spans="1:8" x14ac:dyDescent="0.2">
      <c r="A114" t="s">
        <v>215</v>
      </c>
      <c r="B114">
        <v>0.97875000000000001</v>
      </c>
      <c r="C114" t="s">
        <v>256</v>
      </c>
      <c r="D114" t="s">
        <v>94</v>
      </c>
      <c r="F114" t="s">
        <v>76</v>
      </c>
      <c r="G114" t="s">
        <v>88</v>
      </c>
      <c r="H114" t="s">
        <v>114</v>
      </c>
    </row>
    <row r="115" spans="1:8" x14ac:dyDescent="0.2">
      <c r="A115" t="s">
        <v>254</v>
      </c>
      <c r="B115">
        <v>-0.84375</v>
      </c>
      <c r="C115" t="s">
        <v>256</v>
      </c>
      <c r="D115" t="s">
        <v>37</v>
      </c>
      <c r="F115" t="s">
        <v>76</v>
      </c>
      <c r="G115" t="s">
        <v>88</v>
      </c>
      <c r="H115" t="s">
        <v>253</v>
      </c>
    </row>
    <row r="116" spans="1:8" x14ac:dyDescent="0.2">
      <c r="A116" t="s">
        <v>255</v>
      </c>
      <c r="B116">
        <v>7.4399999999999994E-2</v>
      </c>
      <c r="C116" t="s">
        <v>256</v>
      </c>
      <c r="D116" t="s">
        <v>37</v>
      </c>
      <c r="F116" t="s">
        <v>76</v>
      </c>
      <c r="G116" t="s">
        <v>88</v>
      </c>
      <c r="H116" t="s">
        <v>228</v>
      </c>
    </row>
    <row r="117" spans="1:8" x14ac:dyDescent="0.2">
      <c r="A117" t="s">
        <v>181</v>
      </c>
      <c r="B117">
        <v>0.22825000000000001</v>
      </c>
      <c r="C117" t="s">
        <v>256</v>
      </c>
      <c r="D117" t="s">
        <v>94</v>
      </c>
      <c r="F117" t="s">
        <v>76</v>
      </c>
      <c r="G117" t="s">
        <v>88</v>
      </c>
      <c r="H117" t="s">
        <v>183</v>
      </c>
    </row>
    <row r="118" spans="1:8" x14ac:dyDescent="0.2">
      <c r="A118" t="s">
        <v>223</v>
      </c>
      <c r="B118">
        <v>0.37662000000000001</v>
      </c>
      <c r="C118" t="s">
        <v>256</v>
      </c>
      <c r="D118" t="s">
        <v>91</v>
      </c>
      <c r="F118" t="s">
        <v>76</v>
      </c>
      <c r="G118" t="s">
        <v>88</v>
      </c>
      <c r="H118" t="s">
        <v>223</v>
      </c>
    </row>
    <row r="119" spans="1:8" x14ac:dyDescent="0.2">
      <c r="A119" t="s">
        <v>244</v>
      </c>
      <c r="B119" s="7">
        <v>6.3239999999999998E-5</v>
      </c>
      <c r="C119" t="s">
        <v>206</v>
      </c>
      <c r="E119" t="s">
        <v>205</v>
      </c>
      <c r="F119" t="s">
        <v>208</v>
      </c>
      <c r="G119" t="s">
        <v>163</v>
      </c>
    </row>
    <row r="120" spans="1:8" x14ac:dyDescent="0.2">
      <c r="A120" t="s">
        <v>244</v>
      </c>
      <c r="B120" s="7">
        <v>1.116E-5</v>
      </c>
      <c r="C120" t="s">
        <v>206</v>
      </c>
      <c r="E120" t="s">
        <v>161</v>
      </c>
      <c r="F120" t="s">
        <v>208</v>
      </c>
      <c r="G120" t="s">
        <v>163</v>
      </c>
    </row>
    <row r="122" spans="1:8" ht="16" x14ac:dyDescent="0.2">
      <c r="A122" s="10" t="s">
        <v>70</v>
      </c>
      <c r="B122" s="21" t="s">
        <v>451</v>
      </c>
    </row>
    <row r="123" spans="1:8" x14ac:dyDescent="0.2">
      <c r="A123" t="s">
        <v>71</v>
      </c>
      <c r="B123" s="7" t="s">
        <v>37</v>
      </c>
    </row>
    <row r="124" spans="1:8" x14ac:dyDescent="0.2">
      <c r="A124" t="s">
        <v>176</v>
      </c>
      <c r="B124" s="7">
        <v>1</v>
      </c>
    </row>
    <row r="125" spans="1:8" ht="16" x14ac:dyDescent="0.2">
      <c r="A125" t="s">
        <v>72</v>
      </c>
      <c r="B125" s="22" t="s">
        <v>452</v>
      </c>
    </row>
    <row r="126" spans="1:8" x14ac:dyDescent="0.2">
      <c r="A126" t="s">
        <v>77</v>
      </c>
      <c r="B126" s="7" t="s">
        <v>453</v>
      </c>
    </row>
    <row r="127" spans="1:8" x14ac:dyDescent="0.2">
      <c r="A127" t="s">
        <v>73</v>
      </c>
      <c r="B127" s="7" t="s">
        <v>74</v>
      </c>
    </row>
    <row r="128" spans="1:8" x14ac:dyDescent="0.2">
      <c r="A128" t="s">
        <v>75</v>
      </c>
      <c r="B128" s="7" t="s">
        <v>76</v>
      </c>
    </row>
    <row r="129" spans="1:8" ht="16" x14ac:dyDescent="0.2">
      <c r="A129" s="10" t="s">
        <v>78</v>
      </c>
      <c r="B129" s="7"/>
    </row>
    <row r="130" spans="1:8" x14ac:dyDescent="0.2">
      <c r="A130" t="s">
        <v>79</v>
      </c>
      <c r="B130" s="7" t="s">
        <v>80</v>
      </c>
      <c r="C130" t="s">
        <v>71</v>
      </c>
      <c r="D130" t="s">
        <v>75</v>
      </c>
      <c r="E130" t="s">
        <v>81</v>
      </c>
      <c r="F130" t="s">
        <v>73</v>
      </c>
      <c r="G130" t="s">
        <v>72</v>
      </c>
    </row>
    <row r="131" spans="1:8" x14ac:dyDescent="0.2">
      <c r="A131" t="s">
        <v>451</v>
      </c>
      <c r="B131" s="7">
        <v>1</v>
      </c>
      <c r="C131" t="s">
        <v>37</v>
      </c>
      <c r="D131" t="s">
        <v>76</v>
      </c>
      <c r="F131" t="s">
        <v>83</v>
      </c>
      <c r="G131" t="s">
        <v>452</v>
      </c>
    </row>
    <row r="132" spans="1:8" x14ac:dyDescent="0.2">
      <c r="A132" t="s">
        <v>449</v>
      </c>
      <c r="B132" s="7">
        <v>1.2E-2</v>
      </c>
      <c r="C132" t="s">
        <v>91</v>
      </c>
      <c r="D132" t="s">
        <v>76</v>
      </c>
      <c r="F132" t="s">
        <v>88</v>
      </c>
      <c r="G132" t="s">
        <v>450</v>
      </c>
    </row>
    <row r="133" spans="1:8" x14ac:dyDescent="0.2">
      <c r="A133" t="s">
        <v>96</v>
      </c>
      <c r="B133" s="7">
        <f>1-B132</f>
        <v>0.98799999999999999</v>
      </c>
      <c r="C133" t="s">
        <v>37</v>
      </c>
      <c r="D133" t="s">
        <v>76</v>
      </c>
      <c r="F133" t="s">
        <v>88</v>
      </c>
      <c r="G133" t="s">
        <v>98</v>
      </c>
    </row>
    <row r="136" spans="1:8" ht="16" x14ac:dyDescent="0.2">
      <c r="A136" s="10" t="s">
        <v>70</v>
      </c>
      <c r="B136" s="10" t="s">
        <v>965</v>
      </c>
    </row>
    <row r="137" spans="1:8" x14ac:dyDescent="0.2">
      <c r="A137" t="s">
        <v>82</v>
      </c>
      <c r="B137" t="s">
        <v>84</v>
      </c>
    </row>
    <row r="138" spans="1:8" x14ac:dyDescent="0.2">
      <c r="A138" t="s">
        <v>71</v>
      </c>
      <c r="B138" t="s">
        <v>91</v>
      </c>
    </row>
    <row r="139" spans="1:8" x14ac:dyDescent="0.2">
      <c r="A139" t="s">
        <v>176</v>
      </c>
      <c r="B139">
        <v>1</v>
      </c>
    </row>
    <row r="140" spans="1:8" x14ac:dyDescent="0.2">
      <c r="A140" t="s">
        <v>72</v>
      </c>
      <c r="B140" t="s">
        <v>966</v>
      </c>
    </row>
    <row r="141" spans="1:8" x14ac:dyDescent="0.2">
      <c r="A141" t="s">
        <v>75</v>
      </c>
      <c r="B141" t="s">
        <v>75</v>
      </c>
    </row>
    <row r="142" spans="1:8" x14ac:dyDescent="0.2">
      <c r="A142" t="s">
        <v>82</v>
      </c>
      <c r="B142" t="s">
        <v>967</v>
      </c>
    </row>
    <row r="143" spans="1:8" ht="16" x14ac:dyDescent="0.2">
      <c r="A143" s="10" t="s">
        <v>78</v>
      </c>
    </row>
    <row r="144" spans="1:8" x14ac:dyDescent="0.2">
      <c r="A144" t="s">
        <v>79</v>
      </c>
      <c r="B144" t="s">
        <v>80</v>
      </c>
      <c r="C144" t="s">
        <v>178</v>
      </c>
      <c r="D144" t="s">
        <v>71</v>
      </c>
      <c r="E144" t="s">
        <v>81</v>
      </c>
      <c r="F144" t="s">
        <v>75</v>
      </c>
      <c r="G144" t="s">
        <v>73</v>
      </c>
      <c r="H144" t="s">
        <v>72</v>
      </c>
    </row>
    <row r="145" spans="1:8" x14ac:dyDescent="0.2">
      <c r="A145" t="s">
        <v>965</v>
      </c>
      <c r="B145">
        <v>1</v>
      </c>
      <c r="C145" t="s">
        <v>177</v>
      </c>
      <c r="D145" t="s">
        <v>91</v>
      </c>
      <c r="F145" t="s">
        <v>75</v>
      </c>
      <c r="G145" t="s">
        <v>83</v>
      </c>
      <c r="H145" t="s">
        <v>966</v>
      </c>
    </row>
    <row r="146" spans="1:8" x14ac:dyDescent="0.2">
      <c r="A146" t="s">
        <v>198</v>
      </c>
      <c r="B146">
        <v>4.6000000000000001E-10</v>
      </c>
      <c r="C146" t="s">
        <v>182</v>
      </c>
      <c r="D146" t="s">
        <v>94</v>
      </c>
      <c r="F146" t="s">
        <v>75</v>
      </c>
      <c r="G146" t="s">
        <v>88</v>
      </c>
      <c r="H146" t="s">
        <v>199</v>
      </c>
    </row>
    <row r="147" spans="1:8" x14ac:dyDescent="0.2">
      <c r="A147" t="s">
        <v>201</v>
      </c>
      <c r="B147">
        <v>1</v>
      </c>
      <c r="C147" t="s">
        <v>182</v>
      </c>
      <c r="D147" t="s">
        <v>94</v>
      </c>
      <c r="F147" t="s">
        <v>76</v>
      </c>
      <c r="G147" t="s">
        <v>88</v>
      </c>
      <c r="H147" t="s">
        <v>202</v>
      </c>
    </row>
    <row r="148" spans="1:8" x14ac:dyDescent="0.2">
      <c r="A148" t="s">
        <v>203</v>
      </c>
      <c r="B148">
        <v>1</v>
      </c>
      <c r="C148" t="s">
        <v>182</v>
      </c>
      <c r="D148" t="s">
        <v>94</v>
      </c>
      <c r="F148" t="s">
        <v>76</v>
      </c>
      <c r="G148" t="s">
        <v>88</v>
      </c>
      <c r="H148" t="s">
        <v>204</v>
      </c>
    </row>
    <row r="149" spans="1:8" x14ac:dyDescent="0.2">
      <c r="A149" t="s">
        <v>215</v>
      </c>
      <c r="B149">
        <v>1.9575</v>
      </c>
      <c r="C149" t="s">
        <v>182</v>
      </c>
      <c r="D149" t="s">
        <v>94</v>
      </c>
      <c r="F149" t="s">
        <v>76</v>
      </c>
      <c r="G149" t="s">
        <v>88</v>
      </c>
      <c r="H149" t="s">
        <v>114</v>
      </c>
    </row>
    <row r="150" spans="1:8" x14ac:dyDescent="0.2">
      <c r="A150" t="s">
        <v>197</v>
      </c>
      <c r="B150">
        <v>1.9575</v>
      </c>
      <c r="C150" t="s">
        <v>182</v>
      </c>
      <c r="D150" t="s">
        <v>91</v>
      </c>
      <c r="F150" t="s">
        <v>76</v>
      </c>
      <c r="G150" t="s">
        <v>88</v>
      </c>
      <c r="H150" t="s">
        <v>197</v>
      </c>
    </row>
    <row r="151" spans="1:8" x14ac:dyDescent="0.2">
      <c r="A151" t="s">
        <v>217</v>
      </c>
      <c r="B151" s="7">
        <v>1.3227E-9</v>
      </c>
      <c r="C151" t="s">
        <v>182</v>
      </c>
      <c r="D151" t="s">
        <v>91</v>
      </c>
      <c r="F151" t="s">
        <v>75</v>
      </c>
      <c r="G151" t="s">
        <v>88</v>
      </c>
      <c r="H151" t="s">
        <v>216</v>
      </c>
    </row>
    <row r="152" spans="1:8" x14ac:dyDescent="0.2">
      <c r="A152" t="s">
        <v>219</v>
      </c>
      <c r="B152">
        <v>-4.5</v>
      </c>
      <c r="C152" t="s">
        <v>182</v>
      </c>
      <c r="D152" t="s">
        <v>91</v>
      </c>
      <c r="F152" t="s">
        <v>76</v>
      </c>
      <c r="G152" t="s">
        <v>88</v>
      </c>
      <c r="H152" t="s">
        <v>218</v>
      </c>
    </row>
    <row r="153" spans="1:8" x14ac:dyDescent="0.2">
      <c r="A153" t="s">
        <v>220</v>
      </c>
      <c r="B153">
        <v>13.580249999999999</v>
      </c>
      <c r="C153" t="s">
        <v>182</v>
      </c>
      <c r="D153" t="s">
        <v>91</v>
      </c>
      <c r="F153" t="s">
        <v>189</v>
      </c>
      <c r="G153" t="s">
        <v>88</v>
      </c>
      <c r="H153" t="s">
        <v>193</v>
      </c>
    </row>
    <row r="154" spans="1:8" x14ac:dyDescent="0.2">
      <c r="A154" t="s">
        <v>221</v>
      </c>
      <c r="B154">
        <v>5.1220999999999997</v>
      </c>
      <c r="C154" t="s">
        <v>182</v>
      </c>
      <c r="D154" t="s">
        <v>94</v>
      </c>
      <c r="F154" t="s">
        <v>76</v>
      </c>
      <c r="G154" t="s">
        <v>88</v>
      </c>
      <c r="H154" t="s">
        <v>190</v>
      </c>
    </row>
    <row r="155" spans="1:8" x14ac:dyDescent="0.2">
      <c r="A155" t="s">
        <v>222</v>
      </c>
      <c r="B155">
        <v>0.33750000000000002</v>
      </c>
      <c r="C155" t="s">
        <v>182</v>
      </c>
      <c r="D155" t="s">
        <v>91</v>
      </c>
      <c r="F155" t="s">
        <v>76</v>
      </c>
      <c r="G155" t="s">
        <v>88</v>
      </c>
      <c r="H155" t="s">
        <v>222</v>
      </c>
    </row>
    <row r="156" spans="1:8" x14ac:dyDescent="0.2">
      <c r="A156" t="s">
        <v>192</v>
      </c>
      <c r="B156">
        <v>6.8902000000000001</v>
      </c>
      <c r="C156" t="s">
        <v>182</v>
      </c>
      <c r="D156" t="s">
        <v>91</v>
      </c>
      <c r="F156" t="s">
        <v>95</v>
      </c>
      <c r="G156" t="s">
        <v>88</v>
      </c>
      <c r="H156" t="s">
        <v>121</v>
      </c>
    </row>
    <row r="157" spans="1:8" x14ac:dyDescent="0.2">
      <c r="A157" t="s">
        <v>181</v>
      </c>
      <c r="B157">
        <v>12.5</v>
      </c>
      <c r="C157" t="s">
        <v>182</v>
      </c>
      <c r="D157" t="s">
        <v>94</v>
      </c>
      <c r="F157" t="s">
        <v>76</v>
      </c>
      <c r="G157" t="s">
        <v>88</v>
      </c>
      <c r="H157" t="s">
        <v>183</v>
      </c>
    </row>
    <row r="158" spans="1:8" x14ac:dyDescent="0.2">
      <c r="A158" t="s">
        <v>223</v>
      </c>
      <c r="B158">
        <v>3.7663000000000002</v>
      </c>
      <c r="C158" t="s">
        <v>182</v>
      </c>
      <c r="D158" t="s">
        <v>91</v>
      </c>
      <c r="F158" t="s">
        <v>76</v>
      </c>
      <c r="G158" t="s">
        <v>88</v>
      </c>
      <c r="H158" t="s">
        <v>223</v>
      </c>
    </row>
    <row r="159" spans="1:8" x14ac:dyDescent="0.2">
      <c r="A159" t="s">
        <v>227</v>
      </c>
      <c r="B159">
        <v>0.19269800000000001</v>
      </c>
      <c r="C159" t="s">
        <v>182</v>
      </c>
      <c r="D159" t="s">
        <v>91</v>
      </c>
      <c r="F159" t="s">
        <v>189</v>
      </c>
      <c r="G159" t="s">
        <v>88</v>
      </c>
      <c r="H159" t="s">
        <v>226</v>
      </c>
    </row>
    <row r="160" spans="1:8" x14ac:dyDescent="0.2">
      <c r="A160" t="s">
        <v>229</v>
      </c>
      <c r="B160">
        <v>0.74399999999999999</v>
      </c>
      <c r="C160" t="s">
        <v>182</v>
      </c>
      <c r="D160" t="s">
        <v>91</v>
      </c>
      <c r="F160" t="s">
        <v>76</v>
      </c>
      <c r="G160" t="s">
        <v>88</v>
      </c>
      <c r="H160" t="s">
        <v>228</v>
      </c>
    </row>
    <row r="161" spans="1:8" x14ac:dyDescent="0.2">
      <c r="A161" t="s">
        <v>231</v>
      </c>
      <c r="B161">
        <v>2.4104000000000001</v>
      </c>
      <c r="C161" t="s">
        <v>182</v>
      </c>
      <c r="D161" t="s">
        <v>94</v>
      </c>
      <c r="F161" t="s">
        <v>76</v>
      </c>
      <c r="G161" t="s">
        <v>88</v>
      </c>
      <c r="H161" t="s">
        <v>230</v>
      </c>
    </row>
    <row r="162" spans="1:8" x14ac:dyDescent="0.2">
      <c r="A162" t="s">
        <v>233</v>
      </c>
      <c r="B162">
        <v>0.03</v>
      </c>
      <c r="C162" t="s">
        <v>182</v>
      </c>
      <c r="D162" t="s">
        <v>91</v>
      </c>
      <c r="F162" t="s">
        <v>76</v>
      </c>
      <c r="G162" t="s">
        <v>88</v>
      </c>
      <c r="H162" t="s">
        <v>232</v>
      </c>
    </row>
    <row r="163" spans="1:8" x14ac:dyDescent="0.2">
      <c r="A163" t="s">
        <v>195</v>
      </c>
      <c r="B163">
        <v>0.5625</v>
      </c>
      <c r="C163" t="s">
        <v>182</v>
      </c>
      <c r="D163" t="s">
        <v>94</v>
      </c>
      <c r="F163" t="s">
        <v>76</v>
      </c>
      <c r="G163" t="s">
        <v>88</v>
      </c>
      <c r="H163" t="s">
        <v>196</v>
      </c>
    </row>
    <row r="164" spans="1:8" x14ac:dyDescent="0.2">
      <c r="A164" t="s">
        <v>235</v>
      </c>
      <c r="B164">
        <v>1.59</v>
      </c>
      <c r="C164" t="s">
        <v>182</v>
      </c>
      <c r="D164" t="s">
        <v>94</v>
      </c>
      <c r="F164" t="s">
        <v>76</v>
      </c>
      <c r="G164" t="s">
        <v>88</v>
      </c>
      <c r="H164" t="s">
        <v>234</v>
      </c>
    </row>
    <row r="165" spans="1:8" x14ac:dyDescent="0.2">
      <c r="A165" t="s">
        <v>237</v>
      </c>
      <c r="B165">
        <v>0.35</v>
      </c>
      <c r="C165" t="s">
        <v>182</v>
      </c>
      <c r="D165" t="s">
        <v>91</v>
      </c>
      <c r="F165" t="s">
        <v>209</v>
      </c>
      <c r="G165" t="s">
        <v>88</v>
      </c>
      <c r="H165" t="s">
        <v>236</v>
      </c>
    </row>
    <row r="166" spans="1:8" x14ac:dyDescent="0.2">
      <c r="A166" t="s">
        <v>239</v>
      </c>
      <c r="B166">
        <v>0.159</v>
      </c>
      <c r="C166" t="s">
        <v>182</v>
      </c>
      <c r="D166" t="s">
        <v>91</v>
      </c>
      <c r="F166" t="s">
        <v>76</v>
      </c>
      <c r="G166" t="s">
        <v>88</v>
      </c>
      <c r="H166" t="s">
        <v>238</v>
      </c>
    </row>
    <row r="167" spans="1:8" x14ac:dyDescent="0.2">
      <c r="A167" t="s">
        <v>241</v>
      </c>
      <c r="B167">
        <v>0.75</v>
      </c>
      <c r="C167" t="s">
        <v>182</v>
      </c>
      <c r="D167" t="s">
        <v>91</v>
      </c>
      <c r="F167" t="s">
        <v>240</v>
      </c>
      <c r="G167" t="s">
        <v>88</v>
      </c>
      <c r="H167" t="s">
        <v>241</v>
      </c>
    </row>
    <row r="168" spans="1:8" x14ac:dyDescent="0.2">
      <c r="A168" t="s">
        <v>243</v>
      </c>
      <c r="B168">
        <v>-6.7137031720422395E-4</v>
      </c>
      <c r="C168" t="s">
        <v>182</v>
      </c>
      <c r="D168" t="s">
        <v>194</v>
      </c>
      <c r="F168" t="s">
        <v>208</v>
      </c>
      <c r="G168" t="s">
        <v>88</v>
      </c>
      <c r="H168" t="s">
        <v>242</v>
      </c>
    </row>
    <row r="169" spans="1:8" x14ac:dyDescent="0.2">
      <c r="A169" t="s">
        <v>243</v>
      </c>
      <c r="B169" s="7">
        <v>-7.2629682795775403E-5</v>
      </c>
      <c r="C169" t="s">
        <v>182</v>
      </c>
      <c r="D169" t="s">
        <v>37</v>
      </c>
      <c r="F169" t="s">
        <v>208</v>
      </c>
      <c r="G169" t="s">
        <v>88</v>
      </c>
      <c r="H169" t="s">
        <v>242</v>
      </c>
    </row>
    <row r="170" spans="1:8" x14ac:dyDescent="0.2">
      <c r="A170" t="s">
        <v>244</v>
      </c>
      <c r="B170">
        <v>1.116E-4</v>
      </c>
      <c r="C170" t="s">
        <v>206</v>
      </c>
      <c r="E170" t="s">
        <v>161</v>
      </c>
      <c r="F170" t="s">
        <v>208</v>
      </c>
      <c r="G170" t="s">
        <v>163</v>
      </c>
    </row>
    <row r="171" spans="1:8" x14ac:dyDescent="0.2">
      <c r="A171" t="s">
        <v>968</v>
      </c>
      <c r="B171" s="5">
        <v>0.05</v>
      </c>
      <c r="C171" t="s">
        <v>182</v>
      </c>
      <c r="D171" t="s">
        <v>194</v>
      </c>
      <c r="F171" t="s">
        <v>208</v>
      </c>
      <c r="G171" t="s">
        <v>88</v>
      </c>
      <c r="H171" t="s">
        <v>969</v>
      </c>
    </row>
    <row r="174">
      <c r="A174" t="inlineStr">
        <is>
          <t>Activity</t>
        </is>
      </c>
      <c r="B174" t="inlineStr">
        <is>
          <t>mechanical powertrain, motorcycle, gasoline, engineering reference</t>
        </is>
      </c>
    </row>
    <row r="175">
      <c r="A175" t="inlineStr">
        <is>
          <t>location</t>
        </is>
      </c>
      <c r="B175" t="inlineStr">
        <is>
          <t>GLO</t>
        </is>
      </c>
    </row>
    <row r="176">
      <c r="A176" t="inlineStr">
        <is>
          <t>production amount</t>
        </is>
      </c>
      <c r="B176">
        <v>1</v>
      </c>
    </row>
    <row r="177">
      <c r="A177" t="inlineStr">
        <is>
          <t>reference product</t>
        </is>
      </c>
      <c r="B177" t="inlineStr">
        <is>
          <t>mechanical powertrain, motorcycle, gasoline, engineering reference</t>
        </is>
      </c>
    </row>
    <row r="178">
      <c r="A178" t="inlineStr">
        <is>
          <t>unit</t>
        </is>
      </c>
      <c r="B178" t="inlineStr">
        <is>
          <t>kilogram</t>
        </is>
      </c>
    </row>
    <row r="179">
      <c r="A179" t="inlineStr">
        <is>
          <t>source</t>
        </is>
      </c>
      <c r="B179" t="inlineStr">
        <is>
          <t>Sacchi/Bauer PSI vehicle inventories https://zenodo.org/records/7769251 source-declared mechanical masses; Notter2010 SI TablesS2(engine/gearbox only) andS3(gearbox only), DOI10.1021/es903729a.</t>
        </is>
      </c>
    </row>
    <row r="180">
      <c r="A180" t="inlineStr">
        <is>
          <t>comment</t>
        </is>
      </c>
      <c r="B18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181">
      <c r="A181" t="inlineStr">
        <is>
          <t>Exchanges</t>
        </is>
      </c>
    </row>
    <row r="182">
      <c r="A182" t="inlineStr">
        <is>
          <t>name</t>
        </is>
      </c>
      <c r="B182" t="inlineStr">
        <is>
          <t>amount</t>
        </is>
      </c>
      <c r="C182" t="inlineStr">
        <is>
          <t>location</t>
        </is>
      </c>
      <c r="D182" t="inlineStr">
        <is>
          <t>unit</t>
        </is>
      </c>
      <c r="E182" t="inlineStr">
        <is>
          <t>categories</t>
        </is>
      </c>
      <c r="F182" t="inlineStr">
        <is>
          <t>type</t>
        </is>
      </c>
      <c r="G182" t="inlineStr">
        <is>
          <t>reference product</t>
        </is>
      </c>
      <c r="H182" t="inlineStr">
        <is>
          <t>comment</t>
        </is>
      </c>
    </row>
    <row r="183">
      <c r="A183" t="inlineStr">
        <is>
          <t>mechanical powertrain, motorcycle, gasoline, engineering reference</t>
        </is>
      </c>
      <c r="B183">
        <v>1</v>
      </c>
      <c r="C183" t="inlineStr">
        <is>
          <t>GLO</t>
        </is>
      </c>
      <c r="D183" t="inlineStr">
        <is>
          <t>kilogram</t>
        </is>
      </c>
      <c r="F183" t="inlineStr">
        <is>
          <t>production</t>
        </is>
      </c>
      <c r="G183" t="inlineStr">
        <is>
          <t>mechanical powertrain, motorcycle, gasoline, engineering reference</t>
        </is>
      </c>
    </row>
    <row r="184">
      <c r="A184" t="inlineStr">
        <is>
          <t>market for steel, low-alloyed</t>
        </is>
      </c>
      <c r="B184">
        <v>0.6435906515580737</v>
      </c>
      <c r="C184" t="inlineStr">
        <is>
          <t>GLO</t>
        </is>
      </c>
      <c r="D184" t="inlineStr">
        <is>
          <t>kilogram</t>
        </is>
      </c>
      <c r="F184" t="inlineStr">
        <is>
          <t>technosphere</t>
        </is>
      </c>
      <c r="G184" t="inlineStr">
        <is>
          <t>steel, low-alloyed</t>
        </is>
      </c>
    </row>
    <row r="185">
      <c r="A185" t="inlineStr">
        <is>
          <t>metal working, average for steel product manufacturing</t>
        </is>
      </c>
      <c r="B185">
        <v>0.6435906515580737</v>
      </c>
      <c r="C185" t="inlineStr">
        <is>
          <t>RER</t>
        </is>
      </c>
      <c r="D185" t="inlineStr">
        <is>
          <t>kilogram</t>
        </is>
      </c>
      <c r="F185" t="inlineStr">
        <is>
          <t>technosphere</t>
        </is>
      </c>
      <c r="G185" t="inlineStr">
        <is>
          <t>metal working, average for steel product manufacturing</t>
        </is>
      </c>
    </row>
    <row r="186">
      <c r="A186" t="inlineStr">
        <is>
          <t>iron scrap, unsorted, Recycled Content cut-off</t>
        </is>
      </c>
      <c r="B186">
        <v>-0.12871813031161475</v>
      </c>
      <c r="C186" t="inlineStr">
        <is>
          <t>GLO</t>
        </is>
      </c>
      <c r="D186" t="inlineStr">
        <is>
          <t>kilogram</t>
        </is>
      </c>
      <c r="F186" t="inlineStr">
        <is>
          <t>technosphere</t>
        </is>
      </c>
      <c r="G186" t="inlineStr">
        <is>
          <t>iron scrap, unsorted</t>
        </is>
      </c>
    </row>
    <row r="187">
      <c r="A187" t="inlineStr">
        <is>
          <t>market for aluminium, cast alloy</t>
        </is>
      </c>
      <c r="B187">
        <v>0.4027974504249292</v>
      </c>
      <c r="C187" t="inlineStr">
        <is>
          <t>GLO</t>
        </is>
      </c>
      <c r="D187" t="inlineStr">
        <is>
          <t>kilogram</t>
        </is>
      </c>
      <c r="F187" t="inlineStr">
        <is>
          <t>technosphere</t>
        </is>
      </c>
      <c r="G187" t="inlineStr">
        <is>
          <t>aluminium, cast alloy</t>
        </is>
      </c>
    </row>
    <row r="188">
      <c r="A188" t="inlineStr">
        <is>
          <t>metal working, average for aluminium product manufacturing</t>
        </is>
      </c>
      <c r="B188">
        <v>0.4027974504249292</v>
      </c>
      <c r="C188" t="inlineStr">
        <is>
          <t>RER</t>
        </is>
      </c>
      <c r="D188" t="inlineStr">
        <is>
          <t>kilogram</t>
        </is>
      </c>
      <c r="F188" t="inlineStr">
        <is>
          <t>technosphere</t>
        </is>
      </c>
      <c r="G188" t="inlineStr">
        <is>
          <t>metal working, average for aluminium product manufacturing</t>
        </is>
      </c>
    </row>
    <row r="189">
      <c r="A189" t="inlineStr">
        <is>
          <t>aluminium scrap, new, Recycled Content cut-off</t>
        </is>
      </c>
      <c r="B189">
        <v>-0.08055949008498584</v>
      </c>
      <c r="C189" t="inlineStr">
        <is>
          <t>GLO</t>
        </is>
      </c>
      <c r="D189" t="inlineStr">
        <is>
          <t>kilogram</t>
        </is>
      </c>
      <c r="F189" t="inlineStr">
        <is>
          <t>technosphere</t>
        </is>
      </c>
      <c r="G189" t="inlineStr">
        <is>
          <t>aluminium scrap, new</t>
        </is>
      </c>
    </row>
    <row r="190">
      <c r="A190" t="inlineStr">
        <is>
          <t>market for polyphenylene sulfide</t>
        </is>
      </c>
      <c r="B190">
        <v>0.1324362606232295</v>
      </c>
      <c r="C190" t="inlineStr">
        <is>
          <t>GLO</t>
        </is>
      </c>
      <c r="D190" t="inlineStr">
        <is>
          <t>kilogram</t>
        </is>
      </c>
      <c r="F190" t="inlineStr">
        <is>
          <t>technosphere</t>
        </is>
      </c>
      <c r="G190" t="inlineStr">
        <is>
          <t>polyphenylene sulfide</t>
        </is>
      </c>
    </row>
    <row r="191">
      <c r="A191" t="inlineStr">
        <is>
          <t>market for waste plastic, mixture</t>
        </is>
      </c>
      <c r="B191">
        <v>-0.012039660056657237</v>
      </c>
      <c r="C191" t="inlineStr">
        <is>
          <t>CH</t>
        </is>
      </c>
      <c r="D191" t="inlineStr">
        <is>
          <t>kilogram</t>
        </is>
      </c>
      <c r="F191" t="inlineStr">
        <is>
          <t>technosphere</t>
        </is>
      </c>
      <c r="G191" t="inlineStr">
        <is>
          <t>waste plastic, mixture</t>
        </is>
      </c>
    </row>
    <row r="192">
      <c r="A192" t="inlineStr">
        <is>
          <t>market for lubricating oil</t>
        </is>
      </c>
      <c r="B192">
        <v>0.042492917847025496</v>
      </c>
      <c r="C192" t="inlineStr">
        <is>
          <t>RER</t>
        </is>
      </c>
      <c r="D192" t="inlineStr">
        <is>
          <t>kilogram</t>
        </is>
      </c>
      <c r="F192" t="inlineStr">
        <is>
          <t>technosphere</t>
        </is>
      </c>
      <c r="G192" t="inlineStr">
        <is>
          <t>lubricating oil</t>
        </is>
      </c>
    </row>
    <row r="193">
      <c r="A193" t="inlineStr">
        <is>
          <t>market group for electricity, medium voltage</t>
        </is>
      </c>
      <c r="B193">
        <v>1</v>
      </c>
      <c r="C193" t="inlineStr">
        <is>
          <t>GLO</t>
        </is>
      </c>
      <c r="D193" t="inlineStr">
        <is>
          <t>kilowatt hour</t>
        </is>
      </c>
      <c r="F193" t="inlineStr">
        <is>
          <t>technosphere</t>
        </is>
      </c>
      <c r="G193" t="inlineStr">
        <is>
          <t>electricity, medium voltage</t>
        </is>
      </c>
    </row>
    <row r="196">
      <c r="A196" t="inlineStr">
        <is>
          <t>Activity</t>
        </is>
      </c>
      <c r="B196" t="inlineStr">
        <is>
          <t>mechanical powertrain, motorcycle, electric, engineering reference</t>
        </is>
      </c>
    </row>
    <row r="197">
      <c r="A197" t="inlineStr">
        <is>
          <t>location</t>
        </is>
      </c>
      <c r="B197" t="inlineStr">
        <is>
          <t>GLO</t>
        </is>
      </c>
    </row>
    <row r="198">
      <c r="A198" t="inlineStr">
        <is>
          <t>production amount</t>
        </is>
      </c>
      <c r="B198">
        <v>1</v>
      </c>
    </row>
    <row r="199">
      <c r="A199" t="inlineStr">
        <is>
          <t>reference product</t>
        </is>
      </c>
      <c r="B199" t="inlineStr">
        <is>
          <t>mechanical powertrain, motorcycle, electric, engineering reference</t>
        </is>
      </c>
    </row>
    <row r="200">
      <c r="A200" t="inlineStr">
        <is>
          <t>unit</t>
        </is>
      </c>
      <c r="B200" t="inlineStr">
        <is>
          <t>kilogram</t>
        </is>
      </c>
    </row>
    <row r="201">
      <c r="A201" t="inlineStr">
        <is>
          <t>source</t>
        </is>
      </c>
      <c r="B201" t="inlineStr">
        <is>
          <t>Sacchi/Bauer PSI vehicle inventories https://zenodo.org/records/7769251 source-declared mechanical masses; Notter2010 SI TablesS2(engine/gearbox only) andS3(gearbox only), DOI10.1021/es903729a.</t>
        </is>
      </c>
    </row>
    <row r="202">
      <c r="A202" t="inlineStr">
        <is>
          <t>comment</t>
        </is>
      </c>
      <c r="B2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03">
      <c r="A203" t="inlineStr">
        <is>
          <t>Exchanges</t>
        </is>
      </c>
    </row>
    <row r="204">
      <c r="A204" t="inlineStr">
        <is>
          <t>name</t>
        </is>
      </c>
      <c r="B204" t="inlineStr">
        <is>
          <t>amount</t>
        </is>
      </c>
      <c r="C204" t="inlineStr">
        <is>
          <t>location</t>
        </is>
      </c>
      <c r="D204" t="inlineStr">
        <is>
          <t>unit</t>
        </is>
      </c>
      <c r="E204" t="inlineStr">
        <is>
          <t>categories</t>
        </is>
      </c>
      <c r="F204" t="inlineStr">
        <is>
          <t>type</t>
        </is>
      </c>
      <c r="G204" t="inlineStr">
        <is>
          <t>reference product</t>
        </is>
      </c>
      <c r="H204" t="inlineStr">
        <is>
          <t>comment</t>
        </is>
      </c>
    </row>
    <row r="205">
      <c r="A205" t="inlineStr">
        <is>
          <t>mechanical powertrain, motorcycle, electric, engineering reference</t>
        </is>
      </c>
      <c r="B205">
        <v>1</v>
      </c>
      <c r="C205" t="inlineStr">
        <is>
          <t>GLO</t>
        </is>
      </c>
      <c r="D205" t="inlineStr">
        <is>
          <t>kilogram</t>
        </is>
      </c>
      <c r="F205" t="inlineStr">
        <is>
          <t>production</t>
        </is>
      </c>
      <c r="G205" t="inlineStr">
        <is>
          <t>mechanical powertrain, motorcycle, electric, engineering reference</t>
        </is>
      </c>
    </row>
    <row r="206">
      <c r="A206" t="inlineStr">
        <is>
          <t>market for steel, low-alloyed</t>
        </is>
      </c>
      <c r="B206">
        <v>0.6578947368421052</v>
      </c>
      <c r="C206" t="inlineStr">
        <is>
          <t>GLO</t>
        </is>
      </c>
      <c r="D206" t="inlineStr">
        <is>
          <t>kilogram</t>
        </is>
      </c>
      <c r="F206" t="inlineStr">
        <is>
          <t>technosphere</t>
        </is>
      </c>
      <c r="G206" t="inlineStr">
        <is>
          <t>steel, low-alloyed</t>
        </is>
      </c>
    </row>
    <row r="207">
      <c r="A207" t="inlineStr">
        <is>
          <t>metal working, average for steel product manufacturing</t>
        </is>
      </c>
      <c r="B207">
        <v>0.6578947368421052</v>
      </c>
      <c r="C207" t="inlineStr">
        <is>
          <t>RER</t>
        </is>
      </c>
      <c r="D207" t="inlineStr">
        <is>
          <t>kilogram</t>
        </is>
      </c>
      <c r="F207" t="inlineStr">
        <is>
          <t>technosphere</t>
        </is>
      </c>
      <c r="G207" t="inlineStr">
        <is>
          <t>metal working, average for steel product manufacturing</t>
        </is>
      </c>
    </row>
    <row r="208">
      <c r="A208" t="inlineStr">
        <is>
          <t>iron scrap, unsorted, Recycled Content cut-off</t>
        </is>
      </c>
      <c r="B208">
        <v>-0.13157894736842105</v>
      </c>
      <c r="C208" t="inlineStr">
        <is>
          <t>GLO</t>
        </is>
      </c>
      <c r="D208" t="inlineStr">
        <is>
          <t>kilogram</t>
        </is>
      </c>
      <c r="F208" t="inlineStr">
        <is>
          <t>technosphere</t>
        </is>
      </c>
      <c r="G208" t="inlineStr">
        <is>
          <t>iron scrap, unsorted</t>
        </is>
      </c>
    </row>
    <row r="209">
      <c r="A209" t="inlineStr">
        <is>
          <t>market for aluminium, cast alloy</t>
        </is>
      </c>
      <c r="B209">
        <v>0.5921052631578947</v>
      </c>
      <c r="C209" t="inlineStr">
        <is>
          <t>GLO</t>
        </is>
      </c>
      <c r="D209" t="inlineStr">
        <is>
          <t>kilogram</t>
        </is>
      </c>
      <c r="F209" t="inlineStr">
        <is>
          <t>technosphere</t>
        </is>
      </c>
      <c r="G209" t="inlineStr">
        <is>
          <t>aluminium, cast alloy</t>
        </is>
      </c>
    </row>
    <row r="210">
      <c r="A210" t="inlineStr">
        <is>
          <t>metal working, average for aluminium product manufacturing</t>
        </is>
      </c>
      <c r="B210">
        <v>0.5921052631578947</v>
      </c>
      <c r="C210" t="inlineStr">
        <is>
          <t>RER</t>
        </is>
      </c>
      <c r="D210" t="inlineStr">
        <is>
          <t>kilogram</t>
        </is>
      </c>
      <c r="F210" t="inlineStr">
        <is>
          <t>technosphere</t>
        </is>
      </c>
      <c r="G210" t="inlineStr">
        <is>
          <t>metal working, average for aluminium product manufacturing</t>
        </is>
      </c>
    </row>
    <row r="211">
      <c r="A211" t="inlineStr">
        <is>
          <t>aluminium scrap, new, Recycled Content cut-off</t>
        </is>
      </c>
      <c r="B211">
        <v>-0.11842105263157894</v>
      </c>
      <c r="C211" t="inlineStr">
        <is>
          <t>GLO</t>
        </is>
      </c>
      <c r="D211" t="inlineStr">
        <is>
          <t>kilogram</t>
        </is>
      </c>
      <c r="F211" t="inlineStr">
        <is>
          <t>technosphere</t>
        </is>
      </c>
      <c r="G211" t="inlineStr">
        <is>
          <t>aluminium scrap, new</t>
        </is>
      </c>
    </row>
    <row r="212">
      <c r="A212" t="inlineStr">
        <is>
          <t>market group for electricity, medium voltage</t>
        </is>
      </c>
      <c r="B212">
        <v>1</v>
      </c>
      <c r="C212" t="inlineStr">
        <is>
          <t>GLO</t>
        </is>
      </c>
      <c r="D212" t="inlineStr">
        <is>
          <t>kilowatt hour</t>
        </is>
      </c>
      <c r="F212" t="inlineStr">
        <is>
          <t>technosphere</t>
        </is>
      </c>
      <c r="G212" t="inlineStr">
        <is>
          <t>electricity, medium voltage</t>
        </is>
      </c>
    </row>
    <row r="215">
      <c r="A215" t="inlineStr">
        <is>
          <t>Activity</t>
        </is>
      </c>
      <c r="B215" t="inlineStr">
        <is>
          <t>fuel tank forming, motorcycle engineering reference</t>
        </is>
      </c>
    </row>
    <row r="216">
      <c r="A216" t="inlineStr">
        <is>
          <t>location</t>
        </is>
      </c>
      <c r="B216" t="inlineStr">
        <is>
          <t>RER</t>
        </is>
      </c>
    </row>
    <row r="217">
      <c r="A217" t="inlineStr">
        <is>
          <t>production amount</t>
        </is>
      </c>
      <c r="B217">
        <v>1</v>
      </c>
    </row>
    <row r="218">
      <c r="A218" t="inlineStr">
        <is>
          <t>reference product</t>
        </is>
      </c>
      <c r="B218" t="inlineStr">
        <is>
          <t>fuel tank forming, motorcycle engineering reference</t>
        </is>
      </c>
    </row>
    <row r="219">
      <c r="A219" t="inlineStr">
        <is>
          <t>unit</t>
        </is>
      </c>
      <c r="B219" t="inlineStr">
        <is>
          <t>kilogram</t>
        </is>
      </c>
    </row>
    <row r="220">
      <c r="A220" t="inlineStr">
        <is>
          <t>source</t>
        </is>
      </c>
      <c r="B220" t="inlineStr">
        <is>
          <t>Sacchi/Bauer PSI vehicle inventories https://zenodo.org/records/7769251 source-declared mechanical masses; Notter2010 SI TablesS2(engine/gearbox only) andS3(gearbox only), DOI10.1021/es903729a.</t>
        </is>
      </c>
    </row>
    <row r="221">
      <c r="A221" t="inlineStr">
        <is>
          <t>comment</t>
        </is>
      </c>
      <c r="B22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row>
    <row r="224">
      <c r="A224" t="inlineStr">
        <is>
          <t>fuel tank forming, motorcycle engineering reference</t>
        </is>
      </c>
      <c r="B224">
        <v>1</v>
      </c>
      <c r="C224" t="inlineStr">
        <is>
          <t>RER</t>
        </is>
      </c>
      <c r="D224" t="inlineStr">
        <is>
          <t>kilogram</t>
        </is>
      </c>
      <c r="F224" t="inlineStr">
        <is>
          <t>production</t>
        </is>
      </c>
      <c r="G224" t="inlineStr">
        <is>
          <t>fuel tank forming, motorcycle engineering reference</t>
        </is>
      </c>
    </row>
    <row r="225">
      <c r="A225" t="inlineStr">
        <is>
          <t>injection moulding</t>
        </is>
      </c>
      <c r="B225">
        <v>1</v>
      </c>
      <c r="C225" t="inlineStr">
        <is>
          <t>RER</t>
        </is>
      </c>
      <c r="D225" t="inlineStr">
        <is>
          <t>kilogram</t>
        </is>
      </c>
      <c r="F225" t="inlineStr">
        <is>
          <t>technosphere</t>
        </is>
      </c>
      <c r="G225" t="inlineStr">
        <is>
          <t>injection moulding</t>
        </is>
      </c>
    </row>
    <row r="228">
      <c r="A228" t="inlineStr">
        <is>
          <t>Activity</t>
        </is>
      </c>
      <c r="B228" t="inlineStr">
        <is>
          <t>electric powertrain, two-wheeler motor and controller, offboard charging reference</t>
        </is>
      </c>
    </row>
    <row r="229">
      <c r="A229" t="inlineStr">
        <is>
          <t>location</t>
        </is>
      </c>
      <c r="B229" t="inlineStr">
        <is>
          <t>GLO</t>
        </is>
      </c>
    </row>
    <row r="230">
      <c r="A230" t="inlineStr">
        <is>
          <t>production amount</t>
        </is>
      </c>
      <c r="B230">
        <v>1</v>
      </c>
    </row>
    <row r="231">
      <c r="A231" t="inlineStr">
        <is>
          <t>reference product</t>
        </is>
      </c>
      <c r="B231" t="inlineStr">
        <is>
          <t>electric powertrain, two-wheeler motor and controller, offboard charging reference</t>
        </is>
      </c>
    </row>
    <row r="232">
      <c r="A232" t="inlineStr">
        <is>
          <t>unit</t>
        </is>
      </c>
      <c r="B232" t="inlineStr">
        <is>
          <t>kilogram</t>
        </is>
      </c>
    </row>
    <row r="233">
      <c r="A233" t="inlineStr">
        <is>
          <t>source</t>
        </is>
      </c>
      <c r="B233" t="inlineStr">
        <is>
          <t>NewRide2013 appendix pp59-62 and65 https://www.newride.ch/documents/Forschungsprojekt_E-Scooters_2013/Anhang_zu_Schlussbericht_E-Scooter_2013.pdf; existing native scooter motor/controller functional suppliers; native composite coefficients diagnostic3.8/3.12 agree.</t>
        </is>
      </c>
    </row>
    <row r="234">
      <c r="A234" t="inlineStr">
        <is>
          <t>comment</t>
        </is>
      </c>
      <c r="B234"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t>
        </is>
      </c>
    </row>
    <row r="235">
      <c r="A235" t="inlineStr">
        <is>
          <t>Exchanges</t>
        </is>
      </c>
    </row>
    <row r="236">
      <c r="A236" t="inlineStr">
        <is>
          <t>name</t>
        </is>
      </c>
      <c r="B236" t="inlineStr">
        <is>
          <t>amount</t>
        </is>
      </c>
      <c r="C236" t="inlineStr">
        <is>
          <t>location</t>
        </is>
      </c>
      <c r="D236" t="inlineStr">
        <is>
          <t>unit</t>
        </is>
      </c>
      <c r="E236" t="inlineStr">
        <is>
          <t>categories</t>
        </is>
      </c>
      <c r="F236" t="inlineStr">
        <is>
          <t>type</t>
        </is>
      </c>
      <c r="G236" t="inlineStr">
        <is>
          <t>reference product</t>
        </is>
      </c>
      <c r="H236" t="inlineStr">
        <is>
          <t>comment</t>
        </is>
      </c>
      <c r="I236" t="inlineStr">
        <is>
          <t>product</t>
        </is>
      </c>
    </row>
    <row r="237">
      <c r="A237" t="inlineStr">
        <is>
          <t>electric powertrain, two-wheeler motor and controller, offboard charging reference</t>
        </is>
      </c>
      <c r="B237">
        <v>1</v>
      </c>
      <c r="C237" t="inlineStr">
        <is>
          <t>GLO</t>
        </is>
      </c>
      <c r="D237" t="inlineStr">
        <is>
          <t>kilogram</t>
        </is>
      </c>
      <c r="F237" t="inlineStr">
        <is>
          <t>production</t>
        </is>
      </c>
      <c r="G237" t="inlineStr">
        <is>
          <t>electric powertrain, two-wheeler motor and controller, offboard charging reference</t>
        </is>
      </c>
      <c r="I237" t="inlineStr">
        <is>
          <t>electric powertrain, two-wheeler motor and controller, offboard charging reference</t>
        </is>
      </c>
    </row>
    <row r="238">
      <c r="A238" t="inlineStr">
        <is>
          <t>market for electric motor, for electric scooter</t>
        </is>
      </c>
      <c r="B238">
        <v>0.8203677466110765</v>
      </c>
      <c r="C238" t="inlineStr">
        <is>
          <t>GLO</t>
        </is>
      </c>
      <c r="D238" t="inlineStr">
        <is>
          <t>kilogram</t>
        </is>
      </c>
      <c r="F238" t="inlineStr">
        <is>
          <t>technosphere</t>
        </is>
      </c>
      <c r="G238" t="inlineStr">
        <is>
          <t>electric motor, for electric scooter</t>
        </is>
      </c>
      <c r="I238" t="inlineStr">
        <is>
          <t>electric motor, for electric scooter</t>
        </is>
      </c>
    </row>
    <row r="239">
      <c r="A239" t="inlineStr">
        <is>
          <t>market for controller, for electric scooter</t>
        </is>
      </c>
      <c r="B239">
        <v>0.17963225338892358</v>
      </c>
      <c r="C239" t="inlineStr">
        <is>
          <t>GLO</t>
        </is>
      </c>
      <c r="D239" t="inlineStr">
        <is>
          <t>kilogram</t>
        </is>
      </c>
      <c r="F239" t="inlineStr">
        <is>
          <t>technosphere</t>
        </is>
      </c>
      <c r="G239" t="inlineStr">
        <is>
          <t>controller, for electric scooter</t>
        </is>
      </c>
      <c r="I239" t="inlineStr">
        <is>
          <t>controller, for electric scooter</t>
        </is>
      </c>
    </row>
  </sheetData>
  <autoFilter ref="A1:N133" xr:uid="{00000000-0001-0000-2E00-000000000000}"/>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Readmefirst</vt:lpstr>
      <vt:lpstr>vehicles specifications</vt:lpstr>
      <vt:lpstr>LCIA results</vt:lpstr>
      <vt:lpstr>ei names mapping</vt:lpstr>
      <vt:lpstr>EoL and shipping</vt:lpstr>
      <vt:lpstr>abrasion emissions</vt:lpstr>
      <vt:lpstr>energy battery</vt:lpstr>
      <vt:lpstr>fuels and tailpipe emissions</vt:lpstr>
      <vt:lpstr>lci-kick scooter - NMC</vt:lpstr>
      <vt:lpstr>lci-motorbikes&lt;4kW - NMC</vt:lpstr>
      <vt:lpstr>lci-motorbikes-4-11kW - NMC</vt:lpstr>
      <vt:lpstr>lci-motorbikes-11-35kW - NMC</vt:lpstr>
      <vt:lpstr>lci-motorbikes&gt;35kW - NMC</vt:lpstr>
      <vt:lpstr>lci-motorbikes-gas-4-11kW</vt:lpstr>
      <vt:lpstr>lci-motorbikes-gas-11-35kW</vt:lpstr>
      <vt:lpstr>lci-motorbikes-gas-&gt;35kW</vt:lpstr>
      <vt:lpstr>lci-scooter&lt;4kW</vt:lpstr>
      <vt:lpstr>lci-scooter-4-11kW</vt:lpstr>
      <vt:lpstr>lci-scooter-electric&lt;4kW - NMC</vt:lpstr>
      <vt:lpstr>lci-scooter-elec-4-11kW - NMC</vt:lpstr>
      <vt:lpstr>lci-moped</vt:lpstr>
      <vt:lpstr>lci-bicycle</vt:lpstr>
      <vt:lpstr>lci-elec-bicycle-25kmh - NMC</vt:lpstr>
      <vt:lpstr>lci-elec-bicycle-45kmh - NMC</vt:lpstr>
      <vt:lpstr>lci-elec-bicycle-cargo - NMC</vt:lpstr>
      <vt:lpstr>lci-tram</vt:lpstr>
      <vt:lpstr>lci-others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2021-02-01T10:08:21Z</dcterms:created>
  <dcterms:modified xsi:type="dcterms:W3CDTF">2025-04-08T20:56:46Z</dcterms:modified>
</cp:coreProperties>
</file>