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<sst xmlns="http://schemas.openxmlformats.org/spreadsheetml/2006/main" count="20331" uniqueCount="970">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</sst>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f>
        <v>0.2777777777777778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1/3.6</f>
        <v>0.2777777777777778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1/3.6</f>
        <v>0.2777777777777778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1/3.6</f>
        <v>0.2777777777777778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f>
        <v>0.2777777777777778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1/3.6</f>
        <v>0.2777777777777778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1/3.6</f>
        <v>0.2777777777777778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1/3.6</f>
        <v>0.2777777777777778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f>
        <v>0.2777777777777778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1/3.6</f>
        <v>0.2777777777777778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1/3.6</f>
        <v>0.2777777777777778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1/3.6</f>
        <v>0.2777777777777778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1/3.6</f>
        <v>0.2777777777777778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1/3.6</f>
        <v>0.2777777777777778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1/3.6</f>
        <v>0.2777777777777778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1/3.6</f>
        <v>0.2777777777777778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1/3.6</f>
        <v>0.2777777777777778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1/3.6</f>
        <v>0.2777777777777778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1/3.6</f>
        <v>0.2777777777777778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1/3.6</f>
        <v>0.2777777777777778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1/3.6</f>
        <v>0.2777777777777778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1/3.6</f>
        <v>0.2777777777777778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1/3.6</f>
        <v>0.2777777777777778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1/3.6</f>
        <v>0.2777777777777778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1/3.6</f>
        <v>0.2777777777777778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1/3.6</f>
        <v>0.2777777777777778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1/3.6</f>
        <v>0.2777777777777778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1/3.6</f>
        <v>0.2777777777777778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1/3.6</f>
        <v>0.2777777777777778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1/3.6</f>
        <v>0.2777777777777778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1/3.6</f>
        <v>0.2777777777777778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1/3.6</f>
        <v>0.2777777777777778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1/3.6</f>
        <v>0.2777777777777778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1/3.6</f>
        <v>0.2777777777777778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1/3.6</f>
        <v>0.2777777777777778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1/3.6</f>
        <v>0.2777777777777778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1/3.6</f>
        <v>0.2777777777777778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1/3.6</f>
        <v>0.2777777777777778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1/3.6</f>
        <v>0.2777777777777778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1/3.6</f>
        <v>0.2777777777777778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1/3.6</f>
        <v>0.2777777777777778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1/3.6</f>
        <v>0.2777777777777778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1/3.6</f>
        <v>0.2777777777777778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1/3.6</f>
        <v>0.2777777777777778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1/3.6</f>
        <v>0.2777777777777778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1/3.6</f>
        <v>0.2777777777777778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1/3.6</f>
        <v>0.2777777777777778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1/3.6</f>
        <v>0.2777777777777778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1/3.6</f>
        <v>0.2777777777777778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1/3.6</f>
        <v>0.2777777777777778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1/3.6</f>
        <v>0.2777777777777778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1/3.6</f>
        <v>0.2777777777777778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f>
        <v>0.2777777777777778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1/3.6</f>
        <v>0.2777777777777778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1/3.6</f>
        <v>0.2777777777777778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1/3.6</f>
        <v>0.2777777777777778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1/3.6</f>
        <v>0.2777777777777778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1/3.6</f>
        <v>0.2777777777777778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1/3.6</f>
        <v>0.2777777777777778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1/3.6</f>
        <v>0.2777777777777778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1/3.6</f>
        <v>0.2777777777777778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1/3.6</f>
        <v>0.2777777777777778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1/3.6</f>
        <v>0.2777777777777778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1/3.6</f>
        <v>0.2777777777777778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1/3.6</f>
        <v>0.2777777777777778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1/3.6</f>
        <v>0.2777777777777778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1/3.6</f>
        <v>0.2777777777777778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1/3.6</f>
        <v>0.2777777777777778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1/3.6</f>
        <v>0.2777777777777778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1/3.6</f>
        <v>0.2777777777777778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1/3.6</f>
        <v>0.2777777777777778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1/3.6</f>
        <v>0.2777777777777778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1/3.6</f>
        <v>0.2777777777777778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1/3.6</f>
        <v>0.2777777777777778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1/3.6</f>
        <v>0.2777777777777778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1/3.6</f>
        <v>0.2777777777777778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1/3.6</f>
        <v>0.2777777777777778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1/3.6</f>
        <v>0.2777777777777778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1/3.6</f>
        <v>0.2777777777777778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1/3.6</f>
        <v>0.2777777777777778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1/3.6</f>
        <v>0.2777777777777778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1/3.6</f>
        <v>0.2777777777777778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1/3.6</f>
        <v>0.2777777777777778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1/3.6</f>
        <v>0.2777777777777778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1/3.6</f>
        <v>0.2777777777777778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1/3.6</f>
        <v>0.2777777777777778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1/3.6</f>
        <v>0.2777777777777778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1/3.6</f>
        <v>0.2777777777777778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1/3.6</f>
        <v>0.2777777777777778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1/3.6</f>
        <v>0.2777777777777778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1/3.6</f>
        <v>0.2777777777777778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1/3.6</f>
        <v>0.2777777777777778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1/3.6</f>
        <v>0.2777777777777778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1/3.6</f>
        <v>0.2777777777777778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1/3.6</f>
        <v>0.2777777777777778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1/3.6</f>
        <v>0.2777777777777778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1/3.6</f>
        <v>0.2777777777777778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1/3.6</f>
        <v>0.2777777777777778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1/3.6</f>
        <v>0.2777777777777778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1/3.6</f>
        <v>0.2777777777777778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1/3.6</f>
        <v>0.2777777777777778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1/3.6</f>
        <v>0.2777777777777778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1/3.6</f>
        <v>0.2777777777777778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1/3.6</f>
        <v>0.2777777777777778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1/3.6</f>
        <v>0.2777777777777778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1/3.6</f>
        <v>0.2777777777777778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1/3.6</f>
        <v>0.2777777777777778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1/3.6</f>
        <v>0.2777777777777778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1/3.6</f>
        <v>0.2777777777777778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1/3.6</f>
        <v>0.2777777777777778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1/3.6</f>
        <v>0.2777777777777778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1/3.6</f>
        <v>0.2777777777777778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1/3.6</f>
        <v>0.2777777777777778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1/3.6</f>
        <v>0.2777777777777778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1/3.6</f>
        <v>0.2777777777777778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1/3.6</f>
        <v>0.2777777777777778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1/3.6</f>
        <v>0.2777777777777778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1/3.6</f>
        <v>0.2777777777777778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1/3.6</f>
        <v>0.2777777777777778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1/3.6</f>
        <v>0.2777777777777778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1/3.6</f>
        <v>0.2777777777777778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1/3.6</f>
        <v>0.2777777777777778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1/3.6</f>
        <v>0.2777777777777778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1/3.6</f>
        <v>0.2777777777777778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1/3.6</f>
        <v>0.2777777777777778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1/3.6</f>
        <v>0.2777777777777778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1/3.6</f>
        <v>0.2777777777777778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1/3.6</f>
        <v>0.2777777777777778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1/3.6</f>
        <v>0.2777777777777778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1/3.6</f>
        <v>0.2777777777777778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1/3.6</f>
        <v>0.2777777777777778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1/3.6</f>
        <v>0.2777777777777778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1/3.6</f>
        <v>0.2777777777777778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1/3.6</f>
        <v>0.2777777777777778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1/3.6</f>
        <v>0.2777777777777778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1/3.6</f>
        <v>0.2777777777777778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1/3.6</f>
        <v>0.2777777777777778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1/3.6</f>
        <v>0.2777777777777778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1/3.6</f>
        <v>0.2777777777777778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1/3.6</f>
        <v>0.2777777777777778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1/3.6</f>
        <v>0.2777777777777778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1/3.6</f>
        <v>0.2777777777777778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1/3.6</f>
        <v>0.2777777777777778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1/3.6</f>
        <v>0.2777777777777778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1/3.6</f>
        <v>0.2777777777777778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1/3.6</f>
        <v>0.2777777777777778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1/3.6</f>
        <v>0.2777777777777778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1/3.6</f>
        <v>0.2777777777777778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1/3.6</f>
        <v>0.2777777777777778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1/3.6</f>
        <v>0.2777777777777778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1/3.6</f>
        <v>0.2777777777777778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1/3.6</f>
        <v>0.2777777777777778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1/3.6</f>
        <v>0.2777777777777778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1/3.6</f>
        <v>0.2777777777777778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1/3.6</f>
        <v>0.2777777777777778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1/3.6</f>
        <v>0.2777777777777778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1/3.6</f>
        <v>0.2777777777777778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1/3.6</f>
        <v>0.2777777777777778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1/3.6</f>
        <v>0.2777777777777778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1/3.6</f>
        <v>0.2777777777777778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0.023923979877026273</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 xml:space="preserve">mechanical powertrain production, motorcycle, electric</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 xml:space="preserve">mechanical powertrain, motorcycle, electric</t>
        </is>
      </c>
    </row>
    <row r="37" spans="1:8" x14ac:dyDescent="0.2">
      <c r="A37" t="inlineStr">
        <is>
          <t xml:space="preserve">electric powertrain production, two-wheeler, motor and controller, without charger</t>
        </is>
      </c>
      <c r="B37" s="11">
        <v>5.244807</v>
      </c>
      <c r="C37" t="inlineStr">
        <is>
          <t>GLO</t>
        </is>
      </c>
      <c r="D37" t="s">
        <v>76</v>
      </c>
      <c r="F37" t="s">
        <v>88</v>
      </c>
      <c r="G37" t="s">
        <v>269</v>
      </c>
      <c r="H37" t="inlineStr">
        <is>
          <t xml:space="preserve">electric powertrain, two-wheeler, motor and controller, without charger</t>
        </is>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0.03361111111111111</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 xml:space="preserve">mechanical powertrain production, motorcycle, electric</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13.727511747132784</v>
      </c>
      <c r="C36" t="inlineStr">
        <is>
          <t>GLO</t>
        </is>
      </c>
      <c r="D36" t="s">
        <v>76</v>
      </c>
      <c r="F36" t="s">
        <v>88</v>
      </c>
      <c r="G36" t="s">
        <v>269</v>
      </c>
      <c r="H36" t="inlineStr">
        <is>
          <t xml:space="preserve">electric powertrain, two-wheeler, motor and controller, without charger</t>
        </is>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0.050555555555555555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 xml:space="preserve">mechanical powertrain production, motorcycle, electric</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13.2868444</v>
      </c>
      <c r="C36" t="inlineStr">
        <is>
          <t>GLO</t>
        </is>
      </c>
      <c r="D36" t="s">
        <v>76</v>
      </c>
      <c r="F36" t="s">
        <v>88</v>
      </c>
      <c r="G36" t="s">
        <v>269</v>
      </c>
      <c r="H36" t="inlineStr">
        <is>
          <t xml:space="preserve">electric powertrain, two-wheeler, motor and controller, without charger</t>
        </is>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0.06843216642702875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 xml:space="preserve">mechanical powertrain production, motorcycle, electric</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16.01414404</v>
      </c>
      <c r="C36" t="inlineStr">
        <is>
          <t>GLO</t>
        </is>
      </c>
      <c r="D36" t="s">
        <v>76</v>
      </c>
      <c r="F36" t="s">
        <v>88</v>
      </c>
      <c r="G36" t="s">
        <v>269</v>
      </c>
      <c r="H36" t="inlineStr">
        <is>
          <t xml:space="preserve">electric powertrain, two-wheeler, motor and controller, without charger</t>
        </is>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0.07631439472599406</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 xml:space="preserve">mechanical powertrain production, motorcycle, gasoline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1.0125</v>
      </c>
      <c r="C34" t="s">
        <v>91</v>
      </c>
      <c r="D34" t="s">
        <v>76</v>
      </c>
      <c r="F34" t="s">
        <v>88</v>
      </c>
      <c r="G34" t="s">
        <v>24</v>
      </c>
      <c r="H34" t="s">
        <v>114</v>
      </c>
    </row>
    <row r="35" spans="1:8" x14ac:dyDescent="0.2">
      <c r="A35" t="inlineStr">
        <is>
          <t xml:space="preserve">fuel tank forming, motorcycle</t>
        </is>
      </c>
      <c r="B35" s="6">
        <v>1.0186116700201207</v>
      </c>
      <c r="C35" t="inlineStr">
        <is>
          <t>RER</t>
        </is>
      </c>
      <c r="D35" t="s">
        <v>76</v>
      </c>
      <c r="F35" t="s">
        <v>88</v>
      </c>
      <c r="G35" t="s">
        <v>412</v>
      </c>
      <c r="H35" t="inlineStr">
        <is>
          <t xml:space="preserve">fuel tank forming, motorcycle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 xml:space="preserve">mechanical powertrain production, motorcycle, gasoline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1.0125</v>
      </c>
      <c r="C72" t="s">
        <v>91</v>
      </c>
      <c r="D72" t="s">
        <v>76</v>
      </c>
      <c r="F72" t="s">
        <v>88</v>
      </c>
      <c r="G72" t="s">
        <v>24</v>
      </c>
      <c r="H72" t="s">
        <v>114</v>
      </c>
    </row>
    <row r="73" spans="1:8" x14ac:dyDescent="0.2">
      <c r="A73" t="inlineStr">
        <is>
          <t xml:space="preserve">fuel tank forming, motorcycle</t>
        </is>
      </c>
      <c r="B73" s="6">
        <v>1.0186116700201207</v>
      </c>
      <c r="C73" t="inlineStr">
        <is>
          <t>RER</t>
        </is>
      </c>
      <c r="D73" t="s">
        <v>76</v>
      </c>
      <c r="F73" t="s">
        <v>88</v>
      </c>
      <c r="G73" t="s">
        <v>412</v>
      </c>
      <c r="H73" t="inlineStr">
        <is>
          <t xml:space="preserve">fuel tank forming, motorcycle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 xml:space="preserve">mechanical powertrain production, motorcycle, gasoline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1.0125</v>
      </c>
      <c r="C110" t="s">
        <v>91</v>
      </c>
      <c r="D110" t="s">
        <v>76</v>
      </c>
      <c r="F110" t="s">
        <v>88</v>
      </c>
      <c r="G110" t="s">
        <v>24</v>
      </c>
      <c r="H110" t="s">
        <v>114</v>
      </c>
    </row>
    <row r="111" spans="1:8" x14ac:dyDescent="0.2">
      <c r="A111" t="inlineStr">
        <is>
          <t xml:space="preserve">fuel tank forming, motorcycle</t>
        </is>
      </c>
      <c r="B111" s="6">
        <v>1.0186116700201207</v>
      </c>
      <c r="C111" t="inlineStr">
        <is>
          <t>RER</t>
        </is>
      </c>
      <c r="D111" t="s">
        <v>76</v>
      </c>
      <c r="F111" t="s">
        <v>88</v>
      </c>
      <c r="G111" t="s">
        <v>412</v>
      </c>
      <c r="H111" t="inlineStr">
        <is>
          <t xml:space="preserve">fuel tank forming, motorcycle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 xml:space="preserve">mechanical powertrain production, motorcycle, gasoline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1.6875</v>
      </c>
      <c r="C34" t="s">
        <v>91</v>
      </c>
      <c r="D34" t="s">
        <v>76</v>
      </c>
      <c r="F34" t="s">
        <v>88</v>
      </c>
      <c r="G34" t="s">
        <v>24</v>
      </c>
      <c r="H34" t="s">
        <v>114</v>
      </c>
    </row>
    <row r="35" spans="1:8" x14ac:dyDescent="0.2">
      <c r="A35" t="inlineStr">
        <is>
          <t xml:space="preserve">fuel tank forming, motorcycle</t>
        </is>
      </c>
      <c r="B35" s="6">
        <v>1.6976861167002013</v>
      </c>
      <c r="C35" t="inlineStr">
        <is>
          <t>RER</t>
        </is>
      </c>
      <c r="D35" t="s">
        <v>76</v>
      </c>
      <c r="F35" t="s">
        <v>88</v>
      </c>
      <c r="G35" t="s">
        <v>412</v>
      </c>
      <c r="H35" t="inlineStr">
        <is>
          <t xml:space="preserve">fuel tank forming, motorcycle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 xml:space="preserve">mechanical powertrain production, motorcycle, gasoline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1.6875</v>
      </c>
      <c r="C72" t="s">
        <v>91</v>
      </c>
      <c r="D72" t="s">
        <v>76</v>
      </c>
      <c r="F72" t="s">
        <v>88</v>
      </c>
      <c r="G72" t="s">
        <v>24</v>
      </c>
      <c r="H72" t="s">
        <v>114</v>
      </c>
    </row>
    <row r="73" spans="1:8" x14ac:dyDescent="0.2">
      <c r="A73" t="inlineStr">
        <is>
          <t xml:space="preserve">fuel tank forming, motorcycle</t>
        </is>
      </c>
      <c r="B73" s="6">
        <v>1.6976861167002013</v>
      </c>
      <c r="C73" t="inlineStr">
        <is>
          <t>RER</t>
        </is>
      </c>
      <c r="D73" t="s">
        <v>76</v>
      </c>
      <c r="F73" t="s">
        <v>88</v>
      </c>
      <c r="G73" t="s">
        <v>412</v>
      </c>
      <c r="H73" t="inlineStr">
        <is>
          <t xml:space="preserve">fuel tank forming, motorcycle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 xml:space="preserve">mechanical powertrain production, motorcycle, gasoline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1.6875</v>
      </c>
      <c r="C110" t="s">
        <v>91</v>
      </c>
      <c r="D110" t="s">
        <v>76</v>
      </c>
      <c r="F110" t="s">
        <v>88</v>
      </c>
      <c r="G110" t="s">
        <v>24</v>
      </c>
      <c r="H110" t="s">
        <v>114</v>
      </c>
    </row>
    <row r="111" spans="1:8" x14ac:dyDescent="0.2">
      <c r="A111" t="inlineStr">
        <is>
          <t xml:space="preserve">fuel tank forming, motorcycle</t>
        </is>
      </c>
      <c r="B111" s="6">
        <v>1.6976861167002013</v>
      </c>
      <c r="C111" t="inlineStr">
        <is>
          <t>RER</t>
        </is>
      </c>
      <c r="D111" t="s">
        <v>76</v>
      </c>
      <c r="F111" t="s">
        <v>88</v>
      </c>
      <c r="G111" t="s">
        <v>412</v>
      </c>
      <c r="H111" t="inlineStr">
        <is>
          <t xml:space="preserve">fuel tank forming, motorcycle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 xml:space="preserve">mechanical powertrain production, motorcycle, gasoline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2.0249999999999999</v>
      </c>
      <c r="C34" t="s">
        <v>91</v>
      </c>
      <c r="D34" t="s">
        <v>76</v>
      </c>
      <c r="F34" t="s">
        <v>88</v>
      </c>
      <c r="G34" t="s">
        <v>24</v>
      </c>
      <c r="H34" t="s">
        <v>114</v>
      </c>
    </row>
    <row r="35" spans="1:8" x14ac:dyDescent="0.2">
      <c r="A35" t="inlineStr">
        <is>
          <t xml:space="preserve">fuel tank forming, motorcycle</t>
        </is>
      </c>
      <c r="B35" s="6">
        <v>2.0372233400402413</v>
      </c>
      <c r="C35" t="inlineStr">
        <is>
          <t>RER</t>
        </is>
      </c>
      <c r="D35" t="s">
        <v>76</v>
      </c>
      <c r="F35" t="s">
        <v>88</v>
      </c>
      <c r="G35" t="s">
        <v>412</v>
      </c>
      <c r="H35" t="inlineStr">
        <is>
          <t xml:space="preserve">fuel tank forming, motorcycle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 xml:space="preserve">mechanical powertrain production, motorcycle, gasoline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2.0249999999999999</v>
      </c>
      <c r="C72" t="s">
        <v>91</v>
      </c>
      <c r="D72" t="s">
        <v>76</v>
      </c>
      <c r="F72" t="s">
        <v>88</v>
      </c>
      <c r="G72" t="s">
        <v>24</v>
      </c>
      <c r="H72" t="s">
        <v>114</v>
      </c>
    </row>
    <row r="73" spans="1:8" x14ac:dyDescent="0.2">
      <c r="A73" t="inlineStr">
        <is>
          <t xml:space="preserve">fuel tank forming, motorcycle</t>
        </is>
      </c>
      <c r="B73" s="6">
        <v>2.0372233400402413</v>
      </c>
      <c r="C73" t="inlineStr">
        <is>
          <t>RER</t>
        </is>
      </c>
      <c r="D73" t="s">
        <v>76</v>
      </c>
      <c r="F73" t="s">
        <v>88</v>
      </c>
      <c r="G73" t="s">
        <v>412</v>
      </c>
      <c r="H73" t="inlineStr">
        <is>
          <t xml:space="preserve">fuel tank forming, motorcycle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 xml:space="preserve">mechanical powertrain production, motorcycle, gasoline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2.0249999999999999</v>
      </c>
      <c r="C110" t="s">
        <v>91</v>
      </c>
      <c r="D110" t="s">
        <v>76</v>
      </c>
      <c r="F110" t="s">
        <v>88</v>
      </c>
      <c r="G110" t="s">
        <v>24</v>
      </c>
      <c r="H110" t="s">
        <v>114</v>
      </c>
    </row>
    <row r="111" spans="1:8" x14ac:dyDescent="0.2">
      <c r="A111" t="inlineStr">
        <is>
          <t xml:space="preserve">fuel tank forming, motorcycle</t>
        </is>
      </c>
      <c r="B111" s="6">
        <v>2.0372233400402413</v>
      </c>
      <c r="C111" t="inlineStr">
        <is>
          <t>RER</t>
        </is>
      </c>
      <c r="D111" t="s">
        <v>76</v>
      </c>
      <c r="F111" t="s">
        <v>88</v>
      </c>
      <c r="G111" t="s">
        <v>412</v>
      </c>
      <c r="H111" t="inlineStr">
        <is>
          <t xml:space="preserve">fuel tank forming, motorcycle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 xml:space="preserve">mechanical powertrain production, motorcycle, gasoline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t="inlineStr">
        <is>
          <t xml:space="preserve">fuel tank forming, motorcycle</t>
        </is>
      </c>
      <c r="B35" s="11">
        <v>0.79225352112676051</v>
      </c>
      <c r="C35" t="inlineStr">
        <is>
          <t>RER</t>
        </is>
      </c>
      <c r="D35" t="s">
        <v>76</v>
      </c>
      <c r="F35" t="s">
        <v>88</v>
      </c>
      <c r="G35" t="s">
        <v>412</v>
      </c>
      <c r="H35" t="inlineStr">
        <is>
          <t xml:space="preserve">fuel tank forming, motorcycle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 xml:space="preserve">mechanical powertrain production, motorcycle, gasoline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0.78749999999999998</v>
      </c>
      <c r="C72" t="s">
        <v>91</v>
      </c>
      <c r="D72" t="s">
        <v>76</v>
      </c>
      <c r="F72" t="s">
        <v>88</v>
      </c>
      <c r="G72" t="s">
        <v>24</v>
      </c>
      <c r="H72" t="s">
        <v>114</v>
      </c>
    </row>
    <row r="73" spans="1:8" x14ac:dyDescent="0.2">
      <c r="A73" t="inlineStr">
        <is>
          <t xml:space="preserve">fuel tank forming, motorcycle</t>
        </is>
      </c>
      <c r="B73" s="11">
        <v>0.79225352112676051</v>
      </c>
      <c r="C73" t="inlineStr">
        <is>
          <t>RER</t>
        </is>
      </c>
      <c r="D73" t="s">
        <v>76</v>
      </c>
      <c r="F73" t="s">
        <v>88</v>
      </c>
      <c r="G73" t="s">
        <v>412</v>
      </c>
      <c r="H73" t="inlineStr">
        <is>
          <t xml:space="preserve">fuel tank forming, motorcycle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 xml:space="preserve">mechanical powertrain production, motorcycle, gasoline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0.78749999999999998</v>
      </c>
      <c r="C110" t="s">
        <v>91</v>
      </c>
      <c r="D110" t="s">
        <v>76</v>
      </c>
      <c r="F110" t="s">
        <v>88</v>
      </c>
      <c r="G110" t="s">
        <v>24</v>
      </c>
      <c r="H110" t="s">
        <v>114</v>
      </c>
    </row>
    <row r="111" spans="1:8" x14ac:dyDescent="0.2">
      <c r="A111" t="inlineStr">
        <is>
          <t xml:space="preserve">fuel tank forming, motorcycle</t>
        </is>
      </c>
      <c r="B111" s="11">
        <v>0.79225352112676051</v>
      </c>
      <c r="C111" t="inlineStr">
        <is>
          <t>RER</t>
        </is>
      </c>
      <c r="D111" t="s">
        <v>76</v>
      </c>
      <c r="F111" t="s">
        <v>88</v>
      </c>
      <c r="G111" t="s">
        <v>412</v>
      </c>
      <c r="H111" t="inlineStr">
        <is>
          <t xml:space="preserve">fuel tank forming, motorcycle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 xml:space="preserve">mechanical powertrain production, motorcycle, gasoline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1.0125</v>
      </c>
      <c r="C34" t="s">
        <v>91</v>
      </c>
      <c r="D34" t="s">
        <v>76</v>
      </c>
      <c r="F34" t="s">
        <v>88</v>
      </c>
      <c r="G34" t="s">
        <v>24</v>
      </c>
      <c r="H34" t="s">
        <v>114</v>
      </c>
    </row>
    <row r="35" spans="1:8" x14ac:dyDescent="0.2">
      <c r="A35" t="inlineStr">
        <is>
          <t xml:space="preserve">fuel tank forming, motorcycle</t>
        </is>
      </c>
      <c r="B35" s="11">
        <v>1.0186116700201207</v>
      </c>
      <c r="C35" t="inlineStr">
        <is>
          <t>RER</t>
        </is>
      </c>
      <c r="D35" t="s">
        <v>76</v>
      </c>
      <c r="F35" t="s">
        <v>88</v>
      </c>
      <c r="G35" t="s">
        <v>412</v>
      </c>
      <c r="H35" t="inlineStr">
        <is>
          <t xml:space="preserve">fuel tank forming, motorcycle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 xml:space="preserve">mechanical powertrain production, motorcycle, gasoline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1.0125</v>
      </c>
      <c r="C72" t="s">
        <v>91</v>
      </c>
      <c r="D72" t="s">
        <v>76</v>
      </c>
      <c r="F72" t="s">
        <v>88</v>
      </c>
      <c r="G72" t="s">
        <v>24</v>
      </c>
      <c r="H72" t="s">
        <v>114</v>
      </c>
    </row>
    <row r="73" spans="1:8" x14ac:dyDescent="0.2">
      <c r="A73" t="inlineStr">
        <is>
          <t xml:space="preserve">fuel tank forming, motorcycle</t>
        </is>
      </c>
      <c r="B73" s="11">
        <v>1.0186116700201207</v>
      </c>
      <c r="C73" t="inlineStr">
        <is>
          <t>RER</t>
        </is>
      </c>
      <c r="D73" t="s">
        <v>76</v>
      </c>
      <c r="F73" t="s">
        <v>88</v>
      </c>
      <c r="G73" t="s">
        <v>412</v>
      </c>
      <c r="H73" t="inlineStr">
        <is>
          <t xml:space="preserve">fuel tank forming, motorcycle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 xml:space="preserve">mechanical powertrain production, motorcycle, gasoline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1.0125</v>
      </c>
      <c r="C110" t="s">
        <v>91</v>
      </c>
      <c r="D110" t="s">
        <v>76</v>
      </c>
      <c r="F110" t="s">
        <v>88</v>
      </c>
      <c r="G110" t="s">
        <v>24</v>
      </c>
      <c r="H110" t="s">
        <v>114</v>
      </c>
    </row>
    <row r="111" spans="1:8" x14ac:dyDescent="0.2">
      <c r="A111" t="inlineStr">
        <is>
          <t xml:space="preserve">fuel tank forming, motorcycle</t>
        </is>
      </c>
      <c r="B111" s="11">
        <v>1.0186116700201207</v>
      </c>
      <c r="C111" t="inlineStr">
        <is>
          <t>RER</t>
        </is>
      </c>
      <c r="D111" t="s">
        <v>76</v>
      </c>
      <c r="F111" t="s">
        <v>88</v>
      </c>
      <c r="G111" t="s">
        <v>412</v>
      </c>
      <c r="H111" t="inlineStr">
        <is>
          <t xml:space="preserve">fuel tank forming, motorcycle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 xml:space="preserve">mechanical powertrain production, motorcycle, electric</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5.5944608</v>
      </c>
      <c r="C36" t="inlineStr">
        <is>
          <t>GLO</t>
        </is>
      </c>
      <c r="D36" t="s">
        <v>76</v>
      </c>
      <c r="F36" t="s">
        <v>88</v>
      </c>
      <c r="G36" t="s">
        <v>269</v>
      </c>
      <c r="H36" t="inlineStr">
        <is>
          <t xml:space="preserve">electric powertrain, two-wheeler, motor and controller, without charger</t>
        </is>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0.03706558530781863</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 xml:space="preserve">mechanical powertrain production, motorcycle, electric</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11.1889216</v>
      </c>
      <c r="C36" t="inlineStr">
        <is>
          <t>GLO</t>
        </is>
      </c>
      <c r="D36" t="s">
        <v>76</v>
      </c>
      <c r="F36" t="s">
        <v>88</v>
      </c>
      <c r="G36" t="s">
        <v>269</v>
      </c>
      <c r="H36" t="inlineStr">
        <is>
          <t xml:space="preserve">electric powertrain, two-wheeler, motor and controller, without charger</t>
        </is>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0.0526152670991009</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 xml:space="preserve">mechanical powertrain production, motorcycle, gasoline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 xml:space="preserve">mechanical powertrain production, motorcycle, gasoline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 xml:space="preserve">mechanical powertrain, motorcycle, gasoline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 xml:space="preserve">mechanical powertrain production, motorcycle, gasoline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 xml:space="preserve">mechanical powertrain, motorcycle, gasoline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0.006852955319406208</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0.012585816905383755</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0.009641200878691726</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39"/>
  <sheetViews>
    <sheetView topLeftCell="A133" workbookViewId="0">
      <selection activeCell="B136" sqref="B1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8" ht="16" x14ac:dyDescent="0.2">
      <c r="A1" s="10" t="s">
        <v>70</v>
      </c>
      <c r="B1" s="8" t="s">
        <v>358</v>
      </c>
    </row>
    <row r="2" spans="1:8" x14ac:dyDescent="0.2">
      <c r="A2" t="s">
        <v>71</v>
      </c>
      <c r="B2" t="s">
        <v>94</v>
      </c>
    </row>
    <row r="3" spans="1:8" x14ac:dyDescent="0.2">
      <c r="A3" t="s">
        <v>72</v>
      </c>
      <c r="B3" t="str">
        <f>B1</f>
        <v>charging station, 100W</v>
      </c>
    </row>
    <row r="4" spans="1:8" x14ac:dyDescent="0.2">
      <c r="A4" t="s">
        <v>73</v>
      </c>
      <c r="B4" t="s">
        <v>74</v>
      </c>
    </row>
    <row r="5" spans="1:8" x14ac:dyDescent="0.2">
      <c r="A5" t="s">
        <v>75</v>
      </c>
      <c r="B5" t="s">
        <v>75</v>
      </c>
    </row>
    <row r="6" spans="1:8" x14ac:dyDescent="0.2">
      <c r="A6" t="s">
        <v>77</v>
      </c>
      <c r="B6" t="s">
        <v>518</v>
      </c>
    </row>
    <row r="7" spans="1:8" x14ac:dyDescent="0.2">
      <c r="A7" t="s">
        <v>82</v>
      </c>
      <c r="B7" t="s">
        <v>359</v>
      </c>
    </row>
    <row r="8" spans="1:8" ht="16" x14ac:dyDescent="0.2">
      <c r="A8" s="10" t="s">
        <v>78</v>
      </c>
    </row>
    <row r="9" spans="1:8" x14ac:dyDescent="0.2">
      <c r="A9" t="s">
        <v>79</v>
      </c>
      <c r="B9" t="s">
        <v>80</v>
      </c>
      <c r="C9" t="s">
        <v>71</v>
      </c>
      <c r="D9" t="s">
        <v>75</v>
      </c>
      <c r="E9" t="s">
        <v>81</v>
      </c>
      <c r="F9" t="s">
        <v>73</v>
      </c>
      <c r="G9" t="s">
        <v>82</v>
      </c>
      <c r="H9" t="s">
        <v>72</v>
      </c>
    </row>
    <row r="10" spans="1:8" x14ac:dyDescent="0.2">
      <c r="A10" t="str">
        <f>B1</f>
        <v>charging station, 100W</v>
      </c>
      <c r="B10">
        <v>1</v>
      </c>
      <c r="C10" t="str">
        <f>B2</f>
        <v>GLO</v>
      </c>
      <c r="D10" t="str">
        <f>B5</f>
        <v>unit</v>
      </c>
      <c r="F10" t="s">
        <v>83</v>
      </c>
      <c r="G10" t="s">
        <v>84</v>
      </c>
      <c r="H10" t="str">
        <f>B3</f>
        <v>charging station, 100W</v>
      </c>
    </row>
    <row r="11" spans="1:8" x14ac:dyDescent="0.2">
      <c r="A11" s="13" t="s">
        <v>172</v>
      </c>
      <c r="B11" s="5">
        <f>0.5/3</f>
        <v>0.16666666666666666</v>
      </c>
      <c r="C11" t="s">
        <v>94</v>
      </c>
      <c r="D11" t="s">
        <v>76</v>
      </c>
      <c r="F11" t="s">
        <v>88</v>
      </c>
      <c r="H11" t="s">
        <v>173</v>
      </c>
    </row>
    <row r="12" spans="1:8" x14ac:dyDescent="0.2">
      <c r="A12" s="13" t="s">
        <v>214</v>
      </c>
      <c r="B12" s="5">
        <f>15900*(B11/1000)</f>
        <v>2.65</v>
      </c>
      <c r="C12" t="s">
        <v>94</v>
      </c>
      <c r="D12" t="s">
        <v>191</v>
      </c>
      <c r="F12" t="s">
        <v>88</v>
      </c>
      <c r="H12" t="s">
        <v>214</v>
      </c>
    </row>
    <row r="13" spans="1:8" x14ac:dyDescent="0.2">
      <c r="A13" s="13" t="s">
        <v>443</v>
      </c>
      <c r="B13" s="5">
        <f>1000*(B11/1000)</f>
        <v>0.16666666666666666</v>
      </c>
      <c r="C13" t="s">
        <v>91</v>
      </c>
      <c r="D13" t="s">
        <v>191</v>
      </c>
      <c r="F13" t="s">
        <v>88</v>
      </c>
      <c r="H13" t="s">
        <v>444</v>
      </c>
    </row>
    <row r="14" spans="1:8" x14ac:dyDescent="0.2">
      <c r="A14" t="s">
        <v>174</v>
      </c>
      <c r="B14" s="5">
        <f>-1*B11</f>
        <v>-0.16666666666666666</v>
      </c>
      <c r="C14" t="s">
        <v>94</v>
      </c>
      <c r="D14" t="s">
        <v>76</v>
      </c>
      <c r="F14" t="s">
        <v>88</v>
      </c>
      <c r="H14" t="s">
        <v>175</v>
      </c>
    </row>
    <row r="15" spans="1:8" x14ac:dyDescent="0.2">
      <c r="B15" s="11"/>
    </row>
    <row r="16" spans="1:8" ht="16" x14ac:dyDescent="0.2">
      <c r="A16" s="10" t="s">
        <v>70</v>
      </c>
      <c r="B16" s="8" t="s">
        <v>184</v>
      </c>
    </row>
    <row r="17" spans="1:8" x14ac:dyDescent="0.2">
      <c r="A17" t="s">
        <v>71</v>
      </c>
      <c r="B17" t="s">
        <v>94</v>
      </c>
    </row>
    <row r="18" spans="1:8" x14ac:dyDescent="0.2">
      <c r="A18" t="s">
        <v>72</v>
      </c>
      <c r="B18" t="str">
        <f>B16</f>
        <v>charging station, 500W</v>
      </c>
    </row>
    <row r="19" spans="1:8" x14ac:dyDescent="0.2">
      <c r="A19" t="s">
        <v>73</v>
      </c>
      <c r="B19" t="s">
        <v>74</v>
      </c>
    </row>
    <row r="20" spans="1:8" x14ac:dyDescent="0.2">
      <c r="A20" t="s">
        <v>75</v>
      </c>
      <c r="B20" t="s">
        <v>75</v>
      </c>
    </row>
    <row r="21" spans="1:8" x14ac:dyDescent="0.2">
      <c r="A21" t="s">
        <v>77</v>
      </c>
      <c r="B21" t="s">
        <v>518</v>
      </c>
    </row>
    <row r="22" spans="1:8" x14ac:dyDescent="0.2">
      <c r="A22" t="s">
        <v>82</v>
      </c>
      <c r="B22" t="s">
        <v>213</v>
      </c>
    </row>
    <row r="23" spans="1:8" ht="16" x14ac:dyDescent="0.2">
      <c r="A23" s="10" t="s">
        <v>78</v>
      </c>
    </row>
    <row r="24" spans="1:8" x14ac:dyDescent="0.2">
      <c r="A24" t="s">
        <v>79</v>
      </c>
      <c r="B24" t="s">
        <v>80</v>
      </c>
      <c r="C24" t="s">
        <v>71</v>
      </c>
      <c r="D24" t="s">
        <v>75</v>
      </c>
      <c r="E24" t="s">
        <v>81</v>
      </c>
      <c r="F24" t="s">
        <v>73</v>
      </c>
      <c r="G24" t="s">
        <v>82</v>
      </c>
      <c r="H24" t="s">
        <v>72</v>
      </c>
    </row>
    <row r="25" spans="1:8" x14ac:dyDescent="0.2">
      <c r="A25" t="str">
        <f>B16</f>
        <v>charging station, 500W</v>
      </c>
      <c r="B25">
        <v>1</v>
      </c>
      <c r="C25" t="str">
        <f>B17</f>
        <v>GLO</v>
      </c>
      <c r="D25" t="str">
        <f>B20</f>
        <v>unit</v>
      </c>
      <c r="F25" t="s">
        <v>83</v>
      </c>
      <c r="G25" t="s">
        <v>84</v>
      </c>
      <c r="H25" t="str">
        <f>B18</f>
        <v>charging station, 500W</v>
      </c>
    </row>
    <row r="26" spans="1:8" x14ac:dyDescent="0.2">
      <c r="A26" s="13" t="s">
        <v>172</v>
      </c>
      <c r="B26" s="5">
        <v>0.5</v>
      </c>
      <c r="C26" t="s">
        <v>94</v>
      </c>
      <c r="D26" t="s">
        <v>76</v>
      </c>
      <c r="F26" t="s">
        <v>88</v>
      </c>
      <c r="H26" t="s">
        <v>173</v>
      </c>
    </row>
    <row r="27" spans="1:8" x14ac:dyDescent="0.2">
      <c r="A27" s="13" t="s">
        <v>214</v>
      </c>
      <c r="B27" s="5">
        <f>15900*(B26/1000)</f>
        <v>7.95</v>
      </c>
      <c r="C27" t="s">
        <v>94</v>
      </c>
      <c r="D27" t="s">
        <v>191</v>
      </c>
      <c r="F27" t="s">
        <v>88</v>
      </c>
      <c r="H27" t="s">
        <v>214</v>
      </c>
    </row>
    <row r="28" spans="1:8" x14ac:dyDescent="0.2">
      <c r="A28" s="13" t="s">
        <v>443</v>
      </c>
      <c r="B28" s="5">
        <f>1000*(B26/1000)</f>
        <v>0.5</v>
      </c>
      <c r="C28" t="s">
        <v>91</v>
      </c>
      <c r="D28" t="s">
        <v>191</v>
      </c>
      <c r="F28" t="s">
        <v>88</v>
      </c>
      <c r="H28" t="s">
        <v>444</v>
      </c>
    </row>
    <row r="29" spans="1:8" x14ac:dyDescent="0.2">
      <c r="A29" t="s">
        <v>174</v>
      </c>
      <c r="B29" s="5">
        <f>-1*B26</f>
        <v>-0.5</v>
      </c>
      <c r="C29" t="s">
        <v>94</v>
      </c>
      <c r="D29" t="s">
        <v>76</v>
      </c>
      <c r="F29" t="s">
        <v>88</v>
      </c>
      <c r="H29" t="s">
        <v>175</v>
      </c>
    </row>
    <row r="30" spans="1:8" x14ac:dyDescent="0.2">
      <c r="B30" s="11"/>
    </row>
    <row r="31" spans="1:8" ht="16" x14ac:dyDescent="0.2">
      <c r="A31" s="10" t="s">
        <v>70</v>
      </c>
      <c r="B31" s="8" t="s">
        <v>185</v>
      </c>
    </row>
    <row r="32" spans="1:8" x14ac:dyDescent="0.2">
      <c r="A32" t="s">
        <v>71</v>
      </c>
      <c r="B32" t="s">
        <v>94</v>
      </c>
    </row>
    <row r="33" spans="1:8" x14ac:dyDescent="0.2">
      <c r="A33" t="s">
        <v>72</v>
      </c>
      <c r="B33" t="str">
        <f>B31</f>
        <v>charging station, 3kW</v>
      </c>
    </row>
    <row r="34" spans="1:8" x14ac:dyDescent="0.2">
      <c r="A34" t="s">
        <v>73</v>
      </c>
      <c r="B34" t="s">
        <v>74</v>
      </c>
    </row>
    <row r="35" spans="1:8" x14ac:dyDescent="0.2">
      <c r="A35" t="s">
        <v>75</v>
      </c>
      <c r="B35" t="s">
        <v>75</v>
      </c>
    </row>
    <row r="36" spans="1:8" x14ac:dyDescent="0.2">
      <c r="A36" t="s">
        <v>77</v>
      </c>
      <c r="B36" t="s">
        <v>518</v>
      </c>
    </row>
    <row r="37" spans="1:8" x14ac:dyDescent="0.2">
      <c r="A37" t="s">
        <v>82</v>
      </c>
      <c r="B37"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
PREVIOUS NOTES (retained as history; the correction above takes precedence):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Uses an electric scooter charger from ecoinvent 3.7 as a proxy.</t>
        </is>
      </c>
    </row>
    <row r="38" spans="1:8" ht="16" x14ac:dyDescent="0.2">
      <c r="A38" s="10" t="s">
        <v>78</v>
      </c>
    </row>
    <row r="39" spans="1:8" x14ac:dyDescent="0.2">
      <c r="A39" t="s">
        <v>79</v>
      </c>
      <c r="B39" t="s">
        <v>80</v>
      </c>
      <c r="C39" t="s">
        <v>71</v>
      </c>
      <c r="D39" t="s">
        <v>75</v>
      </c>
      <c r="E39" t="s">
        <v>81</v>
      </c>
      <c r="F39" t="s">
        <v>73</v>
      </c>
      <c r="G39" t="s">
        <v>82</v>
      </c>
      <c r="H39" t="s">
        <v>72</v>
      </c>
    </row>
    <row r="40" spans="1:8" x14ac:dyDescent="0.2">
      <c r="A40" t="str">
        <f>B31</f>
        <v>charging station, 3kW</v>
      </c>
      <c r="B40">
        <v>1</v>
      </c>
      <c r="C40" t="str">
        <f>B32</f>
        <v>GLO</v>
      </c>
      <c r="D40" t="str">
        <f>B35</f>
        <v>unit</v>
      </c>
      <c r="F40" t="s">
        <v>83</v>
      </c>
      <c r="G40"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0" t="str">
        <f>B33</f>
        <v>charging station, 3kW</v>
      </c>
    </row>
    <row r="41" spans="1:8" x14ac:dyDescent="0.2">
      <c r="A41" s="13" t="s">
        <v>172</v>
      </c>
      <c r="B41" s="5">
        <v>9.075</v>
      </c>
      <c r="C41" t="s">
        <v>94</v>
      </c>
      <c r="D41" t="s">
        <v>76</v>
      </c>
      <c r="F41" t="s">
        <v>88</v>
      </c>
      <c r="H41" t="s">
        <v>173</v>
      </c>
    </row>
    <row r="42" spans="1:8" x14ac:dyDescent="0.2">
      <c r="A42" s="13" t="s">
        <v>214</v>
      </c>
      <c r="B42" s="5">
        <f>144.29250000000002</f>
        <v>144.29250000000002</v>
      </c>
      <c r="C42" t="s">
        <v>94</v>
      </c>
      <c r="D42" t="s">
        <v>191</v>
      </c>
      <c r="F42" t="s">
        <v>88</v>
      </c>
      <c r="G42"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2" t="s">
        <v>214</v>
      </c>
    </row>
    <row r="43" spans="1:8" x14ac:dyDescent="0.2">
      <c r="A43" s="13" t="s">
        <v>443</v>
      </c>
      <c r="B43" s="5">
        <f>9.075</f>
        <v>9.075</v>
      </c>
      <c r="C43" t="s">
        <v>91</v>
      </c>
      <c r="D43" t="s">
        <v>191</v>
      </c>
      <c r="F43" t="s">
        <v>88</v>
      </c>
      <c r="G43"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3" t="s">
        <v>444</v>
      </c>
    </row>
    <row r="44" spans="1:8" x14ac:dyDescent="0.2">
      <c r="A44" t="s">
        <v>174</v>
      </c>
      <c r="B44" s="5">
        <f>-9.075</f>
        <v>-9.075</v>
      </c>
      <c r="C44" t="s">
        <v>94</v>
      </c>
      <c r="D44" t="s">
        <v>76</v>
      </c>
      <c r="F44" t="s">
        <v>88</v>
      </c>
      <c r="G44"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4" t="s">
        <v>175</v>
      </c>
    </row>
    <row r="46" spans="1:8" ht="16" x14ac:dyDescent="0.2">
      <c r="A46" s="10" t="s">
        <v>70</v>
      </c>
      <c r="B46" s="10" t="s">
        <v>540</v>
      </c>
    </row>
    <row r="47" spans="1:8" x14ac:dyDescent="0.2">
      <c r="A47" t="s">
        <v>82</v>
      </c>
      <c r="B47" t="s">
        <v>539</v>
      </c>
    </row>
    <row r="48" spans="1:8" x14ac:dyDescent="0.2">
      <c r="A48" t="s">
        <v>71</v>
      </c>
      <c r="B48" t="s">
        <v>94</v>
      </c>
    </row>
    <row r="49" spans="1:7" x14ac:dyDescent="0.2">
      <c r="A49" t="s">
        <v>176</v>
      </c>
      <c r="B49">
        <v>1</v>
      </c>
    </row>
    <row r="50" spans="1:7" x14ac:dyDescent="0.2">
      <c r="A50" t="s">
        <v>72</v>
      </c>
      <c r="B50" t="s">
        <v>540</v>
      </c>
    </row>
    <row r="51" spans="1:7" x14ac:dyDescent="0.2">
      <c r="A51" t="s">
        <v>75</v>
      </c>
      <c r="B51" t="s">
        <v>76</v>
      </c>
    </row>
    <row r="52" spans="1:7" ht="16" x14ac:dyDescent="0.2">
      <c r="A52" s="10" t="s">
        <v>78</v>
      </c>
    </row>
    <row r="53" spans="1:7" x14ac:dyDescent="0.2">
      <c r="A53" t="s">
        <v>79</v>
      </c>
      <c r="B53" t="s">
        <v>80</v>
      </c>
      <c r="C53" t="s">
        <v>178</v>
      </c>
      <c r="D53" t="s">
        <v>71</v>
      </c>
      <c r="E53" t="s">
        <v>75</v>
      </c>
      <c r="F53" t="s">
        <v>73</v>
      </c>
      <c r="G53" t="s">
        <v>72</v>
      </c>
    </row>
    <row r="54" spans="1:7" x14ac:dyDescent="0.2">
      <c r="A54" t="s">
        <v>540</v>
      </c>
      <c r="B54">
        <v>1</v>
      </c>
      <c r="C54" t="s">
        <v>177</v>
      </c>
      <c r="D54" t="s">
        <v>94</v>
      </c>
      <c r="E54" t="s">
        <v>76</v>
      </c>
      <c r="F54" t="s">
        <v>83</v>
      </c>
      <c r="G54" t="s">
        <v>540</v>
      </c>
    </row>
    <row r="55" spans="1:7" x14ac:dyDescent="0.2">
      <c r="A55" t="s">
        <v>181</v>
      </c>
      <c r="B55">
        <v>1.77</v>
      </c>
      <c r="C55" t="s">
        <v>182</v>
      </c>
      <c r="D55" t="s">
        <v>94</v>
      </c>
      <c r="E55" t="s">
        <v>76</v>
      </c>
      <c r="F55" t="s">
        <v>88</v>
      </c>
      <c r="G55" t="s">
        <v>183</v>
      </c>
    </row>
    <row r="56" spans="1:7" x14ac:dyDescent="0.2">
      <c r="A56" t="s">
        <v>179</v>
      </c>
      <c r="B56">
        <v>0.8</v>
      </c>
      <c r="C56" t="s">
        <v>182</v>
      </c>
      <c r="D56" t="s">
        <v>94</v>
      </c>
      <c r="E56" t="s">
        <v>76</v>
      </c>
      <c r="F56" t="s">
        <v>88</v>
      </c>
      <c r="G56" t="s">
        <v>180</v>
      </c>
    </row>
    <row r="57" spans="1:7" x14ac:dyDescent="0.2">
      <c r="A57" t="s">
        <v>200</v>
      </c>
      <c r="B57">
        <v>0.8</v>
      </c>
      <c r="C57" t="s">
        <v>182</v>
      </c>
      <c r="D57" t="s">
        <v>91</v>
      </c>
      <c r="E57" t="s">
        <v>76</v>
      </c>
      <c r="F57" t="s">
        <v>88</v>
      </c>
      <c r="G57" t="s">
        <v>200</v>
      </c>
    </row>
    <row r="58" spans="1:7" x14ac:dyDescent="0.2">
      <c r="A58" t="s">
        <v>181</v>
      </c>
      <c r="B58">
        <v>-3.57</v>
      </c>
      <c r="C58" t="s">
        <v>182</v>
      </c>
      <c r="D58" t="s">
        <v>94</v>
      </c>
      <c r="E58" t="s">
        <v>76</v>
      </c>
      <c r="F58" t="s">
        <v>88</v>
      </c>
      <c r="G58" t="s">
        <v>183</v>
      </c>
    </row>
    <row r="61" spans="1:7" ht="16" x14ac:dyDescent="0.2">
      <c r="A61" s="10" t="s">
        <v>70</v>
      </c>
      <c r="B61" s="10" t="s">
        <v>247</v>
      </c>
    </row>
    <row r="62" spans="1:7" x14ac:dyDescent="0.2">
      <c r="A62" t="s">
        <v>82</v>
      </c>
      <c r="B62" t="s">
        <v>84</v>
      </c>
    </row>
    <row r="63" spans="1:7" x14ac:dyDescent="0.2">
      <c r="A63" t="s">
        <v>71</v>
      </c>
      <c r="B63" t="s">
        <v>91</v>
      </c>
    </row>
    <row r="64" spans="1:7" x14ac:dyDescent="0.2">
      <c r="A64" t="s">
        <v>176</v>
      </c>
      <c r="B64">
        <v>1</v>
      </c>
    </row>
    <row r="65" spans="1:8" x14ac:dyDescent="0.2">
      <c r="A65" t="s">
        <v>72</v>
      </c>
      <c r="B65" t="s">
        <v>246</v>
      </c>
    </row>
    <row r="66" spans="1:8" x14ac:dyDescent="0.2">
      <c r="A66" t="s">
        <v>75</v>
      </c>
      <c r="B66" t="s">
        <v>75</v>
      </c>
    </row>
    <row r="67" spans="1:8" x14ac:dyDescent="0.2">
      <c r="A67" t="s">
        <v>82</v>
      </c>
      <c r="B67" t="s">
        <v>245</v>
      </c>
    </row>
    <row r="68" spans="1:8" ht="16" x14ac:dyDescent="0.2">
      <c r="A68" s="10" t="s">
        <v>78</v>
      </c>
    </row>
    <row r="69" spans="1:8" x14ac:dyDescent="0.2">
      <c r="A69" t="s">
        <v>79</v>
      </c>
      <c r="B69" t="s">
        <v>80</v>
      </c>
      <c r="C69" t="s">
        <v>178</v>
      </c>
      <c r="D69" t="s">
        <v>71</v>
      </c>
      <c r="E69" t="s">
        <v>81</v>
      </c>
      <c r="F69" t="s">
        <v>75</v>
      </c>
      <c r="G69" t="s">
        <v>73</v>
      </c>
      <c r="H69" t="s">
        <v>72</v>
      </c>
    </row>
    <row r="70" spans="1:8" x14ac:dyDescent="0.2">
      <c r="A70" t="s">
        <v>247</v>
      </c>
      <c r="B70">
        <v>1</v>
      </c>
      <c r="C70" t="s">
        <v>177</v>
      </c>
      <c r="D70" t="s">
        <v>91</v>
      </c>
      <c r="F70" t="s">
        <v>75</v>
      </c>
      <c r="G70" t="s">
        <v>83</v>
      </c>
      <c r="H70" t="s">
        <v>246</v>
      </c>
    </row>
    <row r="71" spans="1:8" x14ac:dyDescent="0.2">
      <c r="A71" t="s">
        <v>198</v>
      </c>
      <c r="B71">
        <v>4.6000000000000001E-10</v>
      </c>
      <c r="C71" t="s">
        <v>182</v>
      </c>
      <c r="D71" t="s">
        <v>94</v>
      </c>
      <c r="F71" t="s">
        <v>75</v>
      </c>
      <c r="G71" t="s">
        <v>88</v>
      </c>
      <c r="H71" t="s">
        <v>199</v>
      </c>
    </row>
    <row r="72" spans="1:8" x14ac:dyDescent="0.2">
      <c r="A72" t="s">
        <v>201</v>
      </c>
      <c r="B72">
        <v>1</v>
      </c>
      <c r="C72" t="s">
        <v>182</v>
      </c>
      <c r="D72" t="s">
        <v>94</v>
      </c>
      <c r="F72" t="s">
        <v>76</v>
      </c>
      <c r="G72" t="s">
        <v>88</v>
      </c>
      <c r="H72" t="s">
        <v>202</v>
      </c>
    </row>
    <row r="73" spans="1:8" x14ac:dyDescent="0.2">
      <c r="A73" t="s">
        <v>203</v>
      </c>
      <c r="B73">
        <v>1</v>
      </c>
      <c r="C73" t="s">
        <v>182</v>
      </c>
      <c r="D73" t="s">
        <v>94</v>
      </c>
      <c r="F73" t="s">
        <v>76</v>
      </c>
      <c r="G73" t="s">
        <v>88</v>
      </c>
      <c r="H73" t="s">
        <v>204</v>
      </c>
    </row>
    <row r="74" spans="1:8" x14ac:dyDescent="0.2">
      <c r="A74" t="s">
        <v>215</v>
      </c>
      <c r="B74">
        <v>1.9575</v>
      </c>
      <c r="C74" t="s">
        <v>182</v>
      </c>
      <c r="D74" t="s">
        <v>94</v>
      </c>
      <c r="F74" t="s">
        <v>76</v>
      </c>
      <c r="G74" t="s">
        <v>88</v>
      </c>
      <c r="H74" t="s">
        <v>114</v>
      </c>
    </row>
    <row r="75" spans="1:8" x14ac:dyDescent="0.2">
      <c r="A75" t="s">
        <v>197</v>
      </c>
      <c r="B75">
        <v>1.9575</v>
      </c>
      <c r="C75" t="s">
        <v>182</v>
      </c>
      <c r="D75" t="s">
        <v>91</v>
      </c>
      <c r="F75" t="s">
        <v>76</v>
      </c>
      <c r="G75" t="s">
        <v>88</v>
      </c>
      <c r="H75" t="s">
        <v>197</v>
      </c>
    </row>
    <row r="76" spans="1:8" x14ac:dyDescent="0.2">
      <c r="A76" t="s">
        <v>217</v>
      </c>
      <c r="B76" s="7">
        <v>1.3227E-9</v>
      </c>
      <c r="C76" t="s">
        <v>182</v>
      </c>
      <c r="D76" t="s">
        <v>91</v>
      </c>
      <c r="F76" t="s">
        <v>75</v>
      </c>
      <c r="G76" t="s">
        <v>88</v>
      </c>
      <c r="H76" t="s">
        <v>216</v>
      </c>
    </row>
    <row r="77" spans="1:8" x14ac:dyDescent="0.2">
      <c r="A77" t="s">
        <v>219</v>
      </c>
      <c r="B77">
        <v>-4.5</v>
      </c>
      <c r="C77" t="s">
        <v>182</v>
      </c>
      <c r="D77" t="s">
        <v>91</v>
      </c>
      <c r="F77" t="s">
        <v>76</v>
      </c>
      <c r="G77" t="s">
        <v>88</v>
      </c>
      <c r="H77" t="s">
        <v>218</v>
      </c>
    </row>
    <row r="78" spans="1:8" x14ac:dyDescent="0.2">
      <c r="A78" t="s">
        <v>220</v>
      </c>
      <c r="B78">
        <v>13.580249999999999</v>
      </c>
      <c r="C78" t="s">
        <v>182</v>
      </c>
      <c r="D78" t="s">
        <v>91</v>
      </c>
      <c r="F78" t="s">
        <v>189</v>
      </c>
      <c r="G78" t="s">
        <v>88</v>
      </c>
      <c r="H78" t="s">
        <v>193</v>
      </c>
    </row>
    <row r="79" spans="1:8" x14ac:dyDescent="0.2">
      <c r="A79" t="s">
        <v>221</v>
      </c>
      <c r="B79">
        <v>5.1220999999999997</v>
      </c>
      <c r="C79" t="s">
        <v>182</v>
      </c>
      <c r="D79" t="s">
        <v>94</v>
      </c>
      <c r="F79" t="s">
        <v>76</v>
      </c>
      <c r="G79" t="s">
        <v>88</v>
      </c>
      <c r="H79" t="s">
        <v>190</v>
      </c>
    </row>
    <row r="80" spans="1:8" x14ac:dyDescent="0.2">
      <c r="A80" t="s">
        <v>222</v>
      </c>
      <c r="B80">
        <v>0.33750000000000002</v>
      </c>
      <c r="C80" t="s">
        <v>182</v>
      </c>
      <c r="D80" t="s">
        <v>91</v>
      </c>
      <c r="F80" t="s">
        <v>76</v>
      </c>
      <c r="G80" t="s">
        <v>88</v>
      </c>
      <c r="H80" t="s">
        <v>222</v>
      </c>
    </row>
    <row r="81" spans="1:8" x14ac:dyDescent="0.2">
      <c r="A81" t="s">
        <v>192</v>
      </c>
      <c r="B81">
        <v>6.8902000000000001</v>
      </c>
      <c r="C81" t="s">
        <v>182</v>
      </c>
      <c r="D81" t="s">
        <v>91</v>
      </c>
      <c r="F81" t="s">
        <v>95</v>
      </c>
      <c r="G81" t="s">
        <v>88</v>
      </c>
      <c r="H81" t="s">
        <v>121</v>
      </c>
    </row>
    <row r="82" spans="1:8" x14ac:dyDescent="0.2">
      <c r="A82" t="s">
        <v>181</v>
      </c>
      <c r="B82">
        <v>4.9024999999999999</v>
      </c>
      <c r="C82" t="s">
        <v>182</v>
      </c>
      <c r="D82" t="s">
        <v>94</v>
      </c>
      <c r="F82" t="s">
        <v>76</v>
      </c>
      <c r="G82" t="s">
        <v>88</v>
      </c>
      <c r="H82" t="s">
        <v>183</v>
      </c>
    </row>
    <row r="83" spans="1:8" x14ac:dyDescent="0.2">
      <c r="A83" t="s">
        <v>223</v>
      </c>
      <c r="B83">
        <v>3.7663000000000002</v>
      </c>
      <c r="C83" t="s">
        <v>182</v>
      </c>
      <c r="D83" t="s">
        <v>91</v>
      </c>
      <c r="F83" t="s">
        <v>76</v>
      </c>
      <c r="G83" t="s">
        <v>88</v>
      </c>
      <c r="H83" t="s">
        <v>223</v>
      </c>
    </row>
    <row r="84" spans="1:8" x14ac:dyDescent="0.2">
      <c r="A84" t="s">
        <v>227</v>
      </c>
      <c r="B84">
        <v>0.19269800000000001</v>
      </c>
      <c r="C84" t="s">
        <v>182</v>
      </c>
      <c r="D84" t="s">
        <v>91</v>
      </c>
      <c r="F84" t="s">
        <v>189</v>
      </c>
      <c r="G84" t="s">
        <v>88</v>
      </c>
      <c r="H84" t="s">
        <v>226</v>
      </c>
    </row>
    <row r="85" spans="1:8" x14ac:dyDescent="0.2">
      <c r="A85" t="s">
        <v>229</v>
      </c>
      <c r="B85">
        <v>0.74399999999999999</v>
      </c>
      <c r="C85" t="s">
        <v>182</v>
      </c>
      <c r="D85" t="s">
        <v>91</v>
      </c>
      <c r="F85" t="s">
        <v>76</v>
      </c>
      <c r="G85" t="s">
        <v>88</v>
      </c>
      <c r="H85" t="s">
        <v>228</v>
      </c>
    </row>
    <row r="86" spans="1:8" x14ac:dyDescent="0.2">
      <c r="A86" t="s">
        <v>231</v>
      </c>
      <c r="B86">
        <v>2.4104000000000001</v>
      </c>
      <c r="C86" t="s">
        <v>182</v>
      </c>
      <c r="D86" t="s">
        <v>94</v>
      </c>
      <c r="F86" t="s">
        <v>76</v>
      </c>
      <c r="G86" t="s">
        <v>88</v>
      </c>
      <c r="H86" t="s">
        <v>230</v>
      </c>
    </row>
    <row r="87" spans="1:8" x14ac:dyDescent="0.2">
      <c r="A87" t="s">
        <v>233</v>
      </c>
      <c r="B87">
        <v>0.03</v>
      </c>
      <c r="C87" t="s">
        <v>182</v>
      </c>
      <c r="D87" t="s">
        <v>91</v>
      </c>
      <c r="F87" t="s">
        <v>76</v>
      </c>
      <c r="G87" t="s">
        <v>88</v>
      </c>
      <c r="H87" t="s">
        <v>232</v>
      </c>
    </row>
    <row r="88" spans="1:8" x14ac:dyDescent="0.2">
      <c r="A88" t="s">
        <v>195</v>
      </c>
      <c r="B88">
        <v>0.5625</v>
      </c>
      <c r="C88" t="s">
        <v>182</v>
      </c>
      <c r="D88" t="s">
        <v>94</v>
      </c>
      <c r="F88" t="s">
        <v>76</v>
      </c>
      <c r="G88" t="s">
        <v>88</v>
      </c>
      <c r="H88" t="s">
        <v>196</v>
      </c>
    </row>
    <row r="89" spans="1:8" x14ac:dyDescent="0.2">
      <c r="A89" t="s">
        <v>235</v>
      </c>
      <c r="B89">
        <v>1.59</v>
      </c>
      <c r="C89" t="s">
        <v>182</v>
      </c>
      <c r="D89" t="s">
        <v>94</v>
      </c>
      <c r="F89" t="s">
        <v>76</v>
      </c>
      <c r="G89" t="s">
        <v>88</v>
      </c>
      <c r="H89" t="s">
        <v>234</v>
      </c>
    </row>
    <row r="90" spans="1:8" x14ac:dyDescent="0.2">
      <c r="A90" t="s">
        <v>237</v>
      </c>
      <c r="B90">
        <v>0.35</v>
      </c>
      <c r="C90" t="s">
        <v>182</v>
      </c>
      <c r="D90" t="s">
        <v>91</v>
      </c>
      <c r="F90" t="s">
        <v>209</v>
      </c>
      <c r="G90" t="s">
        <v>88</v>
      </c>
      <c r="H90" t="s">
        <v>236</v>
      </c>
    </row>
    <row r="91" spans="1:8" x14ac:dyDescent="0.2">
      <c r="A91" t="s">
        <v>239</v>
      </c>
      <c r="B91">
        <v>0.159</v>
      </c>
      <c r="C91" t="s">
        <v>182</v>
      </c>
      <c r="D91" t="s">
        <v>91</v>
      </c>
      <c r="F91" t="s">
        <v>76</v>
      </c>
      <c r="G91" t="s">
        <v>88</v>
      </c>
      <c r="H91" t="s">
        <v>238</v>
      </c>
    </row>
    <row r="92" spans="1:8" x14ac:dyDescent="0.2">
      <c r="A92" t="s">
        <v>241</v>
      </c>
      <c r="B92">
        <v>0.75</v>
      </c>
      <c r="C92" t="s">
        <v>182</v>
      </c>
      <c r="D92" t="s">
        <v>91</v>
      </c>
      <c r="F92" t="s">
        <v>240</v>
      </c>
      <c r="G92" t="s">
        <v>88</v>
      </c>
      <c r="H92" t="s">
        <v>241</v>
      </c>
    </row>
    <row r="93" spans="1:8" x14ac:dyDescent="0.2">
      <c r="A93" t="s">
        <v>243</v>
      </c>
      <c r="B93">
        <v>-6.7137031720422395E-4</v>
      </c>
      <c r="C93" t="s">
        <v>182</v>
      </c>
      <c r="D93" t="s">
        <v>194</v>
      </c>
      <c r="F93" t="s">
        <v>208</v>
      </c>
      <c r="G93" t="s">
        <v>88</v>
      </c>
      <c r="H93" t="s">
        <v>242</v>
      </c>
    </row>
    <row r="94" spans="1:8" x14ac:dyDescent="0.2">
      <c r="A94" t="s">
        <v>243</v>
      </c>
      <c r="B94" s="7">
        <v>-7.2629682795775403E-5</v>
      </c>
      <c r="C94" t="s">
        <v>182</v>
      </c>
      <c r="D94" t="s">
        <v>37</v>
      </c>
      <c r="F94" t="s">
        <v>208</v>
      </c>
      <c r="G94" t="s">
        <v>88</v>
      </c>
      <c r="H94" t="s">
        <v>242</v>
      </c>
    </row>
    <row r="95" spans="1:8" x14ac:dyDescent="0.2">
      <c r="A95" t="s">
        <v>244</v>
      </c>
      <c r="B95">
        <v>1.116E-4</v>
      </c>
      <c r="C95" t="s">
        <v>206</v>
      </c>
      <c r="E95" t="s">
        <v>161</v>
      </c>
      <c r="F95" t="s">
        <v>208</v>
      </c>
      <c r="G95" t="s">
        <v>163</v>
      </c>
    </row>
    <row r="98" spans="1:8" ht="16" x14ac:dyDescent="0.2">
      <c r="A98" s="10" t="s">
        <v>70</v>
      </c>
      <c r="B98" s="10" t="s">
        <v>248</v>
      </c>
    </row>
    <row r="99" spans="1:8" x14ac:dyDescent="0.2">
      <c r="A99" t="s">
        <v>82</v>
      </c>
      <c r="B99" t="s">
        <v>84</v>
      </c>
    </row>
    <row r="100" spans="1:8" x14ac:dyDescent="0.2">
      <c r="A100" t="s">
        <v>71</v>
      </c>
      <c r="B100" t="s">
        <v>37</v>
      </c>
    </row>
    <row r="101" spans="1:8" x14ac:dyDescent="0.2">
      <c r="A101" t="s">
        <v>176</v>
      </c>
      <c r="B101">
        <v>1</v>
      </c>
    </row>
    <row r="102" spans="1:8" x14ac:dyDescent="0.2">
      <c r="A102" t="s">
        <v>72</v>
      </c>
      <c r="B102" t="s">
        <v>248</v>
      </c>
    </row>
    <row r="103" spans="1:8" x14ac:dyDescent="0.2">
      <c r="A103" t="s">
        <v>75</v>
      </c>
      <c r="B103" t="s">
        <v>75</v>
      </c>
    </row>
    <row r="104" spans="1:8" x14ac:dyDescent="0.2">
      <c r="A104" t="s">
        <v>82</v>
      </c>
      <c r="B104" t="s">
        <v>257</v>
      </c>
    </row>
    <row r="105" spans="1:8" ht="16" x14ac:dyDescent="0.2">
      <c r="A105" s="10" t="s">
        <v>78</v>
      </c>
    </row>
    <row r="106" spans="1:8" x14ac:dyDescent="0.2">
      <c r="A106" t="s">
        <v>79</v>
      </c>
      <c r="B106" t="s">
        <v>80</v>
      </c>
      <c r="C106" t="s">
        <v>178</v>
      </c>
      <c r="D106" t="s">
        <v>71</v>
      </c>
      <c r="E106" t="s">
        <v>81</v>
      </c>
      <c r="F106" t="s">
        <v>75</v>
      </c>
      <c r="G106" t="s">
        <v>73</v>
      </c>
      <c r="H106" t="s">
        <v>72</v>
      </c>
    </row>
    <row r="107" spans="1:8" x14ac:dyDescent="0.2">
      <c r="A107" t="s">
        <v>248</v>
      </c>
      <c r="B107">
        <v>1</v>
      </c>
      <c r="C107" t="s">
        <v>177</v>
      </c>
      <c r="D107" t="s">
        <v>37</v>
      </c>
      <c r="F107" t="s">
        <v>75</v>
      </c>
      <c r="G107" t="s">
        <v>83</v>
      </c>
      <c r="H107" t="s">
        <v>248</v>
      </c>
    </row>
    <row r="108" spans="1:8" x14ac:dyDescent="0.2">
      <c r="A108" t="s">
        <v>250</v>
      </c>
      <c r="B108">
        <v>0.37662000000000001</v>
      </c>
      <c r="C108" t="s">
        <v>256</v>
      </c>
      <c r="D108" t="s">
        <v>94</v>
      </c>
      <c r="F108" t="s">
        <v>76</v>
      </c>
      <c r="G108" t="s">
        <v>88</v>
      </c>
      <c r="H108" t="s">
        <v>249</v>
      </c>
    </row>
    <row r="109" spans="1:8" x14ac:dyDescent="0.2">
      <c r="A109" t="s">
        <v>239</v>
      </c>
      <c r="B109">
        <v>0.22825000000000001</v>
      </c>
      <c r="C109" t="s">
        <v>256</v>
      </c>
      <c r="D109" t="s">
        <v>91</v>
      </c>
      <c r="F109" t="s">
        <v>76</v>
      </c>
      <c r="G109" t="s">
        <v>88</v>
      </c>
      <c r="H109" t="s">
        <v>238</v>
      </c>
    </row>
    <row r="110" spans="1:8" x14ac:dyDescent="0.2">
      <c r="A110" t="s">
        <v>252</v>
      </c>
      <c r="B110">
        <v>-1.0087999999999999</v>
      </c>
      <c r="C110" t="s">
        <v>256</v>
      </c>
      <c r="D110" t="s">
        <v>37</v>
      </c>
      <c r="F110" t="s">
        <v>76</v>
      </c>
      <c r="G110" t="s">
        <v>88</v>
      </c>
      <c r="H110" t="s">
        <v>251</v>
      </c>
    </row>
    <row r="111" spans="1:8" x14ac:dyDescent="0.2">
      <c r="A111" t="s">
        <v>197</v>
      </c>
      <c r="B111">
        <v>0.97875000000000001</v>
      </c>
      <c r="C111" t="s">
        <v>256</v>
      </c>
      <c r="D111" t="s">
        <v>91</v>
      </c>
      <c r="F111" t="s">
        <v>76</v>
      </c>
      <c r="G111" t="s">
        <v>88</v>
      </c>
      <c r="H111" t="s">
        <v>197</v>
      </c>
    </row>
    <row r="112" spans="1:8" x14ac:dyDescent="0.2">
      <c r="A112" t="s">
        <v>195</v>
      </c>
      <c r="B112">
        <v>1.6875</v>
      </c>
      <c r="C112" t="s">
        <v>256</v>
      </c>
      <c r="D112" t="s">
        <v>94</v>
      </c>
      <c r="F112" t="s">
        <v>76</v>
      </c>
      <c r="G112" t="s">
        <v>88</v>
      </c>
      <c r="H112" t="s">
        <v>196</v>
      </c>
    </row>
    <row r="113" spans="1:8" x14ac:dyDescent="0.2">
      <c r="A113" t="s">
        <v>233</v>
      </c>
      <c r="B113">
        <v>0.03</v>
      </c>
      <c r="C113" t="s">
        <v>256</v>
      </c>
      <c r="D113" t="s">
        <v>91</v>
      </c>
      <c r="F113" t="s">
        <v>76</v>
      </c>
      <c r="G113" t="s">
        <v>88</v>
      </c>
      <c r="H113" t="s">
        <v>232</v>
      </c>
    </row>
    <row r="114" spans="1:8" x14ac:dyDescent="0.2">
      <c r="A114" t="s">
        <v>215</v>
      </c>
      <c r="B114">
        <v>0.97875000000000001</v>
      </c>
      <c r="C114" t="s">
        <v>256</v>
      </c>
      <c r="D114" t="s">
        <v>94</v>
      </c>
      <c r="F114" t="s">
        <v>76</v>
      </c>
      <c r="G114" t="s">
        <v>88</v>
      </c>
      <c r="H114" t="s">
        <v>114</v>
      </c>
    </row>
    <row r="115" spans="1:8" x14ac:dyDescent="0.2">
      <c r="A115" t="s">
        <v>254</v>
      </c>
      <c r="B115">
        <v>-0.84375</v>
      </c>
      <c r="C115" t="s">
        <v>256</v>
      </c>
      <c r="D115" t="s">
        <v>37</v>
      </c>
      <c r="F115" t="s">
        <v>76</v>
      </c>
      <c r="G115" t="s">
        <v>88</v>
      </c>
      <c r="H115" t="s">
        <v>253</v>
      </c>
    </row>
    <row r="116" spans="1:8" x14ac:dyDescent="0.2">
      <c r="A116" t="s">
        <v>255</v>
      </c>
      <c r="B116">
        <v>7.4399999999999994E-2</v>
      </c>
      <c r="C116" t="s">
        <v>256</v>
      </c>
      <c r="D116" t="s">
        <v>37</v>
      </c>
      <c r="F116" t="s">
        <v>76</v>
      </c>
      <c r="G116" t="s">
        <v>88</v>
      </c>
      <c r="H116" t="s">
        <v>228</v>
      </c>
    </row>
    <row r="117" spans="1:8" x14ac:dyDescent="0.2">
      <c r="A117" t="s">
        <v>181</v>
      </c>
      <c r="B117">
        <v>0.22825000000000001</v>
      </c>
      <c r="C117" t="s">
        <v>256</v>
      </c>
      <c r="D117" t="s">
        <v>94</v>
      </c>
      <c r="F117" t="s">
        <v>76</v>
      </c>
      <c r="G117" t="s">
        <v>88</v>
      </c>
      <c r="H117" t="s">
        <v>183</v>
      </c>
    </row>
    <row r="118" spans="1:8" x14ac:dyDescent="0.2">
      <c r="A118" t="s">
        <v>223</v>
      </c>
      <c r="B118">
        <v>0.37662000000000001</v>
      </c>
      <c r="C118" t="s">
        <v>256</v>
      </c>
      <c r="D118" t="s">
        <v>91</v>
      </c>
      <c r="F118" t="s">
        <v>76</v>
      </c>
      <c r="G118" t="s">
        <v>88</v>
      </c>
      <c r="H118" t="s">
        <v>223</v>
      </c>
    </row>
    <row r="119" spans="1:8" x14ac:dyDescent="0.2">
      <c r="A119" t="s">
        <v>244</v>
      </c>
      <c r="B119" s="7">
        <v>6.3239999999999998E-5</v>
      </c>
      <c r="C119" t="s">
        <v>206</v>
      </c>
      <c r="E119" t="s">
        <v>205</v>
      </c>
      <c r="F119" t="s">
        <v>208</v>
      </c>
      <c r="G119" t="s">
        <v>163</v>
      </c>
    </row>
    <row r="120" spans="1:8" x14ac:dyDescent="0.2">
      <c r="A120" t="s">
        <v>244</v>
      </c>
      <c r="B120" s="7">
        <v>1.116E-5</v>
      </c>
      <c r="C120" t="s">
        <v>206</v>
      </c>
      <c r="E120" t="s">
        <v>161</v>
      </c>
      <c r="F120" t="s">
        <v>208</v>
      </c>
      <c r="G120" t="s">
        <v>163</v>
      </c>
    </row>
    <row r="122" spans="1:8" ht="16" x14ac:dyDescent="0.2">
      <c r="A122" s="10" t="s">
        <v>70</v>
      </c>
      <c r="B122" s="21" t="s">
        <v>451</v>
      </c>
    </row>
    <row r="123" spans="1:8" x14ac:dyDescent="0.2">
      <c r="A123" t="s">
        <v>71</v>
      </c>
      <c r="B123" s="7" t="s">
        <v>37</v>
      </c>
    </row>
    <row r="124" spans="1:8" x14ac:dyDescent="0.2">
      <c r="A124" t="s">
        <v>176</v>
      </c>
      <c r="B124" s="7">
        <v>1</v>
      </c>
    </row>
    <row r="125" spans="1:8" ht="16" x14ac:dyDescent="0.2">
      <c r="A125" t="s">
        <v>72</v>
      </c>
      <c r="B125" s="22" t="s">
        <v>452</v>
      </c>
    </row>
    <row r="126" spans="1:8" x14ac:dyDescent="0.2">
      <c r="A126" t="s">
        <v>77</v>
      </c>
      <c r="B126" s="7" t="s">
        <v>453</v>
      </c>
    </row>
    <row r="127" spans="1:8" x14ac:dyDescent="0.2">
      <c r="A127" t="s">
        <v>73</v>
      </c>
      <c r="B127" s="7" t="s">
        <v>74</v>
      </c>
    </row>
    <row r="128" spans="1:8" x14ac:dyDescent="0.2">
      <c r="A128" t="s">
        <v>75</v>
      </c>
      <c r="B128" s="7" t="s">
        <v>76</v>
      </c>
    </row>
    <row r="129" spans="1:8" ht="16" x14ac:dyDescent="0.2">
      <c r="A129" s="10" t="s">
        <v>78</v>
      </c>
      <c r="B129" s="7"/>
    </row>
    <row r="130" spans="1:8" x14ac:dyDescent="0.2">
      <c r="A130" t="s">
        <v>79</v>
      </c>
      <c r="B130" s="7" t="s">
        <v>80</v>
      </c>
      <c r="C130" t="s">
        <v>71</v>
      </c>
      <c r="D130" t="s">
        <v>75</v>
      </c>
      <c r="E130" t="s">
        <v>81</v>
      </c>
      <c r="F130" t="s">
        <v>73</v>
      </c>
      <c r="G130" t="s">
        <v>72</v>
      </c>
    </row>
    <row r="131" spans="1:8" x14ac:dyDescent="0.2">
      <c r="A131" t="s">
        <v>451</v>
      </c>
      <c r="B131" s="7">
        <v>1</v>
      </c>
      <c r="C131" t="s">
        <v>37</v>
      </c>
      <c r="D131" t="s">
        <v>76</v>
      </c>
      <c r="F131" t="s">
        <v>83</v>
      </c>
      <c r="G131" t="s">
        <v>452</v>
      </c>
    </row>
    <row r="132" spans="1:8" x14ac:dyDescent="0.2">
      <c r="A132" t="s">
        <v>449</v>
      </c>
      <c r="B132" s="7">
        <v>1.2E-2</v>
      </c>
      <c r="C132" t="s">
        <v>91</v>
      </c>
      <c r="D132" t="s">
        <v>76</v>
      </c>
      <c r="F132" t="s">
        <v>88</v>
      </c>
      <c r="G132" t="s">
        <v>450</v>
      </c>
    </row>
    <row r="133" spans="1:8" x14ac:dyDescent="0.2">
      <c r="A133" t="s">
        <v>96</v>
      </c>
      <c r="B133" s="7">
        <f>1-B132</f>
        <v>0.98799999999999999</v>
      </c>
      <c r="C133" t="s">
        <v>37</v>
      </c>
      <c r="D133" t="s">
        <v>76</v>
      </c>
      <c r="F133" t="s">
        <v>88</v>
      </c>
      <c r="G133" t="s">
        <v>98</v>
      </c>
    </row>
    <row r="136" spans="1:8" ht="16" x14ac:dyDescent="0.2">
      <c r="A136" s="10" t="s">
        <v>70</v>
      </c>
      <c r="B136" s="10" t="s">
        <v>965</v>
      </c>
    </row>
    <row r="137" spans="1:8" x14ac:dyDescent="0.2">
      <c r="A137" t="s">
        <v>82</v>
      </c>
      <c r="B137" t="s">
        <v>84</v>
      </c>
    </row>
    <row r="138" spans="1:8" x14ac:dyDescent="0.2">
      <c r="A138" t="s">
        <v>71</v>
      </c>
      <c r="B138" t="s">
        <v>91</v>
      </c>
    </row>
    <row r="139" spans="1:8" x14ac:dyDescent="0.2">
      <c r="A139" t="s">
        <v>176</v>
      </c>
      <c r="B139">
        <v>1</v>
      </c>
    </row>
    <row r="140" spans="1:8" x14ac:dyDescent="0.2">
      <c r="A140" t="s">
        <v>72</v>
      </c>
      <c r="B140" t="s">
        <v>966</v>
      </c>
    </row>
    <row r="141" spans="1:8" x14ac:dyDescent="0.2">
      <c r="A141" t="s">
        <v>75</v>
      </c>
      <c r="B141" t="s">
        <v>75</v>
      </c>
    </row>
    <row r="142" spans="1:8" x14ac:dyDescent="0.2">
      <c r="A142" t="s">
        <v>82</v>
      </c>
      <c r="B142" t="s">
        <v>967</v>
      </c>
    </row>
    <row r="143" spans="1:8" ht="16" x14ac:dyDescent="0.2">
      <c r="A143" s="10" t="s">
        <v>78</v>
      </c>
    </row>
    <row r="144" spans="1:8" x14ac:dyDescent="0.2">
      <c r="A144" t="s">
        <v>79</v>
      </c>
      <c r="B144" t="s">
        <v>80</v>
      </c>
      <c r="C144" t="s">
        <v>178</v>
      </c>
      <c r="D144" t="s">
        <v>71</v>
      </c>
      <c r="E144" t="s">
        <v>81</v>
      </c>
      <c r="F144" t="s">
        <v>75</v>
      </c>
      <c r="G144" t="s">
        <v>73</v>
      </c>
      <c r="H144" t="s">
        <v>72</v>
      </c>
    </row>
    <row r="145" spans="1:8" x14ac:dyDescent="0.2">
      <c r="A145" t="s">
        <v>965</v>
      </c>
      <c r="B145">
        <v>1</v>
      </c>
      <c r="C145" t="s">
        <v>177</v>
      </c>
      <c r="D145" t="s">
        <v>91</v>
      </c>
      <c r="F145" t="s">
        <v>75</v>
      </c>
      <c r="G145" t="s">
        <v>83</v>
      </c>
      <c r="H145" t="s">
        <v>966</v>
      </c>
    </row>
    <row r="146" spans="1:8" x14ac:dyDescent="0.2">
      <c r="A146" t="s">
        <v>198</v>
      </c>
      <c r="B146">
        <v>4.6000000000000001E-10</v>
      </c>
      <c r="C146" t="s">
        <v>182</v>
      </c>
      <c r="D146" t="s">
        <v>94</v>
      </c>
      <c r="F146" t="s">
        <v>75</v>
      </c>
      <c r="G146" t="s">
        <v>88</v>
      </c>
      <c r="H146" t="s">
        <v>199</v>
      </c>
    </row>
    <row r="147" spans="1:8" x14ac:dyDescent="0.2">
      <c r="A147" t="s">
        <v>201</v>
      </c>
      <c r="B147">
        <v>1</v>
      </c>
      <c r="C147" t="s">
        <v>182</v>
      </c>
      <c r="D147" t="s">
        <v>94</v>
      </c>
      <c r="F147" t="s">
        <v>76</v>
      </c>
      <c r="G147" t="s">
        <v>88</v>
      </c>
      <c r="H147" t="s">
        <v>202</v>
      </c>
    </row>
    <row r="148" spans="1:8" x14ac:dyDescent="0.2">
      <c r="A148" t="s">
        <v>203</v>
      </c>
      <c r="B148">
        <v>1</v>
      </c>
      <c r="C148" t="s">
        <v>182</v>
      </c>
      <c r="D148" t="s">
        <v>94</v>
      </c>
      <c r="F148" t="s">
        <v>76</v>
      </c>
      <c r="G148" t="s">
        <v>88</v>
      </c>
      <c r="H148" t="s">
        <v>204</v>
      </c>
    </row>
    <row r="149" spans="1:8" x14ac:dyDescent="0.2">
      <c r="A149" t="s">
        <v>215</v>
      </c>
      <c r="B149">
        <v>1.9575</v>
      </c>
      <c r="C149" t="s">
        <v>182</v>
      </c>
      <c r="D149" t="s">
        <v>94</v>
      </c>
      <c r="F149" t="s">
        <v>76</v>
      </c>
      <c r="G149" t="s">
        <v>88</v>
      </c>
      <c r="H149" t="s">
        <v>114</v>
      </c>
    </row>
    <row r="150" spans="1:8" x14ac:dyDescent="0.2">
      <c r="A150" t="s">
        <v>197</v>
      </c>
      <c r="B150">
        <v>1.9575</v>
      </c>
      <c r="C150" t="s">
        <v>182</v>
      </c>
      <c r="D150" t="s">
        <v>91</v>
      </c>
      <c r="F150" t="s">
        <v>76</v>
      </c>
      <c r="G150" t="s">
        <v>88</v>
      </c>
      <c r="H150" t="s">
        <v>197</v>
      </c>
    </row>
    <row r="151" spans="1:8" x14ac:dyDescent="0.2">
      <c r="A151" t="s">
        <v>217</v>
      </c>
      <c r="B151" s="7">
        <v>1.3227E-9</v>
      </c>
      <c r="C151" t="s">
        <v>182</v>
      </c>
      <c r="D151" t="s">
        <v>91</v>
      </c>
      <c r="F151" t="s">
        <v>75</v>
      </c>
      <c r="G151" t="s">
        <v>88</v>
      </c>
      <c r="H151" t="s">
        <v>216</v>
      </c>
    </row>
    <row r="152" spans="1:8" x14ac:dyDescent="0.2">
      <c r="A152" t="s">
        <v>219</v>
      </c>
      <c r="B152">
        <v>-4.5</v>
      </c>
      <c r="C152" t="s">
        <v>182</v>
      </c>
      <c r="D152" t="s">
        <v>91</v>
      </c>
      <c r="F152" t="s">
        <v>76</v>
      </c>
      <c r="G152" t="s">
        <v>88</v>
      </c>
      <c r="H152" t="s">
        <v>218</v>
      </c>
    </row>
    <row r="153" spans="1:8" x14ac:dyDescent="0.2">
      <c r="A153" t="s">
        <v>220</v>
      </c>
      <c r="B153">
        <v>13.580249999999999</v>
      </c>
      <c r="C153" t="s">
        <v>182</v>
      </c>
      <c r="D153" t="s">
        <v>91</v>
      </c>
      <c r="F153" t="s">
        <v>189</v>
      </c>
      <c r="G153" t="s">
        <v>88</v>
      </c>
      <c r="H153" t="s">
        <v>193</v>
      </c>
    </row>
    <row r="154" spans="1:8" x14ac:dyDescent="0.2">
      <c r="A154" t="s">
        <v>221</v>
      </c>
      <c r="B154">
        <v>5.1220999999999997</v>
      </c>
      <c r="C154" t="s">
        <v>182</v>
      </c>
      <c r="D154" t="s">
        <v>94</v>
      </c>
      <c r="F154" t="s">
        <v>76</v>
      </c>
      <c r="G154" t="s">
        <v>88</v>
      </c>
      <c r="H154" t="s">
        <v>190</v>
      </c>
    </row>
    <row r="155" spans="1:8" x14ac:dyDescent="0.2">
      <c r="A155" t="s">
        <v>222</v>
      </c>
      <c r="B155">
        <v>0.33750000000000002</v>
      </c>
      <c r="C155" t="s">
        <v>182</v>
      </c>
      <c r="D155" t="s">
        <v>91</v>
      </c>
      <c r="F155" t="s">
        <v>76</v>
      </c>
      <c r="G155" t="s">
        <v>88</v>
      </c>
      <c r="H155" t="s">
        <v>222</v>
      </c>
    </row>
    <row r="156" spans="1:8" x14ac:dyDescent="0.2">
      <c r="A156" t="s">
        <v>192</v>
      </c>
      <c r="B156">
        <v>6.8902000000000001</v>
      </c>
      <c r="C156" t="s">
        <v>182</v>
      </c>
      <c r="D156" t="s">
        <v>91</v>
      </c>
      <c r="F156" t="s">
        <v>95</v>
      </c>
      <c r="G156" t="s">
        <v>88</v>
      </c>
      <c r="H156" t="s">
        <v>121</v>
      </c>
    </row>
    <row r="157" spans="1:8" x14ac:dyDescent="0.2">
      <c r="A157" t="s">
        <v>181</v>
      </c>
      <c r="B157">
        <v>12.5</v>
      </c>
      <c r="C157" t="s">
        <v>182</v>
      </c>
      <c r="D157" t="s">
        <v>94</v>
      </c>
      <c r="F157" t="s">
        <v>76</v>
      </c>
      <c r="G157" t="s">
        <v>88</v>
      </c>
      <c r="H157" t="s">
        <v>183</v>
      </c>
    </row>
    <row r="158" spans="1:8" x14ac:dyDescent="0.2">
      <c r="A158" t="s">
        <v>223</v>
      </c>
      <c r="B158">
        <v>3.7663000000000002</v>
      </c>
      <c r="C158" t="s">
        <v>182</v>
      </c>
      <c r="D158" t="s">
        <v>91</v>
      </c>
      <c r="F158" t="s">
        <v>76</v>
      </c>
      <c r="G158" t="s">
        <v>88</v>
      </c>
      <c r="H158" t="s">
        <v>223</v>
      </c>
    </row>
    <row r="159" spans="1:8" x14ac:dyDescent="0.2">
      <c r="A159" t="s">
        <v>227</v>
      </c>
      <c r="B159">
        <v>0.19269800000000001</v>
      </c>
      <c r="C159" t="s">
        <v>182</v>
      </c>
      <c r="D159" t="s">
        <v>91</v>
      </c>
      <c r="F159" t="s">
        <v>189</v>
      </c>
      <c r="G159" t="s">
        <v>88</v>
      </c>
      <c r="H159" t="s">
        <v>226</v>
      </c>
    </row>
    <row r="160" spans="1:8" x14ac:dyDescent="0.2">
      <c r="A160" t="s">
        <v>229</v>
      </c>
      <c r="B160">
        <v>0.74399999999999999</v>
      </c>
      <c r="C160" t="s">
        <v>182</v>
      </c>
      <c r="D160" t="s">
        <v>91</v>
      </c>
      <c r="F160" t="s">
        <v>76</v>
      </c>
      <c r="G160" t="s">
        <v>88</v>
      </c>
      <c r="H160" t="s">
        <v>228</v>
      </c>
    </row>
    <row r="161" spans="1:8" x14ac:dyDescent="0.2">
      <c r="A161" t="s">
        <v>231</v>
      </c>
      <c r="B161">
        <v>2.4104000000000001</v>
      </c>
      <c r="C161" t="s">
        <v>182</v>
      </c>
      <c r="D161" t="s">
        <v>94</v>
      </c>
      <c r="F161" t="s">
        <v>76</v>
      </c>
      <c r="G161" t="s">
        <v>88</v>
      </c>
      <c r="H161" t="s">
        <v>230</v>
      </c>
    </row>
    <row r="162" spans="1:8" x14ac:dyDescent="0.2">
      <c r="A162" t="s">
        <v>233</v>
      </c>
      <c r="B162">
        <v>0.03</v>
      </c>
      <c r="C162" t="s">
        <v>182</v>
      </c>
      <c r="D162" t="s">
        <v>91</v>
      </c>
      <c r="F162" t="s">
        <v>76</v>
      </c>
      <c r="G162" t="s">
        <v>88</v>
      </c>
      <c r="H162" t="s">
        <v>232</v>
      </c>
    </row>
    <row r="163" spans="1:8" x14ac:dyDescent="0.2">
      <c r="A163" t="s">
        <v>195</v>
      </c>
      <c r="B163">
        <v>0.5625</v>
      </c>
      <c r="C163" t="s">
        <v>182</v>
      </c>
      <c r="D163" t="s">
        <v>94</v>
      </c>
      <c r="F163" t="s">
        <v>76</v>
      </c>
      <c r="G163" t="s">
        <v>88</v>
      </c>
      <c r="H163" t="s">
        <v>196</v>
      </c>
    </row>
    <row r="164" spans="1:8" x14ac:dyDescent="0.2">
      <c r="A164" t="s">
        <v>235</v>
      </c>
      <c r="B164">
        <v>1.59</v>
      </c>
      <c r="C164" t="s">
        <v>182</v>
      </c>
      <c r="D164" t="s">
        <v>94</v>
      </c>
      <c r="F164" t="s">
        <v>76</v>
      </c>
      <c r="G164" t="s">
        <v>88</v>
      </c>
      <c r="H164" t="s">
        <v>234</v>
      </c>
    </row>
    <row r="165" spans="1:8" x14ac:dyDescent="0.2">
      <c r="A165" t="s">
        <v>237</v>
      </c>
      <c r="B165">
        <v>0.35</v>
      </c>
      <c r="C165" t="s">
        <v>182</v>
      </c>
      <c r="D165" t="s">
        <v>91</v>
      </c>
      <c r="F165" t="s">
        <v>209</v>
      </c>
      <c r="G165" t="s">
        <v>88</v>
      </c>
      <c r="H165" t="s">
        <v>236</v>
      </c>
    </row>
    <row r="166" spans="1:8" x14ac:dyDescent="0.2">
      <c r="A166" t="s">
        <v>239</v>
      </c>
      <c r="B166">
        <v>0.159</v>
      </c>
      <c r="C166" t="s">
        <v>182</v>
      </c>
      <c r="D166" t="s">
        <v>91</v>
      </c>
      <c r="F166" t="s">
        <v>76</v>
      </c>
      <c r="G166" t="s">
        <v>88</v>
      </c>
      <c r="H166" t="s">
        <v>238</v>
      </c>
    </row>
    <row r="167" spans="1:8" x14ac:dyDescent="0.2">
      <c r="A167" t="s">
        <v>241</v>
      </c>
      <c r="B167">
        <v>0.75</v>
      </c>
      <c r="C167" t="s">
        <v>182</v>
      </c>
      <c r="D167" t="s">
        <v>91</v>
      </c>
      <c r="F167" t="s">
        <v>240</v>
      </c>
      <c r="G167" t="s">
        <v>88</v>
      </c>
      <c r="H167" t="s">
        <v>241</v>
      </c>
    </row>
    <row r="168" spans="1:8" x14ac:dyDescent="0.2">
      <c r="A168" t="s">
        <v>243</v>
      </c>
      <c r="B168">
        <v>-6.7137031720422395E-4</v>
      </c>
      <c r="C168" t="s">
        <v>182</v>
      </c>
      <c r="D168" t="s">
        <v>194</v>
      </c>
      <c r="F168" t="s">
        <v>208</v>
      </c>
      <c r="G168" t="s">
        <v>88</v>
      </c>
      <c r="H168" t="s">
        <v>242</v>
      </c>
    </row>
    <row r="169" spans="1:8" x14ac:dyDescent="0.2">
      <c r="A169" t="s">
        <v>243</v>
      </c>
      <c r="B169" s="7">
        <v>-7.2629682795775403E-5</v>
      </c>
      <c r="C169" t="s">
        <v>182</v>
      </c>
      <c r="D169" t="s">
        <v>37</v>
      </c>
      <c r="F169" t="s">
        <v>208</v>
      </c>
      <c r="G169" t="s">
        <v>88</v>
      </c>
      <c r="H169" t="s">
        <v>242</v>
      </c>
    </row>
    <row r="170" spans="1:8" x14ac:dyDescent="0.2">
      <c r="A170" t="s">
        <v>244</v>
      </c>
      <c r="B170">
        <v>1.116E-4</v>
      </c>
      <c r="C170" t="s">
        <v>206</v>
      </c>
      <c r="E170" t="s">
        <v>161</v>
      </c>
      <c r="F170" t="s">
        <v>208</v>
      </c>
      <c r="G170" t="s">
        <v>163</v>
      </c>
    </row>
    <row r="171" spans="1:8" x14ac:dyDescent="0.2">
      <c r="A171" t="s">
        <v>968</v>
      </c>
      <c r="B171" s="5">
        <v>0.05</v>
      </c>
      <c r="C171" t="s">
        <v>182</v>
      </c>
      <c r="D171" t="s">
        <v>194</v>
      </c>
      <c r="F171" t="s">
        <v>208</v>
      </c>
      <c r="G171" t="s">
        <v>88</v>
      </c>
      <c r="H171" t="s">
        <v>969</v>
      </c>
    </row>
    <row r="174">
      <c r="A174" t="inlineStr">
        <is>
          <t>Activity</t>
        </is>
      </c>
      <c r="B174" t="inlineStr">
        <is>
          <t xml:space="preserve">mechanical powertrain production, motorcycle, gasoline</t>
        </is>
      </c>
    </row>
    <row r="175">
      <c r="A175" t="inlineStr">
        <is>
          <t>location</t>
        </is>
      </c>
      <c r="B175" t="inlineStr">
        <is>
          <t>GLO</t>
        </is>
      </c>
    </row>
    <row r="176">
      <c r="A176" t="inlineStr">
        <is>
          <t>production amount</t>
        </is>
      </c>
      <c r="B176">
        <v>1</v>
      </c>
    </row>
    <row r="177">
      <c r="A177" t="inlineStr">
        <is>
          <t>reference product</t>
        </is>
      </c>
      <c r="B177" t="inlineStr">
        <is>
          <t xml:space="preserve">mechanical powertrain, motorcycle, gasoline</t>
        </is>
      </c>
    </row>
    <row r="178">
      <c r="A178" t="inlineStr">
        <is>
          <t>unit</t>
        </is>
      </c>
      <c r="B178" t="inlineStr">
        <is>
          <t>kilogram</t>
        </is>
      </c>
    </row>
    <row r="179">
      <c r="A179" t="inlineStr">
        <is>
          <t>source</t>
        </is>
      </c>
      <c r="B179" t="inlineStr">
        <is>
          <t>Sacchi/Bauer PSI vehicle inventories https://zenodo.org/records/7769251 source-declared mechanical masses; Notter2010 SI TablesS2(engine/gearbox only) andS3(gearbox only), DOI10.1021/es903729a.</t>
        </is>
      </c>
    </row>
    <row r="180">
      <c r="A180" t="inlineStr">
        <is>
          <t>comment</t>
        </is>
      </c>
      <c r="B180" t="inlineStr">
        <is>
          <t xml:space="preserve">Nomenclature revision, 2026-10-19. Former activity name: mechanical powertrain, motorcycle, gasoline, engineering reference. Former reference product: mechanical powertrain, motorcycle, gasoline,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181">
      <c r="A181" t="inlineStr">
        <is>
          <t>Exchanges</t>
        </is>
      </c>
    </row>
    <row r="182">
      <c r="A182" t="inlineStr">
        <is>
          <t>name</t>
        </is>
      </c>
      <c r="B182" t="inlineStr">
        <is>
          <t>amount</t>
        </is>
      </c>
      <c r="C182" t="inlineStr">
        <is>
          <t>location</t>
        </is>
      </c>
      <c r="D182" t="inlineStr">
        <is>
          <t>unit</t>
        </is>
      </c>
      <c r="E182" t="inlineStr">
        <is>
          <t>categories</t>
        </is>
      </c>
      <c r="F182" t="inlineStr">
        <is>
          <t>type</t>
        </is>
      </c>
      <c r="G182" t="inlineStr">
        <is>
          <t>reference product</t>
        </is>
      </c>
      <c r="H182" t="inlineStr">
        <is>
          <t>comment</t>
        </is>
      </c>
    </row>
    <row r="183">
      <c r="A183" t="inlineStr">
        <is>
          <t xml:space="preserve">mechanical powertrain production, motorcycle, gasoline</t>
        </is>
      </c>
      <c r="B183">
        <v>1</v>
      </c>
      <c r="C183" t="inlineStr">
        <is>
          <t>GLO</t>
        </is>
      </c>
      <c r="D183" t="inlineStr">
        <is>
          <t>kilogram</t>
        </is>
      </c>
      <c r="F183" t="inlineStr">
        <is>
          <t>production</t>
        </is>
      </c>
      <c r="G183" t="inlineStr">
        <is>
          <t xml:space="preserve">mechanical powertrain, motorcycle, gasoline</t>
        </is>
      </c>
    </row>
    <row r="184">
      <c r="A184" t="inlineStr">
        <is>
          <t>market for steel, low-alloyed</t>
        </is>
      </c>
      <c r="B184">
        <v>0.6435906515580737</v>
      </c>
      <c r="C184" t="inlineStr">
        <is>
          <t>GLO</t>
        </is>
      </c>
      <c r="D184" t="inlineStr">
        <is>
          <t>kilogram</t>
        </is>
      </c>
      <c r="F184" t="inlineStr">
        <is>
          <t>technosphere</t>
        </is>
      </c>
      <c r="G184" t="inlineStr">
        <is>
          <t>steel, low-alloyed</t>
        </is>
      </c>
    </row>
    <row r="185">
      <c r="A185" t="inlineStr">
        <is>
          <t>metal working, average for steel product manufacturing</t>
        </is>
      </c>
      <c r="B185">
        <v>0.6435906515580737</v>
      </c>
      <c r="C185" t="inlineStr">
        <is>
          <t>RER</t>
        </is>
      </c>
      <c r="D185" t="inlineStr">
        <is>
          <t>kilogram</t>
        </is>
      </c>
      <c r="F185" t="inlineStr">
        <is>
          <t>technosphere</t>
        </is>
      </c>
      <c r="G185" t="inlineStr">
        <is>
          <t>metal working, average for steel product manufacturing</t>
        </is>
      </c>
    </row>
    <row r="186">
      <c r="A186" t="inlineStr">
        <is>
          <t>iron scrap, unsorted, Recycled Content cut-off</t>
        </is>
      </c>
      <c r="B186">
        <v>-0.12871813031161475</v>
      </c>
      <c r="C186" t="inlineStr">
        <is>
          <t>GLO</t>
        </is>
      </c>
      <c r="D186" t="inlineStr">
        <is>
          <t>kilogram</t>
        </is>
      </c>
      <c r="F186" t="inlineStr">
        <is>
          <t>technosphere</t>
        </is>
      </c>
      <c r="G186" t="inlineStr">
        <is>
          <t>iron scrap, unsorted</t>
        </is>
      </c>
    </row>
    <row r="187">
      <c r="A187" t="inlineStr">
        <is>
          <t>market for aluminium, cast alloy</t>
        </is>
      </c>
      <c r="B187">
        <v>0.4027974504249292</v>
      </c>
      <c r="C187" t="inlineStr">
        <is>
          <t>GLO</t>
        </is>
      </c>
      <c r="D187" t="inlineStr">
        <is>
          <t>kilogram</t>
        </is>
      </c>
      <c r="F187" t="inlineStr">
        <is>
          <t>technosphere</t>
        </is>
      </c>
      <c r="G187" t="inlineStr">
        <is>
          <t>aluminium, cast alloy</t>
        </is>
      </c>
    </row>
    <row r="188">
      <c r="A188" t="inlineStr">
        <is>
          <t>metal working, average for aluminium product manufacturing</t>
        </is>
      </c>
      <c r="B188">
        <v>0.4027974504249292</v>
      </c>
      <c r="C188" t="inlineStr">
        <is>
          <t>RER</t>
        </is>
      </c>
      <c r="D188" t="inlineStr">
        <is>
          <t>kilogram</t>
        </is>
      </c>
      <c r="F188" t="inlineStr">
        <is>
          <t>technosphere</t>
        </is>
      </c>
      <c r="G188" t="inlineStr">
        <is>
          <t>metal working, average for aluminium product manufacturing</t>
        </is>
      </c>
    </row>
    <row r="189">
      <c r="A189" t="inlineStr">
        <is>
          <t>aluminium scrap, new, Recycled Content cut-off</t>
        </is>
      </c>
      <c r="B189">
        <v>-0.08055949008498584</v>
      </c>
      <c r="C189" t="inlineStr">
        <is>
          <t>GLO</t>
        </is>
      </c>
      <c r="D189" t="inlineStr">
        <is>
          <t>kilogram</t>
        </is>
      </c>
      <c r="F189" t="inlineStr">
        <is>
          <t>technosphere</t>
        </is>
      </c>
      <c r="G189" t="inlineStr">
        <is>
          <t>aluminium scrap, new</t>
        </is>
      </c>
    </row>
    <row r="190">
      <c r="A190" t="inlineStr">
        <is>
          <t>market for polyphenylene sulfide</t>
        </is>
      </c>
      <c r="B190">
        <v>0.1324362606232295</v>
      </c>
      <c r="C190" t="inlineStr">
        <is>
          <t>GLO</t>
        </is>
      </c>
      <c r="D190" t="inlineStr">
        <is>
          <t>kilogram</t>
        </is>
      </c>
      <c r="F190" t="inlineStr">
        <is>
          <t>technosphere</t>
        </is>
      </c>
      <c r="G190" t="inlineStr">
        <is>
          <t>polyphenylene sulfide</t>
        </is>
      </c>
    </row>
    <row r="191">
      <c r="A191" t="inlineStr">
        <is>
          <t>market for waste plastic, mixture</t>
        </is>
      </c>
      <c r="B191">
        <v>-0.012039660056657237</v>
      </c>
      <c r="C191" t="inlineStr">
        <is>
          <t>CH</t>
        </is>
      </c>
      <c r="D191" t="inlineStr">
        <is>
          <t>kilogram</t>
        </is>
      </c>
      <c r="F191" t="inlineStr">
        <is>
          <t>technosphere</t>
        </is>
      </c>
      <c r="G191" t="inlineStr">
        <is>
          <t>waste plastic, mixture</t>
        </is>
      </c>
    </row>
    <row r="192">
      <c r="A192" t="inlineStr">
        <is>
          <t>market for lubricating oil</t>
        </is>
      </c>
      <c r="B192">
        <v>0.042492917847025496</v>
      </c>
      <c r="C192" t="inlineStr">
        <is>
          <t>RER</t>
        </is>
      </c>
      <c r="D192" t="inlineStr">
        <is>
          <t>kilogram</t>
        </is>
      </c>
      <c r="F192" t="inlineStr">
        <is>
          <t>technosphere</t>
        </is>
      </c>
      <c r="G192" t="inlineStr">
        <is>
          <t>lubricating oil</t>
        </is>
      </c>
    </row>
    <row r="193">
      <c r="A193" t="inlineStr">
        <is>
          <t>market group for electricity, medium voltage</t>
        </is>
      </c>
      <c r="B193">
        <v>1</v>
      </c>
      <c r="C193" t="inlineStr">
        <is>
          <t>GLO</t>
        </is>
      </c>
      <c r="D193" t="inlineStr">
        <is>
          <t>kilowatt hour</t>
        </is>
      </c>
      <c r="F193" t="inlineStr">
        <is>
          <t>technosphere</t>
        </is>
      </c>
      <c r="G193" t="inlineStr">
        <is>
          <t>electricity, medium voltage</t>
        </is>
      </c>
    </row>
    <row r="196">
      <c r="A196" t="inlineStr">
        <is>
          <t>Activity</t>
        </is>
      </c>
      <c r="B196" t="inlineStr">
        <is>
          <t xml:space="preserve">mechanical powertrain production, motorcycle, electric</t>
        </is>
      </c>
    </row>
    <row r="197">
      <c r="A197" t="inlineStr">
        <is>
          <t>location</t>
        </is>
      </c>
      <c r="B197" t="inlineStr">
        <is>
          <t>GLO</t>
        </is>
      </c>
    </row>
    <row r="198">
      <c r="A198" t="inlineStr">
        <is>
          <t>production amount</t>
        </is>
      </c>
      <c r="B198">
        <v>1</v>
      </c>
    </row>
    <row r="199">
      <c r="A199" t="inlineStr">
        <is>
          <t>reference product</t>
        </is>
      </c>
      <c r="B199" t="inlineStr">
        <is>
          <t xml:space="preserve">mechanical powertrain, motorcycle, electric</t>
        </is>
      </c>
    </row>
    <row r="200">
      <c r="A200" t="inlineStr">
        <is>
          <t>unit</t>
        </is>
      </c>
      <c r="B200" t="inlineStr">
        <is>
          <t>kilogram</t>
        </is>
      </c>
    </row>
    <row r="201">
      <c r="A201" t="inlineStr">
        <is>
          <t>source</t>
        </is>
      </c>
      <c r="B201" t="inlineStr">
        <is>
          <t>Sacchi/Bauer PSI vehicle inventories https://zenodo.org/records/7769251 source-declared mechanical masses; Notter2010 SI TablesS2(engine/gearbox only) andS3(gearbox only), DOI10.1021/es903729a.</t>
        </is>
      </c>
    </row>
    <row r="202">
      <c r="A202" t="inlineStr">
        <is>
          <t>comment</t>
        </is>
      </c>
      <c r="B202" t="inlineStr">
        <is>
          <t xml:space="preserve">Nomenclature revision, 2026-10-19. Former activity name: mechanical powertrain, motorcycle, electric, engineering reference. Former reference product: mechanical powertrain, motorcycle, electric,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03">
      <c r="A203" t="inlineStr">
        <is>
          <t>Exchanges</t>
        </is>
      </c>
    </row>
    <row r="204">
      <c r="A204" t="inlineStr">
        <is>
          <t>name</t>
        </is>
      </c>
      <c r="B204" t="inlineStr">
        <is>
          <t>amount</t>
        </is>
      </c>
      <c r="C204" t="inlineStr">
        <is>
          <t>location</t>
        </is>
      </c>
      <c r="D204" t="inlineStr">
        <is>
          <t>unit</t>
        </is>
      </c>
      <c r="E204" t="inlineStr">
        <is>
          <t>categories</t>
        </is>
      </c>
      <c r="F204" t="inlineStr">
        <is>
          <t>type</t>
        </is>
      </c>
      <c r="G204" t="inlineStr">
        <is>
          <t>reference product</t>
        </is>
      </c>
      <c r="H204" t="inlineStr">
        <is>
          <t>comment</t>
        </is>
      </c>
    </row>
    <row r="205">
      <c r="A205" t="inlineStr">
        <is>
          <t xml:space="preserve">mechanical powertrain production, motorcycle, electric</t>
        </is>
      </c>
      <c r="B205">
        <v>1</v>
      </c>
      <c r="C205" t="inlineStr">
        <is>
          <t>GLO</t>
        </is>
      </c>
      <c r="D205" t="inlineStr">
        <is>
          <t>kilogram</t>
        </is>
      </c>
      <c r="F205" t="inlineStr">
        <is>
          <t>production</t>
        </is>
      </c>
      <c r="G205" t="inlineStr">
        <is>
          <t xml:space="preserve">mechanical powertrain, motorcycle, electric</t>
        </is>
      </c>
    </row>
    <row r="206">
      <c r="A206" t="inlineStr">
        <is>
          <t>market for steel, low-alloyed</t>
        </is>
      </c>
      <c r="B206">
        <v>0.6578947368421052</v>
      </c>
      <c r="C206" t="inlineStr">
        <is>
          <t>GLO</t>
        </is>
      </c>
      <c r="D206" t="inlineStr">
        <is>
          <t>kilogram</t>
        </is>
      </c>
      <c r="F206" t="inlineStr">
        <is>
          <t>technosphere</t>
        </is>
      </c>
      <c r="G206" t="inlineStr">
        <is>
          <t>steel, low-alloyed</t>
        </is>
      </c>
    </row>
    <row r="207">
      <c r="A207" t="inlineStr">
        <is>
          <t>metal working, average for steel product manufacturing</t>
        </is>
      </c>
      <c r="B207">
        <v>0.6578947368421052</v>
      </c>
      <c r="C207" t="inlineStr">
        <is>
          <t>RER</t>
        </is>
      </c>
      <c r="D207" t="inlineStr">
        <is>
          <t>kilogram</t>
        </is>
      </c>
      <c r="F207" t="inlineStr">
        <is>
          <t>technosphere</t>
        </is>
      </c>
      <c r="G207" t="inlineStr">
        <is>
          <t>metal working, average for steel product manufacturing</t>
        </is>
      </c>
    </row>
    <row r="208">
      <c r="A208" t="inlineStr">
        <is>
          <t>iron scrap, unsorted, Recycled Content cut-off</t>
        </is>
      </c>
      <c r="B208">
        <v>-0.13157894736842105</v>
      </c>
      <c r="C208" t="inlineStr">
        <is>
          <t>GLO</t>
        </is>
      </c>
      <c r="D208" t="inlineStr">
        <is>
          <t>kilogram</t>
        </is>
      </c>
      <c r="F208" t="inlineStr">
        <is>
          <t>technosphere</t>
        </is>
      </c>
      <c r="G208" t="inlineStr">
        <is>
          <t>iron scrap, unsorted</t>
        </is>
      </c>
    </row>
    <row r="209">
      <c r="A209" t="inlineStr">
        <is>
          <t>market for aluminium, cast alloy</t>
        </is>
      </c>
      <c r="B209">
        <v>0.5921052631578947</v>
      </c>
      <c r="C209" t="inlineStr">
        <is>
          <t>GLO</t>
        </is>
      </c>
      <c r="D209" t="inlineStr">
        <is>
          <t>kilogram</t>
        </is>
      </c>
      <c r="F209" t="inlineStr">
        <is>
          <t>technosphere</t>
        </is>
      </c>
      <c r="G209" t="inlineStr">
        <is>
          <t>aluminium, cast alloy</t>
        </is>
      </c>
    </row>
    <row r="210">
      <c r="A210" t="inlineStr">
        <is>
          <t>metal working, average for aluminium product manufacturing</t>
        </is>
      </c>
      <c r="B210">
        <v>0.5921052631578947</v>
      </c>
      <c r="C210" t="inlineStr">
        <is>
          <t>RER</t>
        </is>
      </c>
      <c r="D210" t="inlineStr">
        <is>
          <t>kilogram</t>
        </is>
      </c>
      <c r="F210" t="inlineStr">
        <is>
          <t>technosphere</t>
        </is>
      </c>
      <c r="G210" t="inlineStr">
        <is>
          <t>metal working, average for aluminium product manufacturing</t>
        </is>
      </c>
    </row>
    <row r="211">
      <c r="A211" t="inlineStr">
        <is>
          <t>aluminium scrap, new, Recycled Content cut-off</t>
        </is>
      </c>
      <c r="B211">
        <v>-0.11842105263157894</v>
      </c>
      <c r="C211" t="inlineStr">
        <is>
          <t>GLO</t>
        </is>
      </c>
      <c r="D211" t="inlineStr">
        <is>
          <t>kilogram</t>
        </is>
      </c>
      <c r="F211" t="inlineStr">
        <is>
          <t>technosphere</t>
        </is>
      </c>
      <c r="G211" t="inlineStr">
        <is>
          <t>aluminium scrap, new</t>
        </is>
      </c>
    </row>
    <row r="212">
      <c r="A212" t="inlineStr">
        <is>
          <t>market group for electricity, medium voltage</t>
        </is>
      </c>
      <c r="B212">
        <v>1</v>
      </c>
      <c r="C212" t="inlineStr">
        <is>
          <t>GLO</t>
        </is>
      </c>
      <c r="D212" t="inlineStr">
        <is>
          <t>kilowatt hour</t>
        </is>
      </c>
      <c r="F212" t="inlineStr">
        <is>
          <t>technosphere</t>
        </is>
      </c>
      <c r="G212" t="inlineStr">
        <is>
          <t>electricity, medium voltage</t>
        </is>
      </c>
    </row>
    <row r="215">
      <c r="A215" t="inlineStr">
        <is>
          <t>Activity</t>
        </is>
      </c>
      <c r="B215" t="inlineStr">
        <is>
          <t xml:space="preserve">fuel tank forming, motorcycle</t>
        </is>
      </c>
    </row>
    <row r="216">
      <c r="A216" t="inlineStr">
        <is>
          <t>location</t>
        </is>
      </c>
      <c r="B216" t="inlineStr">
        <is>
          <t>RER</t>
        </is>
      </c>
    </row>
    <row r="217">
      <c r="A217" t="inlineStr">
        <is>
          <t>production amount</t>
        </is>
      </c>
      <c r="B217">
        <v>1</v>
      </c>
    </row>
    <row r="218">
      <c r="A218" t="inlineStr">
        <is>
          <t>reference product</t>
        </is>
      </c>
      <c r="B218" t="inlineStr">
        <is>
          <t xml:space="preserve">fuel tank forming, motorcycle</t>
        </is>
      </c>
    </row>
    <row r="219">
      <c r="A219" t="inlineStr">
        <is>
          <t>unit</t>
        </is>
      </c>
      <c r="B219" t="inlineStr">
        <is>
          <t>kilogram</t>
        </is>
      </c>
    </row>
    <row r="220">
      <c r="A220" t="inlineStr">
        <is>
          <t>source</t>
        </is>
      </c>
      <c r="B220" t="inlineStr">
        <is>
          <t>Sacchi/Bauer PSI vehicle inventories https://zenodo.org/records/7769251 source-declared mechanical masses; Notter2010 SI TablesS2(engine/gearbox only) andS3(gearbox only), DOI10.1021/es903729a.</t>
        </is>
      </c>
    </row>
    <row r="221">
      <c r="A221" t="inlineStr">
        <is>
          <t>comment</t>
        </is>
      </c>
      <c r="B221" t="inlineStr">
        <is>
          <t xml:space="preserve">Nomenclature revision, 2026-10-19. Former activity name: fuel tank forming, motorcycle engineering reference. Former reference product: fuel tank forming, motorcycle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row>
    <row r="224">
      <c r="A224" t="inlineStr">
        <is>
          <t xml:space="preserve">fuel tank forming, motorcycle</t>
        </is>
      </c>
      <c r="B224">
        <v>1</v>
      </c>
      <c r="C224" t="inlineStr">
        <is>
          <t>RER</t>
        </is>
      </c>
      <c r="D224" t="inlineStr">
        <is>
          <t>kilogram</t>
        </is>
      </c>
      <c r="F224" t="inlineStr">
        <is>
          <t>production</t>
        </is>
      </c>
      <c r="G224" t="inlineStr">
        <is>
          <t xml:space="preserve">fuel tank forming, motorcycle</t>
        </is>
      </c>
    </row>
    <row r="225">
      <c r="A225" t="inlineStr">
        <is>
          <t>injection moulding</t>
        </is>
      </c>
      <c r="B225">
        <v>1</v>
      </c>
      <c r="C225" t="inlineStr">
        <is>
          <t>RER</t>
        </is>
      </c>
      <c r="D225" t="inlineStr">
        <is>
          <t>kilogram</t>
        </is>
      </c>
      <c r="F225" t="inlineStr">
        <is>
          <t>technosphere</t>
        </is>
      </c>
      <c r="G225" t="inlineStr">
        <is>
          <t>injection moulding</t>
        </is>
      </c>
    </row>
    <row r="228">
      <c r="A228" t="inlineStr">
        <is>
          <t>Activity</t>
        </is>
      </c>
      <c r="B228" t="inlineStr">
        <is>
          <t xml:space="preserve">electric powertrain production, two-wheeler, motor and controller, without charger</t>
        </is>
      </c>
    </row>
    <row r="229">
      <c r="A229" t="inlineStr">
        <is>
          <t>location</t>
        </is>
      </c>
      <c r="B229" t="inlineStr">
        <is>
          <t>GLO</t>
        </is>
      </c>
    </row>
    <row r="230">
      <c r="A230" t="inlineStr">
        <is>
          <t>production amount</t>
        </is>
      </c>
      <c r="B230">
        <v>1</v>
      </c>
    </row>
    <row r="231">
      <c r="A231" t="inlineStr">
        <is>
          <t>reference product</t>
        </is>
      </c>
      <c r="B231" t="inlineStr">
        <is>
          <t xml:space="preserve">electric powertrain, two-wheeler, motor and controller, without charger</t>
        </is>
      </c>
    </row>
    <row r="232">
      <c r="A232" t="inlineStr">
        <is>
          <t>unit</t>
        </is>
      </c>
      <c r="B232" t="inlineStr">
        <is>
          <t>kilogram</t>
        </is>
      </c>
    </row>
    <row r="233">
      <c r="A233" t="inlineStr">
        <is>
          <t>source</t>
        </is>
      </c>
      <c r="B233" t="inlineStr">
        <is>
          <t>NewRide2013 appendix pp59-62 and65 https://www.newride.ch/documents/Forschungsprojekt_E-Scooters_2013/Anhang_zu_Schlussbericht_E-Scooter_2013.pdf; existing native scooter motor/controller functional suppliers; native composite coefficients diagnostic3.8/3.12 agree.</t>
        </is>
      </c>
    </row>
    <row r="234">
      <c r="A234" t="inlineStr">
        <is>
          <t>comment</t>
        </is>
      </c>
      <c r="B234" t="inlineStr">
        <is>
          <t xml:space="preserve">Nomenclature revision, 2026-10-19. Former activity name: electric powertrain, two-wheeler motor and controller, offboard charging reference. Former reference product: electric powertrain, two-wheeler motor and controller, offboard charging reference. Activity/product labels and supplier references only; coefficients, formulas, uncertainty, declared output and unit are unchanged. Original engineering assumptions, functional-unit basis and limitations remain below.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t>
        </is>
      </c>
    </row>
    <row r="235">
      <c r="A235" t="inlineStr">
        <is>
          <t>Exchanges</t>
        </is>
      </c>
    </row>
    <row r="236">
      <c r="A236" t="inlineStr">
        <is>
          <t>name</t>
        </is>
      </c>
      <c r="B236" t="inlineStr">
        <is>
          <t>amount</t>
        </is>
      </c>
      <c r="C236" t="inlineStr">
        <is>
          <t>location</t>
        </is>
      </c>
      <c r="D236" t="inlineStr">
        <is>
          <t>unit</t>
        </is>
      </c>
      <c r="E236" t="inlineStr">
        <is>
          <t>categories</t>
        </is>
      </c>
      <c r="F236" t="inlineStr">
        <is>
          <t>type</t>
        </is>
      </c>
      <c r="G236" t="inlineStr">
        <is>
          <t>reference product</t>
        </is>
      </c>
      <c r="H236" t="inlineStr">
        <is>
          <t>comment</t>
        </is>
      </c>
      <c r="I236" t="inlineStr">
        <is>
          <t>product</t>
        </is>
      </c>
    </row>
    <row r="237">
      <c r="A237" t="inlineStr">
        <is>
          <t xml:space="preserve">electric powertrain production, two-wheeler, motor and controller, without charger</t>
        </is>
      </c>
      <c r="B237">
        <v>1</v>
      </c>
      <c r="C237" t="inlineStr">
        <is>
          <t>GLO</t>
        </is>
      </c>
      <c r="D237" t="inlineStr">
        <is>
          <t>kilogram</t>
        </is>
      </c>
      <c r="F237" t="inlineStr">
        <is>
          <t>production</t>
        </is>
      </c>
      <c r="G237" t="inlineStr">
        <is>
          <t xml:space="preserve">electric powertrain, two-wheeler, motor and controller, without charger</t>
        </is>
      </c>
      <c r="I237" t="inlineStr">
        <is>
          <t xml:space="preserve">electric powertrain, two-wheeler, motor and controller, without charger</t>
        </is>
      </c>
    </row>
    <row r="238">
      <c r="A238" t="inlineStr">
        <is>
          <t>market for electric motor, for electric scooter</t>
        </is>
      </c>
      <c r="B238">
        <v>0.8203677466110765</v>
      </c>
      <c r="C238" t="inlineStr">
        <is>
          <t>GLO</t>
        </is>
      </c>
      <c r="D238" t="inlineStr">
        <is>
          <t>kilogram</t>
        </is>
      </c>
      <c r="F238" t="inlineStr">
        <is>
          <t>technosphere</t>
        </is>
      </c>
      <c r="G238" t="inlineStr">
        <is>
          <t>electric motor, for electric scooter</t>
        </is>
      </c>
      <c r="I238" t="inlineStr">
        <is>
          <t>electric motor, for electric scooter</t>
        </is>
      </c>
    </row>
    <row r="239">
      <c r="A239" t="inlineStr">
        <is>
          <t>market for controller, for electric scooter</t>
        </is>
      </c>
      <c r="B239">
        <v>0.17963225338892358</v>
      </c>
      <c r="C239" t="inlineStr">
        <is>
          <t>GLO</t>
        </is>
      </c>
      <c r="D239" t="inlineStr">
        <is>
          <t>kilogram</t>
        </is>
      </c>
      <c r="F239" t="inlineStr">
        <is>
          <t>technosphere</t>
        </is>
      </c>
      <c r="G239" t="inlineStr">
        <is>
          <t>controller, for electric scooter</t>
        </is>
      </c>
      <c r="I239" t="inlineStr">
        <is>
          <t>controller, for electric scooter</t>
        </is>
      </c>
    </row>
  </sheetData>
  <autoFilter ref="A1:N133" xr:uid="{00000000-0001-0000-2E00-000000000000}"/>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